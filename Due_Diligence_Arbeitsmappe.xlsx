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firstSheet="3" activeTab="2"/>
  </bookViews>
  <sheets>
    <sheet name="_Listen" sheetId="1" state="hidden" r:id="rId1"/>
    <sheet name="00_Start" sheetId="2" r:id="rId2"/>
    <sheet name="00_Ausfüllhilfe" sheetId="3" r:id="rId3"/>
    <sheet name="01_Dashboard" sheetId="4" r:id="rId4"/>
    <sheet name="02_Checkliste" sheetId="5" r:id="rId5"/>
    <sheet name="03_Dokumente" sheetId="6" r:id="rId6"/>
    <sheet name="04_Risiken" sheetId="7" r:id="rId7"/>
    <sheet name="05_Maßnahmen" sheetId="8" r:id="rId8"/>
    <sheet name="06_Q&amp;A" sheetId="9" r:id="rId9"/>
    <sheet name="07_Finanzanalyse" sheetId="10" r:id="rId10"/>
    <sheet name="08_QoE" sheetId="11" r:id="rId11"/>
    <sheet name="09_NWC_NetDebt" sheetId="12" r:id="rId12"/>
    <sheet name="10_Verträge" sheetId="13" r:id="rId13"/>
    <sheet name="11_IT_Cyber" sheetId="14" r:id="rId14"/>
    <sheet name="12_HR" sheetId="15" r:id="rId15"/>
    <sheet name="13_Steuern" sheetId="16" r:id="rId16"/>
    <sheet name="14_Deal_Mechanismen" sheetId="17" r:id="rId17"/>
    <sheet name="15_Quellen" sheetId="18" r:id="rId18"/>
  </sheets>
  <definedNames>
    <definedName name="Berichtswahrung">'00_Start'!$B$12</definedName>
    <definedName name="DD_Stichtag">'00_Start'!$B$8</definedName>
    <definedName name="DealImpact">'_Listen'!$L$2:$L$9</definedName>
    <definedName name="DokStatus">'_Listen'!$E$2:$E$7</definedName>
    <definedName name="JaNeinPruefen">'_Listen'!$D$2:$D$4</definedName>
    <definedName name="MassStatus">'_Listen'!$H$2:$H$6</definedName>
    <definedName name="Phase">'_Listen'!$C$2:$C$6</definedName>
    <definedName name="Prioritaet">'_Listen'!$B$2:$B$5</definedName>
    <definedName name="Pruefstatus">'_Listen'!$A$2:$A$7</definedName>
    <definedName name="QAStatus">'_Listen'!$I$2:$I$7</definedName>
    <definedName name="Reifegrad">'_Listen'!$M$2:$M$6</definedName>
    <definedName name="RisikoStatus">'_Listen'!$G$2:$G$6</definedName>
    <definedName name="Transaktionstyp">'_Listen'!$K$2:$K$8</definedName>
    <definedName name="Transaktionstyp_Auswahl">'00_Start'!$B$6</definedName>
    <definedName name="Vertragstyp">'_Listen'!$N$2:$N$11</definedName>
    <definedName name="Vertraulichkeit">'_Listen'!$J$2:$J$5</definedName>
    <definedName name="Vollstaendigkeit">'_Listen'!$F$2:$F$5</definedName>
    <definedName name="Zielunternehmen">'00_Start'!$B$5</definedName>
  </definedNames>
  <calcPr calcId="124519" fullCalcOnLoad="1"/>
</workbook>
</file>

<file path=xl/comments1.xml><?xml version="1.0" encoding="utf-8"?>
<comments xmlns="http://schemas.openxmlformats.org/spreadsheetml/2006/main">
  <authors>
    <author>Ausfüllhilfe</author>
  </authors>
  <commentList>
    <comment ref="B5" authorId="0">
      <text>
        <r>
          <rPr>
            <sz val="8"/>
            <color indexed="81"/>
            <rFont val="Tahoma"/>
            <family val="2"/>
          </rPr>
          <t>AUSFÜLLHILFE – Zielunternehmen
Was eintragen: Vollständige rechtliche Firma des Prüfungsobjekts eintragen.
Beispiel: Muster GmbH
Bearbeitung: Eingabe | Pflichtgrad: Pflicht
Format: Text
Quelle/Nachweis: Handelsregister / Term Sheet
Qualitätsregel: Bei Carve-outs den exakten Perimeter ergänzen.</t>
        </r>
      </text>
    </comment>
    <comment ref="B6" authorId="0">
      <text>
        <r>
          <rPr>
            <sz val="8"/>
            <color indexed="81"/>
            <rFont val="Tahoma"/>
            <family val="2"/>
          </rPr>
          <t>AUSFÜLLHILFE – Transaktionstyp
Was eintragen: Geplante rechtliche bzw. wirtschaftliche Transaktionsform auswählen.
Beispiel: Share Deal
Bearbeitung: Eingabe | Pflichtgrad: Pflicht
Format: Dropdown
Quelle/Nachweis: Term Sheet / Strukturmemorandum
Qualitätsregel: Bei Mischformen die primäre Struktur auswählen und Details kommentieren.</t>
        </r>
      </text>
    </comment>
    <comment ref="B7" authorId="0">
      <text>
        <r>
          <rPr>
            <sz val="8"/>
            <color indexed="81"/>
            <rFont val="Tahoma"/>
            <family val="2"/>
          </rPr>
          <t>AUSFÜLLHILFE – Käufer / Investor
Was eintragen: Erwerbende Gesellschaft bzw. Investorengruppe nennen.
Beispiel: Investor Holding GmbH
Bearbeitung: Eingabe | Pflichtgrad: Pflicht
Format: Text
Quelle/Nachweis: Term Sheet
Qualitätsregel: Nicht nur den Projektnamen verwenden.</t>
        </r>
      </text>
    </comment>
    <comment ref="B8" authorId="0">
      <text>
        <r>
          <rPr>
            <sz val="8"/>
            <color indexed="81"/>
            <rFont val="Tahoma"/>
            <family val="2"/>
          </rPr>
          <t>AUSFÜLLHILFE – DD-Stichtag
Was eintragen: Informations- bzw. Bewertungsstichtag der Prüfung eintragen.
Beispiel: 30.09.2026
Bearbeitung: Eingabe | Pflichtgrad: Pflicht
Format: Datum TT.MM.JJJJ
Quelle/Nachweis: Projektauftrag
Qualitätsregel: Nicht mit Signing- oder Closing-Datum verwechseln.</t>
        </r>
      </text>
    </comment>
    <comment ref="B9" authorId="0">
      <text>
        <r>
          <rPr>
            <sz val="8"/>
            <color indexed="81"/>
            <rFont val="Tahoma"/>
            <family val="2"/>
          </rPr>
          <t>AUSFÜLLHILFE – Projektleitung
Was eintragen: Gesamtverantwortliche Person mit Rolle nennen.
Beispiel: Max Beispiel, M&amp;A Director
Bearbeitung: Eingabe | Pflichtgrad: Pflicht
Format: Text
Quelle/Nachweis: Projekt-RACI
Qualitätsregel: Genau eine Gesamtverantwortung festlegen.</t>
        </r>
      </text>
    </comment>
    <comment ref="B10" authorId="0">
      <text>
        <r>
          <rPr>
            <sz val="8"/>
            <color indexed="81"/>
            <rFont val="Tahoma"/>
            <family val="2"/>
          </rPr>
          <t>AUSFÜLLHILFE – Version
Was eintragen: Freigabestand der Arbeitsmappe führen.
Beispiel: 1.1
Bearbeitung: Eingabe | Pflichtgrad: Pflicht
Format: Versionsnummer
Quelle/Nachweis: Dokumentenlenkung
Qualitätsregel: Bei materiellen Änderungen Version erhöhen.</t>
        </r>
      </text>
    </comment>
    <comment ref="B11" authorId="0">
      <text>
        <r>
          <rPr>
            <sz val="8"/>
            <color indexed="81"/>
            <rFont val="Tahoma"/>
            <family val="2"/>
          </rPr>
          <t>AUSFÜLLHILFE – Vertraulichkeit
Was eintragen: Höchste Schutzstufe für die gesamte Arbeitsmappe auswählen.
Beispiel: Streng vertraulich
Bearbeitung: Eingabe | Pflichtgrad: Pflicht
Format: Dropdown
Quelle/Nachweis: NDA / Clean-Team-Regeln
Qualitätsregel: Einzelblätter können eine höhere Schutzstufe benötigen.</t>
        </r>
      </text>
    </comment>
    <comment ref="B12" authorId="0">
      <text>
        <r>
          <rPr>
            <sz val="8"/>
            <color indexed="81"/>
            <rFont val="Tahoma"/>
            <family val="2"/>
          </rPr>
          <t>AUSFÜLLHILFE – Berichtswährung
Was eintragen: Einheitliche Währung für alle monetären Eingaben festlegen.
Beispiel: EUR
Bearbeitung: Eingabe | Pflichtgrad: Pflicht
Format: ISO-Währungscode
Quelle/Nachweis: Investment Case
Qualitätsregel: Fremdwährungsumrechnung und Stichtagskurs separat dokumentieren.</t>
        </r>
      </text>
    </comment>
    <comment ref="B13" authorId="0">
      <text>
        <r>
          <rPr>
            <sz val="8"/>
            <color indexed="81"/>
            <rFont val="Tahoma"/>
            <family val="2"/>
          </rPr>
          <t>AUSFÜLLHILFE – Materialitätsschwelle (€)
Was eintragen: Vom Deal-Team genehmigte quantitative Basisschwelle eintragen.
Beispiel: 100000
Bearbeitung: Eingabe | Pflichtgrad: Pflicht
Format: Betrag in Berichtswährung
Quelle/Nachweis: DD-Scope / Risikotoleranz
Qualitätsregel: Qualitative No-go-Themen bleiben unabhängig vom Betrag wesentlich.</t>
        </r>
      </text>
    </comment>
  </commentList>
</comments>
</file>

<file path=xl/comments2.xml><?xml version="1.0" encoding="utf-8"?>
<comments xmlns="http://schemas.openxmlformats.org/spreadsheetml/2006/main">
  <authors>
    <author>Ausfüllhilfe</author>
  </authors>
  <commentList>
    <comment ref="A14" authorId="0">
      <text>
        <r>
          <rPr>
            <sz val="8"/>
            <color indexed="81"/>
            <rFont val="Tahoma"/>
            <family val="2"/>
          </rPr>
          <t>AUSFÜLLHILFE – Prüfbereich
Was eintragen: Sachverhalt einer eindeutigen Kategorie zuordnen.
Beispiel: Financial – Working Capital
Bearbeitung: Eingabe | Pflichtgrad: Pflicht
Format: Auswahl oder kurzer Text
Quelle/Nachweis: DD-Scope / Master-Checkliste
Qualitätsregel: Nicht mehrere unverbundene Themen in einer Zeile mischen.</t>
        </r>
      </text>
    </comment>
    <comment ref="B14" authorId="0">
      <text>
        <r>
          <rPr>
            <sz val="8"/>
            <color indexed="81"/>
            <rFont val="Tahoma"/>
            <family val="2"/>
          </rPr>
          <t>AUSFÜLLHILFE – Umfang
Was eintragen: Den für „Umfang“ zutreffenden, belegbaren Wert eintragen.
Beispiel: Konkreter Wert oder kurzer, eindeutiger Text
Bearbeitung: Eingabe | Pflichtgrad: Wenn relevant
Format: Text
Quelle/Nachweis: Primärbeleg bzw. freigegebene Projektdaten
Qualitätsregel: Keine unbelegten Annahmen; Quelle oder Referenz ergänzen.</t>
        </r>
      </text>
    </comment>
    <comment ref="C14" authorId="0">
      <text>
        <r>
          <rPr>
            <sz val="8"/>
            <color indexed="81"/>
            <rFont val="Tahoma"/>
            <family val="2"/>
          </rPr>
          <t>AUSFÜLLHILFE – Abgeschlossen
Was eintragen: Den für „Abgeschlossen“ zutreffenden, belegbaren Wert eintragen.
Beispiel: Konkreter Wert oder kurzer, eindeutiger Text
Bearbeitung: Eingabe | Pflichtgrad: Wenn relevant
Format: Text
Quelle/Nachweis: Primärbeleg bzw. freigegebene Projektdaten
Qualitätsregel: Keine unbelegten Annahmen; Quelle oder Referenz ergänzen.</t>
        </r>
      </text>
    </comment>
    <comment ref="D14" authorId="0">
      <text>
        <r>
          <rPr>
            <sz val="8"/>
            <color indexed="81"/>
            <rFont val="Tahoma"/>
            <family val="2"/>
          </rPr>
          <t>AUSFÜLLHILFE – Fortschritt
Was eintragen: Tatsächlich erreichten Fertigstellungsgrad zwischen 0 % und 100 % eintragen.
Beispiel: 40 %
Bearbeitung: Eingabe | Pflichtgrad: Bei aktiver Maßnahme
Format: Prozent
Quelle/Nachweis: Liefergegenstände / Meilensteine
Qualitätsregel: 100 % nur bei erfülltem Abnahmekriterium.</t>
        </r>
      </text>
    </comment>
    <comment ref="E14" authorId="0">
      <text>
        <r>
          <rPr>
            <sz val="8"/>
            <color indexed="81"/>
            <rFont val="Tahoma"/>
            <family val="2"/>
          </rPr>
          <t>AUSFÜLLHILFE – Unbewertet
Was eintragen: Den für „Unbewertet“ zutreffenden, belegbaren Wert eintragen.
Beispiel: Konkreter Wert oder kurzer, eindeutiger Text
Bearbeitung: Eingabe | Pflichtgrad: Wenn relevant
Format: Text
Quelle/Nachweis: Primärbeleg bzw. freigegebene Projektdaten
Qualitätsregel: Keine unbelegten Annahmen; Quelle oder Referenz ergänzen.</t>
        </r>
      </text>
    </comment>
    <comment ref="F14" authorId="0">
      <text>
        <r>
          <rPr>
            <sz val="8"/>
            <color indexed="81"/>
            <rFont val="Tahoma"/>
            <family val="2"/>
          </rPr>
          <t>AUSFÜLLHILFE – Hoch/kritisch
Was eintragen: Den für „Hoch/kritisch“ zutreffenden, belegbaren Wert eintragen.
Beispiel: Konkreter Wert oder kurzer, eindeutiger Text
Bearbeitung: Eingabe | Pflichtgrad: Wenn relevant
Format: Text
Quelle/Nachweis: Primärbeleg bzw. freigegebene Projektdaten
Qualitätsregel: Keine unbelegten Annahmen; Quelle oder Referenz ergänzen.</t>
        </r>
      </text>
    </comment>
    <comment ref="A35" authorId="0">
      <text>
        <r>
          <rPr>
            <sz val="8"/>
            <color indexed="81"/>
            <rFont val="Tahoma"/>
            <family val="2"/>
          </rPr>
          <t>AUSFÜLLHILFE – Gate
Was eintragen: Den für „Gate“ zutreffenden, belegbaren Wert eintragen.
Beispiel: Konkreter Wert oder kurzer, eindeutiger Text
Bearbeitung: Eingabe | Pflichtgrad: Wenn relevant
Format: Text
Quelle/Nachweis: Primärbeleg bzw. freigegebene Projektdaten
Qualitätsregel: Keine unbelegten Annahmen; Quelle oder Referenz ergänzen.</t>
        </r>
      </text>
    </comment>
    <comment ref="B35" authorId="0">
      <text>
        <r>
          <rPr>
            <sz val="8"/>
            <color indexed="81"/>
            <rFont val="Tahoma"/>
            <family val="2"/>
          </rPr>
          <t>AUSFÜLLHILFE – Leitfrage
Was eintragen: Eine konkret beantwortbare Frage mit klarem Entscheidungsbezug formulieren.
Beispiel: Sind alle debt-like Positionen im Closing-Mechanismus erfasst?
Bearbeitung: Eingabe | Pflichtgrad: Pflicht
Format: Vollständiger Fragesatz
Quelle/Nachweis: Prüfhypothese / offene Entscheidung
Qualitätsregel: Keine Suggestiv- oder Sammelfrage; pro Zeile ein Sachverhalt.</t>
        </r>
      </text>
    </comment>
    <comment ref="C35" authorId="0">
      <text>
        <r>
          <rPr>
            <sz val="8"/>
            <color indexed="81"/>
            <rFont val="Tahoma"/>
            <family val="2"/>
          </rPr>
          <t>AUSFÜLLHILFE – Status
Was eintragen: Nur den tatsächlich erreichten Bearbeitungsstand auswählen.
Beispiel: In Prüfung
Bearbeitung: Eingabe | Pflichtgrad: Pflicht
Format: Dropdown
Quelle/Nachweis: Aktueller Arbeitsstand
Qualitätsregel: „Abgeschlossen“ erst bei dokumentierter Evidenz und Reviewer-Freigabe.</t>
        </r>
      </text>
    </comment>
    <comment ref="D35" authorId="0">
      <text>
        <r>
          <rPr>
            <sz val="8"/>
            <color indexed="81"/>
            <rFont val="Tahoma"/>
            <family val="2"/>
          </rPr>
          <t>AUSFÜLLHILFE – Owner
Was eintragen: Namentlich verantwortliche Person oder eindeutige Rolle eintragen.
Beispiel: Anna Beispiel (CFO) / Tax Lead
Bearbeitung: Eingabe | Pflichtgrad: Pflicht für aktive Punkte
Format: Name und Rolle
Quelle/Nachweis: Projekt-RACI
Qualitätsregel: Keine Mehrfach-Owner; genau eine rechenschaftspflichtige Rolle festlegen.</t>
        </r>
      </text>
    </comment>
    <comment ref="E35" authorId="0">
      <text>
        <r>
          <rPr>
            <sz val="8"/>
            <color indexed="81"/>
            <rFont val="Tahoma"/>
            <family val="2"/>
          </rPr>
          <t>AUSFÜLLHILFE – Entscheidung / Kommentar
Was eintragen: Entscheidung, Begründung, Annahmen und offene Einschränkungen knapp dokumentieren.
Beispiel: IC akzeptiert Restrisiko unter Bedingung eines 300 T€ Escrows.
Bearbeitung: Eingabe | Pflichtgrad: Bei Abweichung/Entscheidung
Format: Kurzer Audit-Trail
Quelle/Nachweis: Meeting-/Entscheidungsprotokoll
Qualitätsregel: Datum und Entscheider nennen; keine vertraulichen Nebendaten kopieren.</t>
        </r>
      </text>
    </comment>
  </commentList>
</comments>
</file>

<file path=xl/comments3.xml><?xml version="1.0" encoding="utf-8"?>
<comments xmlns="http://schemas.openxmlformats.org/spreadsheetml/2006/main">
  <authors>
    <author>Ausfüllhilfe</author>
  </authors>
  <commentList>
    <comment ref="A4" authorId="0">
      <text>
        <r>
          <rPr>
            <sz val="8"/>
            <color indexed="81"/>
            <rFont val="Tahoma"/>
            <family val="2"/>
          </rPr>
          <t>AUSFÜLLHILFE – ID
Was eintragen: Eindeutige Kennung beibehalten; nur beim Ergänzen neuer Zeilen fortlaufend vergeben.
Beispiel: R-014
Bearbeitung: Vorbelegt | Pflichtgrad: Automatisch
Format: Text, eindeutig
Quelle/Nachweis: Arbeitsmappe
Qualitätsregel: Keine ID doppelt vergeben oder nachträglich umnummerieren.</t>
        </r>
      </text>
    </comment>
    <comment ref="B4" authorId="0">
      <text>
        <r>
          <rPr>
            <sz val="8"/>
            <color indexed="81"/>
            <rFont val="Tahoma"/>
            <family val="2"/>
          </rPr>
          <t>AUSFÜLLHILFE – Prüfbereich
Was eintragen: Sachverhalt einer eindeutigen Kategorie zuordnen.
Beispiel: Financial – Working Capital
Bearbeitung: Eingabe | Pflichtgrad: Pflicht
Format: Auswahl oder kurzer Text
Quelle/Nachweis: DD-Scope / Master-Checkliste
Qualitätsregel: Nicht mehrere unverbundene Themen in einer Zeile mischen.</t>
        </r>
      </text>
    </comment>
    <comment ref="C4" authorId="0">
      <text>
        <r>
          <rPr>
            <sz val="8"/>
            <color indexed="81"/>
            <rFont val="Tahoma"/>
            <family val="2"/>
          </rPr>
          <t>AUSFÜLLHILFE – Unterbereich
Was eintragen: Sachverhalt einer eindeutigen Kategorie zuordnen.
Beispiel: Financial – Working Capital
Bearbeitung: Eingabe | Pflichtgrad: Pflicht
Format: Auswahl oder kurzer Text
Quelle/Nachweis: DD-Scope / Master-Checkliste
Qualitätsregel: Nicht mehrere unverbundene Themen in einer Zeile mischen.</t>
        </r>
      </text>
    </comment>
    <comment ref="D4" authorId="0">
      <text>
        <r>
          <rPr>
            <sz val="8"/>
            <color indexed="81"/>
            <rFont val="Tahoma"/>
            <family val="2"/>
          </rPr>
          <t>AUSFÜLLHILFE – Prüfziel / Prüffrage
Was eintragen: Eine konkret beantwortbare Frage mit klarem Entscheidungsbezug formulieren.
Beispiel: Sind alle debt-like Positionen im Closing-Mechanismus erfasst?
Bearbeitung: Eingabe | Pflichtgrad: Pflicht
Format: Vollständiger Fragesatz
Quelle/Nachweis: Prüfhypothese / offene Entscheidung
Qualitätsregel: Keine Suggestiv- oder Sammelfrage; pro Zeile ein Sachverhalt.</t>
        </r>
      </text>
    </comment>
    <comment ref="E4" authorId="0">
      <text>
        <r>
          <rPr>
            <sz val="8"/>
            <color indexed="81"/>
            <rFont val="Tahoma"/>
            <family val="2"/>
          </rPr>
          <t>AUSFÜLLHILFE – Benötigte Unterlagen / Daten
Was eintragen: Konkreten Beleg mit Dateiname, Datum, Version und VDR-Pfad nennen.
Beispiel: VDR 3.2.1, Monatsbilanz 08/2026, Version final
Bearbeitung: Eingabe | Pflichtgrad: Pflicht bei Abschluss
Format: Text / Link / Referenz
Quelle/Nachweis: VDR, Vertrag, Hauptbuch, externe Bestätigung
Qualitätsregel: Management-Aussage allein reicht für wesentliche Findings nicht aus.</t>
        </r>
      </text>
    </comment>
    <comment ref="F4" authorId="0">
      <text>
        <r>
          <rPr>
            <sz val="8"/>
            <color indexed="81"/>
            <rFont val="Tahoma"/>
            <family val="2"/>
          </rPr>
          <t>AUSFÜLLHILFE – Empfohlene Analyse
Was eintragen: Durchgeführten Test inklusive Zeitraum, Population, Stichprobe und Ergebnis beschreiben.
Beispiel: 24 Monatsabschlüsse übergeleitet; 15 Cut-off-Belege geprüft; 2 Abweichungen
Bearbeitung: Eingabe | Pflichtgrad: Pflicht bei Bearbeitung
Format: Kurze Methodik + Ergebnis
Quelle/Nachweis: Arbeitspapiere / Datenanalyse
Qualitätsregel: Nicht nur „geprüft“ schreiben; Umfang und Ergebnis nachvollziehbar machen.</t>
        </r>
      </text>
    </comment>
    <comment ref="G4" authorId="0">
      <text>
        <r>
          <rPr>
            <sz val="8"/>
            <color indexed="81"/>
            <rFont val="Tahoma"/>
            <family val="2"/>
          </rPr>
          <t>AUSFÜLLHILFE – Typische Red Flags
Was eintragen: Mögliches Risikoszenario neutral beschreiben; noch nicht als Tatsache darstellen.
Beispiel: Stichtagssteuerung des NWC durch verzögerte Lieferantenzahlungen
Bearbeitung: Vorbelegt / anpassen | Pflichtgrad: Empfohlen
Format: Wenn–dann-Szenario
Quelle/Nachweis: Prüfplanung / erste Indikatoren
Qualitätsregel: Hypothese und bestätigtes Finding sprachlich klar trennen.</t>
        </r>
      </text>
    </comment>
    <comment ref="H4" authorId="0">
      <text>
        <r>
          <rPr>
            <sz val="8"/>
            <color indexed="81"/>
            <rFont val="Tahoma"/>
            <family val="2"/>
          </rPr>
          <t>AUSFÜLLHILFE – Priorität
Was eintragen: Priorität nach Deal-Relevanz und zeitlicher Dringlichkeit auswählen.
Beispiel: Kritisch
Bearbeitung: Eingabe | Pflichtgrad: Pflicht
Format: Dropdown
Quelle/Nachweis: Materialität / kritischer Transaktionspfad
Qualitätsregel: Nicht allein nach Arbeitsaufwand priorisieren.</t>
        </r>
      </text>
    </comment>
    <comment ref="I4" authorId="0">
      <text>
        <r>
          <rPr>
            <sz val="8"/>
            <color indexed="81"/>
            <rFont val="Tahoma"/>
            <family val="2"/>
          </rPr>
          <t>AUSFÜLLHILFE – Phase
Was eintragen: Zeitpunkt angeben, zu dem Prüfung oder Maßnahme abgeschlossen sein muss.
Beispiel: Vollprüfung
Bearbeitung: Eingabe | Pflichtgrad: Pflicht
Format: Dropdown bzw. definierte Deal-Phase
Quelle/Nachweis: Transaktionszeitplan
Qualitätsregel: Closing-kritische Themen nicht in Post-Closing verschieben.</t>
        </r>
      </text>
    </comment>
    <comment ref="J4" authorId="0">
      <text>
        <r>
          <rPr>
            <sz val="8"/>
            <color indexed="81"/>
            <rFont val="Tahoma"/>
            <family val="2"/>
          </rPr>
          <t>AUSFÜLLHILFE – Status
Was eintragen: Nur den tatsächlich erreichten Bearbeitungsstand auswählen.
Beispiel: In Prüfung
Bearbeitung: Eingabe | Pflichtgrad: Pflicht
Format: Dropdown
Quelle/Nachweis: Aktueller Arbeitsstand
Qualitätsregel: „Abgeschlossen“ erst bei dokumentierter Evidenz und Reviewer-Freigabe.</t>
        </r>
      </text>
    </comment>
    <comment ref="K4" authorId="0">
      <text>
        <r>
          <rPr>
            <sz val="8"/>
            <color indexed="81"/>
            <rFont val="Tahoma"/>
            <family val="2"/>
          </rPr>
          <t>AUSFÜLLHILFE – Verantwortlich
Was eintragen: Namentlich verantwortliche Person oder eindeutige Rolle eintragen.
Beispiel: Anna Beispiel (CFO) / Tax Lead
Bearbeitung: Eingabe | Pflichtgrad: Pflicht für aktive Punkte
Format: Name und Rolle
Quelle/Nachweis: Projekt-RACI
Qualitätsregel: Keine Mehrfach-Owner; genau eine rechenschaftspflichtige Rolle festlegen.</t>
        </r>
      </text>
    </comment>
    <comment ref="L4" authorId="0">
      <text>
        <r>
          <rPr>
            <sz val="8"/>
            <color indexed="81"/>
            <rFont val="Tahoma"/>
            <family val="2"/>
          </rPr>
          <t>AUSFÜLLHILFE – Fälligkeit
Was eintragen: Kalenderdatum im Format TT.MM.JJJJ eintragen.
Beispiel: 31.10.2026
Bearbeitung: Eingabe | Pflichtgrad: Pflicht, sobald terminiert
Format: Datum
Quelle/Nachweis: Projektplan / Dokumentenmetadaten
Qualitätsregel: Keine relativen Angaben wie „nächste Woche“.</t>
        </r>
      </text>
    </comment>
    <comment ref="M4" authorId="0">
      <text>
        <r>
          <rPr>
            <sz val="8"/>
            <color indexed="81"/>
            <rFont val="Tahoma"/>
            <family val="2"/>
          </rPr>
          <t>AUSFÜLLHILFE – Eintritt (1–5)
Was eintragen: Eintrittswahrscheinlichkeit anhand der Skala 1–5 und belegter Indikatoren bewerten.
Beispiel: 4 – wahrscheinlich
Bearbeitung: Eingabe | Pflichtgrad: Pflicht bei Finding
Format: Ganzzahl 1–5
Quelle/Nachweis: Evidenz und Szenarioanalyse
Qualitätsregel: Bewertung im Finding-Kommentar begründen; nicht mit Auswirkung vermischen.</t>
        </r>
      </text>
    </comment>
    <comment ref="N4" authorId="0">
      <text>
        <r>
          <rPr>
            <sz val="8"/>
            <color indexed="81"/>
            <rFont val="Tahoma"/>
            <family val="2"/>
          </rPr>
          <t>AUSFÜLLHILFE – Auswirkung (1–5)
Was eintragen: Maximal plausible Deal-/Wertauswirkung anhand der Skala 1–5 bewerten.
Beispiel: 3 – wesentlich
Bearbeitung: Eingabe | Pflichtgrad: Pflicht bei Finding
Format: Ganzzahl 1–5
Quelle/Nachweis: Exposure- und Szenarioanalyse
Qualitätsregel: Auswirkung brutto vor Maßnahmen bewerten.</t>
        </r>
      </text>
    </comment>
    <comment ref="O4" authorId="0">
      <text>
        <r>
          <rPr>
            <sz val="8"/>
            <color indexed="81"/>
            <rFont val="Tahoma"/>
            <family val="2"/>
          </rPr>
          <t>AUSFÜLLHILFE – Risikoscore
Was eintragen: Nicht überschreiben; Wert wird aus den Eingaben berechnet.
Beispiel: 12 / Hoch
Bearbeitung: Automatische Formel | Pflichtgrad: Automatisch
Format: Formel
Quelle/Nachweis: Verknüpfte Eingabezellen
Qualitätsregel: Bei leerem Ergebnis zuerst die erforderlichen Eingabefelder vervollständigen.</t>
        </r>
      </text>
    </comment>
    <comment ref="P4" authorId="0">
      <text>
        <r>
          <rPr>
            <sz val="8"/>
            <color indexed="81"/>
            <rFont val="Tahoma"/>
            <family val="2"/>
          </rPr>
          <t>AUSFÜLLHILFE – Risikoklasse
Was eintragen: Nicht überschreiben; Wert wird aus den Eingaben berechnet.
Beispiel: 12 / Hoch
Bearbeitung: Automatische Formel | Pflichtgrad: Automatisch
Format: Formel
Quelle/Nachweis: Verknüpfte Eingabezellen
Qualitätsregel: Bei leerem Ergebnis zuerst die erforderlichen Eingabefelder vervollständigen.</t>
        </r>
      </text>
    </comment>
    <comment ref="Q4" authorId="0">
      <text>
        <r>
          <rPr>
            <sz val="8"/>
            <color indexed="81"/>
            <rFont val="Tahoma"/>
            <family val="2"/>
          </rPr>
          <t>AUSFÜLLHILFE – Feststellung / Evidenz
Was eintragen: Konkreten Beleg mit Dateiname, Datum, Version und VDR-Pfad nennen.
Beispiel: VDR 3.2.1, Monatsbilanz 08/2026, Version final
Bearbeitung: Eingabe | Pflichtgrad: Pflicht bei Abschluss
Format: Text / Link / Referenz
Quelle/Nachweis: VDR, Vertrag, Hauptbuch, externe Bestätigung
Qualitätsregel: Management-Aussage allein reicht für wesentliche Findings nicht aus.</t>
        </r>
      </text>
    </comment>
    <comment ref="R4" authorId="0">
      <text>
        <r>
          <rPr>
            <sz val="8"/>
            <color indexed="81"/>
            <rFont val="Tahoma"/>
            <family val="2"/>
          </rPr>
          <t>AUSFÜLLHILFE – Maßnahmenvorschlag
Was eintragen: Den für „Maßnahmenvorschlag“ zutreffenden, belegbaren Wert eintragen.
Beispiel: Konkreter Wert oder kurzer, eindeutiger Text
Bearbeitung: Eingabe | Pflichtgrad: Wenn relevant
Format: Text
Quelle/Nachweis: Primärbeleg bzw. freigegebene Projektdaten
Qualitätsregel: Keine unbelegten Annahmen; Quelle oder Referenz ergänzen.</t>
        </r>
      </text>
    </comment>
    <comment ref="S4" authorId="0">
      <text>
        <r>
          <rPr>
            <sz val="8"/>
            <color indexed="81"/>
            <rFont val="Tahoma"/>
            <family val="2"/>
          </rPr>
          <t>AUSFÜLLHILFE – Deal-Implikation
Was eintragen: Konsequenz für Preis, SPA, Closing, Finanzierung oder Integration auswählen/beschreiben.
Beispiel: SPA/Haftung – spezifische Steuerfreistellung
Bearbeitung: Eingabe | Pflichtgrad: Pflicht bei wesentlichem Finding
Format: Kategorie + kurze Begründung
Quelle/Nachweis: Finding und Deal-Team-Entscheidung
Qualitätsregel: Operative Maßnahme und vertraglichen Schutz getrennt betrachten.</t>
        </r>
      </text>
    </comment>
    <comment ref="T4" authorId="0">
      <text>
        <r>
          <rPr>
            <sz val="8"/>
            <color indexed="81"/>
            <rFont val="Tahoma"/>
            <family val="2"/>
          </rPr>
          <t>AUSFÜLLHILFE – Kaufpreiseffekt (€)
Was eintragen: Betrag in Berichtswährung ohne Tausendertext eintragen; Vorzeichenlogik des Blatts beachten.
Beispiel: 250000
Bearbeitung: Eingabe | Pflichtgrad: Wenn quantifizierbar
Format: Zahl in EUR
Quelle/Nachweis: Berechnung / Vertrag / Hauptbuch
Qualitätsregel: Low/Base/High dokumentieren; Steuern, Wahrscheinlichkeit und Doppelzählung prüfen.</t>
        </r>
      </text>
    </comment>
    <comment ref="U4" authorId="0">
      <text>
        <r>
          <rPr>
            <sz val="8"/>
            <color indexed="81"/>
            <rFont val="Tahoma"/>
            <family val="2"/>
          </rPr>
          <t>AUSFÜLLHILFE – SPA-/Schutzmechanismus
Was eintragen: Geeigneten vertraglichen oder wirtschaftlichen Mechanismus konkret benennen.
Beispiel: Spezifische Freistellung mit 5 Jahren Laufzeit und 500 T€ Escrow
Bearbeitung: Eingabe | Pflichtgrad: Bei Deal-Relevanz
Format: Mechanismus + Eckpunkte
Quelle/Nachweis: Deal-Team / Rechts- und Steuerberatung
Qualitätsregel: Bekannte Risiken nicht allein auf allgemeine Garantien oder W&amp;I stützen.</t>
        </r>
      </text>
    </comment>
    <comment ref="V4" authorId="0">
      <text>
        <r>
          <rPr>
            <sz val="8"/>
            <color indexed="81"/>
            <rFont val="Tahoma"/>
            <family val="2"/>
          </rPr>
          <t>AUSFÜLLHILFE – Dokument-/Q&amp;A-Referenz
Was eintragen: Verknüpfte Checklisten-, Risiko-, Dokument- oder Q&amp;A-ID eintragen.
Beispiel: FIN-04 / DOC-037 / Q-012
Bearbeitung: Eingabe | Pflichtgrad: Empfohlen
Format: Eine oder mehrere IDs
Quelle/Nachweis: Andere Register dieser Arbeitsmappe
Qualitätsregel: Nur vorhandene IDs verwenden; mehrere Referenzen mit „ / “ trennen.</t>
        </r>
      </text>
    </comment>
    <comment ref="W4" authorId="0">
      <text>
        <r>
          <rPr>
            <sz val="8"/>
            <color indexed="81"/>
            <rFont val="Tahoma"/>
            <family val="2"/>
          </rPr>
          <t>AUSFÜLLHILFE – Quelle
Was eintragen: Nachvollziehbare Fundstelle oder klickbaren Link mit Version angeben.
Beispiel: VDR 4.1.3 / Vertrag Kunde A vom 12.03.2024
Bearbeitung: Eingabe | Pflichtgrad: Empfohlen, bei Finding Pflicht
Format: Pfad, ID oder URL
Quelle/Nachweis: VDR / Arbeitsmappe / externe Primärquelle
Qualitätsregel: Keine privaten lokalen Pfade; Zugriff und Version müssen reproduzierbar sein.</t>
        </r>
      </text>
    </comment>
    <comment ref="X4" authorId="0">
      <text>
        <r>
          <rPr>
            <sz val="8"/>
            <color indexed="81"/>
            <rFont val="Tahoma"/>
            <family val="2"/>
          </rPr>
          <t>AUSFÜLLHILFE – Letzte Aktualisierung
Was eintragen: Kalenderdatum im Format TT.MM.JJJJ eintragen.
Beispiel: 31.10.2026
Bearbeitung: Eingabe | Pflichtgrad: Pflicht, sobald terminiert
Format: Datum
Quelle/Nachweis: Projektplan / Dokumentenmetadaten
Qualitätsregel: Keine relativen Angaben wie „nächste Woche“.</t>
        </r>
      </text>
    </comment>
    <comment ref="Y4" authorId="0">
      <text>
        <r>
          <rPr>
            <sz val="8"/>
            <color indexed="81"/>
            <rFont val="Tahoma"/>
            <family val="2"/>
          </rPr>
          <t>AUSFÜLLHILFE – Reviewer
Was eintragen: Namentlich verantwortliche Person oder eindeutige Rolle eintragen.
Beispiel: Anna Beispiel (CFO) / Tax Lead
Bearbeitung: Eingabe | Pflichtgrad: Pflicht für aktive Punkte
Format: Name und Rolle
Quelle/Nachweis: Projekt-RACI
Qualitätsregel: Keine Mehrfach-Owner; genau eine rechenschaftspflichtige Rolle festlegen.</t>
        </r>
      </text>
    </comment>
  </commentList>
</comments>
</file>

<file path=xl/comments4.xml><?xml version="1.0" encoding="utf-8"?>
<comments xmlns="http://schemas.openxmlformats.org/spreadsheetml/2006/main">
  <authors>
    <author>Ausfüllhilfe</author>
  </authors>
  <commentList>
    <comment ref="A4" authorId="0">
      <text>
        <r>
          <rPr>
            <sz val="8"/>
            <color indexed="81"/>
            <rFont val="Tahoma"/>
            <family val="2"/>
          </rPr>
          <t>AUSFÜLLHILFE – Dok-ID
Was eintragen: Eindeutige Kennung beibehalten; nur beim Ergänzen neuer Zeilen fortlaufend vergeben.
Beispiel: R-014
Bearbeitung: Vorbelegt | Pflichtgrad: Automatisch
Format: Text, eindeutig
Quelle/Nachweis: Arbeitsmappe
Qualitätsregel: Keine ID doppelt vergeben oder nachträglich umnummerieren.</t>
        </r>
      </text>
    </comment>
    <comment ref="B4" authorId="0">
      <text>
        <r>
          <rPr>
            <sz val="8"/>
            <color indexed="81"/>
            <rFont val="Tahoma"/>
            <family val="2"/>
          </rPr>
          <t>AUSFÜLLHILFE – Prüfbereich
Was eintragen: Sachverhalt einer eindeutigen Kategorie zuordnen.
Beispiel: Financial – Working Capital
Bearbeitung: Eingabe | Pflichtgrad: Pflicht
Format: Auswahl oder kurzer Text
Quelle/Nachweis: DD-Scope / Master-Checkliste
Qualitätsregel: Nicht mehrere unverbundene Themen in einer Zeile mischen.</t>
        </r>
      </text>
    </comment>
    <comment ref="C4" authorId="0">
      <text>
        <r>
          <rPr>
            <sz val="8"/>
            <color indexed="81"/>
            <rFont val="Tahoma"/>
            <family val="2"/>
          </rPr>
          <t>AUSFÜLLHILFE – Unterlage / Datensatz
Was eintragen: Konkreten Beleg mit Dateiname, Datum, Version und VDR-Pfad nennen.
Beispiel: VDR 3.2.1, Monatsbilanz 08/2026, Version final
Bearbeitung: Eingabe | Pflichtgrad: Pflicht bei Abschluss
Format: Text / Link / Referenz
Quelle/Nachweis: VDR, Vertrag, Hauptbuch, externe Bestätigung
Qualitätsregel: Management-Aussage allein reicht für wesentliche Findings nicht aus.</t>
        </r>
      </text>
    </comment>
    <comment ref="D4" authorId="0">
      <text>
        <r>
          <rPr>
            <sz val="8"/>
            <color indexed="81"/>
            <rFont val="Tahoma"/>
            <family val="2"/>
          </rPr>
          <t>AUSFÜLLHILFE – Zeitraum / Scope
Was eintragen: Den für „Zeitraum / Scope“ zutreffenden, belegbaren Wert eintragen.
Beispiel: Konkreter Wert oder kurzer, eindeutiger Text
Bearbeitung: Eingabe | Pflichtgrad: Wenn relevant
Format: Text
Quelle/Nachweis: Primärbeleg bzw. freigegebene Projektdaten
Qualitätsregel: Keine unbelegten Annahmen; Quelle oder Referenz ergänzen.</t>
        </r>
      </text>
    </comment>
    <comment ref="E4" authorId="0">
      <text>
        <r>
          <rPr>
            <sz val="8"/>
            <color indexed="81"/>
            <rFont val="Tahoma"/>
            <family val="2"/>
          </rPr>
          <t>AUSFÜLLHILFE – Analysezweck
Was eintragen: Durchgeführten Test inklusive Zeitraum, Population, Stichprobe und Ergebnis beschreiben.
Beispiel: 24 Monatsabschlüsse übergeleitet; 15 Cut-off-Belege geprüft; 2 Abweichungen
Bearbeitung: Eingabe | Pflichtgrad: Pflicht bei Bearbeitung
Format: Kurze Methodik + Ergebnis
Quelle/Nachweis: Arbeitspapiere / Datenanalyse
Qualitätsregel: Nicht nur „geprüft“ schreiben; Umfang und Ergebnis nachvollziehbar machen.</t>
        </r>
      </text>
    </comment>
    <comment ref="F4" authorId="0">
      <text>
        <r>
          <rPr>
            <sz val="8"/>
            <color indexed="81"/>
            <rFont val="Tahoma"/>
            <family val="2"/>
          </rPr>
          <t>AUSFÜLLHILFE – Priorität
Was eintragen: Priorität nach Deal-Relevanz und zeitlicher Dringlichkeit auswählen.
Beispiel: Kritisch
Bearbeitung: Eingabe | Pflichtgrad: Pflicht
Format: Dropdown
Quelle/Nachweis: Materialität / kritischer Transaktionspfad
Qualitätsregel: Nicht allein nach Arbeitsaufwand priorisieren.</t>
        </r>
      </text>
    </comment>
    <comment ref="G4" authorId="0">
      <text>
        <r>
          <rPr>
            <sz val="8"/>
            <color indexed="81"/>
            <rFont val="Tahoma"/>
            <family val="2"/>
          </rPr>
          <t>AUSFÜLLHILFE – Pflicht?
Was eintragen: Ja, Nein oder Zu prüfen anhand der dokumentierten Entscheidung auswählen.
Beispiel: Zu prüfen
Bearbeitung: Eingabe | Pflichtgrad: Pflicht
Format: Dropdown
Quelle/Nachweis: Scope-/Finding-Entscheidung
Qualitätsregel: „Zu prüfen“ mit Owner und Fälligkeit versehen.</t>
        </r>
      </text>
    </comment>
    <comment ref="H4" authorId="0">
      <text>
        <r>
          <rPr>
            <sz val="8"/>
            <color indexed="81"/>
            <rFont val="Tahoma"/>
            <family val="2"/>
          </rPr>
          <t>AUSFÜLLHILFE – Owner Zielunternehmen
Was eintragen: Namentlich verantwortliche Person oder eindeutige Rolle eintragen.
Beispiel: Anna Beispiel (CFO) / Tax Lead
Bearbeitung: Eingabe | Pflichtgrad: Pflicht für aktive Punkte
Format: Name und Rolle
Quelle/Nachweis: Projekt-RACI
Qualitätsregel: Keine Mehrfach-Owner; genau eine rechenschaftspflichtige Rolle festlegen.</t>
        </r>
      </text>
    </comment>
    <comment ref="I4" authorId="0">
      <text>
        <r>
          <rPr>
            <sz val="8"/>
            <color indexed="81"/>
            <rFont val="Tahoma"/>
            <family val="2"/>
          </rPr>
          <t>AUSFÜLLHILFE – Angefordert am
Was eintragen: Kalenderdatum im Format TT.MM.JJJJ eintragen.
Beispiel: 31.10.2026
Bearbeitung: Eingabe | Pflichtgrad: Pflicht, sobald terminiert
Format: Datum
Quelle/Nachweis: Projektplan / Dokumentenmetadaten
Qualitätsregel: Keine relativen Angaben wie „nächste Woche“.</t>
        </r>
      </text>
    </comment>
    <comment ref="J4" authorId="0">
      <text>
        <r>
          <rPr>
            <sz val="8"/>
            <color indexed="81"/>
            <rFont val="Tahoma"/>
            <family val="2"/>
          </rPr>
          <t>AUSFÜLLHILFE – Fällig am
Was eintragen: Kalenderdatum im Format TT.MM.JJJJ eintragen.
Beispiel: 31.10.2026
Bearbeitung: Eingabe | Pflichtgrad: Pflicht, sobald terminiert
Format: Datum
Quelle/Nachweis: Projektplan / Dokumentenmetadaten
Qualitätsregel: Keine relativen Angaben wie „nächste Woche“.</t>
        </r>
      </text>
    </comment>
    <comment ref="K4" authorId="0">
      <text>
        <r>
          <rPr>
            <sz val="8"/>
            <color indexed="81"/>
            <rFont val="Tahoma"/>
            <family val="2"/>
          </rPr>
          <t>AUSFÜLLHILFE – Erhalten am
Was eintragen: Kalenderdatum im Format TT.MM.JJJJ eintragen.
Beispiel: 31.10.2026
Bearbeitung: Eingabe | Pflichtgrad: Pflicht, sobald terminiert
Format: Datum
Quelle/Nachweis: Projektplan / Dokumentenmetadaten
Qualitätsregel: Keine relativen Angaben wie „nächste Woche“.</t>
        </r>
      </text>
    </comment>
    <comment ref="L4" authorId="0">
      <text>
        <r>
          <rPr>
            <sz val="8"/>
            <color indexed="81"/>
            <rFont val="Tahoma"/>
            <family val="2"/>
          </rPr>
          <t>AUSFÜLLHILFE – Status
Was eintragen: Nur den tatsächlich erreichten Bearbeitungsstand auswählen.
Beispiel: In Prüfung
Bearbeitung: Eingabe | Pflichtgrad: Pflicht
Format: Dropdown
Quelle/Nachweis: Aktueller Arbeitsstand
Qualitätsregel: „Abgeschlossen“ erst bei dokumentierter Evidenz und Reviewer-Freigabe.</t>
        </r>
      </text>
    </comment>
    <comment ref="M4" authorId="0">
      <text>
        <r>
          <rPr>
            <sz val="8"/>
            <color indexed="81"/>
            <rFont val="Tahoma"/>
            <family val="2"/>
          </rPr>
          <t>AUSFÜLLHILFE – Vollständigkeit
Was eintragen: Qualität des erhaltenen Pakets auswählen.
Beispiel: Plausibel
Bearbeitung: Eingabe | Pflichtgrad: Pflicht nach Erstprüfung
Format: Dropdown
Quelle/Nachweis: Abgleich mit Request und Inhaltsprüfung
Qualitätsregel: „Vollständig“ bzw. „verifiziert“ nur nach nachvollziehbarem Abgleich.</t>
        </r>
      </text>
    </comment>
    <comment ref="N4" authorId="0">
      <text>
        <r>
          <rPr>
            <sz val="8"/>
            <color indexed="81"/>
            <rFont val="Tahoma"/>
            <family val="2"/>
          </rPr>
          <t>AUSFÜLLHILFE – Vertraulichkeit
Was eintragen: Höchste im Datensatz enthaltene Schutzklasse auswählen.
Beispiel: Clean Team
Bearbeitung: Eingabe | Pflichtgrad: Pflicht
Format: Dropdown
Quelle/Nachweis: NDA / Informationsklassifizierung
Qualitätsregel: HR-, Gesundheits-, Wettbewerbs- und Kundendaten besonders schützen.</t>
        </r>
      </text>
    </comment>
    <comment ref="O4" authorId="0">
      <text>
        <r>
          <rPr>
            <sz val="8"/>
            <color indexed="81"/>
            <rFont val="Tahoma"/>
            <family val="2"/>
          </rPr>
          <t>AUSFÜLLHILFE – VDR-Pfad / Link
Was eintragen: Nachvollziehbare Fundstelle oder klickbaren Link mit Version angeben.
Beispiel: VDR 4.1.3 / Vertrag Kunde A vom 12.03.2024
Bearbeitung: Eingabe | Pflichtgrad: Empfohlen, bei Finding Pflicht
Format: Pfad, ID oder URL
Quelle/Nachweis: VDR / Arbeitsmappe / externe Primärquelle
Qualitätsregel: Keine privaten lokalen Pfade; Zugriff und Version müssen reproduzierbar sein.</t>
        </r>
      </text>
    </comment>
    <comment ref="P4" authorId="0">
      <text>
        <r>
          <rPr>
            <sz val="8"/>
            <color indexed="81"/>
            <rFont val="Tahoma"/>
            <family val="2"/>
          </rPr>
          <t>AUSFÜLLHILFE – Checklisten-Ref.
Was eintragen: Verknüpfte Checklisten-, Risiko-, Dokument- oder Q&amp;A-ID eintragen.
Beispiel: FIN-04 / DOC-037 / Q-012
Bearbeitung: Eingabe | Pflichtgrad: Empfohlen
Format: Eine oder mehrere IDs
Quelle/Nachweis: Andere Register dieser Arbeitsmappe
Qualitätsregel: Nur vorhandene IDs verwenden; mehrere Referenzen mit „ / “ trennen.</t>
        </r>
      </text>
    </comment>
    <comment ref="Q4" authorId="0">
      <text>
        <r>
          <rPr>
            <sz val="8"/>
            <color indexed="81"/>
            <rFont val="Tahoma"/>
            <family val="2"/>
          </rPr>
          <t>AUSFÜLLHILFE – Offene Punkte
Was eintragen: Den für „Offene Punkte“ zutreffenden, belegbaren Wert eintragen.
Beispiel: Konkreter Wert oder kurzer, eindeutiger Text
Bearbeitung: Eingabe | Pflichtgrad: Wenn relevant
Format: Text
Quelle/Nachweis: Primärbeleg bzw. freigegebene Projektdaten
Qualitätsregel: Keine unbelegten Annahmen; Quelle oder Referenz ergänzen.</t>
        </r>
      </text>
    </comment>
    <comment ref="R4" authorId="0">
      <text>
        <r>
          <rPr>
            <sz val="8"/>
            <color indexed="81"/>
            <rFont val="Tahoma"/>
            <family val="2"/>
          </rPr>
          <t>AUSFÜLLHILFE – Tage überfällig
Was eintragen: Kalenderdatum im Format TT.MM.JJJJ eintragen.
Beispiel: 31.10.2026
Bearbeitung: Eingabe | Pflichtgrad: Pflicht, sobald terminiert
Format: Datum
Quelle/Nachweis: Projektplan / Dokumentenmetadaten
Qualitätsregel: Keine relativen Angaben wie „nächste Woche“.</t>
        </r>
      </text>
    </comment>
    <comment ref="S4" authorId="0">
      <text>
        <r>
          <rPr>
            <sz val="8"/>
            <color indexed="81"/>
            <rFont val="Tahoma"/>
            <family val="2"/>
          </rPr>
          <t>AUSFÜLLHILFE – Reviewer
Was eintragen: Namentlich verantwortliche Person oder eindeutige Rolle eintragen.
Beispiel: Anna Beispiel (CFO) / Tax Lead
Bearbeitung: Eingabe | Pflichtgrad: Pflicht für aktive Punkte
Format: Name und Rolle
Quelle/Nachweis: Projekt-RACI
Qualitätsregel: Keine Mehrfach-Owner; genau eine rechenschaftspflichtige Rolle festlegen.</t>
        </r>
      </text>
    </comment>
  </commentList>
</comments>
</file>

<file path=xl/comments5.xml><?xml version="1.0" encoding="utf-8"?>
<comments xmlns="http://schemas.openxmlformats.org/spreadsheetml/2006/main">
  <authors>
    <author>Ausfüllhilfe</author>
  </authors>
  <commentList>
    <comment ref="A4" authorId="0">
      <text>
        <r>
          <rPr>
            <sz val="8"/>
            <color indexed="81"/>
            <rFont val="Tahoma"/>
            <family val="2"/>
          </rPr>
          <t>AUSFÜLLHILFE – Risiko-ID
Was eintragen: Eindeutige Kennung beibehalten; nur beim Ergänzen neuer Zeilen fortlaufend vergeben.
Beispiel: R-014
Bearbeitung: Vorbelegt | Pflichtgrad: Automatisch
Format: Text, eindeutig
Quelle/Nachweis: Arbeitsmappe
Qualitätsregel: Keine ID doppelt vergeben oder nachträglich umnummerieren.</t>
        </r>
      </text>
    </comment>
    <comment ref="B4" authorId="0">
      <text>
        <r>
          <rPr>
            <sz val="8"/>
            <color indexed="81"/>
            <rFont val="Tahoma"/>
            <family val="2"/>
          </rPr>
          <t>AUSFÜLLHILFE – Prüfbereich
Was eintragen: Sachverhalt einer eindeutigen Kategorie zuordnen.
Beispiel: Financial – Working Capital
Bearbeitung: Eingabe | Pflichtgrad: Pflicht
Format: Auswahl oder kurzer Text
Quelle/Nachweis: DD-Scope / Master-Checkliste
Qualitätsregel: Nicht mehrere unverbundene Themen in einer Zeile mischen.</t>
        </r>
      </text>
    </comment>
    <comment ref="C4" authorId="0">
      <text>
        <r>
          <rPr>
            <sz val="8"/>
            <color indexed="81"/>
            <rFont val="Tahoma"/>
            <family val="2"/>
          </rPr>
          <t>AUSFÜLLHILFE – Prüfhypothese / Szenario
Was eintragen: Mögliches Risikoszenario neutral beschreiben; noch nicht als Tatsache darstellen.
Beispiel: Stichtagssteuerung des NWC durch verzögerte Lieferantenzahlungen
Bearbeitung: Vorbelegt / anpassen | Pflichtgrad: Empfohlen
Format: Wenn–dann-Szenario
Quelle/Nachweis: Prüfplanung / erste Indikatoren
Qualitätsregel: Hypothese und bestätigtes Finding sprachlich klar trennen.</t>
        </r>
      </text>
    </comment>
    <comment ref="D4" authorId="0">
      <text>
        <r>
          <rPr>
            <sz val="8"/>
            <color indexed="81"/>
            <rFont val="Tahoma"/>
            <family val="2"/>
          </rPr>
          <t>AUSFÜLLHILFE – Indikatoren / benötigte Evidenz
Was eintragen: Konkreten Beleg mit Dateiname, Datum, Version und VDR-Pfad nennen.
Beispiel: VDR 3.2.1, Monatsbilanz 08/2026, Version final
Bearbeitung: Eingabe | Pflichtgrad: Pflicht bei Abschluss
Format: Text / Link / Referenz
Quelle/Nachweis: VDR, Vertrag, Hauptbuch, externe Bestätigung
Qualitätsregel: Management-Aussage allein reicht für wesentliche Findings nicht aus.</t>
        </r>
      </text>
    </comment>
    <comment ref="E4" authorId="0">
      <text>
        <r>
          <rPr>
            <sz val="8"/>
            <color indexed="81"/>
            <rFont val="Tahoma"/>
            <family val="2"/>
          </rPr>
          <t>AUSFÜLLHILFE – Analyse / Test
Was eintragen: Durchgeführten Test inklusive Zeitraum, Population, Stichprobe und Ergebnis beschreiben.
Beispiel: 24 Monatsabschlüsse übergeleitet; 15 Cut-off-Belege geprüft; 2 Abweichungen
Bearbeitung: Eingabe | Pflichtgrad: Pflicht bei Bearbeitung
Format: Kurze Methodik + Ergebnis
Quelle/Nachweis: Arbeitspapiere / Datenanalyse
Qualitätsregel: Nicht nur „geprüft“ schreiben; Umfang und Ergebnis nachvollziehbar machen.</t>
        </r>
      </text>
    </comment>
    <comment ref="F4" authorId="0">
      <text>
        <r>
          <rPr>
            <sz val="8"/>
            <color indexed="81"/>
            <rFont val="Tahoma"/>
            <family val="2"/>
          </rPr>
          <t>AUSFÜLLHILFE – Bewertungsstatus
Was eintragen: Nur den tatsächlich erreichten Bearbeitungsstand auswählen.
Beispiel: In Prüfung
Bearbeitung: Eingabe | Pflichtgrad: Pflicht
Format: Dropdown
Quelle/Nachweis: Aktueller Arbeitsstand
Qualitätsregel: „Abgeschlossen“ erst bei dokumentierter Evidenz und Reviewer-Freigabe.</t>
        </r>
      </text>
    </comment>
    <comment ref="G4" authorId="0">
      <text>
        <r>
          <rPr>
            <sz val="8"/>
            <color indexed="81"/>
            <rFont val="Tahoma"/>
            <family val="2"/>
          </rPr>
          <t>AUSFÜLLHILFE – Feststellung / Evidenz
Was eintragen: Konkreten Beleg mit Dateiname, Datum, Version und VDR-Pfad nennen.
Beispiel: VDR 3.2.1, Monatsbilanz 08/2026, Version final
Bearbeitung: Eingabe | Pflichtgrad: Pflicht bei Abschluss
Format: Text / Link / Referenz
Quelle/Nachweis: VDR, Vertrag, Hauptbuch, externe Bestätigung
Qualitätsregel: Management-Aussage allein reicht für wesentliche Findings nicht aus.</t>
        </r>
      </text>
    </comment>
    <comment ref="H4" authorId="0">
      <text>
        <r>
          <rPr>
            <sz val="8"/>
            <color indexed="81"/>
            <rFont val="Tahoma"/>
            <family val="2"/>
          </rPr>
          <t>AUSFÜLLHILFE – Eintritt (1–5)
Was eintragen: Eintrittswahrscheinlichkeit anhand der Skala 1–5 und belegter Indikatoren bewerten.
Beispiel: 4 – wahrscheinlich
Bearbeitung: Eingabe | Pflichtgrad: Pflicht bei Finding
Format: Ganzzahl 1–5
Quelle/Nachweis: Evidenz und Szenarioanalyse
Qualitätsregel: Bewertung im Finding-Kommentar begründen; nicht mit Auswirkung vermischen.</t>
        </r>
      </text>
    </comment>
    <comment ref="I4" authorId="0">
      <text>
        <r>
          <rPr>
            <sz val="8"/>
            <color indexed="81"/>
            <rFont val="Tahoma"/>
            <family val="2"/>
          </rPr>
          <t>AUSFÜLLHILFE – Auswirkung (1–5)
Was eintragen: Maximal plausible Deal-/Wertauswirkung anhand der Skala 1–5 bewerten.
Beispiel: 3 – wesentlich
Bearbeitung: Eingabe | Pflichtgrad: Pflicht bei Finding
Format: Ganzzahl 1–5
Quelle/Nachweis: Exposure- und Szenarioanalyse
Qualitätsregel: Auswirkung brutto vor Maßnahmen bewerten.</t>
        </r>
      </text>
    </comment>
    <comment ref="J4" authorId="0">
      <text>
        <r>
          <rPr>
            <sz val="8"/>
            <color indexed="81"/>
            <rFont val="Tahoma"/>
            <family val="2"/>
          </rPr>
          <t>AUSFÜLLHILFE – Score
Was eintragen: Den für „Score“ zutreffenden, belegbaren Wert eintragen.
Beispiel: Konkreter Wert oder kurzer, eindeutiger Text
Bearbeitung: Eingabe | Pflichtgrad: Wenn relevant
Format: Text
Quelle/Nachweis: Primärbeleg bzw. freigegebene Projektdaten
Qualitätsregel: Keine unbelegten Annahmen; Quelle oder Referenz ergänzen.</t>
        </r>
      </text>
    </comment>
    <comment ref="K4" authorId="0">
      <text>
        <r>
          <rPr>
            <sz val="8"/>
            <color indexed="81"/>
            <rFont val="Tahoma"/>
            <family val="2"/>
          </rPr>
          <t>AUSFÜLLHILFE – Klasse
Was eintragen: Nicht überschreiben; Wert wird aus den Eingaben berechnet.
Beispiel: 12 / Hoch
Bearbeitung: Automatische Formel | Pflichtgrad: Automatisch
Format: Formel
Quelle/Nachweis: Verknüpfte Eingabezellen
Qualitätsregel: Bei leerem Ergebnis zuerst die erforderlichen Eingabefelder vervollständigen.</t>
        </r>
      </text>
    </comment>
    <comment ref="L4" authorId="0">
      <text>
        <r>
          <rPr>
            <sz val="8"/>
            <color indexed="81"/>
            <rFont val="Tahoma"/>
            <family val="2"/>
          </rPr>
          <t>AUSFÜLLHILFE – Exposure Low (€)
Was eintragen: Betrag in Berichtswährung ohne Tausendertext eintragen; Vorzeichenlogik des Blatts beachten.
Beispiel: 250000
Bearbeitung: Eingabe | Pflichtgrad: Wenn quantifizierbar
Format: Zahl in EUR
Quelle/Nachweis: Berechnung / Vertrag / Hauptbuch
Qualitätsregel: Low/Base/High dokumentieren; Steuern, Wahrscheinlichkeit und Doppelzählung prüfen.</t>
        </r>
      </text>
    </comment>
    <comment ref="M4" authorId="0">
      <text>
        <r>
          <rPr>
            <sz val="8"/>
            <color indexed="81"/>
            <rFont val="Tahoma"/>
            <family val="2"/>
          </rPr>
          <t>AUSFÜLLHILFE – Exposure Base (€)
Was eintragen: Betrag in Berichtswährung ohne Tausendertext eintragen; Vorzeichenlogik des Blatts beachten.
Beispiel: 250000
Bearbeitung: Eingabe | Pflichtgrad: Wenn quantifizierbar
Format: Zahl in EUR
Quelle/Nachweis: Berechnung / Vertrag / Hauptbuch
Qualitätsregel: Low/Base/High dokumentieren; Steuern, Wahrscheinlichkeit und Doppelzählung prüfen.</t>
        </r>
      </text>
    </comment>
    <comment ref="N4" authorId="0">
      <text>
        <r>
          <rPr>
            <sz val="8"/>
            <color indexed="81"/>
            <rFont val="Tahoma"/>
            <family val="2"/>
          </rPr>
          <t>AUSFÜLLHILFE – Exposure High (€)
Was eintragen: Betrag in Berichtswährung ohne Tausendertext eintragen; Vorzeichenlogik des Blatts beachten.
Beispiel: 250000
Bearbeitung: Eingabe | Pflichtgrad: Wenn quantifizierbar
Format: Zahl in EUR
Quelle/Nachweis: Berechnung / Vertrag / Hauptbuch
Qualitätsregel: Low/Base/High dokumentieren; Steuern, Wahrscheinlichkeit und Doppelzählung prüfen.</t>
        </r>
      </text>
    </comment>
    <comment ref="O4" authorId="0">
      <text>
        <r>
          <rPr>
            <sz val="8"/>
            <color indexed="81"/>
            <rFont val="Tahoma"/>
            <family val="2"/>
          </rPr>
          <t>AUSFÜLLHILFE – Gegenmaßnahme
Was eintragen: Den für „Gegenmaßnahme“ zutreffenden, belegbaren Wert eintragen.
Beispiel: Konkreter Wert oder kurzer, eindeutiger Text
Bearbeitung: Eingabe | Pflichtgrad: Wenn relevant
Format: Text
Quelle/Nachweis: Primärbeleg bzw. freigegebene Projektdaten
Qualitätsregel: Keine unbelegten Annahmen; Quelle oder Referenz ergänzen.</t>
        </r>
      </text>
    </comment>
    <comment ref="P4" authorId="0">
      <text>
        <r>
          <rPr>
            <sz val="8"/>
            <color indexed="81"/>
            <rFont val="Tahoma"/>
            <family val="2"/>
          </rPr>
          <t>AUSFÜLLHILFE – Owner
Was eintragen: Namentlich verantwortliche Person oder eindeutige Rolle eintragen.
Beispiel: Anna Beispiel (CFO) / Tax Lead
Bearbeitung: Eingabe | Pflichtgrad: Pflicht für aktive Punkte
Format: Name und Rolle
Quelle/Nachweis: Projekt-RACI
Qualitätsregel: Keine Mehrfach-Owner; genau eine rechenschaftspflichtige Rolle festlegen.</t>
        </r>
      </text>
    </comment>
    <comment ref="Q4" authorId="0">
      <text>
        <r>
          <rPr>
            <sz val="8"/>
            <color indexed="81"/>
            <rFont val="Tahoma"/>
            <family val="2"/>
          </rPr>
          <t>AUSFÜLLHILFE – Fälligkeit
Was eintragen: Kalenderdatum im Format TT.MM.JJJJ eintragen.
Beispiel: 31.10.2026
Bearbeitung: Eingabe | Pflichtgrad: Pflicht, sobald terminiert
Format: Datum
Quelle/Nachweis: Projektplan / Dokumentenmetadaten
Qualitätsregel: Keine relativen Angaben wie „nächste Woche“.</t>
        </r>
      </text>
    </comment>
    <comment ref="R4" authorId="0">
      <text>
        <r>
          <rPr>
            <sz val="8"/>
            <color indexed="81"/>
            <rFont val="Tahoma"/>
            <family val="2"/>
          </rPr>
          <t>AUSFÜLLHILFE – Maßnahmenstatus
Was eintragen: Nur den tatsächlich erreichten Bearbeitungsstand auswählen.
Beispiel: In Prüfung
Bearbeitung: Eingabe | Pflichtgrad: Pflicht
Format: Dropdown
Quelle/Nachweis: Aktueller Arbeitsstand
Qualitätsregel: „Abgeschlossen“ erst bei dokumentierter Evidenz und Reviewer-Freigabe.</t>
        </r>
      </text>
    </comment>
    <comment ref="S4" authorId="0">
      <text>
        <r>
          <rPr>
            <sz val="8"/>
            <color indexed="81"/>
            <rFont val="Tahoma"/>
            <family val="2"/>
          </rPr>
          <t>AUSFÜLLHILFE – Transaktionsfolge
Was eintragen: Konsequenz für Preis, SPA, Closing, Finanzierung oder Integration auswählen/beschreiben.
Beispiel: SPA/Haftung – spezifische Steuerfreistellung
Bearbeitung: Eingabe | Pflichtgrad: Pflicht bei wesentlichem Finding
Format: Kategorie + kurze Begründung
Quelle/Nachweis: Finding und Deal-Team-Entscheidung
Qualitätsregel: Operative Maßnahme und vertraglichen Schutz getrennt betrachten.</t>
        </r>
      </text>
    </comment>
    <comment ref="T4" authorId="0">
      <text>
        <r>
          <rPr>
            <sz val="8"/>
            <color indexed="81"/>
            <rFont val="Tahoma"/>
            <family val="2"/>
          </rPr>
          <t>AUSFÜLLHILFE – Checklisten-Ref.
Was eintragen: Verknüpfte Checklisten-, Risiko-, Dokument- oder Q&amp;A-ID eintragen.
Beispiel: FIN-04 / DOC-037 / Q-012
Bearbeitung: Eingabe | Pflichtgrad: Empfohlen
Format: Eine oder mehrere IDs
Quelle/Nachweis: Andere Register dieser Arbeitsmappe
Qualitätsregel: Nur vorhandene IDs verwenden; mehrere Referenzen mit „ / “ trennen.</t>
        </r>
      </text>
    </comment>
    <comment ref="U4" authorId="0">
      <text>
        <r>
          <rPr>
            <sz val="8"/>
            <color indexed="81"/>
            <rFont val="Tahoma"/>
            <family val="2"/>
          </rPr>
          <t>AUSFÜLLHILFE – Resteintritt
Was eintragen: Verbleibendes Risiko nach vollständig wirksamer Gegenmaßnahme mit 1–5 bewerten.
Beispiel: 2
Bearbeitung: Eingabe | Pflichtgrad: Nach definierter Maßnahme
Format: Ganzzahl 1–5
Quelle/Nachweis: Maßnahmenwirksamkeit / Kontrolltest
Qualitätsregel: Nur reduzieren, wenn Umsetzung und Wirksamkeit nachgewiesen sind.</t>
        </r>
      </text>
    </comment>
    <comment ref="V4" authorId="0">
      <text>
        <r>
          <rPr>
            <sz val="8"/>
            <color indexed="81"/>
            <rFont val="Tahoma"/>
            <family val="2"/>
          </rPr>
          <t>AUSFÜLLHILFE – Restauswirkung
Was eintragen: Verbleibendes Risiko nach vollständig wirksamer Gegenmaßnahme mit 1–5 bewerten.
Beispiel: 2
Bearbeitung: Eingabe | Pflichtgrad: Nach definierter Maßnahme
Format: Ganzzahl 1–5
Quelle/Nachweis: Maßnahmenwirksamkeit / Kontrolltest
Qualitätsregel: Nur reduzieren, wenn Umsetzung und Wirksamkeit nachgewiesen sind.</t>
        </r>
      </text>
    </comment>
    <comment ref="W4" authorId="0">
      <text>
        <r>
          <rPr>
            <sz val="8"/>
            <color indexed="81"/>
            <rFont val="Tahoma"/>
            <family val="2"/>
          </rPr>
          <t>AUSFÜLLHILFE – Restscore
Was eintragen: Nicht überschreiben; Wert wird aus den Eingaben berechnet.
Beispiel: 12 / Hoch
Bearbeitung: Automatische Formel | Pflichtgrad: Automatisch
Format: Formel
Quelle/Nachweis: Verknüpfte Eingabezellen
Qualitätsregel: Bei leerem Ergebnis zuerst die erforderlichen Eingabefelder vervollständigen.</t>
        </r>
      </text>
    </comment>
    <comment ref="X4" authorId="0">
      <text>
        <r>
          <rPr>
            <sz val="8"/>
            <color indexed="81"/>
            <rFont val="Tahoma"/>
            <family val="2"/>
          </rPr>
          <t>AUSFÜLLHILFE – Restklasse
Was eintragen: Nicht überschreiben; Wert wird aus den Eingaben berechnet.
Beispiel: 12 / Hoch
Bearbeitung: Automatische Formel | Pflichtgrad: Automatisch
Format: Formel
Quelle/Nachweis: Verknüpfte Eingabezellen
Qualitätsregel: Bei leerem Ergebnis zuerst die erforderlichen Eingabefelder vervollständigen.</t>
        </r>
      </text>
    </comment>
    <comment ref="Y4" authorId="0">
      <text>
        <r>
          <rPr>
            <sz val="8"/>
            <color indexed="81"/>
            <rFont val="Tahoma"/>
            <family val="2"/>
          </rPr>
          <t>AUSFÜLLHILFE – Entscheidung / Kommentar
Was eintragen: Entscheidung, Begründung, Annahmen und offene Einschränkungen knapp dokumentieren.
Beispiel: IC akzeptiert Restrisiko unter Bedingung eines 300 T€ Escrows.
Bearbeitung: Eingabe | Pflichtgrad: Bei Abweichung/Entscheidung
Format: Kurzer Audit-Trail
Quelle/Nachweis: Meeting-/Entscheidungsprotokoll
Qualitätsregel: Datum und Entscheider nennen; keine vertraulichen Nebendaten kopieren.</t>
        </r>
      </text>
    </comment>
    <comment ref="Z4" authorId="0">
      <text>
        <r>
          <rPr>
            <sz val="8"/>
            <color indexed="81"/>
            <rFont val="Tahoma"/>
            <family val="2"/>
          </rPr>
          <t>AUSFÜLLHILFE – Reviewer
Was eintragen: Namentlich verantwortliche Person oder eindeutige Rolle eintragen.
Beispiel: Anna Beispiel (CFO) / Tax Lead
Bearbeitung: Eingabe | Pflichtgrad: Pflicht für aktive Punkte
Format: Name und Rolle
Quelle/Nachweis: Projekt-RACI
Qualitätsregel: Keine Mehrfach-Owner; genau eine rechenschaftspflichtige Rolle festlegen.</t>
        </r>
      </text>
    </comment>
  </commentList>
</comments>
</file>

<file path=xl/comments6.xml><?xml version="1.0" encoding="utf-8"?>
<comments xmlns="http://schemas.openxmlformats.org/spreadsheetml/2006/main">
  <authors>
    <author>Ausfüllhilfe</author>
  </authors>
  <commentList>
    <comment ref="A4" authorId="0">
      <text>
        <r>
          <rPr>
            <sz val="8"/>
            <color indexed="81"/>
            <rFont val="Tahoma"/>
            <family val="2"/>
          </rPr>
          <t>AUSFÜLLHILFE – Maßnahmen-ID
Was eintragen: Eindeutige Kennung beibehalten; nur beim Ergänzen neuer Zeilen fortlaufend vergeben.
Beispiel: R-014
Bearbeitung: Vorbelegt | Pflichtgrad: Automatisch
Format: Text, eindeutig
Quelle/Nachweis: Arbeitsmappe
Qualitätsregel: Keine ID doppelt vergeben oder nachträglich umnummerieren.</t>
        </r>
      </text>
    </comment>
    <comment ref="B4" authorId="0">
      <text>
        <r>
          <rPr>
            <sz val="8"/>
            <color indexed="81"/>
            <rFont val="Tahoma"/>
            <family val="2"/>
          </rPr>
          <t>AUSFÜLLHILFE – Aktivieren?
Was eintragen: Ja, Nein oder Zu prüfen anhand der dokumentierten Entscheidung auswählen.
Beispiel: Zu prüfen
Bearbeitung: Eingabe | Pflichtgrad: Pflicht
Format: Dropdown
Quelle/Nachweis: Scope-/Finding-Entscheidung
Qualitätsregel: „Zu prüfen“ mit Owner und Fälligkeit versehen.</t>
        </r>
      </text>
    </comment>
    <comment ref="C4" authorId="0">
      <text>
        <r>
          <rPr>
            <sz val="8"/>
            <color indexed="81"/>
            <rFont val="Tahoma"/>
            <family val="2"/>
          </rPr>
          <t>AUSFÜLLHILFE – Risiko-/Finding-Ref.
Was eintragen: Verknüpfte Checklisten-, Risiko-, Dokument- oder Q&amp;A-ID eintragen.
Beispiel: FIN-04 / DOC-037 / Q-012
Bearbeitung: Eingabe | Pflichtgrad: Empfohlen
Format: Eine oder mehrere IDs
Quelle/Nachweis: Andere Register dieser Arbeitsmappe
Qualitätsregel: Nur vorhandene IDs verwenden; mehrere Referenzen mit „ / “ trennen.</t>
        </r>
      </text>
    </comment>
    <comment ref="D4" authorId="0">
      <text>
        <r>
          <rPr>
            <sz val="8"/>
            <color indexed="81"/>
            <rFont val="Tahoma"/>
            <family val="2"/>
          </rPr>
          <t>AUSFÜLLHILFE – Phase
Was eintragen: Zeitpunkt angeben, zu dem Prüfung oder Maßnahme abgeschlossen sein muss.
Beispiel: Vollprüfung
Bearbeitung: Eingabe | Pflichtgrad: Pflicht
Format: Dropdown bzw. definierte Deal-Phase
Quelle/Nachweis: Transaktionszeitplan
Qualitätsregel: Closing-kritische Themen nicht in Post-Closing verschieben.</t>
        </r>
      </text>
    </comment>
    <comment ref="E4" authorId="0">
      <text>
        <r>
          <rPr>
            <sz val="8"/>
            <color indexed="81"/>
            <rFont val="Tahoma"/>
            <family val="2"/>
          </rPr>
          <t>AUSFÜLLHILFE – Prüfbereich
Was eintragen: Sachverhalt einer eindeutigen Kategorie zuordnen.
Beispiel: Financial – Working Capital
Bearbeitung: Eingabe | Pflichtgrad: Pflicht
Format: Auswahl oder kurzer Text
Quelle/Nachweis: DD-Scope / Master-Checkliste
Qualitätsregel: Nicht mehrere unverbundene Themen in einer Zeile mischen.</t>
        </r>
      </text>
    </comment>
    <comment ref="F4" authorId="0">
      <text>
        <r>
          <rPr>
            <sz val="8"/>
            <color indexed="81"/>
            <rFont val="Tahoma"/>
            <family val="2"/>
          </rPr>
          <t>AUSFÜLLHILFE – Maßnahmenvorschlag
Was eintragen: Den für „Maßnahmenvorschlag“ zutreffenden, belegbaren Wert eintragen.
Beispiel: Konkreter Wert oder kurzer, eindeutiger Text
Bearbeitung: Eingabe | Pflichtgrad: Wenn relevant
Format: Text
Quelle/Nachweis: Primärbeleg bzw. freigegebene Projektdaten
Qualitätsregel: Keine unbelegten Annahmen; Quelle oder Referenz ergänzen.</t>
        </r>
      </text>
    </comment>
    <comment ref="G4" authorId="0">
      <text>
        <r>
          <rPr>
            <sz val="8"/>
            <color indexed="81"/>
            <rFont val="Tahoma"/>
            <family val="2"/>
          </rPr>
          <t>AUSFÜLLHILFE – Ergebnis / Abnahmekriterium
Was eintragen: Objektiv messbaren Zielzustand und benötigten Nachweis definieren.
Beispiel: 100 % Admin-Konten mit MFA; Export aus IdP durch CISO freigegeben
Bearbeitung: Eingabe | Pflichtgrad: Pflicht für aktive Maßnahme
Format: Messbares Kriterium
Quelle/Nachweis: Maßnahmenplan / Fachstandard
Qualitätsregel: Kriterium muss eine eindeutige Erledigt-Entscheidung erlauben.</t>
        </r>
      </text>
    </comment>
    <comment ref="H4" authorId="0">
      <text>
        <r>
          <rPr>
            <sz val="8"/>
            <color indexed="81"/>
            <rFont val="Tahoma"/>
            <family val="2"/>
          </rPr>
          <t>AUSFÜLLHILFE – Priorität
Was eintragen: Priorität nach Deal-Relevanz und zeitlicher Dringlichkeit auswählen.
Beispiel: Kritisch
Bearbeitung: Eingabe | Pflichtgrad: Pflicht
Format: Dropdown
Quelle/Nachweis: Materialität / kritischer Transaktionspfad
Qualitätsregel: Nicht allein nach Arbeitsaufwand priorisieren.</t>
        </r>
      </text>
    </comment>
    <comment ref="I4" authorId="0">
      <text>
        <r>
          <rPr>
            <sz val="8"/>
            <color indexed="81"/>
            <rFont val="Tahoma"/>
            <family val="2"/>
          </rPr>
          <t>AUSFÜLLHILFE – Owner
Was eintragen: Namentlich verantwortliche Person oder eindeutige Rolle eintragen.
Beispiel: Anna Beispiel (CFO) / Tax Lead
Bearbeitung: Eingabe | Pflichtgrad: Pflicht für aktive Punkte
Format: Name und Rolle
Quelle/Nachweis: Projekt-RACI
Qualitätsregel: Keine Mehrfach-Owner; genau eine rechenschaftspflichtige Rolle festlegen.</t>
        </r>
      </text>
    </comment>
    <comment ref="J4" authorId="0">
      <text>
        <r>
          <rPr>
            <sz val="8"/>
            <color indexed="81"/>
            <rFont val="Tahoma"/>
            <family val="2"/>
          </rPr>
          <t>AUSFÜLLHILFE – Support
Was eintragen: Namentlich verantwortliche Person oder eindeutige Rolle eintragen.
Beispiel: Anna Beispiel (CFO) / Tax Lead
Bearbeitung: Eingabe | Pflichtgrad: Pflicht für aktive Punkte
Format: Name und Rolle
Quelle/Nachweis: Projekt-RACI
Qualitätsregel: Keine Mehrfach-Owner; genau eine rechenschaftspflichtige Rolle festlegen.</t>
        </r>
      </text>
    </comment>
    <comment ref="K4" authorId="0">
      <text>
        <r>
          <rPr>
            <sz val="8"/>
            <color indexed="81"/>
            <rFont val="Tahoma"/>
            <family val="2"/>
          </rPr>
          <t>AUSFÜLLHILFE – Start
Was eintragen: Kalenderdatum im Format TT.MM.JJJJ eintragen.
Beispiel: 31.10.2026
Bearbeitung: Eingabe | Pflichtgrad: Pflicht, sobald terminiert
Format: Datum
Quelle/Nachweis: Projektplan / Dokumentenmetadaten
Qualitätsregel: Keine relativen Angaben wie „nächste Woche“.</t>
        </r>
      </text>
    </comment>
    <comment ref="L4" authorId="0">
      <text>
        <r>
          <rPr>
            <sz val="8"/>
            <color indexed="81"/>
            <rFont val="Tahoma"/>
            <family val="2"/>
          </rPr>
          <t>AUSFÜLLHILFE – Fällig
Was eintragen: Kalenderdatum im Format TT.MM.JJJJ eintragen.
Beispiel: 31.10.2026
Bearbeitung: Eingabe | Pflichtgrad: Pflicht, sobald terminiert
Format: Datum
Quelle/Nachweis: Projektplan / Dokumentenmetadaten
Qualitätsregel: Keine relativen Angaben wie „nächste Woche“.</t>
        </r>
      </text>
    </comment>
    <comment ref="M4" authorId="0">
      <text>
        <r>
          <rPr>
            <sz val="8"/>
            <color indexed="81"/>
            <rFont val="Tahoma"/>
            <family val="2"/>
          </rPr>
          <t>AUSFÜLLHILFE – Status
Was eintragen: Nur den tatsächlich erreichten Bearbeitungsstand auswählen.
Beispiel: In Prüfung
Bearbeitung: Eingabe | Pflichtgrad: Pflicht
Format: Dropdown
Quelle/Nachweis: Aktueller Arbeitsstand
Qualitätsregel: „Abgeschlossen“ erst bei dokumentierter Evidenz und Reviewer-Freigabe.</t>
        </r>
      </text>
    </comment>
    <comment ref="N4" authorId="0">
      <text>
        <r>
          <rPr>
            <sz val="8"/>
            <color indexed="81"/>
            <rFont val="Tahoma"/>
            <family val="2"/>
          </rPr>
          <t>AUSFÜLLHILFE – Fortschritt
Was eintragen: Tatsächlich erreichten Fertigstellungsgrad zwischen 0 % und 100 % eintragen.
Beispiel: 40 %
Bearbeitung: Eingabe | Pflichtgrad: Bei aktiver Maßnahme
Format: Prozent
Quelle/Nachweis: Liefergegenstände / Meilensteine
Qualitätsregel: 100 % nur bei erfülltem Abnahmekriterium.</t>
        </r>
      </text>
    </comment>
    <comment ref="O4" authorId="0">
      <text>
        <r>
          <rPr>
            <sz val="8"/>
            <color indexed="81"/>
            <rFont val="Tahoma"/>
            <family val="2"/>
          </rPr>
          <t>AUSFÜLLHILFE – Abhängigkeit
Was eintragen: Den für „Abhängigkeit“ zutreffenden, belegbaren Wert eintragen.
Beispiel: Konkreter Wert oder kurzer, eindeutiger Text
Bearbeitung: Eingabe | Pflichtgrad: Wenn relevant
Format: Text
Quelle/Nachweis: Primärbeleg bzw. freigegebene Projektdaten
Qualitätsregel: Keine unbelegten Annahmen; Quelle oder Referenz ergänzen.</t>
        </r>
      </text>
    </comment>
    <comment ref="P4" authorId="0">
      <text>
        <r>
          <rPr>
            <sz val="8"/>
            <color indexed="81"/>
            <rFont val="Tahoma"/>
            <family val="2"/>
          </rPr>
          <t>AUSFÜLLHILFE – Budget (€)
Was eintragen: Betrag in Berichtswährung ohne Tausendertext eintragen; Vorzeichenlogik des Blatts beachten.
Beispiel: 250000
Bearbeitung: Eingabe | Pflichtgrad: Wenn quantifizierbar
Format: Zahl in EUR
Quelle/Nachweis: Berechnung / Vertrag / Hauptbuch
Qualitätsregel: Low/Base/High dokumentieren; Steuern, Wahrscheinlichkeit und Doppelzählung prüfen.</t>
        </r>
      </text>
    </comment>
    <comment ref="Q4" authorId="0">
      <text>
        <r>
          <rPr>
            <sz val="8"/>
            <color indexed="81"/>
            <rFont val="Tahoma"/>
            <family val="2"/>
          </rPr>
          <t>AUSFÜLLHILFE – Erwartete Wirkung
Was eintragen: Konsequenz für Preis, SPA, Closing, Finanzierung oder Integration auswählen/beschreiben.
Beispiel: SPA/Haftung – spezifische Steuerfreistellung
Bearbeitung: Eingabe | Pflichtgrad: Pflicht bei wesentlichem Finding
Format: Kategorie + kurze Begründung
Quelle/Nachweis: Finding und Deal-Team-Entscheidung
Qualitätsregel: Operative Maßnahme und vertraglichen Schutz getrennt betrachten.</t>
        </r>
      </text>
    </comment>
    <comment ref="R4" authorId="0">
      <text>
        <r>
          <rPr>
            <sz val="8"/>
            <color indexed="81"/>
            <rFont val="Tahoma"/>
            <family val="2"/>
          </rPr>
          <t>AUSFÜLLHILFE – KPI / Nachweis
Was eintragen: Konkreten Beleg mit Dateiname, Datum, Version und VDR-Pfad nennen.
Beispiel: VDR 3.2.1, Monatsbilanz 08/2026, Version final
Bearbeitung: Eingabe | Pflichtgrad: Pflicht bei Abschluss
Format: Text / Link / Referenz
Quelle/Nachweis: VDR, Vertrag, Hauptbuch, externe Bestätigung
Qualitätsregel: Management-Aussage allein reicht für wesentliche Findings nicht aus.</t>
        </r>
      </text>
    </comment>
    <comment ref="S4" authorId="0">
      <text>
        <r>
          <rPr>
            <sz val="8"/>
            <color indexed="81"/>
            <rFont val="Tahoma"/>
            <family val="2"/>
          </rPr>
          <t>AUSFÜLLHILFE – Eskalationstrigger
Was eintragen: Den für „Eskalationstrigger“ zutreffenden, belegbaren Wert eintragen.
Beispiel: Konkreter Wert oder kurzer, eindeutiger Text
Bearbeitung: Eingabe | Pflichtgrad: Wenn relevant
Format: Text
Quelle/Nachweis: Primärbeleg bzw. freigegebene Projektdaten
Qualitätsregel: Keine unbelegten Annahmen; Quelle oder Referenz ergänzen.</t>
        </r>
      </text>
    </comment>
    <comment ref="T4" authorId="0">
      <text>
        <r>
          <rPr>
            <sz val="8"/>
            <color indexed="81"/>
            <rFont val="Tahoma"/>
            <family val="2"/>
          </rPr>
          <t>AUSFÜLLHILFE – Deal-Mechanismus
Was eintragen: Geeigneten vertraglichen oder wirtschaftlichen Mechanismus konkret benennen.
Beispiel: Spezifische Freistellung mit 5 Jahren Laufzeit und 500 T€ Escrow
Bearbeitung: Eingabe | Pflichtgrad: Bei Deal-Relevanz
Format: Mechanismus + Eckpunkte
Quelle/Nachweis: Deal-Team / Rechts- und Steuerberatung
Qualitätsregel: Bekannte Risiken nicht allein auf allgemeine Garantien oder W&amp;I stützen.</t>
        </r>
      </text>
    </comment>
    <comment ref="U4" authorId="0">
      <text>
        <r>
          <rPr>
            <sz val="8"/>
            <color indexed="81"/>
            <rFont val="Tahoma"/>
            <family val="2"/>
          </rPr>
          <t>AUSFÜLLHILFE – Kommentar
Was eintragen: Entscheidung, Begründung, Annahmen und offene Einschränkungen knapp dokumentieren.
Beispiel: IC akzeptiert Restrisiko unter Bedingung eines 300 T€ Escrows.
Bearbeitung: Eingabe | Pflichtgrad: Bei Abweichung/Entscheidung
Format: Kurzer Audit-Trail
Quelle/Nachweis: Meeting-/Entscheidungsprotokoll
Qualitätsregel: Datum und Entscheider nennen; keine vertraulichen Nebendaten kopieren.</t>
        </r>
      </text>
    </comment>
  </commentList>
</comments>
</file>

<file path=xl/comments7.xml><?xml version="1.0" encoding="utf-8"?>
<comments xmlns="http://schemas.openxmlformats.org/spreadsheetml/2006/main">
  <authors>
    <author>Ausfüllhilfe</author>
  </authors>
  <commentList>
    <comment ref="A4" authorId="0">
      <text>
        <r>
          <rPr>
            <sz val="8"/>
            <color indexed="81"/>
            <rFont val="Tahoma"/>
            <family val="2"/>
          </rPr>
          <t>AUSFÜLLHILFE – Q&amp;A-ID
Was eintragen: Eindeutige Kennung beibehalten; nur beim Ergänzen neuer Zeilen fortlaufend vergeben.
Beispiel: R-014
Bearbeitung: Vorbelegt | Pflichtgrad: Automatisch
Format: Text, eindeutig
Quelle/Nachweis: Arbeitsmappe
Qualitätsregel: Keine ID doppelt vergeben oder nachträglich umnummerieren.</t>
        </r>
      </text>
    </comment>
    <comment ref="B4" authorId="0">
      <text>
        <r>
          <rPr>
            <sz val="8"/>
            <color indexed="81"/>
            <rFont val="Tahoma"/>
            <family val="2"/>
          </rPr>
          <t>AUSFÜLLHILFE – Erstellt am
Was eintragen: Kalenderdatum im Format TT.MM.JJJJ eintragen.
Beispiel: 31.10.2026
Bearbeitung: Eingabe | Pflichtgrad: Pflicht, sobald terminiert
Format: Datum
Quelle/Nachweis: Projektplan / Dokumentenmetadaten
Qualitätsregel: Keine relativen Angaben wie „nächste Woche“.</t>
        </r>
      </text>
    </comment>
    <comment ref="C4" authorId="0">
      <text>
        <r>
          <rPr>
            <sz val="8"/>
            <color indexed="81"/>
            <rFont val="Tahoma"/>
            <family val="2"/>
          </rPr>
          <t>AUSFÜLLHILFE – Prüfbereich
Was eintragen: Sachverhalt einer eindeutigen Kategorie zuordnen.
Beispiel: Financial – Working Capital
Bearbeitung: Eingabe | Pflichtgrad: Pflicht
Format: Auswahl oder kurzer Text
Quelle/Nachweis: DD-Scope / Master-Checkliste
Qualitätsregel: Nicht mehrere unverbundene Themen in einer Zeile mischen.</t>
        </r>
      </text>
    </comment>
    <comment ref="D4" authorId="0">
      <text>
        <r>
          <rPr>
            <sz val="8"/>
            <color indexed="81"/>
            <rFont val="Tahoma"/>
            <family val="2"/>
          </rPr>
          <t>AUSFÜLLHILFE – Check-/Dok-Ref.
Was eintragen: Verknüpfte Checklisten-, Risiko-, Dokument- oder Q&amp;A-ID eintragen.
Beispiel: FIN-04 / DOC-037 / Q-012
Bearbeitung: Eingabe | Pflichtgrad: Empfohlen
Format: Eine oder mehrere IDs
Quelle/Nachweis: Andere Register dieser Arbeitsmappe
Qualitätsregel: Nur vorhandene IDs verwenden; mehrere Referenzen mit „ / “ trennen.</t>
        </r>
      </text>
    </comment>
    <comment ref="E4" authorId="0">
      <text>
        <r>
          <rPr>
            <sz val="8"/>
            <color indexed="81"/>
            <rFont val="Tahoma"/>
            <family val="2"/>
          </rPr>
          <t>AUSFÜLLHILFE – Frage
Was eintragen: Eine konkret beantwortbare Frage mit klarem Entscheidungsbezug formulieren.
Beispiel: Sind alle debt-like Positionen im Closing-Mechanismus erfasst?
Bearbeitung: Eingabe | Pflichtgrad: Pflicht
Format: Vollständiger Fragesatz
Quelle/Nachweis: Prüfhypothese / offene Entscheidung
Qualitätsregel: Keine Suggestiv- oder Sammelfrage; pro Zeile ein Sachverhalt.</t>
        </r>
      </text>
    </comment>
    <comment ref="F4" authorId="0">
      <text>
        <r>
          <rPr>
            <sz val="8"/>
            <color indexed="81"/>
            <rFont val="Tahoma"/>
            <family val="2"/>
          </rPr>
          <t>AUSFÜLLHILFE – Begründung / Entscheidungskontext
Was eintragen: Entscheidung, Begründung, Annahmen und offene Einschränkungen knapp dokumentieren.
Beispiel: IC akzeptiert Restrisiko unter Bedingung eines 300 T€ Escrows.
Bearbeitung: Eingabe | Pflichtgrad: Bei Abweichung/Entscheidung
Format: Kurzer Audit-Trail
Quelle/Nachweis: Meeting-/Entscheidungsprotokoll
Qualitätsregel: Datum und Entscheider nennen; keine vertraulichen Nebendaten kopieren.</t>
        </r>
      </text>
    </comment>
    <comment ref="G4" authorId="0">
      <text>
        <r>
          <rPr>
            <sz val="8"/>
            <color indexed="81"/>
            <rFont val="Tahoma"/>
            <family val="2"/>
          </rPr>
          <t>AUSFÜLLHILFE – Priorität
Was eintragen: Priorität nach Deal-Relevanz und zeitlicher Dringlichkeit auswählen.
Beispiel: Kritisch
Bearbeitung: Eingabe | Pflichtgrad: Pflicht
Format: Dropdown
Quelle/Nachweis: Materialität / kritischer Transaktionspfad
Qualitätsregel: Nicht allein nach Arbeitsaufwand priorisieren.</t>
        </r>
      </text>
    </comment>
    <comment ref="H4" authorId="0">
      <text>
        <r>
          <rPr>
            <sz val="8"/>
            <color indexed="81"/>
            <rFont val="Tahoma"/>
            <family val="2"/>
          </rPr>
          <t>AUSFÜLLHILFE – Empfänger
Was eintragen: Namentlich verantwortliche Person oder eindeutige Rolle eintragen.
Beispiel: Anna Beispiel (CFO) / Tax Lead
Bearbeitung: Eingabe | Pflichtgrad: Pflicht für aktive Punkte
Format: Name und Rolle
Quelle/Nachweis: Projekt-RACI
Qualitätsregel: Keine Mehrfach-Owner; genau eine rechenschaftspflichtige Rolle festlegen.</t>
        </r>
      </text>
    </comment>
    <comment ref="I4" authorId="0">
      <text>
        <r>
          <rPr>
            <sz val="8"/>
            <color indexed="81"/>
            <rFont val="Tahoma"/>
            <family val="2"/>
          </rPr>
          <t>AUSFÜLLHILFE – Fragesteller
Was eintragen: Eine konkret beantwortbare Frage mit klarem Entscheidungsbezug formulieren.
Beispiel: Sind alle debt-like Positionen im Closing-Mechanismus erfasst?
Bearbeitung: Eingabe | Pflichtgrad: Pflicht
Format: Vollständiger Fragesatz
Quelle/Nachweis: Prüfhypothese / offene Entscheidung
Qualitätsregel: Keine Suggestiv- oder Sammelfrage; pro Zeile ein Sachverhalt.</t>
        </r>
      </text>
    </comment>
    <comment ref="J4" authorId="0">
      <text>
        <r>
          <rPr>
            <sz val="8"/>
            <color indexed="81"/>
            <rFont val="Tahoma"/>
            <family val="2"/>
          </rPr>
          <t>AUSFÜLLHILFE – Fällig
Was eintragen: Kalenderdatum im Format TT.MM.JJJJ eintragen.
Beispiel: 31.10.2026
Bearbeitung: Eingabe | Pflichtgrad: Pflicht, sobald terminiert
Format: Datum
Quelle/Nachweis: Projektplan / Dokumentenmetadaten
Qualitätsregel: Keine relativen Angaben wie „nächste Woche“.</t>
        </r>
      </text>
    </comment>
    <comment ref="K4" authorId="0">
      <text>
        <r>
          <rPr>
            <sz val="8"/>
            <color indexed="81"/>
            <rFont val="Tahoma"/>
            <family val="2"/>
          </rPr>
          <t>AUSFÜLLHILFE – Antwort am
Was eintragen: Kalenderdatum im Format TT.MM.JJJJ eintragen.
Beispiel: 31.10.2026
Bearbeitung: Eingabe | Pflichtgrad: Pflicht, sobald terminiert
Format: Datum
Quelle/Nachweis: Projektplan / Dokumentenmetadaten
Qualitätsregel: Keine relativen Angaben wie „nächste Woche“.</t>
        </r>
      </text>
    </comment>
    <comment ref="L4" authorId="0">
      <text>
        <r>
          <rPr>
            <sz val="8"/>
            <color indexed="81"/>
            <rFont val="Tahoma"/>
            <family val="2"/>
          </rPr>
          <t>AUSFÜLLHILFE – Status
Was eintragen: Nur den tatsächlich erreichten Bearbeitungsstand auswählen.
Beispiel: In Prüfung
Bearbeitung: Eingabe | Pflichtgrad: Pflicht
Format: Dropdown
Quelle/Nachweis: Aktueller Arbeitsstand
Qualitätsregel: „Abgeschlossen“ erst bei dokumentierter Evidenz und Reviewer-Freigabe.</t>
        </r>
      </text>
    </comment>
    <comment ref="M4" authorId="0">
      <text>
        <r>
          <rPr>
            <sz val="8"/>
            <color indexed="81"/>
            <rFont val="Tahoma"/>
            <family val="2"/>
          </rPr>
          <t>AUSFÜLLHILFE – Antwort
Was eintragen: Den für „Antwort“ zutreffenden, belegbaren Wert eintragen.
Beispiel: Konkreter Wert oder kurzer, eindeutiger Text
Bearbeitung: Eingabe | Pflichtgrad: Wenn relevant
Format: Text
Quelle/Nachweis: Primärbeleg bzw. freigegebene Projektdaten
Qualitätsregel: Keine unbelegten Annahmen; Quelle oder Referenz ergänzen.</t>
        </r>
      </text>
    </comment>
    <comment ref="N4" authorId="0">
      <text>
        <r>
          <rPr>
            <sz val="8"/>
            <color indexed="81"/>
            <rFont val="Tahoma"/>
            <family val="2"/>
          </rPr>
          <t>AUSFÜLLHILFE – Evidenz / VDR-Link
Was eintragen: Konkreten Beleg mit Dateiname, Datum, Version und VDR-Pfad nennen.
Beispiel: VDR 3.2.1, Monatsbilanz 08/2026, Version final
Bearbeitung: Eingabe | Pflichtgrad: Pflicht bei Abschluss
Format: Text / Link / Referenz
Quelle/Nachweis: VDR, Vertrag, Hauptbuch, externe Bestätigung
Qualitätsregel: Management-Aussage allein reicht für wesentliche Findings nicht aus.</t>
        </r>
      </text>
    </comment>
    <comment ref="O4" authorId="0">
      <text>
        <r>
          <rPr>
            <sz val="8"/>
            <color indexed="81"/>
            <rFont val="Tahoma"/>
            <family val="2"/>
          </rPr>
          <t>AUSFÜLLHILFE – Nachfrage / Next Step
Was eintragen: Eine konkret beantwortbare Frage mit klarem Entscheidungsbezug formulieren.
Beispiel: Sind alle debt-like Positionen im Closing-Mechanismus erfasst?
Bearbeitung: Eingabe | Pflichtgrad: Pflicht
Format: Vollständiger Fragesatz
Quelle/Nachweis: Prüfhypothese / offene Entscheidung
Qualitätsregel: Keine Suggestiv- oder Sammelfrage; pro Zeile ein Sachverhalt.</t>
        </r>
      </text>
    </comment>
    <comment ref="P4" authorId="0">
      <text>
        <r>
          <rPr>
            <sz val="8"/>
            <color indexed="81"/>
            <rFont val="Tahoma"/>
            <family val="2"/>
          </rPr>
          <t>AUSFÜLLHILFE – Alter (Tage)
Was eintragen: Nicht überschreiben; Wert wird aus den Eingaben berechnet.
Beispiel: 12 / Hoch
Bearbeitung: Automatische Formel | Pflichtgrad: Automatisch
Format: Formel
Quelle/Nachweis: Verknüpfte Eingabezellen
Qualitätsregel: Bei leerem Ergebnis zuerst die erforderlichen Eingabefelder vervollständigen.</t>
        </r>
      </text>
    </comment>
    <comment ref="Q4" authorId="0">
      <text>
        <r>
          <rPr>
            <sz val="8"/>
            <color indexed="81"/>
            <rFont val="Tahoma"/>
            <family val="2"/>
          </rPr>
          <t>AUSFÜLLHILFE – Überfällig?
Was eintragen: Kalenderdatum im Format TT.MM.JJJJ eintragen.
Beispiel: 31.10.2026
Bearbeitung: Eingabe | Pflichtgrad: Pflicht, sobald terminiert
Format: Datum
Quelle/Nachweis: Projektplan / Dokumentenmetadaten
Qualitätsregel: Keine relativen Angaben wie „nächste Woche“.</t>
        </r>
      </text>
    </comment>
    <comment ref="R4" authorId="0">
      <text>
        <r>
          <rPr>
            <sz val="8"/>
            <color indexed="81"/>
            <rFont val="Tahoma"/>
            <family val="2"/>
          </rPr>
          <t>AUSFÜLLHILFE – Reviewer
Was eintragen: Namentlich verantwortliche Person oder eindeutige Rolle eintragen.
Beispiel: Anna Beispiel (CFO) / Tax Lead
Bearbeitung: Eingabe | Pflichtgrad: Pflicht für aktive Punkte
Format: Name und Rolle
Quelle/Nachweis: Projekt-RACI
Qualitätsregel: Keine Mehrfach-Owner; genau eine rechenschaftspflichtige Rolle festlegen.</t>
        </r>
      </text>
    </comment>
  </commentList>
</comments>
</file>

<file path=xl/comments8.xml><?xml version="1.0" encoding="utf-8"?>
<comments xmlns="http://schemas.openxmlformats.org/spreadsheetml/2006/main">
  <authors>
    <author>Ausfüllhilfe</author>
  </authors>
  <commentList>
    <comment ref="A4" authorId="0">
      <text>
        <r>
          <rPr>
            <sz val="8"/>
            <color indexed="81"/>
            <rFont val="Tahoma"/>
            <family val="2"/>
          </rPr>
          <t>AUSFÜLLHILFE – Kennzahl
Was eintragen: Kennzahlenbezeichnung nicht ändern; zusätzliche Kennzahlen unterhalb des Blocks ergänzen.
Beispiel: Umsatz
Bearbeitung: Vorbelegt | Pflichtgrad: Automatisch
Format: Text
Quelle/Nachweis: Financial-DD-Analyseschema
Qualitätsregel: Keine unbelegten Annahmen; Quelle oder Referenz ergänzen.</t>
        </r>
      </text>
    </comment>
    <comment ref="B4" authorId="0">
      <text>
        <r>
          <rPr>
            <sz val="8"/>
            <color indexed="81"/>
            <rFont val="Tahoma"/>
            <family val="2"/>
          </rPr>
          <t>AUSFÜLLHILFE – Periode – 2022A
Was eintragen: Periodenbezeichnung an das gelieferte Datenpaket anpassen.
Beispiel: 2025A / LTM Sep-26
Bearbeitung: Eingabe | Pflichtgrad: Pflicht
Format: Kurze Periodenbezeichnung
Quelle/Nachweis: Jahresabschluss / Monatsreporting
Qualitätsregel: Ist-, LTM- und Budgetperioden eindeutig kennzeichnen.</t>
        </r>
      </text>
    </comment>
    <comment ref="C4" authorId="0">
      <text>
        <r>
          <rPr>
            <sz val="8"/>
            <color indexed="81"/>
            <rFont val="Tahoma"/>
            <family val="2"/>
          </rPr>
          <t>AUSFÜLLHILFE – Periode – 2023A
Was eintragen: Periodenbezeichnung an das gelieferte Datenpaket anpassen.
Beispiel: 2025A / LTM Sep-26
Bearbeitung: Eingabe | Pflichtgrad: Pflicht
Format: Kurze Periodenbezeichnung
Quelle/Nachweis: Jahresabschluss / Monatsreporting
Qualitätsregel: Ist-, LTM- und Budgetperioden eindeutig kennzeichnen.</t>
        </r>
      </text>
    </comment>
    <comment ref="D4" authorId="0">
      <text>
        <r>
          <rPr>
            <sz val="8"/>
            <color indexed="81"/>
            <rFont val="Tahoma"/>
            <family val="2"/>
          </rPr>
          <t>AUSFÜLLHILFE – Periode – 2024A
Was eintragen: Periodenbezeichnung an das gelieferte Datenpaket anpassen.
Beispiel: 2025A / LTM Sep-26
Bearbeitung: Eingabe | Pflichtgrad: Pflicht
Format: Kurze Periodenbezeichnung
Quelle/Nachweis: Jahresabschluss / Monatsreporting
Qualitätsregel: Ist-, LTM- und Budgetperioden eindeutig kennzeichnen.</t>
        </r>
      </text>
    </comment>
    <comment ref="E4" authorId="0">
      <text>
        <r>
          <rPr>
            <sz val="8"/>
            <color indexed="81"/>
            <rFont val="Tahoma"/>
            <family val="2"/>
          </rPr>
          <t>AUSFÜLLHILFE – Periode – LTM / aktuell
Was eintragen: Periodenbezeichnung an das gelieferte Datenpaket anpassen.
Beispiel: 2025A / LTM Sep-26
Bearbeitung: Eingabe | Pflichtgrad: Pflicht
Format: Kurze Periodenbezeichnung
Quelle/Nachweis: Jahresabschluss / Monatsreporting
Qualitätsregel: Ist-, LTM- und Budgetperioden eindeutig kennzeichnen.</t>
        </r>
      </text>
    </comment>
    <comment ref="F4" authorId="0">
      <text>
        <r>
          <rPr>
            <sz val="8"/>
            <color indexed="81"/>
            <rFont val="Tahoma"/>
            <family val="2"/>
          </rPr>
          <t>AUSFÜLLHILFE – Periode – Budget
Was eintragen: Periodenbezeichnung an das gelieferte Datenpaket anpassen.
Beispiel: 2025A / LTM Sep-26
Bearbeitung: Eingabe | Pflichtgrad: Pflicht
Format: Kurze Periodenbezeichnung
Quelle/Nachweis: Jahresabschluss / Monatsreporting
Qualitätsregel: Ist-, LTM- und Budgetperioden eindeutig kennzeichnen.</t>
        </r>
      </text>
    </comment>
    <comment ref="G4" authorId="0">
      <text>
        <r>
          <rPr>
            <sz val="8"/>
            <color indexed="81"/>
            <rFont val="Tahoma"/>
            <family val="2"/>
          </rPr>
          <t>AUSFÜLLHILFE – Δ LTM vs. Vorperiode
Was eintragen: Nicht überschreiben; prozentuale Veränderung wird berechnet.
Beispiel: Konkreter Wert oder kurzer, eindeutiger Text
Bearbeitung: Automatische Formel | Pflichtgrad: Automatisch
Format: Prozent
Quelle/Nachweis: Primärbeleg bzw. freigegebene Projektdaten
Qualitätsregel: Keine unbelegten Annahmen; Quelle oder Referenz ergänzen.</t>
        </r>
      </text>
    </comment>
    <comment ref="H4" authorId="0">
      <text>
        <r>
          <rPr>
            <sz val="8"/>
            <color indexed="81"/>
            <rFont val="Tahoma"/>
            <family val="2"/>
          </rPr>
          <t>AUSFÜLLHILFE – Δ LTM vs. Budget
Was eintragen: Nicht überschreiben; Budgetabweichung wird berechnet.
Beispiel: 250000
Bearbeitung: Automatische Formel | Pflichtgrad: Automatisch
Format: Prozent
Quelle/Nachweis: Berechnung / Vertrag / Hauptbuch
Qualitätsregel: Low/Base/High dokumentieren; Steuern, Wahrscheinlichkeit und Doppelzählung prüfen.</t>
        </r>
      </text>
    </comment>
    <comment ref="I4" authorId="0">
      <text>
        <r>
          <rPr>
            <sz val="8"/>
            <color indexed="81"/>
            <rFont val="Tahoma"/>
            <family val="2"/>
          </rPr>
          <t>AUSFÜLLHILFE – Kommentar / Quelle
Was eintragen: Datenquelle, Überleitung und Erklärung wesentlicher Abweichungen eintragen.
Beispiel: VDR 2.1.4; LTM-Umsatz +8 % durch Preis +5 % und Volumen +3 %
Bearbeitung: Eingabe | Pflichtgrad: Pflicht bei Auffälligkeit
Format: Pfad, ID oder URL
Quelle/Nachweis: Reporting / Hauptbuch / Analyse
Qualitätsregel: Keine privaten lokalen Pfade; Zugriff und Version müssen reproduzierbar sein.</t>
        </r>
      </text>
    </comment>
    <comment ref="A5" authorId="0">
      <text>
        <r>
          <rPr>
            <sz val="8"/>
            <color indexed="81"/>
            <rFont val="Tahoma"/>
            <family val="2"/>
          </rPr>
          <t>AUSFÜLLHILFE – Umsatz
Was eintragen: Wert für jede Periode eingeben. Aufwendungen, Schulden und Bestände als positive Beträge erfassen; die Formeln berücksichtigen das Vorzeichen.
Beispiel: 1250000
Bearbeitung: Eingabe | Pflichtgrad: Pflicht bei verfügbaren Daten
Format: Betrag in Berichtswährung
Quelle/Nachweis: Jahresabschluss, Monatsreporting und Hauptbuch
Qualitätsregel: Perioden und Vorzeichen konsistent halten; Abweichungen in Spalte I erklären.</t>
        </r>
      </text>
    </comment>
    <comment ref="A6" authorId="0">
      <text>
        <r>
          <rPr>
            <sz val="8"/>
            <color indexed="81"/>
            <rFont val="Tahoma"/>
            <family val="2"/>
          </rPr>
          <t>AUSFÜLLHILFE – Umsatzkosten (COGS)
Was eintragen: Wert für jede Periode eingeben. Aufwendungen, Schulden und Bestände als positive Beträge erfassen; die Formeln berücksichtigen das Vorzeichen.
Beispiel: 1250000
Bearbeitung: Eingabe | Pflichtgrad: Pflicht bei verfügbaren Daten
Format: Betrag in Berichtswährung
Quelle/Nachweis: Jahresabschluss, Monatsreporting und Hauptbuch
Qualitätsregel: Perioden und Vorzeichen konsistent halten; Abweichungen in Spalte I erklären.</t>
        </r>
      </text>
    </comment>
    <comment ref="A7" authorId="0">
      <text>
        <r>
          <rPr>
            <sz val="8"/>
            <color indexed="81"/>
            <rFont val="Tahoma"/>
            <family val="2"/>
          </rPr>
          <t>AUSFÜLLHILFE – Bruttoergebnis
Was eintragen: Nicht überschreiben; Kennzahl wird aus den Eingaben dieses Blatts berechnet.
Beispiel: Automatisch berechnet
Bearbeitung: Automatische Formel | Pflichtgrad: Automatisch
Format: Formel
Quelle/Nachweis: Verknüpfte Eingabezeilen
Qualitätsregel: Formelzellen nicht überschreiben.</t>
        </r>
      </text>
    </comment>
    <comment ref="A8" authorId="0">
      <text>
        <r>
          <rPr>
            <sz val="8"/>
            <color indexed="81"/>
            <rFont val="Tahoma"/>
            <family val="2"/>
          </rPr>
          <t>AUSFÜLLHILFE – Bruttomarge
Was eintragen: Nicht überschreiben; Kennzahl wird aus den Eingaben dieses Blatts berechnet.
Beispiel: Automatisch berechnet
Bearbeitung: Automatische Formel | Pflichtgrad: Automatisch
Format: Formel
Quelle/Nachweis: Verknüpfte Eingabezeilen
Qualitätsregel: Formelzellen nicht überschreiben.</t>
        </r>
      </text>
    </comment>
    <comment ref="A9" authorId="0">
      <text>
        <r>
          <rPr>
            <sz val="8"/>
            <color indexed="81"/>
            <rFont val="Tahoma"/>
            <family val="2"/>
          </rPr>
          <t>AUSFÜLLHILFE – Personalaufwand
Was eintragen: Wert für jede Periode eingeben. Aufwendungen, Schulden und Bestände als positive Beträge erfassen; die Formeln berücksichtigen das Vorzeichen.
Beispiel: 1250000
Bearbeitung: Eingabe | Pflichtgrad: Pflicht bei verfügbaren Daten
Format: Betrag in Berichtswährung
Quelle/Nachweis: Jahresabschluss, Monatsreporting und Hauptbuch
Qualitätsregel: Perioden und Vorzeichen konsistent halten; Abweichungen in Spalte I erklären.</t>
        </r>
      </text>
    </comment>
    <comment ref="A10" authorId="0">
      <text>
        <r>
          <rPr>
            <sz val="8"/>
            <color indexed="81"/>
            <rFont val="Tahoma"/>
            <family val="2"/>
          </rPr>
          <t>AUSFÜLLHILFE – Sonstige Opex
Was eintragen: Wert für jede Periode eingeben. Aufwendungen, Schulden und Bestände als positive Beträge erfassen; die Formeln berücksichtigen das Vorzeichen.
Beispiel: 1250000
Bearbeitung: Eingabe | Pflichtgrad: Pflicht bei verfügbaren Daten
Format: Betrag in Berichtswährung
Quelle/Nachweis: Jahresabschluss, Monatsreporting und Hauptbuch
Qualitätsregel: Perioden und Vorzeichen konsistent halten; Abweichungen in Spalte I erklären.</t>
        </r>
      </text>
    </comment>
    <comment ref="A11" authorId="0">
      <text>
        <r>
          <rPr>
            <sz val="8"/>
            <color indexed="81"/>
            <rFont val="Tahoma"/>
            <family val="2"/>
          </rPr>
          <t>AUSFÜLLHILFE – EBITDA berichtet
Was eintragen: Wert für jede Periode eingeben. Aufwendungen, Schulden und Bestände als positive Beträge erfassen; die Formeln berücksichtigen das Vorzeichen.
Beispiel: 1250000
Bearbeitung: Eingabe | Pflichtgrad: Pflicht bei verfügbaren Daten
Format: Betrag in Berichtswährung
Quelle/Nachweis: Jahresabschluss, Monatsreporting und Hauptbuch
Qualitätsregel: Perioden und Vorzeichen konsistent halten; Abweichungen in Spalte I erklären.</t>
        </r>
      </text>
    </comment>
    <comment ref="A12" authorId="0">
      <text>
        <r>
          <rPr>
            <sz val="8"/>
            <color indexed="81"/>
            <rFont val="Tahoma"/>
            <family val="2"/>
          </rPr>
          <t>AUSFÜLLHILFE – QoE-Anpassungen (netto)
Was eintragen: Wert für jede Periode eingeben. Aufwendungen, Schulden und Bestände als positive Beträge erfassen; die Formeln berücksichtigen das Vorzeichen.
Beispiel: 1250000
Bearbeitung: Eingabe | Pflichtgrad: Pflicht bei verfügbaren Daten
Format: Betrag in Berichtswährung
Quelle/Nachweis: Jahresabschluss, Monatsreporting und Hauptbuch
Qualitätsregel: Perioden und Vorzeichen konsistent halten; Abweichungen in Spalte I erklären.</t>
        </r>
      </text>
    </comment>
    <comment ref="A13" authorId="0">
      <text>
        <r>
          <rPr>
            <sz val="8"/>
            <color indexed="81"/>
            <rFont val="Tahoma"/>
            <family val="2"/>
          </rPr>
          <t>AUSFÜLLHILFE – EBITDA normalisiert
Was eintragen: Nicht überschreiben; Kennzahl wird aus den Eingaben dieses Blatts berechnet.
Beispiel: Automatisch berechnet
Bearbeitung: Automatische Formel | Pflichtgrad: Automatisch
Format: Formel
Quelle/Nachweis: Verknüpfte Eingabezeilen
Qualitätsregel: Formelzellen nicht überschreiben.</t>
        </r>
      </text>
    </comment>
    <comment ref="A14" authorId="0">
      <text>
        <r>
          <rPr>
            <sz val="8"/>
            <color indexed="81"/>
            <rFont val="Tahoma"/>
            <family val="2"/>
          </rPr>
          <t>AUSFÜLLHILFE – EBITDA-Marge normalisiert
Was eintragen: Nicht überschreiben; Kennzahl wird aus den Eingaben dieses Blatts berechnet.
Beispiel: Automatisch berechnet
Bearbeitung: Automatische Formel | Pflichtgrad: Automatisch
Format: Formel
Quelle/Nachweis: Verknüpfte Eingabezeilen
Qualitätsregel: Formelzellen nicht überschreiben.</t>
        </r>
      </text>
    </comment>
    <comment ref="A15" authorId="0">
      <text>
        <r>
          <rPr>
            <sz val="8"/>
            <color indexed="81"/>
            <rFont val="Tahoma"/>
            <family val="2"/>
          </rPr>
          <t>AUSFÜLLHILFE – Abschreibungen
Was eintragen: Wert für jede Periode eingeben. Aufwendungen, Schulden und Bestände als positive Beträge erfassen; die Formeln berücksichtigen das Vorzeichen.
Beispiel: 1250000
Bearbeitung: Eingabe | Pflichtgrad: Pflicht bei verfügbaren Daten
Format: Betrag in Berichtswährung
Quelle/Nachweis: Jahresabschluss, Monatsreporting und Hauptbuch
Qualitätsregel: Perioden und Vorzeichen konsistent halten; Abweichungen in Spalte I erklären.</t>
        </r>
      </text>
    </comment>
    <comment ref="A16" authorId="0">
      <text>
        <r>
          <rPr>
            <sz val="8"/>
            <color indexed="81"/>
            <rFont val="Tahoma"/>
            <family val="2"/>
          </rPr>
          <t>AUSFÜLLHILFE – EBIT normalisiert
Was eintragen: Nicht überschreiben; Kennzahl wird aus den Eingaben dieses Blatts berechnet.
Beispiel: Automatisch berechnet
Bearbeitung: Automatische Formel | Pflichtgrad: Automatisch
Format: Formel
Quelle/Nachweis: Verknüpfte Eingabezeilen
Qualitätsregel: Formelzellen nicht überschreiben.</t>
        </r>
      </text>
    </comment>
    <comment ref="A17" authorId="0">
      <text>
        <r>
          <rPr>
            <sz val="8"/>
            <color indexed="81"/>
            <rFont val="Tahoma"/>
            <family val="2"/>
          </rPr>
          <t>AUSFÜLLHILFE – Nettozinsaufwand
Was eintragen: Wert für jede Periode eingeben. Aufwendungen, Schulden und Bestände als positive Beträge erfassen; die Formeln berücksichtigen das Vorzeichen.
Beispiel: 1250000
Bearbeitung: Eingabe | Pflichtgrad: Pflicht bei verfügbaren Daten
Format: Betrag in Berichtswährung
Quelle/Nachweis: Jahresabschluss, Monatsreporting und Hauptbuch
Qualitätsregel: Perioden und Vorzeichen konsistent halten; Abweichungen in Spalte I erklären.</t>
        </r>
      </text>
    </comment>
    <comment ref="A18" authorId="0">
      <text>
        <r>
          <rPr>
            <sz val="8"/>
            <color indexed="81"/>
            <rFont val="Tahoma"/>
            <family val="2"/>
          </rPr>
          <t>AUSFÜLLHILFE – Ertragsteuern
Was eintragen: Wert für jede Periode eingeben. Aufwendungen, Schulden und Bestände als positive Beträge erfassen; die Formeln berücksichtigen das Vorzeichen.
Beispiel: 1250000
Bearbeitung: Eingabe | Pflichtgrad: Pflicht bei verfügbaren Daten
Format: Betrag in Berichtswährung
Quelle/Nachweis: Jahresabschluss, Monatsreporting und Hauptbuch
Qualitätsregel: Perioden und Vorzeichen konsistent halten; Abweichungen in Spalte I erklären.</t>
        </r>
      </text>
    </comment>
    <comment ref="A19" authorId="0">
      <text>
        <r>
          <rPr>
            <sz val="8"/>
            <color indexed="81"/>
            <rFont val="Tahoma"/>
            <family val="2"/>
          </rPr>
          <t>AUSFÜLLHILFE – Jahresergebnis (vereinfachte Sicht)
Was eintragen: Nicht überschreiben; Kennzahl wird aus den Eingaben dieses Blatts berechnet.
Beispiel: Automatisch berechnet
Bearbeitung: Automatische Formel | Pflichtgrad: Automatisch
Format: Formel
Quelle/Nachweis: Verknüpfte Eingabezeilen
Qualitätsregel: Formelzellen nicht überschreiben.</t>
        </r>
      </text>
    </comment>
    <comment ref="A20" authorId="0">
      <text>
        <r>
          <rPr>
            <sz val="8"/>
            <color indexed="81"/>
            <rFont val="Tahoma"/>
            <family val="2"/>
          </rPr>
          <t>AUSFÜLLHILFE – Operativer Cashflow
Was eintragen: Wert für jede Periode eingeben. Aufwendungen, Schulden und Bestände als positive Beträge erfassen; die Formeln berücksichtigen das Vorzeichen.
Beispiel: 1250000
Bearbeitung: Eingabe | Pflichtgrad: Pflicht bei verfügbaren Daten
Format: Betrag in Berichtswährung
Quelle/Nachweis: Jahresabschluss, Monatsreporting und Hauptbuch
Qualitätsregel: Perioden und Vorzeichen konsistent halten; Abweichungen in Spalte I erklären.</t>
        </r>
      </text>
    </comment>
    <comment ref="A21" authorId="0">
      <text>
        <r>
          <rPr>
            <sz val="8"/>
            <color indexed="81"/>
            <rFont val="Tahoma"/>
            <family val="2"/>
          </rPr>
          <t>AUSFÜLLHILFE – Capex
Was eintragen: Wert für jede Periode eingeben. Aufwendungen, Schulden und Bestände als positive Beträge erfassen; die Formeln berücksichtigen das Vorzeichen.
Beispiel: 1250000
Bearbeitung: Eingabe | Pflichtgrad: Pflicht bei verfügbaren Daten
Format: Betrag in Berichtswährung
Quelle/Nachweis: Jahresabschluss, Monatsreporting und Hauptbuch
Qualitätsregel: Perioden und Vorzeichen konsistent halten; Abweichungen in Spalte I erklären.</t>
        </r>
      </text>
    </comment>
    <comment ref="A22" authorId="0">
      <text>
        <r>
          <rPr>
            <sz val="8"/>
            <color indexed="81"/>
            <rFont val="Tahoma"/>
            <family val="2"/>
          </rPr>
          <t>AUSFÜLLHILFE – Free Cashflow
Was eintragen: Nicht überschreiben; Kennzahl wird aus den Eingaben dieses Blatts berechnet.
Beispiel: Automatisch berechnet
Bearbeitung: Automatische Formel | Pflichtgrad: Automatisch
Format: Formel
Quelle/Nachweis: Verknüpfte Eingabezeilen
Qualitätsregel: Formelzellen nicht überschreiben.</t>
        </r>
      </text>
    </comment>
    <comment ref="A23" authorId="0">
      <text>
        <r>
          <rPr>
            <sz val="8"/>
            <color indexed="81"/>
            <rFont val="Tahoma"/>
            <family val="2"/>
          </rPr>
          <t>AUSFÜLLHILFE – Cash
Was eintragen: Wert für jede Periode eingeben. Aufwendungen, Schulden und Bestände als positive Beträge erfassen; die Formeln berücksichtigen das Vorzeichen.
Beispiel: 1250000
Bearbeitung: Eingabe | Pflichtgrad: Pflicht bei verfügbaren Daten
Format: Betrag in Berichtswährung
Quelle/Nachweis: Jahresabschluss, Monatsreporting und Hauptbuch
Qualitätsregel: Perioden und Vorzeichen konsistent halten; Abweichungen in Spalte I erklären.</t>
        </r>
      </text>
    </comment>
    <comment ref="A24" authorId="0">
      <text>
        <r>
          <rPr>
            <sz val="8"/>
            <color indexed="81"/>
            <rFont val="Tahoma"/>
            <family val="2"/>
          </rPr>
          <t>AUSFÜLLHILFE – Finanzschulden
Was eintragen: Wert für jede Periode eingeben. Aufwendungen, Schulden und Bestände als positive Beträge erfassen; die Formeln berücksichtigen das Vorzeichen.
Beispiel: 1250000
Bearbeitung: Eingabe | Pflichtgrad: Pflicht bei verfügbaren Daten
Format: Betrag in Berichtswährung
Quelle/Nachweis: Jahresabschluss, Monatsreporting und Hauptbuch
Qualitätsregel: Perioden und Vorzeichen konsistent halten; Abweichungen in Spalte I erklären.</t>
        </r>
      </text>
    </comment>
    <comment ref="A25" authorId="0">
      <text>
        <r>
          <rPr>
            <sz val="8"/>
            <color indexed="81"/>
            <rFont val="Tahoma"/>
            <family val="2"/>
          </rPr>
          <t>AUSFÜLLHILFE – Leasingverbindlichkeiten
Was eintragen: Wert für jede Periode eingeben. Aufwendungen, Schulden und Bestände als positive Beträge erfassen; die Formeln berücksichtigen das Vorzeichen.
Beispiel: 1250000
Bearbeitung: Eingabe | Pflichtgrad: Pflicht bei verfügbaren Daten
Format: Betrag in Berichtswährung
Quelle/Nachweis: Jahresabschluss, Monatsreporting und Hauptbuch
Qualitätsregel: Perioden und Vorzeichen konsistent halten; Abweichungen in Spalte I erklären.</t>
        </r>
      </text>
    </comment>
    <comment ref="A26" authorId="0">
      <text>
        <r>
          <rPr>
            <sz val="8"/>
            <color indexed="81"/>
            <rFont val="Tahoma"/>
            <family val="2"/>
          </rPr>
          <t>AUSFÜLLHILFE – Sonstige debt-like Positionen
Was eintragen: Wert für jede Periode eingeben. Aufwendungen, Schulden und Bestände als positive Beträge erfassen; die Formeln berücksichtigen das Vorzeichen.
Beispiel: 1250000
Bearbeitung: Eingabe | Pflichtgrad: Pflicht bei verfügbaren Daten
Format: Betrag in Berichtswährung
Quelle/Nachweis: Jahresabschluss, Monatsreporting und Hauptbuch
Qualitätsregel: Perioden und Vorzeichen konsistent halten; Abweichungen in Spalte I erklären.</t>
        </r>
      </text>
    </comment>
    <comment ref="A27" authorId="0">
      <text>
        <r>
          <rPr>
            <sz val="8"/>
            <color indexed="81"/>
            <rFont val="Tahoma"/>
            <family val="2"/>
          </rPr>
          <t>AUSFÜLLHILFE – Net Debt
Was eintragen: Nicht überschreiben; Kennzahl wird aus den Eingaben dieses Blatts berechnet.
Beispiel: Automatisch berechnet
Bearbeitung: Automatische Formel | Pflichtgrad: Automatisch
Format: Formel
Quelle/Nachweis: Verknüpfte Eingabezeilen
Qualitätsregel: Formelzellen nicht überschreiben.</t>
        </r>
      </text>
    </comment>
    <comment ref="A28" authorId="0">
      <text>
        <r>
          <rPr>
            <sz val="8"/>
            <color indexed="81"/>
            <rFont val="Tahoma"/>
            <family val="2"/>
          </rPr>
          <t>AUSFÜLLHILFE – Vorräte
Was eintragen: Wert für jede Periode eingeben. Aufwendungen, Schulden und Bestände als positive Beträge erfassen; die Formeln berücksichtigen das Vorzeichen.
Beispiel: 1250000
Bearbeitung: Eingabe | Pflichtgrad: Pflicht bei verfügbaren Daten
Format: Betrag in Berichtswährung
Quelle/Nachweis: Jahresabschluss, Monatsreporting und Hauptbuch
Qualitätsregel: Perioden und Vorzeichen konsistent halten; Abweichungen in Spalte I erklären.</t>
        </r>
      </text>
    </comment>
    <comment ref="A29" authorId="0">
      <text>
        <r>
          <rPr>
            <sz val="8"/>
            <color indexed="81"/>
            <rFont val="Tahoma"/>
            <family val="2"/>
          </rPr>
          <t>AUSFÜLLHILFE – Forderungen L&amp;L
Was eintragen: Wert für jede Periode eingeben. Aufwendungen, Schulden und Bestände als positive Beträge erfassen; die Formeln berücksichtigen das Vorzeichen.
Beispiel: 1250000
Bearbeitung: Eingabe | Pflichtgrad: Pflicht bei verfügbaren Daten
Format: Betrag in Berichtswährung
Quelle/Nachweis: Jahresabschluss, Monatsreporting und Hauptbuch
Qualitätsregel: Perioden und Vorzeichen konsistent halten; Abweichungen in Spalte I erklären.</t>
        </r>
      </text>
    </comment>
    <comment ref="A30" authorId="0">
      <text>
        <r>
          <rPr>
            <sz val="8"/>
            <color indexed="81"/>
            <rFont val="Tahoma"/>
            <family val="2"/>
          </rPr>
          <t>AUSFÜLLHILFE – Vertragsvermögenswerte
Was eintragen: Wert für jede Periode eingeben. Aufwendungen, Schulden und Bestände als positive Beträge erfassen; die Formeln berücksichtigen das Vorzeichen.
Beispiel: 1250000
Bearbeitung: Eingabe | Pflichtgrad: Pflicht bei verfügbaren Daten
Format: Betrag in Berichtswährung
Quelle/Nachweis: Jahresabschluss, Monatsreporting und Hauptbuch
Qualitätsregel: Perioden und Vorzeichen konsistent halten; Abweichungen in Spalte I erklären.</t>
        </r>
      </text>
    </comment>
    <comment ref="A31" authorId="0">
      <text>
        <r>
          <rPr>
            <sz val="8"/>
            <color indexed="81"/>
            <rFont val="Tahoma"/>
            <family val="2"/>
          </rPr>
          <t>AUSFÜLLHILFE – Sonstige operative kurzfristige Aktiva
Was eintragen: Wert für jede Periode eingeben. Aufwendungen, Schulden und Bestände als positive Beträge erfassen; die Formeln berücksichtigen das Vorzeichen.
Beispiel: 1250000
Bearbeitung: Eingabe | Pflichtgrad: Pflicht bei verfügbaren Daten
Format: Betrag in Berichtswährung
Quelle/Nachweis: Jahresabschluss, Monatsreporting und Hauptbuch
Qualitätsregel: Perioden und Vorzeichen konsistent halten; Abweichungen in Spalte I erklären.</t>
        </r>
      </text>
    </comment>
    <comment ref="A32" authorId="0">
      <text>
        <r>
          <rPr>
            <sz val="8"/>
            <color indexed="81"/>
            <rFont val="Tahoma"/>
            <family val="2"/>
          </rPr>
          <t>AUSFÜLLHILFE – Verbindlichkeiten L&amp;L
Was eintragen: Wert für jede Periode eingeben. Aufwendungen, Schulden und Bestände als positive Beträge erfassen; die Formeln berücksichtigen das Vorzeichen.
Beispiel: 1250000
Bearbeitung: Eingabe | Pflichtgrad: Pflicht bei verfügbaren Daten
Format: Betrag in Berichtswährung
Quelle/Nachweis: Jahresabschluss, Monatsreporting und Hauptbuch
Qualitätsregel: Perioden und Vorzeichen konsistent halten; Abweichungen in Spalte I erklären.</t>
        </r>
      </text>
    </comment>
    <comment ref="A33" authorId="0">
      <text>
        <r>
          <rPr>
            <sz val="8"/>
            <color indexed="81"/>
            <rFont val="Tahoma"/>
            <family val="2"/>
          </rPr>
          <t>AUSFÜLLHILFE – Deferred Revenue / Vertragsverbindlichkeiten
Was eintragen: Wert für jede Periode eingeben. Aufwendungen, Schulden und Bestände als positive Beträge erfassen; die Formeln berücksichtigen das Vorzeichen.
Beispiel: 1250000
Bearbeitung: Eingabe | Pflichtgrad: Pflicht bei verfügbaren Daten
Format: Betrag in Berichtswährung
Quelle/Nachweis: Jahresabschluss, Monatsreporting und Hauptbuch
Qualitätsregel: Perioden und Vorzeichen konsistent halten; Abweichungen in Spalte I erklären.</t>
        </r>
      </text>
    </comment>
    <comment ref="A34" authorId="0">
      <text>
        <r>
          <rPr>
            <sz val="8"/>
            <color indexed="81"/>
            <rFont val="Tahoma"/>
            <family val="2"/>
          </rPr>
          <t>AUSFÜLLHILFE – Sonstige operative kurzfristige Passiva
Was eintragen: Wert für jede Periode eingeben. Aufwendungen, Schulden und Bestände als positive Beträge erfassen; die Formeln berücksichtigen das Vorzeichen.
Beispiel: 1250000
Bearbeitung: Eingabe | Pflichtgrad: Pflicht bei verfügbaren Daten
Format: Betrag in Berichtswährung
Quelle/Nachweis: Jahresabschluss, Monatsreporting und Hauptbuch
Qualitätsregel: Perioden und Vorzeichen konsistent halten; Abweichungen in Spalte I erklären.</t>
        </r>
      </text>
    </comment>
    <comment ref="A35" authorId="0">
      <text>
        <r>
          <rPr>
            <sz val="8"/>
            <color indexed="81"/>
            <rFont val="Tahoma"/>
            <family val="2"/>
          </rPr>
          <t>AUSFÜLLHILFE – Net Working Capital
Was eintragen: Nicht überschreiben; Kennzahl wird aus den Eingaben dieses Blatts berechnet.
Beispiel: Automatisch berechnet
Bearbeitung: Automatische Formel | Pflichtgrad: Automatisch
Format: Formel
Quelle/Nachweis: Verknüpfte Eingabezeilen
Qualitätsregel: Formelzellen nicht überschreiben.</t>
        </r>
      </text>
    </comment>
    <comment ref="A36" authorId="0">
      <text>
        <r>
          <rPr>
            <sz val="8"/>
            <color indexed="81"/>
            <rFont val="Tahoma"/>
            <family val="2"/>
          </rPr>
          <t>AUSFÜLLHILFE – NWC in % Umsatz
Was eintragen: Nicht überschreiben; Kennzahl wird aus den Eingaben dieses Blatts berechnet.
Beispiel: Automatisch berechnet
Bearbeitung: Automatische Formel | Pflichtgrad: Automatisch
Format: Formel
Quelle/Nachweis: Verknüpfte Eingabezeilen
Qualitätsregel: Formelzellen nicht überschreiben.</t>
        </r>
      </text>
    </comment>
    <comment ref="A37" authorId="0">
      <text>
        <r>
          <rPr>
            <sz val="8"/>
            <color indexed="81"/>
            <rFont val="Tahoma"/>
            <family val="2"/>
          </rPr>
          <t>AUSFÜLLHILFE – DSO
Was eintragen: Nicht überschreiben; Kennzahl wird aus den Eingaben dieses Blatts berechnet.
Beispiel: Automatisch berechnet
Bearbeitung: Automatische Formel | Pflichtgrad: Automatisch
Format: Formel
Quelle/Nachweis: Verknüpfte Eingabezeilen
Qualitätsregel: Formelzellen nicht überschreiben.</t>
        </r>
      </text>
    </comment>
    <comment ref="A38" authorId="0">
      <text>
        <r>
          <rPr>
            <sz val="8"/>
            <color indexed="81"/>
            <rFont val="Tahoma"/>
            <family val="2"/>
          </rPr>
          <t>AUSFÜLLHILFE – DIO
Was eintragen: Nicht überschreiben; Kennzahl wird aus den Eingaben dieses Blatts berechnet.
Beispiel: Automatisch berechnet
Bearbeitung: Automatische Formel | Pflichtgrad: Automatisch
Format: Formel
Quelle/Nachweis: Verknüpfte Eingabezeilen
Qualitätsregel: Formelzellen nicht überschreiben.</t>
        </r>
      </text>
    </comment>
    <comment ref="A39" authorId="0">
      <text>
        <r>
          <rPr>
            <sz val="8"/>
            <color indexed="81"/>
            <rFont val="Tahoma"/>
            <family val="2"/>
          </rPr>
          <t>AUSFÜLLHILFE – DPO
Was eintragen: Nicht überschreiben; Kennzahl wird aus den Eingaben dieses Blatts berechnet.
Beispiel: Automatisch berechnet
Bearbeitung: Automatische Formel | Pflichtgrad: Automatisch
Format: Formel
Quelle/Nachweis: Verknüpfte Eingabezeilen
Qualitätsregel: Formelzellen nicht überschreiben.</t>
        </r>
      </text>
    </comment>
    <comment ref="A40" authorId="0">
      <text>
        <r>
          <rPr>
            <sz val="8"/>
            <color indexed="81"/>
            <rFont val="Tahoma"/>
            <family val="2"/>
          </rPr>
          <t>AUSFÜLLHILFE – Headcount (FTE)
Was eintragen: FTE je Periode als durchschnittlichen oder Stichtagswert konsistent erfassen.
Beispiel: 84
Bearbeitung: Eingabe | Pflichtgrad: Pflicht bei verfügbaren Daten
Format: Ganzzahl / FTE
Quelle/Nachweis: Jahresabschluss, Monatsreporting und Hauptbuch
Qualitätsregel: Perioden und Vorzeichen konsistent halten; Abweichungen in Spalte I erklären.</t>
        </r>
      </text>
    </comment>
    <comment ref="A41" authorId="0">
      <text>
        <r>
          <rPr>
            <sz val="8"/>
            <color indexed="81"/>
            <rFont val="Tahoma"/>
            <family val="2"/>
          </rPr>
          <t>AUSFÜLLHILFE – Umsatz je FTE
Was eintragen: Nicht überschreiben; Kennzahl wird aus den Eingaben dieses Blatts berechnet.
Beispiel: Automatisch berechnet
Bearbeitung: Automatische Formel | Pflichtgrad: Automatisch
Format: Formel
Quelle/Nachweis: Verknüpfte Eingabezeilen
Qualitätsregel: Formelzellen nicht überschreiben.</t>
        </r>
      </text>
    </comment>
    <comment ref="A42" authorId="0">
      <text>
        <r>
          <rPr>
            <sz val="8"/>
            <color indexed="81"/>
            <rFont val="Tahoma"/>
            <family val="2"/>
          </rPr>
          <t>AUSFÜLLHILFE – EBITDA je FTE
Was eintragen: Nicht überschreiben; Kennzahl wird aus den Eingaben dieses Blatts berechnet.
Beispiel: Automatisch berechnet
Bearbeitung: Automatische Formel | Pflichtgrad: Automatisch
Format: Formel
Quelle/Nachweis: Verknüpfte Eingabezeilen
Qualitätsregel: Formelzellen nicht überschreiben.</t>
        </r>
      </text>
    </comment>
  </commentList>
</comments>
</file>

<file path=xl/comments9.xml><?xml version="1.0" encoding="utf-8"?>
<comments xmlns="http://schemas.openxmlformats.org/spreadsheetml/2006/main">
  <authors>
    <author>Ausfüllhilfe</author>
  </authors>
  <commentList>
    <comment ref="B4" authorId="0">
      <text>
        <r>
          <rPr>
            <sz val="8"/>
            <color indexed="81"/>
            <rFont val="Tahoma"/>
            <family val="2"/>
          </rPr>
          <t>AUSFÜLLHILFE – EBITDA berichtet (LTM)
Was eintragen: Berichtetes EBITDA der identischen LTM-Periode vor DD-Anpassungen eingeben.
Beispiel: 4250000
Bearbeitung: Eingabe | Pflichtgrad: Pflicht
Format: Betrag in Berichtswährung
Quelle/Nachweis: Management Reporting / GuV-Überleitung
Qualitätsregel: Periode und Definition mit 07_Finanzanalyse abstimmen.</t>
        </r>
      </text>
    </comment>
    <comment ref="A9" authorId="0">
      <text>
        <r>
          <rPr>
            <sz val="8"/>
            <color indexed="81"/>
            <rFont val="Tahoma"/>
            <family val="2"/>
          </rPr>
          <t>AUSFÜLLHILFE – Adj.-ID
Was eintragen: Eindeutige Kennung beibehalten; nur beim Ergänzen neuer Zeilen fortlaufend vergeben.
Beispiel: R-014
Bearbeitung: Vorbelegt | Pflichtgrad: Automatisch
Format: Text, eindeutig
Quelle/Nachweis: Arbeitsmappe
Qualitätsregel: Keine ID doppelt vergeben oder nachträglich umnummerieren.</t>
        </r>
      </text>
    </comment>
    <comment ref="B9" authorId="0">
      <text>
        <r>
          <rPr>
            <sz val="8"/>
            <color indexed="81"/>
            <rFont val="Tahoma"/>
            <family val="2"/>
          </rPr>
          <t>AUSFÜLLHILFE – Kategorie
Was eintragen: Sachverhalt einer eindeutigen Kategorie zuordnen.
Beispiel: Financial – Working Capital
Bearbeitung: Eingabe | Pflichtgrad: Pflicht
Format: Auswahl oder kurzer Text
Quelle/Nachweis: DD-Scope / Master-Checkliste
Qualitätsregel: Nicht mehrere unverbundene Themen in einer Zeile mischen.</t>
        </r>
      </text>
    </comment>
    <comment ref="C9" authorId="0">
      <text>
        <r>
          <rPr>
            <sz val="8"/>
            <color indexed="81"/>
            <rFont val="Tahoma"/>
            <family val="2"/>
          </rPr>
          <t>AUSFÜLLHILFE – Prüfansatz / Beschreibung
Was eintragen: Den für „Prüfansatz / Beschreibung“ zutreffenden, belegbaren Wert eintragen.
Beispiel: Konkreter Wert oder kurzer, eindeutiger Text
Bearbeitung: Eingabe | Pflichtgrad: Wenn relevant
Format: Text
Quelle/Nachweis: Primärbeleg bzw. freigegebene Projektdaten
Qualitätsregel: Keine unbelegten Annahmen; Quelle oder Referenz ergänzen.</t>
        </r>
      </text>
    </comment>
    <comment ref="D9" authorId="0">
      <text>
        <r>
          <rPr>
            <sz val="8"/>
            <color indexed="81"/>
            <rFont val="Tahoma"/>
            <family val="2"/>
          </rPr>
          <t>AUSFÜLLHILFE – Richtung
Was eintragen: Den für „Richtung“ zutreffenden, belegbaren Wert eintragen.
Beispiel: Konkreter Wert oder kurzer, eindeutiger Text
Bearbeitung: Eingabe | Pflichtgrad: Wenn relevant
Format: Text
Quelle/Nachweis: Primärbeleg bzw. freigegebene Projektdaten
Qualitätsregel: Keine unbelegten Annahmen; Quelle oder Referenz ergänzen.</t>
        </r>
      </text>
    </comment>
    <comment ref="E9" authorId="0">
      <text>
        <r>
          <rPr>
            <sz val="8"/>
            <color indexed="81"/>
            <rFont val="Tahoma"/>
            <family val="2"/>
          </rPr>
          <t>AUSFÜLLHILFE – Periode
Was eintragen: Den für „Periode“ zutreffenden, belegbaren Wert eintragen.
Beispiel: Konkreter Wert oder kurzer, eindeutiger Text
Bearbeitung: Eingabe | Pflichtgrad: Wenn relevant
Format: Text
Quelle/Nachweis: Primärbeleg bzw. freigegebene Projektdaten
Qualitätsregel: Keine unbelegten Annahmen; Quelle oder Referenz ergänzen.</t>
        </r>
      </text>
    </comment>
    <comment ref="F9" authorId="0">
      <text>
        <r>
          <rPr>
            <sz val="8"/>
            <color indexed="81"/>
            <rFont val="Tahoma"/>
            <family val="2"/>
          </rPr>
          <t>AUSFÜLLHILFE – Management-Betrag (€)
Was eintragen: Betrag in Berichtswährung ohne Tausendertext eintragen; Vorzeichenlogik des Blatts beachten.
Beispiel: 250000
Bearbeitung: Eingabe | Pflichtgrad: Wenn quantifizierbar
Format: Zahl in EUR
Quelle/Nachweis: Berechnung / Vertrag / Hauptbuch
Qualitätsregel: Low/Base/High dokumentieren; Steuern, Wahrscheinlichkeit und Doppelzählung prüfen.</t>
        </r>
      </text>
    </comment>
    <comment ref="G9" authorId="0">
      <text>
        <r>
          <rPr>
            <sz val="8"/>
            <color indexed="81"/>
            <rFont val="Tahoma"/>
            <family val="2"/>
          </rPr>
          <t>AUSFÜLLHILFE – DD-Vorschlag (€)
Was eintragen: Betrag in Berichtswährung ohne Tausendertext eintragen; Vorzeichenlogik des Blatts beachten.
Beispiel: 250000
Bearbeitung: Eingabe | Pflichtgrad: Wenn quantifizierbar
Format: Zahl in EUR
Quelle/Nachweis: Berechnung / Vertrag / Hauptbuch
Qualitätsregel: Low/Base/High dokumentieren; Steuern, Wahrscheinlichkeit und Doppelzählung prüfen.</t>
        </r>
      </text>
    </comment>
    <comment ref="H9" authorId="0">
      <text>
        <r>
          <rPr>
            <sz val="8"/>
            <color indexed="81"/>
            <rFont val="Tahoma"/>
            <family val="2"/>
          </rPr>
          <t>AUSFÜLLHILFE – Akzeptierter Betrag (€)
Was eintragen: Betrag in Berichtswährung ohne Tausendertext eintragen; Vorzeichenlogik des Blatts beachten.
Beispiel: 250000
Bearbeitung: Eingabe | Pflichtgrad: Wenn quantifizierbar
Format: Zahl in EUR
Quelle/Nachweis: Berechnung / Vertrag / Hauptbuch
Qualitätsregel: Low/Base/High dokumentieren; Steuern, Wahrscheinlichkeit und Doppelzählung prüfen.</t>
        </r>
      </text>
    </comment>
    <comment ref="I9" authorId="0">
      <text>
        <r>
          <rPr>
            <sz val="8"/>
            <color indexed="81"/>
            <rFont val="Tahoma"/>
            <family val="2"/>
          </rPr>
          <t>AUSFÜLLHILFE – Evidenz
Was eintragen: Konkreten Beleg mit Dateiname, Datum, Version und VDR-Pfad nennen.
Beispiel: VDR 3.2.1, Monatsbilanz 08/2026, Version final
Bearbeitung: Eingabe | Pflichtgrad: Pflicht bei Abschluss
Format: Text / Link / Referenz
Quelle/Nachweis: VDR, Vertrag, Hauptbuch, externe Bestätigung
Qualitätsregel: Management-Aussage allein reicht für wesentliche Findings nicht aus.</t>
        </r>
      </text>
    </comment>
    <comment ref="J9" authorId="0">
      <text>
        <r>
          <rPr>
            <sz val="8"/>
            <color indexed="81"/>
            <rFont val="Tahoma"/>
            <family val="2"/>
          </rPr>
          <t>AUSFÜLLHILFE – Wiederkehrend?
Was eintragen: Ja, Nein oder Zu prüfen anhand der dokumentierten Entscheidung auswählen.
Beispiel: Zu prüfen
Bearbeitung: Eingabe | Pflichtgrad: Pflicht
Format: Dropdown
Quelle/Nachweis: Scope-/Finding-Entscheidung
Qualitätsregel: „Zu prüfen“ mit Owner und Fälligkeit versehen.</t>
        </r>
      </text>
    </comment>
    <comment ref="K9" authorId="0">
      <text>
        <r>
          <rPr>
            <sz val="8"/>
            <color indexed="81"/>
            <rFont val="Tahoma"/>
            <family val="2"/>
          </rPr>
          <t>AUSFÜLLHILFE – Cash / Non-Cash
Was eintragen: Den für „Cash / Non-Cash“ zutreffenden, belegbaren Wert eintragen.
Beispiel: Konkreter Wert oder kurzer, eindeutiger Text
Bearbeitung: Eingabe | Pflichtgrad: Wenn relevant
Format: Text
Quelle/Nachweis: Primärbeleg bzw. freigegebene Projektdaten
Qualitätsregel: Keine unbelegten Annahmen; Quelle oder Referenz ergänzen.</t>
        </r>
      </text>
    </comment>
    <comment ref="L9" authorId="0">
      <text>
        <r>
          <rPr>
            <sz val="8"/>
            <color indexed="81"/>
            <rFont val="Tahoma"/>
            <family val="2"/>
          </rPr>
          <t>AUSFÜLLHILFE – Konfidenz
Was eintragen: Den für „Konfidenz“ zutreffenden, belegbaren Wert eintragen.
Beispiel: Konkreter Wert oder kurzer, eindeutiger Text
Bearbeitung: Eingabe | Pflichtgrad: Wenn relevant
Format: Text
Quelle/Nachweis: Primärbeleg bzw. freigegebene Projektdaten
Qualitätsregel: Keine unbelegten Annahmen; Quelle oder Referenz ergänzen.</t>
        </r>
      </text>
    </comment>
    <comment ref="M9" authorId="0">
      <text>
        <r>
          <rPr>
            <sz val="8"/>
            <color indexed="81"/>
            <rFont val="Tahoma"/>
            <family val="2"/>
          </rPr>
          <t>AUSFÜLLHILFE – Status
Was eintragen: Nur den tatsächlich erreichten Bearbeitungsstand auswählen.
Beispiel: In Prüfung
Bearbeitung: Eingabe | Pflichtgrad: Pflicht
Format: Dropdown
Quelle/Nachweis: Aktueller Arbeitsstand
Qualitätsregel: „Abgeschlossen“ erst bei dokumentierter Evidenz und Reviewer-Freigabe.</t>
        </r>
      </text>
    </comment>
    <comment ref="N9" authorId="0">
      <text>
        <r>
          <rPr>
            <sz val="8"/>
            <color indexed="81"/>
            <rFont val="Tahoma"/>
            <family val="2"/>
          </rPr>
          <t>AUSFÜLLHILFE – Owner
Was eintragen: Namentlich verantwortliche Person oder eindeutige Rolle eintragen.
Beispiel: Anna Beispiel (CFO) / Tax Lead
Bearbeitung: Eingabe | Pflichtgrad: Pflicht für aktive Punkte
Format: Name und Rolle
Quelle/Nachweis: Projekt-RACI
Qualitätsregel: Keine Mehrfach-Owner; genau eine rechenschaftspflichtige Rolle festlegen.</t>
        </r>
      </text>
    </comment>
    <comment ref="O9" authorId="0">
      <text>
        <r>
          <rPr>
            <sz val="8"/>
            <color indexed="81"/>
            <rFont val="Tahoma"/>
            <family val="2"/>
          </rPr>
          <t>AUSFÜLLHILFE – Quelle / Ref.
Was eintragen: Verknüpfte Checklisten-, Risiko-, Dokument- oder Q&amp;A-ID eintragen.
Beispiel: FIN-04 / DOC-037 / Q-012
Bearbeitung: Eingabe | Pflichtgrad: Empfohlen
Format: Eine oder mehrere IDs
Quelle/Nachweis: Andere Register dieser Arbeitsmappe
Qualitätsregel: Nur vorhandene IDs verwenden; mehrere Referenzen mit „ / “ trennen.</t>
        </r>
      </text>
    </comment>
    <comment ref="P9" authorId="0">
      <text>
        <r>
          <rPr>
            <sz val="8"/>
            <color indexed="81"/>
            <rFont val="Tahoma"/>
            <family val="2"/>
          </rPr>
          <t>AUSFÜLLHILFE – Kommentar
Was eintragen: Entscheidung, Begründung, Annahmen und offene Einschränkungen knapp dokumentieren.
Beispiel: IC akzeptiert Restrisiko unter Bedingung eines 300 T€ Escrows.
Bearbeitung: Eingabe | Pflichtgrad: Bei Abweichung/Entscheidung
Format: Kurzer Audit-Trail
Quelle/Nachweis: Meeting-/Entscheidungsprotokoll
Qualitätsregel: Datum und Entscheider nennen; keine vertraulichen Nebendaten kopieren.</t>
        </r>
      </text>
    </comment>
  </commentList>
</comments>
</file>

<file path=xl/comments10.xml><?xml version="1.0" encoding="utf-8"?>
<comments xmlns="http://schemas.openxmlformats.org/spreadsheetml/2006/main">
  <authors>
    <author>Ausfüllhilfe</author>
  </authors>
  <commentList>
    <comment ref="A5" authorId="0">
      <text>
        <r>
          <rPr>
            <sz val="8"/>
            <color indexed="81"/>
            <rFont val="Tahoma"/>
            <family val="2"/>
          </rPr>
          <t>AUSFÜLLHILFE – Komponente
Was eintragen: Operative NWC-Komponente beibehalten oder eindeutig ergänzen.
Beispiel: Forderungen L&amp;L
Bearbeitung: Vorbelegt / ergänzbar | Pflichtgrad: Pflicht
Format: Auswahl oder kurzer Text
Quelle/Nachweis: Closing-Accounts-Definition
Qualitätsregel: Nicht mehrere unverbundene Themen in einer Zeile mischen.</t>
        </r>
      </text>
    </comment>
    <comment ref="B5" authorId="0">
      <text>
        <r>
          <rPr>
            <sz val="8"/>
            <color indexed="81"/>
            <rFont val="Tahoma"/>
            <family val="2"/>
          </rPr>
          <t>AUSFÜLLHILFE – Faktor
Was eintragen: +1 für Aktiva, −1 für Passiva wählen.
Beispiel: -1
Bearbeitung: Eingabe | Pflichtgrad: Pflicht
Format: Dropdown +1/−1
Quelle/Nachweis: Wirtschaftliche NWC-Logik
Qualitätsregel: Keine unbelegten Annahmen; Quelle oder Referenz ergänzen.</t>
        </r>
      </text>
    </comment>
    <comment ref="C5" authorId="0">
      <text>
        <r>
          <rPr>
            <sz val="8"/>
            <color indexed="81"/>
            <rFont val="Tahoma"/>
            <family val="2"/>
          </rPr>
          <t>AUSFÜLLHILFE – Monat -11
Was eintragen: Monatsendbestand als positiven Bruttobetrag eingeben.
Beispiel: 850000
Bearbeitung: Eingabe | Pflichtgrad: Pflicht für repräsentative Historie
Format: Betrag in Berichtswährung
Quelle/Nachweis: Monatsbilanz / Hauptbuch
Qualitätsregel: Mindestens 12, bei starker Saisonalität 24–36 Monate analysieren.</t>
        </r>
      </text>
    </comment>
    <comment ref="D5" authorId="0">
      <text>
        <r>
          <rPr>
            <sz val="8"/>
            <color indexed="81"/>
            <rFont val="Tahoma"/>
            <family val="2"/>
          </rPr>
          <t>AUSFÜLLHILFE – Monat -10
Was eintragen: Monatsendbestand als positiven Bruttobetrag eingeben.
Beispiel: 850000
Bearbeitung: Eingabe | Pflichtgrad: Pflicht für repräsentative Historie
Format: Betrag in Berichtswährung
Quelle/Nachweis: Monatsbilanz / Hauptbuch
Qualitätsregel: Mindestens 12, bei starker Saisonalität 24–36 Monate analysieren.</t>
        </r>
      </text>
    </comment>
    <comment ref="E5" authorId="0">
      <text>
        <r>
          <rPr>
            <sz val="8"/>
            <color indexed="81"/>
            <rFont val="Tahoma"/>
            <family val="2"/>
          </rPr>
          <t>AUSFÜLLHILFE – Monat -9
Was eintragen: Monatsendbestand als positiven Bruttobetrag eingeben.
Beispiel: 850000
Bearbeitung: Eingabe | Pflichtgrad: Pflicht für repräsentative Historie
Format: Betrag in Berichtswährung
Quelle/Nachweis: Monatsbilanz / Hauptbuch
Qualitätsregel: Mindestens 12, bei starker Saisonalität 24–36 Monate analysieren.</t>
        </r>
      </text>
    </comment>
    <comment ref="F5" authorId="0">
      <text>
        <r>
          <rPr>
            <sz val="8"/>
            <color indexed="81"/>
            <rFont val="Tahoma"/>
            <family val="2"/>
          </rPr>
          <t>AUSFÜLLHILFE – Monat -8
Was eintragen: Monatsendbestand als positiven Bruttobetrag eingeben.
Beispiel: 850000
Bearbeitung: Eingabe | Pflichtgrad: Pflicht für repräsentative Historie
Format: Betrag in Berichtswährung
Quelle/Nachweis: Monatsbilanz / Hauptbuch
Qualitätsregel: Mindestens 12, bei starker Saisonalität 24–36 Monate analysieren.</t>
        </r>
      </text>
    </comment>
    <comment ref="G5" authorId="0">
      <text>
        <r>
          <rPr>
            <sz val="8"/>
            <color indexed="81"/>
            <rFont val="Tahoma"/>
            <family val="2"/>
          </rPr>
          <t>AUSFÜLLHILFE – Monat -7
Was eintragen: Monatsendbestand als positiven Bruttobetrag eingeben.
Beispiel: 850000
Bearbeitung: Eingabe | Pflichtgrad: Pflicht für repräsentative Historie
Format: Betrag in Berichtswährung
Quelle/Nachweis: Monatsbilanz / Hauptbuch
Qualitätsregel: Mindestens 12, bei starker Saisonalität 24–36 Monate analysieren.</t>
        </r>
      </text>
    </comment>
    <comment ref="H5" authorId="0">
      <text>
        <r>
          <rPr>
            <sz val="8"/>
            <color indexed="81"/>
            <rFont val="Tahoma"/>
            <family val="2"/>
          </rPr>
          <t>AUSFÜLLHILFE – Monat -6
Was eintragen: Monatsendbestand als positiven Bruttobetrag eingeben.
Beispiel: 850000
Bearbeitung: Eingabe | Pflichtgrad: Pflicht für repräsentative Historie
Format: Betrag in Berichtswährung
Quelle/Nachweis: Monatsbilanz / Hauptbuch
Qualitätsregel: Mindestens 12, bei starker Saisonalität 24–36 Monate analysieren.</t>
        </r>
      </text>
    </comment>
    <comment ref="I5" authorId="0">
      <text>
        <r>
          <rPr>
            <sz val="8"/>
            <color indexed="81"/>
            <rFont val="Tahoma"/>
            <family val="2"/>
          </rPr>
          <t>AUSFÜLLHILFE – Monat -5
Was eintragen: Monatsendbestand als positiven Bruttobetrag eingeben.
Beispiel: 850000
Bearbeitung: Eingabe | Pflichtgrad: Pflicht für repräsentative Historie
Format: Betrag in Berichtswährung
Quelle/Nachweis: Monatsbilanz / Hauptbuch
Qualitätsregel: Mindestens 12, bei starker Saisonalität 24–36 Monate analysieren.</t>
        </r>
      </text>
    </comment>
    <comment ref="J5" authorId="0">
      <text>
        <r>
          <rPr>
            <sz val="8"/>
            <color indexed="81"/>
            <rFont val="Tahoma"/>
            <family val="2"/>
          </rPr>
          <t>AUSFÜLLHILFE – Monat -4
Was eintragen: Monatsendbestand als positiven Bruttobetrag eingeben.
Beispiel: 850000
Bearbeitung: Eingabe | Pflichtgrad: Pflicht für repräsentative Historie
Format: Betrag in Berichtswährung
Quelle/Nachweis: Monatsbilanz / Hauptbuch
Qualitätsregel: Mindestens 12, bei starker Saisonalität 24–36 Monate analysieren.</t>
        </r>
      </text>
    </comment>
    <comment ref="K5" authorId="0">
      <text>
        <r>
          <rPr>
            <sz val="8"/>
            <color indexed="81"/>
            <rFont val="Tahoma"/>
            <family val="2"/>
          </rPr>
          <t>AUSFÜLLHILFE – Monat -3
Was eintragen: Monatsendbestand als positiven Bruttobetrag eingeben.
Beispiel: 850000
Bearbeitung: Eingabe | Pflichtgrad: Pflicht für repräsentative Historie
Format: Betrag in Berichtswährung
Quelle/Nachweis: Monatsbilanz / Hauptbuch
Qualitätsregel: Mindestens 12, bei starker Saisonalität 24–36 Monate analysieren.</t>
        </r>
      </text>
    </comment>
    <comment ref="L5" authorId="0">
      <text>
        <r>
          <rPr>
            <sz val="8"/>
            <color indexed="81"/>
            <rFont val="Tahoma"/>
            <family val="2"/>
          </rPr>
          <t>AUSFÜLLHILFE – Monat -2
Was eintragen: Monatsendbestand als positiven Bruttobetrag eingeben.
Beispiel: 850000
Bearbeitung: Eingabe | Pflichtgrad: Pflicht für repräsentative Historie
Format: Betrag in Berichtswährung
Quelle/Nachweis: Monatsbilanz / Hauptbuch
Qualitätsregel: Mindestens 12, bei starker Saisonalität 24–36 Monate analysieren.</t>
        </r>
      </text>
    </comment>
    <comment ref="M5" authorId="0">
      <text>
        <r>
          <rPr>
            <sz val="8"/>
            <color indexed="81"/>
            <rFont val="Tahoma"/>
            <family val="2"/>
          </rPr>
          <t>AUSFÜLLHILFE – Monat -1
Was eintragen: Monatsendbestand als positiven Bruttobetrag eingeben.
Beispiel: 850000
Bearbeitung: Eingabe | Pflichtgrad: Pflicht für repräsentative Historie
Format: Betrag in Berichtswährung
Quelle/Nachweis: Monatsbilanz / Hauptbuch
Qualitätsregel: Mindestens 12, bei starker Saisonalität 24–36 Monate analysieren.</t>
        </r>
      </text>
    </comment>
    <comment ref="N5" authorId="0">
      <text>
        <r>
          <rPr>
            <sz val="8"/>
            <color indexed="81"/>
            <rFont val="Tahoma"/>
            <family val="2"/>
          </rPr>
          <t>AUSFÜLLHILFE – Monat 0
Was eintragen: Monatsendbestand als positiven Bruttobetrag eingeben.
Beispiel: 850000
Bearbeitung: Eingabe | Pflichtgrad: Pflicht für repräsentative Historie
Format: Betrag in Berichtswährung
Quelle/Nachweis: Monatsbilanz / Hauptbuch
Qualitätsregel: Mindestens 12, bei starker Saisonalität 24–36 Monate analysieren.</t>
        </r>
      </text>
    </comment>
    <comment ref="O5" authorId="0">
      <text>
        <r>
          <rPr>
            <sz val="8"/>
            <color indexed="81"/>
            <rFont val="Tahoma"/>
            <family val="2"/>
          </rPr>
          <t>AUSFÜLLHILFE – Durchschnitt
Was eintragen: Nicht überschreiben; Kennzahl wird aus den Monatswerten berechnet.
Beispiel: Automatisch
Bearbeitung: Automatische Formel | Pflichtgrad: Automatisch
Format: Formel
Quelle/Nachweis: Monatswerte
Qualitätsregel: Keine unbelegten Annahmen; Quelle oder Referenz ergänzen.</t>
        </r>
      </text>
    </comment>
    <comment ref="P5" authorId="0">
      <text>
        <r>
          <rPr>
            <sz val="8"/>
            <color indexed="81"/>
            <rFont val="Tahoma"/>
            <family val="2"/>
          </rPr>
          <t>AUSFÜLLHILFE – Median
Was eintragen: Nicht überschreiben; Kennzahl wird aus den Monatswerten berechnet.
Beispiel: Automatisch
Bearbeitung: Automatische Formel | Pflichtgrad: Automatisch
Format: Formel
Quelle/Nachweis: Monatswerte
Qualitätsregel: Keine unbelegten Annahmen; Quelle oder Referenz ergänzen.</t>
        </r>
      </text>
    </comment>
    <comment ref="Q5" authorId="0">
      <text>
        <r>
          <rPr>
            <sz val="8"/>
            <color indexed="81"/>
            <rFont val="Tahoma"/>
            <family val="2"/>
          </rPr>
          <t>AUSFÜLLHILFE – Minimum
Was eintragen: Nicht überschreiben; Kennzahl wird aus den Monatswerten berechnet.
Beispiel: Automatisch
Bearbeitung: Automatische Formel | Pflichtgrad: Automatisch
Format: Formel
Quelle/Nachweis: Monatswerte
Qualitätsregel: Keine unbelegten Annahmen; Quelle oder Referenz ergänzen.</t>
        </r>
      </text>
    </comment>
    <comment ref="R5" authorId="0">
      <text>
        <r>
          <rPr>
            <sz val="8"/>
            <color indexed="81"/>
            <rFont val="Tahoma"/>
            <family val="2"/>
          </rPr>
          <t>AUSFÜLLHILFE – Maximum
Was eintragen: Nicht überschreiben; Kennzahl wird aus den Monatswerten berechnet.
Beispiel: Automatisch
Bearbeitung: Automatische Formel | Pflichtgrad: Automatisch
Format: Formel
Quelle/Nachweis: Monatswerte
Qualitätsregel: Keine unbelegten Annahmen; Quelle oder Referenz ergänzen.</t>
        </r>
      </text>
    </comment>
    <comment ref="S5" authorId="0">
      <text>
        <r>
          <rPr>
            <sz val="8"/>
            <color indexed="81"/>
            <rFont val="Tahoma"/>
            <family val="2"/>
          </rPr>
          <t>AUSFÜLLHILFE – Kommentar / Definition
Was eintragen: Abgrenzung, Ausschlüsse, Saisonalität und Datenbesonderheiten dokumentieren.
Beispiel: Bonuszahlungen jeweils im März; Steuerposition ausgeschlossen.
Bearbeitung: Eingabe | Pflichtgrad: Bei Definitionseffekt
Format: Kurzer Audit-Trail
Quelle/Nachweis: SPA-Definition / Analyse
Qualitätsregel: Datum und Entscheider nennen; keine vertraulichen Nebendaten kopieren.</t>
        </r>
      </text>
    </comment>
    <comment ref="A14" authorId="0">
      <text>
        <r>
          <rPr>
            <sz val="8"/>
            <color indexed="81"/>
            <rFont val="Tahoma"/>
            <family val="2"/>
          </rPr>
          <t>AUSFÜLLHILFE – Vorgeschlagenes NWC-Peg
Was eintragen: Median dient nur als Ausgangspunkt; finalen Peg nach Saisonalität, Wachstum und Definition beschließen.
Beispiel: 1.850.000 EUR
Bearbeitung: Automatische Ausgangsbasis | Pflichtgrad: Deal-Team-Entscheidung
Format: Betrag + dokumentierte Herleitung
Quelle/Nachweis: Monatsanalyse / SPA-Verhandlung
Qualitätsregel: Keine rein mechanische Übernahme ohne Ausreißer- und Cut-off-Prüfung.</t>
        </r>
      </text>
    </comment>
    <comment ref="A18" authorId="0">
      <text>
        <r>
          <rPr>
            <sz val="8"/>
            <color indexed="81"/>
            <rFont val="Tahoma"/>
            <family val="2"/>
          </rPr>
          <t>AUSFÜLLHILFE – Position
Was eintragen: Den für „Position“ zutreffenden, belegbaren Wert eintragen.
Beispiel: Konkreter Wert oder kurzer, eindeutiger Text
Bearbeitung: Eingabe | Pflichtgrad: Wenn relevant
Format: Text
Quelle/Nachweis: Primärbeleg bzw. freigegebene Projektdaten
Qualitätsregel: Keine unbelegten Annahmen; Quelle oder Referenz ergänzen.</t>
        </r>
      </text>
    </comment>
    <comment ref="B18" authorId="0">
      <text>
        <r>
          <rPr>
            <sz val="8"/>
            <color indexed="81"/>
            <rFont val="Tahoma"/>
            <family val="2"/>
          </rPr>
          <t>AUSFÜLLHILFE – Kategorie
Was eintragen: Sachverhalt einer eindeutigen Kategorie zuordnen.
Beispiel: Financial – Working Capital
Bearbeitung: Eingabe | Pflichtgrad: Pflicht
Format: Auswahl oder kurzer Text
Quelle/Nachweis: DD-Scope / Master-Checkliste
Qualitätsregel: Nicht mehrere unverbundene Themen in einer Zeile mischen.</t>
        </r>
      </text>
    </comment>
    <comment ref="C18" authorId="0">
      <text>
        <r>
          <rPr>
            <sz val="8"/>
            <color indexed="81"/>
            <rFont val="Tahoma"/>
            <family val="2"/>
          </rPr>
          <t>AUSFÜLLHILFE – Betrag (€)
Was eintragen: Betrag in Berichtswährung ohne Tausendertext eintragen; Vorzeichenlogik des Blatts beachten.
Beispiel: 250000
Bearbeitung: Eingabe | Pflichtgrad: Wenn quantifizierbar
Format: Zahl in EUR
Quelle/Nachweis: Berechnung / Vertrag / Hauptbuch
Qualitätsregel: Low/Base/High dokumentieren; Steuern, Wahrscheinlichkeit und Doppelzählung prüfen.</t>
        </r>
      </text>
    </comment>
    <comment ref="D18" authorId="0">
      <text>
        <r>
          <rPr>
            <sz val="8"/>
            <color indexed="81"/>
            <rFont val="Tahoma"/>
            <family val="2"/>
          </rPr>
          <t>AUSFÜLLHILFE – Einbeziehen?
Was eintragen: Ja, Nein oder Zu prüfen anhand der dokumentierten Entscheidung auswählen.
Beispiel: Zu prüfen
Bearbeitung: Eingabe | Pflichtgrad: Pflicht
Format: Dropdown
Quelle/Nachweis: Scope-/Finding-Entscheidung
Qualitätsregel: „Zu prüfen“ mit Owner und Fälligkeit versehen.</t>
        </r>
      </text>
    </comment>
    <comment ref="E18" authorId="0">
      <text>
        <r>
          <rPr>
            <sz val="8"/>
            <color indexed="81"/>
            <rFont val="Tahoma"/>
            <family val="2"/>
          </rPr>
          <t>AUSFÜLLHILFE – Vorzeichen
Was eintragen: Den für „Vorzeichen“ zutreffenden, belegbaren Wert eintragen.
Beispiel: Konkreter Wert oder kurzer, eindeutiger Text
Bearbeitung: Eingabe | Pflichtgrad: Wenn relevant
Format: Text
Quelle/Nachweis: Primärbeleg bzw. freigegebene Projektdaten
Qualitätsregel: Keine unbelegten Annahmen; Quelle oder Referenz ergänzen.</t>
        </r>
      </text>
    </comment>
    <comment ref="F18" authorId="0">
      <text>
        <r>
          <rPr>
            <sz val="8"/>
            <color indexed="81"/>
            <rFont val="Tahoma"/>
            <family val="2"/>
          </rPr>
          <t>AUSFÜLLHILFE – Einbezogener Betrag (€)
Was eintragen: Betrag in Berichtswährung ohne Tausendertext eintragen; Vorzeichenlogik des Blatts beachten.
Beispiel: 250000
Bearbeitung: Eingabe | Pflichtgrad: Wenn quantifizierbar
Format: Zahl in EUR
Quelle/Nachweis: Berechnung / Vertrag / Hauptbuch
Qualitätsregel: Low/Base/High dokumentieren; Steuern, Wahrscheinlichkeit und Doppelzählung prüfen.</t>
        </r>
      </text>
    </comment>
    <comment ref="G18" authorId="0">
      <text>
        <r>
          <rPr>
            <sz val="8"/>
            <color indexed="81"/>
            <rFont val="Tahoma"/>
            <family val="2"/>
          </rPr>
          <t>AUSFÜLLHILFE – Begründung
Was eintragen: Den für „Begründung“ zutreffenden, belegbaren Wert eintragen.
Beispiel: Konkreter Wert oder kurzer, eindeutiger Text
Bearbeitung: Eingabe | Pflichtgrad: Wenn relevant
Format: Text
Quelle/Nachweis: Primärbeleg bzw. freigegebene Projektdaten
Qualitätsregel: Keine unbelegten Annahmen; Quelle oder Referenz ergänzen.</t>
        </r>
      </text>
    </comment>
    <comment ref="H18" authorId="0">
      <text>
        <r>
          <rPr>
            <sz val="8"/>
            <color indexed="81"/>
            <rFont val="Tahoma"/>
            <family val="2"/>
          </rPr>
          <t>AUSFÜLLHILFE – Evidenz
Was eintragen: Konkreten Beleg mit Dateiname, Datum, Version und VDR-Pfad nennen.
Beispiel: VDR 3.2.1, Monatsbilanz 08/2026, Version final
Bearbeitung: Eingabe | Pflichtgrad: Pflicht bei Abschluss
Format: Text / Link / Referenz
Quelle/Nachweis: VDR, Vertrag, Hauptbuch, externe Bestätigung
Qualitätsregel: Management-Aussage allein reicht für wesentliche Findings nicht aus.</t>
        </r>
      </text>
    </comment>
    <comment ref="I18" authorId="0">
      <text>
        <r>
          <rPr>
            <sz val="8"/>
            <color indexed="81"/>
            <rFont val="Tahoma"/>
            <family val="2"/>
          </rPr>
          <t>AUSFÜLLHILFE – SPA-Behandlung
Was eintragen: Geeigneten vertraglichen oder wirtschaftlichen Mechanismus konkret benennen.
Beispiel: Spezifische Freistellung mit 5 Jahren Laufzeit und 500 T€ Escrow
Bearbeitung: Eingabe | Pflichtgrad: Bei Deal-Relevanz
Format: Mechanismus + Eckpunkte
Quelle/Nachweis: Deal-Team / Rechts- und Steuerberatung
Qualitätsregel: Bekannte Risiken nicht allein auf allgemeine Garantien oder W&amp;I stützen.</t>
        </r>
      </text>
    </comment>
    <comment ref="J18" authorId="0">
      <text>
        <r>
          <rPr>
            <sz val="8"/>
            <color indexed="81"/>
            <rFont val="Tahoma"/>
            <family val="2"/>
          </rPr>
          <t>AUSFÜLLHILFE – Owner
Was eintragen: Namentlich verantwortliche Person oder eindeutige Rolle eintragen.
Beispiel: Anna Beispiel (CFO) / Tax Lead
Bearbeitung: Eingabe | Pflichtgrad: Pflicht für aktive Punkte
Format: Name und Rolle
Quelle/Nachweis: Projekt-RACI
Qualitätsregel: Keine Mehrfach-Owner; genau eine rechenschaftspflichtige Rolle festlegen.</t>
        </r>
      </text>
    </comment>
  </commentList>
</comments>
</file>

<file path=xl/comments11.xml><?xml version="1.0" encoding="utf-8"?>
<comments xmlns="http://schemas.openxmlformats.org/spreadsheetml/2006/main">
  <authors>
    <author>Ausfüllhilfe</author>
  </authors>
  <commentList>
    <comment ref="A4" authorId="0">
      <text>
        <r>
          <rPr>
            <sz val="8"/>
            <color indexed="81"/>
            <rFont val="Tahoma"/>
            <family val="2"/>
          </rPr>
          <t>AUSFÜLLHILFE – Vertrags-ID
Was eintragen: Eindeutige Kennung beibehalten; nur beim Ergänzen neuer Zeilen fortlaufend vergeben.
Beispiel: R-014
Bearbeitung: Vorbelegt | Pflichtgrad: Automatisch
Format: Text, eindeutig
Quelle/Nachweis: Arbeitsmappe
Qualitätsregel: Keine ID doppelt vergeben oder nachträglich umnummerieren.</t>
        </r>
      </text>
    </comment>
    <comment ref="B4" authorId="0">
      <text>
        <r>
          <rPr>
            <sz val="8"/>
            <color indexed="81"/>
            <rFont val="Tahoma"/>
            <family val="2"/>
          </rPr>
          <t>AUSFÜLLHILFE – Vertragstyp
Was eintragen: Sachverhalt einer eindeutigen Kategorie zuordnen.
Beispiel: Financial – Working Capital
Bearbeitung: Eingabe | Pflichtgrad: Pflicht
Format: Auswahl oder kurzer Text
Quelle/Nachweis: DD-Scope / Master-Checkliste
Qualitätsregel: Nicht mehrere unverbundene Themen in einer Zeile mischen.</t>
        </r>
      </text>
    </comment>
    <comment ref="C4" authorId="0">
      <text>
        <r>
          <rPr>
            <sz val="8"/>
            <color indexed="81"/>
            <rFont val="Tahoma"/>
            <family val="2"/>
          </rPr>
          <t>AUSFÜLLHILFE – Gegenpartei
Was eintragen: Den für „Gegenpartei“ zutreffenden, belegbaren Wert eintragen.
Beispiel: Konkreter Wert oder kurzer, eindeutiger Text
Bearbeitung: Eingabe | Pflichtgrad: Wenn relevant
Format: Text
Quelle/Nachweis: Primärbeleg bzw. freigegebene Projektdaten
Qualitätsregel: Keine unbelegten Annahmen; Quelle oder Referenz ergänzen.</t>
        </r>
      </text>
    </comment>
    <comment ref="D4" authorId="0">
      <text>
        <r>
          <rPr>
            <sz val="8"/>
            <color indexed="81"/>
            <rFont val="Tahoma"/>
            <family val="2"/>
          </rPr>
          <t>AUSFÜLLHILFE – Konzernzuordnung
Was eintragen: Den für „Konzernzuordnung“ zutreffenden, belegbaren Wert eintragen.
Beispiel: Konkreter Wert oder kurzer, eindeutiger Text
Bearbeitung: Eingabe | Pflichtgrad: Wenn relevant
Format: Text
Quelle/Nachweis: Primärbeleg bzw. freigegebene Projektdaten
Qualitätsregel: Keine unbelegten Annahmen; Quelle oder Referenz ergänzen.</t>
        </r>
      </text>
    </comment>
    <comment ref="E4" authorId="0">
      <text>
        <r>
          <rPr>
            <sz val="8"/>
            <color indexed="81"/>
            <rFont val="Tahoma"/>
            <family val="2"/>
          </rPr>
          <t>AUSFÜLLHILFE – Leistungsgegenstand
Was eintragen: Den für „Leistungsgegenstand“ zutreffenden, belegbaren Wert eintragen.
Beispiel: Konkreter Wert oder kurzer, eindeutiger Text
Bearbeitung: Eingabe | Pflichtgrad: Wenn relevant
Format: Text
Quelle/Nachweis: Primärbeleg bzw. freigegebene Projektdaten
Qualitätsregel: Keine unbelegten Annahmen; Quelle oder Referenz ergänzen.</t>
        </r>
      </text>
    </comment>
    <comment ref="F4" authorId="0">
      <text>
        <r>
          <rPr>
            <sz val="8"/>
            <color indexed="81"/>
            <rFont val="Tahoma"/>
            <family val="2"/>
          </rPr>
          <t>AUSFÜLLHILFE – Jahreswert (€)
Was eintragen: Betrag in Berichtswährung ohne Tausendertext eintragen; Vorzeichenlogik des Blatts beachten.
Beispiel: 250000
Bearbeitung: Eingabe | Pflichtgrad: Wenn quantifizierbar
Format: Zahl in EUR
Quelle/Nachweis: Berechnung / Vertrag / Hauptbuch
Qualitätsregel: Low/Base/High dokumentieren; Steuern, Wahrscheinlichkeit und Doppelzählung prüfen.</t>
        </r>
      </text>
    </comment>
    <comment ref="G4" authorId="0">
      <text>
        <r>
          <rPr>
            <sz val="8"/>
            <color indexed="81"/>
            <rFont val="Tahoma"/>
            <family val="2"/>
          </rPr>
          <t>AUSFÜLLHILFE – Marge / Kritikalität
Was eintragen: Den für „Marge / Kritikalität“ zutreffenden, belegbaren Wert eintragen.
Beispiel: Konkreter Wert oder kurzer, eindeutiger Text
Bearbeitung: Eingabe | Pflichtgrad: Wenn relevant
Format: Text
Quelle/Nachweis: Primärbeleg bzw. freigegebene Projektdaten
Qualitätsregel: Keine unbelegten Annahmen; Quelle oder Referenz ergänzen.</t>
        </r>
      </text>
    </comment>
    <comment ref="H4" authorId="0">
      <text>
        <r>
          <rPr>
            <sz val="8"/>
            <color indexed="81"/>
            <rFont val="Tahoma"/>
            <family val="2"/>
          </rPr>
          <t>AUSFÜLLHILFE – Beginn
Was eintragen: Kalenderdatum im Format TT.MM.JJJJ eintragen.
Beispiel: 31.10.2026
Bearbeitung: Eingabe | Pflichtgrad: Pflicht, sobald terminiert
Format: Datum
Quelle/Nachweis: Projektplan / Dokumentenmetadaten
Qualitätsregel: Keine relativen Angaben wie „nächste Woche“.</t>
        </r>
      </text>
    </comment>
    <comment ref="I4" authorId="0">
      <text>
        <r>
          <rPr>
            <sz val="8"/>
            <color indexed="81"/>
            <rFont val="Tahoma"/>
            <family val="2"/>
          </rPr>
          <t>AUSFÜLLHILFE – Ende
Was eintragen: Kalenderdatum im Format TT.MM.JJJJ eintragen.
Beispiel: 31.10.2026
Bearbeitung: Eingabe | Pflichtgrad: Pflicht, sobald terminiert
Format: Datum
Quelle/Nachweis: Projektplan / Dokumentenmetadaten
Qualitätsregel: Keine relativen Angaben wie „nächste Woche“.</t>
        </r>
      </text>
    </comment>
    <comment ref="J4" authorId="0">
      <text>
        <r>
          <rPr>
            <sz val="8"/>
            <color indexed="81"/>
            <rFont val="Tahoma"/>
            <family val="2"/>
          </rPr>
          <t>AUSFÜLLHILFE – Autom. Verlängerung
Was eintragen: Den für „Autom. Verlängerung“ zutreffenden, belegbaren Wert eintragen.
Beispiel: Konkreter Wert oder kurzer, eindeutiger Text
Bearbeitung: Eingabe | Pflichtgrad: Wenn relevant
Format: Text
Quelle/Nachweis: Primärbeleg bzw. freigegebene Projektdaten
Qualitätsregel: Keine unbelegten Annahmen; Quelle oder Referenz ergänzen.</t>
        </r>
      </text>
    </comment>
    <comment ref="K4" authorId="0">
      <text>
        <r>
          <rPr>
            <sz val="8"/>
            <color indexed="81"/>
            <rFont val="Tahoma"/>
            <family val="2"/>
          </rPr>
          <t>AUSFÜLLHILFE – Kündigungsfrist
Was eintragen: Den für „Kündigungsfrist“ zutreffenden, belegbaren Wert eintragen.
Beispiel: Konkreter Wert oder kurzer, eindeutiger Text
Bearbeitung: Eingabe | Pflichtgrad: Wenn relevant
Format: Text
Quelle/Nachweis: Primärbeleg bzw. freigegebene Projektdaten
Qualitätsregel: Keine unbelegten Annahmen; Quelle oder Referenz ergänzen.</t>
        </r>
      </text>
    </comment>
    <comment ref="L4" authorId="0">
      <text>
        <r>
          <rPr>
            <sz val="8"/>
            <color indexed="81"/>
            <rFont val="Tahoma"/>
            <family val="2"/>
          </rPr>
          <t>AUSFÜLLHILFE – Change of Control
Was eintragen: Den für „Change of Control“ zutreffenden, belegbaren Wert eintragen.
Beispiel: Konkreter Wert oder kurzer, eindeutiger Text
Bearbeitung: Eingabe | Pflichtgrad: Wenn relevant
Format: Text
Quelle/Nachweis: Primärbeleg bzw. freigegebene Projektdaten
Qualitätsregel: Keine unbelegten Annahmen; Quelle oder Referenz ergänzen.</t>
        </r>
      </text>
    </comment>
    <comment ref="M4" authorId="0">
      <text>
        <r>
          <rPr>
            <sz val="8"/>
            <color indexed="81"/>
            <rFont val="Tahoma"/>
            <family val="2"/>
          </rPr>
          <t>AUSFÜLLHILFE – Abtretung
Was eintragen: Den für „Abtretung“ zutreffenden, belegbaren Wert eintragen.
Beispiel: Konkreter Wert oder kurzer, eindeutiger Text
Bearbeitung: Eingabe | Pflichtgrad: Wenn relevant
Format: Text
Quelle/Nachweis: Primärbeleg bzw. freigegebene Projektdaten
Qualitätsregel: Keine unbelegten Annahmen; Quelle oder Referenz ergänzen.</t>
        </r>
      </text>
    </comment>
    <comment ref="N4" authorId="0">
      <text>
        <r>
          <rPr>
            <sz val="8"/>
            <color indexed="81"/>
            <rFont val="Tahoma"/>
            <family val="2"/>
          </rPr>
          <t>AUSFÜLLHILFE – Exklusivität / MFN
Was eintragen: Den für „Exklusivität / MFN“ zutreffenden, belegbaren Wert eintragen.
Beispiel: Konkreter Wert oder kurzer, eindeutiger Text
Bearbeitung: Eingabe | Pflichtgrad: Wenn relevant
Format: Text
Quelle/Nachweis: Primärbeleg bzw. freigegebene Projektdaten
Qualitätsregel: Keine unbelegten Annahmen; Quelle oder Referenz ergänzen.</t>
        </r>
      </text>
    </comment>
    <comment ref="O4" authorId="0">
      <text>
        <r>
          <rPr>
            <sz val="8"/>
            <color indexed="81"/>
            <rFont val="Tahoma"/>
            <family val="2"/>
          </rPr>
          <t>AUSFÜLLHILFE – Mindestabnahme
Was eintragen: Den für „Mindestabnahme“ zutreffenden, belegbaren Wert eintragen.
Beispiel: Konkreter Wert oder kurzer, eindeutiger Text
Bearbeitung: Eingabe | Pflichtgrad: Wenn relevant
Format: Text
Quelle/Nachweis: Primärbeleg bzw. freigegebene Projektdaten
Qualitätsregel: Keine unbelegten Annahmen; Quelle oder Referenz ergänzen.</t>
        </r>
      </text>
    </comment>
    <comment ref="P4" authorId="0">
      <text>
        <r>
          <rPr>
            <sz val="8"/>
            <color indexed="81"/>
            <rFont val="Tahoma"/>
            <family val="2"/>
          </rPr>
          <t>AUSFÜLLHILFE – Haftung / Cap
Was eintragen: Den für „Haftung / Cap“ zutreffenden, belegbaren Wert eintragen.
Beispiel: Konkreter Wert oder kurzer, eindeutiger Text
Bearbeitung: Eingabe | Pflichtgrad: Wenn relevant
Format: Text
Quelle/Nachweis: Primärbeleg bzw. freigegebene Projektdaten
Qualitätsregel: Keine unbelegten Annahmen; Quelle oder Referenz ergänzen.</t>
        </r>
      </text>
    </comment>
    <comment ref="Q4" authorId="0">
      <text>
        <r>
          <rPr>
            <sz val="8"/>
            <color indexed="81"/>
            <rFont val="Tahoma"/>
            <family val="2"/>
          </rPr>
          <t>AUSFÜLLHILFE – Freistellungen
Was eintragen: Den für „Freistellungen“ zutreffenden, belegbaren Wert eintragen.
Beispiel: Konkreter Wert oder kurzer, eindeutiger Text
Bearbeitung: Eingabe | Pflichtgrad: Wenn relevant
Format: Text
Quelle/Nachweis: Primärbeleg bzw. freigegebene Projektdaten
Qualitätsregel: Keine unbelegten Annahmen; Quelle oder Referenz ergänzen.</t>
        </r>
      </text>
    </comment>
    <comment ref="R4" authorId="0">
      <text>
        <r>
          <rPr>
            <sz val="8"/>
            <color indexed="81"/>
            <rFont val="Tahoma"/>
            <family val="2"/>
          </rPr>
          <t>AUSFÜLLHILFE – SLA / Vertragsstrafe
Was eintragen: Den für „SLA / Vertragsstrafe“ zutreffenden, belegbaren Wert eintragen.
Beispiel: Konkreter Wert oder kurzer, eindeutiger Text
Bearbeitung: Eingabe | Pflichtgrad: Wenn relevant
Format: Text
Quelle/Nachweis: Primärbeleg bzw. freigegebene Projektdaten
Qualitätsregel: Keine unbelegten Annahmen; Quelle oder Referenz ergänzen.</t>
        </r>
      </text>
    </comment>
    <comment ref="S4" authorId="0">
      <text>
        <r>
          <rPr>
            <sz val="8"/>
            <color indexed="81"/>
            <rFont val="Tahoma"/>
            <family val="2"/>
          </rPr>
          <t>AUSFÜLLHILFE – Datenschutz / Security
Was eintragen: Den für „Datenschutz / Security“ zutreffenden, belegbaren Wert eintragen.
Beispiel: Konkreter Wert oder kurzer, eindeutiger Text
Bearbeitung: Eingabe | Pflichtgrad: Wenn relevant
Format: Text
Quelle/Nachweis: Primärbeleg bzw. freigegebene Projektdaten
Qualitätsregel: Keine unbelegten Annahmen; Quelle oder Referenz ergänzen.</t>
        </r>
      </text>
    </comment>
    <comment ref="T4" authorId="0">
      <text>
        <r>
          <rPr>
            <sz val="8"/>
            <color indexed="81"/>
            <rFont val="Tahoma"/>
            <family val="2"/>
          </rPr>
          <t>AUSFÜLLHILFE – IP-Rechte
Was eintragen: Den für „IP-Rechte“ zutreffenden, belegbaren Wert eintragen.
Beispiel: Konkreter Wert oder kurzer, eindeutiger Text
Bearbeitung: Eingabe | Pflichtgrad: Wenn relevant
Format: Text
Quelle/Nachweis: Primärbeleg bzw. freigegebene Projektdaten
Qualitätsregel: Keine unbelegten Annahmen; Quelle oder Referenz ergänzen.</t>
        </r>
      </text>
    </comment>
    <comment ref="U4" authorId="0">
      <text>
        <r>
          <rPr>
            <sz val="8"/>
            <color indexed="81"/>
            <rFont val="Tahoma"/>
            <family val="2"/>
          </rPr>
          <t>AUSFÜLLHILFE – Rechtswahl / Gerichtsstand
Was eintragen: Den für „Rechtswahl / Gerichtsstand“ zutreffenden, belegbaren Wert eintragen.
Beispiel: Konkreter Wert oder kurzer, eindeutiger Text
Bearbeitung: Eingabe | Pflichtgrad: Wenn relevant
Format: Text
Quelle/Nachweis: Primärbeleg bzw. freigegebene Projektdaten
Qualitätsregel: Keine unbelegten Annahmen; Quelle oder Referenz ergänzen.</t>
        </r>
      </text>
    </comment>
    <comment ref="V4" authorId="0">
      <text>
        <r>
          <rPr>
            <sz val="8"/>
            <color indexed="81"/>
            <rFont val="Tahoma"/>
            <family val="2"/>
          </rPr>
          <t>AUSFÜLLHILFE – Consent nötig?
Was eintragen: Ja, Nein oder Zu prüfen anhand der dokumentierten Entscheidung auswählen.
Beispiel: Zu prüfen
Bearbeitung: Eingabe | Pflichtgrad: Pflicht
Format: Dropdown
Quelle/Nachweis: Scope-/Finding-Entscheidung
Qualitätsregel: „Zu prüfen“ mit Owner und Fälligkeit versehen.</t>
        </r>
      </text>
    </comment>
    <comment ref="W4" authorId="0">
      <text>
        <r>
          <rPr>
            <sz val="8"/>
            <color indexed="81"/>
            <rFont val="Tahoma"/>
            <family val="2"/>
          </rPr>
          <t>AUSFÜLLHILFE – Risiko
Was eintragen: Fakt, Ursache, Umfang und Geschäftsauswirkung klar von Annahmen trennen.
Beispiel: 7 von 40 Stichproben ohne Genehmigung; Exposure Base 180 T€
Bearbeitung: Eingabe | Pflichtgrad: Pflicht bei Abweichung
Format: Sachverhalt + Quantifizierung
Quelle/Nachweis: Primärevidenz und Analyse
Qualitätsregel: Keine Wertung ohne Fakten; Gegenbelege und Einschränkungen nennen.</t>
        </r>
      </text>
    </comment>
    <comment ref="X4" authorId="0">
      <text>
        <r>
          <rPr>
            <sz val="8"/>
            <color indexed="81"/>
            <rFont val="Tahoma"/>
            <family val="2"/>
          </rPr>
          <t>AUSFÜLLHILFE – Maßnahme
Was eintragen: Den für „Maßnahme“ zutreffenden, belegbaren Wert eintragen.
Beispiel: Konkreter Wert oder kurzer, eindeutiger Text
Bearbeitung: Eingabe | Pflichtgrad: Wenn relevant
Format: Text
Quelle/Nachweis: Primärbeleg bzw. freigegebene Projektdaten
Qualitätsregel: Keine unbelegten Annahmen; Quelle oder Referenz ergänzen.</t>
        </r>
      </text>
    </comment>
    <comment ref="Y4" authorId="0">
      <text>
        <r>
          <rPr>
            <sz val="8"/>
            <color indexed="81"/>
            <rFont val="Tahoma"/>
            <family val="2"/>
          </rPr>
          <t>AUSFÜLLHILFE – Owner
Was eintragen: Namentlich verantwortliche Person oder eindeutige Rolle eintragen.
Beispiel: Anna Beispiel (CFO) / Tax Lead
Bearbeitung: Eingabe | Pflichtgrad: Pflicht für aktive Punkte
Format: Name und Rolle
Quelle/Nachweis: Projekt-RACI
Qualitätsregel: Keine Mehrfach-Owner; genau eine rechenschaftspflichtige Rolle festlegen.</t>
        </r>
      </text>
    </comment>
    <comment ref="Z4" authorId="0">
      <text>
        <r>
          <rPr>
            <sz val="8"/>
            <color indexed="81"/>
            <rFont val="Tahoma"/>
            <family val="2"/>
          </rPr>
          <t>AUSFÜLLHILFE – Status
Was eintragen: Nur den tatsächlich erreichten Bearbeitungsstand auswählen.
Beispiel: In Prüfung
Bearbeitung: Eingabe | Pflichtgrad: Pflicht
Format: Dropdown
Quelle/Nachweis: Aktueller Arbeitsstand
Qualitätsregel: „Abgeschlossen“ erst bei dokumentierter Evidenz und Reviewer-Freigabe.</t>
        </r>
      </text>
    </comment>
    <comment ref="AA4" authorId="0">
      <text>
        <r>
          <rPr>
            <sz val="8"/>
            <color indexed="81"/>
            <rFont val="Tahoma"/>
            <family val="2"/>
          </rPr>
          <t>AUSFÜLLHILFE – VDR-Link
Was eintragen: Nachvollziehbare Fundstelle oder klickbaren Link mit Version angeben.
Beispiel: VDR 4.1.3 / Vertrag Kunde A vom 12.03.2024
Bearbeitung: Eingabe | Pflichtgrad: Empfohlen, bei Finding Pflicht
Format: Pfad, ID oder URL
Quelle/Nachweis: VDR / Arbeitsmappe / externe Primärquelle
Qualitätsregel: Keine privaten lokalen Pfade; Zugriff und Version müssen reproduzierbar sein.</t>
        </r>
      </text>
    </comment>
    <comment ref="AB4" authorId="0">
      <text>
        <r>
          <rPr>
            <sz val="8"/>
            <color indexed="81"/>
            <rFont val="Tahoma"/>
            <family val="2"/>
          </rPr>
          <t>AUSFÜLLHILFE – Checklisten-Ref.
Was eintragen: Verknüpfte Checklisten-, Risiko-, Dokument- oder Q&amp;A-ID eintragen.
Beispiel: FIN-04 / DOC-037 / Q-012
Bearbeitung: Eingabe | Pflichtgrad: Empfohlen
Format: Eine oder mehrere IDs
Quelle/Nachweis: Andere Register dieser Arbeitsmappe
Qualitätsregel: Nur vorhandene IDs verwenden; mehrere Referenzen mit „ / “ trennen.</t>
        </r>
      </text>
    </comment>
  </commentList>
</comments>
</file>

<file path=xl/comments12.xml><?xml version="1.0" encoding="utf-8"?>
<comments xmlns="http://schemas.openxmlformats.org/spreadsheetml/2006/main">
  <authors>
    <author>Ausfüllhilfe</author>
  </authors>
  <commentList>
    <comment ref="A4" authorId="0">
      <text>
        <r>
          <rPr>
            <sz val="8"/>
            <color indexed="81"/>
            <rFont val="Tahoma"/>
            <family val="2"/>
          </rPr>
          <t>AUSFÜLLHILFE – ID
Was eintragen: Eindeutige Kennung beibehalten; nur beim Ergänzen neuer Zeilen fortlaufend vergeben.
Beispiel: R-014
Bearbeitung: Vorbelegt | Pflichtgrad: Automatisch
Format: Text, eindeutig
Quelle/Nachweis: Arbeitsmappe
Qualitätsregel: Keine ID doppelt vergeben oder nachträglich umnummerieren.</t>
        </r>
      </text>
    </comment>
    <comment ref="B4" authorId="0">
      <text>
        <r>
          <rPr>
            <sz val="8"/>
            <color indexed="81"/>
            <rFont val="Tahoma"/>
            <family val="2"/>
          </rPr>
          <t>AUSFÜLLHILFE – Thema
Was eintragen: Sachverhalt einer eindeutigen Kategorie zuordnen.
Beispiel: Financial – Working Capital
Bearbeitung: Eingabe | Pflichtgrad: Pflicht
Format: Auswahl oder kurzer Text
Quelle/Nachweis: DD-Scope / Master-Checkliste
Qualitätsregel: Nicht mehrere unverbundene Themen in einer Zeile mischen.</t>
        </r>
      </text>
    </comment>
    <comment ref="C4" authorId="0">
      <text>
        <r>
          <rPr>
            <sz val="8"/>
            <color indexed="81"/>
            <rFont val="Tahoma"/>
            <family val="2"/>
          </rPr>
          <t>AUSFÜLLHILFE – Prüffrage
Was eintragen: Eine konkret beantwortbare Frage mit klarem Entscheidungsbezug formulieren.
Beispiel: Sind alle debt-like Positionen im Closing-Mechanismus erfasst?
Bearbeitung: Eingabe | Pflichtgrad: Pflicht
Format: Vollständiger Fragesatz
Quelle/Nachweis: Prüfhypothese / offene Entscheidung
Qualitätsregel: Keine Suggestiv- oder Sammelfrage; pro Zeile ein Sachverhalt.</t>
        </r>
      </text>
    </comment>
    <comment ref="D4" authorId="0">
      <text>
        <r>
          <rPr>
            <sz val="8"/>
            <color indexed="81"/>
            <rFont val="Tahoma"/>
            <family val="2"/>
          </rPr>
          <t>AUSFÜLLHILFE – Evidenz
Was eintragen: Konkreten Beleg mit Dateiname, Datum, Version und VDR-Pfad nennen.
Beispiel: VDR 3.2.1, Monatsbilanz 08/2026, Version final
Bearbeitung: Eingabe | Pflichtgrad: Pflicht bei Abschluss
Format: Text / Link / Referenz
Quelle/Nachweis: VDR, Vertrag, Hauptbuch, externe Bestätigung
Qualitätsregel: Management-Aussage allein reicht für wesentliche Findings nicht aus.</t>
        </r>
      </text>
    </comment>
    <comment ref="E4" authorId="0">
      <text>
        <r>
          <rPr>
            <sz val="8"/>
            <color indexed="81"/>
            <rFont val="Tahoma"/>
            <family val="2"/>
          </rPr>
          <t>AUSFÜLLHILFE – Test / Analyse
Was eintragen: Durchgeführten Test inklusive Zeitraum, Population, Stichprobe und Ergebnis beschreiben.
Beispiel: 24 Monatsabschlüsse übergeleitet; 15 Cut-off-Belege geprüft; 2 Abweichungen
Bearbeitung: Eingabe | Pflichtgrad: Pflicht bei Bearbeitung
Format: Kurze Methodik + Ergebnis
Quelle/Nachweis: Arbeitspapiere / Datenanalyse
Qualitätsregel: Nicht nur „geprüft“ schreiben; Umfang und Ergebnis nachvollziehbar machen.</t>
        </r>
      </text>
    </comment>
    <comment ref="F4" authorId="0">
      <text>
        <r>
          <rPr>
            <sz val="8"/>
            <color indexed="81"/>
            <rFont val="Tahoma"/>
            <family val="2"/>
          </rPr>
          <t>AUSFÜLLHILFE – Red Flags
Was eintragen: Mögliches Risikoszenario neutral beschreiben; noch nicht als Tatsache darstellen.
Beispiel: Stichtagssteuerung des NWC durch verzögerte Lieferantenzahlungen
Bearbeitung: Vorbelegt / anpassen | Pflichtgrad: Empfohlen
Format: Wenn–dann-Szenario
Quelle/Nachweis: Prüfplanung / erste Indikatoren
Qualitätsregel: Hypothese und bestätigtes Finding sprachlich klar trennen.</t>
        </r>
      </text>
    </comment>
    <comment ref="G4" authorId="0">
      <text>
        <r>
          <rPr>
            <sz val="8"/>
            <color indexed="81"/>
            <rFont val="Tahoma"/>
            <family val="2"/>
          </rPr>
          <t>AUSFÜLLHILFE – Reifegrad / Ergebnis
Was eintragen: Fakt, Ursache, Umfang und Geschäftsauswirkung klar von Annahmen trennen.
Beispiel: 7 von 40 Stichproben ohne Genehmigung; Exposure Base 180 T€
Bearbeitung: Eingabe | Pflichtgrad: Pflicht bei Abweichung
Format: Sachverhalt + Quantifizierung
Quelle/Nachweis: Primärevidenz und Analyse
Qualitätsregel: Keine Wertung ohne Fakten; Gegenbelege und Einschränkungen nennen.</t>
        </r>
      </text>
    </comment>
    <comment ref="H4" authorId="0">
      <text>
        <r>
          <rPr>
            <sz val="8"/>
            <color indexed="81"/>
            <rFont val="Tahoma"/>
            <family val="2"/>
          </rPr>
          <t>AUSFÜLLHILFE – Risiko
Was eintragen: Fakt, Ursache, Umfang und Geschäftsauswirkung klar von Annahmen trennen.
Beispiel: 7 von 40 Stichproben ohne Genehmigung; Exposure Base 180 T€
Bearbeitung: Eingabe | Pflichtgrad: Pflicht bei Abweichung
Format: Sachverhalt + Quantifizierung
Quelle/Nachweis: Primärevidenz und Analyse
Qualitätsregel: Keine Wertung ohne Fakten; Gegenbelege und Einschränkungen nennen.</t>
        </r>
      </text>
    </comment>
    <comment ref="I4" authorId="0">
      <text>
        <r>
          <rPr>
            <sz val="8"/>
            <color indexed="81"/>
            <rFont val="Tahoma"/>
            <family val="2"/>
          </rPr>
          <t>AUSFÜLLHILFE – Empfohlene Maßnahme
Was eintragen: Den für „Empfohlene Maßnahme“ zutreffenden, belegbaren Wert eintragen.
Beispiel: Konkreter Wert oder kurzer, eindeutiger Text
Bearbeitung: Eingabe | Pflichtgrad: Wenn relevant
Format: Text
Quelle/Nachweis: Primärbeleg bzw. freigegebene Projektdaten
Qualitätsregel: Keine unbelegten Annahmen; Quelle oder Referenz ergänzen.</t>
        </r>
      </text>
    </comment>
    <comment ref="J4" authorId="0">
      <text>
        <r>
          <rPr>
            <sz val="8"/>
            <color indexed="81"/>
            <rFont val="Tahoma"/>
            <family val="2"/>
          </rPr>
          <t>AUSFÜLLHILFE – Owner
Was eintragen: Namentlich verantwortliche Person oder eindeutige Rolle eintragen.
Beispiel: Anna Beispiel (CFO) / Tax Lead
Bearbeitung: Eingabe | Pflichtgrad: Pflicht für aktive Punkte
Format: Name und Rolle
Quelle/Nachweis: Projekt-RACI
Qualitätsregel: Keine Mehrfach-Owner; genau eine rechenschaftspflichtige Rolle festlegen.</t>
        </r>
      </text>
    </comment>
    <comment ref="K4" authorId="0">
      <text>
        <r>
          <rPr>
            <sz val="8"/>
            <color indexed="81"/>
            <rFont val="Tahoma"/>
            <family val="2"/>
          </rPr>
          <t>AUSFÜLLHILFE – Fällig
Was eintragen: Kalenderdatum im Format TT.MM.JJJJ eintragen.
Beispiel: 31.10.2026
Bearbeitung: Eingabe | Pflichtgrad: Pflicht, sobald terminiert
Format: Datum
Quelle/Nachweis: Projektplan / Dokumentenmetadaten
Qualitätsregel: Keine relativen Angaben wie „nächste Woche“.</t>
        </r>
      </text>
    </comment>
    <comment ref="L4" authorId="0">
      <text>
        <r>
          <rPr>
            <sz val="8"/>
            <color indexed="81"/>
            <rFont val="Tahoma"/>
            <family val="2"/>
          </rPr>
          <t>AUSFÜLLHILFE – Status
Was eintragen: Nur den tatsächlich erreichten Bearbeitungsstand auswählen.
Beispiel: In Prüfung
Bearbeitung: Eingabe | Pflichtgrad: Pflicht
Format: Dropdown
Quelle/Nachweis: Aktueller Arbeitsstand
Qualitätsregel: „Abgeschlossen“ erst bei dokumentierter Evidenz und Reviewer-Freigabe.</t>
        </r>
      </text>
    </comment>
    <comment ref="M4" authorId="0">
      <text>
        <r>
          <rPr>
            <sz val="8"/>
            <color indexed="81"/>
            <rFont val="Tahoma"/>
            <family val="2"/>
          </rPr>
          <t>AUSFÜLLHILFE – Master-Ref.
Was eintragen: Verknüpfte Checklisten-, Risiko-, Dokument- oder Q&amp;A-ID eintragen.
Beispiel: FIN-04 / DOC-037 / Q-012
Bearbeitung: Eingabe | Pflichtgrad: Empfohlen
Format: Eine oder mehrere IDs
Quelle/Nachweis: Andere Register dieser Arbeitsmappe
Qualitätsregel: Nur vorhandene IDs verwenden; mehrere Referenzen mit „ / “ trennen.</t>
        </r>
      </text>
    </comment>
  </commentList>
</comments>
</file>

<file path=xl/comments13.xml><?xml version="1.0" encoding="utf-8"?>
<comments xmlns="http://schemas.openxmlformats.org/spreadsheetml/2006/main">
  <authors>
    <author>Ausfüllhilfe</author>
  </authors>
  <commentList>
    <comment ref="A4" authorId="0">
      <text>
        <r>
          <rPr>
            <sz val="8"/>
            <color indexed="81"/>
            <rFont val="Tahoma"/>
            <family val="2"/>
          </rPr>
          <t>AUSFÜLLHILFE – ID
Was eintragen: Eindeutige Kennung beibehalten; nur beim Ergänzen neuer Zeilen fortlaufend vergeben.
Beispiel: R-014
Bearbeitung: Vorbelegt | Pflichtgrad: Automatisch
Format: Text, eindeutig
Quelle/Nachweis: Arbeitsmappe
Qualitätsregel: Keine ID doppelt vergeben oder nachträglich umnummerieren.</t>
        </r>
      </text>
    </comment>
    <comment ref="B4" authorId="0">
      <text>
        <r>
          <rPr>
            <sz val="8"/>
            <color indexed="81"/>
            <rFont val="Tahoma"/>
            <family val="2"/>
          </rPr>
          <t>AUSFÜLLHILFE – Thema
Was eintragen: Sachverhalt einer eindeutigen Kategorie zuordnen.
Beispiel: Financial – Working Capital
Bearbeitung: Eingabe | Pflichtgrad: Pflicht
Format: Auswahl oder kurzer Text
Quelle/Nachweis: DD-Scope / Master-Checkliste
Qualitätsregel: Nicht mehrere unverbundene Themen in einer Zeile mischen.</t>
        </r>
      </text>
    </comment>
    <comment ref="C4" authorId="0">
      <text>
        <r>
          <rPr>
            <sz val="8"/>
            <color indexed="81"/>
            <rFont val="Tahoma"/>
            <family val="2"/>
          </rPr>
          <t>AUSFÜLLHILFE – Prüffrage
Was eintragen: Eine konkret beantwortbare Frage mit klarem Entscheidungsbezug formulieren.
Beispiel: Sind alle debt-like Positionen im Closing-Mechanismus erfasst?
Bearbeitung: Eingabe | Pflichtgrad: Pflicht
Format: Vollständiger Fragesatz
Quelle/Nachweis: Prüfhypothese / offene Entscheidung
Qualitätsregel: Keine Suggestiv- oder Sammelfrage; pro Zeile ein Sachverhalt.</t>
        </r>
      </text>
    </comment>
    <comment ref="D4" authorId="0">
      <text>
        <r>
          <rPr>
            <sz val="8"/>
            <color indexed="81"/>
            <rFont val="Tahoma"/>
            <family val="2"/>
          </rPr>
          <t>AUSFÜLLHILFE – Evidenz
Was eintragen: Konkreten Beleg mit Dateiname, Datum, Version und VDR-Pfad nennen.
Beispiel: VDR 3.2.1, Monatsbilanz 08/2026, Version final
Bearbeitung: Eingabe | Pflichtgrad: Pflicht bei Abschluss
Format: Text / Link / Referenz
Quelle/Nachweis: VDR, Vertrag, Hauptbuch, externe Bestätigung
Qualitätsregel: Management-Aussage allein reicht für wesentliche Findings nicht aus.</t>
        </r>
      </text>
    </comment>
    <comment ref="E4" authorId="0">
      <text>
        <r>
          <rPr>
            <sz val="8"/>
            <color indexed="81"/>
            <rFont val="Tahoma"/>
            <family val="2"/>
          </rPr>
          <t>AUSFÜLLHILFE – Test / Analyse
Was eintragen: Durchgeführten Test inklusive Zeitraum, Population, Stichprobe und Ergebnis beschreiben.
Beispiel: 24 Monatsabschlüsse übergeleitet; 15 Cut-off-Belege geprüft; 2 Abweichungen
Bearbeitung: Eingabe | Pflichtgrad: Pflicht bei Bearbeitung
Format: Kurze Methodik + Ergebnis
Quelle/Nachweis: Arbeitspapiere / Datenanalyse
Qualitätsregel: Nicht nur „geprüft“ schreiben; Umfang und Ergebnis nachvollziehbar machen.</t>
        </r>
      </text>
    </comment>
    <comment ref="F4" authorId="0">
      <text>
        <r>
          <rPr>
            <sz val="8"/>
            <color indexed="81"/>
            <rFont val="Tahoma"/>
            <family val="2"/>
          </rPr>
          <t>AUSFÜLLHILFE – Red Flags
Was eintragen: Mögliches Risikoszenario neutral beschreiben; noch nicht als Tatsache darstellen.
Beispiel: Stichtagssteuerung des NWC durch verzögerte Lieferantenzahlungen
Bearbeitung: Vorbelegt / anpassen | Pflichtgrad: Empfohlen
Format: Wenn–dann-Szenario
Quelle/Nachweis: Prüfplanung / erste Indikatoren
Qualitätsregel: Hypothese und bestätigtes Finding sprachlich klar trennen.</t>
        </r>
      </text>
    </comment>
    <comment ref="G4" authorId="0">
      <text>
        <r>
          <rPr>
            <sz val="8"/>
            <color indexed="81"/>
            <rFont val="Tahoma"/>
            <family val="2"/>
          </rPr>
          <t>AUSFÜLLHILFE – Reifegrad / Ergebnis
Was eintragen: Fakt, Ursache, Umfang und Geschäftsauswirkung klar von Annahmen trennen.
Beispiel: 7 von 40 Stichproben ohne Genehmigung; Exposure Base 180 T€
Bearbeitung: Eingabe | Pflichtgrad: Pflicht bei Abweichung
Format: Sachverhalt + Quantifizierung
Quelle/Nachweis: Primärevidenz und Analyse
Qualitätsregel: Keine Wertung ohne Fakten; Gegenbelege und Einschränkungen nennen.</t>
        </r>
      </text>
    </comment>
    <comment ref="H4" authorId="0">
      <text>
        <r>
          <rPr>
            <sz val="8"/>
            <color indexed="81"/>
            <rFont val="Tahoma"/>
            <family val="2"/>
          </rPr>
          <t>AUSFÜLLHILFE – Risiko
Was eintragen: Fakt, Ursache, Umfang und Geschäftsauswirkung klar von Annahmen trennen.
Beispiel: 7 von 40 Stichproben ohne Genehmigung; Exposure Base 180 T€
Bearbeitung: Eingabe | Pflichtgrad: Pflicht bei Abweichung
Format: Sachverhalt + Quantifizierung
Quelle/Nachweis: Primärevidenz und Analyse
Qualitätsregel: Keine Wertung ohne Fakten; Gegenbelege und Einschränkungen nennen.</t>
        </r>
      </text>
    </comment>
    <comment ref="I4" authorId="0">
      <text>
        <r>
          <rPr>
            <sz val="8"/>
            <color indexed="81"/>
            <rFont val="Tahoma"/>
            <family val="2"/>
          </rPr>
          <t>AUSFÜLLHILFE – Empfohlene Maßnahme
Was eintragen: Den für „Empfohlene Maßnahme“ zutreffenden, belegbaren Wert eintragen.
Beispiel: Konkreter Wert oder kurzer, eindeutiger Text
Bearbeitung: Eingabe | Pflichtgrad: Wenn relevant
Format: Text
Quelle/Nachweis: Primärbeleg bzw. freigegebene Projektdaten
Qualitätsregel: Keine unbelegten Annahmen; Quelle oder Referenz ergänzen.</t>
        </r>
      </text>
    </comment>
    <comment ref="J4" authorId="0">
      <text>
        <r>
          <rPr>
            <sz val="8"/>
            <color indexed="81"/>
            <rFont val="Tahoma"/>
            <family val="2"/>
          </rPr>
          <t>AUSFÜLLHILFE – Owner
Was eintragen: Namentlich verantwortliche Person oder eindeutige Rolle eintragen.
Beispiel: Anna Beispiel (CFO) / Tax Lead
Bearbeitung: Eingabe | Pflichtgrad: Pflicht für aktive Punkte
Format: Name und Rolle
Quelle/Nachweis: Projekt-RACI
Qualitätsregel: Keine Mehrfach-Owner; genau eine rechenschaftspflichtige Rolle festlegen.</t>
        </r>
      </text>
    </comment>
    <comment ref="K4" authorId="0">
      <text>
        <r>
          <rPr>
            <sz val="8"/>
            <color indexed="81"/>
            <rFont val="Tahoma"/>
            <family val="2"/>
          </rPr>
          <t>AUSFÜLLHILFE – Fällig
Was eintragen: Kalenderdatum im Format TT.MM.JJJJ eintragen.
Beispiel: 31.10.2026
Bearbeitung: Eingabe | Pflichtgrad: Pflicht, sobald terminiert
Format: Datum
Quelle/Nachweis: Projektplan / Dokumentenmetadaten
Qualitätsregel: Keine relativen Angaben wie „nächste Woche“.</t>
        </r>
      </text>
    </comment>
    <comment ref="L4" authorId="0">
      <text>
        <r>
          <rPr>
            <sz val="8"/>
            <color indexed="81"/>
            <rFont val="Tahoma"/>
            <family val="2"/>
          </rPr>
          <t>AUSFÜLLHILFE – Status
Was eintragen: Nur den tatsächlich erreichten Bearbeitungsstand auswählen.
Beispiel: In Prüfung
Bearbeitung: Eingabe | Pflichtgrad: Pflicht
Format: Dropdown
Quelle/Nachweis: Aktueller Arbeitsstand
Qualitätsregel: „Abgeschlossen“ erst bei dokumentierter Evidenz und Reviewer-Freigabe.</t>
        </r>
      </text>
    </comment>
    <comment ref="M4" authorId="0">
      <text>
        <r>
          <rPr>
            <sz val="8"/>
            <color indexed="81"/>
            <rFont val="Tahoma"/>
            <family val="2"/>
          </rPr>
          <t>AUSFÜLLHILFE – Master-Ref.
Was eintragen: Verknüpfte Checklisten-, Risiko-, Dokument- oder Q&amp;A-ID eintragen.
Beispiel: FIN-04 / DOC-037 / Q-012
Bearbeitung: Eingabe | Pflichtgrad: Empfohlen
Format: Eine oder mehrere IDs
Quelle/Nachweis: Andere Register dieser Arbeitsmappe
Qualitätsregel: Nur vorhandene IDs verwenden; mehrere Referenzen mit „ / “ trennen.</t>
        </r>
      </text>
    </comment>
  </commentList>
</comments>
</file>

<file path=xl/comments14.xml><?xml version="1.0" encoding="utf-8"?>
<comments xmlns="http://schemas.openxmlformats.org/spreadsheetml/2006/main">
  <authors>
    <author>Ausfüllhilfe</author>
  </authors>
  <commentList>
    <comment ref="A4" authorId="0">
      <text>
        <r>
          <rPr>
            <sz val="8"/>
            <color indexed="81"/>
            <rFont val="Tahoma"/>
            <family val="2"/>
          </rPr>
          <t>AUSFÜLLHILFE – ID
Was eintragen: Eindeutige Kennung beibehalten; nur beim Ergänzen neuer Zeilen fortlaufend vergeben.
Beispiel: R-014
Bearbeitung: Vorbelegt | Pflichtgrad: Automatisch
Format: Text, eindeutig
Quelle/Nachweis: Arbeitsmappe
Qualitätsregel: Keine ID doppelt vergeben oder nachträglich umnummerieren.</t>
        </r>
      </text>
    </comment>
    <comment ref="B4" authorId="0">
      <text>
        <r>
          <rPr>
            <sz val="8"/>
            <color indexed="81"/>
            <rFont val="Tahoma"/>
            <family val="2"/>
          </rPr>
          <t>AUSFÜLLHILFE – Thema
Was eintragen: Sachverhalt einer eindeutigen Kategorie zuordnen.
Beispiel: Financial – Working Capital
Bearbeitung: Eingabe | Pflichtgrad: Pflicht
Format: Auswahl oder kurzer Text
Quelle/Nachweis: DD-Scope / Master-Checkliste
Qualitätsregel: Nicht mehrere unverbundene Themen in einer Zeile mischen.</t>
        </r>
      </text>
    </comment>
    <comment ref="C4" authorId="0">
      <text>
        <r>
          <rPr>
            <sz val="8"/>
            <color indexed="81"/>
            <rFont val="Tahoma"/>
            <family val="2"/>
          </rPr>
          <t>AUSFÜLLHILFE – Prüffrage
Was eintragen: Eine konkret beantwortbare Frage mit klarem Entscheidungsbezug formulieren.
Beispiel: Sind alle debt-like Positionen im Closing-Mechanismus erfasst?
Bearbeitung: Eingabe | Pflichtgrad: Pflicht
Format: Vollständiger Fragesatz
Quelle/Nachweis: Prüfhypothese / offene Entscheidung
Qualitätsregel: Keine Suggestiv- oder Sammelfrage; pro Zeile ein Sachverhalt.</t>
        </r>
      </text>
    </comment>
    <comment ref="D4" authorId="0">
      <text>
        <r>
          <rPr>
            <sz val="8"/>
            <color indexed="81"/>
            <rFont val="Tahoma"/>
            <family val="2"/>
          </rPr>
          <t>AUSFÜLLHILFE – Evidenz
Was eintragen: Konkreten Beleg mit Dateiname, Datum, Version und VDR-Pfad nennen.
Beispiel: VDR 3.2.1, Monatsbilanz 08/2026, Version final
Bearbeitung: Eingabe | Pflichtgrad: Pflicht bei Abschluss
Format: Text / Link / Referenz
Quelle/Nachweis: VDR, Vertrag, Hauptbuch, externe Bestätigung
Qualitätsregel: Management-Aussage allein reicht für wesentliche Findings nicht aus.</t>
        </r>
      </text>
    </comment>
    <comment ref="E4" authorId="0">
      <text>
        <r>
          <rPr>
            <sz val="8"/>
            <color indexed="81"/>
            <rFont val="Tahoma"/>
            <family val="2"/>
          </rPr>
          <t>AUSFÜLLHILFE – Test / Analyse
Was eintragen: Durchgeführten Test inklusive Zeitraum, Population, Stichprobe und Ergebnis beschreiben.
Beispiel: 24 Monatsabschlüsse übergeleitet; 15 Cut-off-Belege geprüft; 2 Abweichungen
Bearbeitung: Eingabe | Pflichtgrad: Pflicht bei Bearbeitung
Format: Kurze Methodik + Ergebnis
Quelle/Nachweis: Arbeitspapiere / Datenanalyse
Qualitätsregel: Nicht nur „geprüft“ schreiben; Umfang und Ergebnis nachvollziehbar machen.</t>
        </r>
      </text>
    </comment>
    <comment ref="F4" authorId="0">
      <text>
        <r>
          <rPr>
            <sz val="8"/>
            <color indexed="81"/>
            <rFont val="Tahoma"/>
            <family val="2"/>
          </rPr>
          <t>AUSFÜLLHILFE – Red Flags
Was eintragen: Mögliches Risikoszenario neutral beschreiben; noch nicht als Tatsache darstellen.
Beispiel: Stichtagssteuerung des NWC durch verzögerte Lieferantenzahlungen
Bearbeitung: Vorbelegt / anpassen | Pflichtgrad: Empfohlen
Format: Wenn–dann-Szenario
Quelle/Nachweis: Prüfplanung / erste Indikatoren
Qualitätsregel: Hypothese und bestätigtes Finding sprachlich klar trennen.</t>
        </r>
      </text>
    </comment>
    <comment ref="G4" authorId="0">
      <text>
        <r>
          <rPr>
            <sz val="8"/>
            <color indexed="81"/>
            <rFont val="Tahoma"/>
            <family val="2"/>
          </rPr>
          <t>AUSFÜLLHILFE – Reifegrad / Ergebnis
Was eintragen: Fakt, Ursache, Umfang und Geschäftsauswirkung klar von Annahmen trennen.
Beispiel: 7 von 40 Stichproben ohne Genehmigung; Exposure Base 180 T€
Bearbeitung: Eingabe | Pflichtgrad: Pflicht bei Abweichung
Format: Sachverhalt + Quantifizierung
Quelle/Nachweis: Primärevidenz und Analyse
Qualitätsregel: Keine Wertung ohne Fakten; Gegenbelege und Einschränkungen nennen.</t>
        </r>
      </text>
    </comment>
    <comment ref="H4" authorId="0">
      <text>
        <r>
          <rPr>
            <sz val="8"/>
            <color indexed="81"/>
            <rFont val="Tahoma"/>
            <family val="2"/>
          </rPr>
          <t>AUSFÜLLHILFE – Risiko
Was eintragen: Fakt, Ursache, Umfang und Geschäftsauswirkung klar von Annahmen trennen.
Beispiel: 7 von 40 Stichproben ohne Genehmigung; Exposure Base 180 T€
Bearbeitung: Eingabe | Pflichtgrad: Pflicht bei Abweichung
Format: Sachverhalt + Quantifizierung
Quelle/Nachweis: Primärevidenz und Analyse
Qualitätsregel: Keine Wertung ohne Fakten; Gegenbelege und Einschränkungen nennen.</t>
        </r>
      </text>
    </comment>
    <comment ref="I4" authorId="0">
      <text>
        <r>
          <rPr>
            <sz val="8"/>
            <color indexed="81"/>
            <rFont val="Tahoma"/>
            <family val="2"/>
          </rPr>
          <t>AUSFÜLLHILFE – Empfohlene Maßnahme
Was eintragen: Den für „Empfohlene Maßnahme“ zutreffenden, belegbaren Wert eintragen.
Beispiel: Konkreter Wert oder kurzer, eindeutiger Text
Bearbeitung: Eingabe | Pflichtgrad: Wenn relevant
Format: Text
Quelle/Nachweis: Primärbeleg bzw. freigegebene Projektdaten
Qualitätsregel: Keine unbelegten Annahmen; Quelle oder Referenz ergänzen.</t>
        </r>
      </text>
    </comment>
    <comment ref="J4" authorId="0">
      <text>
        <r>
          <rPr>
            <sz val="8"/>
            <color indexed="81"/>
            <rFont val="Tahoma"/>
            <family val="2"/>
          </rPr>
          <t>AUSFÜLLHILFE – Owner
Was eintragen: Namentlich verantwortliche Person oder eindeutige Rolle eintragen.
Beispiel: Anna Beispiel (CFO) / Tax Lead
Bearbeitung: Eingabe | Pflichtgrad: Pflicht für aktive Punkte
Format: Name und Rolle
Quelle/Nachweis: Projekt-RACI
Qualitätsregel: Keine Mehrfach-Owner; genau eine rechenschaftspflichtige Rolle festlegen.</t>
        </r>
      </text>
    </comment>
    <comment ref="K4" authorId="0">
      <text>
        <r>
          <rPr>
            <sz val="8"/>
            <color indexed="81"/>
            <rFont val="Tahoma"/>
            <family val="2"/>
          </rPr>
          <t>AUSFÜLLHILFE – Fällig
Was eintragen: Kalenderdatum im Format TT.MM.JJJJ eintragen.
Beispiel: 31.10.2026
Bearbeitung: Eingabe | Pflichtgrad: Pflicht, sobald terminiert
Format: Datum
Quelle/Nachweis: Projektplan / Dokumentenmetadaten
Qualitätsregel: Keine relativen Angaben wie „nächste Woche“.</t>
        </r>
      </text>
    </comment>
    <comment ref="L4" authorId="0">
      <text>
        <r>
          <rPr>
            <sz val="8"/>
            <color indexed="81"/>
            <rFont val="Tahoma"/>
            <family val="2"/>
          </rPr>
          <t>AUSFÜLLHILFE – Status
Was eintragen: Nur den tatsächlich erreichten Bearbeitungsstand auswählen.
Beispiel: In Prüfung
Bearbeitung: Eingabe | Pflichtgrad: Pflicht
Format: Dropdown
Quelle/Nachweis: Aktueller Arbeitsstand
Qualitätsregel: „Abgeschlossen“ erst bei dokumentierter Evidenz und Reviewer-Freigabe.</t>
        </r>
      </text>
    </comment>
    <comment ref="M4" authorId="0">
      <text>
        <r>
          <rPr>
            <sz val="8"/>
            <color indexed="81"/>
            <rFont val="Tahoma"/>
            <family val="2"/>
          </rPr>
          <t>AUSFÜLLHILFE – Master-Ref.
Was eintragen: Verknüpfte Checklisten-, Risiko-, Dokument- oder Q&amp;A-ID eintragen.
Beispiel: FIN-04 / DOC-037 / Q-012
Bearbeitung: Eingabe | Pflichtgrad: Empfohlen
Format: Eine oder mehrere IDs
Quelle/Nachweis: Andere Register dieser Arbeitsmappe
Qualitätsregel: Nur vorhandene IDs verwenden; mehrere Referenzen mit „ / “ trennen.</t>
        </r>
      </text>
    </comment>
  </commentList>
</comments>
</file>

<file path=xl/comments15.xml><?xml version="1.0" encoding="utf-8"?>
<comments xmlns="http://schemas.openxmlformats.org/spreadsheetml/2006/main">
  <authors>
    <author>Ausfüllhilfe</author>
  </authors>
  <commentList>
    <comment ref="A4" authorId="0">
      <text>
        <r>
          <rPr>
            <sz val="8"/>
            <color indexed="81"/>
            <rFont val="Tahoma"/>
            <family val="2"/>
          </rPr>
          <t>AUSFÜLLHILFE – Mechanismus
Was eintragen: Den für „Mechanismus“ zutreffenden, belegbaren Wert eintragen.
Beispiel: Konkreter Wert oder kurzer, eindeutiger Text
Bearbeitung: Eingabe | Pflichtgrad: Wenn relevant
Format: Text
Quelle/Nachweis: Primärbeleg bzw. freigegebene Projektdaten
Qualitätsregel: Keine unbelegten Annahmen; Quelle oder Referenz ergänzen.</t>
        </r>
      </text>
    </comment>
    <comment ref="B4" authorId="0">
      <text>
        <r>
          <rPr>
            <sz val="8"/>
            <color indexed="81"/>
            <rFont val="Tahoma"/>
            <family val="2"/>
          </rPr>
          <t>AUSFÜLLHILFE – Geeignet für
Was eintragen: Den für „Geeignet für“ zutreffenden, belegbaren Wert eintragen.
Beispiel: Konkreter Wert oder kurzer, eindeutiger Text
Bearbeitung: Eingabe | Pflichtgrad: Wenn relevant
Format: Text
Quelle/Nachweis: Primärbeleg bzw. freigegebene Projektdaten
Qualitätsregel: Keine unbelegten Annahmen; Quelle oder Referenz ergänzen.</t>
        </r>
      </text>
    </comment>
    <comment ref="C4" authorId="0">
      <text>
        <r>
          <rPr>
            <sz val="8"/>
            <color indexed="81"/>
            <rFont val="Tahoma"/>
            <family val="2"/>
          </rPr>
          <t>AUSFÜLLHILFE – Typische Anwendungsfälle
Was eintragen: Den für „Typische Anwendungsfälle“ zutreffenden, belegbaren Wert eintragen.
Beispiel: Konkreter Wert oder kurzer, eindeutiger Text
Bearbeitung: Eingabe | Pflichtgrad: Wenn relevant
Format: Text
Quelle/Nachweis: Primärbeleg bzw. freigegebene Projektdaten
Qualitätsregel: Keine unbelegten Annahmen; Quelle oder Referenz ergänzen.</t>
        </r>
      </text>
    </comment>
    <comment ref="D4" authorId="0">
      <text>
        <r>
          <rPr>
            <sz val="8"/>
            <color indexed="81"/>
            <rFont val="Tahoma"/>
            <family val="2"/>
          </rPr>
          <t>AUSFÜLLHILFE – Zentrale Ausgestaltung
Was eintragen: Den für „Zentrale Ausgestaltung“ zutreffenden, belegbaren Wert eintragen.
Beispiel: Konkreter Wert oder kurzer, eindeutiger Text
Bearbeitung: Eingabe | Pflichtgrad: Wenn relevant
Format: Text
Quelle/Nachweis: Primärbeleg bzw. freigegebene Projektdaten
Qualitätsregel: Keine unbelegten Annahmen; Quelle oder Referenz ergänzen.</t>
        </r>
      </text>
    </comment>
    <comment ref="E4" authorId="0">
      <text>
        <r>
          <rPr>
            <sz val="8"/>
            <color indexed="81"/>
            <rFont val="Tahoma"/>
            <family val="2"/>
          </rPr>
          <t>AUSFÜLLHILFE – Adressiertes Risiko
Was eintragen: Den für „Adressiertes Risiko“ zutreffenden, belegbaren Wert eintragen.
Beispiel: Konkreter Wert oder kurzer, eindeutiger Text
Bearbeitung: Eingabe | Pflichtgrad: Wenn relevant
Format: Text
Quelle/Nachweis: Primärbeleg bzw. freigegebene Projektdaten
Qualitätsregel: Keine unbelegten Annahmen; Quelle oder Referenz ergänzen.</t>
        </r>
      </text>
    </comment>
    <comment ref="F4" authorId="0">
      <text>
        <r>
          <rPr>
            <sz val="8"/>
            <color indexed="81"/>
            <rFont val="Tahoma"/>
            <family val="2"/>
          </rPr>
          <t>AUSFÜLLHILFE – Federführung
Was eintragen: Namentlich verantwortliche Person oder eindeutige Rolle eintragen.
Beispiel: Anna Beispiel (CFO) / Tax Lead
Bearbeitung: Eingabe | Pflichtgrad: Pflicht für aktive Punkte
Format: Name und Rolle
Quelle/Nachweis: Projekt-RACI
Qualitätsregel: Keine Mehrfach-Owner; genau eine rechenschaftspflichtige Rolle festlegen.</t>
        </r>
      </text>
    </comment>
    <comment ref="G4" authorId="0">
      <text>
        <r>
          <rPr>
            <sz val="8"/>
            <color indexed="81"/>
            <rFont val="Tahoma"/>
            <family val="2"/>
          </rPr>
          <t>AUSFÜLLHILFE – Konkrete Entscheidung / Bezug
Was eintragen: Entscheidung, Begründung, Annahmen und offene Einschränkungen knapp dokumentieren.
Beispiel: IC akzeptiert Restrisiko unter Bedingung eines 300 T€ Escrows.
Bearbeitung: Eingabe | Pflichtgrad: Bei Abweichung/Entscheidung
Format: Kurzer Audit-Trail
Quelle/Nachweis: Meeting-/Entscheidungsprotokoll
Qualitätsregel: Datum und Entscheider nennen; keine vertraulichen Nebendaten kopieren.</t>
        </r>
      </text>
    </comment>
    <comment ref="H4" authorId="0">
      <text>
        <r>
          <rPr>
            <sz val="8"/>
            <color indexed="81"/>
            <rFont val="Tahoma"/>
            <family val="2"/>
          </rPr>
          <t>AUSFÜLLHILFE – Status
Was eintragen: Nur den tatsächlich erreichten Bearbeitungsstand auswählen.
Beispiel: In Prüfung
Bearbeitung: Eingabe | Pflichtgrad: Pflicht
Format: Dropdown
Quelle/Nachweis: Aktueller Arbeitsstand
Qualitätsregel: „Abgeschlossen“ erst bei dokumentierter Evidenz und Reviewer-Freigabe.</t>
        </r>
      </text>
    </comment>
  </commentList>
</comments>
</file>

<file path=xl/comments16.xml><?xml version="1.0" encoding="utf-8"?>
<comments xmlns="http://schemas.openxmlformats.org/spreadsheetml/2006/main">
  <authors>
    <author>Ausfüllhilfe</author>
  </authors>
  <commentList>
    <comment ref="A4" authorId="0">
      <text>
        <r>
          <rPr>
            <sz val="8"/>
            <color indexed="81"/>
            <rFont val="Tahoma"/>
            <family val="2"/>
          </rPr>
          <t>AUSFÜLLHILFE – Quellen-ID
Was eintragen: Eindeutige Kennung beibehalten; nur beim Ergänzen neuer Zeilen fortlaufend vergeben.
Beispiel: R-014
Bearbeitung: Vorbelegt | Pflichtgrad: Automatisch
Format: Text, eindeutig
Quelle/Nachweis: Arbeitsmappe
Qualitätsregel: Keine ID doppelt vergeben oder nachträglich umnummerieren.</t>
        </r>
      </text>
    </comment>
    <comment ref="B4" authorId="0">
      <text>
        <r>
          <rPr>
            <sz val="8"/>
            <color indexed="81"/>
            <rFont val="Tahoma"/>
            <family val="2"/>
          </rPr>
          <t>AUSFÜLLHILFE – Titel
Was eintragen: Den für „Titel“ zutreffenden, belegbaren Wert eintragen.
Beispiel: Konkreter Wert oder kurzer, eindeutiger Text
Bearbeitung: Eingabe | Pflichtgrad: Wenn relevant
Format: Text
Quelle/Nachweis: Primärbeleg bzw. freigegebene Projektdaten
Qualitätsregel: Keine unbelegten Annahmen; Quelle oder Referenz ergänzen.</t>
        </r>
      </text>
    </comment>
    <comment ref="C4" authorId="0">
      <text>
        <r>
          <rPr>
            <sz val="8"/>
            <color indexed="81"/>
            <rFont val="Tahoma"/>
            <family val="2"/>
          </rPr>
          <t>AUSFÜLLHILFE – Herausgeber
Was eintragen: Den für „Herausgeber“ zutreffenden, belegbaren Wert eintragen.
Beispiel: Konkreter Wert oder kurzer, eindeutiger Text
Bearbeitung: Eingabe | Pflichtgrad: Wenn relevant
Format: Text
Quelle/Nachweis: Primärbeleg bzw. freigegebene Projektdaten
Qualitätsregel: Keine unbelegten Annahmen; Quelle oder Referenz ergänzen.</t>
        </r>
      </text>
    </comment>
    <comment ref="D4" authorId="0">
      <text>
        <r>
          <rPr>
            <sz val="8"/>
            <color indexed="81"/>
            <rFont val="Tahoma"/>
            <family val="2"/>
          </rPr>
          <t>AUSFÜLLHILFE – URL
Was eintragen: Den für „URL“ zutreffenden, belegbaren Wert eintragen.
Beispiel: Konkreter Wert oder kurzer, eindeutiger Text
Bearbeitung: Eingabe | Pflichtgrad: Wenn relevant
Format: Text
Quelle/Nachweis: Primärbeleg bzw. freigegebene Projektdaten
Qualitätsregel: Keine unbelegten Annahmen; Quelle oder Referenz ergänzen.</t>
        </r>
      </text>
    </comment>
    <comment ref="E4" authorId="0">
      <text>
        <r>
          <rPr>
            <sz val="8"/>
            <color indexed="81"/>
            <rFont val="Tahoma"/>
            <family val="2"/>
          </rPr>
          <t>AUSFÜLLHILFE – Verwendung
Was eintragen: Den für „Verwendung“ zutreffenden, belegbaren Wert eintragen.
Beispiel: Konkreter Wert oder kurzer, eindeutiger Text
Bearbeitung: Eingabe | Pflichtgrad: Wenn relevant
Format: Text
Quelle/Nachweis: Primärbeleg bzw. freigegebene Projektdaten
Qualitätsregel: Keine unbelegten Annahmen; Quelle oder Referenz ergänzen.</t>
        </r>
      </text>
    </comment>
    <comment ref="F4" authorId="0">
      <text>
        <r>
          <rPr>
            <sz val="8"/>
            <color indexed="81"/>
            <rFont val="Tahoma"/>
            <family val="2"/>
          </rPr>
          <t>AUSFÜLLHILFE – Hinweis
Was eintragen: Den für „Hinweis“ zutreffenden, belegbaren Wert eintragen.
Beispiel: Konkreter Wert oder kurzer, eindeutiger Text
Bearbeitung: Eingabe | Pflichtgrad: Wenn relevant
Format: Text
Quelle/Nachweis: Primärbeleg bzw. freigegebene Projektdaten
Qualitätsregel: Keine unbelegten Annahmen; Quelle oder Referenz ergänzen.</t>
        </r>
      </text>
    </comment>
    <comment ref="G4" authorId="0">
      <text>
        <r>
          <rPr>
            <sz val="8"/>
            <color indexed="81"/>
            <rFont val="Tahoma"/>
            <family val="2"/>
          </rPr>
          <t>AUSFÜLLHILFE – Abrufdatum
Was eintragen: Kalenderdatum im Format TT.MM.JJJJ eintragen.
Beispiel: 31.10.2026
Bearbeitung: Eingabe | Pflichtgrad: Pflicht, sobald terminiert
Format: Datum
Quelle/Nachweis: Projektplan / Dokumentenmetadaten
Qualitätsregel: Keine relativen Angaben wie „nächste Woche“.</t>
        </r>
      </text>
    </comment>
  </commentList>
</comments>
</file>

<file path=xl/sharedStrings.xml><?xml version="1.0" encoding="utf-8"?>
<sst xmlns="http://schemas.openxmlformats.org/spreadsheetml/2006/main" count="9894" uniqueCount="2913">
  <si>
    <t>Pruefstatus</t>
  </si>
  <si>
    <t>Nicht begonnen</t>
  </si>
  <si>
    <t>In Prüfung</t>
  </si>
  <si>
    <t>Rückfrage</t>
  </si>
  <si>
    <t>Blockiert</t>
  </si>
  <si>
    <t>Abgeschlossen</t>
  </si>
  <si>
    <t>Nicht anwendbar</t>
  </si>
  <si>
    <t>Prioritaet</t>
  </si>
  <si>
    <t>Kritisch</t>
  </si>
  <si>
    <t>Hoch</t>
  </si>
  <si>
    <t>Mittel</t>
  </si>
  <si>
    <t>Niedrig</t>
  </si>
  <si>
    <t>Phase</t>
  </si>
  <si>
    <t>Screening</t>
  </si>
  <si>
    <t>Vollprüfung</t>
  </si>
  <si>
    <t>Signing</t>
  </si>
  <si>
    <t>Closing</t>
  </si>
  <si>
    <t>Post-Closing</t>
  </si>
  <si>
    <t>JaNeinPruefen</t>
  </si>
  <si>
    <t>Ja</t>
  </si>
  <si>
    <t>Nein</t>
  </si>
  <si>
    <t>Zu prüfen</t>
  </si>
  <si>
    <t>DokStatus</t>
  </si>
  <si>
    <t>Nicht angefordert</t>
  </si>
  <si>
    <t>Angefordert</t>
  </si>
  <si>
    <t>Teilweise</t>
  </si>
  <si>
    <t>Vollständig</t>
  </si>
  <si>
    <t>Nicht verfügbar</t>
  </si>
  <si>
    <t>Vollstaendigkeit</t>
  </si>
  <si>
    <t>Ungeprüft</t>
  </si>
  <si>
    <t>Unvollständig</t>
  </si>
  <si>
    <t>Plausibel</t>
  </si>
  <si>
    <t>Verifiziert</t>
  </si>
  <si>
    <t>RisikoStatus</t>
  </si>
  <si>
    <t>Zu verifizieren</t>
  </si>
  <si>
    <t>Bestätigt</t>
  </si>
  <si>
    <t>Entkräftet</t>
  </si>
  <si>
    <t>Mitigiert</t>
  </si>
  <si>
    <t>Akzeptiert</t>
  </si>
  <si>
    <t>MassStatus</t>
  </si>
  <si>
    <t>Nicht gestartet</t>
  </si>
  <si>
    <t>In Arbeit</t>
  </si>
  <si>
    <t>Erledigt</t>
  </si>
  <si>
    <t>Verworfen</t>
  </si>
  <si>
    <t>QAStatus</t>
  </si>
  <si>
    <t>Entwurf</t>
  </si>
  <si>
    <t>Gesendet</t>
  </si>
  <si>
    <t>Teilbeantwortet</t>
  </si>
  <si>
    <t>Beantwortet</t>
  </si>
  <si>
    <t>Nachfrage</t>
  </si>
  <si>
    <t>Geschlossen</t>
  </si>
  <si>
    <t>Vertraulichkeit</t>
  </si>
  <si>
    <t>Normal</t>
  </si>
  <si>
    <t>Vertraulich</t>
  </si>
  <si>
    <t>Streng vertraulich</t>
  </si>
  <si>
    <t>Clean Team</t>
  </si>
  <si>
    <t>Transaktionstyp</t>
  </si>
  <si>
    <t>Share Deal</t>
  </si>
  <si>
    <t>Asset Deal</t>
  </si>
  <si>
    <t>Beteiligung</t>
  </si>
  <si>
    <t>Carve-out</t>
  </si>
  <si>
    <t>IPO</t>
  </si>
  <si>
    <t>Refinanzierung</t>
  </si>
  <si>
    <t>Sonstige</t>
  </si>
  <si>
    <t>DealImpact</t>
  </si>
  <si>
    <t>Bewertung/Kaufpreis</t>
  </si>
  <si>
    <t>SPA/Haftung</t>
  </si>
  <si>
    <t>Closing-Bedingung</t>
  </si>
  <si>
    <t>Finanzierung</t>
  </si>
  <si>
    <t>Integration/100-Tage-Plan</t>
  </si>
  <si>
    <t>Abbruch/No-go</t>
  </si>
  <si>
    <t>Kein direkter</t>
  </si>
  <si>
    <t>Reifegrad</t>
  </si>
  <si>
    <t>0 – Nicht vorhanden</t>
  </si>
  <si>
    <t>1 – Ad hoc</t>
  </si>
  <si>
    <t>2 – Definiert</t>
  </si>
  <si>
    <t>3 – Implementiert</t>
  </si>
  <si>
    <t>4 – Gemessen/optimiert</t>
  </si>
  <si>
    <t>Vertragstyp</t>
  </si>
  <si>
    <t>Kunde</t>
  </si>
  <si>
    <t>Lieferant</t>
  </si>
  <si>
    <t>Miete</t>
  </si>
  <si>
    <t>Lizenz</t>
  </si>
  <si>
    <t>IT/Cloud</t>
  </si>
  <si>
    <t>Distribution</t>
  </si>
  <si>
    <t>Kooperation/JV</t>
  </si>
  <si>
    <t>Versicherung</t>
  </si>
  <si>
    <t>Due-Diligence-Arbeitsmappe</t>
  </si>
  <si>
    <t>Branchenneutrale, risikoorientierte Arbeitsvorlage. Gelbe Zellen sind Eingaben, blaue Zellen enthalten Formeln. Alle Vorschläge sind auf den konkreten Deal anzupassen.</t>
  </si>
  <si>
    <t>Projektparameter</t>
  </si>
  <si>
    <t>Zielunternehmen</t>
  </si>
  <si>
    <t>Käufer / Investor</t>
  </si>
  <si>
    <t>DD-Stichtag</t>
  </si>
  <si>
    <t>Projektleitung</t>
  </si>
  <si>
    <t>Version</t>
  </si>
  <si>
    <t>1.0</t>
  </si>
  <si>
    <t>Berichtswährung</t>
  </si>
  <si>
    <t>EUR</t>
  </si>
  <si>
    <t>Materialitätsschwelle (€)</t>
  </si>
  <si>
    <t>Empfohlener Ablauf</t>
  </si>
  <si>
    <t>1. Scope &amp; Hypothesen</t>
  </si>
  <si>
    <t>Perimeter, Materialität, No-go-Kriterien und Workstreams freigeben.</t>
  </si>
  <si>
    <t>2. Datenraum &amp; Q&amp;A</t>
  </si>
  <si>
    <t>Dokumente anfordern, Versionen kontrollieren, Lücken und Widersprüche eskalieren.</t>
  </si>
  <si>
    <t>3. Analyse &amp; Triangulation</t>
  </si>
  <si>
    <t>Management-Daten mit Verträgen, Hauptbuch, externen Quellen und Stichproben belegen.</t>
  </si>
  <si>
    <t>4. Findings &amp; Quantifizierung</t>
  </si>
  <si>
    <t>Sachverhalt, Evidenz, Ursache, Eintritt, Auswirkung und Exposure trennen.</t>
  </si>
  <si>
    <t>5. Deal-Entscheidung</t>
  </si>
  <si>
    <t>Preis, SPA-Schutz, Closing-Bedingungen, Finanzierung und No-go bewerten.</t>
  </si>
  <si>
    <t>6. Maßnahmen &amp; Übergabe</t>
  </si>
  <si>
    <t>Owner, Frist, Budget, KPI sowie Day-1-/100-Tage-Plan festlegen.</t>
  </si>
  <si>
    <t>Risiko-Scoring</t>
  </si>
  <si>
    <t>Wert</t>
  </si>
  <si>
    <t>Eintrittswahrscheinlichkeit</t>
  </si>
  <si>
    <t>Auswirkung</t>
  </si>
  <si>
    <t>Orientierung</t>
  </si>
  <si>
    <t>Sehr gering</t>
  </si>
  <si>
    <t>Unwesentlich</t>
  </si>
  <si>
    <t>Kein relevanter Einfluss; normale Steuerung</t>
  </si>
  <si>
    <t>Gering</t>
  </si>
  <si>
    <t>Begrenzt</t>
  </si>
  <si>
    <t>Unter Materialität; lokale Korrektur</t>
  </si>
  <si>
    <t>Möglich</t>
  </si>
  <si>
    <t>Wesentlich</t>
  </si>
  <si>
    <t>Management Attention; quantifizieren</t>
  </si>
  <si>
    <t>Wahrscheinlich</t>
  </si>
  <si>
    <t>Schwerwiegend</t>
  </si>
  <si>
    <t>Deal-/SPA-relevant; IC-Eskalation</t>
  </si>
  <si>
    <t>Sehr wahrscheinlich</t>
  </si>
  <si>
    <t>Existenz-/Deal-kritisch</t>
  </si>
  <si>
    <t>No-go oder zwingende Vorbedingung</t>
  </si>
  <si>
    <t>Risikoklasse = Eintritt × Auswirkung</t>
  </si>
  <si>
    <t>1–4</t>
  </si>
  <si>
    <t>Dokumentieren / regulär überwachen</t>
  </si>
  <si>
    <t>5–9</t>
  </si>
  <si>
    <t>Maßnahme mit Owner und Frist</t>
  </si>
  <si>
    <t>10–16</t>
  </si>
  <si>
    <t>Quantifizieren und Deal-Schutz entscheiden</t>
  </si>
  <si>
    <t>17–25</t>
  </si>
  <si>
    <t>Sofort eskalieren; No-go/CP/Freistellung prüfen</t>
  </si>
  <si>
    <t>Nutzungshinweise</t>
  </si>
  <si>
    <t>• Prüfpunkte sind Hypothesen und keine Feststellungen. Findings erst nach belegbarer Evidenz eintragen.</t>
  </si>
  <si>
    <t>• Risikoscore nicht ausfüllen, bevor Eintritt und Auswirkung begründet sind. Exposure (Low/Base/High) separat quantifizieren.</t>
  </si>
  <si>
    <t>• Kaufpreisanpassung, Freistellung und operative Maßnahme dürfen dasselbe Risiko nicht unbemerkt doppelt erfassen.</t>
  </si>
  <si>
    <t>• Personenbezogene Daten minimieren; sensible HR-, Gesundheits- und Kundendaten nur über geeignete Clean-Team-Prozesse verarbeiten.</t>
  </si>
  <si>
    <t>• Die Vorlage ersetzt keine Rechts-, Steuer-, Wirtschaftsprüfungs-, Cyber- oder Umweltberatung. Rechtslage und Standards zum Transaktionszeitpunkt prüfen.</t>
  </si>
  <si>
    <t>Master-Checkliste</t>
  </si>
  <si>
    <t>156 risikoorientierte Prüfpunkte. Vorschläge sind Hypothesen; tatsächliche Feststellungen benötigen Evidenz.</t>
  </si>
  <si>
    <t>TRX-01</t>
  </si>
  <si>
    <t>Transaktion &amp; Scope</t>
  </si>
  <si>
    <t>Deal Perimeter</t>
  </si>
  <si>
    <t>Sind Zielgesellschaften, Vermögenswerte, Schulden und ausgenommene Positionen eindeutig abgegrenzt?</t>
  </si>
  <si>
    <t>Strukturdiagramm, Term Sheet, Perimeter-Liste, Asset- und Beteiligungsverzeichnis</t>
  </si>
  <si>
    <t>Perimeter mit Abschlüssen, Verträgen und Bewertungsmodell abstimmen; Lückenliste erstellen.</t>
  </si>
  <si>
    <t>Nicht konsolidierte Einheiten, nicht übertragbare Assets, unklare Haftungszuordnung</t>
  </si>
  <si>
    <t>Perimeter verbindlich festlegen und Abweichungen im SPA sowie Kaufpreismodell abbilden.</t>
  </si>
  <si>
    <t>Definitionen, Closing Accounts, Freistellung</t>
  </si>
  <si>
    <t>S03</t>
  </si>
  <si>
    <t>TRX-02</t>
  </si>
  <si>
    <t>Transaktionsstruktur</t>
  </si>
  <si>
    <t>Ist Share Deal, Asset Deal oder Mischform wirtschaftlich, rechtlich und steuerlich belastbar?</t>
  </si>
  <si>
    <t>Term Sheet, Strukturmemorandum, Steuer- und Rechtsgutachten</t>
  </si>
  <si>
    <t>Alternativen nach Steuern, Haftungsübergang, Übertragbarkeit und Umsetzungsrisiko vergleichen.</t>
  </si>
  <si>
    <t>Struktur nur steuergetrieben, unerforderliche Zustimmungen, ungeklärte Gesamtrechtsnachfolge</t>
  </si>
  <si>
    <t>Strukturoptionen mit Entscheidungsmatrix dokumentieren und bevorzugte Struktur freigeben.</t>
  </si>
  <si>
    <t>Closing-Bedingung, Struktur-Covenant</t>
  </si>
  <si>
    <t>TRX-03</t>
  </si>
  <si>
    <t>Materialität</t>
  </si>
  <si>
    <t>Sind Materialitätsschwellen je Prüfungsbereich definiert und konsistent?</t>
  </si>
  <si>
    <t>DD-Scope, Bewertungsmodell, Risikotoleranz, Finanzierungsvorgaben</t>
  </si>
  <si>
    <t>Quantitative und qualitative Schwellen einschließlich No-go-Kriterien festlegen.</t>
  </si>
  <si>
    <t>Beliebige Einzelfallentscheidungen, kleine wiederkehrende Fehler werden unterschätzt</t>
  </si>
  <si>
    <t>Materialitätsmatrix mit Eskalations- und Genehmigungsstufen beschließen.</t>
  </si>
  <si>
    <t>Reporting-Covenant</t>
  </si>
  <si>
    <t>S01</t>
  </si>
  <si>
    <t>TRX-04</t>
  </si>
  <si>
    <t>Stichtag &amp; Zeitraum</t>
  </si>
  <si>
    <t>Decken Prüfungszeitraum und Stichtag die Werttreiber und aktuelle Entwicklung angemessen ab?</t>
  </si>
  <si>
    <t>Jahresabschlüsse, Monatsreporting, LTM-Daten, Ereignisse nach Stichtag</t>
  </si>
  <si>
    <t>Historie, LTM und aktuelle Monatsdaten überleiten; Subsequent Events prüfen.</t>
  </si>
  <si>
    <t>Veraltete Daten, starke Abweichung nach Stichtag, fehlende Monatsabschlüsse</t>
  </si>
  <si>
    <t>Bring-down-Daten und Aktualisierung vor Signing/Closing vertraglich verlangen.</t>
  </si>
  <si>
    <t>Bring-down, Closing-Bedingung</t>
  </si>
  <si>
    <t>S05</t>
  </si>
  <si>
    <t>TRX-05</t>
  </si>
  <si>
    <t>Datenraumqualität</t>
  </si>
  <si>
    <t>Sind Datenraum, Index, Versionierung und Vollständigkeit prüfbar?</t>
  </si>
  <si>
    <t>VDR-Index, Upload-Log, Berechtigungsmatrix, Vollständigkeitserklärung</t>
  </si>
  <si>
    <t>Index gegen Request List abgleichen; Dubletten, fehlende Versionen und späte Uploads markieren.</t>
  </si>
  <si>
    <t>Massen-Uploads kurz vor Deadline, widersprüchliche Versionen, gelöschte Dateien</t>
  </si>
  <si>
    <t>VDR-Governance, Cut-off und finale Datenraum-DVD/Archiv vereinbaren.</t>
  </si>
  <si>
    <t>Disclosure-Regeln, Vollständigkeitserklärung</t>
  </si>
  <si>
    <t>S02</t>
  </si>
  <si>
    <t>TRX-06</t>
  </si>
  <si>
    <t>Management-Auskünfte</t>
  </si>
  <si>
    <t>Sind Management-Aussagen dokumentiert, konsistent und evidenzbasiert?</t>
  </si>
  <si>
    <t>Q&amp;A-Protokolle, Management-Präsentation, Datenquellen, Representation Letter</t>
  </si>
  <si>
    <t>Aussagen triangulieren und wesentliche mündliche Zusagen schriftlich bestätigen lassen.</t>
  </si>
  <si>
    <t>Ausweichende Antworten, häufige Korrekturen, fehlende Evidenz</t>
  </si>
  <si>
    <t>Offene Aussagen in Q&amp;A nachverfolgen und als Garantie oder Closing Deliverable absichern.</t>
  </si>
  <si>
    <t>Garantie, Covenant, Closing Deliverable</t>
  </si>
  <si>
    <t>TRX-07</t>
  </si>
  <si>
    <t>Interessenkonflikte</t>
  </si>
  <si>
    <t>Sind Management-Incentives, Verkäuferinteressen und Beraterabhängigkeiten transparent?</t>
  </si>
  <si>
    <t>Bonuspläne, MIP, Beraterverträge, Related-Party-Liste</t>
  </si>
  <si>
    <t>Anreize auf mögliche Ergebnissteuerung, Retention und Deal-Abhängigkeit analysieren.</t>
  </si>
  <si>
    <t>Transaktionsbonus nur bei hohem Kaufpreis, undisclosed related parties</t>
  </si>
  <si>
    <t>Konflikte offenlegen, unabhängige Validierung und angepasste Incentives vorsehen.</t>
  </si>
  <si>
    <t>Disclosure, Retention-Vereinbarung</t>
  </si>
  <si>
    <t>TRX-08</t>
  </si>
  <si>
    <t>Regulatorischer Pfad</t>
  </si>
  <si>
    <t>Sind erforderliche Fusionskontroll-, Investitionskontroll- und Branchenfreigaben identifiziert?</t>
  </si>
  <si>
    <t>Umsatzdaten nach Land, Eigentümerstruktur, Lizenzen, Regulatory Memo</t>
  </si>
  <si>
    <t>Schwellenwerte, Zuständigkeiten, Long-stop Date und Vollzugsrisiko prüfen.</t>
  </si>
  <si>
    <t>Gun jumping, übersehene Anmeldung, kritische ausländische Beteiligung</t>
  </si>
  <si>
    <t>Anmeldestrategie, Verantwortlichkeiten und Long-stop-/Termination-Regelung festlegen.</t>
  </si>
  <si>
    <t>Condition precedent, Long-stop Date</t>
  </si>
  <si>
    <t>COR-01</t>
  </si>
  <si>
    <t>Corporate &amp; Governance</t>
  </si>
  <si>
    <t>Existenz &amp; Vertretung</t>
  </si>
  <si>
    <t>Sind Gesellschaften wirksam errichtet und Vertretungsbefugnisse aktuell?</t>
  </si>
  <si>
    <t>Registerauszüge, Satzungen, Geschäftsführerlisten, Vollmachten</t>
  </si>
  <si>
    <t>Registerdaten mit internen Unterlagen und Signaturrechten abgleichen.</t>
  </si>
  <si>
    <t>Abweichende Geschäftsführer, abgelaufene Vollmachten, fehlende Eintragung</t>
  </si>
  <si>
    <t>Register und Vollmachten vor Closing bereinigen.</t>
  </si>
  <si>
    <t>Closing Deliverable, Garantie</t>
  </si>
  <si>
    <t>COR-02</t>
  </si>
  <si>
    <t>Cap Table</t>
  </si>
  <si>
    <t>Ist die Eigentümerstruktur vollständig verwässert und frei von unbekannten Rechten?</t>
  </si>
  <si>
    <t>Gesellschafterliste, Aktienbuch, Optionen, Wandeldarlehen, VSOP/ESOP</t>
  </si>
  <si>
    <t>Fully diluted Cap Table rechnen und auf Abschlüsse sowie Verträge abstimmen.</t>
  </si>
  <si>
    <t>Nicht erfasste Optionen, Side Letters, strittige Anteile</t>
  </si>
  <si>
    <t>Alle Rechte ablösen oder in Kaufpreis und Closing-Mechanik integrieren.</t>
  </si>
  <si>
    <t>Closing-Bedingung, Freistellung</t>
  </si>
  <si>
    <t>COR-03</t>
  </si>
  <si>
    <t>Belastungen</t>
  </si>
  <si>
    <t>Sind Anteile und wesentliche Assets frei von Pfandrechten oder sonstigen Belastungen?</t>
  </si>
  <si>
    <t>Pfandverträge, Register, Sicherheitenverzeichnis, Bankbestätigungen</t>
  </si>
  <si>
    <t>Sicherheiten auf Eigentümer, Rang, Freigabebedingung und Vollständigkeit prüfen.</t>
  </si>
  <si>
    <t>Nicht freigabefähige Sicherheiten, Cross-Collateral, negative pledge</t>
  </si>
  <si>
    <t>Payoff Letter und Freigaben als Closing Deliverables verlangen.</t>
  </si>
  <si>
    <t>Debt payoff, Release Condition</t>
  </si>
  <si>
    <t>COR-04</t>
  </si>
  <si>
    <t>Beschlusslage</t>
  </si>
  <si>
    <t>Sind wesentliche Organbeschlüsse und Transaktionen ordnungsgemäß genehmigt?</t>
  </si>
  <si>
    <t>Protokolle der letzten fünf Jahre, Geschäftsordnungen, Zustimmungslisten</t>
  </si>
  <si>
    <t>Beschlüsse auf Form, Quorum, Interessenkonflikte und Folgepflichten prüfen.</t>
  </si>
  <si>
    <t>Fehlende Genehmigung, rückdatierte Protokolle, dauerhafte Kompetenzverstöße</t>
  </si>
  <si>
    <t>Heilungsbeschlüsse und aktualisierte Geschäftsordnung umsetzen.</t>
  </si>
  <si>
    <t>Garantie, Closing Deliverable</t>
  </si>
  <si>
    <t>COR-05</t>
  </si>
  <si>
    <t>Gesellschafterrechte</t>
  </si>
  <si>
    <t>Bestehen Vorkaufs-, Mitverkaufs-, Vetorechte oder Übertragungsbeschränkungen?</t>
  </si>
  <si>
    <t>Gesellschaftervereinbarungen, Side Letters, Beteiligungsverträge</t>
  </si>
  <si>
    <t>Rechte je Transaktionsschritt und benötigte Waiver dokumentieren.</t>
  </si>
  <si>
    <t>Unkündbare Vetorechte, fehlende Drag-Ausübung, Zustimmung Dritter</t>
  </si>
  <si>
    <t>Waiver/Zustimmungen vor Signing oder als Closing-Bedingung beschaffen.</t>
  </si>
  <si>
    <t>Consent Condition</t>
  </si>
  <si>
    <t>COR-06</t>
  </si>
  <si>
    <t>Beteiligungen &amp; JVs</t>
  </si>
  <si>
    <t>Sind Tochtergesellschaften, Joint Ventures und Minderheiten wirtschaftlich kontrollierbar?</t>
  </si>
  <si>
    <t>Beteiligungsliste, JV-Verträge, lokale Abschlüsse, Governance-Rechte</t>
  </si>
  <si>
    <t>Kontrolle, Ausschüttungen, Finanzierungspflichten und Exit-Rechte bewerten.</t>
  </si>
  <si>
    <t>Nachschusspflichten, Deadlock, Verlustgesellschaft ohne Exit</t>
  </si>
  <si>
    <t>Risikobeteiligungen separieren, Garantien begrenzen oder Bewertung anpassen.</t>
  </si>
  <si>
    <t>Carve-out, Freistellung</t>
  </si>
  <si>
    <t>COR-07</t>
  </si>
  <si>
    <t>Intra-Group</t>
  </si>
  <si>
    <t>Sind konzerninterne Verträge fremdüblich, vollständig und nach Closing fortführbar?</t>
  </si>
  <si>
    <t>Service-, Darlehens-, Cash-Pool-, Lizenz- und Steuerumlageverträge</t>
  </si>
  <si>
    <t>Leistungsumfang, Preis, Laufzeit, Kündigung und Stand-alone-Kosten prüfen.</t>
  </si>
  <si>
    <t>Kostenlose Leistungen, sofortige Kündigung, unklare IP-Nutzung</t>
  </si>
  <si>
    <t>TSA oder neue Stand-alone-Verträge mit marktgerechten Konditionen vereinbaren.</t>
  </si>
  <si>
    <t>TSA, Covenant</t>
  </si>
  <si>
    <t>COR-08</t>
  </si>
  <si>
    <t>Ausschüttungen &amp; Kapital</t>
  </si>
  <si>
    <t>Waren Kapitalmaßnahmen und Ausschüttungen gesellschafts- und insolvenzrechtlich zulässig?</t>
  </si>
  <si>
    <t>Kapitalbeschlüsse, Einzahlungsnachweise, Dividendendokumentation</t>
  </si>
  <si>
    <t>Kapitalerhaltung, Sacheinlagen und Rückzahlungen juristisch und bilanziell prüfen.</t>
  </si>
  <si>
    <t>Verdeckte Einlagenrückgewähr, nicht eingezahltes Kapital</t>
  </si>
  <si>
    <t>Rückforderungsrisiko quantifizieren und Verkäuferfreistellung vereinbaren.</t>
  </si>
  <si>
    <t>Spezifische Freistellung</t>
  </si>
  <si>
    <t>COR-09</t>
  </si>
  <si>
    <t>Fördermittel</t>
  </si>
  <si>
    <t>Bestehen Bindungen, Rückzahlungsrisiken oder Change-of-Control-Folgen aus Fördermitteln?</t>
  </si>
  <si>
    <t>Zuwendungsbescheide, Förderverträge, Verwendungsnachweise</t>
  </si>
  <si>
    <t>Zweckbindung, Behaltefristen, Meldepflichten und Rückforderungstatbestände prüfen.</t>
  </si>
  <si>
    <t>Fehlender Verwendungsnachweis, CoC-Meldepflicht, nicht erfüllte Arbeitsplatzauflage</t>
  </si>
  <si>
    <t>Behördliche Zustimmung einholen und Rückzahlung im Kaufpreis/SPA absichern.</t>
  </si>
  <si>
    <t>Freistellung, Closing-Bedingung</t>
  </si>
  <si>
    <t>FIN-01</t>
  </si>
  <si>
    <t>Financial</t>
  </si>
  <si>
    <t>Abschlussqualität</t>
  </si>
  <si>
    <t>Sind geprüfte Abschlüsse, Management Accounts und Hauptbuch konsistent?</t>
  </si>
  <si>
    <t>Abschlüsse 3–5 Jahre, Prüfungsberichte, Summen-/Saldenlisten, Kontenpläne</t>
  </si>
  <si>
    <t>Trial Balance zu Abschluss und Management Reporting überleiten; Differenzen erklären.</t>
  </si>
  <si>
    <t>Ungeklärte Überleitungsdifferenzen, häufige Nachbuchungen, eingeschränkter Bestätigungsvermerk</t>
  </si>
  <si>
    <t>Datenbereinigung, Abschlussgarantie und belastbare Closing Accounts verlangen.</t>
  </si>
  <si>
    <t>Closing Accounts, Garantie</t>
  </si>
  <si>
    <t>FIN-02</t>
  </si>
  <si>
    <t>Bilanzierungsgrundsätze</t>
  </si>
  <si>
    <t>Sind Bilanzierungs- und Bewertungsmethoden angemessen und periodenstetig?</t>
  </si>
  <si>
    <t>Accounting Manual, Abschlussanhang, Methodenänderungen</t>
  </si>
  <si>
    <t>Methoden mit Standard, Peer Practice und Vorjahren vergleichen.</t>
  </si>
  <si>
    <t>Ergebniswirksame Methodenwechsel, aggressive Schätzungen</t>
  </si>
  <si>
    <t>Normalisierung im QoE und spezifische Bilanzgarantien vorsehen.</t>
  </si>
  <si>
    <t>Garantie, Kaufpreisanpassung</t>
  </si>
  <si>
    <t>FIN-03</t>
  </si>
  <si>
    <t>Umsatzrealisierung</t>
  </si>
  <si>
    <t>Sind Umsatz, Cut-off und Leistungsfortschritt sachgerecht erfasst?</t>
  </si>
  <si>
    <t>Top-Rechnungen, Verträge, Lieferscheine, Gutschriften nach Stichtag</t>
  </si>
  <si>
    <t>Stichproben um Periodenende; Vertragsbedingungen und nachträgliche Gutschriften prüfen.</t>
  </si>
  <si>
    <t>Bill-and-hold, Side Letters, vorgezogener Umsatz, hohe Stornos</t>
  </si>
  <si>
    <t>Umsatz/EBITDA normalisieren und Garantie bzw. Escrow für Fehlbuchungen vereinbaren.</t>
  </si>
  <si>
    <t>Kaufpreisanpassung, Garantie</t>
  </si>
  <si>
    <t>FIN-04</t>
  </si>
  <si>
    <t>Quality of Earnings</t>
  </si>
  <si>
    <t>Wie hoch ist das nachhaltig wiederkehrende EBITDA?</t>
  </si>
  <si>
    <t>GuV monatlich, Kontendetails, Einmaleffekte, Management Adjustments</t>
  </si>
  <si>
    <t>Reported-to-adjusted EBITDA Bridge; Wiederkehr, Cash-Wirkung und Run-rate einzeln belegen.</t>
  </si>
  <si>
    <t>Synergien als Ist-EBITDA, wiederkehrende 'Einmaleffekte', unbelegte Adjustments</t>
  </si>
  <si>
    <t>Nur belegte, nachhaltige Adjustments akzeptieren und Bewertungsbasis anpassen.</t>
  </si>
  <si>
    <t>Preisformel, Earn-out</t>
  </si>
  <si>
    <t>FIN-05</t>
  </si>
  <si>
    <t>Umsatzqualität</t>
  </si>
  <si>
    <t>Wie stabil sind Umsatzmix, Wiederkehr, Churn und Preis/Menge?</t>
  </si>
  <si>
    <t>Umsatz nach Kunde, Produkt, Land, Kanal und Monat; Vertragsstatus</t>
  </si>
  <si>
    <t>Kohorten-, Churn-, Preis/Mengen- und Konzentrationsanalyse; Daten mit Hauptbuch abstimmen.</t>
  </si>
  <si>
    <t>Hohe Einmalumsätze, negative Net Revenue Retention, Abhängigkeit von Rabatten</t>
  </si>
  <si>
    <t>Bewertung nach belastbarem wiederkehrendem Umsatz staffeln; Retention-Maßnahmen einplanen.</t>
  </si>
  <si>
    <t>Earn-out, Garantie</t>
  </si>
  <si>
    <t>FIN-06</t>
  </si>
  <si>
    <t>Bruttomarge</t>
  </si>
  <si>
    <t>Sind Margenentwicklung und Abweichungen nach Segment erklärbar?</t>
  </si>
  <si>
    <t>Umsatz/COGS nach Produkt und Kunde, Standardkosten, Preislisten</t>
  </si>
  <si>
    <t>Marge nach Mix, Preis, Volumen und Kosten zerlegen; Ausreißer prüfen.</t>
  </si>
  <si>
    <t>Nicht allokierte Kosten, sinkende Marge trotz Preiserhöhung</t>
  </si>
  <si>
    <t>Business Case korrigieren und Preis-/Beschaffungsmaßnahmen priorisieren.</t>
  </si>
  <si>
    <t>Business-Plan-Covenant</t>
  </si>
  <si>
    <t>FIN-07</t>
  </si>
  <si>
    <t>Kostenbasis</t>
  </si>
  <si>
    <t>Sind Opex vollständig, marktüblich und auf Stand-alone-Basis tragfähig?</t>
  </si>
  <si>
    <t>Kostenstellen, Personal-, Beratungs-, IT- und Mietkosten</t>
  </si>
  <si>
    <t>Run-rate, Owner Costs, fehlende Konzernumlagen und Inflationseffekte normalisieren.</t>
  </si>
  <si>
    <t>Unterdeckte Shared Services, kapitalisierte laufende Kosten</t>
  </si>
  <si>
    <t>Stand-alone-Kosten im Modell ergänzen und TSA/100-Tage-Maßnahmen budgetieren.</t>
  </si>
  <si>
    <t>TSA, Kaufpreisanpassung</t>
  </si>
  <si>
    <t>FIN-08</t>
  </si>
  <si>
    <t>Working Capital</t>
  </si>
  <si>
    <t>Wie hoch ist das normalisierte betriebliche Working Capital und seine Saisonalität?</t>
  </si>
  <si>
    <t>Monatsbilanzen 24–36 Monate, Altersstrukturen, Factoring, Deferred Revenue</t>
  </si>
  <si>
    <t>NWC monatlich, DSO/DIO/DPO, Ausreißer, Saisonalität und Accounting Changes analysieren.</t>
  </si>
  <si>
    <t>Stichtagssteuerung, überfällige Forderungen, obsoleter Bestand, gestreckte Lieferanten</t>
  </si>
  <si>
    <t>Normalisiertes NWC-Peg samt Definitionen und Beispielrechnung vereinbaren.</t>
  </si>
  <si>
    <t>NWC-Mechanismus</t>
  </si>
  <si>
    <t>FIN-09</t>
  </si>
  <si>
    <t>Net Debt</t>
  </si>
  <si>
    <t>Sind alle Finanzschulden und debt-like/cash-like Positionen erfasst?</t>
  </si>
  <si>
    <t>Darlehen, Leasing, Factoring, Cash Pool, Zinsen, Boni, Steuern, Rechtsfälle</t>
  </si>
  <si>
    <t>Positionen auf wirtschaftlichen Finanzierungscharakter und Doppelzählung prüfen.</t>
  </si>
  <si>
    <t>Reverse Factoring, gesperrtes Cash, aufgelaufene Boni, Capex-Kreditoren</t>
  </si>
  <si>
    <t>Net-Debt-Definition und beispielhafte Closing-Berechnung im SPA fixieren.</t>
  </si>
  <si>
    <t>Net-Debt-Mechanismus</t>
  </si>
  <si>
    <t>FIN-10</t>
  </si>
  <si>
    <t>Cashflow Conversion</t>
  </si>
  <si>
    <t>Konvertiert EBITDA nachhaltig in operativen freien Cashflow?</t>
  </si>
  <si>
    <t>Kapitalflussrechnung, Bankdaten, NWC, Capex, Steuern, Zinsen</t>
  </si>
  <si>
    <t>EBITDA-to-Cash Bridge über 3–5 Jahre und LTM erstellen.</t>
  </si>
  <si>
    <t>Dauerhaft geringe Conversion, Finanzierung durch Lieferanten/Steuerstundung</t>
  </si>
  <si>
    <t>Bewertungsmultiplikator/Finanzierung anpassen und Cash-Programm definieren.</t>
  </si>
  <si>
    <t>Covenant, Kaufpreisanpassung</t>
  </si>
  <si>
    <t>FIN-11</t>
  </si>
  <si>
    <t>Capex</t>
  </si>
  <si>
    <t>Sind Maintenance-, Growth- und Compliance-Capex korrekt getrennt?</t>
  </si>
  <si>
    <t>Anlagenzugänge, Investitionsplan, Instandhaltung, Projekte</t>
  </si>
  <si>
    <t>Capex nach Zweck, Alter, Verschiebung und Nutzen analysieren; Site Walk einbeziehen.</t>
  </si>
  <si>
    <t>Aufgeschobener Ersatz, Growth als Maintenance deklariert, aktivierte Opex</t>
  </si>
  <si>
    <t>Catch-up-Capex vom Wert abziehen und verbindlichen Investitionsplan erstellen.</t>
  </si>
  <si>
    <t>Kaufpreisanpassung, Covenant</t>
  </si>
  <si>
    <t>FIN-12</t>
  </si>
  <si>
    <t>Rückstellungen</t>
  </si>
  <si>
    <t>Sind Rückstellungen und Eventualverbindlichkeiten vollständig und realistisch?</t>
  </si>
  <si>
    <t>Rückstellungsspiegel, Rechts-, Garantie-, Umwelt- und Personalthemen</t>
  </si>
  <si>
    <t>Historische Inanspruchnahme, Best-/Worst-Case und Subsequent Events prüfen.</t>
  </si>
  <si>
    <t>Auflösung zur Ergebnissteigerung, fehlende Rechts-/Umweltrückstellung</t>
  </si>
  <si>
    <t>Exposure quantifizieren und spezifische Freistellung/Escrow vorsehen.</t>
  </si>
  <si>
    <t>Freistellung, Escrow</t>
  </si>
  <si>
    <t>FIN-13</t>
  </si>
  <si>
    <t>Off-Balance</t>
  </si>
  <si>
    <t>Bestehen nicht bilanzierte Verpflichtungen oder Zweckgesellschaften?</t>
  </si>
  <si>
    <t>Leasing, Abnahmeverpflichtungen, Garantien, SPVs, Side Letters</t>
  </si>
  <si>
    <t>Vertrags- und Zahlungsdaten nach Mindestabnahmen, Garantien und Finanzierung durchsuchen.</t>
  </si>
  <si>
    <t>Take-or-pay, Patronat, Rückkaufpflicht, undisclosed SPV</t>
  </si>
  <si>
    <t>In Net Debt/Business Plan aufnehmen oder Verkäuferfreistellung verlangen.</t>
  </si>
  <si>
    <t>Freistellung, Net Debt</t>
  </si>
  <si>
    <t>FIN-14</t>
  </si>
  <si>
    <t>Forecast-Qualität</t>
  </si>
  <si>
    <t>Wie belastbar waren Planung und Forecasts historisch?</t>
  </si>
  <si>
    <t>Budgets, Forecast-Versionen, Ist-Abweichungen, Annahmen</t>
  </si>
  <si>
    <t>Backtesting nach Umsatz, Marge, EBITDA, Cash und Capex; Bias messen.</t>
  </si>
  <si>
    <t>Systematisches Over-forecasting, häufige Reforecast-Änderungen</t>
  </si>
  <si>
    <t>Base Case konservativ neu basieren und Sensitivitäten/Downside festlegen.</t>
  </si>
  <si>
    <t>Earn-out, MAC-Analyse</t>
  </si>
  <si>
    <t>FIN-15</t>
  </si>
  <si>
    <t>Liquidität &amp; Covenants</t>
  </si>
  <si>
    <t>Ist Liquidität bis und nach Closing ausreichend und covenant-konform?</t>
  </si>
  <si>
    <t>13-Wochen-Cashflow, Kreditlinien, Covenants, Waiver, Bankkorrespondenz</t>
  </si>
  <si>
    <t>Headroom und Downside unter Zins-, Umsatz- und NWC-Stress rechnen.</t>
  </si>
  <si>
    <t>Covenant Breach, uncommitted Linie, kurzfristige Refinanzierung</t>
  </si>
  <si>
    <t>Refinanzierung/Equity Backstop und Waiver als Closing-Voraussetzung sichern.</t>
  </si>
  <si>
    <t>Financing Condition, Payoff</t>
  </si>
  <si>
    <t>FIN-16</t>
  </si>
  <si>
    <t>Fraud Analytics</t>
  </si>
  <si>
    <t>Gibt es Hinweise auf Management Override oder ungewöhnliche Buchungen?</t>
  </si>
  <si>
    <t>Journal Entries, Benutzerrechte, manuelle Buchungen, Vendor Master</t>
  </si>
  <si>
    <t>Benford-/Ausreißer-, Wochenend-, Rundbetrags- und Related-Party-Tests durchführen.</t>
  </si>
  <si>
    <t>Buchungen durch Admin, ungewöhnliche Periodenendposten, doppelte Bankkonten</t>
  </si>
  <si>
    <t>Forensische Vertiefung, Zugriffssperren und Garantie/Freistellung bei Befund.</t>
  </si>
  <si>
    <t>Freistellung, Garantie</t>
  </si>
  <si>
    <t>COM-01</t>
  </si>
  <si>
    <t>Commercial</t>
  </si>
  <si>
    <t>Marktgröße</t>
  </si>
  <si>
    <t>Sind Marktgröße, Wachstum und adressierbarer Markt belastbar?</t>
  </si>
  <si>
    <t>Marktstudien, interne Planung, Kundendaten, Branchenstatistik</t>
  </si>
  <si>
    <t>Top-down und Bottom-up triangulieren; nominales vs. reales Wachstum trennen.</t>
  </si>
  <si>
    <t>Nur Managementquelle, überbreiter TAM, rückläufiger Kernmarkt</t>
  </si>
  <si>
    <t>Business Case auf belegbaren SAM/SOM und Szenarien neu basieren.</t>
  </si>
  <si>
    <t>Earn-out</t>
  </si>
  <si>
    <t>COM-02</t>
  </si>
  <si>
    <t>Wettbewerb</t>
  </si>
  <si>
    <t>Wie nachhaltig ist die Wettbewerbsposition?</t>
  </si>
  <si>
    <t>Wettbewerberliste, Win/Loss, Preisbenchmarks, Produktvergleich</t>
  </si>
  <si>
    <t>Positionierung, Eintrittsbarrieren, Differenzierung und Wechselkosten bewerten.</t>
  </si>
  <si>
    <t>Verlust zentraler Ausschreibungen, leicht kopierbares Angebot</t>
  </si>
  <si>
    <t>Investitions- und Pricing-Roadmap in 100-Tage-Plan aufnehmen.</t>
  </si>
  <si>
    <t>COM-03</t>
  </si>
  <si>
    <t>Kundenkonzentration</t>
  </si>
  <si>
    <t>Wie hoch ist die Abhängigkeit von Top-Kunden und Endmärkten?</t>
  </si>
  <si>
    <t>Umsatz/DB je Kunde 36 Monate, Konzernzuordnung, Vertragsstatus</t>
  </si>
  <si>
    <t>Top-10/20, HHI, Churn und Downside je Kunde berechnen.</t>
  </si>
  <si>
    <t>Top-Kunde &gt;20 %, sinkender Share of Wallet, mündliche Zusagen</t>
  </si>
  <si>
    <t>Kundenbestätigung/Retention und Konzentrationsabschlag bzw. Earn-out prüfen.</t>
  </si>
  <si>
    <t>Earn-out, Closing-Bedingung</t>
  </si>
  <si>
    <t>COM-04</t>
  </si>
  <si>
    <t>Churn &amp; Retention</t>
  </si>
  <si>
    <t>Sind Kundenbindung und Wiederkaufsraten korrekt gemessen?</t>
  </si>
  <si>
    <t>Kundenkohorten, Kündigungen, Reaktivierungen, ARR/MRR-Walk</t>
  </si>
  <si>
    <t>Logo-, Umsatz- und Gross-Revenue-Churn konsistent berechnen.</t>
  </si>
  <si>
    <t>Reaktivierungen als Neukunden, Downgrades nicht im Churn</t>
  </si>
  <si>
    <t>KPI-Definitionen vereinheitlichen und Retention-Initiativen finanzieren.</t>
  </si>
  <si>
    <t>KPI-Garantie, Earn-out</t>
  </si>
  <si>
    <t>COM-05</t>
  </si>
  <si>
    <t>Pipeline &amp; Backlog</t>
  </si>
  <si>
    <t>Sind Pipeline, Auftragsbestand und Forecast konvertierbar?</t>
  </si>
  <si>
    <t>CRM-Export, Aufträge, Stornohistorie, Sales-Stages</t>
  </si>
  <si>
    <t>Stage-Aging, Conversion, Slippage, Backlog-Marge und Abnahmebedingungen prüfen.</t>
  </si>
  <si>
    <t>Manuelle Opportunities, lange überfällige Pipeline, kündbarer Backlog</t>
  </si>
  <si>
    <t>Nur risikogewichtete Pipeline berücksichtigen; CRM Governance verbessern.</t>
  </si>
  <si>
    <t>COM-06</t>
  </si>
  <si>
    <t>Pricing</t>
  </si>
  <si>
    <t>Sind Preisniveau, Rabatte und Preisdurchsetzung nachhaltig?</t>
  </si>
  <si>
    <t>Preislisten, Rabatte, Verträge, Deal Desk, Preiserhöhungen</t>
  </si>
  <si>
    <t>Preis-Wasserfall und Realisierung nach Kunde/Produkt analysieren.</t>
  </si>
  <si>
    <t>Unkontrollierte Sonderrabatte, rückwirkende Boni, negative Preisrealisierung</t>
  </si>
  <si>
    <t>Pricing Governance und priorisierte Repricing-Wellen aufsetzen.</t>
  </si>
  <si>
    <t>Covenant</t>
  </si>
  <si>
    <t>COM-07</t>
  </si>
  <si>
    <t>Unit Economics</t>
  </si>
  <si>
    <t>Sind Deckungsbeitrag, CAC, LTV und Payback nach Segment positiv?</t>
  </si>
  <si>
    <t>Segment-P&amp;L, Marketing-/Sales-Kosten, Kohorten</t>
  </si>
  <si>
    <t>Vollkosten- und inkrementelle Sicht, Sensitivität für Churn und Marge.</t>
  </si>
  <si>
    <t>Wachstum vernichtet Wert, CAC ohne Personal, LTV mit unrealistischer Laufzeit</t>
  </si>
  <si>
    <t>Unprofitable Segmente stoppen/repreisen und Modellannahmen korrigieren.</t>
  </si>
  <si>
    <t>Business-Plan-Anpassung</t>
  </si>
  <si>
    <t>COM-08</t>
  </si>
  <si>
    <t>Produkt &amp; Roadmap</t>
  </si>
  <si>
    <t>Passen Produktreife und Roadmap zu Kundenbedarf und Planung?</t>
  </si>
  <si>
    <t>Roadmap, Release-Historie, Kundenfeedback, R&amp;D-Budget</t>
  </si>
  <si>
    <t>Commitments, Ressourcen, technische Abhängigkeiten und Monetarisierung abgleichen.</t>
  </si>
  <si>
    <t>Wiederholte Verzögerungen, kundenspezifische Forks, fehlende Product Ownership</t>
  </si>
  <si>
    <t>Roadmap priorisieren, Ressourcen sichern und nicht belegte Umsätze entfernen.</t>
  </si>
  <si>
    <t>COM-09</t>
  </si>
  <si>
    <t>Sales Productivity</t>
  </si>
  <si>
    <t>Sind Vertriebsproduktivität und Skalierbarkeit realistisch?</t>
  </si>
  <si>
    <t>Quota, Attainment, Ramp-up, Pipeline je Mitarbeiter, Fluktuation</t>
  </si>
  <si>
    <t>Kohorten nach Eintritt, Region und Kanal; Kapazitätsplan gegen Wachstum testen.</t>
  </si>
  <si>
    <t>Niedriges Attainment, steigender Ramp-up, Founder-led Sales ohne Übergabe</t>
  </si>
  <si>
    <t>Kapazitäts- und Enablement-Plan mit realistischen Ramp-up-Annahmen erstellen.</t>
  </si>
  <si>
    <t>Retention</t>
  </si>
  <si>
    <t>COM-10</t>
  </si>
  <si>
    <t>Externe Validierung</t>
  </si>
  <si>
    <t>Bestätigen Kunden und Marktpartner die zentrale Equity Story?</t>
  </si>
  <si>
    <t>Interviewleitfäden, Referenzen, NPS/CSAT, verlorene Deals</t>
  </si>
  <si>
    <t>Unabhängige Interviews unter Beachtung von Clean-Team und Vertraulichkeit.</t>
  </si>
  <si>
    <t>Management selektiert nur Promotoren, wiederkehrende Qualitätskritik</t>
  </si>
  <si>
    <t>Kritische Hypothesen durch neutrale Referenzen validieren und Modell anpassen.</t>
  </si>
  <si>
    <t>Closing-Bedingung bei Schlüsselkunde</t>
  </si>
  <si>
    <t>TAX-01</t>
  </si>
  <si>
    <t>Tax</t>
  </si>
  <si>
    <t>Ertragsteuern</t>
  </si>
  <si>
    <t>Sind Körperschaft-/Gewerbesteuererklärungen vollständig, fristgerecht und plausibel?</t>
  </si>
  <si>
    <t>Erklärungen, Bescheide, Überleitungen, Steuerkonten 5 Jahre</t>
  </si>
  <si>
    <t>Erklärung zu Abschluss überleiten; offene Jahre und Zinsen quantifizieren.</t>
  </si>
  <si>
    <t>Dauerhafte Vorbehalte, hohe Mehrsteuern, unerklärte Differenzen</t>
  </si>
  <si>
    <t>Exposure je Jahr quantifizieren und Steuerfreistellung vereinbaren.</t>
  </si>
  <si>
    <t>Tax Indemnity, Escrow</t>
  </si>
  <si>
    <t>TAX-02</t>
  </si>
  <si>
    <t>Betriebsprüfungen</t>
  </si>
  <si>
    <t>Welche Prüfungen, Einsprüche und verbindlichen Auskünfte sind offen?</t>
  </si>
  <si>
    <t>Prüfungsberichte, Anordnungen, Einsprüche, Korrespondenz</t>
  </si>
  <si>
    <t>Status, Streitwert, Wahrscheinlichkeit und Verjährung juristisch würdigen.</t>
  </si>
  <si>
    <t>Wiederkehrende Feststellungen, aggressive Position ohne Gutachten</t>
  </si>
  <si>
    <t>Spezifische Steuerfreistellung und Verfahrenskontrolle des Käufers regeln.</t>
  </si>
  <si>
    <t>Tax Covenant, Indemnity</t>
  </si>
  <si>
    <t>TAX-03</t>
  </si>
  <si>
    <t>Verlustvorträge</t>
  </si>
  <si>
    <t>Sind steuerliche Verlust- und Zinsvorträge werthaltig und transaktionsfest?</t>
  </si>
  <si>
    <t>Feststellungsbescheide, Organigramm, Beteiligungsänderungen</t>
  </si>
  <si>
    <t>Nutzbarkeit, Mindestbesteuerung und schädliche Ereignisse prüfen.</t>
  </si>
  <si>
    <t>Verfall durch Anteilseignerwechsel, nicht fortführbarer Geschäftsbetrieb</t>
  </si>
  <si>
    <t>Wert nur bei belastbarer Nutzbarkeit berücksichtigen; Struktur anpassen.</t>
  </si>
  <si>
    <t>Steuergarantie</t>
  </si>
  <si>
    <t>TAX-04</t>
  </si>
  <si>
    <t>Umsatzsteuer</t>
  </si>
  <si>
    <t>Sind Leistungen, Steuersätze, Reverse Charge und Vorsteuer korrekt?</t>
  </si>
  <si>
    <t>USt-Voranmeldungen, Zusammenfassende Meldungen, Rechnungsstichproben</t>
  </si>
  <si>
    <t>Datenanalytische Tests nach Land/Steuercode und Rechnungskette.</t>
  </si>
  <si>
    <t>Fehlende Registrierung, falscher Steuersatz, formell fehlerhafte Rechnungen</t>
  </si>
  <si>
    <t>Selbstanzeige/Korrektur prüfen, Reserve und Freistellung vorsehen.</t>
  </si>
  <si>
    <t>Tax Indemnity</t>
  </si>
  <si>
    <t>TAX-05</t>
  </si>
  <si>
    <t>Lohnsteuer &amp; Sozialversicherung</t>
  </si>
  <si>
    <t>Sind Vergütung, Benefits und Statusfeststellungen korrekt behandelt?</t>
  </si>
  <si>
    <t>Lohnkonten, Prüfberichte, Firmenwagen, Reisekosten, Freelancer</t>
  </si>
  <si>
    <t>Stichproben und Statusanalyse; Brutto-/Netto- und Haftungswirkung rechnen.</t>
  </si>
  <si>
    <t>Scheinselbstständigkeit, steuerfreie Pauschalen ohne Nachweis</t>
  </si>
  <si>
    <t>Nachmeldung, Rückstellung und spezifische Freistellung umsetzen.</t>
  </si>
  <si>
    <t>TAX-06</t>
  </si>
  <si>
    <t>Verrechnungspreise</t>
  </si>
  <si>
    <t>Sind konzerninterne Preise fremdüblich und dokumentiert?</t>
  </si>
  <si>
    <t>Master/Local File, Intercompany-Verträge, Benchmarking</t>
  </si>
  <si>
    <t>Funktions-/Risikoanalyse, Margen und Dokumentationsfristen prüfen.</t>
  </si>
  <si>
    <t>Keine Dokumentation, Dauerverluste, IP-/Finanzierungsentgelt ohne Benchmark</t>
  </si>
  <si>
    <t>Dokumentation nachholen, Exposure modellieren und Freistellung vereinbaren.</t>
  </si>
  <si>
    <t>S10</t>
  </si>
  <si>
    <t>TAX-07</t>
  </si>
  <si>
    <t>Betriebsstätten</t>
  </si>
  <si>
    <t>Bestehen nicht registrierte Betriebsstätten oder lokale Steuerpflichten?</t>
  </si>
  <si>
    <t>Mitarbeiter-/Projektorte, Homeoffice, Vertretervollmachten, Reisen</t>
  </si>
  <si>
    <t>Nexus je Land anhand Tätigkeit, Dauer und Abschlussvollmacht analysieren.</t>
  </si>
  <si>
    <t>Dauerhafte Teams ohne Registrierung, abhängiger Vertreter</t>
  </si>
  <si>
    <t>Registrieren, historische Risiken quantifizieren und Struktur bereinigen.</t>
  </si>
  <si>
    <t>Freistellung, Covenant</t>
  </si>
  <si>
    <t>TAX-08</t>
  </si>
  <si>
    <t>Quellensteuern</t>
  </si>
  <si>
    <t>Wurden Quellensteuern auf Zinsen, Lizenzen und Dividenden korrekt behandelt?</t>
  </si>
  <si>
    <t>Zahlungsdaten, Verträge, Ansässigkeitsbescheinigungen</t>
  </si>
  <si>
    <t>Zahlungsströme, DBA-/Richtlinienentlastung und Beneficial Ownership prüfen.</t>
  </si>
  <si>
    <t>Net-of-tax-Klauseln, fehlende Bescheinigungen, Treaty Shopping</t>
  </si>
  <si>
    <t>Gross-up-Risiko quantifizieren und Dokumentation/Klauseln korrigieren.</t>
  </si>
  <si>
    <t>TAX-09</t>
  </si>
  <si>
    <t>Umstrukturierungen</t>
  </si>
  <si>
    <t>Wurden frühere Umwandlungen und Übertragungen steuerneutral umgesetzt?</t>
  </si>
  <si>
    <t>Umwandlungsverträge, Bilanzen, Gutachten, Sperrfristakten</t>
  </si>
  <si>
    <t>Buchwerte, Gegenleistungen und Sperrfristen prüfen.</t>
  </si>
  <si>
    <t>Laufende Sperrfrist, fehlender Einbringungsnachweis</t>
  </si>
  <si>
    <t>Transaktion an Sperrfristen anpassen oder spezifische Freistellung verlangen.</t>
  </si>
  <si>
    <t>Tax Indemnity, Covenant</t>
  </si>
  <si>
    <t>TAX-10</t>
  </si>
  <si>
    <t>Tax Compliance</t>
  </si>
  <si>
    <t>Ist das Steuerkontrollsystem wirksam und sind Fristen/Verantwortungen klar?</t>
  </si>
  <si>
    <t>Tax CMS, Kalender, Richtlinien, Kontrollnachweise</t>
  </si>
  <si>
    <t>Design und Stichproben der Schlüsselkontrollen beurteilen.</t>
  </si>
  <si>
    <t>Ein-Personen-Abhängigkeit, Fristversäumnisse, keine Kontrolldokumentation</t>
  </si>
  <si>
    <t>Tax-CMS-Remediation mit Verantwortlichen und Fristen in 100-Tage-Plan.</t>
  </si>
  <si>
    <t>TAX-11</t>
  </si>
  <si>
    <t>Transaktionssteuern</t>
  </si>
  <si>
    <t>Welche Grunderwerb-, Stempel-, Umsatz- oder Transfersteuern löst die Struktur aus?</t>
  </si>
  <si>
    <t>Immobilien-/Asset-Liste, Strukturplan, Jurisdiktionen</t>
  </si>
  <si>
    <t>Steuern und Meldepflichten je Schritt rechnen; Alternativen vergleichen.</t>
  </si>
  <si>
    <t>Unbudgetierte Grunderwerbsteuer, doppelte Belastung, Fristkritik</t>
  </si>
  <si>
    <t>Struktur optimieren und Kostentragung sowie Filing-Pflichten vertraglich regeln.</t>
  </si>
  <si>
    <t>Tax Covenant</t>
  </si>
  <si>
    <t>LEG-01</t>
  </si>
  <si>
    <t>Legal</t>
  </si>
  <si>
    <t>Kundenverträge</t>
  </si>
  <si>
    <t>Sind wesentliche Kundenverträge wirksam, profitabel und nach Transaktion stabil?</t>
  </si>
  <si>
    <t>Top-Verträge, AGB, Bestellungen, Side Letters, Umsatzliste</t>
  </si>
  <si>
    <t>Vertrag zu Umsatz/Marge abstimmen; Laufzeit, Kündigung, SLA und Haftung extrahieren.</t>
  </si>
  <si>
    <t>Mündliche Verlängerung, jederzeitige Kündigung, Vertragsstrafe, negative Marge</t>
  </si>
  <si>
    <t>Zustimmung/Verlängerung sichern und problematische Klauseln in Preis/SPA berücksichtigen.</t>
  </si>
  <si>
    <t>Consent, Earn-out</t>
  </si>
  <si>
    <t>LEG-02</t>
  </si>
  <si>
    <t>Lieferantenverträge</t>
  </si>
  <si>
    <t>Sind Versorgung, Preise und Rechte aus wesentlichen Lieferverträgen gesichert?</t>
  </si>
  <si>
    <t>Top-Lieferantenverträge, Preislisten, Mindestabnahmen</t>
  </si>
  <si>
    <t>Laufzeit, Preisgleitung, Exklusivität, Lieferpflicht und Rechtsbehelfe prüfen.</t>
  </si>
  <si>
    <t>Kurzfristige Kündigung, Take-or-pay, fehlende Alternativquelle</t>
  </si>
  <si>
    <t>Verlängerung/Alternativquelle verhandeln und Risiko im Business Case abbilden.</t>
  </si>
  <si>
    <t>Consent, Covenant</t>
  </si>
  <si>
    <t>LEG-03</t>
  </si>
  <si>
    <t>Change of Control</t>
  </si>
  <si>
    <t>Welche Verträge lösen Zustimmung, Kündigung oder Preisanpassung aus?</t>
  </si>
  <si>
    <t>Vertragsregister und alle wesentlichen Verträge</t>
  </si>
  <si>
    <t>Klauselsuche und juristische Einzelfallprüfung; kritischen Pfad erstellen.</t>
  </si>
  <si>
    <t>Kündigungsrecht bei Schlüsselkunde, Bank oder Lizenzgeber</t>
  </si>
  <si>
    <t>Consents vor Closing beschaffen und Ausfallfolgen absichern.</t>
  </si>
  <si>
    <t>Consent Condition, Termination Right</t>
  </si>
  <si>
    <t>LEG-04</t>
  </si>
  <si>
    <t>Finanzierungen</t>
  </si>
  <si>
    <t>Sind Finanzierungsverträge, Sicherheiten und Kündigungsfolgen vollständig erfasst?</t>
  </si>
  <si>
    <t>Kredit-, Leasing-, Factoring- und Sicherheitenverträge</t>
  </si>
  <si>
    <t>CoC, Covenants, Vorfälligkeit, Payoff und Sicherheitenfreigabe prüfen.</t>
  </si>
  <si>
    <t>Automatische Fälligkeit, Break Costs, Cross Default</t>
  </si>
  <si>
    <t>Payoff Letter, Refinanzierung und Releases verbindlich vorbereiten.</t>
  </si>
  <si>
    <t>Closing Deliverable</t>
  </si>
  <si>
    <t>LEG-05</t>
  </si>
  <si>
    <t>Haftung &amp; Gewährleistung</t>
  </si>
  <si>
    <t>Sind Haftungsregime, Garantien und Freistellungen wirtschaftlich tragbar?</t>
  </si>
  <si>
    <t>Verträge, AGB, Schadenshistorie, Garantieprogramme</t>
  </si>
  <si>
    <t>Caps, Baskets, Ausschlüsse, Laufzeiten und Back-to-back-Deckung analysieren.</t>
  </si>
  <si>
    <t>Unbegrenzte Haftung ohne Versicherung, lange Produktgarantie</t>
  </si>
  <si>
    <t>Exposure quantifizieren, Klauseln/Versicherung anpassen und Freistellung verlangen.</t>
  </si>
  <si>
    <t>LEG-06</t>
  </si>
  <si>
    <t>Rechtsstreitigkeiten</t>
  </si>
  <si>
    <t>Sind aktuelle, drohende und historische Streitigkeiten vollständig bewertet?</t>
  </si>
  <si>
    <t>Anwaltsbriefe, Prozessliste, Vergleichsvereinbarungen, Rückstellungen</t>
  </si>
  <si>
    <t>Claim-by-claim Best/Base/Worst Case und Präzedenzwirkung analysieren.</t>
  </si>
  <si>
    <t>Nicht rückgestellter Massenfall, behördliche Ermittlung</t>
  </si>
  <si>
    <t>Spezifische Freistellung, Escrow und Verfahrensführung regeln.</t>
  </si>
  <si>
    <t>Indemnity, Escrow</t>
  </si>
  <si>
    <t>LEG-07</t>
  </si>
  <si>
    <t>Genehmigungen</t>
  </si>
  <si>
    <t>Sind alle Betriebs-, Produkt- und Berufsgenehmigungen gültig und übertragbar?</t>
  </si>
  <si>
    <t>Genehmigungskataster, Bescheide, Auflagen, Korrespondenz</t>
  </si>
  <si>
    <t>Gültigkeit, Inhaber, Gebiet, Auflagen, CoC und Verlängerung prüfen.</t>
  </si>
  <si>
    <t>Betrieb ohne Genehmigung, wesentliche Auflage verletzt</t>
  </si>
  <si>
    <t>Genehmigung/Übertragung als Closing-Bedingung; Remediation budgetieren.</t>
  </si>
  <si>
    <t>Condition precedent</t>
  </si>
  <si>
    <t>LEG-08</t>
  </si>
  <si>
    <t>Kartell- &amp; Vertriebsrecht</t>
  </si>
  <si>
    <t>Sind Vertriebssystem, Preisvorgaben und Wettbewerberkontakte compliant?</t>
  </si>
  <si>
    <t>Vertriebsverträge, Preisrichtlinien, Verbands-/Meeting-Unterlagen</t>
  </si>
  <si>
    <t>Klauseln und Kommunikation auf RPM, Gebietsschutz, Informationsaustausch prüfen.</t>
  </si>
  <si>
    <t>Preisbindung, Marktaufteilung, Dawn Raid</t>
  </si>
  <si>
    <t>Sofortige Legal Hold/Untersuchung und spezifische Freistellung bei Befund.</t>
  </si>
  <si>
    <t>Indemnity, Closing Condition</t>
  </si>
  <si>
    <t>LEG-09</t>
  </si>
  <si>
    <t>Handelsvertreter/Distributor</t>
  </si>
  <si>
    <t>Bestehen Ausgleichs-, Kündigungs- oder Exklusivitätsrisiken?</t>
  </si>
  <si>
    <t>Agentur-, Händler- und Franchiseverträge</t>
  </si>
  <si>
    <t>Kündigungsfolgen, Gebiet, Kundenstamm und zwingendes Recht prüfen.</t>
  </si>
  <si>
    <t>Hoher Ausgleichsanspruch, faktische Arbeitnehmerstellung</t>
  </si>
  <si>
    <t>Rückstellung/Preisabschlag und geordnete Neuverhandlung planen.</t>
  </si>
  <si>
    <t>Freistellung</t>
  </si>
  <si>
    <t>LEG-10</t>
  </si>
  <si>
    <t>Öffentliche Aufträge</t>
  </si>
  <si>
    <t>Sind Vergabe-, Integritäts- und Kontrollwechselregeln eingehalten?</t>
  </si>
  <si>
    <t>Öffentliche Verträge, Ausschreibungsunterlagen, Eigenerklärungen</t>
  </si>
  <si>
    <t>Zuschlag, Nachunternehmer, Ausschlussgründe und CoC prüfen.</t>
  </si>
  <si>
    <t>Falsche Eigenerklärung, nicht genehmigter Nachunternehmer</t>
  </si>
  <si>
    <t>Behördliche Zustimmung und Compliance-Remediation vorsehen.</t>
  </si>
  <si>
    <t>Garantie, Consent</t>
  </si>
  <si>
    <t>LEG-11</t>
  </si>
  <si>
    <t>Garantien &amp; Patronate</t>
  </si>
  <si>
    <t>Welche Garantien, Bürgschaften oder Patronate bestehen zugunsten Dritter?</t>
  </si>
  <si>
    <t>Garantieverzeichnis, Bankbestätigungen, Board Minutes</t>
  </si>
  <si>
    <t>Begünstigtenbestätigung und Abgleich mit Bilanz/Related Parties.</t>
  </si>
  <si>
    <t>Unbefristete Garantie für Verkäufergruppe, unklarer Höchstbetrag</t>
  </si>
  <si>
    <t>Freigabe vor Closing oder vollständige Besicherung/Freistellung.</t>
  </si>
  <si>
    <t>Release, Indemnity</t>
  </si>
  <si>
    <t>LEG-12</t>
  </si>
  <si>
    <t>AGB &amp; Verbraucherschutz</t>
  </si>
  <si>
    <t>Sind AGB, Widerruf, Preisangaben und digitale Prozesse wirksam?</t>
  </si>
  <si>
    <t>AGB-Versionen, Bestellstrecken, Beschwerden, Abmahnungen</t>
  </si>
  <si>
    <t>Klauselkontrolle und Testkäufe nach Kundengruppe/Jurisdiktion.</t>
  </si>
  <si>
    <t>Unwirksame Preisanpassung, Dark Patterns, Massenrückforderung</t>
  </si>
  <si>
    <t>AGB/Flows korrigieren, Exposure reservieren und Freistellung verhandeln.</t>
  </si>
  <si>
    <t>Indemnity</t>
  </si>
  <si>
    <t>LEG-13</t>
  </si>
  <si>
    <t>Dokumentenaufbewahrung</t>
  </si>
  <si>
    <t>Sind Legal Hold, Aufbewahrung und Signaturprozesse belastbar?</t>
  </si>
  <si>
    <t>Retention Policy, DMS, Legal Holds, Signaturrichtlinie</t>
  </si>
  <si>
    <t>Stichprobe auf Auffindbarkeit, Vollständigkeit und Beweiswert.</t>
  </si>
  <si>
    <t>Gelöschte Prozessunterlagen, unzulässige Signaturen</t>
  </si>
  <si>
    <t>Legal Hold und DMS-Kontrollen vor Closing stabilisieren.</t>
  </si>
  <si>
    <t>OPS-01</t>
  </si>
  <si>
    <t>Operations</t>
  </si>
  <si>
    <t>Prozessleistung</t>
  </si>
  <si>
    <t>Sind Kernprozesse, KPIs und Engpässe transparent?</t>
  </si>
  <si>
    <t>Prozesskarten, KPI-Historie, Schicht-/Kapazitätsdaten</t>
  </si>
  <si>
    <t>End-to-end Walkthrough, KPI-Reperformance und Engpassanalyse.</t>
  </si>
  <si>
    <t>KPI ohne Datenquelle, hohe manuelle Nacharbeit</t>
  </si>
  <si>
    <t>KPI-Baseline und priorisiertes Verbesserungsprogramm etablieren.</t>
  </si>
  <si>
    <t>OPS-02</t>
  </si>
  <si>
    <t>Kapazität</t>
  </si>
  <si>
    <t>Reicht reale Kapazität für den Business Plan?</t>
  </si>
  <si>
    <t>Maschinen-/Personalstunden, OEE, Auslastung, Schichtmodelle</t>
  </si>
  <si>
    <t>Rated vs. demonstrated capacity, Engpässe und Ramp-up simulieren.</t>
  </si>
  <si>
    <t>Plan &gt; nachgewiesene Kapazität, OEE strukturell niedrig</t>
  </si>
  <si>
    <t>Plan korrigieren oder Capex/Schichten samt Vorlauf budgetieren.</t>
  </si>
  <si>
    <t>Capex Covenant</t>
  </si>
  <si>
    <t>OPS-03</t>
  </si>
  <si>
    <t>Qualität</t>
  </si>
  <si>
    <t>Sind Ausschuss, Reklamationen und Qualitätskosten beherrscht?</t>
  </si>
  <si>
    <t>FPY, Ausschuss, Reklamationen, Auditberichte, Zertifikate</t>
  </si>
  <si>
    <t>Trend, Pareto, Root Cause und Rückstellungsabgleich prüfen.</t>
  </si>
  <si>
    <t>Steigende Feldausfälle, verlorene Zertifizierung, Serienfehler</t>
  </si>
  <si>
    <t>Containment, Ursachenprogramm und Produktfreistellung/Versicherung sichern.</t>
  </si>
  <si>
    <t>OPS-04</t>
  </si>
  <si>
    <t>Instandhaltung</t>
  </si>
  <si>
    <t>Besteht ein Instandhaltungs- oder Ersatzinvestitionsstau?</t>
  </si>
  <si>
    <t>Wartungsplan, Störungen, Anlagenalter, Ersatzteile</t>
  </si>
  <si>
    <t>Backlog, MTBF/MTTR, kritische Assets und Capex abgleichen.</t>
  </si>
  <si>
    <t>Run-to-failure bei Engpassanlage, keine Ersatzteile</t>
  </si>
  <si>
    <t>Catch-up-Plan und Kaufpreisanpassung für aufgeschobenen Aufwand.</t>
  </si>
  <si>
    <t>Capex Adjustment</t>
  </si>
  <si>
    <t>OPS-05</t>
  </si>
  <si>
    <t>Business Continuity</t>
  </si>
  <si>
    <t>Sind kritische Prozesse gegen Ausfall abgesichert und getestet?</t>
  </si>
  <si>
    <t>BCP, Notfallpläne, Tests, kritische Ressourcen</t>
  </si>
  <si>
    <t>Szenariotests für Standort, Energie, Personal und IT; RTO prüfen.</t>
  </si>
  <si>
    <t>Plan nie getestet, Single Point of Failure</t>
  </si>
  <si>
    <t>Notfallmaßnahmen vor Closing und Resilienzprogramm im 100-Tage-Plan.</t>
  </si>
  <si>
    <t>OPS-06</t>
  </si>
  <si>
    <t>Bestände</t>
  </si>
  <si>
    <t>Sind Bestand, Reichweite und Obsoleszenz realistisch bewertet?</t>
  </si>
  <si>
    <t>Artikelbestand, Bewegungen, Altersstruktur, Inventurdifferenzen</t>
  </si>
  <si>
    <t>Slow-/No-Mover, Reichweite, NRV und Inventurbeobachtung analysieren.</t>
  </si>
  <si>
    <t>Hohe Altbestände, negative Bestände, manuelle Reserven</t>
  </si>
  <si>
    <t>Abwertung im Closing NWC und Abbauprogramm vereinbaren.</t>
  </si>
  <si>
    <t>OPS-07</t>
  </si>
  <si>
    <t>Standortabhängigkeit</t>
  </si>
  <si>
    <t>Welche Standort-, Energie- und Infrastrukturabhängigkeiten bestehen?</t>
  </si>
  <si>
    <t>Site Map, Versorgerverträge, Ausfallhistorie, Genehmigungen</t>
  </si>
  <si>
    <t>Single points, Redundanz, Versorgungs- und Klimarisiken bewerten.</t>
  </si>
  <si>
    <t>Ein Standort ohne Alternative, auslaufender Netzanschluss</t>
  </si>
  <si>
    <t>Redundanz-/Versicherungsplan und notwendige Investitionen einpreisen.</t>
  </si>
  <si>
    <t>OPS-08</t>
  </si>
  <si>
    <t>Skalierbarkeit</t>
  </si>
  <si>
    <t>Skalieren Prozesse, Organisation und Systeme mit geplantem Wachstum?</t>
  </si>
  <si>
    <t>Kapazitätsplan, Organisationsplan, Systemlimits, SLA</t>
  </si>
  <si>
    <t>Volumen-Stresstest und Ressourcen-/Kostenkurve erstellen.</t>
  </si>
  <si>
    <t>Überproportionale Kosten, Schlüsselprozess in Tabellenkalkulation</t>
  </si>
  <si>
    <t>Skalierungs-Roadmap mit Triggern, Kosten und Verantwortlichen erstellen.</t>
  </si>
  <si>
    <t>OPS-09</t>
  </si>
  <si>
    <t>Produktivität</t>
  </si>
  <si>
    <t>Sind Produktivitätsannahmen und Verbesserungen belegt?</t>
  </si>
  <si>
    <t>Output/FTE, OEE, Lernkurven, Lean-Projekte</t>
  </si>
  <si>
    <t>Historische Initiativen und Benefit Tracking validieren.</t>
  </si>
  <si>
    <t>Doppelt gezählte Einsparung, kein Owner, Benefit vor Umsetzung</t>
  </si>
  <si>
    <t>Synergien risikogewichten und Benefit-Tracking aufsetzen.</t>
  </si>
  <si>
    <t>SUP-01</t>
  </si>
  <si>
    <t>Supply Chain</t>
  </si>
  <si>
    <t>Lieferantenkonzentration</t>
  </si>
  <si>
    <t>Wie hoch ist die Abhängigkeit von Lieferanten und Unterlieferanten?</t>
  </si>
  <si>
    <t>Spend Cube, Lieferantenstamm, BOM, Konzernzuordnung</t>
  </si>
  <si>
    <t>Top-Spend, HHI, Abhängigkeit je Produkt und Tier-n kartieren.</t>
  </si>
  <si>
    <t>Single Source für kritisches Teil, unbekannte Tier-2-Quelle</t>
  </si>
  <si>
    <t>Dual Sourcing, Sicherheitsbestand oder vertragliche Absicherung priorisieren.</t>
  </si>
  <si>
    <t>SUP-02</t>
  </si>
  <si>
    <t>Versorgungsrisiko</t>
  </si>
  <si>
    <t>Sind Lieferfähigkeit, Lead Times und Allokationsrisiken beherrscht?</t>
  </si>
  <si>
    <t>OTIF, Lead Times, Backorders, Kapazitätszusagen</t>
  </si>
  <si>
    <t>Trend und Stressszenarien für Nachfrage, Transport und Ausfall.</t>
  </si>
  <si>
    <t>Dauerhafte Rückstände, informelle Kapazitätszusage</t>
  </si>
  <si>
    <t>Kapazitätsbestätigung und Kontingenzplan mit Triggern erstellen.</t>
  </si>
  <si>
    <t>Supplier Consent</t>
  </si>
  <si>
    <t>SUP-03</t>
  </si>
  <si>
    <t>Beschaffungspreise</t>
  </si>
  <si>
    <t>Sind Preisgleitungen, Rohstoffexposure und Einsparungen realistisch?</t>
  </si>
  <si>
    <t>Preislisten, Indexklauseln, PPV, Hedging, Savings Pipeline</t>
  </si>
  <si>
    <t>Preis-/Index-Bridge und realisierte vs. geplante Savings.</t>
  </si>
  <si>
    <t>Ungehedgte Volatilität, Einsparung ohne Lieferantenzusage</t>
  </si>
  <si>
    <t>Business Case aktualisieren und Re-Sourcing/Indexklauseln verhandeln.</t>
  </si>
  <si>
    <t>SUP-04</t>
  </si>
  <si>
    <t>Lieferantenqualität</t>
  </si>
  <si>
    <t>Sind Qualität und Compliance kritischer Lieferanten ausreichend?</t>
  </si>
  <si>
    <t>Audits, PPM, Reklamationen, Zertifikate, CAPA</t>
  </si>
  <si>
    <t>Risikobasierte Lieferantenbewertung und Stichprobe von CAPA.</t>
  </si>
  <si>
    <t>Wiederholte Abweichung ohne Schließung, gefälschtes Zertifikat</t>
  </si>
  <si>
    <t>Containment, Re-Audit und alternative Quelle vorsehen.</t>
  </si>
  <si>
    <t>SUP-05</t>
  </si>
  <si>
    <t>Logistik</t>
  </si>
  <si>
    <t>Sind Fracht-, Lager- und Zollprozesse kosten- und ausfallsicher?</t>
  </si>
  <si>
    <t>Frachtverträge, Routen, Incoterms, Zollprüfungen</t>
  </si>
  <si>
    <t>Kosten je Einheit, Routenabhängigkeit, Zollklassifikation und Notfallroute.</t>
  </si>
  <si>
    <t>Ein Frachtführer, falsche Zolltarifnummer, hohe Sonderfracht</t>
  </si>
  <si>
    <t>Routen diversifizieren, Zollstammdaten korrigieren und Kosten normalisieren.</t>
  </si>
  <si>
    <t>SUP-06</t>
  </si>
  <si>
    <t>Nachhaltige Lieferkette</t>
  </si>
  <si>
    <t>Sind Menschenrechts-, Umwelt- und Sanktionsrisiken in der Lieferkette kontrolliert?</t>
  </si>
  <si>
    <t>Supplier Code, Risikoanalyse, Audits, Herkunftsnachweise</t>
  </si>
  <si>
    <t>Risikosegmentierung nach Land/Ware und Wirksamkeit der Abhilfe prüfen.</t>
  </si>
  <si>
    <t>Hochrisikolieferant ohne Prüfung, fehlende Herkunft</t>
  </si>
  <si>
    <t>Sperr-/Abhilfeplan und Vertragsklauseln vor bzw. nach Closing umsetzen.</t>
  </si>
  <si>
    <t>Garantie, Covenant</t>
  </si>
  <si>
    <t>S13</t>
  </si>
  <si>
    <t>SUP-07</t>
  </si>
  <si>
    <t>Bestellkontrollen</t>
  </si>
  <si>
    <t>Verhindern Procurement-Kontrollen Maverick Buying, Kickbacks und Doppelzahlungen?</t>
  </si>
  <si>
    <t>Freigabematrix, PO-Daten, Vendor Master, Rechnungen</t>
  </si>
  <si>
    <t>PO-Compliance, Drei-Wege-Abgleich, Bankkonto- und Dublettentests.</t>
  </si>
  <si>
    <t>Lieferant und Mitarbeiter teilen Bank/Adresse, nachträgliche Bestellung</t>
  </si>
  <si>
    <t>Forensische Vertiefung und Procure-to-Pay-Kontrollen stärken.</t>
  </si>
  <si>
    <t>IT-01</t>
  </si>
  <si>
    <t>IT &amp; Cyber</t>
  </si>
  <si>
    <t>IT-Strategie</t>
  </si>
  <si>
    <t>Unterstützen IT-Strategie, Architektur und Budget den Business Plan?</t>
  </si>
  <si>
    <t>IT-Roadmap, Architektur, Budget, Projektportfolio</t>
  </si>
  <si>
    <t>Business-Alignment, Investitionslücke, Abhängigkeiten und Nutzen prüfen.</t>
  </si>
  <si>
    <t>Keine Roadmap, Projekte ohne Budget, Architektur blockiert Wachstum</t>
  </si>
  <si>
    <t>Finanzierte IT-Roadmap mit Day-1- und 100-Tage-Prioritäten erstellen.</t>
  </si>
  <si>
    <t>S08</t>
  </si>
  <si>
    <t>IT-02</t>
  </si>
  <si>
    <t>Asset Inventory</t>
  </si>
  <si>
    <t>Sind Hardware, Software, Cloud-Assets und Datenbestände vollständig inventarisiert?</t>
  </si>
  <si>
    <t>CMDB, Inventar, Cloud-Accounts, SaaS-Liste, Datenkatalog</t>
  </si>
  <si>
    <t>Stichprobe gegen Netzwerk, Rechnungen und Identitätsprovider.</t>
  </si>
  <si>
    <t>Unbekannte Server/Cloud Accounts, Shadow IT</t>
  </si>
  <si>
    <t>Discovery durchführen und Eigentümer/Lifecycle für kritische Assets festlegen.</t>
  </si>
  <si>
    <t>IT-03</t>
  </si>
  <si>
    <t>Legacy &amp; EOL</t>
  </si>
  <si>
    <t>Welche Systeme sind veraltet oder nicht mehr unterstützt?</t>
  </si>
  <si>
    <t>Versionsliste, Supportverträge, technische Schulden</t>
  </si>
  <si>
    <t>EOL-Daten, Kritikalität, Ersatzplan und Kosten bewerten.</t>
  </si>
  <si>
    <t>Kernsystem ohne Patches, Hersteller-Support beendet</t>
  </si>
  <si>
    <t>Sofortkompensation und finanzierte Modernisierungs-Roadmap vorsehen.</t>
  </si>
  <si>
    <t>Capex Adjustment, Covenant</t>
  </si>
  <si>
    <t>IT-04</t>
  </si>
  <si>
    <t>IAM &amp; MFA</t>
  </si>
  <si>
    <t>Sind Identitäten, privilegierte Zugriffe und MFA wirksam kontrolliert?</t>
  </si>
  <si>
    <t>IdP, Rollen, Admin-Konten, Joiner/Mover/Leaver, MFA-Abdeckung</t>
  </si>
  <si>
    <t>User-/Rollenstichprobe, Dormant Accounts und MFA/PAM-Abdeckung testen.</t>
  </si>
  <si>
    <t>Geteilte Admin-Konten, ehemalige Mitarbeiter aktiv, kein MFA</t>
  </si>
  <si>
    <t>MFA/PAM und sofortige Zugriffsbereinigung als Pre-/Post-Closing-Maßnahme.</t>
  </si>
  <si>
    <t>Cyber Covenant</t>
  </si>
  <si>
    <t>S07</t>
  </si>
  <si>
    <t>IT-05</t>
  </si>
  <si>
    <t>Vulnerability &amp; Patch</t>
  </si>
  <si>
    <t>Werden Schwachstellen und Patches risikobasiert fristgerecht behandelt?</t>
  </si>
  <si>
    <t>Scannerberichte, Patch-KPIs, Ausnahmen, Penetrationstests</t>
  </si>
  <si>
    <t>Externe Angriffsfläche und kritische Findings auf Alter/Closure prüfen.</t>
  </si>
  <si>
    <t>Internet-exponierte kritische Lücke, kein Scan, dauerhafte Ausnahme</t>
  </si>
  <si>
    <t>Kritische Findings vor Closing schließen und SLA/Monitoring etablieren.</t>
  </si>
  <si>
    <t>Cyber Indemnity/Covenant</t>
  </si>
  <si>
    <t>IT-06</t>
  </si>
  <si>
    <t>Security Incidents</t>
  </si>
  <si>
    <t>Sind Cybervorfälle vollständig erfasst, untersucht und gemeldet?</t>
  </si>
  <si>
    <t>Incident Register, Forensikberichte, Versicherungsfälle, Behördenmeldungen</t>
  </si>
  <si>
    <t>Timeline, Root Cause, Persistenz, Datenabfluss und Remediation validieren.</t>
  </si>
  <si>
    <t>Ransomware ohne Forensik, nicht gemeldeter Datenabfluss</t>
  </si>
  <si>
    <t>Unabhängige Kompromittierungsprüfung, Meldung und spezifische Freistellung.</t>
  </si>
  <si>
    <t>Cyber Indemnity, Escrow</t>
  </si>
  <si>
    <t>IT-07</t>
  </si>
  <si>
    <t>Backup &amp; Recovery</t>
  </si>
  <si>
    <t>Sind Backups geschützt und Wiederherstellungen nachweislich erfolgreich?</t>
  </si>
  <si>
    <t>Backup-Konfiguration, Restore-Tests, RPO/RTO, Offline/Immutable Copies</t>
  </si>
  <si>
    <t>Stichproben-Restore kritischer Systeme; Trennung von Admin-Domänen prüfen.</t>
  </si>
  <si>
    <t>Backup online löschbar, kein Restore-Test, RPO nicht erfüllt</t>
  </si>
  <si>
    <t>Immutable Backup und Recovery-Test vor Closing bzw. Day 1 umsetzen.</t>
  </si>
  <si>
    <t>IT-08</t>
  </si>
  <si>
    <t>Disaster Recovery</t>
  </si>
  <si>
    <t>Sind DR- und BCP-Pläne realistisch, aktuell und getestet?</t>
  </si>
  <si>
    <t>DR-Plan, Abhängigkeiten, Testberichte, Krisenkontakte</t>
  </si>
  <si>
    <t>Tabletop und technische Tests gegen RTO/RPO auswerten.</t>
  </si>
  <si>
    <t>Plan ohne kritische SaaS/Provider, Test dauerhaft verschoben</t>
  </si>
  <si>
    <t>End-to-end-Test und Lückenschließung mit klarer Finanzierung planen.</t>
  </si>
  <si>
    <t>IT-09</t>
  </si>
  <si>
    <t>Cloud &amp; Outsourcing</t>
  </si>
  <si>
    <t>Sind Provider-, Cloud- und Managed-Service-Risiken kontrolliert?</t>
  </si>
  <si>
    <t>Providerverträge, Architektur, SOC-Berichte, Exit-Pläne</t>
  </si>
  <si>
    <t>Shared Responsibility, SLA, Datenort, Subprocessor, Konzentration und Exit prüfen.</t>
  </si>
  <si>
    <t>Kein Exit/Export, Admin beim Provider, ungeklärter Datenstandort</t>
  </si>
  <si>
    <t>Exit-/TSA-Plan, Vertragsnachträge und technische Kontrollen vereinbaren.</t>
  </si>
  <si>
    <t>TSA, Consent</t>
  </si>
  <si>
    <t>IT-10</t>
  </si>
  <si>
    <t>Softwarelizenzen</t>
  </si>
  <si>
    <t>Sind Nutzungsrechte ausreichend und übertragen sich bei Closing?</t>
  </si>
  <si>
    <t>Lizenzverträge, Nutzer-/Core-Zahlen, Auditkorrespondenz</t>
  </si>
  <si>
    <t>Effective License Position und Change-of-Control/Assignment prüfen.</t>
  </si>
  <si>
    <t>Unterlizenzierung, Auditandrohung, Konzernlizenz endet</t>
  </si>
  <si>
    <t>True-up/Neulizenzierung budgetieren und Verkäuferfreistellung sichern.</t>
  </si>
  <si>
    <t>Indemnity, TSA</t>
  </si>
  <si>
    <t>IT-11</t>
  </si>
  <si>
    <t>Secure SDLC</t>
  </si>
  <si>
    <t>Sind Entwicklung, Änderungen und Secrets angemessen geschützt?</t>
  </si>
  <si>
    <t>Repositories, CI/CD, Change Tickets, Scanberichte, Secret Management</t>
  </si>
  <si>
    <t>Branch Protection, Reviews, SAST/SCA, Deploy-Rechte und Secrets testen.</t>
  </si>
  <si>
    <t>Secrets im Code, direkte Produktionseinspielung, keine Reviews</t>
  </si>
  <si>
    <t>Pipeline-Gates, Secret Rotation und Segregation of Duties einführen.</t>
  </si>
  <si>
    <t>IT-12</t>
  </si>
  <si>
    <t>IT-Trennung</t>
  </si>
  <si>
    <t>Sind Systeme, Daten, Domains und Verträge vom Verkäufer trennbar?</t>
  </si>
  <si>
    <t>Dependency Map, Mandanten, Netzwerk, Domains, Lizenzen, TSA-Entwurf</t>
  </si>
  <si>
    <t>Separation Workstreams, Datenmigration, Kosten und kritischen Pfad validieren.</t>
  </si>
  <si>
    <t>Gemeinsamer Tenant ohne Export, Verkäufer besitzt Domain/Quellcode</t>
  </si>
  <si>
    <t>Detaillierten Separation-/TSA-Plan mit Exit-Kriterien vertraglich fixieren.</t>
  </si>
  <si>
    <t>TSA, Holdback</t>
  </si>
  <si>
    <t>DAT-01</t>
  </si>
  <si>
    <t>Datenschutz</t>
  </si>
  <si>
    <t>Verarbeitungsverzeichnis</t>
  </si>
  <si>
    <t>Sind Verarbeitungstätigkeiten, Zwecke und Rechtsgrundlagen vollständig dokumentiert?</t>
  </si>
  <si>
    <t>VVT/ROPA, Datenflussdiagramme, Datenschutzerklärungen</t>
  </si>
  <si>
    <t>VVT gegen Systeme, Produkte und Interviews auf Vollständigkeit prüfen.</t>
  </si>
  <si>
    <t>Kerngeschäft fehlt im VVT, pauschales berechtigtes Interesse</t>
  </si>
  <si>
    <t>VVT und Rechtsgrundlagen vor Closing für kritische Prozesse bereinigen.</t>
  </si>
  <si>
    <t>Datenschutzgarantie, Covenant</t>
  </si>
  <si>
    <t>S06</t>
  </si>
  <si>
    <t>DAT-02</t>
  </si>
  <si>
    <t>Auftragsverarbeitung</t>
  </si>
  <si>
    <t>Sind Auftragsverarbeiter und Unterauftragnehmer wirksam eingebunden?</t>
  </si>
  <si>
    <t>AV-Verträge, Subprocessor-Liste, TOM, Due-Diligence-Nachweise</t>
  </si>
  <si>
    <t>Vertragsstichprobe, Art.-28-Inhalte und Vendor Monitoring prüfen.</t>
  </si>
  <si>
    <t>Kein AV-Vertrag, unbekannte Subprocessor</t>
  </si>
  <si>
    <t>Verträge nachholen, kritische Provider sperren/ersetzen und Freistellung prüfen.</t>
  </si>
  <si>
    <t>Indemnity, Covenant</t>
  </si>
  <si>
    <t>DAT-03</t>
  </si>
  <si>
    <t>Drittlandtransfer</t>
  </si>
  <si>
    <t>Sind internationale Datentransfers legitimiert und bewertet?</t>
  </si>
  <si>
    <t>SCC, TIA, Hosting- und Supportorte, Transfer Map</t>
  </si>
  <si>
    <t>Transfermechanismus, ergänzende Maßnahmen und tatsächliche Zugriffe prüfen.</t>
  </si>
  <si>
    <t>US-/Offshore-Zugriff ohne TIA/SCC, Transfer nicht inventarisiert</t>
  </si>
  <si>
    <t>SCC/TIA und technische Maßnahmen priorisiert nachholen.</t>
  </si>
  <si>
    <t>Datenschutz-Covenant</t>
  </si>
  <si>
    <t>DAT-04</t>
  </si>
  <si>
    <t>Betroffenenrechte</t>
  </si>
  <si>
    <t>Werden Auskunft, Löschung und Widerspruch fristgerecht und vollständig erfüllt?</t>
  </si>
  <si>
    <t>DSAR-Register, Verfahren, Löschprotokolle, Beschwerden</t>
  </si>
  <si>
    <t>Fallstichprobe und End-to-end-Test über Systeme durchführen.</t>
  </si>
  <si>
    <t>Fristüberschreitung, keine Löschung aus Backups/Downstream</t>
  </si>
  <si>
    <t>Workflow, Suchfähigkeit und Löschkonzept verbessern.</t>
  </si>
  <si>
    <t>DAT-05</t>
  </si>
  <si>
    <t>Datenschutzverletzungen</t>
  </si>
  <si>
    <t>Sind Datenschutzvorfälle erkannt, bewertet und fristgerecht gemeldet?</t>
  </si>
  <si>
    <t>Breach Register, Meldungen, Incident Playbook</t>
  </si>
  <si>
    <t>Vollständigkeit gegen Security Incidents und Tickets abgleichen.</t>
  </si>
  <si>
    <t>Nicht gemeldeter meldepflichtiger Vorfall, keine 72h-Entscheidung</t>
  </si>
  <si>
    <t>Vorfall neu bewerten, ggf. melden und spezifische Freistellung vereinbaren.</t>
  </si>
  <si>
    <t>DAT-06</t>
  </si>
  <si>
    <t>DPIA &amp; Privacy by Design</t>
  </si>
  <si>
    <t>Sind Hochrisikoverarbeitungen bewertet und Produkte datenschutzgerecht gestaltet?</t>
  </si>
  <si>
    <t>DPIA/DSFA, Produktfreigaben, Architekturentscheidungen</t>
  </si>
  <si>
    <t>Trigger, Methodik, Restrestrisiko und Maßnahmenumsetzung prüfen.</t>
  </si>
  <si>
    <t>Biometrie/Profiling ohne DPIA, offene Hochrisikomaßnahme</t>
  </si>
  <si>
    <t>DPIA abschließen und Release-Gates für offene Risiken setzen.</t>
  </si>
  <si>
    <t>DAT-07</t>
  </si>
  <si>
    <t>Retention &amp; Löschung</t>
  </si>
  <si>
    <t>Sind Aufbewahrungs- und Löschfristen rechtlich und technisch umgesetzt?</t>
  </si>
  <si>
    <t>Löschkonzept, Retention Schedule, Systemkonfiguration</t>
  </si>
  <si>
    <t>Stichprobe veralteter Daten und automatische Jobs prüfen.</t>
  </si>
  <si>
    <t>Unbegrenzte Speicherung, produktive Kopien in Testsystemen</t>
  </si>
  <si>
    <t>Risikobasierte Löschung und technische Retention Controls umsetzen.</t>
  </si>
  <si>
    <t>HR-01</t>
  </si>
  <si>
    <t>HR &amp; Pensions</t>
  </si>
  <si>
    <t>Belegschaftsstruktur</t>
  </si>
  <si>
    <t>Sind Headcount, FTE, Kosten und Organisationsstruktur vollständig?</t>
  </si>
  <si>
    <t>Mitarbeiterliste, Organigramm, Payroll-Abgleich, Kostenstellen</t>
  </si>
  <si>
    <t>HR-Liste zu Payroll und GuV abstimmen; Trends nach Standort/Funktion.</t>
  </si>
  <si>
    <t>Ghost Employees, unbesetzte Schlüsselrollen, inkonsistenter Headcount</t>
  </si>
  <si>
    <t>Daten bereinigen und Zielorganisation/Schlüsselrollen festlegen.</t>
  </si>
  <si>
    <t>HR-02</t>
  </si>
  <si>
    <t>Arbeitsverträge</t>
  </si>
  <si>
    <t>Sind Verträge, Befristungen und nachvertragliche Pflichten wirksam?</t>
  </si>
  <si>
    <t>Vertragsmuster, Schlüsselverträge, Nachträge, Policies</t>
  </si>
  <si>
    <t>Risikostichprobe nach Land, Seniorität und Sonderklausel.</t>
  </si>
  <si>
    <t>Unwirksame Befristung, unklare IP-Abtretung, unbegrenzte Bonuszusage</t>
  </si>
  <si>
    <t>Nachträge/Heilung und Garantie für Altansprüche vereinbaren.</t>
  </si>
  <si>
    <t>Garantie, Indemnity</t>
  </si>
  <si>
    <t>HR-03</t>
  </si>
  <si>
    <t>Vergütung &amp; Boni</t>
  </si>
  <si>
    <t>Sind Fix-, variable und aktienbasierte Vergütung vollständig und rückgestellt?</t>
  </si>
  <si>
    <t>Payroll, Bonuspläne, Provisionen, ESOP/VSOP, Rückstellungen</t>
  </si>
  <si>
    <t>Planregeln nachrechnen; Zielerreichung und Closing-/Acceleration-Effekt.</t>
  </si>
  <si>
    <t>Nicht rückgestellter Bonus, garantierte Provision trotz Storno</t>
  </si>
  <si>
    <t>Debt-like Behandlung bzw. Verkäuferkosten und klare Cut-off-Regeln vereinbaren.</t>
  </si>
  <si>
    <t>Net Debt, Covenant</t>
  </si>
  <si>
    <t>HR-04</t>
  </si>
  <si>
    <t>Schlüsselpersonen</t>
  </si>
  <si>
    <t>Welche Personen sind für Umsatz, Produkt, Betrieb und Wissen kritisch?</t>
  </si>
  <si>
    <t>Talent Review, Nachfolgeplanung, Kündigungsfristen, Retention</t>
  </si>
  <si>
    <t>Key-Person-Matrix mit Abwanderungswahrscheinlichkeit und Impact.</t>
  </si>
  <si>
    <t>Founder-/Ein-Personen-Abhängigkeit, angekündigte Kündigung</t>
  </si>
  <si>
    <t>Retention, Nachfolge und Wissensübergabe vor Signing/Closing sichern.</t>
  </si>
  <si>
    <t>Retention Agreement</t>
  </si>
  <si>
    <t>HR-05</t>
  </si>
  <si>
    <t>Fluktuation &amp; Fehlzeiten</t>
  </si>
  <si>
    <t>Deuten Turnover, Krankenstand oder Engagement auf strukturelle Probleme?</t>
  </si>
  <si>
    <t>Ein-/Austritte, Gründe, Fehlzeiten, Surveys 36 Monate</t>
  </si>
  <si>
    <t>Kohorten/Benchmarks nach Manager, Standort und Funktion.</t>
  </si>
  <si>
    <t>Spike bei Leistungsträgern, hohe Langzeiterkrankung, toxisches Team</t>
  </si>
  <si>
    <t>Ursachenmaßnahmen und realistische Recruiting-/Produktivitätskosten einplanen.</t>
  </si>
  <si>
    <t>100-Tage-Plan</t>
  </si>
  <si>
    <t>HR-06</t>
  </si>
  <si>
    <t>Mitbestimmung &amp; Tarif</t>
  </si>
  <si>
    <t>Sind Betriebsrat, Tarifbindung und Informations-/Konsultationspflichten beachtet?</t>
  </si>
  <si>
    <t>Betriebsvereinbarungen, Tarifverträge, Gremien, Verhandlungsstatus</t>
  </si>
  <si>
    <t>Transaktions- und Integrationsschritte gegen Pflichten/Fristen planen.</t>
  </si>
  <si>
    <t>Unterlassene Konsultation, nachwirkende Vereinbarung, Streikrisiko</t>
  </si>
  <si>
    <t>Mitbestimmungsfahrplan und Kommunikationsplan als kritischen Pfad führen.</t>
  </si>
  <si>
    <t>HR-07</t>
  </si>
  <si>
    <t>Pensionen</t>
  </si>
  <si>
    <t>Sind Pensionsverpflichtungen, Planvermögen und Risiken vollständig bewertet?</t>
  </si>
  <si>
    <t>Versicherungsmathematik, Planregeln, Vermögen, Begünstigte</t>
  </si>
  <si>
    <t>Aktuarielle Annahmen, Funding, Indexierung und Change-of-Control prüfen.</t>
  </si>
  <si>
    <t>Unterdeckung, veraltete Sterbetafel, harte Garantie</t>
  </si>
  <si>
    <t>Debt-like Adjustierung, Escrow oder spezifische Freistellung vereinbaren.</t>
  </si>
  <si>
    <t>Net Debt, Indemnity</t>
  </si>
  <si>
    <t>HR-08</t>
  </si>
  <si>
    <t>Freelancer</t>
  </si>
  <si>
    <t>Besteht Risiko aus Scheinselbstständigkeit oder Arbeitnehmerüberlassung?</t>
  </si>
  <si>
    <t>Freelancer-/Agenturverträge, Einsatzdaten, Weisungen, AÜG-Erlaubnisse</t>
  </si>
  <si>
    <t>Status anhand tatsächlicher Durchführung und Dauer beurteilen.</t>
  </si>
  <si>
    <t>Langjährige Vollzeitintegration, keine AÜG-Erlaubnis</t>
  </si>
  <si>
    <t>Status bereinigen, Nachzahlung quantifizieren und Freistellung verlangen.</t>
  </si>
  <si>
    <t>HR-09</t>
  </si>
  <si>
    <t>Arbeitsstreitigkeiten</t>
  </si>
  <si>
    <t>Sind individuelle und kollektive HR-Streitigkeiten angemessen erfasst?</t>
  </si>
  <si>
    <t>Fallliste, Anwaltsschreiben, Vergleiche, Beschwerden</t>
  </si>
  <si>
    <t>Exposure und Musterwirkung je Fall; Abgleich mit Rückstellungen.</t>
  </si>
  <si>
    <t>Diskriminierungsmuster, Whistleblower-Retaliation</t>
  </si>
  <si>
    <t>Spezifische Abhilfe, Training und ggf. Freistellung/Escrow.</t>
  </si>
  <si>
    <t>HR-10</t>
  </si>
  <si>
    <t>Transaktionseffekte</t>
  </si>
  <si>
    <t>Lösen Closing, Kontrollwechsel oder Integration Zahlungen/Kündigungsrechte aus?</t>
  </si>
  <si>
    <t>Change-of-Control-Klauseln, MIP, Bonus- und Abfindungspläne</t>
  </si>
  <si>
    <t>Trigger, Kosten, Steuer/Sozialversicherung und Retention-Wirkung berechnen.</t>
  </si>
  <si>
    <t>Single-/Double-Trigger ohne Cap, Verkäufer hat Kosten nicht berücksichtigt</t>
  </si>
  <si>
    <t>Kosten als debt-like behandeln und neue Retention-Struktur abstimmen.</t>
  </si>
  <si>
    <t>IP-01</t>
  </si>
  <si>
    <t>Intellectual Property</t>
  </si>
  <si>
    <t>Eigentumskette</t>
  </si>
  <si>
    <t>Ist das für Produkte und Marke wesentliche IP wirksam beim Zielunternehmen?</t>
  </si>
  <si>
    <t>Patent-/Markenregister, Abtretungen, Erfinder-/Urheberverträge</t>
  </si>
  <si>
    <t>Chain of Title von Schöpfer bis Gesellschaft stichprobenartig nachvollziehen.</t>
  </si>
  <si>
    <t>Founder/Agentur hält Rechte, Abtretung formunwirksam</t>
  </si>
  <si>
    <t>Rechte vor Closing übertragen und Eigentumsgarantie/Freistellung vereinbaren.</t>
  </si>
  <si>
    <t>IP Warranty, Indemnity</t>
  </si>
  <si>
    <t>IP-02</t>
  </si>
  <si>
    <t>Registrierte Rechte</t>
  </si>
  <si>
    <t>Sind Schutzrechte gültig, bezahlt und geografisch ausreichend?</t>
  </si>
  <si>
    <t>IP-Register, Fristen, Gebühren, Kanzleikorrespondenz</t>
  </si>
  <si>
    <t>Status, Inhaber, Länder, Restlaufzeit und Oppositionen prüfen.</t>
  </si>
  <si>
    <t>Verpasste Verlängerung, falscher Inhaber, Kernmarkt ungeschützt</t>
  </si>
  <si>
    <t>Register bereinigen und Schutzstrategie/Reserve anpassen.</t>
  </si>
  <si>
    <t>IP Warranty</t>
  </si>
  <si>
    <t>IP-03</t>
  </si>
  <si>
    <t>Drittlizenzen</t>
  </si>
  <si>
    <t>Sind Inbound-Lizenzen ausreichend, compliant und übertragbar?</t>
  </si>
  <si>
    <t>Lizenzverträge, Nutzungszahlen, Auditberichte</t>
  </si>
  <si>
    <t>Scope, Territorium, Sublizenz, CoC, Gebühren und Kündigung analysieren.</t>
  </si>
  <si>
    <t>Kerntechnologie jederzeit kündbar, Nutzung außerhalb Scope</t>
  </si>
  <si>
    <t>Consent/Neulizenzierung vor Closing und Kosten im Modell berücksichtigen.</t>
  </si>
  <si>
    <t>Consent, Indemnity</t>
  </si>
  <si>
    <t>IP-04</t>
  </si>
  <si>
    <t>Open Source</t>
  </si>
  <si>
    <t>Sind Open-Source-Komponenten inventarisiert und Lizenzpflichten erfüllt?</t>
  </si>
  <si>
    <t>SBOM, SCA-Scan, OSS Policy, Quellcode</t>
  </si>
  <si>
    <t>Scan gegen Inventar; Copyleft, Notice und Source-Disclosure prüfen.</t>
  </si>
  <si>
    <t>AGPL/GPL in proprietärem Kern ohne Compliance, keine SBOM</t>
  </si>
  <si>
    <t>Komponenten ersetzen/isolieren, Notices liefern und spezifische Freistellung.</t>
  </si>
  <si>
    <t>IP Indemnity, Covenant</t>
  </si>
  <si>
    <t>IP-05</t>
  </si>
  <si>
    <t>Verletzungsrisiko</t>
  </si>
  <si>
    <t>Bestehen Infringement-, FTO- oder Abmahnrisiken?</t>
  </si>
  <si>
    <t>Claims, FTO, Abmahnungen, Wettbewerberpatente</t>
  </si>
  <si>
    <t>Claim Charts/FTO risikobasiert für Kernprodukte und Märkte.</t>
  </si>
  <si>
    <t>Aktive Unterlassungsforderung, bekannte Blocking Patents</t>
  </si>
  <si>
    <t>Design-around/Lizenz und Escrow/Freistellung verhandeln.</t>
  </si>
  <si>
    <t>IP Indemnity, Escrow</t>
  </si>
  <si>
    <t>IP-06</t>
  </si>
  <si>
    <t>Geschäftsgeheimnisse</t>
  </si>
  <si>
    <t>Sind wesentliche Geheimnisse identifiziert und angemessen geschützt?</t>
  </si>
  <si>
    <t>Trade-Secret-Register, NDAs, Zugriff, Offboarding</t>
  </si>
  <si>
    <t>Need-to-know, Kennzeichnung, technische Kontrollen und Austritte prüfen.</t>
  </si>
  <si>
    <t>Quellcode öffentlich geteilt, keine NDA/Access Logs</t>
  </si>
  <si>
    <t>Secret-Protection-Programm und sofortige Zugriffssicherung umsetzen.</t>
  </si>
  <si>
    <t>IP-07</t>
  </si>
  <si>
    <t>Domains &amp; Social</t>
  </si>
  <si>
    <t>Sind Domains, App-Store- und Social-Media-Konten im Eigentum/Kontrollbereich?</t>
  </si>
  <si>
    <t>Registrar-, App-Store-, Plattform- und Admin-Nachweise</t>
  </si>
  <si>
    <t>Registrant, MFA, Recovery und Übertragbarkeit prüfen.</t>
  </si>
  <si>
    <t>Privates Founder-Konto, Domain läuft aus, keine Recovery</t>
  </si>
  <si>
    <t>Konten auf Gesellschaft übertragen und MFA/Break-glass etablieren.</t>
  </si>
  <si>
    <t>ESG-01</t>
  </si>
  <si>
    <t>ESG, EHS &amp; Produkt</t>
  </si>
  <si>
    <t>Umweltgenehmigungen</t>
  </si>
  <si>
    <t>Sind umweltrechtliche Genehmigungen und Auflagen vollständig erfüllt?</t>
  </si>
  <si>
    <t>Genehmigungen, Messberichte, Behördenkorrespondenz</t>
  </si>
  <si>
    <t>Standortbegehung, Auflagenmatrix und Compliance-Stichprobe.</t>
  </si>
  <si>
    <t>Grenzwertüberschreitung, ungenehmigte Anlage</t>
  </si>
  <si>
    <t>Abhilfe/Behördenplan, Kostenreserve und Freistellung vereinbaren.</t>
  </si>
  <si>
    <t>Environmental Indemnity</t>
  </si>
  <si>
    <t>ESG-02</t>
  </si>
  <si>
    <t>Altlasten</t>
  </si>
  <si>
    <t>Bestehen Boden-, Grundwasser-, Asbest- oder sonstige Altlastenrisiken?</t>
  </si>
  <si>
    <t>Umweltgutachten, Kataster, Historie, Miet-/Kaufverträge</t>
  </si>
  <si>
    <t>Phase-I/II-Assessment risikobasiert; Verursacher-/Eigentümerhaftung prüfen.</t>
  </si>
  <si>
    <t>Frühere Chemienutzung, behördlicher Verdacht, fehlende Baseline</t>
  </si>
  <si>
    <t>Gutachten vertiefen und unbegrenzte/ausreichende Umweltfreistellung sichern.</t>
  </si>
  <si>
    <t>ESG-03</t>
  </si>
  <si>
    <t>Arbeitssicherheit</t>
  </si>
  <si>
    <t>Sind Unfälle, Gefährdungen und Schutzmaßnahmen beherrscht?</t>
  </si>
  <si>
    <t>Unfallstatistik, Gefährdungsbeurteilungen, Audits, Schulungen</t>
  </si>
  <si>
    <t>Trend/Schweregrad, Meldepflicht und CAPA-Wirksamkeit prüfen.</t>
  </si>
  <si>
    <t>Tödlicher/schwerer Unfall, wiederholte offene Maßnahme</t>
  </si>
  <si>
    <t>Sofortmaßnahmen und Safety-Programm mit Board Oversight umsetzen.</t>
  </si>
  <si>
    <t>Covenant, Indemnity</t>
  </si>
  <si>
    <t>ESG-04</t>
  </si>
  <si>
    <t>Emissionen &amp; Energie</t>
  </si>
  <si>
    <t>Sind Energie-, Emissions- und Klimadaten belastbar und kostenrelevant?</t>
  </si>
  <si>
    <t>Verbrauch, Scope-1/2/3-Methodik, Zertifikate, CO2-Kosten</t>
  </si>
  <si>
    <t>Datenherkunft, Faktoren und Kosten-/Regulierungsszenarien prüfen.</t>
  </si>
  <si>
    <t>Unbelegte Klimaneutralität, hohe CO2-Kosten nicht im Plan</t>
  </si>
  <si>
    <t>Baseline verifizieren und Dekarbonisierungs-/Capex-Plan einpreisen.</t>
  </si>
  <si>
    <t>ESG-05</t>
  </si>
  <si>
    <t>Berichtspflichten</t>
  </si>
  <si>
    <t>Welche Nachhaltigkeits- und Taxonomiepflichten gelten aktuell oder künftig?</t>
  </si>
  <si>
    <t>Größe, Konzernstruktur, Berichte, Wesentlichkeitsanalyse</t>
  </si>
  <si>
    <t>Anwendungsbereich und Readiness mit aktueller Rechtslage verifizieren.</t>
  </si>
  <si>
    <t>Pflicht übersehen, keine Daten-/Kontrollstruktur</t>
  </si>
  <si>
    <t>Compliance-Roadmap, Verantwortliche und Budget festlegen.</t>
  </si>
  <si>
    <t>S14</t>
  </si>
  <si>
    <t>ESG-06</t>
  </si>
  <si>
    <t>Menschenrechte</t>
  </si>
  <si>
    <t>Sind Menschenrechtsrisiken im eigenen Betrieb und in der Lieferkette adressiert?</t>
  </si>
  <si>
    <t>Risikoanalyse, Beschwerden, Audits, Abhilfemaßnahmen</t>
  </si>
  <si>
    <t>Hochrisikoländer/-waren, Beschwerdekanal und Wirksamkeit prüfen.</t>
  </si>
  <si>
    <t>Zwangs-/Kinderarbeitsindikator, kein Abhilfeprozess</t>
  </si>
  <si>
    <t>Sofortige Abhilfe/Exit-Plan und spezifische Garantie/Freistellung.</t>
  </si>
  <si>
    <t>ESG Indemnity, Covenant</t>
  </si>
  <si>
    <t>ESG-07</t>
  </si>
  <si>
    <t>Produktkonformität</t>
  </si>
  <si>
    <t>Sind CE, Produktsicherheit, Kennzeichnung und technische Akten ordnungsgemäß?</t>
  </si>
  <si>
    <t>Konformitätserklärungen, Tests, technische Dossiers, Rückrufe</t>
  </si>
  <si>
    <t>Produktfamilien risikobasiert auf geltende Anforderungen und Nachweise prüfen.</t>
  </si>
  <si>
    <t>Fehlende CE-Unterlage, Sicherheitsmangel, Behördenschreiben</t>
  </si>
  <si>
    <t>Verkaufsstopp/Remediation bewerten und Produktrisiko freistellen.</t>
  </si>
  <si>
    <t>Product Indemnity, Escrow</t>
  </si>
  <si>
    <t>ESG-08</t>
  </si>
  <si>
    <t>Green Claims</t>
  </si>
  <si>
    <t>Sind Umwelt- und Nachhaltigkeitsaussagen nachweisbar und rechtlich vertretbar?</t>
  </si>
  <si>
    <t>Marketingclaims, Zertifikate, LCA, Prüfberichte</t>
  </si>
  <si>
    <t>Claims gegen Evidenz, Scope und Kundenerwartung prüfen.</t>
  </si>
  <si>
    <t>Pauschal 'klimaneutral' ohne belastbare Grundlage</t>
  </si>
  <si>
    <t>Claims korrigieren, Freigabeprozess und Rückstellung für Ansprüche.</t>
  </si>
  <si>
    <t>ESG-09</t>
  </si>
  <si>
    <t>ESG-Datenkontrollen</t>
  </si>
  <si>
    <t>Sind nichtfinanzielle Kennzahlen vollständig, konsistent und prüfbar?</t>
  </si>
  <si>
    <t>Datenmodell, Kontrollen, Quellen, Assurance-Berichte</t>
  </si>
  <si>
    <t>Walkthrough und Reperformance wesentlicher KPIs.</t>
  </si>
  <si>
    <t>Manuelle Zahl ohne Owner, geänderte Definition ohne Restatement</t>
  </si>
  <si>
    <t>Kontrollrahmen und Data Owners im 100-Tage-Plan etablieren.</t>
  </si>
  <si>
    <t>REA-01</t>
  </si>
  <si>
    <t>Real Estate &amp; Assets</t>
  </si>
  <si>
    <t>Eigentum</t>
  </si>
  <si>
    <t>Sind Eigentum, Belastungen und Nutzungsrechte an Immobilien klar?</t>
  </si>
  <si>
    <t>Grundbuch, Kaufverträge, Dienstbarkeiten, Lagepläne</t>
  </si>
  <si>
    <t>Title Review, Grenzen, Zugänge und Belastungen prüfen.</t>
  </si>
  <si>
    <t>Wegerecht fehlt, Grundschuld nicht freigegeben</t>
  </si>
  <si>
    <t>Title Cure/Freigabe als Closing-Bedingung und Freistellung.</t>
  </si>
  <si>
    <t>REA-02</t>
  </si>
  <si>
    <t>Mietverträge</t>
  </si>
  <si>
    <t>Sind Standorte langfristig nutzbar und Mietkosten vollständig?</t>
  </si>
  <si>
    <t>Mietverträge, Nachträge, Nebenkosten, Bürgschaften</t>
  </si>
  <si>
    <t>Laufzeit, Optionen, Indexierung, CoC, Instandhaltung und Dilapidation.</t>
  </si>
  <si>
    <t>Kurzfristiger Ablauf am Hauptstandort, hohe Nachholung Nebenkosten</t>
  </si>
  <si>
    <t>Verlängerung/Consent sichern und Stand-alone-Mietkosten modellieren.</t>
  </si>
  <si>
    <t>REA-03</t>
  </si>
  <si>
    <t>Baurecht &amp; Nutzung</t>
  </si>
  <si>
    <t>Entsprechen Nutzung, Umbauten und Anlagen öffentlich-rechtlichen Vorgaben?</t>
  </si>
  <si>
    <t>Baugenehmigungen, Nutzungsfreigaben, Brandschutz</t>
  </si>
  <si>
    <t>Soll-/Ist-Nutzung und offene Auflagen mit Sachverständigen prüfen.</t>
  </si>
  <si>
    <t>Ungenehmigter Umbau, Brandschutzmangel, Nutzungsuntersagung</t>
  </si>
  <si>
    <t>Legalisierung/Remediation vor Closing oder Kostenfreistellung.</t>
  </si>
  <si>
    <t>REA-04</t>
  </si>
  <si>
    <t>Anlagenregister</t>
  </si>
  <si>
    <t>Existieren wesentliche Anlagen, gehören sie dem Ziel und sind sie werthaltig?</t>
  </si>
  <si>
    <t>Anlagenregister, Rechnungen, Leasing, Inventur</t>
  </si>
  <si>
    <t>Site-Stichprobe, Seriennummern, Eigentum und Impairment prüfen.</t>
  </si>
  <si>
    <t>Verkauftes/geleastes Asset als Eigentum, Phantom Asset</t>
  </si>
  <si>
    <t>Register bereinigen und Kaufpreis/Capex anpassen.</t>
  </si>
  <si>
    <t>Asset Warranty</t>
  </si>
  <si>
    <t>REA-05</t>
  </si>
  <si>
    <t>Stilllegung</t>
  </si>
  <si>
    <t>Bestehen Rückbau-, Wiederherstellungs- oder Standortschließungspflichten?</t>
  </si>
  <si>
    <t>Miet-/Genehmigungsauflagen, Rückbaukalkulation, Rückstellungen</t>
  </si>
  <si>
    <t>Scope, Zeitpunkt, Inflation und Sicherheiten bewerten.</t>
  </si>
  <si>
    <t>Keine Rückstellung trotz vertraglicher Rückbaupflicht</t>
  </si>
  <si>
    <t>Barwert als debt-like berücksichtigen oder Freistellung vereinbaren.</t>
  </si>
  <si>
    <t>INS-01</t>
  </si>
  <si>
    <t>Insurance</t>
  </si>
  <si>
    <t>Deckungslandkarte</t>
  </si>
  <si>
    <t>Decken Versicherungen wesentliche Betriebs-, Haftungs- und Cyberrisiken ab?</t>
  </si>
  <si>
    <t>Policen, Summen, Selbstbehalte, Broker Report</t>
  </si>
  <si>
    <t>Risiko-zu-Deckung-Mapping und Benchmark nach Umsatz/Exposure.</t>
  </si>
  <si>
    <t>Wesentliches Risiko unversichert, sehr niedrige Sublimits</t>
  </si>
  <si>
    <t>Gap Cover/Neudeckung ab Closing und Kosten im Plan vorsehen.</t>
  </si>
  <si>
    <t>INS-02</t>
  </si>
  <si>
    <t>Schadenhistorie</t>
  </si>
  <si>
    <t>Zeigt die Schadenhistorie wiederkehrende oder nicht gemeldete Risiken?</t>
  </si>
  <si>
    <t>Claims Runs 5 Jahre, Reserven, Ablehnungen</t>
  </si>
  <si>
    <t>Frequenz/Schwere, IBNR und Root Cause analysieren.</t>
  </si>
  <si>
    <t>Steigende Schäden, verspätete Meldung, Deckungsablehnung</t>
  </si>
  <si>
    <t>Reserve/Freistellung und Präventionsprogramm umsetzen.</t>
  </si>
  <si>
    <t>INS-03</t>
  </si>
  <si>
    <t>Ausschlüsse</t>
  </si>
  <si>
    <t>Begrenzen Ausschlüsse, Sublimits oder Obliegenheiten die erwartete Deckung?</t>
  </si>
  <si>
    <t>Policenbedingungen, Endorsements, Risikoangaben</t>
  </si>
  <si>
    <t>Kritische Szenarien gegen Wortlaut und Compliance mit Obliegenheiten testen.</t>
  </si>
  <si>
    <t>Cyber/USA/Produktrückruf ausgeschlossen, falsche Risikoangabe</t>
  </si>
  <si>
    <t>Spezialdeckung beschaffen und Verkäuferfreistellung für Vorrisiken.</t>
  </si>
  <si>
    <t>INS-04</t>
  </si>
  <si>
    <t>Kontrollwechsel</t>
  </si>
  <si>
    <t>Bleibt Deckung nach Signing/Closing bestehen?</t>
  </si>
  <si>
    <t>CoC-Klauseln, Brokerbestätigung, lokale Policen</t>
  </si>
  <si>
    <t>Run-off, Kündigung, Prämien und Zustimmung je Police prüfen.</t>
  </si>
  <si>
    <t>Automatisches Ende bei CoC, claims-made ohne Tail</t>
  </si>
  <si>
    <t>Tail/Run-off und neue Deckung als Closing Deliverable.</t>
  </si>
  <si>
    <t>Tail Policy</t>
  </si>
  <si>
    <t>INS-05</t>
  </si>
  <si>
    <t>D&amp;O/W&amp;I</t>
  </si>
  <si>
    <t>Sind Organ- und Transaktionsrisiken angemessen über D&amp;O/W&amp;I strukturiert?</t>
  </si>
  <si>
    <t>D&amp;O, W&amp;I-Entwurf, Due-Diligence-Reports, Ausschlüsse</t>
  </si>
  <si>
    <t>Versicherungsumfang, Ausschlüsse und Knowledge Scrape abgleichen.</t>
  </si>
  <si>
    <t>Bekanntes Risiko ausgeschlossen und im SPA ungesichert</t>
  </si>
  <si>
    <t>Bekannte Risiken separat freistellen; D&amp;O-Tail und W&amp;I-Lücken schließen.</t>
  </si>
  <si>
    <t>W&amp;I, Indemnity</t>
  </si>
  <si>
    <t>CMP-01</t>
  </si>
  <si>
    <t>Compliance, AML &amp; Sanctions</t>
  </si>
  <si>
    <t>Compliance-System</t>
  </si>
  <si>
    <t>Ist das Compliance Management System risikoadäquat und wirksam?</t>
  </si>
  <si>
    <t>Risikoanalyse, Policies, Kontrollen, Berichte, Ressourcen</t>
  </si>
  <si>
    <t>Design/Operating Effectiveness und Tone from the Top prüfen.</t>
  </si>
  <si>
    <t>Papierprogramm ohne Monitoring, Compliance berichtet an Vertrieb</t>
  </si>
  <si>
    <t>Unabhängige Remediation, klare Governance und Ressourcen festlegen.</t>
  </si>
  <si>
    <t>Compliance Covenant</t>
  </si>
  <si>
    <t>CMP-02</t>
  </si>
  <si>
    <t>Anti-Korruption</t>
  </si>
  <si>
    <t>Sind Geschenke, Vermittler, Spenden und öffentliche Kontakte kontrolliert?</t>
  </si>
  <si>
    <t>Zahlungen, Drittparteien, Freigaben, Untersuchungen</t>
  </si>
  <si>
    <t>Risikobasierte Transaktions- und Drittparteien-Stichprobe.</t>
  </si>
  <si>
    <t>Erfolgsprovision an Offshore-Agent, Bargeld, fehlende Leistung</t>
  </si>
  <si>
    <t>Forensische Untersuchung, Zahlungen stoppen und Freistellung/No-go prüfen.</t>
  </si>
  <si>
    <t>Indemnity, Termination Right</t>
  </si>
  <si>
    <t>CMP-03</t>
  </si>
  <si>
    <t>AML/KYC</t>
  </si>
  <si>
    <t>Erfüllen Kunden-/Partnerprüfungen geldwäscherechtliche Anforderungen?</t>
  </si>
  <si>
    <t>KYC-Fälle, UBO, Risiko-Scoring, Monitoring, Verdachtsmeldungen</t>
  </si>
  <si>
    <t>File Testing nach Risiko; Screening- und Refresh-Logik prüfen.</t>
  </si>
  <si>
    <t>Fehlender UBO, Hochrisikokunde ohne EDD, Alert Backlog</t>
  </si>
  <si>
    <t>Backlog schließen, Kunden sperren und regulatorisches Exposure absichern.</t>
  </si>
  <si>
    <t>AML Indemnity, Covenant</t>
  </si>
  <si>
    <t>S09</t>
  </si>
  <si>
    <t>CMP-04</t>
  </si>
  <si>
    <t>Sanktionen</t>
  </si>
  <si>
    <t>Werden Kunden, Lieferanten, Eigentümer und Zahlungen wirksam gescreent?</t>
  </si>
  <si>
    <t>Screening-System, Treffer, Listen, Overrides, Zahlungsdaten</t>
  </si>
  <si>
    <t>List Coverage, Fuzzy Matching, Frequenz und Fallstichprobe.</t>
  </si>
  <si>
    <t>Geschäft mit gelisteter Partei, manuell unterdrückter Treffer</t>
  </si>
  <si>
    <t>Sofortige Sperre/Legal Review, Meldung und spezifische Freistellung.</t>
  </si>
  <si>
    <t>Sanctions Indemnity</t>
  </si>
  <si>
    <t>CMP-05</t>
  </si>
  <si>
    <t>Exportkontrolle</t>
  </si>
  <si>
    <t>Sind Güterklassifikation, Endverwendung und Genehmigungen korrekt?</t>
  </si>
  <si>
    <t>Güterlisten, ECCN/AL, End-Use, Lizenzen, Zollunterlagen</t>
  </si>
  <si>
    <t>Produkt-/Transaktionsstichprobe und Embargo-/Dual-use-Prüfung.</t>
  </si>
  <si>
    <t>Unklassifiziertes Dual-use-Produkt, fehlende Genehmigung</t>
  </si>
  <si>
    <t>Lieferstopp, Klassifizierung und Genehmigungs-/Freistellungsplan.</t>
  </si>
  <si>
    <t>Export Indemnity</t>
  </si>
  <si>
    <t>CMP-06</t>
  </si>
  <si>
    <t>Hinweisgebersystem</t>
  </si>
  <si>
    <t>Ist der Meldekanal zugänglich, vertraulich und ohne Repressalien?</t>
  </si>
  <si>
    <t>Meldekanal, Fallregister, Untersuchungsakten, Kommunikation</t>
  </si>
  <si>
    <t>Fallstichprobe auf Triage, Unabhängigkeit, Frist und Abhilfe.</t>
  </si>
  <si>
    <t>Management schließt eigenen Fall, Vergeltungsmaßnahme</t>
  </si>
  <si>
    <t>Unabhängige Re-Review kritischer Fälle und Governance stärken.</t>
  </si>
  <si>
    <t>S12</t>
  </si>
  <si>
    <t>CMP-07</t>
  </si>
  <si>
    <t>Drittparteien</t>
  </si>
  <si>
    <t>Werden Intermediäre, Distributoren und Hochrisikolieferanten vorab geprüft?</t>
  </si>
  <si>
    <t>Due-Diligence-Files, Verträge, Provisionen, Renewals</t>
  </si>
  <si>
    <t>Risikobasiertes File Testing und Abgleich mit Zahlungen.</t>
  </si>
  <si>
    <t>Provision ohne Vertrag/Leistung, PEP-Bezug nicht erkannt</t>
  </si>
  <si>
    <t>Beziehung pausieren, Untersuchung und Kontroll-/Vertragsremediation.</t>
  </si>
  <si>
    <t>CMP-08</t>
  </si>
  <si>
    <t>Sind Nebentätigkeiten, Beteiligungen und Related Parties deklariert?</t>
  </si>
  <si>
    <t>Conflict Register, jährliche Erklärungen, Vendor Master</t>
  </si>
  <si>
    <t>Erklärungen mit Eigentümer-/Lieferantendaten abgleichen.</t>
  </si>
  <si>
    <t>Manager kontrolliert Lieferanten, keine Ausschreibung</t>
  </si>
  <si>
    <t>Konflikt beseitigen, Transaktionen prüfen und Rückforderung/Freistellung.</t>
  </si>
  <si>
    <t>CMP-09</t>
  </si>
  <si>
    <t>Untersuchungen</t>
  </si>
  <si>
    <t>Sind interne und behördliche Untersuchungen vollständig offengelegt?</t>
  </si>
  <si>
    <t>Case List, Dawn-Raid-Protokolle, Behördenkorrespondenz</t>
  </si>
  <si>
    <t>Scope, Legal Privilege, Findings, Remediation und Folgehaftung prüfen.</t>
  </si>
  <si>
    <t>Laufende unangekündigte Ermittlung, Managementbeteiligung</t>
  </si>
  <si>
    <t>Unabhängige Untersuchung und klare No-go-/Freistellungsentscheidung.</t>
  </si>
  <si>
    <t>Termination Right, Indemnity</t>
  </si>
  <si>
    <t>INT-01</t>
  </si>
  <si>
    <t>Carve-out &amp; Integration</t>
  </si>
  <si>
    <t>Abhängigkeiten</t>
  </si>
  <si>
    <t>Sind alle personellen, vertraglichen, IT- und operativen Abhängigkeiten vom Verkäufer erfasst?</t>
  </si>
  <si>
    <t>Dependency Map, Servicekatalog, Verträge, Kostenumlagen</t>
  </si>
  <si>
    <t>Bottom-up Interviews und Abgleich mit Zahlungen/Systemzugriffen.</t>
  </si>
  <si>
    <t>Nicht dokumentierter Shared Service, Schlüsselperson bleibt beim Verkäufer</t>
  </si>
  <si>
    <t>Dependency Register mit Exit-Lösung, Kosten und Owner im TSA verankern.</t>
  </si>
  <si>
    <t>INT-02</t>
  </si>
  <si>
    <t>TSA-Umfang</t>
  </si>
  <si>
    <t>Deckt das TSA alle für Business Continuity erforderlichen Services ab?</t>
  </si>
  <si>
    <t>TSA-Entwurf, Service Levels, Volumen, Standorte</t>
  </si>
  <si>
    <t>Service-by-service Scope, SLA, Security, Kosten und Verantwortungen prüfen.</t>
  </si>
  <si>
    <t>Kritischer Service fehlt, Best-efforts ohne SLA</t>
  </si>
  <si>
    <t>TSA vervollständigen und messbare SLA/Remedies vereinbaren.</t>
  </si>
  <si>
    <t>TSA</t>
  </si>
  <si>
    <t>INT-03</t>
  </si>
  <si>
    <t>TSA-Exit</t>
  </si>
  <si>
    <t>Ist der Ausstieg aus Übergangsleistungen realistisch finanziert und terminiert?</t>
  </si>
  <si>
    <t>Exit-Plan, Meilensteine, Ressourcen, Anbieterangebote</t>
  </si>
  <si>
    <t>Critical Path, Datenmigration, Tests und Parallelbetrieb challengen.</t>
  </si>
  <si>
    <t>Enddatum vor Systemmigration, keine Ressourcen/Anbieter</t>
  </si>
  <si>
    <t>Exit-Kriterien, Verlängerungsrechte und Verkäuferunterstützung vertraglich sichern.</t>
  </si>
  <si>
    <t>TSA Extension, Holdback</t>
  </si>
  <si>
    <t>INT-04</t>
  </si>
  <si>
    <t>Stand-alone-Kosten</t>
  </si>
  <si>
    <t>Sind Kosten nach Herauslösung vollständig und ohne Verkäufer-Synergien modelliert?</t>
  </si>
  <si>
    <t>Umlagen, FTE, Lizenzen, Einkauf, Versicherung, IT</t>
  </si>
  <si>
    <t>Bottom-up Cost Build und Benchmark gegen Umlagen/Peers.</t>
  </si>
  <si>
    <t>Umlage als Stand-alone-Kosten übernommen, fehlende Corporate Functions</t>
  </si>
  <si>
    <t>Bewertung um dis-synergies/Catch-up-Kosten anpassen.</t>
  </si>
  <si>
    <t>Purchase Price Adjustment</t>
  </si>
  <si>
    <t>INT-05</t>
  </si>
  <si>
    <t>Separation Costs</t>
  </si>
  <si>
    <t>Sind einmalige Trennungs- und Transformationskosten vollständig?</t>
  </si>
  <si>
    <t>Projektplan, Angebote, Migration, Branding, Berater</t>
  </si>
  <si>
    <t>Workstream-basierte Cost-to-Achieve-Range mit Contingency.</t>
  </si>
  <si>
    <t>Keine Datenmigration/Parallelbetrieb budgetiert</t>
  </si>
  <si>
    <t>Kosten und Puffer in Finanzierung/Kaufpreis aufnehmen.</t>
  </si>
  <si>
    <t>Holdback, Cost Sharing</t>
  </si>
  <si>
    <t>INT-06</t>
  </si>
  <si>
    <t>Day 1 Readiness</t>
  </si>
  <si>
    <t>Sind kritische Prozesse, Zugriffe, Konten und Entscheidungen für Day 1 vorbereitet?</t>
  </si>
  <si>
    <t>Day-1-Checklist, Cutover, RACI, Kommunikationsplan</t>
  </si>
  <si>
    <t>Tabletop über Order-to-Cash, Pay, Payroll, IT und Compliance.</t>
  </si>
  <si>
    <t>Kein Bankzugriff, Payroll/Versicherung nicht aktiv</t>
  </si>
  <si>
    <t>Go-live-Gates, War Room und Fallbacks mit Verantwortlichen festlegen.</t>
  </si>
  <si>
    <t>Closing Deliverables</t>
  </si>
  <si>
    <t>INT-07</t>
  </si>
  <si>
    <t>Synergien</t>
  </si>
  <si>
    <t>Sind Umsatz- und Kostensynergien separat, realistisch und umsetzungskostenbereinigt?</t>
  </si>
  <si>
    <t>Synergy Case, Baselines, Initiativen, Owner, Costs-to-achieve</t>
  </si>
  <si>
    <t>Doppelzählungen, Timing, Churn/Dis-synergies und Confidence prüfen.</t>
  </si>
  <si>
    <t>Synergie ohne Initiative/Owner, vor Closing im Ziel-EBITDA</t>
  </si>
  <si>
    <t>Synergien risikogewichten und nicht als Target-QoE behandeln.</t>
  </si>
  <si>
    <t>INT-08</t>
  </si>
  <si>
    <t>People Integration</t>
  </si>
  <si>
    <t>Sind Retention, Mitbestimmung, Kultur und Zielorganisation abgestimmt?</t>
  </si>
  <si>
    <t>Talent Map, Org Design, Retention, Kommunikations-/Konsultationsplan</t>
  </si>
  <si>
    <t>Schlüsselrollen, Doppelbesetzung, Fluktuationsrisiko und Fristen prüfen.</t>
  </si>
  <si>
    <t>Keine Führungsentscheidung, konkurrierende Retention-Angebote</t>
  </si>
  <si>
    <t>Führung/Retention vor Closing klären und sensible Kommunikation timen.</t>
  </si>
  <si>
    <t>Retention, Covenant</t>
  </si>
  <si>
    <t>INT-09</t>
  </si>
  <si>
    <t>Integration Governance</t>
  </si>
  <si>
    <t>Gibt es klare Entscheidungsrechte, Baselines und Benefit Tracking?</t>
  </si>
  <si>
    <t>IMO-Charter, RACI, Workstreams, KPI, Risiko-/Entscheidungslog</t>
  </si>
  <si>
    <t>Governance gegen Deal Thesis und kritischen Pfad prüfen.</t>
  </si>
  <si>
    <t>Kein Baseline Owner, Entscheidungen ohne Eskalationsweg</t>
  </si>
  <si>
    <t>IMO/SteerCo mit KPI, Cadence und Eskalation vor Day 1 aktivieren.</t>
  </si>
  <si>
    <t>ID</t>
  </si>
  <si>
    <t>Prüfbereich</t>
  </si>
  <si>
    <t>Unterbereich</t>
  </si>
  <si>
    <t>Prüfziel / Prüffrage</t>
  </si>
  <si>
    <t>Benötigte Unterlagen / Daten</t>
  </si>
  <si>
    <t>Empfohlene Analyse</t>
  </si>
  <si>
    <t>Typische Red Flags</t>
  </si>
  <si>
    <t>Priorität</t>
  </si>
  <si>
    <t>Status</t>
  </si>
  <si>
    <t>Verantwortlich</t>
  </si>
  <si>
    <t>Fälligkeit</t>
  </si>
  <si>
    <t>Eintritt (1–5)</t>
  </si>
  <si>
    <t>Auswirkung (1–5)</t>
  </si>
  <si>
    <t>Risikoscore</t>
  </si>
  <si>
    <t>Risikoklasse</t>
  </si>
  <si>
    <t>Feststellung / Evidenz</t>
  </si>
  <si>
    <t>Maßnahmenvorschlag</t>
  </si>
  <si>
    <t>Deal-Implikation</t>
  </si>
  <si>
    <t>Kaufpreiseffekt (€)</t>
  </si>
  <si>
    <t>SPA-/Schutzmechanismus</t>
  </si>
  <si>
    <t>Dokument-/Q&amp;A-Referenz</t>
  </si>
  <si>
    <t>Quelle</t>
  </si>
  <si>
    <t>Letzte Aktualisierung</t>
  </si>
  <si>
    <t>Reviewer</t>
  </si>
  <si>
    <t>Dokumentenanforderung / VDR-Tracker</t>
  </si>
  <si>
    <t>Aus der Master-Checkliste abgeleitete Request List. Eine Zeile kann bei Bedarf in einzelne Dateien/Datenpakete aufgeteilt werden.</t>
  </si>
  <si>
    <t>DOC-001</t>
  </si>
  <si>
    <t>Aktuell; historische Fälle soweit relevant</t>
  </si>
  <si>
    <t>M&amp;A / Legal</t>
  </si>
  <si>
    <t>DOC-002</t>
  </si>
  <si>
    <t>DOC-003</t>
  </si>
  <si>
    <t>DOC-004</t>
  </si>
  <si>
    <t>DOC-005</t>
  </si>
  <si>
    <t>DOC-006</t>
  </si>
  <si>
    <t>DOC-007</t>
  </si>
  <si>
    <t>DOC-008</t>
  </si>
  <si>
    <t>DOC-009</t>
  </si>
  <si>
    <t>Legal / Corporate</t>
  </si>
  <si>
    <t>DOC-010</t>
  </si>
  <si>
    <t>DOC-011</t>
  </si>
  <si>
    <t>DOC-012</t>
  </si>
  <si>
    <t>DOC-013</t>
  </si>
  <si>
    <t>DOC-014</t>
  </si>
  <si>
    <t>DOC-015</t>
  </si>
  <si>
    <t>DOC-016</t>
  </si>
  <si>
    <t>DOC-017</t>
  </si>
  <si>
    <t>DOC-018</t>
  </si>
  <si>
    <t>Letzte 3–5 Jahre und LTM</t>
  </si>
  <si>
    <t>CFO / Finance</t>
  </si>
  <si>
    <t>DOC-019</t>
  </si>
  <si>
    <t>DOC-020</t>
  </si>
  <si>
    <t>DOC-021</t>
  </si>
  <si>
    <t>DOC-022</t>
  </si>
  <si>
    <t>DOC-023</t>
  </si>
  <si>
    <t>DOC-024</t>
  </si>
  <si>
    <t>DOC-025</t>
  </si>
  <si>
    <t>DOC-026</t>
  </si>
  <si>
    <t>DOC-027</t>
  </si>
  <si>
    <t>DOC-028</t>
  </si>
  <si>
    <t>DOC-029</t>
  </si>
  <si>
    <t>DOC-030</t>
  </si>
  <si>
    <t>DOC-031</t>
  </si>
  <si>
    <t>DOC-032</t>
  </si>
  <si>
    <t>DOC-033</t>
  </si>
  <si>
    <t>DOC-034</t>
  </si>
  <si>
    <t>Sales / Strategy</t>
  </si>
  <si>
    <t>DOC-035</t>
  </si>
  <si>
    <t>DOC-036</t>
  </si>
  <si>
    <t>DOC-037</t>
  </si>
  <si>
    <t>DOC-038</t>
  </si>
  <si>
    <t>DOC-039</t>
  </si>
  <si>
    <t>DOC-040</t>
  </si>
  <si>
    <t>DOC-041</t>
  </si>
  <si>
    <t>DOC-042</t>
  </si>
  <si>
    <t>DOC-043</t>
  </si>
  <si>
    <t>DOC-044</t>
  </si>
  <si>
    <t>DOC-045</t>
  </si>
  <si>
    <t>DOC-046</t>
  </si>
  <si>
    <t>DOC-047</t>
  </si>
  <si>
    <t>DOC-048</t>
  </si>
  <si>
    <t>DOC-049</t>
  </si>
  <si>
    <t>DOC-050</t>
  </si>
  <si>
    <t>DOC-051</t>
  </si>
  <si>
    <t>DOC-052</t>
  </si>
  <si>
    <t>DOC-053</t>
  </si>
  <si>
    <t>DOC-054</t>
  </si>
  <si>
    <t>DOC-055</t>
  </si>
  <si>
    <t>DOC-056</t>
  </si>
  <si>
    <t>DOC-057</t>
  </si>
  <si>
    <t>DOC-058</t>
  </si>
  <si>
    <t>DOC-059</t>
  </si>
  <si>
    <t>DOC-060</t>
  </si>
  <si>
    <t>DOC-061</t>
  </si>
  <si>
    <t>DOC-062</t>
  </si>
  <si>
    <t>DOC-063</t>
  </si>
  <si>
    <t>DOC-064</t>
  </si>
  <si>
    <t>DOC-065</t>
  </si>
  <si>
    <t>DOC-066</t>
  </si>
  <si>
    <t>DOC-067</t>
  </si>
  <si>
    <t>DOC-068</t>
  </si>
  <si>
    <t>COO</t>
  </si>
  <si>
    <t>DOC-069</t>
  </si>
  <si>
    <t>DOC-070</t>
  </si>
  <si>
    <t>DOC-071</t>
  </si>
  <si>
    <t>DOC-072</t>
  </si>
  <si>
    <t>DOC-073</t>
  </si>
  <si>
    <t>DOC-074</t>
  </si>
  <si>
    <t>DOC-075</t>
  </si>
  <si>
    <t>DOC-076</t>
  </si>
  <si>
    <t>DOC-077</t>
  </si>
  <si>
    <t>Procurement / SCM</t>
  </si>
  <si>
    <t>DOC-078</t>
  </si>
  <si>
    <t>DOC-079</t>
  </si>
  <si>
    <t>DOC-080</t>
  </si>
  <si>
    <t>DOC-081</t>
  </si>
  <si>
    <t>DOC-082</t>
  </si>
  <si>
    <t>DOC-083</t>
  </si>
  <si>
    <t>DOC-084</t>
  </si>
  <si>
    <t>CIO / CISO</t>
  </si>
  <si>
    <t>DOC-085</t>
  </si>
  <si>
    <t>DOC-086</t>
  </si>
  <si>
    <t>DOC-087</t>
  </si>
  <si>
    <t>DOC-088</t>
  </si>
  <si>
    <t>DOC-089</t>
  </si>
  <si>
    <t>DOC-090</t>
  </si>
  <si>
    <t>DOC-091</t>
  </si>
  <si>
    <t>DOC-092</t>
  </si>
  <si>
    <t>DOC-093</t>
  </si>
  <si>
    <t>DOC-094</t>
  </si>
  <si>
    <t>DOC-095</t>
  </si>
  <si>
    <t>DOC-096</t>
  </si>
  <si>
    <t>DPO / Legal</t>
  </si>
  <si>
    <t>DOC-097</t>
  </si>
  <si>
    <t>DOC-098</t>
  </si>
  <si>
    <t>DOC-099</t>
  </si>
  <si>
    <t>DOC-100</t>
  </si>
  <si>
    <t>DOC-101</t>
  </si>
  <si>
    <t>DOC-102</t>
  </si>
  <si>
    <t>DOC-103</t>
  </si>
  <si>
    <t>HR</t>
  </si>
  <si>
    <t>DOC-104</t>
  </si>
  <si>
    <t>DOC-105</t>
  </si>
  <si>
    <t>DOC-106</t>
  </si>
  <si>
    <t>DOC-107</t>
  </si>
  <si>
    <t>DOC-108</t>
  </si>
  <si>
    <t>DOC-109</t>
  </si>
  <si>
    <t>DOC-110</t>
  </si>
  <si>
    <t>DOC-111</t>
  </si>
  <si>
    <t>DOC-112</t>
  </si>
  <si>
    <t>DOC-113</t>
  </si>
  <si>
    <t>Legal / CTO</t>
  </si>
  <si>
    <t>DOC-114</t>
  </si>
  <si>
    <t>DOC-115</t>
  </si>
  <si>
    <t>DOC-116</t>
  </si>
  <si>
    <t>DOC-117</t>
  </si>
  <si>
    <t>DOC-118</t>
  </si>
  <si>
    <t>DOC-119</t>
  </si>
  <si>
    <t>DOC-120</t>
  </si>
  <si>
    <t>EHS / ESG / Quality</t>
  </si>
  <si>
    <t>DOC-121</t>
  </si>
  <si>
    <t>DOC-122</t>
  </si>
  <si>
    <t>DOC-123</t>
  </si>
  <si>
    <t>DOC-124</t>
  </si>
  <si>
    <t>DOC-125</t>
  </si>
  <si>
    <t>DOC-126</t>
  </si>
  <si>
    <t>DOC-127</t>
  </si>
  <si>
    <t>DOC-128</t>
  </si>
  <si>
    <t>DOC-129</t>
  </si>
  <si>
    <t>Facilities / Legal</t>
  </si>
  <si>
    <t>DOC-130</t>
  </si>
  <si>
    <t>DOC-131</t>
  </si>
  <si>
    <t>DOC-132</t>
  </si>
  <si>
    <t>DOC-133</t>
  </si>
  <si>
    <t>DOC-134</t>
  </si>
  <si>
    <t>Risk / Finance</t>
  </si>
  <si>
    <t>DOC-135</t>
  </si>
  <si>
    <t>DOC-136</t>
  </si>
  <si>
    <t>DOC-137</t>
  </si>
  <si>
    <t>DOC-138</t>
  </si>
  <si>
    <t>DOC-139</t>
  </si>
  <si>
    <t>Compliance</t>
  </si>
  <si>
    <t>DOC-140</t>
  </si>
  <si>
    <t>DOC-141</t>
  </si>
  <si>
    <t>DOC-142</t>
  </si>
  <si>
    <t>DOC-143</t>
  </si>
  <si>
    <t>DOC-144</t>
  </si>
  <si>
    <t>DOC-145</t>
  </si>
  <si>
    <t>DOC-146</t>
  </si>
  <si>
    <t>DOC-147</t>
  </si>
  <si>
    <t>DOC-148</t>
  </si>
  <si>
    <t>PMO / Separation</t>
  </si>
  <si>
    <t>DOC-149</t>
  </si>
  <si>
    <t>DOC-150</t>
  </si>
  <si>
    <t>DOC-151</t>
  </si>
  <si>
    <t>DOC-152</t>
  </si>
  <si>
    <t>DOC-153</t>
  </si>
  <si>
    <t>DOC-154</t>
  </si>
  <si>
    <t>DOC-155</t>
  </si>
  <si>
    <t>DOC-156</t>
  </si>
  <si>
    <t>Dok-ID</t>
  </si>
  <si>
    <t>Unterlage / Datensatz</t>
  </si>
  <si>
    <t>Zeitraum / Scope</t>
  </si>
  <si>
    <t>Analysezweck</t>
  </si>
  <si>
    <t>Pflicht?</t>
  </si>
  <si>
    <t>Owner Zielunternehmen</t>
  </si>
  <si>
    <t>Angefordert am</t>
  </si>
  <si>
    <t>Fällig am</t>
  </si>
  <si>
    <t>Erhalten am</t>
  </si>
  <si>
    <t>Vollständigkeit</t>
  </si>
  <si>
    <t>VDR-Pfad / Link</t>
  </si>
  <si>
    <t>Checklisten-Ref.</t>
  </si>
  <si>
    <t>Offene Punkte</t>
  </si>
  <si>
    <t>Tage überfällig</t>
  </si>
  <si>
    <t>Risikoregister</t>
  </si>
  <si>
    <t>Vorausgefüllte Prüfhypothesen – ausdrücklich keine bestätigten Findings. Eintritt, Auswirkung und Exposure erst nach Evidenz bewerten.</t>
  </si>
  <si>
    <t>R-001</t>
  </si>
  <si>
    <t>R-002</t>
  </si>
  <si>
    <t>R-003</t>
  </si>
  <si>
    <t>R-004</t>
  </si>
  <si>
    <t>R-005</t>
  </si>
  <si>
    <t>R-006</t>
  </si>
  <si>
    <t>R-007</t>
  </si>
  <si>
    <t>R-008</t>
  </si>
  <si>
    <t>R-009</t>
  </si>
  <si>
    <t>R-010</t>
  </si>
  <si>
    <t>R-011</t>
  </si>
  <si>
    <t>R-012</t>
  </si>
  <si>
    <t>R-013</t>
  </si>
  <si>
    <t>R-014</t>
  </si>
  <si>
    <t>R-015</t>
  </si>
  <si>
    <t>R-016</t>
  </si>
  <si>
    <t>R-017</t>
  </si>
  <si>
    <t>R-018</t>
  </si>
  <si>
    <t>R-019</t>
  </si>
  <si>
    <t>R-020</t>
  </si>
  <si>
    <t>R-021</t>
  </si>
  <si>
    <t>R-022</t>
  </si>
  <si>
    <t>R-023</t>
  </si>
  <si>
    <t>R-024</t>
  </si>
  <si>
    <t>R-025</t>
  </si>
  <si>
    <t>R-026</t>
  </si>
  <si>
    <t>R-027</t>
  </si>
  <si>
    <t>R-028</t>
  </si>
  <si>
    <t>R-029</t>
  </si>
  <si>
    <t>R-030</t>
  </si>
  <si>
    <t>R-031</t>
  </si>
  <si>
    <t>R-032</t>
  </si>
  <si>
    <t>R-033</t>
  </si>
  <si>
    <t>R-034</t>
  </si>
  <si>
    <t>R-035</t>
  </si>
  <si>
    <t>R-036</t>
  </si>
  <si>
    <t>R-037</t>
  </si>
  <si>
    <t>R-038</t>
  </si>
  <si>
    <t>R-039</t>
  </si>
  <si>
    <t>R-040</t>
  </si>
  <si>
    <t>R-041</t>
  </si>
  <si>
    <t>R-042</t>
  </si>
  <si>
    <t>R-043</t>
  </si>
  <si>
    <t>R-044</t>
  </si>
  <si>
    <t>R-045</t>
  </si>
  <si>
    <t>R-046</t>
  </si>
  <si>
    <t>R-047</t>
  </si>
  <si>
    <t>R-048</t>
  </si>
  <si>
    <t>R-049</t>
  </si>
  <si>
    <t>R-050</t>
  </si>
  <si>
    <t>R-051</t>
  </si>
  <si>
    <t>R-052</t>
  </si>
  <si>
    <t>R-053</t>
  </si>
  <si>
    <t>R-054</t>
  </si>
  <si>
    <t>R-055</t>
  </si>
  <si>
    <t>R-056</t>
  </si>
  <si>
    <t>R-057</t>
  </si>
  <si>
    <t>R-058</t>
  </si>
  <si>
    <t>R-059</t>
  </si>
  <si>
    <t>R-060</t>
  </si>
  <si>
    <t>Risiko-ID</t>
  </si>
  <si>
    <t>Prüfhypothese / Szenario</t>
  </si>
  <si>
    <t>Indikatoren / benötigte Evidenz</t>
  </si>
  <si>
    <t>Analyse / Test</t>
  </si>
  <si>
    <t>Bewertungsstatus</t>
  </si>
  <si>
    <t>Score</t>
  </si>
  <si>
    <t>Klasse</t>
  </si>
  <si>
    <t>Exposure Low (€)</t>
  </si>
  <si>
    <t>Exposure Base (€)</t>
  </si>
  <si>
    <t>Exposure High (€)</t>
  </si>
  <si>
    <t>Gegenmaßnahme</t>
  </si>
  <si>
    <t>Owner</t>
  </si>
  <si>
    <t>Maßnahmenstatus</t>
  </si>
  <si>
    <t>Transaktionsfolge</t>
  </si>
  <si>
    <t>Resteintritt</t>
  </si>
  <si>
    <t>Restauswirkung</t>
  </si>
  <si>
    <t>Restscore</t>
  </si>
  <si>
    <t>Restklasse</t>
  </si>
  <si>
    <t>Entscheidung / Kommentar</t>
  </si>
  <si>
    <t>Maßnahmenplan</t>
  </si>
  <si>
    <t>Vorschläge werden erst nach Bestätigung eines Findings aktiviert. Jede aktive Maßnahme benötigt Owner, Termin und messbares Abnahmekriterium.</t>
  </si>
  <si>
    <t>M-001</t>
  </si>
  <si>
    <t>R-001 / TRX-01</t>
  </si>
  <si>
    <t>SPA / Signing</t>
  </si>
  <si>
    <t>Maßnahme für TRX-01 dokumentiert, fachlich abgenommen und durch belastbare Evidenz geschlossen.</t>
  </si>
  <si>
    <t>Evidenz im VDR; Reviewer-Freigabe</t>
  </si>
  <si>
    <t>Fristüberschreitung oder Score ≥17</t>
  </si>
  <si>
    <t>M-002</t>
  </si>
  <si>
    <t>R-002 / TRX-02</t>
  </si>
  <si>
    <t>Pre-Signing</t>
  </si>
  <si>
    <t>Maßnahme für TRX-02 dokumentiert, fachlich abgenommen und durch belastbare Evidenz geschlossen.</t>
  </si>
  <si>
    <t>M-003</t>
  </si>
  <si>
    <t>R-003 / TRX-05</t>
  </si>
  <si>
    <t>Maßnahme für TRX-05 dokumentiert, fachlich abgenommen und durch belastbare Evidenz geschlossen.</t>
  </si>
  <si>
    <t>M-004</t>
  </si>
  <si>
    <t>R-004 / TRX-08</t>
  </si>
  <si>
    <t>Maßnahme für TRX-08 dokumentiert, fachlich abgenommen und durch belastbare Evidenz geschlossen.</t>
  </si>
  <si>
    <t>M-005</t>
  </si>
  <si>
    <t>R-005 / COR-01</t>
  </si>
  <si>
    <t>Maßnahme für COR-01 dokumentiert, fachlich abgenommen und durch belastbare Evidenz geschlossen.</t>
  </si>
  <si>
    <t>M-006</t>
  </si>
  <si>
    <t>R-006 / COR-02</t>
  </si>
  <si>
    <t>Maßnahme für COR-02 dokumentiert, fachlich abgenommen und durch belastbare Evidenz geschlossen.</t>
  </si>
  <si>
    <t>M-007</t>
  </si>
  <si>
    <t>R-007 / COR-03</t>
  </si>
  <si>
    <t>Maßnahme für COR-03 dokumentiert, fachlich abgenommen und durch belastbare Evidenz geschlossen.</t>
  </si>
  <si>
    <t>M-008</t>
  </si>
  <si>
    <t>R-008 / COR-05</t>
  </si>
  <si>
    <t>Maßnahme für COR-05 dokumentiert, fachlich abgenommen und durch belastbare Evidenz geschlossen.</t>
  </si>
  <si>
    <t>M-009</t>
  </si>
  <si>
    <t>R-009 / COR-07</t>
  </si>
  <si>
    <t>Day 1 / 100 Tage</t>
  </si>
  <si>
    <t>Maßnahme für COR-07 dokumentiert, fachlich abgenommen und durch belastbare Evidenz geschlossen.</t>
  </si>
  <si>
    <t>M-010</t>
  </si>
  <si>
    <t>R-010 / FIN-01</t>
  </si>
  <si>
    <t>Maßnahme für FIN-01 dokumentiert, fachlich abgenommen und durch belastbare Evidenz geschlossen.</t>
  </si>
  <si>
    <t>M-011</t>
  </si>
  <si>
    <t>R-011 / FIN-03</t>
  </si>
  <si>
    <t>Maßnahme für FIN-03 dokumentiert, fachlich abgenommen und durch belastbare Evidenz geschlossen.</t>
  </si>
  <si>
    <t>M-012</t>
  </si>
  <si>
    <t>R-012 / FIN-04</t>
  </si>
  <si>
    <t>Maßnahme für FIN-04 dokumentiert, fachlich abgenommen und durch belastbare Evidenz geschlossen.</t>
  </si>
  <si>
    <t>M-013</t>
  </si>
  <si>
    <t>R-013 / FIN-05</t>
  </si>
  <si>
    <t>Maßnahme für FIN-05 dokumentiert, fachlich abgenommen und durch belastbare Evidenz geschlossen.</t>
  </si>
  <si>
    <t>M-014</t>
  </si>
  <si>
    <t>R-014 / FIN-07</t>
  </si>
  <si>
    <t>Maßnahme für FIN-07 dokumentiert, fachlich abgenommen und durch belastbare Evidenz geschlossen.</t>
  </si>
  <si>
    <t>M-015</t>
  </si>
  <si>
    <t>R-015 / FIN-08</t>
  </si>
  <si>
    <t>Maßnahme für FIN-08 dokumentiert, fachlich abgenommen und durch belastbare Evidenz geschlossen.</t>
  </si>
  <si>
    <t>M-016</t>
  </si>
  <si>
    <t>R-016 / FIN-09</t>
  </si>
  <si>
    <t>Maßnahme für FIN-09 dokumentiert, fachlich abgenommen und durch belastbare Evidenz geschlossen.</t>
  </si>
  <si>
    <t>M-017</t>
  </si>
  <si>
    <t>R-017 / FIN-11</t>
  </si>
  <si>
    <t>Maßnahme für FIN-11 dokumentiert, fachlich abgenommen und durch belastbare Evidenz geschlossen.</t>
  </si>
  <si>
    <t>M-018</t>
  </si>
  <si>
    <t>R-018 / FIN-13</t>
  </si>
  <si>
    <t>Maßnahme für FIN-13 dokumentiert, fachlich abgenommen und durch belastbare Evidenz geschlossen.</t>
  </si>
  <si>
    <t>M-019</t>
  </si>
  <si>
    <t>R-019 / FIN-15</t>
  </si>
  <si>
    <t>Maßnahme für FIN-15 dokumentiert, fachlich abgenommen und durch belastbare Evidenz geschlossen.</t>
  </si>
  <si>
    <t>M-020</t>
  </si>
  <si>
    <t>R-020 / COM-03</t>
  </si>
  <si>
    <t>Maßnahme für COM-03 dokumentiert, fachlich abgenommen und durch belastbare Evidenz geschlossen.</t>
  </si>
  <si>
    <t>M-021</t>
  </si>
  <si>
    <t>R-021 / COM-05</t>
  </si>
  <si>
    <t>Maßnahme für COM-05 dokumentiert, fachlich abgenommen und durch belastbare Evidenz geschlossen.</t>
  </si>
  <si>
    <t>M-022</t>
  </si>
  <si>
    <t>R-022 / TAX-01</t>
  </si>
  <si>
    <t>Maßnahme für TAX-01 dokumentiert, fachlich abgenommen und durch belastbare Evidenz geschlossen.</t>
  </si>
  <si>
    <t>M-023</t>
  </si>
  <si>
    <t>R-023 / TAX-02</t>
  </si>
  <si>
    <t>Maßnahme für TAX-02 dokumentiert, fachlich abgenommen und durch belastbare Evidenz geschlossen.</t>
  </si>
  <si>
    <t>M-024</t>
  </si>
  <si>
    <t>R-024 / TAX-04</t>
  </si>
  <si>
    <t>Maßnahme für TAX-04 dokumentiert, fachlich abgenommen und durch belastbare Evidenz geschlossen.</t>
  </si>
  <si>
    <t>M-025</t>
  </si>
  <si>
    <t>R-025 / TAX-05</t>
  </si>
  <si>
    <t>Maßnahme für TAX-05 dokumentiert, fachlich abgenommen und durch belastbare Evidenz geschlossen.</t>
  </si>
  <si>
    <t>M-026</t>
  </si>
  <si>
    <t>R-026 / TAX-06</t>
  </si>
  <si>
    <t>Maßnahme für TAX-06 dokumentiert, fachlich abgenommen und durch belastbare Evidenz geschlossen.</t>
  </si>
  <si>
    <t>M-027</t>
  </si>
  <si>
    <t>R-027 / TAX-09</t>
  </si>
  <si>
    <t>Maßnahme für TAX-09 dokumentiert, fachlich abgenommen und durch belastbare Evidenz geschlossen.</t>
  </si>
  <si>
    <t>M-028</t>
  </si>
  <si>
    <t>R-028 / TAX-11</t>
  </si>
  <si>
    <t>Maßnahme für TAX-11 dokumentiert, fachlich abgenommen und durch belastbare Evidenz geschlossen.</t>
  </si>
  <si>
    <t>M-029</t>
  </si>
  <si>
    <t>R-029 / LEG-01</t>
  </si>
  <si>
    <t>Maßnahme für LEG-01 dokumentiert, fachlich abgenommen und durch belastbare Evidenz geschlossen.</t>
  </si>
  <si>
    <t>M-030</t>
  </si>
  <si>
    <t>R-030 / LEG-03</t>
  </si>
  <si>
    <t>Maßnahme für LEG-03 dokumentiert, fachlich abgenommen und durch belastbare Evidenz geschlossen.</t>
  </si>
  <si>
    <t>M-031</t>
  </si>
  <si>
    <t>R-031 / LEG-04</t>
  </si>
  <si>
    <t>Maßnahme für LEG-04 dokumentiert, fachlich abgenommen und durch belastbare Evidenz geschlossen.</t>
  </si>
  <si>
    <t>M-032</t>
  </si>
  <si>
    <t>R-032 / LEG-05</t>
  </si>
  <si>
    <t>Maßnahme für LEG-05 dokumentiert, fachlich abgenommen und durch belastbare Evidenz geschlossen.</t>
  </si>
  <si>
    <t>M-033</t>
  </si>
  <si>
    <t>R-033 / LEG-06</t>
  </si>
  <si>
    <t>Maßnahme für LEG-06 dokumentiert, fachlich abgenommen und durch belastbare Evidenz geschlossen.</t>
  </si>
  <si>
    <t>M-034</t>
  </si>
  <si>
    <t>R-034 / LEG-07</t>
  </si>
  <si>
    <t>Maßnahme für LEG-07 dokumentiert, fachlich abgenommen und durch belastbare Evidenz geschlossen.</t>
  </si>
  <si>
    <t>M-035</t>
  </si>
  <si>
    <t>R-035 / LEG-08</t>
  </si>
  <si>
    <t>Maßnahme für LEG-08 dokumentiert, fachlich abgenommen und durch belastbare Evidenz geschlossen.</t>
  </si>
  <si>
    <t>M-036</t>
  </si>
  <si>
    <t>R-036 / LEG-11</t>
  </si>
  <si>
    <t>Maßnahme für LEG-11 dokumentiert, fachlich abgenommen und durch belastbare Evidenz geschlossen.</t>
  </si>
  <si>
    <t>M-037</t>
  </si>
  <si>
    <t>R-037 / OPS-02</t>
  </si>
  <si>
    <t>Maßnahme für OPS-02 dokumentiert, fachlich abgenommen und durch belastbare Evidenz geschlossen.</t>
  </si>
  <si>
    <t>M-038</t>
  </si>
  <si>
    <t>R-038 / OPS-03</t>
  </si>
  <si>
    <t>Maßnahme für OPS-03 dokumentiert, fachlich abgenommen und durch belastbare Evidenz geschlossen.</t>
  </si>
  <si>
    <t>M-039</t>
  </si>
  <si>
    <t>R-039 / OPS-05</t>
  </si>
  <si>
    <t>Maßnahme für OPS-05 dokumentiert, fachlich abgenommen und durch belastbare Evidenz geschlossen.</t>
  </si>
  <si>
    <t>M-040</t>
  </si>
  <si>
    <t>R-040 / OPS-06</t>
  </si>
  <si>
    <t>Maßnahme für OPS-06 dokumentiert, fachlich abgenommen und durch belastbare Evidenz geschlossen.</t>
  </si>
  <si>
    <t>M-041</t>
  </si>
  <si>
    <t>R-041 / SUP-01</t>
  </si>
  <si>
    <t>Maßnahme für SUP-01 dokumentiert, fachlich abgenommen und durch belastbare Evidenz geschlossen.</t>
  </si>
  <si>
    <t>M-042</t>
  </si>
  <si>
    <t>R-042 / SUP-04</t>
  </si>
  <si>
    <t>Maßnahme für SUP-04 dokumentiert, fachlich abgenommen und durch belastbare Evidenz geschlossen.</t>
  </si>
  <si>
    <t>M-043</t>
  </si>
  <si>
    <t>R-043 / SUP-06</t>
  </si>
  <si>
    <t>Maßnahme für SUP-06 dokumentiert, fachlich abgenommen und durch belastbare Evidenz geschlossen.</t>
  </si>
  <si>
    <t>M-044</t>
  </si>
  <si>
    <t>R-044 / IT-02</t>
  </si>
  <si>
    <t>Maßnahme für IT-02 dokumentiert, fachlich abgenommen und durch belastbare Evidenz geschlossen.</t>
  </si>
  <si>
    <t>M-045</t>
  </si>
  <si>
    <t>R-045 / IT-03</t>
  </si>
  <si>
    <t>Maßnahme für IT-03 dokumentiert, fachlich abgenommen und durch belastbare Evidenz geschlossen.</t>
  </si>
  <si>
    <t>M-046</t>
  </si>
  <si>
    <t>R-046 / IT-04</t>
  </si>
  <si>
    <t>Maßnahme für IT-04 dokumentiert, fachlich abgenommen und durch belastbare Evidenz geschlossen.</t>
  </si>
  <si>
    <t>M-047</t>
  </si>
  <si>
    <t>R-047 / IT-05</t>
  </si>
  <si>
    <t>Maßnahme für IT-05 dokumentiert, fachlich abgenommen und durch belastbare Evidenz geschlossen.</t>
  </si>
  <si>
    <t>M-048</t>
  </si>
  <si>
    <t>R-048 / IT-06</t>
  </si>
  <si>
    <t>Maßnahme für IT-06 dokumentiert, fachlich abgenommen und durch belastbare Evidenz geschlossen.</t>
  </si>
  <si>
    <t>M-049</t>
  </si>
  <si>
    <t>R-049 / IT-07</t>
  </si>
  <si>
    <t>Maßnahme für IT-07 dokumentiert, fachlich abgenommen und durch belastbare Evidenz geschlossen.</t>
  </si>
  <si>
    <t>M-050</t>
  </si>
  <si>
    <t>R-050 / IT-09</t>
  </si>
  <si>
    <t>Maßnahme für IT-09 dokumentiert, fachlich abgenommen und durch belastbare Evidenz geschlossen.</t>
  </si>
  <si>
    <t>M-051</t>
  </si>
  <si>
    <t>R-051 / IT-10</t>
  </si>
  <si>
    <t>Maßnahme für IT-10 dokumentiert, fachlich abgenommen und durch belastbare Evidenz geschlossen.</t>
  </si>
  <si>
    <t>M-052</t>
  </si>
  <si>
    <t>R-052 / IT-11</t>
  </si>
  <si>
    <t>Maßnahme für IT-11 dokumentiert, fachlich abgenommen und durch belastbare Evidenz geschlossen.</t>
  </si>
  <si>
    <t>M-053</t>
  </si>
  <si>
    <t>R-053 / IT-12</t>
  </si>
  <si>
    <t>Maßnahme für IT-12 dokumentiert, fachlich abgenommen und durch belastbare Evidenz geschlossen.</t>
  </si>
  <si>
    <t>M-054</t>
  </si>
  <si>
    <t>R-054 / DAT-02</t>
  </si>
  <si>
    <t>Maßnahme für DAT-02 dokumentiert, fachlich abgenommen und durch belastbare Evidenz geschlossen.</t>
  </si>
  <si>
    <t>M-055</t>
  </si>
  <si>
    <t>R-055 / DAT-03</t>
  </si>
  <si>
    <t>Maßnahme für DAT-03 dokumentiert, fachlich abgenommen und durch belastbare Evidenz geschlossen.</t>
  </si>
  <si>
    <t>M-056</t>
  </si>
  <si>
    <t>R-056 / DAT-05</t>
  </si>
  <si>
    <t>Maßnahme für DAT-05 dokumentiert, fachlich abgenommen und durch belastbare Evidenz geschlossen.</t>
  </si>
  <si>
    <t>M-057</t>
  </si>
  <si>
    <t>R-057 / DAT-06</t>
  </si>
  <si>
    <t>Maßnahme für DAT-06 dokumentiert, fachlich abgenommen und durch belastbare Evidenz geschlossen.</t>
  </si>
  <si>
    <t>M-058</t>
  </si>
  <si>
    <t>R-058 / HR-03</t>
  </si>
  <si>
    <t>Maßnahme für HR-03 dokumentiert, fachlich abgenommen und durch belastbare Evidenz geschlossen.</t>
  </si>
  <si>
    <t>M-059</t>
  </si>
  <si>
    <t>R-059 / HR-04</t>
  </si>
  <si>
    <t>Maßnahme für HR-04 dokumentiert, fachlich abgenommen und durch belastbare Evidenz geschlossen.</t>
  </si>
  <si>
    <t>M-060</t>
  </si>
  <si>
    <t>R-060 / HR-06</t>
  </si>
  <si>
    <t>Maßnahme für HR-06 dokumentiert, fachlich abgenommen und durch belastbare Evidenz geschlossen.</t>
  </si>
  <si>
    <t>Maßnahmen-ID</t>
  </si>
  <si>
    <t>Aktivieren?</t>
  </si>
  <si>
    <t>Risiko-/Finding-Ref.</t>
  </si>
  <si>
    <t>Ergebnis / Abnahmekriterium</t>
  </si>
  <si>
    <t>Support</t>
  </si>
  <si>
    <t>Start</t>
  </si>
  <si>
    <t>Fällig</t>
  </si>
  <si>
    <t>Fortschritt</t>
  </si>
  <si>
    <t>Abhängigkeit</t>
  </si>
  <si>
    <t>Budget (€)</t>
  </si>
  <si>
    <t>Erwartete Wirkung</t>
  </si>
  <si>
    <t>KPI / Nachweis</t>
  </si>
  <si>
    <t>Eskalationstrigger</t>
  </si>
  <si>
    <t>Deal-Mechanismus</t>
  </si>
  <si>
    <t>Kommentar</t>
  </si>
  <si>
    <t>Q&amp;A-Tracker</t>
  </si>
  <si>
    <t>Fragen konkret, neutral und entscheidungsorientiert formulieren. Mündliche Antworten schriftlich bestätigen und mit Evidenz verknüpfen.</t>
  </si>
  <si>
    <t>Q-001</t>
  </si>
  <si>
    <t>Q-002</t>
  </si>
  <si>
    <t>Q-003</t>
  </si>
  <si>
    <t>Q-004</t>
  </si>
  <si>
    <t>Q-005</t>
  </si>
  <si>
    <t>Q-006</t>
  </si>
  <si>
    <t>Q-007</t>
  </si>
  <si>
    <t>Q-008</t>
  </si>
  <si>
    <t>Q-009</t>
  </si>
  <si>
    <t>Q-010</t>
  </si>
  <si>
    <t>Q-011</t>
  </si>
  <si>
    <t>Q-012</t>
  </si>
  <si>
    <t>Q-013</t>
  </si>
  <si>
    <t>Q-014</t>
  </si>
  <si>
    <t>Q-015</t>
  </si>
  <si>
    <t>Q-016</t>
  </si>
  <si>
    <t>Q-017</t>
  </si>
  <si>
    <t>Q-018</t>
  </si>
  <si>
    <t>Q-019</t>
  </si>
  <si>
    <t>Q-020</t>
  </si>
  <si>
    <t>Q-021</t>
  </si>
  <si>
    <t>Q-022</t>
  </si>
  <si>
    <t>Q-023</t>
  </si>
  <si>
    <t>Q-024</t>
  </si>
  <si>
    <t>Q-025</t>
  </si>
  <si>
    <t>Q-026</t>
  </si>
  <si>
    <t>Q-027</t>
  </si>
  <si>
    <t>Q-028</t>
  </si>
  <si>
    <t>Q-029</t>
  </si>
  <si>
    <t>Q-030</t>
  </si>
  <si>
    <t>Q-031</t>
  </si>
  <si>
    <t>Q-032</t>
  </si>
  <si>
    <t>Q-033</t>
  </si>
  <si>
    <t>Q-034</t>
  </si>
  <si>
    <t>Q-035</t>
  </si>
  <si>
    <t>Q-036</t>
  </si>
  <si>
    <t>Q-037</t>
  </si>
  <si>
    <t>Q-038</t>
  </si>
  <si>
    <t>Q-039</t>
  </si>
  <si>
    <t>Q-040</t>
  </si>
  <si>
    <t>Q-041</t>
  </si>
  <si>
    <t>Q-042</t>
  </si>
  <si>
    <t>Q-043</t>
  </si>
  <si>
    <t>Q-044</t>
  </si>
  <si>
    <t>Q-045</t>
  </si>
  <si>
    <t>Q-046</t>
  </si>
  <si>
    <t>Q-047</t>
  </si>
  <si>
    <t>Q-048</t>
  </si>
  <si>
    <t>Q-049</t>
  </si>
  <si>
    <t>Q-050</t>
  </si>
  <si>
    <t>Q-051</t>
  </si>
  <si>
    <t>Q-052</t>
  </si>
  <si>
    <t>Q-053</t>
  </si>
  <si>
    <t>Q-054</t>
  </si>
  <si>
    <t>Q-055</t>
  </si>
  <si>
    <t>Q-056</t>
  </si>
  <si>
    <t>Q-057</t>
  </si>
  <si>
    <t>Q-058</t>
  </si>
  <si>
    <t>Q-059</t>
  </si>
  <si>
    <t>Q-060</t>
  </si>
  <si>
    <t>Q-061</t>
  </si>
  <si>
    <t>Q-062</t>
  </si>
  <si>
    <t>Q-063</t>
  </si>
  <si>
    <t>Q-064</t>
  </si>
  <si>
    <t>Q-065</t>
  </si>
  <si>
    <t>Q-066</t>
  </si>
  <si>
    <t>Q-067</t>
  </si>
  <si>
    <t>Q-068</t>
  </si>
  <si>
    <t>Q-069</t>
  </si>
  <si>
    <t>Q-070</t>
  </si>
  <si>
    <t>Q-071</t>
  </si>
  <si>
    <t>Q-072</t>
  </si>
  <si>
    <t>Q-073</t>
  </si>
  <si>
    <t>Q-074</t>
  </si>
  <si>
    <t>Q-075</t>
  </si>
  <si>
    <t>Q-076</t>
  </si>
  <si>
    <t>Q-077</t>
  </si>
  <si>
    <t>Q-078</t>
  </si>
  <si>
    <t>Q-079</t>
  </si>
  <si>
    <t>Q-080</t>
  </si>
  <si>
    <t>Q-081</t>
  </si>
  <si>
    <t>Q-082</t>
  </si>
  <si>
    <t>Q-083</t>
  </si>
  <si>
    <t>Q-084</t>
  </si>
  <si>
    <t>Q-085</t>
  </si>
  <si>
    <t>Q-086</t>
  </si>
  <si>
    <t>Q-087</t>
  </si>
  <si>
    <t>Q-088</t>
  </si>
  <si>
    <t>Q-089</t>
  </si>
  <si>
    <t>Q-090</t>
  </si>
  <si>
    <t>Q-091</t>
  </si>
  <si>
    <t>Q-092</t>
  </si>
  <si>
    <t>Q-093</t>
  </si>
  <si>
    <t>Q-094</t>
  </si>
  <si>
    <t>Q-095</t>
  </si>
  <si>
    <t>Q-096</t>
  </si>
  <si>
    <t>Q-097</t>
  </si>
  <si>
    <t>Q-098</t>
  </si>
  <si>
    <t>Q-099</t>
  </si>
  <si>
    <t>Q-100</t>
  </si>
  <si>
    <t>Q&amp;A-ID</t>
  </si>
  <si>
    <t>Erstellt am</t>
  </si>
  <si>
    <t>Check-/Dok-Ref.</t>
  </si>
  <si>
    <t>Frage</t>
  </si>
  <si>
    <t>Begründung / Entscheidungskontext</t>
  </si>
  <si>
    <t>Empfänger</t>
  </si>
  <si>
    <t>Fragesteller</t>
  </si>
  <si>
    <t>Antwort am</t>
  </si>
  <si>
    <t>Antwort</t>
  </si>
  <si>
    <t>Evidenz / VDR-Link</t>
  </si>
  <si>
    <t>Nachfrage / Next Step</t>
  </si>
  <si>
    <t>Alter (Tage)</t>
  </si>
  <si>
    <t>Überfällig?</t>
  </si>
  <si>
    <t>Finanzanalyse</t>
  </si>
  <si>
    <t>Eingaben positiv erfassen (auch Aufwendungen und Schulden); Formeln ziehen Kosten ab. Periodenbezeichnungen können überschrieben werden.</t>
  </si>
  <si>
    <t>Kennzahl</t>
  </si>
  <si>
    <t>2022A</t>
  </si>
  <si>
    <t>2023A</t>
  </si>
  <si>
    <t>2024A</t>
  </si>
  <si>
    <t>LTM / aktuell</t>
  </si>
  <si>
    <t>Budget</t>
  </si>
  <si>
    <t>Δ LTM vs. 2024</t>
  </si>
  <si>
    <t>Δ LTM vs. Budget</t>
  </si>
  <si>
    <t>Kommentar / Quelle</t>
  </si>
  <si>
    <t>Umsatz</t>
  </si>
  <si>
    <t>Umsatzkosten (COGS)</t>
  </si>
  <si>
    <t>Bruttoergebnis</t>
  </si>
  <si>
    <t>Personalaufwand</t>
  </si>
  <si>
    <t>Sonstige Opex</t>
  </si>
  <si>
    <t>EBITDA berichtet</t>
  </si>
  <si>
    <t>QoE-Anpassungen (netto)</t>
  </si>
  <si>
    <t>EBITDA normalisiert</t>
  </si>
  <si>
    <t>EBITDA-Marge normalisiert</t>
  </si>
  <si>
    <t>Abschreibungen</t>
  </si>
  <si>
    <t>EBIT normalisiert</t>
  </si>
  <si>
    <t>Nettozinsaufwand</t>
  </si>
  <si>
    <t>Jahresergebnis (vereinfachte Sicht)</t>
  </si>
  <si>
    <t>Operativer Cashflow</t>
  </si>
  <si>
    <t>Free Cashflow</t>
  </si>
  <si>
    <t>Cash</t>
  </si>
  <si>
    <t>Finanzschulden</t>
  </si>
  <si>
    <t>Leasingverbindlichkeiten</t>
  </si>
  <si>
    <t>Sonstige debt-like Positionen</t>
  </si>
  <si>
    <t>Vorräte</t>
  </si>
  <si>
    <t>Forderungen L&amp;L</t>
  </si>
  <si>
    <t>Vertragsvermögenswerte</t>
  </si>
  <si>
    <t>Sonstige operative kurzfristige Aktiva</t>
  </si>
  <si>
    <t>Verbindlichkeiten L&amp;L</t>
  </si>
  <si>
    <t>Deferred Revenue / Vertragsverbindlichkeiten</t>
  </si>
  <si>
    <t>Sonstige operative kurzfristige Passiva</t>
  </si>
  <si>
    <t>Net Working Capital</t>
  </si>
  <si>
    <t>NWC in % Umsatz</t>
  </si>
  <si>
    <t>DSO</t>
  </si>
  <si>
    <t>DIO</t>
  </si>
  <si>
    <t>DPO</t>
  </si>
  <si>
    <t>Headcount (FTE)</t>
  </si>
  <si>
    <t>Umsatz je FTE</t>
  </si>
  <si>
    <t>EBITDA je FTE</t>
  </si>
  <si>
    <t>Quality-of-Earnings-Brücke</t>
  </si>
  <si>
    <t>Nur belegte Normalisierungen erfassen. Synergien des Käufers gehören grundsätzlich nicht in das historische normalisierte EBITDA.</t>
  </si>
  <si>
    <t>EBITDA berichtet (LTM)</t>
  </si>
  <si>
    <t>Akzeptierte Anpassungen</t>
  </si>
  <si>
    <t>Anpassungen in % berichtet</t>
  </si>
  <si>
    <t>ADJ-001</t>
  </si>
  <si>
    <t>Einmalkosten</t>
  </si>
  <si>
    <t>Restrukturierung, Rechtsfall oder Transaktionskosten auf echte Einmaligkeit prüfen.</t>
  </si>
  <si>
    <t>+</t>
  </si>
  <si>
    <t>LTM</t>
  </si>
  <si>
    <t>Offen</t>
  </si>
  <si>
    <t>ADJ-002</t>
  </si>
  <si>
    <t>Einmalertrag</t>
  </si>
  <si>
    <t>Versicherungs-/Vergleichsertrag oder Anlagenverkauf aus nachhaltigem Ergebnis entfernen.</t>
  </si>
  <si>
    <t>−</t>
  </si>
  <si>
    <t>ADJ-003</t>
  </si>
  <si>
    <t>Owner / Related Party</t>
  </si>
  <si>
    <t>Vergütung, Miete und Services auf Marktniveau normalisieren.</t>
  </si>
  <si>
    <t>+/−</t>
  </si>
  <si>
    <t>ADJ-004</t>
  </si>
  <si>
    <t>Run-rate</t>
  </si>
  <si>
    <t>Umgesetzte Preis-/Kostenänderung nur ab wirksamen Datum und mit Evidenz annualisieren.</t>
  </si>
  <si>
    <t>ADJ-005</t>
  </si>
  <si>
    <t>Accounting Error</t>
  </si>
  <si>
    <t>Periodenfremde oder fehlerhafte Buchung korrigieren.</t>
  </si>
  <si>
    <t>ADJ-006</t>
  </si>
  <si>
    <t>Unterinvestition</t>
  </si>
  <si>
    <t>Fehlende laufende Kosten oder Maintenance-Aufwand ergänzen.</t>
  </si>
  <si>
    <t>ADJ-007</t>
  </si>
  <si>
    <t>Stand-alone Costs</t>
  </si>
  <si>
    <t>Nach Carve-out notwendige Corporate-/IT-/Insurance-Kosten ergänzen.</t>
  </si>
  <si>
    <t>ADJ-008</t>
  </si>
  <si>
    <t>Synergie</t>
  </si>
  <si>
    <t>Käufer-Synergie separat vom Target-QoE ausweisen.</t>
  </si>
  <si>
    <t>separat</t>
  </si>
  <si>
    <t>ADJ-009</t>
  </si>
  <si>
    <t>FX / Commodity</t>
  </si>
  <si>
    <t>Außergewöhnliche Effekte nur bei klar definierter Normalbasis beurteilen.</t>
  </si>
  <si>
    <t>ADJ-010</t>
  </si>
  <si>
    <t>Kunden-/Vertragsereignis</t>
  </si>
  <si>
    <t>Verlorenen/gewonnenen Großkunden mit Start-/Enddatum und Marge berücksichtigen.</t>
  </si>
  <si>
    <t>ADJ-011</t>
  </si>
  <si>
    <t>Personal</t>
  </si>
  <si>
    <t>Offene Stellen, Bonus, Gehaltsanpassung und Freelancer-Run-rate normalisieren.</t>
  </si>
  <si>
    <t>ADJ-012</t>
  </si>
  <si>
    <t>Jede weitere Anpassung mit Gegenkonto, Cash-Wirkung und Wiederkehr belegen.</t>
  </si>
  <si>
    <t>ADJ-013</t>
  </si>
  <si>
    <t>ADJ-014</t>
  </si>
  <si>
    <t>ADJ-015</t>
  </si>
  <si>
    <t>ADJ-016</t>
  </si>
  <si>
    <t>ADJ-017</t>
  </si>
  <si>
    <t>ADJ-018</t>
  </si>
  <si>
    <t>ADJ-019</t>
  </si>
  <si>
    <t>ADJ-020</t>
  </si>
  <si>
    <t>ADJ-021</t>
  </si>
  <si>
    <t>ADJ-022</t>
  </si>
  <si>
    <t>ADJ-023</t>
  </si>
  <si>
    <t>ADJ-024</t>
  </si>
  <si>
    <t>ADJ-025</t>
  </si>
  <si>
    <t>ADJ-026</t>
  </si>
  <si>
    <t>ADJ-027</t>
  </si>
  <si>
    <t>ADJ-028</t>
  </si>
  <si>
    <t>ADJ-029</t>
  </si>
  <si>
    <t>ADJ-030</t>
  </si>
  <si>
    <t>ADJ-031</t>
  </si>
  <si>
    <t>ADJ-032</t>
  </si>
  <si>
    <t>ADJ-033</t>
  </si>
  <si>
    <t>ADJ-034</t>
  </si>
  <si>
    <t>ADJ-035</t>
  </si>
  <si>
    <t>ADJ-036</t>
  </si>
  <si>
    <t>ADJ-037</t>
  </si>
  <si>
    <t>ADJ-038</t>
  </si>
  <si>
    <t>ADJ-039</t>
  </si>
  <si>
    <t>ADJ-040</t>
  </si>
  <si>
    <t>Adj.-ID</t>
  </si>
  <si>
    <t>Kategorie</t>
  </si>
  <si>
    <t>Prüfansatz / Beschreibung</t>
  </si>
  <si>
    <t>Richtung</t>
  </si>
  <si>
    <t>Periode</t>
  </si>
  <si>
    <t>Management-Betrag (€)</t>
  </si>
  <si>
    <t>DD-Vorschlag (€)</t>
  </si>
  <si>
    <t>Akzeptierter Betrag (€)</t>
  </si>
  <si>
    <t>Evidenz</t>
  </si>
  <si>
    <t>Wiederkehrend?</t>
  </si>
  <si>
    <t>Cash / Non-Cash</t>
  </si>
  <si>
    <t>Konfidenz</t>
  </si>
  <si>
    <t>Quelle / Ref.</t>
  </si>
  <si>
    <t>Net Working Capital &amp; Net Debt</t>
  </si>
  <si>
    <t>Monatswerte als positive Beträge erfassen; der Faktor +1/−1 steuert die NWC-Wirkung. Net-Debt-Positionen separat auf wirtschaftlichen Finanzierungscharakter prüfen.</t>
  </si>
  <si>
    <t>NWC-Monatsanalyse</t>
  </si>
  <si>
    <t>Komponente</t>
  </si>
  <si>
    <t>Faktor</t>
  </si>
  <si>
    <t>Monat -11</t>
  </si>
  <si>
    <t>Monat -10</t>
  </si>
  <si>
    <t>Monat -9</t>
  </si>
  <si>
    <t>Monat -8</t>
  </si>
  <si>
    <t>Monat -7</t>
  </si>
  <si>
    <t>Monat -6</t>
  </si>
  <si>
    <t>Monat -5</t>
  </si>
  <si>
    <t>Monat -4</t>
  </si>
  <si>
    <t>Monat -3</t>
  </si>
  <si>
    <t>Monat -2</t>
  </si>
  <si>
    <t>Monat -1</t>
  </si>
  <si>
    <t>Monat 0</t>
  </si>
  <si>
    <t>Durchschnitt</t>
  </si>
  <si>
    <t>Median</t>
  </si>
  <si>
    <t>Minimum</t>
  </si>
  <si>
    <t>Maximum</t>
  </si>
  <si>
    <t>Kommentar / Definition</t>
  </si>
  <si>
    <t>Vorgeschlagenes NWC-Peg</t>
  </si>
  <si>
    <t>Ausgangspunkt: Median; Saisonalität, Wachstum, Bilanzierungsänderungen und Ausreißer separat würdigen.</t>
  </si>
  <si>
    <t>Net-Debt-/Debt-like-Brücke</t>
  </si>
  <si>
    <t>Frei verfügbares Cash</t>
  </si>
  <si>
    <t>Cash-like</t>
  </si>
  <si>
    <t>Gesperrtes / regulatorisches Cash</t>
  </si>
  <si>
    <t>Excluded cash</t>
  </si>
  <si>
    <t>Bankdarlehen</t>
  </si>
  <si>
    <t>Debt</t>
  </si>
  <si>
    <t>Aufgelaufene Zinsen / Vorfälligkeit</t>
  </si>
  <si>
    <t>Debt-like</t>
  </si>
  <si>
    <t>Gesellschafterdarlehen</t>
  </si>
  <si>
    <t>Factoring / Reverse Factoring</t>
  </si>
  <si>
    <t>Cash Pool Saldo</t>
  </si>
  <si>
    <t>Debt/Cash</t>
  </si>
  <si>
    <t>Unbezahlte Dividenden / Leakage</t>
  </si>
  <si>
    <t>Transaktionsboni</t>
  </si>
  <si>
    <t>Überfällige Steuern / Sozialabgaben</t>
  </si>
  <si>
    <t>Capex-Kreditoren</t>
  </si>
  <si>
    <t>Unterdotierte Pensionen</t>
  </si>
  <si>
    <t>Rechts-/Umweltpositionen</t>
  </si>
  <si>
    <t>Case-by-case</t>
  </si>
  <si>
    <t>Deferred Revenue</t>
  </si>
  <si>
    <t>NWC / Case-by-case</t>
  </si>
  <si>
    <t>Garantien / Bürgschaften</t>
  </si>
  <si>
    <t>Contingent</t>
  </si>
  <si>
    <t>Position</t>
  </si>
  <si>
    <t>Betrag (€)</t>
  </si>
  <si>
    <t>Einbeziehen?</t>
  </si>
  <si>
    <t>Vorzeichen</t>
  </si>
  <si>
    <t>Einbezogener Betrag (€)</t>
  </si>
  <si>
    <t>Begründung</t>
  </si>
  <si>
    <t>SPA-Behandlung</t>
  </si>
  <si>
    <t>Net Debt gesamt</t>
  </si>
  <si>
    <t>Vertragsprüfung</t>
  </si>
  <si>
    <t>Wesentliche Verträge einzeln erfassen. Finanzdaten, Vertragsregister und tatsächliche Durchführung gegeneinander abstimmen.</t>
  </si>
  <si>
    <t>V-001</t>
  </si>
  <si>
    <t>V-002</t>
  </si>
  <si>
    <t>V-003</t>
  </si>
  <si>
    <t>V-004</t>
  </si>
  <si>
    <t>V-005</t>
  </si>
  <si>
    <t>V-006</t>
  </si>
  <si>
    <t>V-007</t>
  </si>
  <si>
    <t>V-008</t>
  </si>
  <si>
    <t>V-009</t>
  </si>
  <si>
    <t>V-010</t>
  </si>
  <si>
    <t>V-011</t>
  </si>
  <si>
    <t>V-012</t>
  </si>
  <si>
    <t>V-013</t>
  </si>
  <si>
    <t>V-014</t>
  </si>
  <si>
    <t>V-015</t>
  </si>
  <si>
    <t>V-016</t>
  </si>
  <si>
    <t>V-017</t>
  </si>
  <si>
    <t>V-018</t>
  </si>
  <si>
    <t>V-019</t>
  </si>
  <si>
    <t>V-020</t>
  </si>
  <si>
    <t>V-021</t>
  </si>
  <si>
    <t>V-022</t>
  </si>
  <si>
    <t>V-023</t>
  </si>
  <si>
    <t>V-024</t>
  </si>
  <si>
    <t>V-025</t>
  </si>
  <si>
    <t>V-026</t>
  </si>
  <si>
    <t>V-027</t>
  </si>
  <si>
    <t>V-028</t>
  </si>
  <si>
    <t>V-029</t>
  </si>
  <si>
    <t>V-030</t>
  </si>
  <si>
    <t>V-031</t>
  </si>
  <si>
    <t>V-032</t>
  </si>
  <si>
    <t>V-033</t>
  </si>
  <si>
    <t>V-034</t>
  </si>
  <si>
    <t>V-035</t>
  </si>
  <si>
    <t>V-036</t>
  </si>
  <si>
    <t>V-037</t>
  </si>
  <si>
    <t>V-038</t>
  </si>
  <si>
    <t>V-039</t>
  </si>
  <si>
    <t>V-040</t>
  </si>
  <si>
    <t>V-041</t>
  </si>
  <si>
    <t>V-042</t>
  </si>
  <si>
    <t>V-043</t>
  </si>
  <si>
    <t>V-044</t>
  </si>
  <si>
    <t>V-045</t>
  </si>
  <si>
    <t>V-046</t>
  </si>
  <si>
    <t>V-047</t>
  </si>
  <si>
    <t>V-048</t>
  </si>
  <si>
    <t>V-049</t>
  </si>
  <si>
    <t>V-050</t>
  </si>
  <si>
    <t>V-051</t>
  </si>
  <si>
    <t>V-052</t>
  </si>
  <si>
    <t>V-053</t>
  </si>
  <si>
    <t>V-054</t>
  </si>
  <si>
    <t>V-055</t>
  </si>
  <si>
    <t>V-056</t>
  </si>
  <si>
    <t>V-057</t>
  </si>
  <si>
    <t>V-058</t>
  </si>
  <si>
    <t>V-059</t>
  </si>
  <si>
    <t>V-060</t>
  </si>
  <si>
    <t>Vertrags-ID</t>
  </si>
  <si>
    <t>Gegenpartei</t>
  </si>
  <si>
    <t>Konzernzuordnung</t>
  </si>
  <si>
    <t>Leistungsgegenstand</t>
  </si>
  <si>
    <t>Jahreswert (€)</t>
  </si>
  <si>
    <t>Marge / Kritikalität</t>
  </si>
  <si>
    <t>Beginn</t>
  </si>
  <si>
    <t>Ende</t>
  </si>
  <si>
    <t>Autom. Verlängerung</t>
  </si>
  <si>
    <t>Kündigungsfrist</t>
  </si>
  <si>
    <t>Abtretung</t>
  </si>
  <si>
    <t>Exklusivität / MFN</t>
  </si>
  <si>
    <t>Mindestabnahme</t>
  </si>
  <si>
    <t>Haftung / Cap</t>
  </si>
  <si>
    <t>Freistellungen</t>
  </si>
  <si>
    <t>SLA / Vertragsstrafe</t>
  </si>
  <si>
    <t>Datenschutz / Security</t>
  </si>
  <si>
    <t>IP-Rechte</t>
  </si>
  <si>
    <t>Rechtswahl / Gerichtsstand</t>
  </si>
  <si>
    <t>Consent nötig?</t>
  </si>
  <si>
    <t>Risiko</t>
  </si>
  <si>
    <t>Maßnahme</t>
  </si>
  <si>
    <t>VDR-Link</t>
  </si>
  <si>
    <t>IT- &amp; Cyber-Vertiefung</t>
  </si>
  <si>
    <t>Vertiefungsmatrix für IT &amp; Cyber. Ergebnisse in die Master-Checkliste und das Risikoregister zurückspiegeln.</t>
  </si>
  <si>
    <t>11-01</t>
  </si>
  <si>
    <t>11-02</t>
  </si>
  <si>
    <t>11-03</t>
  </si>
  <si>
    <t>11-04</t>
  </si>
  <si>
    <t>11-05</t>
  </si>
  <si>
    <t>11-06</t>
  </si>
  <si>
    <t>11-07</t>
  </si>
  <si>
    <t>11-08</t>
  </si>
  <si>
    <t>11-09</t>
  </si>
  <si>
    <t>11-10</t>
  </si>
  <si>
    <t>11-11</t>
  </si>
  <si>
    <t>11-12</t>
  </si>
  <si>
    <t>Thema</t>
  </si>
  <si>
    <t>Prüffrage</t>
  </si>
  <si>
    <t>Test / Analyse</t>
  </si>
  <si>
    <t>Red Flags</t>
  </si>
  <si>
    <t>Reifegrad / Ergebnis</t>
  </si>
  <si>
    <t>Empfohlene Maßnahme</t>
  </si>
  <si>
    <t>Master-Ref.</t>
  </si>
  <si>
    <t>HR- &amp; Pensions-Vertiefung</t>
  </si>
  <si>
    <t>Vertiefungsmatrix für HR &amp; Pensions. Ergebnisse in die Master-Checkliste und das Risikoregister zurückspiegeln.</t>
  </si>
  <si>
    <t>12-01</t>
  </si>
  <si>
    <t>CHRO / HR</t>
  </si>
  <si>
    <t>12-02</t>
  </si>
  <si>
    <t>12-03</t>
  </si>
  <si>
    <t>12-04</t>
  </si>
  <si>
    <t>12-05</t>
  </si>
  <si>
    <t>12-06</t>
  </si>
  <si>
    <t>12-07</t>
  </si>
  <si>
    <t>12-08</t>
  </si>
  <si>
    <t>12-09</t>
  </si>
  <si>
    <t>12-10</t>
  </si>
  <si>
    <t>Tax-Due-Diligence-Vertiefung</t>
  </si>
  <si>
    <t>Vertiefungsmatrix für Tax. Ergebnisse in die Master-Checkliste und das Risikoregister zurückspiegeln.</t>
  </si>
  <si>
    <t>13-01</t>
  </si>
  <si>
    <t>Head of Tax</t>
  </si>
  <si>
    <t>13-02</t>
  </si>
  <si>
    <t>13-03</t>
  </si>
  <si>
    <t>13-04</t>
  </si>
  <si>
    <t>13-05</t>
  </si>
  <si>
    <t>13-06</t>
  </si>
  <si>
    <t>13-07</t>
  </si>
  <si>
    <t>13-08</t>
  </si>
  <si>
    <t>13-09</t>
  </si>
  <si>
    <t>13-10</t>
  </si>
  <si>
    <t>13-11</t>
  </si>
  <si>
    <t>Deal-Mechanismen &amp; Entscheidungshilfe</t>
  </si>
  <si>
    <t>Die Auswahl folgt dem Finding: quantifizieren, Doppelzählungen vermeiden und rechtliche/steuerliche Wirksamkeit prüfen.</t>
  </si>
  <si>
    <t>Kaufpreisanpassung</t>
  </si>
  <si>
    <t>Quantifizierbare Wertabweichung</t>
  </si>
  <si>
    <t>NWC, Net Debt, nicht nachhaltiges EBITDA, Catch-up-Capex</t>
  </si>
  <si>
    <t>Definitionen, Beispielrechnung, Accounting Principles und Streitverfahren präzise regeln.</t>
  </si>
  <si>
    <t>Bewertungsrisiko und Doppelzählung</t>
  </si>
  <si>
    <t>CFO / M&amp;A</t>
  </si>
  <si>
    <t>Locked Box / Leakage</t>
  </si>
  <si>
    <t>Historischer Preisstichtag</t>
  </si>
  <si>
    <t>Belastbare Bilanz, stabile Entwicklung, gute Informationsrechte</t>
  </si>
  <si>
    <t>Permitted Leakage abschließend definieren; Zins und Bring-down berücksichtigen.</t>
  </si>
  <si>
    <t>Risiko nach Locked-Box-Stichtag</t>
  </si>
  <si>
    <t>Legal / Finance</t>
  </si>
  <si>
    <t>Closing Accounts</t>
  </si>
  <si>
    <t>Unsichere Closing-Bilanz</t>
  </si>
  <si>
    <t>Volatiles NWC, Refinanzierung, Carve-out</t>
  </si>
  <si>
    <t>Hierarchie der Regeln und Expert Determination festlegen.</t>
  </si>
  <si>
    <t>Streit über Bilanzierung</t>
  </si>
  <si>
    <t>Finance / Legal</t>
  </si>
  <si>
    <t>Bekanntes Einzelrisiko</t>
  </si>
  <si>
    <t>Steuerprüfung, Rechtsstreit, Umwelt, IP, Cyber</t>
  </si>
  <si>
    <t>Trigger, Laufzeit, Cap, Kontrolle des Verfahrens und Brutto-/Nettoeffekt regeln.</t>
  </si>
  <si>
    <t>Bekanntes Risiko meist aus W&amp;I ausgeschlossen</t>
  </si>
  <si>
    <t>Legal / Tax</t>
  </si>
  <si>
    <t>Escrow / Holdback</t>
  </si>
  <si>
    <t>Unsicheres oder schwer vollstreckbares Risiko</t>
  </si>
  <si>
    <t>Offene Freistellung, TSA-Exit, Kaufpreisstreit</t>
  </si>
  <si>
    <t>Freigabemechanik, Laufzeit und Zugriff klar definieren.</t>
  </si>
  <si>
    <t>Liquiditäts-/Insolvenzrisiko Verkäufer</t>
  </si>
  <si>
    <t>Legal / Treasury</t>
  </si>
  <si>
    <t>Garantie</t>
  </si>
  <si>
    <t>Unbekanntes Risiko / Tatsachenstand</t>
  </si>
  <si>
    <t>Eigentum, Abschlüsse, Compliance, Verträge</t>
  </si>
  <si>
    <t>Knowledge, Materiality Scrape, Disclosure und Haftungsgrenzen abstimmen.</t>
  </si>
  <si>
    <t>Beweis-/Kenntnisrisiko</t>
  </si>
  <si>
    <t>Vor Vollzug zwingend zu lösendes Risiko</t>
  </si>
  <si>
    <t>Genehmigung, Consent, Refinanzierung, Lizenz, Key Person</t>
  </si>
  <si>
    <t>Objektiv messbares Deliverable und Long-stop-Folge bestimmen.</t>
  </si>
  <si>
    <t>Vollzugsrisiko</t>
  </si>
  <si>
    <t>Legal / M&amp;A</t>
  </si>
  <si>
    <t>Verhalten zwischen Signing und Closing bzw. danach</t>
  </si>
  <si>
    <t>Ordinary course, Remediation, Informationspflicht</t>
  </si>
  <si>
    <t>Zustimmungsschwellen, Reporting und Rechtsfolge festlegen.</t>
  </si>
  <si>
    <t>Wertabfluss/Verhaltensrisiko</t>
  </si>
  <si>
    <t>Legal / Business</t>
  </si>
  <si>
    <t>Unsicherheit der künftigen Leistung</t>
  </si>
  <si>
    <t>Kundenkonzentration, Pipeline, Wachstum, Founder Transition</t>
  </si>
  <si>
    <t>KPI manipulationsfest definieren; Governance und Accounting regeln.</t>
  </si>
  <si>
    <t>Streit und Fehlanreize</t>
  </si>
  <si>
    <t>M&amp;A / Finance</t>
  </si>
  <si>
    <t>W&amp;I-Versicherung</t>
  </si>
  <si>
    <t>Übertragung allgemeiner Garantiehaftung</t>
  </si>
  <si>
    <t>Breite DD und marktkonforme Garantien</t>
  </si>
  <si>
    <t>Ausschlüsse und bekannte Risiken separat absichern.</t>
  </si>
  <si>
    <t>Deckungslücken</t>
  </si>
  <si>
    <t>Legal / Insurance</t>
  </si>
  <si>
    <t>Temporäre Verkäuferabhängigkeit</t>
  </si>
  <si>
    <t>IT, Finance, HR, Procurement, Facilities</t>
  </si>
  <si>
    <t>Servicekatalog, SLA, Security, Preis, Exit und Verlängerung regeln.</t>
  </si>
  <si>
    <t>Betriebsunterbrechung</t>
  </si>
  <si>
    <t>Integration / Legal</t>
  </si>
  <si>
    <t>Payoff &amp; Release</t>
  </si>
  <si>
    <t>Ablösung Finanzierung/Sicherheiten</t>
  </si>
  <si>
    <t>Bankdarlehen, Pfandrechte, Garantien</t>
  </si>
  <si>
    <t>Funds Flow, Zins bis Closing und bedingungslose Freigabe koordinieren.</t>
  </si>
  <si>
    <t>Eigentums-/Finanzierungsrisiko</t>
  </si>
  <si>
    <t>Treasury / Legal</t>
  </si>
  <si>
    <t>Abwanderungsrisiko Schlüsselpersonen</t>
  </si>
  <si>
    <t>Founder, Vertrieb, Produkt, Betrieb</t>
  </si>
  <si>
    <t>Zeitraum, Meilensteine, Good/Bad Leaver und Wettbewerbsrecht prüfen.</t>
  </si>
  <si>
    <t>Know-how-/Umsatzverlust</t>
  </si>
  <si>
    <t>HR / Business</t>
  </si>
  <si>
    <t>Preisabschlag / Risikoabschlag</t>
  </si>
  <si>
    <t>Dauerhafte niedrigere Ertragskraft</t>
  </si>
  <si>
    <t>Churn, Marge, Stand-alone-Kosten, Capex</t>
  </si>
  <si>
    <t>Nicht zugleich als Freistellung und Preisabzug doppelt zählen.</t>
  </si>
  <si>
    <t>Bewertungsrisiko</t>
  </si>
  <si>
    <t>Abbruch / No-go</t>
  </si>
  <si>
    <t>Nicht mitigierbares oder illegales Risiko</t>
  </si>
  <si>
    <t>Sanktionen, Korruption, fehlendes Kern-IP, existenzielle Genehmigung</t>
  </si>
  <si>
    <t>Entscheidung anhand vorab definierter Kriterien und dokumentierter Evidenz.</t>
  </si>
  <si>
    <t>Reputations-/Existenzrisiko</t>
  </si>
  <si>
    <t>Investment Committee</t>
  </si>
  <si>
    <t>Mechanismus</t>
  </si>
  <si>
    <t>Geeignet für</t>
  </si>
  <si>
    <t>Typische Anwendungsfälle</t>
  </si>
  <si>
    <t>Zentrale Ausgestaltung</t>
  </si>
  <si>
    <t>Adressiertes Risiko</t>
  </si>
  <si>
    <t>Federführung</t>
  </si>
  <si>
    <t>Konkrete Entscheidung / Bezug</t>
  </si>
  <si>
    <t>Quellen &amp; methodische Hinweise</t>
  </si>
  <si>
    <t>Quellen dienen als Startpunkt. Für konkrete Entscheidungen sind aktuelle Primärquellen und qualifizierte Fachberater heranzuziehen.</t>
  </si>
  <si>
    <t>Due-Diligence-Prüfung – Überblick</t>
  </si>
  <si>
    <t>Wikipedia</t>
  </si>
  <si>
    <t>https://de.wikipedia.org/wiki/Due-Diligence-Pr%C3%BCfung</t>
  </si>
  <si>
    <t>Begriffe, Ziele und Prüfungsarten</t>
  </si>
  <si>
    <t>Sekundärquelle; fachlich verifizieren</t>
  </si>
  <si>
    <t>Due-Diligence-Prüfung</t>
  </si>
  <si>
    <t>Validatis</t>
  </si>
  <si>
    <t>https://www.validatis.de/kyc-prozess/news-fachwissen/due-diligence-pruefung/</t>
  </si>
  <si>
    <t>Ablauf und Bericht</t>
  </si>
  <si>
    <t>Praxisüberblick</t>
  </si>
  <si>
    <t>Deal Advisory / Due Diligence</t>
  </si>
  <si>
    <t>BDO Deutschland</t>
  </si>
  <si>
    <t>https://www.bdo.de/de-de/services/advisory/deal-advisory/due-diligence</t>
  </si>
  <si>
    <t>Prüfungsbereiche und Transaktionsbezug</t>
  </si>
  <si>
    <t>S04</t>
  </si>
  <si>
    <t>Due-Diligence-Prüfungen</t>
  </si>
  <si>
    <t>Schultze &amp; Braun</t>
  </si>
  <si>
    <t>https://www.schultze-braun.de/leistungen/wirtschaftspruefung/due-diligence-pruefungen</t>
  </si>
  <si>
    <t>Zweck und Prüfungsfelder</t>
  </si>
  <si>
    <t>Due-Diligence-Ablauf</t>
  </si>
  <si>
    <t>Sattler &amp; Partner</t>
  </si>
  <si>
    <t>https://sattlerundpartner.de/de/due-diligence-ablauf/</t>
  </si>
  <si>
    <t>Projektablauf und Phasen</t>
  </si>
  <si>
    <t>Datenschutz-Grundverordnung</t>
  </si>
  <si>
    <t>EUR-Lex</t>
  </si>
  <si>
    <t>https://eur-lex.europa.eu/eli/reg/2016/679/oj</t>
  </si>
  <si>
    <t>Datenschutzprüfung</t>
  </si>
  <si>
    <t>Primärrecht; aktuelle Fassung prüfen</t>
  </si>
  <si>
    <t>Cybersecurity Framework 2.0</t>
  </si>
  <si>
    <t>NIST</t>
  </si>
  <si>
    <t>https://www.nist.gov/cyberframework</t>
  </si>
  <si>
    <t>Cyber-Governance und Kontrollen</t>
  </si>
  <si>
    <t>Frei zugänglicher Standard</t>
  </si>
  <si>
    <t>IT-Grundschutz</t>
  </si>
  <si>
    <t>BSI</t>
  </si>
  <si>
    <t>https://www.bsi.bund.de/grundschutz</t>
  </si>
  <si>
    <t>IT-Sicherheitsmethodik</t>
  </si>
  <si>
    <t>Frei zugängliche Methodik</t>
  </si>
  <si>
    <t>Gesetze im Internet – GwG</t>
  </si>
  <si>
    <t>BMJ/BfJ</t>
  </si>
  <si>
    <t>https://www.gesetze-im-internet.de/gwg_2017/</t>
  </si>
  <si>
    <t>Primärquelle; aktuelle Fassung prüfen</t>
  </si>
  <si>
    <t>Transfer Pricing Guidelines</t>
  </si>
  <si>
    <t>OECD</t>
  </si>
  <si>
    <t>https://www.oecd.org/tax/transfer-pricing/oecd-transfer-pricing-guidelines-for-multinational-enterprises-and-tax-administrations-20769717.htm</t>
  </si>
  <si>
    <t>Internationale Leitlinie</t>
  </si>
  <si>
    <t>S11</t>
  </si>
  <si>
    <t>Due Diligence – Grundlagen</t>
  </si>
  <si>
    <t>Buchhaltung einfach sicher</t>
  </si>
  <si>
    <t>https://www.buchhaltung-einfach-sicher.de/bwl/due-diligence</t>
  </si>
  <si>
    <t>Prüfungsbereiche</t>
  </si>
  <si>
    <t>Sekundärquelle</t>
  </si>
  <si>
    <t>Hinweisgeberschutzgesetz</t>
  </si>
  <si>
    <t>https://www.gesetze-im-internet.de/hinschg/</t>
  </si>
  <si>
    <t>OECD Guidelines for Multinational Enterprises</t>
  </si>
  <si>
    <t>https://mneguidelines.oecd.org/</t>
  </si>
  <si>
    <t>ESG, Menschenrechte und Lieferkette</t>
  </si>
  <si>
    <t>Corporate sustainability reporting</t>
  </si>
  <si>
    <t>Europäische Kommission</t>
  </si>
  <si>
    <t>https://finance.ec.europa.eu/capital-markets-union-and-financial-markets/company-reporting-and-auditing/company-reporting/corporate-sustainability-reporting_en</t>
  </si>
  <si>
    <t>Nachhaltigkeitsberichterstattung</t>
  </si>
  <si>
    <t>Anwendungsbereich stets aktuell prüfen</t>
  </si>
  <si>
    <t>S15</t>
  </si>
  <si>
    <t>Due Diligence – Videoeinführung</t>
  </si>
  <si>
    <t>YouTube</t>
  </si>
  <si>
    <t>https://www.youtube.com/watch?v=fP3Nzk8h5iw&amp;t=157</t>
  </si>
  <si>
    <t>Ergänzende Einführung</t>
  </si>
  <si>
    <t>Keine Primärquelle</t>
  </si>
  <si>
    <t>Quellen-ID</t>
  </si>
  <si>
    <t>Titel</t>
  </si>
  <si>
    <t>Herausgeber</t>
  </si>
  <si>
    <t>URL</t>
  </si>
  <si>
    <t>Verwendung</t>
  </si>
  <si>
    <t>Hinweis</t>
  </si>
  <si>
    <t>Abrufdatum</t>
  </si>
  <si>
    <t>Due-Diligence-Dashboard</t>
  </si>
  <si>
    <t>Automatische Übersicht aus Checkliste, Dokumenten-, Risiko- und Maßnahmenregistern. Excel berechnet die Kennzahlen beim Öffnen neu.</t>
  </si>
  <si>
    <t>Transaktion</t>
  </si>
  <si>
    <t>Stichtag</t>
  </si>
  <si>
    <t>Checklistenpunkte</t>
  </si>
  <si>
    <t>Prüfpunkte gesamt</t>
  </si>
  <si>
    <t>Risiko unbewertet</t>
  </si>
  <si>
    <t>Hoch / kritisch</t>
  </si>
  <si>
    <t>Kritische Doks offen</t>
  </si>
  <si>
    <t>Maßnahmen überfällig</t>
  </si>
  <si>
    <t>Exposure Base</t>
  </si>
  <si>
    <t>Fortschritt nach Prüfbereich</t>
  </si>
  <si>
    <t>Umfang</t>
  </si>
  <si>
    <t>Unbewertet</t>
  </si>
  <si>
    <t>Hoch/kritisch</t>
  </si>
  <si>
    <t>Entscheidungs-Gates</t>
  </si>
  <si>
    <t>Gate</t>
  </si>
  <si>
    <t>Leitfrage</t>
  </si>
  <si>
    <t>G1</t>
  </si>
  <si>
    <t>Sind Deal Perimeter und Eigentum zweifelsfrei?</t>
  </si>
  <si>
    <t>G2</t>
  </si>
  <si>
    <t>Sind normalisiertes EBITDA, Net Debt und NWC belastbar?</t>
  </si>
  <si>
    <t>G3</t>
  </si>
  <si>
    <t>Sind Genehmigungen, Consents und Finanzierung auf kritischem Pfad gesichert?</t>
  </si>
  <si>
    <t>G4</t>
  </si>
  <si>
    <t>Sind wesentliche Legal-, Tax-, Compliance-, Cyber- und ESG-Risiken mitigiert?</t>
  </si>
  <si>
    <t>G5</t>
  </si>
  <si>
    <t>Sind Day 1, TSA und Schlüsselpersonen einsatzbereit?</t>
  </si>
  <si>
    <t>G6</t>
  </si>
  <si>
    <t>Ist der verbleibende Downside innerhalb der genehmigten Risikotoleranz?</t>
  </si>
  <si>
    <t>Ausfüllhilfe &amp; Feldhandbuch</t>
  </si>
  <si>
    <t>Startpunkt für die Bearbeitung: Tabellen filtern, gewünschtes Arbeitsblatt öffnen und Hinweise in den kommentierten Spaltenköpfen beachten.</t>
  </si>
  <si>
    <t>Schnellstart</t>
  </si>
  <si>
    <t>1</t>
  </si>
  <si>
    <t>Im Blatt 00_Start Zielunternehmen, Deal-Typ, Stichtag, Projektleitung, Währung und Materialität festlegen.</t>
  </si>
  <si>
    <t>2</t>
  </si>
  <si>
    <t>In 03_Dokumente die Request List versenden, Owner und Fristen setzen; Datenqualität und VDR-Pfade laufend pflegen.</t>
  </si>
  <si>
    <t>3</t>
  </si>
  <si>
    <t>In 02_Checkliste Status, Evidenz und Analyse dokumentieren. Ein Finding erst nach nachvollziehbarer Primärevidenz erfassen.</t>
  </si>
  <si>
    <t>4</t>
  </si>
  <si>
    <t>Bestätigte Risiken nach 04_Risiken übertragen bzw. dort bewerten: Eintritt, Auswirkung und Exposure Low/Base/High getrennt bestimmen.</t>
  </si>
  <si>
    <t>5</t>
  </si>
  <si>
    <t>In 05_Maßnahmen nur passende Vorschläge aktivieren; genau einen Owner, Termin, Budget, KPI und ein messbares Abnahmekriterium festlegen.</t>
  </si>
  <si>
    <t>6</t>
  </si>
  <si>
    <t>Dashboard und Entscheidungs-Gates vor Signing/Closing reviewen; Preis-, SPA-, Finanzierungs- und Integrationsfolgen beschließen.</t>
  </si>
  <si>
    <t>Farben und Bedienung</t>
  </si>
  <si>
    <t>Gelb</t>
  </si>
  <si>
    <t>Eingabe oder aktiv zu bestätigende Auswahl</t>
  </si>
  <si>
    <t>Hellblau</t>
  </si>
  <si>
    <t>Automatische Formel – nicht überschreiben</t>
  </si>
  <si>
    <t>Rot/Orange</t>
  </si>
  <si>
    <t>Eskalation, hohe Priorität oder überfälliger Punkt</t>
  </si>
  <si>
    <t>Kommentarindikator</t>
  </si>
  <si>
    <t>Spaltenkopf oder Feld auswählen/überfahren, um die kontextbezogene Ausfüllhilfe zu lesen</t>
  </si>
  <si>
    <t>Blattnavigation und Bearbeitungsreihenfolge</t>
  </si>
  <si>
    <t>00_Start</t>
  </si>
  <si>
    <t>Projektparameter, Scoring und Grundregeln festlegen</t>
  </si>
  <si>
    <t>M&amp;A-Projektleitung</t>
  </si>
  <si>
    <t>Projektstart / Scope-Änderung</t>
  </si>
  <si>
    <t>Freigegebene Projektbasis</t>
  </si>
  <si>
    <t>00_Ausfüllhilfe</t>
  </si>
  <si>
    <t>Felddefinitionen, Beispiele und Qualitätsregeln nachschlagen</t>
  </si>
  <si>
    <t>Alle Bearbeiter</t>
  </si>
  <si>
    <t>Vor und während jeder Eingabe</t>
  </si>
  <si>
    <t>Einheitliche Datenerfassung</t>
  </si>
  <si>
    <t>01_Dashboard</t>
  </si>
  <si>
    <t>Fortschritt und Entscheidungsreife überwachen</t>
  </si>
  <si>
    <t>PMO / Deal Lead</t>
  </si>
  <si>
    <t>Wöchentlich und vor Gates</t>
  </si>
  <si>
    <t>Management- und IC-Übersicht</t>
  </si>
  <si>
    <t>02_Checkliste</t>
  </si>
  <si>
    <t>Alle Prüfhypothesen bearbeiten und Findings dokumentieren</t>
  </si>
  <si>
    <t>Workstream Leads</t>
  </si>
  <si>
    <t>Laufend</t>
  </si>
  <si>
    <t>Vollständiger DD-Status</t>
  </si>
  <si>
    <t>03_Dokumente</t>
  </si>
  <si>
    <t>VDR-Anforderungen, Fristen und Datenqualität steuern</t>
  </si>
  <si>
    <t>PMO / Zielunternehmen</t>
  </si>
  <si>
    <t>Ab Scope-Freigabe</t>
  </si>
  <si>
    <t>Vollständige Request List</t>
  </si>
  <si>
    <t>04_Risiken</t>
  </si>
  <si>
    <t>Bestätigte Risiken bewerten, quantifizieren und entscheiden</t>
  </si>
  <si>
    <t>Workstream Leads / Deal Lead</t>
  </si>
  <si>
    <t>Nach Evidenz</t>
  </si>
  <si>
    <t>Priorisiertes Risikoregister</t>
  </si>
  <si>
    <t>05_Maßnahmen</t>
  </si>
  <si>
    <t>Mitigation, Deal-Schutz und Umsetzung nachhalten</t>
  </si>
  <si>
    <t>Maßnahmen-Owner</t>
  </si>
  <si>
    <t>Nach Finding / bis Closing</t>
  </si>
  <si>
    <t>Verbindlicher Aktionsplan</t>
  </si>
  <si>
    <t>06_Q&amp;A</t>
  </si>
  <si>
    <t>Offene Fragen und schriftliche Antworten steuern</t>
  </si>
  <si>
    <t>Prüfer / Management</t>
  </si>
  <si>
    <t>Während der Analyse</t>
  </si>
  <si>
    <t>Nachvollziehbarer Q&amp;A-Audit-Trail</t>
  </si>
  <si>
    <t>07_Finanzanalyse</t>
  </si>
  <si>
    <t>Historische Entwicklung, Cash Conversion und Bilanzkennzahlen analysieren</t>
  </si>
  <si>
    <t>Financial-DD-Team</t>
  </si>
  <si>
    <t>Nach Datenlieferung</t>
  </si>
  <si>
    <t>Normalisierte Finanzbasis</t>
  </si>
  <si>
    <t>08_QoE</t>
  </si>
  <si>
    <t>EBITDA-Normalisierungen einzeln belegen und entscheiden</t>
  </si>
  <si>
    <t>Nach GuV-/Kontenanalyse</t>
  </si>
  <si>
    <t>Reported-to-normalized Bridge</t>
  </si>
  <si>
    <t>09_NWC_NetDebt</t>
  </si>
  <si>
    <t>NWC-Peg und Net-Debt-/Debt-like-Definition vorbereiten</t>
  </si>
  <si>
    <t>Vor SPA-Verhandlung</t>
  </si>
  <si>
    <t>Closing-Mechanik</t>
  </si>
  <si>
    <t>10_Verträge</t>
  </si>
  <si>
    <t>Wesentliche Klauseln und Consents je Vertrag extrahieren</t>
  </si>
  <si>
    <t>Legal-DD-Team</t>
  </si>
  <si>
    <t>Nach Vertragslieferung</t>
  </si>
  <si>
    <t>Vertragsrisiko- und Consent-Liste</t>
  </si>
  <si>
    <t>11_IT_Cyber</t>
  </si>
  <si>
    <t>IT- und Cyberkontrollen vertieft bewerten</t>
  </si>
  <si>
    <t>CIO/CISO-DD-Team</t>
  </si>
  <si>
    <t>IT-/Cyber-Remediation</t>
  </si>
  <si>
    <t>12_HR</t>
  </si>
  <si>
    <t>Personal-, Retention- und Pensionsrisiken vertieft bewerten</t>
  </si>
  <si>
    <t>HR-DD-Team</t>
  </si>
  <si>
    <t>Vollprüfung / Clean Team</t>
  </si>
  <si>
    <t>People-Risikoübersicht</t>
  </si>
  <si>
    <t>13_Steuern</t>
  </si>
  <si>
    <t>Steuerrisiken nach Themen vertieft dokumentieren</t>
  </si>
  <si>
    <t>Tax-DD-Team</t>
  </si>
  <si>
    <t>Tax-Risk- und Indemnity-Basis</t>
  </si>
  <si>
    <t>14_Deal_Mechanismen</t>
  </si>
  <si>
    <t>Geeignete wirtschaftliche und vertragliche Schutzmechanismen auswählen</t>
  </si>
  <si>
    <t>Deal Lead / Legal / Tax</t>
  </si>
  <si>
    <t>SPA-/Preisverhandlung</t>
  </si>
  <si>
    <t>Beschlossene Risikobehandlung</t>
  </si>
  <si>
    <t>15_Quellen</t>
  </si>
  <si>
    <t>Methodische und rechtliche Ausgangsquellen nachvollziehen</t>
  </si>
  <si>
    <t>Alle Workstreams</t>
  </si>
  <si>
    <t>Bei Methodik-/Rechtsfragen</t>
  </si>
  <si>
    <t>Quellenverzeichnis</t>
  </si>
  <si>
    <t>Arbeitsblatt</t>
  </si>
  <si>
    <t>Zweck</t>
  </si>
  <si>
    <t>Wer füllt aus?</t>
  </si>
  <si>
    <t>Wann?</t>
  </si>
  <si>
    <t>Hauptausgabe</t>
  </si>
  <si>
    <t>Detaillierte Feldhilfe – nach Arbeitsblatt oder Feld filtern</t>
  </si>
  <si>
    <t>Eingabe</t>
  </si>
  <si>
    <t>Pflicht</t>
  </si>
  <si>
    <t>Vollständige rechtliche Firma des Prüfungsobjekts eintragen.</t>
  </si>
  <si>
    <t>Muster GmbH</t>
  </si>
  <si>
    <t>Text</t>
  </si>
  <si>
    <t>Handelsregister / Term Sheet</t>
  </si>
  <si>
    <t>Bei Carve-outs den exakten Perimeter ergänzen.</t>
  </si>
  <si>
    <t>Geplante rechtliche bzw. wirtschaftliche Transaktionsform auswählen.</t>
  </si>
  <si>
    <t>Dropdown</t>
  </si>
  <si>
    <t>Term Sheet / Strukturmemorandum</t>
  </si>
  <si>
    <t>Bei Mischformen die primäre Struktur auswählen und Details kommentieren.</t>
  </si>
  <si>
    <t>Erwerbende Gesellschaft bzw. Investorengruppe nennen.</t>
  </si>
  <si>
    <t>Investor Holding GmbH</t>
  </si>
  <si>
    <t>Term Sheet</t>
  </si>
  <si>
    <t>Nicht nur den Projektnamen verwenden.</t>
  </si>
  <si>
    <t>Informations- bzw. Bewertungsstichtag der Prüfung eintragen.</t>
  </si>
  <si>
    <t>30.09.2026</t>
  </si>
  <si>
    <t>Datum TT.MM.JJJJ</t>
  </si>
  <si>
    <t>Projektauftrag</t>
  </si>
  <si>
    <t>Nicht mit Signing- oder Closing-Datum verwechseln.</t>
  </si>
  <si>
    <t>Gesamtverantwortliche Person mit Rolle nennen.</t>
  </si>
  <si>
    <t>Max Beispiel, M&amp;A Director</t>
  </si>
  <si>
    <t>Projekt-RACI</t>
  </si>
  <si>
    <t>Genau eine Gesamtverantwortung festlegen.</t>
  </si>
  <si>
    <t>Freigabestand der Arbeitsmappe führen.</t>
  </si>
  <si>
    <t>1.1</t>
  </si>
  <si>
    <t>Versionsnummer</t>
  </si>
  <si>
    <t>Dokumentenlenkung</t>
  </si>
  <si>
    <t>Bei materiellen Änderungen Version erhöhen.</t>
  </si>
  <si>
    <t>Höchste Schutzstufe für die gesamte Arbeitsmappe auswählen.</t>
  </si>
  <si>
    <t>NDA / Clean-Team-Regeln</t>
  </si>
  <si>
    <t>Einzelblätter können eine höhere Schutzstufe benötigen.</t>
  </si>
  <si>
    <t>Einheitliche Währung für alle monetären Eingaben festlegen.</t>
  </si>
  <si>
    <t>ISO-Währungscode</t>
  </si>
  <si>
    <t>Investment Case</t>
  </si>
  <si>
    <t>Fremdwährungsumrechnung und Stichtagskurs separat dokumentieren.</t>
  </si>
  <si>
    <t>Vom Deal-Team genehmigte quantitative Basisschwelle eintragen.</t>
  </si>
  <si>
    <t>100000</t>
  </si>
  <si>
    <t>Betrag in Berichtswährung</t>
  </si>
  <si>
    <t>DD-Scope / Risikotoleranz</t>
  </si>
  <si>
    <t>Qualitative No-go-Themen bleiben unabhängig vom Betrag wesentlich.</t>
  </si>
  <si>
    <t>Vorbelegt</t>
  </si>
  <si>
    <t>Automatisch</t>
  </si>
  <si>
    <t>Eindeutige Kennung beibehalten; nur beim Ergänzen neuer Zeilen fortlaufend vergeben.</t>
  </si>
  <si>
    <t>Text, eindeutig</t>
  </si>
  <si>
    <t>Arbeitsmappe</t>
  </si>
  <si>
    <t>Keine ID doppelt vergeben oder nachträglich umnummerieren.</t>
  </si>
  <si>
    <t>Sachverhalt einer eindeutigen Kategorie zuordnen.</t>
  </si>
  <si>
    <t>Financial – Working Capital</t>
  </si>
  <si>
    <t>Auswahl oder kurzer Text</t>
  </si>
  <si>
    <t>DD-Scope / Master-Checkliste</t>
  </si>
  <si>
    <t>Nicht mehrere unverbundene Themen in einer Zeile mischen.</t>
  </si>
  <si>
    <t>Eine konkret beantwortbare Frage mit klarem Entscheidungsbezug formulieren.</t>
  </si>
  <si>
    <t>Sind alle debt-like Positionen im Closing-Mechanismus erfasst?</t>
  </si>
  <si>
    <t>Vollständiger Fragesatz</t>
  </si>
  <si>
    <t>Prüfhypothese / offene Entscheidung</t>
  </si>
  <si>
    <t>Keine Suggestiv- oder Sammelfrage; pro Zeile ein Sachverhalt.</t>
  </si>
  <si>
    <t>Pflicht bei Abschluss</t>
  </si>
  <si>
    <t>Konkreten Beleg mit Dateiname, Datum, Version und VDR-Pfad nennen.</t>
  </si>
  <si>
    <t>VDR 3.2.1, Monatsbilanz 08/2026, Version final</t>
  </si>
  <si>
    <t>Text / Link / Referenz</t>
  </si>
  <si>
    <t>VDR, Vertrag, Hauptbuch, externe Bestätigung</t>
  </si>
  <si>
    <t>Management-Aussage allein reicht für wesentliche Findings nicht aus.</t>
  </si>
  <si>
    <t>Pflicht bei Bearbeitung</t>
  </si>
  <si>
    <t>Durchgeführten Test inklusive Zeitraum, Population, Stichprobe und Ergebnis beschreiben.</t>
  </si>
  <si>
    <t>24 Monatsabschlüsse übergeleitet; 15 Cut-off-Belege geprüft; 2 Abweichungen</t>
  </si>
  <si>
    <t>Kurze Methodik + Ergebnis</t>
  </si>
  <si>
    <t>Arbeitspapiere / Datenanalyse</t>
  </si>
  <si>
    <t>Nicht nur „geprüft“ schreiben; Umfang und Ergebnis nachvollziehbar machen.</t>
  </si>
  <si>
    <t>Vorbelegt / anpassen</t>
  </si>
  <si>
    <t>Empfohlen</t>
  </si>
  <si>
    <t>Mögliches Risikoszenario neutral beschreiben; noch nicht als Tatsache darstellen.</t>
  </si>
  <si>
    <t>Stichtagssteuerung des NWC durch verzögerte Lieferantenzahlungen</t>
  </si>
  <si>
    <t>Wenn–dann-Szenario</t>
  </si>
  <si>
    <t>Prüfplanung / erste Indikatoren</t>
  </si>
  <si>
    <t>Hypothese und bestätigtes Finding sprachlich klar trennen.</t>
  </si>
  <si>
    <t>Priorität nach Deal-Relevanz und zeitlicher Dringlichkeit auswählen.</t>
  </si>
  <si>
    <t>Materialität / kritischer Transaktionspfad</t>
  </si>
  <si>
    <t>Nicht allein nach Arbeitsaufwand priorisieren.</t>
  </si>
  <si>
    <t>Zeitpunkt angeben, zu dem Prüfung oder Maßnahme abgeschlossen sein muss.</t>
  </si>
  <si>
    <t>Dropdown bzw. definierte Deal-Phase</t>
  </si>
  <si>
    <t>Transaktionszeitplan</t>
  </si>
  <si>
    <t>Closing-kritische Themen nicht in Post-Closing verschieben.</t>
  </si>
  <si>
    <t>Nur den tatsächlich erreichten Bearbeitungsstand auswählen.</t>
  </si>
  <si>
    <t>Aktueller Arbeitsstand</t>
  </si>
  <si>
    <t>„Abgeschlossen“ erst bei dokumentierter Evidenz und Reviewer-Freigabe.</t>
  </si>
  <si>
    <t>Pflicht für aktive Punkte</t>
  </si>
  <si>
    <t>Namentlich verantwortliche Person oder eindeutige Rolle eintragen.</t>
  </si>
  <si>
    <t>Anna Beispiel (CFO) / Tax Lead</t>
  </si>
  <si>
    <t>Name und Rolle</t>
  </si>
  <si>
    <t>Keine Mehrfach-Owner; genau eine rechenschaftspflichtige Rolle festlegen.</t>
  </si>
  <si>
    <t>Pflicht, sobald terminiert</t>
  </si>
  <si>
    <t>Kalenderdatum im Format TT.MM.JJJJ eintragen.</t>
  </si>
  <si>
    <t>31.10.2026</t>
  </si>
  <si>
    <t>Datum</t>
  </si>
  <si>
    <t>Projektplan / Dokumentenmetadaten</t>
  </si>
  <si>
    <t>Keine relativen Angaben wie „nächste Woche“.</t>
  </si>
  <si>
    <t>Pflicht bei Finding</t>
  </si>
  <si>
    <t>Eintrittswahrscheinlichkeit anhand der Skala 1–5 und belegter Indikatoren bewerten.</t>
  </si>
  <si>
    <t>4 – wahrscheinlich</t>
  </si>
  <si>
    <t>Ganzzahl 1–5</t>
  </si>
  <si>
    <t>Evidenz und Szenarioanalyse</t>
  </si>
  <si>
    <t>Bewertung im Finding-Kommentar begründen; nicht mit Auswirkung vermischen.</t>
  </si>
  <si>
    <t>Maximal plausible Deal-/Wertauswirkung anhand der Skala 1–5 bewerten.</t>
  </si>
  <si>
    <t>3 – wesentlich</t>
  </si>
  <si>
    <t>Exposure- und Szenarioanalyse</t>
  </si>
  <si>
    <t>Auswirkung brutto vor Maßnahmen bewerten.</t>
  </si>
  <si>
    <t>Automatische Formel</t>
  </si>
  <si>
    <t>Nicht überschreiben; Wert wird aus den Eingaben berechnet.</t>
  </si>
  <si>
    <t>12 / Hoch</t>
  </si>
  <si>
    <t>Formel</t>
  </si>
  <si>
    <t>Verknüpfte Eingabezellen</t>
  </si>
  <si>
    <t>Bei leerem Ergebnis zuerst die erforderlichen Eingabefelder vervollständigen.</t>
  </si>
  <si>
    <t>Wenn relevant</t>
  </si>
  <si>
    <t>Den für „Maßnahmenvorschlag“ zutreffenden, belegbaren Wert eintragen.</t>
  </si>
  <si>
    <t>Konkreter Wert oder kurzer, eindeutiger Text</t>
  </si>
  <si>
    <t>Primärbeleg bzw. freigegebene Projektdaten</t>
  </si>
  <si>
    <t>Keine unbelegten Annahmen; Quelle oder Referenz ergänzen.</t>
  </si>
  <si>
    <t>Pflicht bei wesentlichem Finding</t>
  </si>
  <si>
    <t>Konsequenz für Preis, SPA, Closing, Finanzierung oder Integration auswählen/beschreiben.</t>
  </si>
  <si>
    <t>SPA/Haftung – spezifische Steuerfreistellung</t>
  </si>
  <si>
    <t>Kategorie + kurze Begründung</t>
  </si>
  <si>
    <t>Finding und Deal-Team-Entscheidung</t>
  </si>
  <si>
    <t>Operative Maßnahme und vertraglichen Schutz getrennt betrachten.</t>
  </si>
  <si>
    <t>Wenn quantifizierbar</t>
  </si>
  <si>
    <t>Betrag in Berichtswährung ohne Tausendertext eintragen; Vorzeichenlogik des Blatts beachten.</t>
  </si>
  <si>
    <t>250000</t>
  </si>
  <si>
    <t>Zahl in EUR</t>
  </si>
  <si>
    <t>Berechnung / Vertrag / Hauptbuch</t>
  </si>
  <si>
    <t>Low/Base/High dokumentieren; Steuern, Wahrscheinlichkeit und Doppelzählung prüfen.</t>
  </si>
  <si>
    <t>Bei Deal-Relevanz</t>
  </si>
  <si>
    <t>Geeigneten vertraglichen oder wirtschaftlichen Mechanismus konkret benennen.</t>
  </si>
  <si>
    <t>Spezifische Freistellung mit 5 Jahren Laufzeit und 500 T€ Escrow</t>
  </si>
  <si>
    <t>Mechanismus + Eckpunkte</t>
  </si>
  <si>
    <t>Deal-Team / Rechts- und Steuerberatung</t>
  </si>
  <si>
    <t>Bekannte Risiken nicht allein auf allgemeine Garantien oder W&amp;I stützen.</t>
  </si>
  <si>
    <t>Verknüpfte Checklisten-, Risiko-, Dokument- oder Q&amp;A-ID eintragen.</t>
  </si>
  <si>
    <t>FIN-04 / DOC-037 / Q-012</t>
  </si>
  <si>
    <t>Eine oder mehrere IDs</t>
  </si>
  <si>
    <t>Andere Register dieser Arbeitsmappe</t>
  </si>
  <si>
    <t>Nur vorhandene IDs verwenden; mehrere Referenzen mit „ / “ trennen.</t>
  </si>
  <si>
    <t>Empfohlen, bei Finding Pflicht</t>
  </si>
  <si>
    <t>Nachvollziehbare Fundstelle oder klickbaren Link mit Version angeben.</t>
  </si>
  <si>
    <t>VDR 4.1.3 / Vertrag Kunde A vom 12.03.2024</t>
  </si>
  <si>
    <t>Pfad, ID oder URL</t>
  </si>
  <si>
    <t>VDR / Arbeitsmappe / externe Primärquelle</t>
  </si>
  <si>
    <t>Keine privaten lokalen Pfade; Zugriff und Version müssen reproduzierbar sein.</t>
  </si>
  <si>
    <t>Den für „Zeitraum / Scope“ zutreffenden, belegbaren Wert eintragen.</t>
  </si>
  <si>
    <t>Ja, Nein oder Zu prüfen anhand der dokumentierten Entscheidung auswählen.</t>
  </si>
  <si>
    <t>Scope-/Finding-Entscheidung</t>
  </si>
  <si>
    <t>„Zu prüfen“ mit Owner und Fälligkeit versehen.</t>
  </si>
  <si>
    <t>Pflicht nach Erstprüfung</t>
  </si>
  <si>
    <t>Qualität des erhaltenen Pakets auswählen.</t>
  </si>
  <si>
    <t>Abgleich mit Request und Inhaltsprüfung</t>
  </si>
  <si>
    <t>„Vollständig“ bzw. „verifiziert“ nur nach nachvollziehbarem Abgleich.</t>
  </si>
  <si>
    <t>Höchste im Datensatz enthaltene Schutzklasse auswählen.</t>
  </si>
  <si>
    <t>NDA / Informationsklassifizierung</t>
  </si>
  <si>
    <t>HR-, Gesundheits-, Wettbewerbs- und Kundendaten besonders schützen.</t>
  </si>
  <si>
    <t>Den für „Offene Punkte“ zutreffenden, belegbaren Wert eintragen.</t>
  </si>
  <si>
    <t>Den für „Score“ zutreffenden, belegbaren Wert eintragen.</t>
  </si>
  <si>
    <t>Den für „Gegenmaßnahme“ zutreffenden, belegbaren Wert eintragen.</t>
  </si>
  <si>
    <t>Nach definierter Maßnahme</t>
  </si>
  <si>
    <t>Verbleibendes Risiko nach vollständig wirksamer Gegenmaßnahme mit 1–5 bewerten.</t>
  </si>
  <si>
    <t>Maßnahmenwirksamkeit / Kontrolltest</t>
  </si>
  <si>
    <t>Nur reduzieren, wenn Umsetzung und Wirksamkeit nachgewiesen sind.</t>
  </si>
  <si>
    <t>Bei Abweichung/Entscheidung</t>
  </si>
  <si>
    <t>Entscheidung, Begründung, Annahmen und offene Einschränkungen knapp dokumentieren.</t>
  </si>
  <si>
    <t>IC akzeptiert Restrisiko unter Bedingung eines 300 T€ Escrows.</t>
  </si>
  <si>
    <t>Kurzer Audit-Trail</t>
  </si>
  <si>
    <t>Meeting-/Entscheidungsprotokoll</t>
  </si>
  <si>
    <t>Datum und Entscheider nennen; keine vertraulichen Nebendaten kopieren.</t>
  </si>
  <si>
    <t>Pflicht für aktive Maßnahme</t>
  </si>
  <si>
    <t>Objektiv messbaren Zielzustand und benötigten Nachweis definieren.</t>
  </si>
  <si>
    <t>100 % Admin-Konten mit MFA; Export aus IdP durch CISO freigegeben</t>
  </si>
  <si>
    <t>Messbares Kriterium</t>
  </si>
  <si>
    <t>Maßnahmenplan / Fachstandard</t>
  </si>
  <si>
    <t>Kriterium muss eine eindeutige Erledigt-Entscheidung erlauben.</t>
  </si>
  <si>
    <t>Bei aktiver Maßnahme</t>
  </si>
  <si>
    <t>Tatsächlich erreichten Fertigstellungsgrad zwischen 0 % und 100 % eintragen.</t>
  </si>
  <si>
    <t>40 %</t>
  </si>
  <si>
    <t>Prozent</t>
  </si>
  <si>
    <t>Liefergegenstände / Meilensteine</t>
  </si>
  <si>
    <t>100 % nur bei erfülltem Abnahmekriterium.</t>
  </si>
  <si>
    <t>Den für „Abhängigkeit“ zutreffenden, belegbaren Wert eintragen.</t>
  </si>
  <si>
    <t>Den für „Eskalationstrigger“ zutreffenden, belegbaren Wert eintragen.</t>
  </si>
  <si>
    <t>Den für „Antwort“ zutreffenden, belegbaren Wert eintragen.</t>
  </si>
  <si>
    <t>Kennzahlenbezeichnung nicht ändern; zusätzliche Kennzahlen unterhalb des Blocks ergänzen.</t>
  </si>
  <si>
    <t>Financial-DD-Analyseschema</t>
  </si>
  <si>
    <t>Periode – 2022A</t>
  </si>
  <si>
    <t>Periodenbezeichnung an das gelieferte Datenpaket anpassen.</t>
  </si>
  <si>
    <t>2025A / LTM Sep-26</t>
  </si>
  <si>
    <t>Kurze Periodenbezeichnung</t>
  </si>
  <si>
    <t>Jahresabschluss / Monatsreporting</t>
  </si>
  <si>
    <t>Ist-, LTM- und Budgetperioden eindeutig kennzeichnen.</t>
  </si>
  <si>
    <t>Periode – 2023A</t>
  </si>
  <si>
    <t>Periode – 2024A</t>
  </si>
  <si>
    <t>Periode – LTM / aktuell</t>
  </si>
  <si>
    <t>Periode – Budget</t>
  </si>
  <si>
    <t>Δ LTM vs. Vorperiode</t>
  </si>
  <si>
    <t>Nicht überschreiben; prozentuale Veränderung wird berechnet.</t>
  </si>
  <si>
    <t>Nicht überschreiben; Budgetabweichung wird berechnet.</t>
  </si>
  <si>
    <t>Pflicht bei Auffälligkeit</t>
  </si>
  <si>
    <t>Datenquelle, Überleitung und Erklärung wesentlicher Abweichungen eintragen.</t>
  </si>
  <si>
    <t>VDR 2.1.4; LTM-Umsatz +8 % durch Preis +5 % und Volumen +3 %</t>
  </si>
  <si>
    <t>Reporting / Hauptbuch / Analyse</t>
  </si>
  <si>
    <t>Pflicht bei verfügbaren Daten</t>
  </si>
  <si>
    <t>Wert für jede Periode eingeben. Aufwendungen, Schulden und Bestände als positive Beträge erfassen; die Formeln berücksichtigen das Vorzeichen.</t>
  </si>
  <si>
    <t>1250000</t>
  </si>
  <si>
    <t>Jahresabschluss, Monatsreporting und Hauptbuch</t>
  </si>
  <si>
    <t>Perioden und Vorzeichen konsistent halten; Abweichungen in Spalte I erklären.</t>
  </si>
  <si>
    <t>Nicht überschreiben; Kennzahl wird aus den Eingaben dieses Blatts berechnet.</t>
  </si>
  <si>
    <t>Automatisch berechnet</t>
  </si>
  <si>
    <t>Verknüpfte Eingabezeilen</t>
  </si>
  <si>
    <t>Formelzellen nicht überschreiben.</t>
  </si>
  <si>
    <t>FTE je Periode als durchschnittlichen oder Stichtagswert konsistent erfassen.</t>
  </si>
  <si>
    <t>84</t>
  </si>
  <si>
    <t>Ganzzahl / FTE</t>
  </si>
  <si>
    <t>Berichtetes EBITDA der identischen LTM-Periode vor DD-Anpassungen eingeben.</t>
  </si>
  <si>
    <t>4250000</t>
  </si>
  <si>
    <t>Management Reporting / GuV-Überleitung</t>
  </si>
  <si>
    <t>Periode und Definition mit 07_Finanzanalyse abstimmen.</t>
  </si>
  <si>
    <t>Den für „Prüfansatz / Beschreibung“ zutreffenden, belegbaren Wert eintragen.</t>
  </si>
  <si>
    <t>Den für „Richtung“ zutreffenden, belegbaren Wert eintragen.</t>
  </si>
  <si>
    <t>Den für „Periode“ zutreffenden, belegbaren Wert eintragen.</t>
  </si>
  <si>
    <t>Den für „Cash / Non-Cash“ zutreffenden, belegbaren Wert eintragen.</t>
  </si>
  <si>
    <t>Den für „Konfidenz“ zutreffenden, belegbaren Wert eintragen.</t>
  </si>
  <si>
    <t>Vorbelegt / ergänzbar</t>
  </si>
  <si>
    <t>Operative NWC-Komponente beibehalten oder eindeutig ergänzen.</t>
  </si>
  <si>
    <t>Closing-Accounts-Definition</t>
  </si>
  <si>
    <t>+1 für Aktiva, −1 für Passiva wählen.</t>
  </si>
  <si>
    <t>-1</t>
  </si>
  <si>
    <t>Dropdown +1/−1</t>
  </si>
  <si>
    <t>Wirtschaftliche NWC-Logik</t>
  </si>
  <si>
    <t>Pflicht für repräsentative Historie</t>
  </si>
  <si>
    <t>Monatsendbestand als positiven Bruttobetrag eingeben.</t>
  </si>
  <si>
    <t>850000</t>
  </si>
  <si>
    <t>Monatsbilanz / Hauptbuch</t>
  </si>
  <si>
    <t>Mindestens 12, bei starker Saisonalität 24–36 Monate analysieren.</t>
  </si>
  <si>
    <t>Nicht überschreiben; Kennzahl wird aus den Monatswerten berechnet.</t>
  </si>
  <si>
    <t>Monatswerte</t>
  </si>
  <si>
    <t>Bei Definitionseffekt</t>
  </si>
  <si>
    <t>Abgrenzung, Ausschlüsse, Saisonalität und Datenbesonderheiten dokumentieren.</t>
  </si>
  <si>
    <t>Bonuszahlungen jeweils im März; Steuerposition ausgeschlossen.</t>
  </si>
  <si>
    <t>SPA-Definition / Analyse</t>
  </si>
  <si>
    <t>Automatische Ausgangsbasis</t>
  </si>
  <si>
    <t>Deal-Team-Entscheidung</t>
  </si>
  <si>
    <t>Median dient nur als Ausgangspunkt; finalen Peg nach Saisonalität, Wachstum und Definition beschließen.</t>
  </si>
  <si>
    <t>1.850.000 EUR</t>
  </si>
  <si>
    <t>Betrag + dokumentierte Herleitung</t>
  </si>
  <si>
    <t>Monatsanalyse / SPA-Verhandlung</t>
  </si>
  <si>
    <t>Keine rein mechanische Übernahme ohne Ausreißer- und Cut-off-Prüfung.</t>
  </si>
  <si>
    <t>Den für „Position“ zutreffenden, belegbaren Wert eintragen.</t>
  </si>
  <si>
    <t>Den für „Vorzeichen“ zutreffenden, belegbaren Wert eintragen.</t>
  </si>
  <si>
    <t>Den für „Begründung“ zutreffenden, belegbaren Wert eintragen.</t>
  </si>
  <si>
    <t>Den für „Gegenpartei“ zutreffenden, belegbaren Wert eintragen.</t>
  </si>
  <si>
    <t>Den für „Konzernzuordnung“ zutreffenden, belegbaren Wert eintragen.</t>
  </si>
  <si>
    <t>Den für „Leistungsgegenstand“ zutreffenden, belegbaren Wert eintragen.</t>
  </si>
  <si>
    <t>Den für „Marge / Kritikalität“ zutreffenden, belegbaren Wert eintragen.</t>
  </si>
  <si>
    <t>Den für „Autom. Verlängerung“ zutreffenden, belegbaren Wert eintragen.</t>
  </si>
  <si>
    <t>Den für „Kündigungsfrist“ zutreffenden, belegbaren Wert eintragen.</t>
  </si>
  <si>
    <t>Den für „Change of Control“ zutreffenden, belegbaren Wert eintragen.</t>
  </si>
  <si>
    <t>Den für „Abtretung“ zutreffenden, belegbaren Wert eintragen.</t>
  </si>
  <si>
    <t>Den für „Exklusivität / MFN“ zutreffenden, belegbaren Wert eintragen.</t>
  </si>
  <si>
    <t>Den für „Mindestabnahme“ zutreffenden, belegbaren Wert eintragen.</t>
  </si>
  <si>
    <t>Den für „Haftung / Cap“ zutreffenden, belegbaren Wert eintragen.</t>
  </si>
  <si>
    <t>Den für „Freistellungen“ zutreffenden, belegbaren Wert eintragen.</t>
  </si>
  <si>
    <t>Den für „SLA / Vertragsstrafe“ zutreffenden, belegbaren Wert eintragen.</t>
  </si>
  <si>
    <t>Den für „Datenschutz / Security“ zutreffenden, belegbaren Wert eintragen.</t>
  </si>
  <si>
    <t>Den für „IP-Rechte“ zutreffenden, belegbaren Wert eintragen.</t>
  </si>
  <si>
    <t>Den für „Rechtswahl / Gerichtsstand“ zutreffenden, belegbaren Wert eintragen.</t>
  </si>
  <si>
    <t>Pflicht bei Abweichung</t>
  </si>
  <si>
    <t>Fakt, Ursache, Umfang und Geschäftsauswirkung klar von Annahmen trennen.</t>
  </si>
  <si>
    <t>7 von 40 Stichproben ohne Genehmigung; Exposure Base 180 T€</t>
  </si>
  <si>
    <t>Sachverhalt + Quantifizierung</t>
  </si>
  <si>
    <t>Primärevidenz und Analyse</t>
  </si>
  <si>
    <t>Keine Wertung ohne Fakten; Gegenbelege und Einschränkungen nennen.</t>
  </si>
  <si>
    <t>Den für „Maßnahme“ zutreffenden, belegbaren Wert eintragen.</t>
  </si>
  <si>
    <t>Den für „Empfohlene Maßnahme“ zutreffenden, belegbaren Wert eintragen.</t>
  </si>
  <si>
    <t>Den für „Mechanismus“ zutreffenden, belegbaren Wert eintragen.</t>
  </si>
  <si>
    <t>Den für „Geeignet für“ zutreffenden, belegbaren Wert eintragen.</t>
  </si>
  <si>
    <t>Den für „Typische Anwendungsfälle“ zutreffenden, belegbaren Wert eintragen.</t>
  </si>
  <si>
    <t>Den für „Zentrale Ausgestaltung“ zutreffenden, belegbaren Wert eintragen.</t>
  </si>
  <si>
    <t>Den für „Adressiertes Risiko“ zutreffenden, belegbaren Wert eintragen.</t>
  </si>
  <si>
    <t>Den für „Titel“ zutreffenden, belegbaren Wert eintragen.</t>
  </si>
  <si>
    <t>Den für „Herausgeber“ zutreffenden, belegbaren Wert eintragen.</t>
  </si>
  <si>
    <t>Den für „URL“ zutreffenden, belegbaren Wert eintragen.</t>
  </si>
  <si>
    <t>Den für „Verwendung“ zutreffenden, belegbaren Wert eintragen.</t>
  </si>
  <si>
    <t>Den für „Hinweis“ zutreffenden, belegbaren Wert eintragen.</t>
  </si>
  <si>
    <t>Den für „Umfang“ zutreffenden, belegbaren Wert eintragen.</t>
  </si>
  <si>
    <t>Den für „Abgeschlossen“ zutreffenden, belegbaren Wert eintragen.</t>
  </si>
  <si>
    <t>Den für „Unbewertet“ zutreffenden, belegbaren Wert eintragen.</t>
  </si>
  <si>
    <t>Den für „Hoch/kritisch“ zutreffenden, belegbaren Wert eintragen.</t>
  </si>
  <si>
    <t>Den für „Gate“ zutreffenden, belegbaren Wert eintragen.</t>
  </si>
  <si>
    <t>Feld / Spalte</t>
  </si>
  <si>
    <t>Bearbeitung</t>
  </si>
  <si>
    <t>Pflichtgrad</t>
  </si>
  <si>
    <t>Was eintragen?</t>
  </si>
  <si>
    <t>Beispiel</t>
  </si>
  <si>
    <t>Format</t>
  </si>
  <si>
    <t>Quelle / Nachweis</t>
  </si>
  <si>
    <t>Qualitätsregel / typischer Fehler</t>
  </si>
</sst>
</file>

<file path=xl/styles.xml><?xml version="1.0" encoding="utf-8"?>
<styleSheet xmlns="http://schemas.openxmlformats.org/spreadsheetml/2006/main">
  <numFmts count="5">
    <numFmt numFmtId="164" formatCode="dd.mm.yyyy"/>
    <numFmt numFmtId="165" formatCode="#,##0;[Red]-#,##0"/>
    <numFmt numFmtId="166" formatCode="#,##0.00;[Red]-#,##0.00"/>
    <numFmt numFmtId="167" formatCode="0.0%"/>
    <numFmt numFmtId="168" formatCode="#,##0&quot; €&quot;;[Red]-#,##0&quot; €&quot;"/>
  </numFmts>
  <fonts count="11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sz val="10"/>
      <color rgb="FF1F2937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8"/>
      <color rgb="FF17365D"/>
      <name val="Calibri"/>
      <family val="2"/>
      <scheme val="minor"/>
    </font>
    <font>
      <b/>
      <sz val="16"/>
      <color rgb="FF17365D"/>
      <name val="Calibri"/>
      <family val="2"/>
      <scheme val="minor"/>
    </font>
    <font>
      <i/>
      <sz val="11"/>
      <color rgb="FF595959"/>
      <name val="Calibri"/>
      <family val="2"/>
      <scheme val="minor"/>
    </font>
    <font>
      <sz val="8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0F6B78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5" borderId="1" xfId="0" applyNumberFormat="1" applyFill="1" applyBorder="1" applyAlignment="1">
      <alignment vertical="top"/>
    </xf>
    <xf numFmtId="165" fontId="0" fillId="5" borderId="1" xfId="0" applyNumberFormat="1" applyFill="1" applyBorder="1" applyAlignment="1">
      <alignment vertical="top"/>
    </xf>
    <xf numFmtId="0" fontId="5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/>
    <xf numFmtId="0" fontId="0" fillId="6" borderId="1" xfId="0" applyFill="1" applyBorder="1" applyAlignment="1">
      <alignment wrapText="1"/>
    </xf>
    <xf numFmtId="0" fontId="4" fillId="5" borderId="1" xfId="0" applyFont="1" applyFill="1" applyBorder="1"/>
    <xf numFmtId="0" fontId="0" fillId="5" borderId="1" xfId="0" applyFill="1" applyBorder="1" applyAlignment="1">
      <alignment wrapText="1"/>
    </xf>
    <xf numFmtId="0" fontId="4" fillId="7" borderId="1" xfId="0" applyFont="1" applyFill="1" applyBorder="1"/>
    <xf numFmtId="0" fontId="0" fillId="7" borderId="1" xfId="0" applyFill="1" applyBorder="1" applyAlignment="1">
      <alignment wrapText="1"/>
    </xf>
    <xf numFmtId="0" fontId="4" fillId="8" borderId="1" xfId="0" applyFont="1" applyFill="1" applyBorder="1"/>
    <xf numFmtId="0" fontId="0" fillId="8" borderId="1" xfId="0" applyFill="1" applyBorder="1" applyAlignment="1">
      <alignment wrapText="1"/>
    </xf>
    <xf numFmtId="0" fontId="4" fillId="3" borderId="1" xfId="0" applyFont="1" applyFill="1" applyBorder="1"/>
    <xf numFmtId="0" fontId="4" fillId="9" borderId="1" xfId="0" applyFont="1" applyFill="1" applyBorder="1"/>
    <xf numFmtId="0" fontId="6" fillId="0" borderId="1" xfId="0" applyFont="1" applyBorder="1" applyAlignment="1">
      <alignment vertical="top" wrapText="1"/>
    </xf>
    <xf numFmtId="166" fontId="0" fillId="3" borderId="1" xfId="0" applyNumberFormat="1" applyFill="1" applyBorder="1" applyAlignment="1">
      <alignment vertical="top"/>
    </xf>
    <xf numFmtId="1" fontId="0" fillId="3" borderId="1" xfId="0" applyNumberFormat="1" applyFill="1" applyBorder="1" applyAlignment="1">
      <alignment vertical="top"/>
    </xf>
    <xf numFmtId="0" fontId="5" fillId="10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/>
    </xf>
    <xf numFmtId="167" fontId="7" fillId="11" borderId="1" xfId="0" applyNumberFormat="1" applyFont="1" applyFill="1" applyBorder="1" applyAlignment="1">
      <alignment horizontal="center" vertical="center"/>
    </xf>
    <xf numFmtId="168" fontId="8" fillId="11" borderId="1" xfId="0" applyNumberFormat="1" applyFont="1" applyFill="1" applyBorder="1" applyAlignment="1">
      <alignment horizontal="center" vertical="center"/>
    </xf>
    <xf numFmtId="167" fontId="0" fillId="3" borderId="1" xfId="0" applyNumberFormat="1" applyFill="1" applyBorder="1" applyAlignment="1">
      <alignment vertical="top"/>
    </xf>
    <xf numFmtId="1" fontId="0" fillId="5" borderId="1" xfId="0" applyNumberFormat="1" applyFill="1" applyBorder="1" applyAlignment="1">
      <alignment vertical="top"/>
    </xf>
    <xf numFmtId="167" fontId="0" fillId="5" borderId="1" xfId="0" applyNumberFormat="1" applyFill="1" applyBorder="1" applyAlignment="1">
      <alignment vertical="top"/>
    </xf>
    <xf numFmtId="0" fontId="9" fillId="0" borderId="0" xfId="0" applyFont="1" applyAlignment="1">
      <alignment vertical="top" wrapText="1"/>
    </xf>
    <xf numFmtId="164" fontId="0" fillId="0" borderId="1" xfId="0" applyNumberFormat="1" applyBorder="1" applyAlignment="1">
      <alignment vertical="top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Prüfungsfortschritt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Umfang</c:v>
          </c:tx>
          <c:spPr>
            <a:solidFill>
              <a:srgbClr val="D9EAF7"/>
            </a:solidFill>
            <a:ln>
              <a:solidFill>
                <a:srgbClr val="1F4E78"/>
              </a:solidFill>
            </a:ln>
          </c:spPr>
          <c:cat>
            <c:strRef>
              <c:f>'01_Dashboard'!$A$15:$A$31</c:f>
              <c:strCache>
                <c:ptCount val="17"/>
                <c:pt idx="0">
                  <c:v>Transaktion &amp; Scope</c:v>
                </c:pt>
                <c:pt idx="1">
                  <c:v>Corporate &amp; Governance</c:v>
                </c:pt>
                <c:pt idx="2">
                  <c:v>Financial</c:v>
                </c:pt>
                <c:pt idx="3">
                  <c:v>Commercial</c:v>
                </c:pt>
                <c:pt idx="4">
                  <c:v>Tax</c:v>
                </c:pt>
                <c:pt idx="5">
                  <c:v>Legal</c:v>
                </c:pt>
                <c:pt idx="6">
                  <c:v>Operations</c:v>
                </c:pt>
                <c:pt idx="7">
                  <c:v>Supply Chain</c:v>
                </c:pt>
                <c:pt idx="8">
                  <c:v>IT &amp; Cyber</c:v>
                </c:pt>
                <c:pt idx="9">
                  <c:v>Datenschutz</c:v>
                </c:pt>
                <c:pt idx="10">
                  <c:v>HR &amp; Pensions</c:v>
                </c:pt>
                <c:pt idx="11">
                  <c:v>Intellectual Property</c:v>
                </c:pt>
                <c:pt idx="12">
                  <c:v>ESG, EHS &amp; Produkt</c:v>
                </c:pt>
                <c:pt idx="13">
                  <c:v>Real Estate &amp; Assets</c:v>
                </c:pt>
                <c:pt idx="14">
                  <c:v>Insurance</c:v>
                </c:pt>
                <c:pt idx="15">
                  <c:v>Compliance, AML &amp; Sanctions</c:v>
                </c:pt>
                <c:pt idx="16">
                  <c:v>Carve-out &amp; Integration</c:v>
                </c:pt>
              </c:strCache>
            </c:strRef>
          </c:cat>
          <c:val>
            <c:numRef>
              <c:f>'01_Dashboard'!$B$15:$B$31</c:f>
              <c:numCache>
                <c:formatCode>General</c:formatCode>
                <c:ptCount val="17"/>
                <c:pt idx="0">
                  <c:v>8</c:v>
                </c:pt>
                <c:pt idx="1">
                  <c:v>9</c:v>
                </c:pt>
                <c:pt idx="2">
                  <c:v>16</c:v>
                </c:pt>
                <c:pt idx="3">
                  <c:v>10</c:v>
                </c:pt>
                <c:pt idx="4">
                  <c:v>11</c:v>
                </c:pt>
                <c:pt idx="5">
                  <c:v>13</c:v>
                </c:pt>
                <c:pt idx="6">
                  <c:v>9</c:v>
                </c:pt>
                <c:pt idx="7">
                  <c:v>7</c:v>
                </c:pt>
                <c:pt idx="8">
                  <c:v>12</c:v>
                </c:pt>
                <c:pt idx="9">
                  <c:v>7</c:v>
                </c:pt>
                <c:pt idx="10">
                  <c:v>10</c:v>
                </c:pt>
                <c:pt idx="11">
                  <c:v>7</c:v>
                </c:pt>
                <c:pt idx="12">
                  <c:v>9</c:v>
                </c:pt>
                <c:pt idx="13">
                  <c:v>5</c:v>
                </c:pt>
                <c:pt idx="14">
                  <c:v>5</c:v>
                </c:pt>
                <c:pt idx="15">
                  <c:v>9</c:v>
                </c:pt>
                <c:pt idx="16">
                  <c:v>9</c:v>
                </c:pt>
              </c:numCache>
            </c:numRef>
          </c:val>
        </c:ser>
        <c:ser>
          <c:idx val="1"/>
          <c:order val="1"/>
          <c:tx>
            <c:v>Abgeschlossen</c:v>
          </c:tx>
          <c:spPr>
            <a:solidFill>
              <a:srgbClr val="548235"/>
            </a:solidFill>
          </c:spPr>
          <c:cat>
            <c:strRef>
              <c:f>'01_Dashboard'!$A$15:$A$31</c:f>
              <c:strCache>
                <c:ptCount val="17"/>
                <c:pt idx="0">
                  <c:v>Transaktion &amp; Scope</c:v>
                </c:pt>
                <c:pt idx="1">
                  <c:v>Corporate &amp; Governance</c:v>
                </c:pt>
                <c:pt idx="2">
                  <c:v>Financial</c:v>
                </c:pt>
                <c:pt idx="3">
                  <c:v>Commercial</c:v>
                </c:pt>
                <c:pt idx="4">
                  <c:v>Tax</c:v>
                </c:pt>
                <c:pt idx="5">
                  <c:v>Legal</c:v>
                </c:pt>
                <c:pt idx="6">
                  <c:v>Operations</c:v>
                </c:pt>
                <c:pt idx="7">
                  <c:v>Supply Chain</c:v>
                </c:pt>
                <c:pt idx="8">
                  <c:v>IT &amp; Cyber</c:v>
                </c:pt>
                <c:pt idx="9">
                  <c:v>Datenschutz</c:v>
                </c:pt>
                <c:pt idx="10">
                  <c:v>HR &amp; Pensions</c:v>
                </c:pt>
                <c:pt idx="11">
                  <c:v>Intellectual Property</c:v>
                </c:pt>
                <c:pt idx="12">
                  <c:v>ESG, EHS &amp; Produkt</c:v>
                </c:pt>
                <c:pt idx="13">
                  <c:v>Real Estate &amp; Assets</c:v>
                </c:pt>
                <c:pt idx="14">
                  <c:v>Insurance</c:v>
                </c:pt>
                <c:pt idx="15">
                  <c:v>Compliance, AML &amp; Sanctions</c:v>
                </c:pt>
                <c:pt idx="16">
                  <c:v>Carve-out &amp; Integration</c:v>
                </c:pt>
              </c:strCache>
            </c:strRef>
          </c:cat>
          <c:val>
            <c:numRef>
              <c:f>'01_Dashboard'!$C$15:$C$31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13</xdr:row>
      <xdr:rowOff>0</xdr:rowOff>
    </xdr:from>
    <xdr:to>
      <xdr:col>14</xdr:col>
      <xdr:colOff>561975</xdr:colOff>
      <xdr:row>32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Blattnavigation" displayName="tblBlattnavigation" ref="A19:E36" totalsRowShown="0">
  <autoFilter ref="A19:E36"/>
  <tableColumns count="5">
    <tableColumn id="1" name="Arbeitsblatt"/>
    <tableColumn id="2" name="Zweck"/>
    <tableColumn id="3" name="Wer füllt aus?"/>
    <tableColumn id="4" name="Wann?"/>
    <tableColumn id="5" name="Hauptausgabe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tblFeldhilfe" displayName="tblFeldhilfe" ref="A39:I344" totalsRowShown="0">
  <autoFilter ref="A39:I344"/>
  <tableColumns count="9">
    <tableColumn id="1" name="Arbeitsblatt"/>
    <tableColumn id="2" name="Feld / Spalte"/>
    <tableColumn id="3" name="Bearbeitung"/>
    <tableColumn id="4" name="Pflichtgrad"/>
    <tableColumn id="5" name="Was eintragen?"/>
    <tableColumn id="6" name="Beispiel"/>
    <tableColumn id="7" name="Format"/>
    <tableColumn id="8" name="Quelle / Nachweis"/>
    <tableColumn id="9" name="Qualitätsregel / typischer Fehl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DashboardBereiche" displayName="tblDashboardBereiche" ref="A14:F31" totalsRowShown="0">
  <autoFilter ref="A14:F31"/>
  <tableColumns count="6">
    <tableColumn id="1" name="Prüfbereich"/>
    <tableColumn id="2" name="Umfang"/>
    <tableColumn id="3" name="Abgeschlossen"/>
    <tableColumn id="4" name="Fortschritt"/>
    <tableColumn id="5" name="Unbewertet"/>
    <tableColumn id="6" name="Hoch/kritisch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tblCheckliste" displayName="tblCheckliste" ref="A4:Y160" totalsRowShown="0">
  <autoFilter ref="A4:Y160"/>
  <tableColumns count="25">
    <tableColumn id="1" name="ID"/>
    <tableColumn id="2" name="Prüfbereich"/>
    <tableColumn id="3" name="Unterbereich"/>
    <tableColumn id="4" name="Prüfziel / Prüffrage"/>
    <tableColumn id="5" name="Benötigte Unterlagen / Daten"/>
    <tableColumn id="6" name="Empfohlene Analyse"/>
    <tableColumn id="7" name="Typische Red Flags"/>
    <tableColumn id="8" name="Priorität"/>
    <tableColumn id="9" name="Phase"/>
    <tableColumn id="10" name="Status"/>
    <tableColumn id="11" name="Verantwortlich"/>
    <tableColumn id="12" name="Fälligkeit"/>
    <tableColumn id="13" name="Eintritt (1–5)"/>
    <tableColumn id="14" name="Auswirkung (1–5)"/>
    <tableColumn id="15" name="Risikoscore"/>
    <tableColumn id="16" name="Risikoklasse"/>
    <tableColumn id="17" name="Feststellung / Evidenz"/>
    <tableColumn id="18" name="Maßnahmenvorschlag"/>
    <tableColumn id="19" name="Deal-Implikation"/>
    <tableColumn id="20" name="Kaufpreiseffekt (€)"/>
    <tableColumn id="21" name="SPA-/Schutzmechanismus"/>
    <tableColumn id="22" name="Dokument-/Q&amp;A-Referenz"/>
    <tableColumn id="23" name="Quelle"/>
    <tableColumn id="24" name="Letzte Aktualisierung"/>
    <tableColumn id="25" name="Reviewe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Dokumente" displayName="tblDokumente" ref="A4:S160" totalsRowShown="0">
  <autoFilter ref="A4:S160"/>
  <tableColumns count="19">
    <tableColumn id="1" name="Dok-ID"/>
    <tableColumn id="2" name="Prüfbereich"/>
    <tableColumn id="3" name="Unterlage / Datensatz"/>
    <tableColumn id="4" name="Zeitraum / Scope"/>
    <tableColumn id="5" name="Analysezweck"/>
    <tableColumn id="6" name="Priorität"/>
    <tableColumn id="7" name="Pflicht?"/>
    <tableColumn id="8" name="Owner Zielunternehmen"/>
    <tableColumn id="9" name="Angefordert am"/>
    <tableColumn id="10" name="Fällig am"/>
    <tableColumn id="11" name="Erhalten am"/>
    <tableColumn id="12" name="Status"/>
    <tableColumn id="13" name="Vollständigkeit"/>
    <tableColumn id="14" name="Vertraulichkeit"/>
    <tableColumn id="15" name="VDR-Pfad / Link"/>
    <tableColumn id="16" name="Checklisten-Ref."/>
    <tableColumn id="17" name="Offene Punkte"/>
    <tableColumn id="18" name="Tage überfällig"/>
    <tableColumn id="19" name="Reviewe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Risiken" displayName="tblRisiken" ref="A4:Z64" totalsRowShown="0">
  <autoFilter ref="A4:Z64"/>
  <tableColumns count="26">
    <tableColumn id="1" name="Risiko-ID"/>
    <tableColumn id="2" name="Prüfbereich"/>
    <tableColumn id="3" name="Prüfhypothese / Szenario"/>
    <tableColumn id="4" name="Indikatoren / benötigte Evidenz"/>
    <tableColumn id="5" name="Analyse / Test"/>
    <tableColumn id="6" name="Bewertungsstatus"/>
    <tableColumn id="7" name="Feststellung / Evidenz"/>
    <tableColumn id="8" name="Eintritt (1–5)"/>
    <tableColumn id="9" name="Auswirkung (1–5)"/>
    <tableColumn id="10" name="Score"/>
    <tableColumn id="11" name="Klasse"/>
    <tableColumn id="12" name="Exposure Low (€)"/>
    <tableColumn id="13" name="Exposure Base (€)"/>
    <tableColumn id="14" name="Exposure High (€)"/>
    <tableColumn id="15" name="Gegenmaßnahme"/>
    <tableColumn id="16" name="Owner"/>
    <tableColumn id="17" name="Fälligkeit"/>
    <tableColumn id="18" name="Maßnahmenstatus"/>
    <tableColumn id="19" name="Transaktionsfolge"/>
    <tableColumn id="20" name="Checklisten-Ref."/>
    <tableColumn id="21" name="Resteintritt"/>
    <tableColumn id="22" name="Restauswirkung"/>
    <tableColumn id="23" name="Restscore"/>
    <tableColumn id="24" name="Restklasse"/>
    <tableColumn id="25" name="Entscheidung / Kommentar"/>
    <tableColumn id="26" name="Reviewe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Massnahmen" displayName="tblMassnahmen" ref="A4:U64" totalsRowShown="0">
  <autoFilter ref="A4:U64"/>
  <tableColumns count="21">
    <tableColumn id="1" name="Maßnahmen-ID"/>
    <tableColumn id="2" name="Aktivieren?"/>
    <tableColumn id="3" name="Risiko-/Finding-Ref."/>
    <tableColumn id="4" name="Phase"/>
    <tableColumn id="5" name="Prüfbereich"/>
    <tableColumn id="6" name="Maßnahmenvorschlag"/>
    <tableColumn id="7" name="Ergebnis / Abnahmekriterium"/>
    <tableColumn id="8" name="Priorität"/>
    <tableColumn id="9" name="Owner"/>
    <tableColumn id="10" name="Support"/>
    <tableColumn id="11" name="Start"/>
    <tableColumn id="12" name="Fällig"/>
    <tableColumn id="13" name="Status"/>
    <tableColumn id="14" name="Fortschritt"/>
    <tableColumn id="15" name="Abhängigkeit"/>
    <tableColumn id="16" name="Budget (€)"/>
    <tableColumn id="17" name="Erwartete Wirkung"/>
    <tableColumn id="18" name="KPI / Nachweis"/>
    <tableColumn id="19" name="Eskalationstrigger"/>
    <tableColumn id="20" name="Deal-Mechanismus"/>
    <tableColumn id="21" name="Kommenta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QA" displayName="tblQA" ref="A4:R104" totalsRowShown="0">
  <autoFilter ref="A4:R104"/>
  <tableColumns count="18">
    <tableColumn id="1" name="Q&amp;A-ID"/>
    <tableColumn id="2" name="Erstellt am"/>
    <tableColumn id="3" name="Prüfbereich"/>
    <tableColumn id="4" name="Check-/Dok-Ref."/>
    <tableColumn id="5" name="Frage"/>
    <tableColumn id="6" name="Begründung / Entscheidungskontext"/>
    <tableColumn id="7" name="Priorität"/>
    <tableColumn id="8" name="Empfänger"/>
    <tableColumn id="9" name="Fragesteller"/>
    <tableColumn id="10" name="Fällig"/>
    <tableColumn id="11" name="Antwort am"/>
    <tableColumn id="12" name="Status"/>
    <tableColumn id="13" name="Antwort"/>
    <tableColumn id="14" name="Evidenz / VDR-Link"/>
    <tableColumn id="15" name="Nachfrage / Next Step"/>
    <tableColumn id="16" name="Alter (Tage)"/>
    <tableColumn id="17" name="Überfällig?"/>
    <tableColumn id="18" name="Reviewer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QoE" displayName="tblQoE" ref="A9:P49" totalsRowShown="0">
  <autoFilter ref="A9:P49"/>
  <tableColumns count="16">
    <tableColumn id="1" name="Adj.-ID"/>
    <tableColumn id="2" name="Kategorie"/>
    <tableColumn id="3" name="Prüfansatz / Beschreibung"/>
    <tableColumn id="4" name="Richtung"/>
    <tableColumn id="5" name="Periode"/>
    <tableColumn id="6" name="Management-Betrag (€)"/>
    <tableColumn id="7" name="DD-Vorschlag (€)"/>
    <tableColumn id="8" name="Akzeptierter Betrag (€)"/>
    <tableColumn id="9" name="Evidenz"/>
    <tableColumn id="10" name="Wiederkehrend?"/>
    <tableColumn id="11" name="Cash / Non-Cash"/>
    <tableColumn id="12" name="Konfidenz"/>
    <tableColumn id="13" name="Status"/>
    <tableColumn id="14" name="Owner"/>
    <tableColumn id="15" name="Quelle / Ref."/>
    <tableColumn id="16" name="Kommenta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NetDebt" displayName="tblNetDebt" ref="A18:J35" totalsRowShown="0">
  <autoFilter ref="A18:J35"/>
  <tableColumns count="10">
    <tableColumn id="1" name="Position"/>
    <tableColumn id="2" name="Kategorie"/>
    <tableColumn id="3" name="Betrag (€)"/>
    <tableColumn id="4" name="Einbeziehen?"/>
    <tableColumn id="5" name="Vorzeichen"/>
    <tableColumn id="6" name="Einbezogener Betrag (€)"/>
    <tableColumn id="7" name="Begründung"/>
    <tableColumn id="8" name="Evidenz"/>
    <tableColumn id="9" name="SPA-Behandlung"/>
    <tableColumn id="10" name="Owner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Vertraege" displayName="tblVertraege" ref="A4:AB64" totalsRowShown="0">
  <autoFilter ref="A4:AB64"/>
  <tableColumns count="28">
    <tableColumn id="1" name="Vertrags-ID"/>
    <tableColumn id="2" name="Vertragstyp"/>
    <tableColumn id="3" name="Gegenpartei"/>
    <tableColumn id="4" name="Konzernzuordnung"/>
    <tableColumn id="5" name="Leistungsgegenstand"/>
    <tableColumn id="6" name="Jahreswert (€)"/>
    <tableColumn id="7" name="Marge / Kritikalität"/>
    <tableColumn id="8" name="Beginn"/>
    <tableColumn id="9" name="Ende"/>
    <tableColumn id="10" name="Autom. Verlängerung"/>
    <tableColumn id="11" name="Kündigungsfrist"/>
    <tableColumn id="12" name="Change of Control"/>
    <tableColumn id="13" name="Abtretung"/>
    <tableColumn id="14" name="Exklusivität / MFN"/>
    <tableColumn id="15" name="Mindestabnahme"/>
    <tableColumn id="16" name="Haftung / Cap"/>
    <tableColumn id="17" name="Freistellungen"/>
    <tableColumn id="18" name="SLA / Vertragsstrafe"/>
    <tableColumn id="19" name="Datenschutz / Security"/>
    <tableColumn id="20" name="IP-Rechte"/>
    <tableColumn id="21" name="Rechtswahl / Gerichtsstand"/>
    <tableColumn id="22" name="Consent nötig?"/>
    <tableColumn id="23" name="Risiko"/>
    <tableColumn id="24" name="Maßnahme"/>
    <tableColumn id="25" name="Owner"/>
    <tableColumn id="26" name="Status"/>
    <tableColumn id="27" name="VDR-Link"/>
    <tableColumn id="28" name="Checklisten-Ref.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11ITCyber" displayName="tbl11ITCyber" ref="A4:M16" totalsRowShown="0">
  <autoFilter ref="A4:M16"/>
  <tableColumns count="13">
    <tableColumn id="1" name="ID"/>
    <tableColumn id="2" name="Thema"/>
    <tableColumn id="3" name="Prüffrage"/>
    <tableColumn id="4" name="Evidenz"/>
    <tableColumn id="5" name="Test / Analyse"/>
    <tableColumn id="6" name="Red Flags"/>
    <tableColumn id="7" name="Reifegrad / Ergebnis"/>
    <tableColumn id="8" name="Risiko"/>
    <tableColumn id="9" name="Empfohlene Maßnahme"/>
    <tableColumn id="10" name="Owner"/>
    <tableColumn id="11" name="Fällig"/>
    <tableColumn id="12" name="Status"/>
    <tableColumn id="13" name="Master-Ref.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12HR" displayName="tbl12HR" ref="A4:M14" totalsRowShown="0">
  <autoFilter ref="A4:M14"/>
  <tableColumns count="13">
    <tableColumn id="1" name="ID"/>
    <tableColumn id="2" name="Thema"/>
    <tableColumn id="3" name="Prüffrage"/>
    <tableColumn id="4" name="Evidenz"/>
    <tableColumn id="5" name="Test / Analyse"/>
    <tableColumn id="6" name="Red Flags"/>
    <tableColumn id="7" name="Reifegrad / Ergebnis"/>
    <tableColumn id="8" name="Risiko"/>
    <tableColumn id="9" name="Empfohlene Maßnahme"/>
    <tableColumn id="10" name="Owner"/>
    <tableColumn id="11" name="Fällig"/>
    <tableColumn id="12" name="Status"/>
    <tableColumn id="13" name="Master-Ref.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13Steuern" displayName="tbl13Steuern" ref="A4:M15" totalsRowShown="0">
  <autoFilter ref="A4:M15"/>
  <tableColumns count="13">
    <tableColumn id="1" name="ID"/>
    <tableColumn id="2" name="Thema"/>
    <tableColumn id="3" name="Prüffrage"/>
    <tableColumn id="4" name="Evidenz"/>
    <tableColumn id="5" name="Test / Analyse"/>
    <tableColumn id="6" name="Red Flags"/>
    <tableColumn id="7" name="Reifegrad / Ergebnis"/>
    <tableColumn id="8" name="Risiko"/>
    <tableColumn id="9" name="Empfohlene Maßnahme"/>
    <tableColumn id="10" name="Owner"/>
    <tableColumn id="11" name="Fällig"/>
    <tableColumn id="12" name="Status"/>
    <tableColumn id="13" name="Master-Ref.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DealMechanismen" displayName="tblDealMechanismen" ref="A4:H19" totalsRowShown="0">
  <autoFilter ref="A4:H19"/>
  <tableColumns count="8">
    <tableColumn id="1" name="Mechanismus"/>
    <tableColumn id="2" name="Geeignet für"/>
    <tableColumn id="3" name="Typische Anwendungsfälle"/>
    <tableColumn id="4" name="Zentrale Ausgestaltung"/>
    <tableColumn id="5" name="Adressiertes Risiko"/>
    <tableColumn id="6" name="Federführung"/>
    <tableColumn id="7" name="Konkrete Entscheidung / Bezug"/>
    <tableColumn id="8" name="Statu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blQuellen" displayName="tblQuellen" ref="A4:G19" totalsRowShown="0">
  <autoFilter ref="A4:G19"/>
  <tableColumns count="7">
    <tableColumn id="1" name="Quellen-ID"/>
    <tableColumn id="2" name="Titel"/>
    <tableColumn id="3" name="Herausgeber"/>
    <tableColumn id="4" name="URL"/>
    <tableColumn id="5" name="Verwendung"/>
    <tableColumn id="6" name="Hinweis"/>
    <tableColumn id="7" name="Abrufdat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3.xml"/><Relationship Id="rId4" Type="http://schemas.openxmlformats.org/officeDocument/2006/relationships/comments" Target="../comments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table" Target="../tables/table4.xml"/><Relationship Id="rId3" Type="http://schemas.openxmlformats.org/officeDocument/2006/relationships/comments" Target="../comments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table" Target="../tables/table5.xml"/><Relationship Id="rId3" Type="http://schemas.openxmlformats.org/officeDocument/2006/relationships/comments" Target="../comments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table" Target="../tables/table6.xml"/><Relationship Id="rId3" Type="http://schemas.openxmlformats.org/officeDocument/2006/relationships/comments" Target="../comments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6.vml"/><Relationship Id="rId2" Type="http://schemas.openxmlformats.org/officeDocument/2006/relationships/table" Target="../tables/table7.xml"/><Relationship Id="rId3" Type="http://schemas.openxmlformats.org/officeDocument/2006/relationships/comments" Target="../comments6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7.vml"/><Relationship Id="rId2" Type="http://schemas.openxmlformats.org/officeDocument/2006/relationships/table" Target="../tables/table8.xml"/><Relationship Id="rId3" Type="http://schemas.openxmlformats.org/officeDocument/2006/relationships/comments" Target="../comments7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8.vml"/><Relationship Id="rId2" Type="http://schemas.openxmlformats.org/officeDocument/2006/relationships/comments" Target="../comments8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9.vml"/><Relationship Id="rId2" Type="http://schemas.openxmlformats.org/officeDocument/2006/relationships/table" Target="../tables/table9.xml"/><Relationship Id="rId3" Type="http://schemas.openxmlformats.org/officeDocument/2006/relationships/comments" Target="../comments9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0.vml"/><Relationship Id="rId2" Type="http://schemas.openxmlformats.org/officeDocument/2006/relationships/table" Target="../tables/table10.xml"/><Relationship Id="rId3" Type="http://schemas.openxmlformats.org/officeDocument/2006/relationships/comments" Target="../comments10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1.vml"/><Relationship Id="rId2" Type="http://schemas.openxmlformats.org/officeDocument/2006/relationships/table" Target="../tables/table11.xml"/><Relationship Id="rId3" Type="http://schemas.openxmlformats.org/officeDocument/2006/relationships/comments" Target="../comments11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2.vml"/><Relationship Id="rId2" Type="http://schemas.openxmlformats.org/officeDocument/2006/relationships/table" Target="../tables/table12.xml"/><Relationship Id="rId3" Type="http://schemas.openxmlformats.org/officeDocument/2006/relationships/comments" Target="../comments1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3.vml"/><Relationship Id="rId2" Type="http://schemas.openxmlformats.org/officeDocument/2006/relationships/table" Target="../tables/table13.xml"/><Relationship Id="rId3" Type="http://schemas.openxmlformats.org/officeDocument/2006/relationships/comments" Target="../comments13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4.vml"/><Relationship Id="rId2" Type="http://schemas.openxmlformats.org/officeDocument/2006/relationships/table" Target="../tables/table14.xml"/><Relationship Id="rId3" Type="http://schemas.openxmlformats.org/officeDocument/2006/relationships/comments" Target="../comments14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5.vml"/><Relationship Id="rId2" Type="http://schemas.openxmlformats.org/officeDocument/2006/relationships/table" Target="../tables/table15.xml"/><Relationship Id="rId3" Type="http://schemas.openxmlformats.org/officeDocument/2006/relationships/comments" Target="../comments15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https://de.wikipedia.org/wiki/Due-Diligence-Pr%C3%BCfung" TargetMode="External"/><Relationship Id="rId2" Type="http://schemas.openxmlformats.org/officeDocument/2006/relationships/hyperlink" Target="https://www.validatis.de/kyc-prozess/news-fachwissen/due-diligence-pruefung/" TargetMode="External"/><Relationship Id="rId3" Type="http://schemas.openxmlformats.org/officeDocument/2006/relationships/hyperlink" Target="https://www.bdo.de/de-de/services/advisory/deal-advisory/due-diligence" TargetMode="External"/><Relationship Id="rId4" Type="http://schemas.openxmlformats.org/officeDocument/2006/relationships/hyperlink" Target="https://www.schultze-braun.de/leistungen/wirtschaftspruefung/due-diligence-pruefungen" TargetMode="External"/><Relationship Id="rId5" Type="http://schemas.openxmlformats.org/officeDocument/2006/relationships/hyperlink" Target="https://sattlerundpartner.de/de/due-diligence-ablauf/" TargetMode="External"/><Relationship Id="rId6" Type="http://schemas.openxmlformats.org/officeDocument/2006/relationships/hyperlink" Target="https://eur-lex.europa.eu/eli/reg/2016/679/oj" TargetMode="External"/><Relationship Id="rId7" Type="http://schemas.openxmlformats.org/officeDocument/2006/relationships/hyperlink" Target="https://www.nist.gov/cyberframework" TargetMode="External"/><Relationship Id="rId8" Type="http://schemas.openxmlformats.org/officeDocument/2006/relationships/hyperlink" Target="https://www.bsi.bund.de/grundschutz" TargetMode="External"/><Relationship Id="rId9" Type="http://schemas.openxmlformats.org/officeDocument/2006/relationships/hyperlink" Target="https://www.gesetze-im-internet.de/gwg_2017/" TargetMode="External"/><Relationship Id="rId10" Type="http://schemas.openxmlformats.org/officeDocument/2006/relationships/hyperlink" Target="https://www.oecd.org/tax/transfer-pricing/oecd-transfer-pricing-guidelines-for-multinational-enterprises-and-tax-administrations-20769717.htm" TargetMode="External"/><Relationship Id="rId11" Type="http://schemas.openxmlformats.org/officeDocument/2006/relationships/hyperlink" Target="https://www.buchhaltung-einfach-sicher.de/bwl/due-diligence" TargetMode="External"/><Relationship Id="rId12" Type="http://schemas.openxmlformats.org/officeDocument/2006/relationships/hyperlink" Target="https://www.gesetze-im-internet.de/hinschg/" TargetMode="External"/><Relationship Id="rId13" Type="http://schemas.openxmlformats.org/officeDocument/2006/relationships/hyperlink" Target="https://mneguidelines.oecd.org/" TargetMode="External"/><Relationship Id="rId14" Type="http://schemas.openxmlformats.org/officeDocument/2006/relationships/hyperlink" Target="https://finance.ec.europa.eu/capital-markets-union-and-financial-markets/company-reporting-and-auditing/company-reporting/corporate-sustainability-reporting_en" TargetMode="External"/><Relationship Id="rId15" Type="http://schemas.openxmlformats.org/officeDocument/2006/relationships/hyperlink" Target="https://www.youtube.com/watch?v=fP3Nzk8h5iw&amp;t=157" TargetMode="External"/><Relationship Id="rId16" Type="http://schemas.openxmlformats.org/officeDocument/2006/relationships/vmlDrawing" Target="../drawings/vmlDrawing16.vml"/><Relationship Id="rId17" Type="http://schemas.openxmlformats.org/officeDocument/2006/relationships/table" Target="../tables/table16.xml"/><Relationship Id="rId18" Type="http://schemas.openxmlformats.org/officeDocument/2006/relationships/comments" Target="../comments1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t="s">
        <v>0</v>
      </c>
      <c r="B1" t="s">
        <v>7</v>
      </c>
      <c r="C1" t="s">
        <v>12</v>
      </c>
      <c r="D1" t="s">
        <v>18</v>
      </c>
      <c r="E1" t="s">
        <v>22</v>
      </c>
      <c r="F1" t="s">
        <v>28</v>
      </c>
      <c r="G1" t="s">
        <v>33</v>
      </c>
      <c r="H1" t="s">
        <v>39</v>
      </c>
      <c r="I1" t="s">
        <v>44</v>
      </c>
      <c r="J1" t="s">
        <v>51</v>
      </c>
      <c r="K1" t="s">
        <v>56</v>
      </c>
      <c r="L1" t="s">
        <v>64</v>
      </c>
      <c r="M1" t="s">
        <v>72</v>
      </c>
      <c r="N1" t="s">
        <v>78</v>
      </c>
    </row>
    <row r="2" spans="1:14">
      <c r="A2" t="s">
        <v>1</v>
      </c>
      <c r="B2" t="s">
        <v>8</v>
      </c>
      <c r="C2" t="s">
        <v>13</v>
      </c>
      <c r="D2" t="s">
        <v>19</v>
      </c>
      <c r="E2" t="s">
        <v>23</v>
      </c>
      <c r="F2" t="s">
        <v>29</v>
      </c>
      <c r="G2" t="s">
        <v>34</v>
      </c>
      <c r="H2" t="s">
        <v>40</v>
      </c>
      <c r="I2" t="s">
        <v>45</v>
      </c>
      <c r="J2" t="s">
        <v>52</v>
      </c>
      <c r="K2" t="s">
        <v>57</v>
      </c>
      <c r="L2" t="s">
        <v>65</v>
      </c>
      <c r="M2" t="s">
        <v>73</v>
      </c>
      <c r="N2" t="s">
        <v>79</v>
      </c>
    </row>
    <row r="3" spans="1:14">
      <c r="A3" t="s">
        <v>2</v>
      </c>
      <c r="B3" t="s">
        <v>9</v>
      </c>
      <c r="C3" t="s">
        <v>14</v>
      </c>
      <c r="D3" t="s">
        <v>20</v>
      </c>
      <c r="E3" t="s">
        <v>24</v>
      </c>
      <c r="F3" t="s">
        <v>30</v>
      </c>
      <c r="G3" t="s">
        <v>35</v>
      </c>
      <c r="H3" t="s">
        <v>41</v>
      </c>
      <c r="I3" t="s">
        <v>46</v>
      </c>
      <c r="J3" t="s">
        <v>53</v>
      </c>
      <c r="K3" t="s">
        <v>58</v>
      </c>
      <c r="L3" t="s">
        <v>66</v>
      </c>
      <c r="M3" t="s">
        <v>74</v>
      </c>
      <c r="N3" t="s">
        <v>80</v>
      </c>
    </row>
    <row r="4" spans="1:14">
      <c r="A4" t="s">
        <v>3</v>
      </c>
      <c r="B4" t="s">
        <v>10</v>
      </c>
      <c r="C4" t="s">
        <v>15</v>
      </c>
      <c r="D4" t="s">
        <v>21</v>
      </c>
      <c r="E4" t="s">
        <v>25</v>
      </c>
      <c r="F4" t="s">
        <v>31</v>
      </c>
      <c r="G4" t="s">
        <v>36</v>
      </c>
      <c r="H4" t="s">
        <v>4</v>
      </c>
      <c r="I4" t="s">
        <v>47</v>
      </c>
      <c r="J4" t="s">
        <v>54</v>
      </c>
      <c r="K4" t="s">
        <v>59</v>
      </c>
      <c r="L4" t="s">
        <v>67</v>
      </c>
      <c r="M4" t="s">
        <v>75</v>
      </c>
      <c r="N4" t="s">
        <v>68</v>
      </c>
    </row>
    <row r="5" spans="1:14">
      <c r="A5" t="s">
        <v>4</v>
      </c>
      <c r="B5" t="s">
        <v>11</v>
      </c>
      <c r="C5" t="s">
        <v>16</v>
      </c>
      <c r="E5" t="s">
        <v>26</v>
      </c>
      <c r="F5" t="s">
        <v>32</v>
      </c>
      <c r="G5" t="s">
        <v>37</v>
      </c>
      <c r="H5" t="s">
        <v>42</v>
      </c>
      <c r="I5" t="s">
        <v>48</v>
      </c>
      <c r="J5" t="s">
        <v>55</v>
      </c>
      <c r="K5" t="s">
        <v>60</v>
      </c>
      <c r="L5" t="s">
        <v>68</v>
      </c>
      <c r="M5" t="s">
        <v>76</v>
      </c>
      <c r="N5" t="s">
        <v>81</v>
      </c>
    </row>
    <row r="6" spans="1:14">
      <c r="A6" t="s">
        <v>5</v>
      </c>
      <c r="C6" t="s">
        <v>17</v>
      </c>
      <c r="E6" t="s">
        <v>27</v>
      </c>
      <c r="G6" t="s">
        <v>38</v>
      </c>
      <c r="H6" t="s">
        <v>43</v>
      </c>
      <c r="I6" t="s">
        <v>49</v>
      </c>
      <c r="K6" t="s">
        <v>61</v>
      </c>
      <c r="L6" t="s">
        <v>69</v>
      </c>
      <c r="M6" t="s">
        <v>77</v>
      </c>
      <c r="N6" t="s">
        <v>82</v>
      </c>
    </row>
    <row r="7" spans="1:14">
      <c r="A7" t="s">
        <v>6</v>
      </c>
      <c r="E7" t="s">
        <v>6</v>
      </c>
      <c r="I7" t="s">
        <v>50</v>
      </c>
      <c r="K7" t="s">
        <v>62</v>
      </c>
      <c r="L7" t="s">
        <v>70</v>
      </c>
      <c r="N7" t="s">
        <v>83</v>
      </c>
    </row>
    <row r="8" spans="1:14">
      <c r="K8" t="s">
        <v>63</v>
      </c>
      <c r="L8" t="s">
        <v>71</v>
      </c>
      <c r="N8" t="s">
        <v>84</v>
      </c>
    </row>
    <row r="9" spans="1:14">
      <c r="L9" t="s">
        <v>21</v>
      </c>
      <c r="N9" t="s">
        <v>85</v>
      </c>
    </row>
    <row r="10" spans="1:14">
      <c r="N10" t="s">
        <v>86</v>
      </c>
    </row>
    <row r="11" spans="1:14">
      <c r="N11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F4E78"/>
  </sheetPr>
  <dimension ref="A1:H28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0.7109375" customWidth="1"/>
    <col min="2" max="2" width="34.7109375" customWidth="1"/>
    <col min="3" max="8" width="18.7109375" customWidth="1"/>
  </cols>
  <sheetData>
    <row r="1" spans="1:8" ht="30" customHeight="1">
      <c r="A1" s="1" t="s">
        <v>87</v>
      </c>
      <c r="B1" s="1"/>
      <c r="C1" s="1"/>
      <c r="D1" s="1"/>
      <c r="E1" s="1"/>
      <c r="F1" s="1"/>
      <c r="G1" s="1"/>
      <c r="H1" s="1"/>
    </row>
    <row r="2" spans="1:8" ht="34" customHeight="1">
      <c r="A2" s="2" t="s">
        <v>88</v>
      </c>
      <c r="B2" s="2"/>
      <c r="C2" s="2"/>
      <c r="D2" s="2"/>
      <c r="E2" s="2"/>
      <c r="F2" s="2"/>
      <c r="G2" s="2"/>
      <c r="H2" s="2"/>
    </row>
    <row r="4" spans="1:8">
      <c r="A4" s="3" t="s">
        <v>89</v>
      </c>
      <c r="B4" s="3"/>
      <c r="C4" s="3"/>
      <c r="D4" s="3"/>
      <c r="E4" s="3"/>
      <c r="F4" s="3"/>
      <c r="G4" s="3"/>
      <c r="H4" s="3"/>
    </row>
    <row r="5" spans="1:8">
      <c r="A5" s="4" t="s">
        <v>90</v>
      </c>
      <c r="B5" s="5"/>
      <c r="D5" s="3" t="s">
        <v>99</v>
      </c>
      <c r="E5" s="3"/>
      <c r="F5" s="3"/>
      <c r="G5" s="3"/>
      <c r="H5" s="3"/>
    </row>
    <row r="6" spans="1:8" ht="32" customHeight="1">
      <c r="A6" s="4" t="s">
        <v>56</v>
      </c>
      <c r="B6" s="5" t="s">
        <v>57</v>
      </c>
      <c r="D6" s="4" t="s">
        <v>100</v>
      </c>
      <c r="E6" s="6" t="s">
        <v>101</v>
      </c>
      <c r="F6" s="6"/>
      <c r="G6" s="6"/>
      <c r="H6" s="6"/>
    </row>
    <row r="7" spans="1:8" ht="32" customHeight="1">
      <c r="A7" s="4" t="s">
        <v>91</v>
      </c>
      <c r="B7" s="5"/>
      <c r="D7" s="4" t="s">
        <v>102</v>
      </c>
      <c r="E7" s="6" t="s">
        <v>103</v>
      </c>
      <c r="F7" s="6"/>
      <c r="G7" s="6"/>
      <c r="H7" s="6"/>
    </row>
    <row r="8" spans="1:8" ht="32" customHeight="1">
      <c r="A8" s="4" t="s">
        <v>92</v>
      </c>
      <c r="B8" s="7"/>
      <c r="D8" s="4" t="s">
        <v>104</v>
      </c>
      <c r="E8" s="6" t="s">
        <v>105</v>
      </c>
      <c r="F8" s="6"/>
      <c r="G8" s="6"/>
      <c r="H8" s="6"/>
    </row>
    <row r="9" spans="1:8" ht="32" customHeight="1">
      <c r="A9" s="4" t="s">
        <v>93</v>
      </c>
      <c r="B9" s="5"/>
      <c r="D9" s="4" t="s">
        <v>106</v>
      </c>
      <c r="E9" s="6" t="s">
        <v>107</v>
      </c>
      <c r="F9" s="6"/>
      <c r="G9" s="6"/>
      <c r="H9" s="6"/>
    </row>
    <row r="10" spans="1:8" ht="32" customHeight="1">
      <c r="A10" s="4" t="s">
        <v>94</v>
      </c>
      <c r="B10" s="5" t="s">
        <v>95</v>
      </c>
      <c r="D10" s="4" t="s">
        <v>108</v>
      </c>
      <c r="E10" s="6" t="s">
        <v>109</v>
      </c>
      <c r="F10" s="6"/>
      <c r="G10" s="6"/>
      <c r="H10" s="6"/>
    </row>
    <row r="11" spans="1:8" ht="32" customHeight="1">
      <c r="A11" s="4" t="s">
        <v>51</v>
      </c>
      <c r="B11" s="5" t="s">
        <v>54</v>
      </c>
      <c r="D11" s="4" t="s">
        <v>110</v>
      </c>
      <c r="E11" s="6" t="s">
        <v>111</v>
      </c>
      <c r="F11" s="6"/>
      <c r="G11" s="6"/>
      <c r="H11" s="6"/>
    </row>
    <row r="12" spans="1:8">
      <c r="A12" s="4" t="s">
        <v>96</v>
      </c>
      <c r="B12" s="5" t="s">
        <v>97</v>
      </c>
    </row>
    <row r="13" spans="1:8">
      <c r="A13" s="4" t="s">
        <v>98</v>
      </c>
      <c r="B13" s="8"/>
    </row>
    <row r="15" spans="1:8">
      <c r="A15" s="3" t="s">
        <v>112</v>
      </c>
      <c r="B15" s="3"/>
      <c r="C15" s="3"/>
      <c r="D15" s="3"/>
      <c r="E15" s="3"/>
      <c r="F15" s="3"/>
      <c r="G15" s="3"/>
      <c r="H15" s="3"/>
    </row>
    <row r="16" spans="1:8">
      <c r="A16" s="9" t="s">
        <v>113</v>
      </c>
      <c r="B16" s="9" t="s">
        <v>114</v>
      </c>
      <c r="C16" s="9" t="s">
        <v>115</v>
      </c>
      <c r="D16" s="9" t="s">
        <v>116</v>
      </c>
      <c r="E16" s="9" t="s">
        <v>132</v>
      </c>
      <c r="F16" s="9"/>
      <c r="G16" s="9"/>
      <c r="H16" s="9"/>
    </row>
    <row r="17" spans="1:8">
      <c r="A17" s="6">
        <v>1</v>
      </c>
      <c r="B17" s="6" t="s">
        <v>117</v>
      </c>
      <c r="C17" s="6" t="s">
        <v>118</v>
      </c>
      <c r="D17" s="6" t="s">
        <v>119</v>
      </c>
    </row>
    <row r="18" spans="1:8">
      <c r="A18" s="6">
        <v>2</v>
      </c>
      <c r="B18" s="6" t="s">
        <v>120</v>
      </c>
      <c r="C18" s="6" t="s">
        <v>121</v>
      </c>
      <c r="D18" s="6" t="s">
        <v>122</v>
      </c>
      <c r="E18" s="10" t="s">
        <v>133</v>
      </c>
      <c r="F18" s="10" t="s">
        <v>11</v>
      </c>
      <c r="G18" s="11" t="s">
        <v>134</v>
      </c>
      <c r="H18" s="11"/>
    </row>
    <row r="19" spans="1:8">
      <c r="A19" s="6">
        <v>3</v>
      </c>
      <c r="B19" s="6" t="s">
        <v>123</v>
      </c>
      <c r="C19" s="6" t="s">
        <v>124</v>
      </c>
      <c r="D19" s="6" t="s">
        <v>125</v>
      </c>
      <c r="E19" s="12" t="s">
        <v>135</v>
      </c>
      <c r="F19" s="12" t="s">
        <v>10</v>
      </c>
      <c r="G19" s="13" t="s">
        <v>136</v>
      </c>
      <c r="H19" s="13"/>
    </row>
    <row r="20" spans="1:8">
      <c r="A20" s="6">
        <v>4</v>
      </c>
      <c r="B20" s="6" t="s">
        <v>126</v>
      </c>
      <c r="C20" s="6" t="s">
        <v>127</v>
      </c>
      <c r="D20" s="6" t="s">
        <v>128</v>
      </c>
      <c r="E20" s="14" t="s">
        <v>137</v>
      </c>
      <c r="F20" s="14" t="s">
        <v>9</v>
      </c>
      <c r="G20" s="15" t="s">
        <v>138</v>
      </c>
      <c r="H20" s="15"/>
    </row>
    <row r="21" spans="1:8">
      <c r="A21" s="6">
        <v>5</v>
      </c>
      <c r="B21" s="6" t="s">
        <v>129</v>
      </c>
      <c r="C21" s="6" t="s">
        <v>130</v>
      </c>
      <c r="D21" s="6" t="s">
        <v>131</v>
      </c>
      <c r="E21" s="16" t="s">
        <v>139</v>
      </c>
      <c r="F21" s="16" t="s">
        <v>8</v>
      </c>
      <c r="G21" s="17" t="s">
        <v>140</v>
      </c>
      <c r="H21" s="17"/>
    </row>
    <row r="23" spans="1:8">
      <c r="A23" s="3" t="s">
        <v>141</v>
      </c>
      <c r="B23" s="3"/>
      <c r="C23" s="3"/>
      <c r="D23" s="3"/>
      <c r="E23" s="3"/>
      <c r="F23" s="3"/>
      <c r="G23" s="3"/>
      <c r="H23" s="3"/>
    </row>
    <row r="24" spans="1:8" ht="30" customHeight="1">
      <c r="A24" s="6" t="s">
        <v>142</v>
      </c>
      <c r="B24" s="6"/>
      <c r="C24" s="6"/>
      <c r="D24" s="6"/>
      <c r="E24" s="6"/>
      <c r="F24" s="6"/>
      <c r="G24" s="6"/>
      <c r="H24" s="6"/>
    </row>
    <row r="25" spans="1:8" ht="30" customHeight="1">
      <c r="A25" s="6" t="s">
        <v>143</v>
      </c>
      <c r="B25" s="6"/>
      <c r="C25" s="6"/>
      <c r="D25" s="6"/>
      <c r="E25" s="6"/>
      <c r="F25" s="6"/>
      <c r="G25" s="6"/>
      <c r="H25" s="6"/>
    </row>
    <row r="26" spans="1:8" ht="30" customHeight="1">
      <c r="A26" s="6" t="s">
        <v>144</v>
      </c>
      <c r="B26" s="6"/>
      <c r="C26" s="6"/>
      <c r="D26" s="6"/>
      <c r="E26" s="6"/>
      <c r="F26" s="6"/>
      <c r="G26" s="6"/>
      <c r="H26" s="6"/>
    </row>
    <row r="27" spans="1:8" ht="30" customHeight="1">
      <c r="A27" s="6" t="s">
        <v>145</v>
      </c>
      <c r="B27" s="6"/>
      <c r="C27" s="6"/>
      <c r="D27" s="6"/>
      <c r="E27" s="6"/>
      <c r="F27" s="6"/>
      <c r="G27" s="6"/>
      <c r="H27" s="6"/>
    </row>
    <row r="28" spans="1:8" ht="30" customHeight="1">
      <c r="A28" s="6" t="s">
        <v>146</v>
      </c>
      <c r="B28" s="6"/>
      <c r="C28" s="6"/>
      <c r="D28" s="6"/>
      <c r="E28" s="6"/>
      <c r="F28" s="6"/>
      <c r="G28" s="6"/>
      <c r="H28" s="6"/>
    </row>
  </sheetData>
  <mergeCells count="22">
    <mergeCell ref="A1:H1"/>
    <mergeCell ref="A2:H2"/>
    <mergeCell ref="A4:H4"/>
    <mergeCell ref="D5:H5"/>
    <mergeCell ref="E6:H6"/>
    <mergeCell ref="E7:H7"/>
    <mergeCell ref="E8:H8"/>
    <mergeCell ref="E9:H9"/>
    <mergeCell ref="E10:H10"/>
    <mergeCell ref="E11:H11"/>
    <mergeCell ref="A15:H15"/>
    <mergeCell ref="E16:H16"/>
    <mergeCell ref="G18:H18"/>
    <mergeCell ref="G19:H19"/>
    <mergeCell ref="G20:H20"/>
    <mergeCell ref="G21:H21"/>
    <mergeCell ref="A23:H23"/>
    <mergeCell ref="A24:H24"/>
    <mergeCell ref="A25:H25"/>
    <mergeCell ref="A26:H26"/>
    <mergeCell ref="A27:H27"/>
    <mergeCell ref="A28:H28"/>
  </mergeCells>
  <dataValidations count="9">
    <dataValidation allowBlank="1" showInputMessage="1" showErrorMessage="1" errorTitle="Eingabe prüfen" error="Bitte die vorgegebene Auswahl bzw. das geforderte Format verwenden." promptTitle="Zielunternehmen" prompt="Vollständige rechtliche Firma bzw. exakten Carve-out-Perimeter eintragen." sqref="B5"/>
    <dataValidation type="list" allowBlank="1" showInputMessage="1" showErrorMessage="1" errorTitle="Eingabe prüfen" error="Bitte die vorgegebene Auswahl bzw. das geforderte Format verwenden." promptTitle="Transaktionstyp" prompt="Transaktionsform aus der Liste wählen." sqref="B6">
      <formula1>Transaktionstyp</formula1>
    </dataValidation>
    <dataValidation allowBlank="1" showInputMessage="1" showErrorMessage="1" errorTitle="Eingabe prüfen" error="Bitte die vorgegebene Auswahl bzw. das geforderte Format verwenden." promptTitle="Käufer / Investor" prompt="Rechtliche Firma oder eindeutig benannte Investorengruppe eintragen." sqref="B7"/>
    <dataValidation type="date" allowBlank="1" showInputMessage="1" showErrorMessage="1" errorTitle="Eingabe prüfen" error="Bitte die vorgegebene Auswahl bzw. das geforderte Format verwenden." promptTitle="DD-Stichtag" prompt="Informations-/Bewertungsstichtag im Format TT.MM.JJJJ." sqref="B8">
      <formula1>36526</formula1>
      <formula2>73415</formula2>
    </dataValidation>
    <dataValidation allowBlank="1" showInputMessage="1" showErrorMessage="1" errorTitle="Eingabe prüfen" error="Bitte die vorgegebene Auswahl bzw. das geforderte Format verwenden." promptTitle="Projektleitung" prompt="Eine gesamtverantwortliche Person mit Rolle nennen." sqref="B9"/>
    <dataValidation allowBlank="1" showInputMessage="1" showErrorMessage="1" errorTitle="Eingabe prüfen" error="Bitte die vorgegebene Auswahl bzw. das geforderte Format verwenden." promptTitle="Version" prompt="Freigabestand, z. B. 1.1." sqref="B10"/>
    <dataValidation type="list" allowBlank="1" showInputMessage="1" showErrorMessage="1" errorTitle="Eingabe prüfen" error="Bitte die vorgegebene Auswahl bzw. das geforderte Format verwenden." promptTitle="Vertraulichkeit" prompt="Schutzstufe gemäß NDA/Clean-Team-Regeln wählen." sqref="B11">
      <formula1>Vertraulichkeit</formula1>
    </dataValidation>
    <dataValidation allowBlank="1" showInputMessage="1" showErrorMessage="1" errorTitle="Eingabe prüfen" error="Bitte die vorgegebene Auswahl bzw. das geforderte Format verwenden." promptTitle="Berichtswährung" prompt="ISO-Währungscode, z. B. EUR, USD oder GBP." sqref="B12"/>
    <dataValidation type="decimal" operator="greaterThanOrEqual" allowBlank="1" showInputMessage="1" showErrorMessage="1" errorTitle="Eingabe prüfen" error="Bitte die vorgegebene Auswahl bzw. das geforderte Format verwenden." promptTitle="Materialität" prompt="Genehmigte quantitative Basisschwelle als Zahl ohne Währungszeichen." sqref="B13">
      <formula1>0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48235"/>
  </sheetPr>
  <dimension ref="A1:I344"/>
  <sheetViews>
    <sheetView showGridLines="0" tabSelected="1" workbookViewId="0">
      <pane xSplit="2" ySplit="39" topLeftCell="C40" activePane="bottomRight" state="frozen"/>
      <selection pane="topRight" activeCell="C1" sqref="C1"/>
      <selection pane="bottomLeft" activeCell="A40" sqref="A40"/>
      <selection pane="bottomRight"/>
    </sheetView>
  </sheetViews>
  <sheetFormatPr defaultRowHeight="48" customHeight="1"/>
  <cols>
    <col min="1" max="1" width="24.7109375" customWidth="1"/>
    <col min="2" max="2" width="30.7109375" customWidth="1"/>
    <col min="3" max="4" width="18.7109375" customWidth="1"/>
    <col min="5" max="5" width="46.7109375" customWidth="1"/>
    <col min="6" max="6" width="36.7109375" customWidth="1"/>
    <col min="7" max="7" width="20.7109375" customWidth="1"/>
    <col min="8" max="8" width="34.7109375" customWidth="1"/>
    <col min="9" max="9" width="42.7109375" customWidth="1"/>
  </cols>
  <sheetData>
    <row r="1" spans="1:9" ht="30" customHeight="1">
      <c r="A1" s="1" t="s">
        <v>2500</v>
      </c>
      <c r="B1" s="1"/>
      <c r="C1" s="1"/>
      <c r="D1" s="1"/>
      <c r="E1" s="1"/>
      <c r="F1" s="1"/>
      <c r="G1" s="1"/>
      <c r="H1" s="1"/>
      <c r="I1" s="1"/>
    </row>
    <row r="2" spans="1:9" ht="34" customHeight="1">
      <c r="A2" s="2" t="s">
        <v>2501</v>
      </c>
      <c r="B2" s="2"/>
      <c r="C2" s="2"/>
      <c r="D2" s="2"/>
      <c r="E2" s="2"/>
      <c r="F2" s="2"/>
      <c r="G2" s="2"/>
      <c r="H2" s="2"/>
      <c r="I2" s="2"/>
    </row>
    <row r="4" spans="1:9" ht="48" customHeight="1">
      <c r="A4" s="3" t="s">
        <v>2502</v>
      </c>
      <c r="B4" s="3"/>
      <c r="C4" s="3"/>
      <c r="D4" s="3"/>
      <c r="E4" s="3"/>
      <c r="F4" s="3"/>
      <c r="G4" s="3"/>
      <c r="H4" s="3"/>
      <c r="I4" s="3"/>
    </row>
    <row r="5" spans="1:9" ht="32" customHeight="1">
      <c r="A5" s="4" t="s">
        <v>2503</v>
      </c>
      <c r="B5" s="6" t="s">
        <v>2504</v>
      </c>
      <c r="C5" s="6"/>
      <c r="D5" s="6"/>
      <c r="E5" s="6"/>
      <c r="F5" s="6"/>
      <c r="G5" s="6"/>
      <c r="H5" s="6"/>
      <c r="I5" s="6"/>
    </row>
    <row r="6" spans="1:9" ht="32" customHeight="1">
      <c r="A6" s="4" t="s">
        <v>2505</v>
      </c>
      <c r="B6" s="6" t="s">
        <v>2506</v>
      </c>
      <c r="C6" s="6"/>
      <c r="D6" s="6"/>
      <c r="E6" s="6"/>
      <c r="F6" s="6"/>
      <c r="G6" s="6"/>
      <c r="H6" s="6"/>
      <c r="I6" s="6"/>
    </row>
    <row r="7" spans="1:9" ht="32" customHeight="1">
      <c r="A7" s="4" t="s">
        <v>2507</v>
      </c>
      <c r="B7" s="6" t="s">
        <v>2508</v>
      </c>
      <c r="C7" s="6"/>
      <c r="D7" s="6"/>
      <c r="E7" s="6"/>
      <c r="F7" s="6"/>
      <c r="G7" s="6"/>
      <c r="H7" s="6"/>
      <c r="I7" s="6"/>
    </row>
    <row r="8" spans="1:9" ht="32" customHeight="1">
      <c r="A8" s="4" t="s">
        <v>2509</v>
      </c>
      <c r="B8" s="6" t="s">
        <v>2510</v>
      </c>
      <c r="C8" s="6"/>
      <c r="D8" s="6"/>
      <c r="E8" s="6"/>
      <c r="F8" s="6"/>
      <c r="G8" s="6"/>
      <c r="H8" s="6"/>
      <c r="I8" s="6"/>
    </row>
    <row r="9" spans="1:9" ht="32" customHeight="1">
      <c r="A9" s="4" t="s">
        <v>2511</v>
      </c>
      <c r="B9" s="6" t="s">
        <v>2512</v>
      </c>
      <c r="C9" s="6"/>
      <c r="D9" s="6"/>
      <c r="E9" s="6"/>
      <c r="F9" s="6"/>
      <c r="G9" s="6"/>
      <c r="H9" s="6"/>
      <c r="I9" s="6"/>
    </row>
    <row r="10" spans="1:9" ht="32" customHeight="1">
      <c r="A10" s="4" t="s">
        <v>2513</v>
      </c>
      <c r="B10" s="6" t="s">
        <v>2514</v>
      </c>
      <c r="C10" s="6"/>
      <c r="D10" s="6"/>
      <c r="E10" s="6"/>
      <c r="F10" s="6"/>
      <c r="G10" s="6"/>
      <c r="H10" s="6"/>
      <c r="I10" s="6"/>
    </row>
    <row r="12" spans="1:9" ht="48" customHeight="1">
      <c r="A12" s="3" t="s">
        <v>2515</v>
      </c>
      <c r="B12" s="3"/>
      <c r="C12" s="3"/>
      <c r="D12" s="3"/>
      <c r="E12" s="3"/>
      <c r="F12" s="3"/>
      <c r="G12" s="3"/>
      <c r="H12" s="3"/>
      <c r="I12" s="3"/>
    </row>
    <row r="13" spans="1:9" ht="48" customHeight="1">
      <c r="A13" s="12" t="s">
        <v>2516</v>
      </c>
      <c r="B13" s="6" t="s">
        <v>2517</v>
      </c>
      <c r="C13" s="6"/>
      <c r="D13" s="6"/>
      <c r="E13" s="6"/>
      <c r="F13" s="6"/>
      <c r="G13" s="6"/>
      <c r="H13" s="6"/>
      <c r="I13" s="6"/>
    </row>
    <row r="14" spans="1:9" ht="48" customHeight="1">
      <c r="A14" s="18" t="s">
        <v>2518</v>
      </c>
      <c r="B14" s="6" t="s">
        <v>2519</v>
      </c>
      <c r="C14" s="6"/>
      <c r="D14" s="6"/>
      <c r="E14" s="6"/>
      <c r="F14" s="6"/>
      <c r="G14" s="6"/>
      <c r="H14" s="6"/>
      <c r="I14" s="6"/>
    </row>
    <row r="15" spans="1:9" ht="48" customHeight="1">
      <c r="A15" s="16" t="s">
        <v>2520</v>
      </c>
      <c r="B15" s="6" t="s">
        <v>2521</v>
      </c>
      <c r="C15" s="6"/>
      <c r="D15" s="6"/>
      <c r="E15" s="6"/>
      <c r="F15" s="6"/>
      <c r="G15" s="6"/>
      <c r="H15" s="6"/>
      <c r="I15" s="6"/>
    </row>
    <row r="16" spans="1:9" ht="48" customHeight="1">
      <c r="A16" s="19" t="s">
        <v>2522</v>
      </c>
      <c r="B16" s="6" t="s">
        <v>2523</v>
      </c>
      <c r="C16" s="6"/>
      <c r="D16" s="6"/>
      <c r="E16" s="6"/>
      <c r="F16" s="6"/>
      <c r="G16" s="6"/>
      <c r="H16" s="6"/>
      <c r="I16" s="6"/>
    </row>
    <row r="18" spans="1:9" ht="48" customHeight="1">
      <c r="A18" s="3" t="s">
        <v>2524</v>
      </c>
      <c r="B18" s="3"/>
      <c r="C18" s="3"/>
      <c r="D18" s="3"/>
      <c r="E18" s="3"/>
      <c r="F18" s="3"/>
      <c r="G18" s="3"/>
      <c r="H18" s="3"/>
      <c r="I18" s="3"/>
    </row>
    <row r="19" spans="1:9" ht="36" customHeight="1">
      <c r="A19" t="s">
        <v>2606</v>
      </c>
      <c r="B19" t="s">
        <v>2607</v>
      </c>
      <c r="C19" t="s">
        <v>2608</v>
      </c>
      <c r="D19" t="s">
        <v>2609</v>
      </c>
      <c r="E19" t="s">
        <v>2610</v>
      </c>
    </row>
    <row r="20" spans="1:9" ht="48" customHeight="1">
      <c r="A20" s="20" t="s">
        <v>2525</v>
      </c>
      <c r="B20" s="6" t="s">
        <v>2526</v>
      </c>
      <c r="C20" s="6" t="s">
        <v>2527</v>
      </c>
      <c r="D20" s="6" t="s">
        <v>2528</v>
      </c>
      <c r="E20" s="6" t="s">
        <v>2529</v>
      </c>
    </row>
    <row r="21" spans="1:9" ht="48" customHeight="1">
      <c r="A21" s="20" t="s">
        <v>2530</v>
      </c>
      <c r="B21" s="6" t="s">
        <v>2531</v>
      </c>
      <c r="C21" s="6" t="s">
        <v>2532</v>
      </c>
      <c r="D21" s="6" t="s">
        <v>2533</v>
      </c>
      <c r="E21" s="6" t="s">
        <v>2534</v>
      </c>
    </row>
    <row r="22" spans="1:9" ht="48" customHeight="1">
      <c r="A22" s="20" t="s">
        <v>2535</v>
      </c>
      <c r="B22" s="6" t="s">
        <v>2536</v>
      </c>
      <c r="C22" s="6" t="s">
        <v>2537</v>
      </c>
      <c r="D22" s="6" t="s">
        <v>2538</v>
      </c>
      <c r="E22" s="6" t="s">
        <v>2539</v>
      </c>
    </row>
    <row r="23" spans="1:9" ht="48" customHeight="1">
      <c r="A23" s="20" t="s">
        <v>2540</v>
      </c>
      <c r="B23" s="6" t="s">
        <v>2541</v>
      </c>
      <c r="C23" s="6" t="s">
        <v>2542</v>
      </c>
      <c r="D23" s="6" t="s">
        <v>2543</v>
      </c>
      <c r="E23" s="6" t="s">
        <v>2544</v>
      </c>
    </row>
    <row r="24" spans="1:9" ht="48" customHeight="1">
      <c r="A24" s="20" t="s">
        <v>2545</v>
      </c>
      <c r="B24" s="6" t="s">
        <v>2546</v>
      </c>
      <c r="C24" s="6" t="s">
        <v>2547</v>
      </c>
      <c r="D24" s="6" t="s">
        <v>2548</v>
      </c>
      <c r="E24" s="6" t="s">
        <v>2549</v>
      </c>
    </row>
    <row r="25" spans="1:9" ht="48" customHeight="1">
      <c r="A25" s="20" t="s">
        <v>2550</v>
      </c>
      <c r="B25" s="6" t="s">
        <v>2551</v>
      </c>
      <c r="C25" s="6" t="s">
        <v>2552</v>
      </c>
      <c r="D25" s="6" t="s">
        <v>2553</v>
      </c>
      <c r="E25" s="6" t="s">
        <v>2554</v>
      </c>
    </row>
    <row r="26" spans="1:9" ht="48" customHeight="1">
      <c r="A26" s="20" t="s">
        <v>2555</v>
      </c>
      <c r="B26" s="6" t="s">
        <v>2556</v>
      </c>
      <c r="C26" s="6" t="s">
        <v>2557</v>
      </c>
      <c r="D26" s="6" t="s">
        <v>2558</v>
      </c>
      <c r="E26" s="6" t="s">
        <v>2559</v>
      </c>
    </row>
    <row r="27" spans="1:9" ht="48" customHeight="1">
      <c r="A27" s="20" t="s">
        <v>2560</v>
      </c>
      <c r="B27" s="6" t="s">
        <v>2561</v>
      </c>
      <c r="C27" s="6" t="s">
        <v>2562</v>
      </c>
      <c r="D27" s="6" t="s">
        <v>2563</v>
      </c>
      <c r="E27" s="6" t="s">
        <v>2564</v>
      </c>
    </row>
    <row r="28" spans="1:9" ht="48" customHeight="1">
      <c r="A28" s="20" t="s">
        <v>2565</v>
      </c>
      <c r="B28" s="6" t="s">
        <v>2566</v>
      </c>
      <c r="C28" s="6" t="s">
        <v>2567</v>
      </c>
      <c r="D28" s="6" t="s">
        <v>2568</v>
      </c>
      <c r="E28" s="6" t="s">
        <v>2569</v>
      </c>
    </row>
    <row r="29" spans="1:9" ht="48" customHeight="1">
      <c r="A29" s="20" t="s">
        <v>2570</v>
      </c>
      <c r="B29" s="6" t="s">
        <v>2571</v>
      </c>
      <c r="C29" s="6" t="s">
        <v>2567</v>
      </c>
      <c r="D29" s="6" t="s">
        <v>2572</v>
      </c>
      <c r="E29" s="6" t="s">
        <v>2573</v>
      </c>
    </row>
    <row r="30" spans="1:9" ht="48" customHeight="1">
      <c r="A30" s="20" t="s">
        <v>2574</v>
      </c>
      <c r="B30" s="6" t="s">
        <v>2575</v>
      </c>
      <c r="C30" s="6" t="s">
        <v>2321</v>
      </c>
      <c r="D30" s="6" t="s">
        <v>2576</v>
      </c>
      <c r="E30" s="6" t="s">
        <v>2577</v>
      </c>
    </row>
    <row r="31" spans="1:9" ht="48" customHeight="1">
      <c r="A31" s="20" t="s">
        <v>2578</v>
      </c>
      <c r="B31" s="6" t="s">
        <v>2579</v>
      </c>
      <c r="C31" s="6" t="s">
        <v>2580</v>
      </c>
      <c r="D31" s="6" t="s">
        <v>2581</v>
      </c>
      <c r="E31" s="6" t="s">
        <v>2582</v>
      </c>
    </row>
    <row r="32" spans="1:9" ht="48" customHeight="1">
      <c r="A32" s="20" t="s">
        <v>2583</v>
      </c>
      <c r="B32" s="6" t="s">
        <v>2584</v>
      </c>
      <c r="C32" s="6" t="s">
        <v>2585</v>
      </c>
      <c r="D32" s="6" t="s">
        <v>14</v>
      </c>
      <c r="E32" s="6" t="s">
        <v>2586</v>
      </c>
    </row>
    <row r="33" spans="1:9" ht="48" customHeight="1">
      <c r="A33" s="20" t="s">
        <v>2587</v>
      </c>
      <c r="B33" s="6" t="s">
        <v>2588</v>
      </c>
      <c r="C33" s="6" t="s">
        <v>2589</v>
      </c>
      <c r="D33" s="6" t="s">
        <v>2590</v>
      </c>
      <c r="E33" s="6" t="s">
        <v>2591</v>
      </c>
    </row>
    <row r="34" spans="1:9" ht="48" customHeight="1">
      <c r="A34" s="20" t="s">
        <v>2592</v>
      </c>
      <c r="B34" s="6" t="s">
        <v>2593</v>
      </c>
      <c r="C34" s="6" t="s">
        <v>2594</v>
      </c>
      <c r="D34" s="6" t="s">
        <v>14</v>
      </c>
      <c r="E34" s="6" t="s">
        <v>2595</v>
      </c>
    </row>
    <row r="35" spans="1:9" ht="48" customHeight="1">
      <c r="A35" s="20" t="s">
        <v>2596</v>
      </c>
      <c r="B35" s="6" t="s">
        <v>2597</v>
      </c>
      <c r="C35" s="6" t="s">
        <v>2598</v>
      </c>
      <c r="D35" s="6" t="s">
        <v>2599</v>
      </c>
      <c r="E35" s="6" t="s">
        <v>2600</v>
      </c>
    </row>
    <row r="36" spans="1:9" ht="48" customHeight="1">
      <c r="A36" s="20" t="s">
        <v>2601</v>
      </c>
      <c r="B36" s="6" t="s">
        <v>2602</v>
      </c>
      <c r="C36" s="6" t="s">
        <v>2603</v>
      </c>
      <c r="D36" s="6" t="s">
        <v>2604</v>
      </c>
      <c r="E36" s="6" t="s">
        <v>2605</v>
      </c>
    </row>
    <row r="38" spans="1:9" ht="48" customHeight="1">
      <c r="A38" s="3" t="s">
        <v>2611</v>
      </c>
      <c r="B38" s="3"/>
      <c r="C38" s="3"/>
      <c r="D38" s="3"/>
      <c r="E38" s="3"/>
      <c r="F38" s="3"/>
      <c r="G38" s="3"/>
      <c r="H38" s="3"/>
      <c r="I38" s="3"/>
    </row>
    <row r="39" spans="1:9" ht="44" customHeight="1">
      <c r="A39" t="s">
        <v>2606</v>
      </c>
      <c r="B39" t="s">
        <v>2905</v>
      </c>
      <c r="C39" t="s">
        <v>2906</v>
      </c>
      <c r="D39" t="s">
        <v>2907</v>
      </c>
      <c r="E39" t="s">
        <v>2908</v>
      </c>
      <c r="F39" t="s">
        <v>2909</v>
      </c>
      <c r="G39" t="s">
        <v>2910</v>
      </c>
      <c r="H39" t="s">
        <v>2911</v>
      </c>
      <c r="I39" t="s">
        <v>2912</v>
      </c>
    </row>
    <row r="40" spans="1:9" ht="48" customHeight="1">
      <c r="A40" s="20" t="s">
        <v>2525</v>
      </c>
      <c r="B40" s="6" t="s">
        <v>90</v>
      </c>
      <c r="C40" s="6" t="s">
        <v>2612</v>
      </c>
      <c r="D40" s="6" t="s">
        <v>2613</v>
      </c>
      <c r="E40" s="6" t="s">
        <v>2614</v>
      </c>
      <c r="F40" s="6" t="s">
        <v>2615</v>
      </c>
      <c r="G40" s="6" t="s">
        <v>2616</v>
      </c>
      <c r="H40" s="6" t="s">
        <v>2617</v>
      </c>
      <c r="I40" s="6" t="s">
        <v>2618</v>
      </c>
    </row>
    <row r="41" spans="1:9" ht="48" customHeight="1">
      <c r="A41" s="20" t="s">
        <v>2525</v>
      </c>
      <c r="B41" s="6" t="s">
        <v>56</v>
      </c>
      <c r="C41" s="6" t="s">
        <v>2612</v>
      </c>
      <c r="D41" s="6" t="s">
        <v>2613</v>
      </c>
      <c r="E41" s="6" t="s">
        <v>2619</v>
      </c>
      <c r="F41" s="6" t="s">
        <v>57</v>
      </c>
      <c r="G41" s="6" t="s">
        <v>2620</v>
      </c>
      <c r="H41" s="6" t="s">
        <v>2621</v>
      </c>
      <c r="I41" s="6" t="s">
        <v>2622</v>
      </c>
    </row>
    <row r="42" spans="1:9" ht="48" customHeight="1">
      <c r="A42" s="20" t="s">
        <v>2525</v>
      </c>
      <c r="B42" s="6" t="s">
        <v>91</v>
      </c>
      <c r="C42" s="6" t="s">
        <v>2612</v>
      </c>
      <c r="D42" s="6" t="s">
        <v>2613</v>
      </c>
      <c r="E42" s="6" t="s">
        <v>2623</v>
      </c>
      <c r="F42" s="6" t="s">
        <v>2624</v>
      </c>
      <c r="G42" s="6" t="s">
        <v>2616</v>
      </c>
      <c r="H42" s="6" t="s">
        <v>2625</v>
      </c>
      <c r="I42" s="6" t="s">
        <v>2626</v>
      </c>
    </row>
    <row r="43" spans="1:9" ht="48" customHeight="1">
      <c r="A43" s="20" t="s">
        <v>2525</v>
      </c>
      <c r="B43" s="6" t="s">
        <v>92</v>
      </c>
      <c r="C43" s="6" t="s">
        <v>2612</v>
      </c>
      <c r="D43" s="6" t="s">
        <v>2613</v>
      </c>
      <c r="E43" s="6" t="s">
        <v>2627</v>
      </c>
      <c r="F43" s="6" t="s">
        <v>2628</v>
      </c>
      <c r="G43" s="6" t="s">
        <v>2629</v>
      </c>
      <c r="H43" s="6" t="s">
        <v>2630</v>
      </c>
      <c r="I43" s="6" t="s">
        <v>2631</v>
      </c>
    </row>
    <row r="44" spans="1:9" ht="48" customHeight="1">
      <c r="A44" s="20" t="s">
        <v>2525</v>
      </c>
      <c r="B44" s="6" t="s">
        <v>93</v>
      </c>
      <c r="C44" s="6" t="s">
        <v>2612</v>
      </c>
      <c r="D44" s="6" t="s">
        <v>2613</v>
      </c>
      <c r="E44" s="6" t="s">
        <v>2632</v>
      </c>
      <c r="F44" s="6" t="s">
        <v>2633</v>
      </c>
      <c r="G44" s="6" t="s">
        <v>2616</v>
      </c>
      <c r="H44" s="6" t="s">
        <v>2634</v>
      </c>
      <c r="I44" s="6" t="s">
        <v>2635</v>
      </c>
    </row>
    <row r="45" spans="1:9" ht="48" customHeight="1">
      <c r="A45" s="20" t="s">
        <v>2525</v>
      </c>
      <c r="B45" s="6" t="s">
        <v>94</v>
      </c>
      <c r="C45" s="6" t="s">
        <v>2612</v>
      </c>
      <c r="D45" s="6" t="s">
        <v>2613</v>
      </c>
      <c r="E45" s="6" t="s">
        <v>2636</v>
      </c>
      <c r="F45" s="6" t="s">
        <v>2637</v>
      </c>
      <c r="G45" s="6" t="s">
        <v>2638</v>
      </c>
      <c r="H45" s="6" t="s">
        <v>2639</v>
      </c>
      <c r="I45" s="6" t="s">
        <v>2640</v>
      </c>
    </row>
    <row r="46" spans="1:9" ht="48" customHeight="1">
      <c r="A46" s="20" t="s">
        <v>2525</v>
      </c>
      <c r="B46" s="6" t="s">
        <v>51</v>
      </c>
      <c r="C46" s="6" t="s">
        <v>2612</v>
      </c>
      <c r="D46" s="6" t="s">
        <v>2613</v>
      </c>
      <c r="E46" s="6" t="s">
        <v>2641</v>
      </c>
      <c r="F46" s="6" t="s">
        <v>54</v>
      </c>
      <c r="G46" s="6" t="s">
        <v>2620</v>
      </c>
      <c r="H46" s="6" t="s">
        <v>2642</v>
      </c>
      <c r="I46" s="6" t="s">
        <v>2643</v>
      </c>
    </row>
    <row r="47" spans="1:9" ht="48" customHeight="1">
      <c r="A47" s="20" t="s">
        <v>2525</v>
      </c>
      <c r="B47" s="6" t="s">
        <v>96</v>
      </c>
      <c r="C47" s="6" t="s">
        <v>2612</v>
      </c>
      <c r="D47" s="6" t="s">
        <v>2613</v>
      </c>
      <c r="E47" s="6" t="s">
        <v>2644</v>
      </c>
      <c r="F47" s="6" t="s">
        <v>97</v>
      </c>
      <c r="G47" s="6" t="s">
        <v>2645</v>
      </c>
      <c r="H47" s="6" t="s">
        <v>2646</v>
      </c>
      <c r="I47" s="6" t="s">
        <v>2647</v>
      </c>
    </row>
    <row r="48" spans="1:9" ht="48" customHeight="1">
      <c r="A48" s="20" t="s">
        <v>2525</v>
      </c>
      <c r="B48" s="6" t="s">
        <v>98</v>
      </c>
      <c r="C48" s="6" t="s">
        <v>2612</v>
      </c>
      <c r="D48" s="6" t="s">
        <v>2613</v>
      </c>
      <c r="E48" s="6" t="s">
        <v>2648</v>
      </c>
      <c r="F48" s="6" t="s">
        <v>2649</v>
      </c>
      <c r="G48" s="6" t="s">
        <v>2650</v>
      </c>
      <c r="H48" s="6" t="s">
        <v>2651</v>
      </c>
      <c r="I48" s="6" t="s">
        <v>2652</v>
      </c>
    </row>
    <row r="49" spans="1:9" ht="48" customHeight="1">
      <c r="A49" s="20" t="s">
        <v>2540</v>
      </c>
      <c r="B49" s="6" t="s">
        <v>1370</v>
      </c>
      <c r="C49" s="6" t="s">
        <v>2653</v>
      </c>
      <c r="D49" s="6" t="s">
        <v>2654</v>
      </c>
      <c r="E49" s="6" t="s">
        <v>2655</v>
      </c>
      <c r="F49" s="6" t="s">
        <v>1598</v>
      </c>
      <c r="G49" s="6" t="s">
        <v>2656</v>
      </c>
      <c r="H49" s="6" t="s">
        <v>2657</v>
      </c>
      <c r="I49" s="6" t="s">
        <v>2658</v>
      </c>
    </row>
    <row r="50" spans="1:9" ht="48" customHeight="1">
      <c r="A50" s="20" t="s">
        <v>2540</v>
      </c>
      <c r="B50" s="6" t="s">
        <v>1371</v>
      </c>
      <c r="C50" s="6" t="s">
        <v>2612</v>
      </c>
      <c r="D50" s="6" t="s">
        <v>2613</v>
      </c>
      <c r="E50" s="6" t="s">
        <v>2659</v>
      </c>
      <c r="F50" s="6" t="s">
        <v>2660</v>
      </c>
      <c r="G50" s="6" t="s">
        <v>2661</v>
      </c>
      <c r="H50" s="6" t="s">
        <v>2662</v>
      </c>
      <c r="I50" s="6" t="s">
        <v>2663</v>
      </c>
    </row>
    <row r="51" spans="1:9" ht="48" customHeight="1">
      <c r="A51" s="20" t="s">
        <v>2540</v>
      </c>
      <c r="B51" s="6" t="s">
        <v>1372</v>
      </c>
      <c r="C51" s="6" t="s">
        <v>2612</v>
      </c>
      <c r="D51" s="6" t="s">
        <v>2613</v>
      </c>
      <c r="E51" s="6" t="s">
        <v>2659</v>
      </c>
      <c r="F51" s="6" t="s">
        <v>2660</v>
      </c>
      <c r="G51" s="6" t="s">
        <v>2661</v>
      </c>
      <c r="H51" s="6" t="s">
        <v>2662</v>
      </c>
      <c r="I51" s="6" t="s">
        <v>2663</v>
      </c>
    </row>
    <row r="52" spans="1:9" ht="48" customHeight="1">
      <c r="A52" s="20" t="s">
        <v>2540</v>
      </c>
      <c r="B52" s="6" t="s">
        <v>1373</v>
      </c>
      <c r="C52" s="6" t="s">
        <v>2612</v>
      </c>
      <c r="D52" s="6" t="s">
        <v>2613</v>
      </c>
      <c r="E52" s="6" t="s">
        <v>2664</v>
      </c>
      <c r="F52" s="6" t="s">
        <v>2665</v>
      </c>
      <c r="G52" s="6" t="s">
        <v>2666</v>
      </c>
      <c r="H52" s="6" t="s">
        <v>2667</v>
      </c>
      <c r="I52" s="6" t="s">
        <v>2668</v>
      </c>
    </row>
    <row r="53" spans="1:9" ht="48" customHeight="1">
      <c r="A53" s="20" t="s">
        <v>2540</v>
      </c>
      <c r="B53" s="6" t="s">
        <v>1374</v>
      </c>
      <c r="C53" s="6" t="s">
        <v>2612</v>
      </c>
      <c r="D53" s="6" t="s">
        <v>2669</v>
      </c>
      <c r="E53" s="6" t="s">
        <v>2670</v>
      </c>
      <c r="F53" s="6" t="s">
        <v>2671</v>
      </c>
      <c r="G53" s="6" t="s">
        <v>2672</v>
      </c>
      <c r="H53" s="6" t="s">
        <v>2673</v>
      </c>
      <c r="I53" s="6" t="s">
        <v>2674</v>
      </c>
    </row>
    <row r="54" spans="1:9" ht="48" customHeight="1">
      <c r="A54" s="20" t="s">
        <v>2540</v>
      </c>
      <c r="B54" s="6" t="s">
        <v>1375</v>
      </c>
      <c r="C54" s="6" t="s">
        <v>2612</v>
      </c>
      <c r="D54" s="6" t="s">
        <v>2675</v>
      </c>
      <c r="E54" s="6" t="s">
        <v>2676</v>
      </c>
      <c r="F54" s="6" t="s">
        <v>2677</v>
      </c>
      <c r="G54" s="6" t="s">
        <v>2678</v>
      </c>
      <c r="H54" s="6" t="s">
        <v>2679</v>
      </c>
      <c r="I54" s="6" t="s">
        <v>2680</v>
      </c>
    </row>
    <row r="55" spans="1:9" ht="48" customHeight="1">
      <c r="A55" s="20" t="s">
        <v>2540</v>
      </c>
      <c r="B55" s="6" t="s">
        <v>1376</v>
      </c>
      <c r="C55" s="6" t="s">
        <v>2681</v>
      </c>
      <c r="D55" s="6" t="s">
        <v>2682</v>
      </c>
      <c r="E55" s="6" t="s">
        <v>2683</v>
      </c>
      <c r="F55" s="6" t="s">
        <v>2684</v>
      </c>
      <c r="G55" s="6" t="s">
        <v>2685</v>
      </c>
      <c r="H55" s="6" t="s">
        <v>2686</v>
      </c>
      <c r="I55" s="6" t="s">
        <v>2687</v>
      </c>
    </row>
    <row r="56" spans="1:9" ht="48" customHeight="1">
      <c r="A56" s="20" t="s">
        <v>2540</v>
      </c>
      <c r="B56" s="6" t="s">
        <v>1377</v>
      </c>
      <c r="C56" s="6" t="s">
        <v>2612</v>
      </c>
      <c r="D56" s="6" t="s">
        <v>2613</v>
      </c>
      <c r="E56" s="6" t="s">
        <v>2688</v>
      </c>
      <c r="F56" s="6" t="s">
        <v>8</v>
      </c>
      <c r="G56" s="6" t="s">
        <v>2620</v>
      </c>
      <c r="H56" s="6" t="s">
        <v>2689</v>
      </c>
      <c r="I56" s="6" t="s">
        <v>2690</v>
      </c>
    </row>
    <row r="57" spans="1:9" ht="48" customHeight="1">
      <c r="A57" s="20" t="s">
        <v>2540</v>
      </c>
      <c r="B57" s="6" t="s">
        <v>12</v>
      </c>
      <c r="C57" s="6" t="s">
        <v>2612</v>
      </c>
      <c r="D57" s="6" t="s">
        <v>2613</v>
      </c>
      <c r="E57" s="6" t="s">
        <v>2691</v>
      </c>
      <c r="F57" s="6" t="s">
        <v>14</v>
      </c>
      <c r="G57" s="6" t="s">
        <v>2692</v>
      </c>
      <c r="H57" s="6" t="s">
        <v>2693</v>
      </c>
      <c r="I57" s="6" t="s">
        <v>2694</v>
      </c>
    </row>
    <row r="58" spans="1:9" ht="48" customHeight="1">
      <c r="A58" s="20" t="s">
        <v>2540</v>
      </c>
      <c r="B58" s="6" t="s">
        <v>1378</v>
      </c>
      <c r="C58" s="6" t="s">
        <v>2612</v>
      </c>
      <c r="D58" s="6" t="s">
        <v>2613</v>
      </c>
      <c r="E58" s="6" t="s">
        <v>2695</v>
      </c>
      <c r="F58" s="6" t="s">
        <v>2</v>
      </c>
      <c r="G58" s="6" t="s">
        <v>2620</v>
      </c>
      <c r="H58" s="6" t="s">
        <v>2696</v>
      </c>
      <c r="I58" s="6" t="s">
        <v>2697</v>
      </c>
    </row>
    <row r="59" spans="1:9" ht="48" customHeight="1">
      <c r="A59" s="20" t="s">
        <v>2540</v>
      </c>
      <c r="B59" s="6" t="s">
        <v>1379</v>
      </c>
      <c r="C59" s="6" t="s">
        <v>2612</v>
      </c>
      <c r="D59" s="6" t="s">
        <v>2698</v>
      </c>
      <c r="E59" s="6" t="s">
        <v>2699</v>
      </c>
      <c r="F59" s="6" t="s">
        <v>2700</v>
      </c>
      <c r="G59" s="6" t="s">
        <v>2701</v>
      </c>
      <c r="H59" s="6" t="s">
        <v>2634</v>
      </c>
      <c r="I59" s="6" t="s">
        <v>2702</v>
      </c>
    </row>
    <row r="60" spans="1:9" ht="48" customHeight="1">
      <c r="A60" s="20" t="s">
        <v>2540</v>
      </c>
      <c r="B60" s="6" t="s">
        <v>1380</v>
      </c>
      <c r="C60" s="6" t="s">
        <v>2612</v>
      </c>
      <c r="D60" s="6" t="s">
        <v>2703</v>
      </c>
      <c r="E60" s="6" t="s">
        <v>2704</v>
      </c>
      <c r="F60" s="6" t="s">
        <v>2705</v>
      </c>
      <c r="G60" s="6" t="s">
        <v>2706</v>
      </c>
      <c r="H60" s="6" t="s">
        <v>2707</v>
      </c>
      <c r="I60" s="6" t="s">
        <v>2708</v>
      </c>
    </row>
    <row r="61" spans="1:9" ht="48" customHeight="1">
      <c r="A61" s="20" t="s">
        <v>2540</v>
      </c>
      <c r="B61" s="6" t="s">
        <v>1381</v>
      </c>
      <c r="C61" s="6" t="s">
        <v>2612</v>
      </c>
      <c r="D61" s="6" t="s">
        <v>2709</v>
      </c>
      <c r="E61" s="6" t="s">
        <v>2710</v>
      </c>
      <c r="F61" s="6" t="s">
        <v>2711</v>
      </c>
      <c r="G61" s="6" t="s">
        <v>2712</v>
      </c>
      <c r="H61" s="6" t="s">
        <v>2713</v>
      </c>
      <c r="I61" s="6" t="s">
        <v>2714</v>
      </c>
    </row>
    <row r="62" spans="1:9" ht="48" customHeight="1">
      <c r="A62" s="20" t="s">
        <v>2540</v>
      </c>
      <c r="B62" s="6" t="s">
        <v>1382</v>
      </c>
      <c r="C62" s="6" t="s">
        <v>2612</v>
      </c>
      <c r="D62" s="6" t="s">
        <v>2709</v>
      </c>
      <c r="E62" s="6" t="s">
        <v>2715</v>
      </c>
      <c r="F62" s="6" t="s">
        <v>2716</v>
      </c>
      <c r="G62" s="6" t="s">
        <v>2712</v>
      </c>
      <c r="H62" s="6" t="s">
        <v>2717</v>
      </c>
      <c r="I62" s="6" t="s">
        <v>2718</v>
      </c>
    </row>
    <row r="63" spans="1:9" ht="48" customHeight="1">
      <c r="A63" s="20" t="s">
        <v>2540</v>
      </c>
      <c r="B63" s="6" t="s">
        <v>1383</v>
      </c>
      <c r="C63" s="6" t="s">
        <v>2719</v>
      </c>
      <c r="D63" s="6" t="s">
        <v>2654</v>
      </c>
      <c r="E63" s="6" t="s">
        <v>2720</v>
      </c>
      <c r="F63" s="6" t="s">
        <v>2721</v>
      </c>
      <c r="G63" s="6" t="s">
        <v>2722</v>
      </c>
      <c r="H63" s="6" t="s">
        <v>2723</v>
      </c>
      <c r="I63" s="6" t="s">
        <v>2724</v>
      </c>
    </row>
    <row r="64" spans="1:9" ht="48" customHeight="1">
      <c r="A64" s="20" t="s">
        <v>2540</v>
      </c>
      <c r="B64" s="6" t="s">
        <v>1384</v>
      </c>
      <c r="C64" s="6" t="s">
        <v>2719</v>
      </c>
      <c r="D64" s="6" t="s">
        <v>2654</v>
      </c>
      <c r="E64" s="6" t="s">
        <v>2720</v>
      </c>
      <c r="F64" s="6" t="s">
        <v>2721</v>
      </c>
      <c r="G64" s="6" t="s">
        <v>2722</v>
      </c>
      <c r="H64" s="6" t="s">
        <v>2723</v>
      </c>
      <c r="I64" s="6" t="s">
        <v>2724</v>
      </c>
    </row>
    <row r="65" spans="1:9" ht="48" customHeight="1">
      <c r="A65" s="20" t="s">
        <v>2540</v>
      </c>
      <c r="B65" s="6" t="s">
        <v>1385</v>
      </c>
      <c r="C65" s="6" t="s">
        <v>2612</v>
      </c>
      <c r="D65" s="6" t="s">
        <v>2669</v>
      </c>
      <c r="E65" s="6" t="s">
        <v>2670</v>
      </c>
      <c r="F65" s="6" t="s">
        <v>2671</v>
      </c>
      <c r="G65" s="6" t="s">
        <v>2672</v>
      </c>
      <c r="H65" s="6" t="s">
        <v>2673</v>
      </c>
      <c r="I65" s="6" t="s">
        <v>2674</v>
      </c>
    </row>
    <row r="66" spans="1:9" ht="48" customHeight="1">
      <c r="A66" s="20" t="s">
        <v>2540</v>
      </c>
      <c r="B66" s="6" t="s">
        <v>1386</v>
      </c>
      <c r="C66" s="6" t="s">
        <v>2612</v>
      </c>
      <c r="D66" s="6" t="s">
        <v>2725</v>
      </c>
      <c r="E66" s="6" t="s">
        <v>2726</v>
      </c>
      <c r="F66" s="6" t="s">
        <v>2727</v>
      </c>
      <c r="G66" s="6" t="s">
        <v>2616</v>
      </c>
      <c r="H66" s="6" t="s">
        <v>2728</v>
      </c>
      <c r="I66" s="6" t="s">
        <v>2729</v>
      </c>
    </row>
    <row r="67" spans="1:9" ht="48" customHeight="1">
      <c r="A67" s="20" t="s">
        <v>2540</v>
      </c>
      <c r="B67" s="6" t="s">
        <v>1387</v>
      </c>
      <c r="C67" s="6" t="s">
        <v>2612</v>
      </c>
      <c r="D67" s="6" t="s">
        <v>2730</v>
      </c>
      <c r="E67" s="6" t="s">
        <v>2731</v>
      </c>
      <c r="F67" s="6" t="s">
        <v>2732</v>
      </c>
      <c r="G67" s="6" t="s">
        <v>2733</v>
      </c>
      <c r="H67" s="6" t="s">
        <v>2734</v>
      </c>
      <c r="I67" s="6" t="s">
        <v>2735</v>
      </c>
    </row>
    <row r="68" spans="1:9" ht="48" customHeight="1">
      <c r="A68" s="20" t="s">
        <v>2540</v>
      </c>
      <c r="B68" s="6" t="s">
        <v>1388</v>
      </c>
      <c r="C68" s="6" t="s">
        <v>2612</v>
      </c>
      <c r="D68" s="6" t="s">
        <v>2736</v>
      </c>
      <c r="E68" s="6" t="s">
        <v>2737</v>
      </c>
      <c r="F68" s="6" t="s">
        <v>2738</v>
      </c>
      <c r="G68" s="6" t="s">
        <v>2739</v>
      </c>
      <c r="H68" s="6" t="s">
        <v>2740</v>
      </c>
      <c r="I68" s="6" t="s">
        <v>2741</v>
      </c>
    </row>
    <row r="69" spans="1:9" ht="48" customHeight="1">
      <c r="A69" s="20" t="s">
        <v>2540</v>
      </c>
      <c r="B69" s="6" t="s">
        <v>1389</v>
      </c>
      <c r="C69" s="6" t="s">
        <v>2612</v>
      </c>
      <c r="D69" s="6" t="s">
        <v>2742</v>
      </c>
      <c r="E69" s="6" t="s">
        <v>2743</v>
      </c>
      <c r="F69" s="6" t="s">
        <v>2744</v>
      </c>
      <c r="G69" s="6" t="s">
        <v>2745</v>
      </c>
      <c r="H69" s="6" t="s">
        <v>2746</v>
      </c>
      <c r="I69" s="6" t="s">
        <v>2747</v>
      </c>
    </row>
    <row r="70" spans="1:9" ht="48" customHeight="1">
      <c r="A70" s="20" t="s">
        <v>2540</v>
      </c>
      <c r="B70" s="6" t="s">
        <v>1390</v>
      </c>
      <c r="C70" s="6" t="s">
        <v>2612</v>
      </c>
      <c r="D70" s="6" t="s">
        <v>2682</v>
      </c>
      <c r="E70" s="6" t="s">
        <v>2748</v>
      </c>
      <c r="F70" s="6" t="s">
        <v>2749</v>
      </c>
      <c r="G70" s="6" t="s">
        <v>2750</v>
      </c>
      <c r="H70" s="6" t="s">
        <v>2751</v>
      </c>
      <c r="I70" s="6" t="s">
        <v>2752</v>
      </c>
    </row>
    <row r="71" spans="1:9" ht="48" customHeight="1">
      <c r="A71" s="20" t="s">
        <v>2540</v>
      </c>
      <c r="B71" s="6" t="s">
        <v>1391</v>
      </c>
      <c r="C71" s="6" t="s">
        <v>2612</v>
      </c>
      <c r="D71" s="6" t="s">
        <v>2753</v>
      </c>
      <c r="E71" s="6" t="s">
        <v>2754</v>
      </c>
      <c r="F71" s="6" t="s">
        <v>2755</v>
      </c>
      <c r="G71" s="6" t="s">
        <v>2756</v>
      </c>
      <c r="H71" s="6" t="s">
        <v>2757</v>
      </c>
      <c r="I71" s="6" t="s">
        <v>2758</v>
      </c>
    </row>
    <row r="72" spans="1:9" ht="48" customHeight="1">
      <c r="A72" s="20" t="s">
        <v>2540</v>
      </c>
      <c r="B72" s="6" t="s">
        <v>1392</v>
      </c>
      <c r="C72" s="6" t="s">
        <v>2612</v>
      </c>
      <c r="D72" s="6" t="s">
        <v>2703</v>
      </c>
      <c r="E72" s="6" t="s">
        <v>2704</v>
      </c>
      <c r="F72" s="6" t="s">
        <v>2705</v>
      </c>
      <c r="G72" s="6" t="s">
        <v>2706</v>
      </c>
      <c r="H72" s="6" t="s">
        <v>2707</v>
      </c>
      <c r="I72" s="6" t="s">
        <v>2708</v>
      </c>
    </row>
    <row r="73" spans="1:9" ht="48" customHeight="1">
      <c r="A73" s="20" t="s">
        <v>2540</v>
      </c>
      <c r="B73" s="6" t="s">
        <v>1393</v>
      </c>
      <c r="C73" s="6" t="s">
        <v>2612</v>
      </c>
      <c r="D73" s="6" t="s">
        <v>2698</v>
      </c>
      <c r="E73" s="6" t="s">
        <v>2699</v>
      </c>
      <c r="F73" s="6" t="s">
        <v>2700</v>
      </c>
      <c r="G73" s="6" t="s">
        <v>2701</v>
      </c>
      <c r="H73" s="6" t="s">
        <v>2634</v>
      </c>
      <c r="I73" s="6" t="s">
        <v>2702</v>
      </c>
    </row>
    <row r="74" spans="1:9" ht="48" customHeight="1">
      <c r="A74" s="20" t="s">
        <v>2545</v>
      </c>
      <c r="B74" s="6" t="s">
        <v>1569</v>
      </c>
      <c r="C74" s="6" t="s">
        <v>2653</v>
      </c>
      <c r="D74" s="6" t="s">
        <v>2654</v>
      </c>
      <c r="E74" s="6" t="s">
        <v>2655</v>
      </c>
      <c r="F74" s="6" t="s">
        <v>1598</v>
      </c>
      <c r="G74" s="6" t="s">
        <v>2656</v>
      </c>
      <c r="H74" s="6" t="s">
        <v>2657</v>
      </c>
      <c r="I74" s="6" t="s">
        <v>2658</v>
      </c>
    </row>
    <row r="75" spans="1:9" ht="48" customHeight="1">
      <c r="A75" s="20" t="s">
        <v>2545</v>
      </c>
      <c r="B75" s="6" t="s">
        <v>1371</v>
      </c>
      <c r="C75" s="6" t="s">
        <v>2612</v>
      </c>
      <c r="D75" s="6" t="s">
        <v>2613</v>
      </c>
      <c r="E75" s="6" t="s">
        <v>2659</v>
      </c>
      <c r="F75" s="6" t="s">
        <v>2660</v>
      </c>
      <c r="G75" s="6" t="s">
        <v>2661</v>
      </c>
      <c r="H75" s="6" t="s">
        <v>2662</v>
      </c>
      <c r="I75" s="6" t="s">
        <v>2663</v>
      </c>
    </row>
    <row r="76" spans="1:9" ht="48" customHeight="1">
      <c r="A76" s="20" t="s">
        <v>2545</v>
      </c>
      <c r="B76" s="6" t="s">
        <v>1570</v>
      </c>
      <c r="C76" s="6" t="s">
        <v>2612</v>
      </c>
      <c r="D76" s="6" t="s">
        <v>2669</v>
      </c>
      <c r="E76" s="6" t="s">
        <v>2670</v>
      </c>
      <c r="F76" s="6" t="s">
        <v>2671</v>
      </c>
      <c r="G76" s="6" t="s">
        <v>2672</v>
      </c>
      <c r="H76" s="6" t="s">
        <v>2673</v>
      </c>
      <c r="I76" s="6" t="s">
        <v>2674</v>
      </c>
    </row>
    <row r="77" spans="1:9" ht="48" customHeight="1">
      <c r="A77" s="20" t="s">
        <v>2545</v>
      </c>
      <c r="B77" s="6" t="s">
        <v>1571</v>
      </c>
      <c r="C77" s="6" t="s">
        <v>2612</v>
      </c>
      <c r="D77" s="6" t="s">
        <v>2725</v>
      </c>
      <c r="E77" s="6" t="s">
        <v>2759</v>
      </c>
      <c r="F77" s="6" t="s">
        <v>2727</v>
      </c>
      <c r="G77" s="6" t="s">
        <v>2616</v>
      </c>
      <c r="H77" s="6" t="s">
        <v>2728</v>
      </c>
      <c r="I77" s="6" t="s">
        <v>2729</v>
      </c>
    </row>
    <row r="78" spans="1:9" ht="48" customHeight="1">
      <c r="A78" s="20" t="s">
        <v>2545</v>
      </c>
      <c r="B78" s="6" t="s">
        <v>1572</v>
      </c>
      <c r="C78" s="6" t="s">
        <v>2612</v>
      </c>
      <c r="D78" s="6" t="s">
        <v>2675</v>
      </c>
      <c r="E78" s="6" t="s">
        <v>2676</v>
      </c>
      <c r="F78" s="6" t="s">
        <v>2677</v>
      </c>
      <c r="G78" s="6" t="s">
        <v>2678</v>
      </c>
      <c r="H78" s="6" t="s">
        <v>2679</v>
      </c>
      <c r="I78" s="6" t="s">
        <v>2680</v>
      </c>
    </row>
    <row r="79" spans="1:9" ht="48" customHeight="1">
      <c r="A79" s="20" t="s">
        <v>2545</v>
      </c>
      <c r="B79" s="6" t="s">
        <v>1377</v>
      </c>
      <c r="C79" s="6" t="s">
        <v>2612</v>
      </c>
      <c r="D79" s="6" t="s">
        <v>2613</v>
      </c>
      <c r="E79" s="6" t="s">
        <v>2688</v>
      </c>
      <c r="F79" s="6" t="s">
        <v>8</v>
      </c>
      <c r="G79" s="6" t="s">
        <v>2620</v>
      </c>
      <c r="H79" s="6" t="s">
        <v>2689</v>
      </c>
      <c r="I79" s="6" t="s">
        <v>2690</v>
      </c>
    </row>
    <row r="80" spans="1:9" ht="48" customHeight="1">
      <c r="A80" s="20" t="s">
        <v>2545</v>
      </c>
      <c r="B80" s="6" t="s">
        <v>1573</v>
      </c>
      <c r="C80" s="6" t="s">
        <v>2612</v>
      </c>
      <c r="D80" s="6" t="s">
        <v>2613</v>
      </c>
      <c r="E80" s="6" t="s">
        <v>2760</v>
      </c>
      <c r="F80" s="6" t="s">
        <v>21</v>
      </c>
      <c r="G80" s="6" t="s">
        <v>2620</v>
      </c>
      <c r="H80" s="6" t="s">
        <v>2761</v>
      </c>
      <c r="I80" s="6" t="s">
        <v>2762</v>
      </c>
    </row>
    <row r="81" spans="1:9" ht="48" customHeight="1">
      <c r="A81" s="20" t="s">
        <v>2545</v>
      </c>
      <c r="B81" s="6" t="s">
        <v>1574</v>
      </c>
      <c r="C81" s="6" t="s">
        <v>2612</v>
      </c>
      <c r="D81" s="6" t="s">
        <v>2698</v>
      </c>
      <c r="E81" s="6" t="s">
        <v>2699</v>
      </c>
      <c r="F81" s="6" t="s">
        <v>2700</v>
      </c>
      <c r="G81" s="6" t="s">
        <v>2701</v>
      </c>
      <c r="H81" s="6" t="s">
        <v>2634</v>
      </c>
      <c r="I81" s="6" t="s">
        <v>2702</v>
      </c>
    </row>
    <row r="82" spans="1:9" ht="48" customHeight="1">
      <c r="A82" s="20" t="s">
        <v>2545</v>
      </c>
      <c r="B82" s="6" t="s">
        <v>1575</v>
      </c>
      <c r="C82" s="6" t="s">
        <v>2612</v>
      </c>
      <c r="D82" s="6" t="s">
        <v>2703</v>
      </c>
      <c r="E82" s="6" t="s">
        <v>2704</v>
      </c>
      <c r="F82" s="6" t="s">
        <v>2705</v>
      </c>
      <c r="G82" s="6" t="s">
        <v>2706</v>
      </c>
      <c r="H82" s="6" t="s">
        <v>2707</v>
      </c>
      <c r="I82" s="6" t="s">
        <v>2708</v>
      </c>
    </row>
    <row r="83" spans="1:9" ht="48" customHeight="1">
      <c r="A83" s="20" t="s">
        <v>2545</v>
      </c>
      <c r="B83" s="6" t="s">
        <v>1576</v>
      </c>
      <c r="C83" s="6" t="s">
        <v>2612</v>
      </c>
      <c r="D83" s="6" t="s">
        <v>2703</v>
      </c>
      <c r="E83" s="6" t="s">
        <v>2704</v>
      </c>
      <c r="F83" s="6" t="s">
        <v>2705</v>
      </c>
      <c r="G83" s="6" t="s">
        <v>2706</v>
      </c>
      <c r="H83" s="6" t="s">
        <v>2707</v>
      </c>
      <c r="I83" s="6" t="s">
        <v>2708</v>
      </c>
    </row>
    <row r="84" spans="1:9" ht="48" customHeight="1">
      <c r="A84" s="20" t="s">
        <v>2545</v>
      </c>
      <c r="B84" s="6" t="s">
        <v>1577</v>
      </c>
      <c r="C84" s="6" t="s">
        <v>2612</v>
      </c>
      <c r="D84" s="6" t="s">
        <v>2703</v>
      </c>
      <c r="E84" s="6" t="s">
        <v>2704</v>
      </c>
      <c r="F84" s="6" t="s">
        <v>2705</v>
      </c>
      <c r="G84" s="6" t="s">
        <v>2706</v>
      </c>
      <c r="H84" s="6" t="s">
        <v>2707</v>
      </c>
      <c r="I84" s="6" t="s">
        <v>2708</v>
      </c>
    </row>
    <row r="85" spans="1:9" ht="48" customHeight="1">
      <c r="A85" s="20" t="s">
        <v>2545</v>
      </c>
      <c r="B85" s="6" t="s">
        <v>1378</v>
      </c>
      <c r="C85" s="6" t="s">
        <v>2612</v>
      </c>
      <c r="D85" s="6" t="s">
        <v>2613</v>
      </c>
      <c r="E85" s="6" t="s">
        <v>2695</v>
      </c>
      <c r="F85" s="6" t="s">
        <v>2</v>
      </c>
      <c r="G85" s="6" t="s">
        <v>2620</v>
      </c>
      <c r="H85" s="6" t="s">
        <v>2696</v>
      </c>
      <c r="I85" s="6" t="s">
        <v>2697</v>
      </c>
    </row>
    <row r="86" spans="1:9" ht="48" customHeight="1">
      <c r="A86" s="20" t="s">
        <v>2545</v>
      </c>
      <c r="B86" s="6" t="s">
        <v>1578</v>
      </c>
      <c r="C86" s="6" t="s">
        <v>2612</v>
      </c>
      <c r="D86" s="6" t="s">
        <v>2763</v>
      </c>
      <c r="E86" s="6" t="s">
        <v>2764</v>
      </c>
      <c r="F86" s="6" t="s">
        <v>31</v>
      </c>
      <c r="G86" s="6" t="s">
        <v>2620</v>
      </c>
      <c r="H86" s="6" t="s">
        <v>2765</v>
      </c>
      <c r="I86" s="6" t="s">
        <v>2766</v>
      </c>
    </row>
    <row r="87" spans="1:9" ht="48" customHeight="1">
      <c r="A87" s="20" t="s">
        <v>2545</v>
      </c>
      <c r="B87" s="6" t="s">
        <v>51</v>
      </c>
      <c r="C87" s="6" t="s">
        <v>2612</v>
      </c>
      <c r="D87" s="6" t="s">
        <v>2613</v>
      </c>
      <c r="E87" s="6" t="s">
        <v>2767</v>
      </c>
      <c r="F87" s="6" t="s">
        <v>55</v>
      </c>
      <c r="G87" s="6" t="s">
        <v>2620</v>
      </c>
      <c r="H87" s="6" t="s">
        <v>2768</v>
      </c>
      <c r="I87" s="6" t="s">
        <v>2769</v>
      </c>
    </row>
    <row r="88" spans="1:9" ht="48" customHeight="1">
      <c r="A88" s="20" t="s">
        <v>2545</v>
      </c>
      <c r="B88" s="6" t="s">
        <v>1579</v>
      </c>
      <c r="C88" s="6" t="s">
        <v>2612</v>
      </c>
      <c r="D88" s="6" t="s">
        <v>2753</v>
      </c>
      <c r="E88" s="6" t="s">
        <v>2754</v>
      </c>
      <c r="F88" s="6" t="s">
        <v>2755</v>
      </c>
      <c r="G88" s="6" t="s">
        <v>2756</v>
      </c>
      <c r="H88" s="6" t="s">
        <v>2757</v>
      </c>
      <c r="I88" s="6" t="s">
        <v>2758</v>
      </c>
    </row>
    <row r="89" spans="1:9" ht="48" customHeight="1">
      <c r="A89" s="20" t="s">
        <v>2545</v>
      </c>
      <c r="B89" s="6" t="s">
        <v>1580</v>
      </c>
      <c r="C89" s="6" t="s">
        <v>2612</v>
      </c>
      <c r="D89" s="6" t="s">
        <v>2682</v>
      </c>
      <c r="E89" s="6" t="s">
        <v>2748</v>
      </c>
      <c r="F89" s="6" t="s">
        <v>2749</v>
      </c>
      <c r="G89" s="6" t="s">
        <v>2750</v>
      </c>
      <c r="H89" s="6" t="s">
        <v>2751</v>
      </c>
      <c r="I89" s="6" t="s">
        <v>2752</v>
      </c>
    </row>
    <row r="90" spans="1:9" ht="48" customHeight="1">
      <c r="A90" s="20" t="s">
        <v>2545</v>
      </c>
      <c r="B90" s="6" t="s">
        <v>1581</v>
      </c>
      <c r="C90" s="6" t="s">
        <v>2612</v>
      </c>
      <c r="D90" s="6" t="s">
        <v>2725</v>
      </c>
      <c r="E90" s="6" t="s">
        <v>2770</v>
      </c>
      <c r="F90" s="6" t="s">
        <v>2727</v>
      </c>
      <c r="G90" s="6" t="s">
        <v>2616</v>
      </c>
      <c r="H90" s="6" t="s">
        <v>2728</v>
      </c>
      <c r="I90" s="6" t="s">
        <v>2729</v>
      </c>
    </row>
    <row r="91" spans="1:9" ht="48" customHeight="1">
      <c r="A91" s="20" t="s">
        <v>2545</v>
      </c>
      <c r="B91" s="6" t="s">
        <v>1582</v>
      </c>
      <c r="C91" s="6" t="s">
        <v>2612</v>
      </c>
      <c r="D91" s="6" t="s">
        <v>2703</v>
      </c>
      <c r="E91" s="6" t="s">
        <v>2704</v>
      </c>
      <c r="F91" s="6" t="s">
        <v>2705</v>
      </c>
      <c r="G91" s="6" t="s">
        <v>2706</v>
      </c>
      <c r="H91" s="6" t="s">
        <v>2707</v>
      </c>
      <c r="I91" s="6" t="s">
        <v>2708</v>
      </c>
    </row>
    <row r="92" spans="1:9" ht="48" customHeight="1">
      <c r="A92" s="20" t="s">
        <v>2545</v>
      </c>
      <c r="B92" s="6" t="s">
        <v>1393</v>
      </c>
      <c r="C92" s="6" t="s">
        <v>2612</v>
      </c>
      <c r="D92" s="6" t="s">
        <v>2698</v>
      </c>
      <c r="E92" s="6" t="s">
        <v>2699</v>
      </c>
      <c r="F92" s="6" t="s">
        <v>2700</v>
      </c>
      <c r="G92" s="6" t="s">
        <v>2701</v>
      </c>
      <c r="H92" s="6" t="s">
        <v>2634</v>
      </c>
      <c r="I92" s="6" t="s">
        <v>2702</v>
      </c>
    </row>
    <row r="93" spans="1:9" ht="48" customHeight="1">
      <c r="A93" s="20" t="s">
        <v>2550</v>
      </c>
      <c r="B93" s="6" t="s">
        <v>1645</v>
      </c>
      <c r="C93" s="6" t="s">
        <v>2653</v>
      </c>
      <c r="D93" s="6" t="s">
        <v>2654</v>
      </c>
      <c r="E93" s="6" t="s">
        <v>2655</v>
      </c>
      <c r="F93" s="6" t="s">
        <v>1598</v>
      </c>
      <c r="G93" s="6" t="s">
        <v>2656</v>
      </c>
      <c r="H93" s="6" t="s">
        <v>2657</v>
      </c>
      <c r="I93" s="6" t="s">
        <v>2658</v>
      </c>
    </row>
    <row r="94" spans="1:9" ht="48" customHeight="1">
      <c r="A94" s="20" t="s">
        <v>2550</v>
      </c>
      <c r="B94" s="6" t="s">
        <v>1371</v>
      </c>
      <c r="C94" s="6" t="s">
        <v>2612</v>
      </c>
      <c r="D94" s="6" t="s">
        <v>2613</v>
      </c>
      <c r="E94" s="6" t="s">
        <v>2659</v>
      </c>
      <c r="F94" s="6" t="s">
        <v>2660</v>
      </c>
      <c r="G94" s="6" t="s">
        <v>2661</v>
      </c>
      <c r="H94" s="6" t="s">
        <v>2662</v>
      </c>
      <c r="I94" s="6" t="s">
        <v>2663</v>
      </c>
    </row>
    <row r="95" spans="1:9" ht="48" customHeight="1">
      <c r="A95" s="20" t="s">
        <v>2550</v>
      </c>
      <c r="B95" s="6" t="s">
        <v>1646</v>
      </c>
      <c r="C95" s="6" t="s">
        <v>2681</v>
      </c>
      <c r="D95" s="6" t="s">
        <v>2682</v>
      </c>
      <c r="E95" s="6" t="s">
        <v>2683</v>
      </c>
      <c r="F95" s="6" t="s">
        <v>2684</v>
      </c>
      <c r="G95" s="6" t="s">
        <v>2685</v>
      </c>
      <c r="H95" s="6" t="s">
        <v>2686</v>
      </c>
      <c r="I95" s="6" t="s">
        <v>2687</v>
      </c>
    </row>
    <row r="96" spans="1:9" ht="48" customHeight="1">
      <c r="A96" s="20" t="s">
        <v>2550</v>
      </c>
      <c r="B96" s="6" t="s">
        <v>1647</v>
      </c>
      <c r="C96" s="6" t="s">
        <v>2612</v>
      </c>
      <c r="D96" s="6" t="s">
        <v>2669</v>
      </c>
      <c r="E96" s="6" t="s">
        <v>2670</v>
      </c>
      <c r="F96" s="6" t="s">
        <v>2671</v>
      </c>
      <c r="G96" s="6" t="s">
        <v>2672</v>
      </c>
      <c r="H96" s="6" t="s">
        <v>2673</v>
      </c>
      <c r="I96" s="6" t="s">
        <v>2674</v>
      </c>
    </row>
    <row r="97" spans="1:9" ht="48" customHeight="1">
      <c r="A97" s="20" t="s">
        <v>2550</v>
      </c>
      <c r="B97" s="6" t="s">
        <v>1648</v>
      </c>
      <c r="C97" s="6" t="s">
        <v>2612</v>
      </c>
      <c r="D97" s="6" t="s">
        <v>2675</v>
      </c>
      <c r="E97" s="6" t="s">
        <v>2676</v>
      </c>
      <c r="F97" s="6" t="s">
        <v>2677</v>
      </c>
      <c r="G97" s="6" t="s">
        <v>2678</v>
      </c>
      <c r="H97" s="6" t="s">
        <v>2679</v>
      </c>
      <c r="I97" s="6" t="s">
        <v>2680</v>
      </c>
    </row>
    <row r="98" spans="1:9" ht="48" customHeight="1">
      <c r="A98" s="20" t="s">
        <v>2550</v>
      </c>
      <c r="B98" s="6" t="s">
        <v>1649</v>
      </c>
      <c r="C98" s="6" t="s">
        <v>2612</v>
      </c>
      <c r="D98" s="6" t="s">
        <v>2613</v>
      </c>
      <c r="E98" s="6" t="s">
        <v>2695</v>
      </c>
      <c r="F98" s="6" t="s">
        <v>2</v>
      </c>
      <c r="G98" s="6" t="s">
        <v>2620</v>
      </c>
      <c r="H98" s="6" t="s">
        <v>2696</v>
      </c>
      <c r="I98" s="6" t="s">
        <v>2697</v>
      </c>
    </row>
    <row r="99" spans="1:9" ht="48" customHeight="1">
      <c r="A99" s="20" t="s">
        <v>2550</v>
      </c>
      <c r="B99" s="6" t="s">
        <v>1385</v>
      </c>
      <c r="C99" s="6" t="s">
        <v>2612</v>
      </c>
      <c r="D99" s="6" t="s">
        <v>2669</v>
      </c>
      <c r="E99" s="6" t="s">
        <v>2670</v>
      </c>
      <c r="F99" s="6" t="s">
        <v>2671</v>
      </c>
      <c r="G99" s="6" t="s">
        <v>2672</v>
      </c>
      <c r="H99" s="6" t="s">
        <v>2673</v>
      </c>
      <c r="I99" s="6" t="s">
        <v>2674</v>
      </c>
    </row>
    <row r="100" spans="1:9" ht="48" customHeight="1">
      <c r="A100" s="20" t="s">
        <v>2550</v>
      </c>
      <c r="B100" s="6" t="s">
        <v>1381</v>
      </c>
      <c r="C100" s="6" t="s">
        <v>2612</v>
      </c>
      <c r="D100" s="6" t="s">
        <v>2709</v>
      </c>
      <c r="E100" s="6" t="s">
        <v>2710</v>
      </c>
      <c r="F100" s="6" t="s">
        <v>2711</v>
      </c>
      <c r="G100" s="6" t="s">
        <v>2712</v>
      </c>
      <c r="H100" s="6" t="s">
        <v>2713</v>
      </c>
      <c r="I100" s="6" t="s">
        <v>2714</v>
      </c>
    </row>
    <row r="101" spans="1:9" ht="48" customHeight="1">
      <c r="A101" s="20" t="s">
        <v>2550</v>
      </c>
      <c r="B101" s="6" t="s">
        <v>1382</v>
      </c>
      <c r="C101" s="6" t="s">
        <v>2612</v>
      </c>
      <c r="D101" s="6" t="s">
        <v>2709</v>
      </c>
      <c r="E101" s="6" t="s">
        <v>2715</v>
      </c>
      <c r="F101" s="6" t="s">
        <v>2716</v>
      </c>
      <c r="G101" s="6" t="s">
        <v>2712</v>
      </c>
      <c r="H101" s="6" t="s">
        <v>2717</v>
      </c>
      <c r="I101" s="6" t="s">
        <v>2718</v>
      </c>
    </row>
    <row r="102" spans="1:9" ht="48" customHeight="1">
      <c r="A102" s="20" t="s">
        <v>2550</v>
      </c>
      <c r="B102" s="6" t="s">
        <v>1650</v>
      </c>
      <c r="C102" s="6" t="s">
        <v>2612</v>
      </c>
      <c r="D102" s="6" t="s">
        <v>2725</v>
      </c>
      <c r="E102" s="6" t="s">
        <v>2771</v>
      </c>
      <c r="F102" s="6" t="s">
        <v>2727</v>
      </c>
      <c r="G102" s="6" t="s">
        <v>2616</v>
      </c>
      <c r="H102" s="6" t="s">
        <v>2728</v>
      </c>
      <c r="I102" s="6" t="s">
        <v>2729</v>
      </c>
    </row>
    <row r="103" spans="1:9" ht="48" customHeight="1">
      <c r="A103" s="20" t="s">
        <v>2550</v>
      </c>
      <c r="B103" s="6" t="s">
        <v>1651</v>
      </c>
      <c r="C103" s="6" t="s">
        <v>2719</v>
      </c>
      <c r="D103" s="6" t="s">
        <v>2654</v>
      </c>
      <c r="E103" s="6" t="s">
        <v>2720</v>
      </c>
      <c r="F103" s="6" t="s">
        <v>2721</v>
      </c>
      <c r="G103" s="6" t="s">
        <v>2722</v>
      </c>
      <c r="H103" s="6" t="s">
        <v>2723</v>
      </c>
      <c r="I103" s="6" t="s">
        <v>2724</v>
      </c>
    </row>
    <row r="104" spans="1:9" ht="48" customHeight="1">
      <c r="A104" s="20" t="s">
        <v>2550</v>
      </c>
      <c r="B104" s="6" t="s">
        <v>1652</v>
      </c>
      <c r="C104" s="6" t="s">
        <v>2612</v>
      </c>
      <c r="D104" s="6" t="s">
        <v>2736</v>
      </c>
      <c r="E104" s="6" t="s">
        <v>2737</v>
      </c>
      <c r="F104" s="6" t="s">
        <v>2738</v>
      </c>
      <c r="G104" s="6" t="s">
        <v>2739</v>
      </c>
      <c r="H104" s="6" t="s">
        <v>2740</v>
      </c>
      <c r="I104" s="6" t="s">
        <v>2741</v>
      </c>
    </row>
    <row r="105" spans="1:9" ht="48" customHeight="1">
      <c r="A105" s="20" t="s">
        <v>2550</v>
      </c>
      <c r="B105" s="6" t="s">
        <v>1653</v>
      </c>
      <c r="C105" s="6" t="s">
        <v>2612</v>
      </c>
      <c r="D105" s="6" t="s">
        <v>2736</v>
      </c>
      <c r="E105" s="6" t="s">
        <v>2737</v>
      </c>
      <c r="F105" s="6" t="s">
        <v>2738</v>
      </c>
      <c r="G105" s="6" t="s">
        <v>2739</v>
      </c>
      <c r="H105" s="6" t="s">
        <v>2740</v>
      </c>
      <c r="I105" s="6" t="s">
        <v>2741</v>
      </c>
    </row>
    <row r="106" spans="1:9" ht="48" customHeight="1">
      <c r="A106" s="20" t="s">
        <v>2550</v>
      </c>
      <c r="B106" s="6" t="s">
        <v>1654</v>
      </c>
      <c r="C106" s="6" t="s">
        <v>2612</v>
      </c>
      <c r="D106" s="6" t="s">
        <v>2736</v>
      </c>
      <c r="E106" s="6" t="s">
        <v>2737</v>
      </c>
      <c r="F106" s="6" t="s">
        <v>2738</v>
      </c>
      <c r="G106" s="6" t="s">
        <v>2739</v>
      </c>
      <c r="H106" s="6" t="s">
        <v>2740</v>
      </c>
      <c r="I106" s="6" t="s">
        <v>2741</v>
      </c>
    </row>
    <row r="107" spans="1:9" ht="48" customHeight="1">
      <c r="A107" s="20" t="s">
        <v>2550</v>
      </c>
      <c r="B107" s="6" t="s">
        <v>1655</v>
      </c>
      <c r="C107" s="6" t="s">
        <v>2612</v>
      </c>
      <c r="D107" s="6" t="s">
        <v>2725</v>
      </c>
      <c r="E107" s="6" t="s">
        <v>2772</v>
      </c>
      <c r="F107" s="6" t="s">
        <v>2727</v>
      </c>
      <c r="G107" s="6" t="s">
        <v>2616</v>
      </c>
      <c r="H107" s="6" t="s">
        <v>2728</v>
      </c>
      <c r="I107" s="6" t="s">
        <v>2729</v>
      </c>
    </row>
    <row r="108" spans="1:9" ht="48" customHeight="1">
      <c r="A108" s="20" t="s">
        <v>2550</v>
      </c>
      <c r="B108" s="6" t="s">
        <v>1656</v>
      </c>
      <c r="C108" s="6" t="s">
        <v>2612</v>
      </c>
      <c r="D108" s="6" t="s">
        <v>2698</v>
      </c>
      <c r="E108" s="6" t="s">
        <v>2699</v>
      </c>
      <c r="F108" s="6" t="s">
        <v>2700</v>
      </c>
      <c r="G108" s="6" t="s">
        <v>2701</v>
      </c>
      <c r="H108" s="6" t="s">
        <v>2634</v>
      </c>
      <c r="I108" s="6" t="s">
        <v>2702</v>
      </c>
    </row>
    <row r="109" spans="1:9" ht="48" customHeight="1">
      <c r="A109" s="20" t="s">
        <v>2550</v>
      </c>
      <c r="B109" s="6" t="s">
        <v>1380</v>
      </c>
      <c r="C109" s="6" t="s">
        <v>2612</v>
      </c>
      <c r="D109" s="6" t="s">
        <v>2703</v>
      </c>
      <c r="E109" s="6" t="s">
        <v>2704</v>
      </c>
      <c r="F109" s="6" t="s">
        <v>2705</v>
      </c>
      <c r="G109" s="6" t="s">
        <v>2706</v>
      </c>
      <c r="H109" s="6" t="s">
        <v>2707</v>
      </c>
      <c r="I109" s="6" t="s">
        <v>2708</v>
      </c>
    </row>
    <row r="110" spans="1:9" ht="48" customHeight="1">
      <c r="A110" s="20" t="s">
        <v>2550</v>
      </c>
      <c r="B110" s="6" t="s">
        <v>1657</v>
      </c>
      <c r="C110" s="6" t="s">
        <v>2612</v>
      </c>
      <c r="D110" s="6" t="s">
        <v>2613</v>
      </c>
      <c r="E110" s="6" t="s">
        <v>2695</v>
      </c>
      <c r="F110" s="6" t="s">
        <v>2</v>
      </c>
      <c r="G110" s="6" t="s">
        <v>2620</v>
      </c>
      <c r="H110" s="6" t="s">
        <v>2696</v>
      </c>
      <c r="I110" s="6" t="s">
        <v>2697</v>
      </c>
    </row>
    <row r="111" spans="1:9" ht="48" customHeight="1">
      <c r="A111" s="20" t="s">
        <v>2550</v>
      </c>
      <c r="B111" s="6" t="s">
        <v>1658</v>
      </c>
      <c r="C111" s="6" t="s">
        <v>2612</v>
      </c>
      <c r="D111" s="6" t="s">
        <v>2730</v>
      </c>
      <c r="E111" s="6" t="s">
        <v>2731</v>
      </c>
      <c r="F111" s="6" t="s">
        <v>2732</v>
      </c>
      <c r="G111" s="6" t="s">
        <v>2733</v>
      </c>
      <c r="H111" s="6" t="s">
        <v>2734</v>
      </c>
      <c r="I111" s="6" t="s">
        <v>2735</v>
      </c>
    </row>
    <row r="112" spans="1:9" ht="48" customHeight="1">
      <c r="A112" s="20" t="s">
        <v>2550</v>
      </c>
      <c r="B112" s="6" t="s">
        <v>1580</v>
      </c>
      <c r="C112" s="6" t="s">
        <v>2612</v>
      </c>
      <c r="D112" s="6" t="s">
        <v>2682</v>
      </c>
      <c r="E112" s="6" t="s">
        <v>2748</v>
      </c>
      <c r="F112" s="6" t="s">
        <v>2749</v>
      </c>
      <c r="G112" s="6" t="s">
        <v>2750</v>
      </c>
      <c r="H112" s="6" t="s">
        <v>2751</v>
      </c>
      <c r="I112" s="6" t="s">
        <v>2752</v>
      </c>
    </row>
    <row r="113" spans="1:9" ht="48" customHeight="1">
      <c r="A113" s="20" t="s">
        <v>2550</v>
      </c>
      <c r="B113" s="6" t="s">
        <v>1659</v>
      </c>
      <c r="C113" s="6" t="s">
        <v>2612</v>
      </c>
      <c r="D113" s="6" t="s">
        <v>2773</v>
      </c>
      <c r="E113" s="6" t="s">
        <v>2774</v>
      </c>
      <c r="F113" s="6" t="s">
        <v>2505</v>
      </c>
      <c r="G113" s="6" t="s">
        <v>2712</v>
      </c>
      <c r="H113" s="6" t="s">
        <v>2775</v>
      </c>
      <c r="I113" s="6" t="s">
        <v>2776</v>
      </c>
    </row>
    <row r="114" spans="1:9" ht="48" customHeight="1">
      <c r="A114" s="20" t="s">
        <v>2550</v>
      </c>
      <c r="B114" s="6" t="s">
        <v>1660</v>
      </c>
      <c r="C114" s="6" t="s">
        <v>2612</v>
      </c>
      <c r="D114" s="6" t="s">
        <v>2773</v>
      </c>
      <c r="E114" s="6" t="s">
        <v>2774</v>
      </c>
      <c r="F114" s="6" t="s">
        <v>2505</v>
      </c>
      <c r="G114" s="6" t="s">
        <v>2712</v>
      </c>
      <c r="H114" s="6" t="s">
        <v>2775</v>
      </c>
      <c r="I114" s="6" t="s">
        <v>2776</v>
      </c>
    </row>
    <row r="115" spans="1:9" ht="48" customHeight="1">
      <c r="A115" s="20" t="s">
        <v>2550</v>
      </c>
      <c r="B115" s="6" t="s">
        <v>1661</v>
      </c>
      <c r="C115" s="6" t="s">
        <v>2719</v>
      </c>
      <c r="D115" s="6" t="s">
        <v>2654</v>
      </c>
      <c r="E115" s="6" t="s">
        <v>2720</v>
      </c>
      <c r="F115" s="6" t="s">
        <v>2721</v>
      </c>
      <c r="G115" s="6" t="s">
        <v>2722</v>
      </c>
      <c r="H115" s="6" t="s">
        <v>2723</v>
      </c>
      <c r="I115" s="6" t="s">
        <v>2724</v>
      </c>
    </row>
    <row r="116" spans="1:9" ht="48" customHeight="1">
      <c r="A116" s="20" t="s">
        <v>2550</v>
      </c>
      <c r="B116" s="6" t="s">
        <v>1662</v>
      </c>
      <c r="C116" s="6" t="s">
        <v>2719</v>
      </c>
      <c r="D116" s="6" t="s">
        <v>2654</v>
      </c>
      <c r="E116" s="6" t="s">
        <v>2720</v>
      </c>
      <c r="F116" s="6" t="s">
        <v>2721</v>
      </c>
      <c r="G116" s="6" t="s">
        <v>2722</v>
      </c>
      <c r="H116" s="6" t="s">
        <v>2723</v>
      </c>
      <c r="I116" s="6" t="s">
        <v>2724</v>
      </c>
    </row>
    <row r="117" spans="1:9" ht="48" customHeight="1">
      <c r="A117" s="20" t="s">
        <v>2550</v>
      </c>
      <c r="B117" s="6" t="s">
        <v>1663</v>
      </c>
      <c r="C117" s="6" t="s">
        <v>2612</v>
      </c>
      <c r="D117" s="6" t="s">
        <v>2777</v>
      </c>
      <c r="E117" s="6" t="s">
        <v>2778</v>
      </c>
      <c r="F117" s="6" t="s">
        <v>2779</v>
      </c>
      <c r="G117" s="6" t="s">
        <v>2780</v>
      </c>
      <c r="H117" s="6" t="s">
        <v>2781</v>
      </c>
      <c r="I117" s="6" t="s">
        <v>2782</v>
      </c>
    </row>
    <row r="118" spans="1:9" ht="48" customHeight="1">
      <c r="A118" s="20" t="s">
        <v>2550</v>
      </c>
      <c r="B118" s="6" t="s">
        <v>1393</v>
      </c>
      <c r="C118" s="6" t="s">
        <v>2612</v>
      </c>
      <c r="D118" s="6" t="s">
        <v>2698</v>
      </c>
      <c r="E118" s="6" t="s">
        <v>2699</v>
      </c>
      <c r="F118" s="6" t="s">
        <v>2700</v>
      </c>
      <c r="G118" s="6" t="s">
        <v>2701</v>
      </c>
      <c r="H118" s="6" t="s">
        <v>2634</v>
      </c>
      <c r="I118" s="6" t="s">
        <v>2702</v>
      </c>
    </row>
    <row r="119" spans="1:9" ht="48" customHeight="1">
      <c r="A119" s="20" t="s">
        <v>2555</v>
      </c>
      <c r="B119" s="6" t="s">
        <v>1851</v>
      </c>
      <c r="C119" s="6" t="s">
        <v>2653</v>
      </c>
      <c r="D119" s="6" t="s">
        <v>2654</v>
      </c>
      <c r="E119" s="6" t="s">
        <v>2655</v>
      </c>
      <c r="F119" s="6" t="s">
        <v>1598</v>
      </c>
      <c r="G119" s="6" t="s">
        <v>2656</v>
      </c>
      <c r="H119" s="6" t="s">
        <v>2657</v>
      </c>
      <c r="I119" s="6" t="s">
        <v>2658</v>
      </c>
    </row>
    <row r="120" spans="1:9" ht="48" customHeight="1">
      <c r="A120" s="20" t="s">
        <v>2555</v>
      </c>
      <c r="B120" s="6" t="s">
        <v>1852</v>
      </c>
      <c r="C120" s="6" t="s">
        <v>2612</v>
      </c>
      <c r="D120" s="6" t="s">
        <v>2613</v>
      </c>
      <c r="E120" s="6" t="s">
        <v>2760</v>
      </c>
      <c r="F120" s="6" t="s">
        <v>21</v>
      </c>
      <c r="G120" s="6" t="s">
        <v>2620</v>
      </c>
      <c r="H120" s="6" t="s">
        <v>2761</v>
      </c>
      <c r="I120" s="6" t="s">
        <v>2762</v>
      </c>
    </row>
    <row r="121" spans="1:9" ht="48" customHeight="1">
      <c r="A121" s="20" t="s">
        <v>2555</v>
      </c>
      <c r="B121" s="6" t="s">
        <v>1853</v>
      </c>
      <c r="C121" s="6" t="s">
        <v>2612</v>
      </c>
      <c r="D121" s="6" t="s">
        <v>2682</v>
      </c>
      <c r="E121" s="6" t="s">
        <v>2748</v>
      </c>
      <c r="F121" s="6" t="s">
        <v>2749</v>
      </c>
      <c r="G121" s="6" t="s">
        <v>2750</v>
      </c>
      <c r="H121" s="6" t="s">
        <v>2751</v>
      </c>
      <c r="I121" s="6" t="s">
        <v>2752</v>
      </c>
    </row>
    <row r="122" spans="1:9" ht="48" customHeight="1">
      <c r="A122" s="20" t="s">
        <v>2555</v>
      </c>
      <c r="B122" s="6" t="s">
        <v>12</v>
      </c>
      <c r="C122" s="6" t="s">
        <v>2612</v>
      </c>
      <c r="D122" s="6" t="s">
        <v>2613</v>
      </c>
      <c r="E122" s="6" t="s">
        <v>2691</v>
      </c>
      <c r="F122" s="6" t="s">
        <v>14</v>
      </c>
      <c r="G122" s="6" t="s">
        <v>2692</v>
      </c>
      <c r="H122" s="6" t="s">
        <v>2693</v>
      </c>
      <c r="I122" s="6" t="s">
        <v>2694</v>
      </c>
    </row>
    <row r="123" spans="1:9" ht="48" customHeight="1">
      <c r="A123" s="20" t="s">
        <v>2555</v>
      </c>
      <c r="B123" s="6" t="s">
        <v>1371</v>
      </c>
      <c r="C123" s="6" t="s">
        <v>2612</v>
      </c>
      <c r="D123" s="6" t="s">
        <v>2613</v>
      </c>
      <c r="E123" s="6" t="s">
        <v>2659</v>
      </c>
      <c r="F123" s="6" t="s">
        <v>2660</v>
      </c>
      <c r="G123" s="6" t="s">
        <v>2661</v>
      </c>
      <c r="H123" s="6" t="s">
        <v>2662</v>
      </c>
      <c r="I123" s="6" t="s">
        <v>2663</v>
      </c>
    </row>
    <row r="124" spans="1:9" ht="48" customHeight="1">
      <c r="A124" s="20" t="s">
        <v>2555</v>
      </c>
      <c r="B124" s="6" t="s">
        <v>1386</v>
      </c>
      <c r="C124" s="6" t="s">
        <v>2612</v>
      </c>
      <c r="D124" s="6" t="s">
        <v>2725</v>
      </c>
      <c r="E124" s="6" t="s">
        <v>2726</v>
      </c>
      <c r="F124" s="6" t="s">
        <v>2727</v>
      </c>
      <c r="G124" s="6" t="s">
        <v>2616</v>
      </c>
      <c r="H124" s="6" t="s">
        <v>2728</v>
      </c>
      <c r="I124" s="6" t="s">
        <v>2729</v>
      </c>
    </row>
    <row r="125" spans="1:9" ht="48" customHeight="1">
      <c r="A125" s="20" t="s">
        <v>2555</v>
      </c>
      <c r="B125" s="6" t="s">
        <v>1854</v>
      </c>
      <c r="C125" s="6" t="s">
        <v>2612</v>
      </c>
      <c r="D125" s="6" t="s">
        <v>2783</v>
      </c>
      <c r="E125" s="6" t="s">
        <v>2784</v>
      </c>
      <c r="F125" s="6" t="s">
        <v>2785</v>
      </c>
      <c r="G125" s="6" t="s">
        <v>2786</v>
      </c>
      <c r="H125" s="6" t="s">
        <v>2787</v>
      </c>
      <c r="I125" s="6" t="s">
        <v>2788</v>
      </c>
    </row>
    <row r="126" spans="1:9" ht="48" customHeight="1">
      <c r="A126" s="20" t="s">
        <v>2555</v>
      </c>
      <c r="B126" s="6" t="s">
        <v>1377</v>
      </c>
      <c r="C126" s="6" t="s">
        <v>2612</v>
      </c>
      <c r="D126" s="6" t="s">
        <v>2613</v>
      </c>
      <c r="E126" s="6" t="s">
        <v>2688</v>
      </c>
      <c r="F126" s="6" t="s">
        <v>8</v>
      </c>
      <c r="G126" s="6" t="s">
        <v>2620</v>
      </c>
      <c r="H126" s="6" t="s">
        <v>2689</v>
      </c>
      <c r="I126" s="6" t="s">
        <v>2690</v>
      </c>
    </row>
    <row r="127" spans="1:9" ht="48" customHeight="1">
      <c r="A127" s="20" t="s">
        <v>2555</v>
      </c>
      <c r="B127" s="6" t="s">
        <v>1656</v>
      </c>
      <c r="C127" s="6" t="s">
        <v>2612</v>
      </c>
      <c r="D127" s="6" t="s">
        <v>2698</v>
      </c>
      <c r="E127" s="6" t="s">
        <v>2699</v>
      </c>
      <c r="F127" s="6" t="s">
        <v>2700</v>
      </c>
      <c r="G127" s="6" t="s">
        <v>2701</v>
      </c>
      <c r="H127" s="6" t="s">
        <v>2634</v>
      </c>
      <c r="I127" s="6" t="s">
        <v>2702</v>
      </c>
    </row>
    <row r="128" spans="1:9" ht="48" customHeight="1">
      <c r="A128" s="20" t="s">
        <v>2555</v>
      </c>
      <c r="B128" s="6" t="s">
        <v>1855</v>
      </c>
      <c r="C128" s="6" t="s">
        <v>2612</v>
      </c>
      <c r="D128" s="6" t="s">
        <v>2698</v>
      </c>
      <c r="E128" s="6" t="s">
        <v>2699</v>
      </c>
      <c r="F128" s="6" t="s">
        <v>2700</v>
      </c>
      <c r="G128" s="6" t="s">
        <v>2701</v>
      </c>
      <c r="H128" s="6" t="s">
        <v>2634</v>
      </c>
      <c r="I128" s="6" t="s">
        <v>2702</v>
      </c>
    </row>
    <row r="129" spans="1:9" ht="48" customHeight="1">
      <c r="A129" s="20" t="s">
        <v>2555</v>
      </c>
      <c r="B129" s="6" t="s">
        <v>1856</v>
      </c>
      <c r="C129" s="6" t="s">
        <v>2612</v>
      </c>
      <c r="D129" s="6" t="s">
        <v>2703</v>
      </c>
      <c r="E129" s="6" t="s">
        <v>2704</v>
      </c>
      <c r="F129" s="6" t="s">
        <v>2705</v>
      </c>
      <c r="G129" s="6" t="s">
        <v>2706</v>
      </c>
      <c r="H129" s="6" t="s">
        <v>2707</v>
      </c>
      <c r="I129" s="6" t="s">
        <v>2708</v>
      </c>
    </row>
    <row r="130" spans="1:9" ht="48" customHeight="1">
      <c r="A130" s="20" t="s">
        <v>2555</v>
      </c>
      <c r="B130" s="6" t="s">
        <v>1857</v>
      </c>
      <c r="C130" s="6" t="s">
        <v>2612</v>
      </c>
      <c r="D130" s="6" t="s">
        <v>2703</v>
      </c>
      <c r="E130" s="6" t="s">
        <v>2704</v>
      </c>
      <c r="F130" s="6" t="s">
        <v>2705</v>
      </c>
      <c r="G130" s="6" t="s">
        <v>2706</v>
      </c>
      <c r="H130" s="6" t="s">
        <v>2707</v>
      </c>
      <c r="I130" s="6" t="s">
        <v>2708</v>
      </c>
    </row>
    <row r="131" spans="1:9" ht="48" customHeight="1">
      <c r="A131" s="20" t="s">
        <v>2555</v>
      </c>
      <c r="B131" s="6" t="s">
        <v>1378</v>
      </c>
      <c r="C131" s="6" t="s">
        <v>2612</v>
      </c>
      <c r="D131" s="6" t="s">
        <v>2613</v>
      </c>
      <c r="E131" s="6" t="s">
        <v>2695</v>
      </c>
      <c r="F131" s="6" t="s">
        <v>2</v>
      </c>
      <c r="G131" s="6" t="s">
        <v>2620</v>
      </c>
      <c r="H131" s="6" t="s">
        <v>2696</v>
      </c>
      <c r="I131" s="6" t="s">
        <v>2697</v>
      </c>
    </row>
    <row r="132" spans="1:9" ht="48" customHeight="1">
      <c r="A132" s="20" t="s">
        <v>2555</v>
      </c>
      <c r="B132" s="6" t="s">
        <v>1858</v>
      </c>
      <c r="C132" s="6" t="s">
        <v>2612</v>
      </c>
      <c r="D132" s="6" t="s">
        <v>2789</v>
      </c>
      <c r="E132" s="6" t="s">
        <v>2790</v>
      </c>
      <c r="F132" s="6" t="s">
        <v>2791</v>
      </c>
      <c r="G132" s="6" t="s">
        <v>2792</v>
      </c>
      <c r="H132" s="6" t="s">
        <v>2793</v>
      </c>
      <c r="I132" s="6" t="s">
        <v>2794</v>
      </c>
    </row>
    <row r="133" spans="1:9" ht="48" customHeight="1">
      <c r="A133" s="20" t="s">
        <v>2555</v>
      </c>
      <c r="B133" s="6" t="s">
        <v>1859</v>
      </c>
      <c r="C133" s="6" t="s">
        <v>2612</v>
      </c>
      <c r="D133" s="6" t="s">
        <v>2725</v>
      </c>
      <c r="E133" s="6" t="s">
        <v>2795</v>
      </c>
      <c r="F133" s="6" t="s">
        <v>2727</v>
      </c>
      <c r="G133" s="6" t="s">
        <v>2616</v>
      </c>
      <c r="H133" s="6" t="s">
        <v>2728</v>
      </c>
      <c r="I133" s="6" t="s">
        <v>2729</v>
      </c>
    </row>
    <row r="134" spans="1:9" ht="48" customHeight="1">
      <c r="A134" s="20" t="s">
        <v>2555</v>
      </c>
      <c r="B134" s="6" t="s">
        <v>1860</v>
      </c>
      <c r="C134" s="6" t="s">
        <v>2612</v>
      </c>
      <c r="D134" s="6" t="s">
        <v>2736</v>
      </c>
      <c r="E134" s="6" t="s">
        <v>2737</v>
      </c>
      <c r="F134" s="6" t="s">
        <v>2738</v>
      </c>
      <c r="G134" s="6" t="s">
        <v>2739</v>
      </c>
      <c r="H134" s="6" t="s">
        <v>2740</v>
      </c>
      <c r="I134" s="6" t="s">
        <v>2741</v>
      </c>
    </row>
    <row r="135" spans="1:9" ht="48" customHeight="1">
      <c r="A135" s="20" t="s">
        <v>2555</v>
      </c>
      <c r="B135" s="6" t="s">
        <v>1861</v>
      </c>
      <c r="C135" s="6" t="s">
        <v>2612</v>
      </c>
      <c r="D135" s="6" t="s">
        <v>2730</v>
      </c>
      <c r="E135" s="6" t="s">
        <v>2731</v>
      </c>
      <c r="F135" s="6" t="s">
        <v>2732</v>
      </c>
      <c r="G135" s="6" t="s">
        <v>2733</v>
      </c>
      <c r="H135" s="6" t="s">
        <v>2734</v>
      </c>
      <c r="I135" s="6" t="s">
        <v>2735</v>
      </c>
    </row>
    <row r="136" spans="1:9" ht="48" customHeight="1">
      <c r="A136" s="20" t="s">
        <v>2555</v>
      </c>
      <c r="B136" s="6" t="s">
        <v>1862</v>
      </c>
      <c r="C136" s="6" t="s">
        <v>2612</v>
      </c>
      <c r="D136" s="6" t="s">
        <v>2669</v>
      </c>
      <c r="E136" s="6" t="s">
        <v>2670</v>
      </c>
      <c r="F136" s="6" t="s">
        <v>2671</v>
      </c>
      <c r="G136" s="6" t="s">
        <v>2672</v>
      </c>
      <c r="H136" s="6" t="s">
        <v>2673</v>
      </c>
      <c r="I136" s="6" t="s">
        <v>2674</v>
      </c>
    </row>
    <row r="137" spans="1:9" ht="48" customHeight="1">
      <c r="A137" s="20" t="s">
        <v>2555</v>
      </c>
      <c r="B137" s="6" t="s">
        <v>1863</v>
      </c>
      <c r="C137" s="6" t="s">
        <v>2612</v>
      </c>
      <c r="D137" s="6" t="s">
        <v>2725</v>
      </c>
      <c r="E137" s="6" t="s">
        <v>2796</v>
      </c>
      <c r="F137" s="6" t="s">
        <v>2727</v>
      </c>
      <c r="G137" s="6" t="s">
        <v>2616</v>
      </c>
      <c r="H137" s="6" t="s">
        <v>2728</v>
      </c>
      <c r="I137" s="6" t="s">
        <v>2729</v>
      </c>
    </row>
    <row r="138" spans="1:9" ht="48" customHeight="1">
      <c r="A138" s="20" t="s">
        <v>2555</v>
      </c>
      <c r="B138" s="6" t="s">
        <v>1864</v>
      </c>
      <c r="C138" s="6" t="s">
        <v>2612</v>
      </c>
      <c r="D138" s="6" t="s">
        <v>2742</v>
      </c>
      <c r="E138" s="6" t="s">
        <v>2743</v>
      </c>
      <c r="F138" s="6" t="s">
        <v>2744</v>
      </c>
      <c r="G138" s="6" t="s">
        <v>2745</v>
      </c>
      <c r="H138" s="6" t="s">
        <v>2746</v>
      </c>
      <c r="I138" s="6" t="s">
        <v>2747</v>
      </c>
    </row>
    <row r="139" spans="1:9" ht="48" customHeight="1">
      <c r="A139" s="20" t="s">
        <v>2555</v>
      </c>
      <c r="B139" s="6" t="s">
        <v>1865</v>
      </c>
      <c r="C139" s="6" t="s">
        <v>2612</v>
      </c>
      <c r="D139" s="6" t="s">
        <v>2777</v>
      </c>
      <c r="E139" s="6" t="s">
        <v>2778</v>
      </c>
      <c r="F139" s="6" t="s">
        <v>2779</v>
      </c>
      <c r="G139" s="6" t="s">
        <v>2780</v>
      </c>
      <c r="H139" s="6" t="s">
        <v>2781</v>
      </c>
      <c r="I139" s="6" t="s">
        <v>2782</v>
      </c>
    </row>
    <row r="140" spans="1:9" ht="48" customHeight="1">
      <c r="A140" s="20" t="s">
        <v>2560</v>
      </c>
      <c r="B140" s="6" t="s">
        <v>1968</v>
      </c>
      <c r="C140" s="6" t="s">
        <v>2653</v>
      </c>
      <c r="D140" s="6" t="s">
        <v>2654</v>
      </c>
      <c r="E140" s="6" t="s">
        <v>2655</v>
      </c>
      <c r="F140" s="6" t="s">
        <v>1598</v>
      </c>
      <c r="G140" s="6" t="s">
        <v>2656</v>
      </c>
      <c r="H140" s="6" t="s">
        <v>2657</v>
      </c>
      <c r="I140" s="6" t="s">
        <v>2658</v>
      </c>
    </row>
    <row r="141" spans="1:9" ht="48" customHeight="1">
      <c r="A141" s="20" t="s">
        <v>2560</v>
      </c>
      <c r="B141" s="6" t="s">
        <v>1969</v>
      </c>
      <c r="C141" s="6" t="s">
        <v>2612</v>
      </c>
      <c r="D141" s="6" t="s">
        <v>2703</v>
      </c>
      <c r="E141" s="6" t="s">
        <v>2704</v>
      </c>
      <c r="F141" s="6" t="s">
        <v>2705</v>
      </c>
      <c r="G141" s="6" t="s">
        <v>2706</v>
      </c>
      <c r="H141" s="6" t="s">
        <v>2707</v>
      </c>
      <c r="I141" s="6" t="s">
        <v>2708</v>
      </c>
    </row>
    <row r="142" spans="1:9" ht="48" customHeight="1">
      <c r="A142" s="20" t="s">
        <v>2560</v>
      </c>
      <c r="B142" s="6" t="s">
        <v>1371</v>
      </c>
      <c r="C142" s="6" t="s">
        <v>2612</v>
      </c>
      <c r="D142" s="6" t="s">
        <v>2613</v>
      </c>
      <c r="E142" s="6" t="s">
        <v>2659</v>
      </c>
      <c r="F142" s="6" t="s">
        <v>2660</v>
      </c>
      <c r="G142" s="6" t="s">
        <v>2661</v>
      </c>
      <c r="H142" s="6" t="s">
        <v>2662</v>
      </c>
      <c r="I142" s="6" t="s">
        <v>2663</v>
      </c>
    </row>
    <row r="143" spans="1:9" ht="48" customHeight="1">
      <c r="A143" s="20" t="s">
        <v>2560</v>
      </c>
      <c r="B143" s="6" t="s">
        <v>1970</v>
      </c>
      <c r="C143" s="6" t="s">
        <v>2612</v>
      </c>
      <c r="D143" s="6" t="s">
        <v>2682</v>
      </c>
      <c r="E143" s="6" t="s">
        <v>2748</v>
      </c>
      <c r="F143" s="6" t="s">
        <v>2749</v>
      </c>
      <c r="G143" s="6" t="s">
        <v>2750</v>
      </c>
      <c r="H143" s="6" t="s">
        <v>2751</v>
      </c>
      <c r="I143" s="6" t="s">
        <v>2752</v>
      </c>
    </row>
    <row r="144" spans="1:9" ht="48" customHeight="1">
      <c r="A144" s="20" t="s">
        <v>2560</v>
      </c>
      <c r="B144" s="6" t="s">
        <v>1971</v>
      </c>
      <c r="C144" s="6" t="s">
        <v>2612</v>
      </c>
      <c r="D144" s="6" t="s">
        <v>2613</v>
      </c>
      <c r="E144" s="6" t="s">
        <v>2664</v>
      </c>
      <c r="F144" s="6" t="s">
        <v>2665</v>
      </c>
      <c r="G144" s="6" t="s">
        <v>2666</v>
      </c>
      <c r="H144" s="6" t="s">
        <v>2667</v>
      </c>
      <c r="I144" s="6" t="s">
        <v>2668</v>
      </c>
    </row>
    <row r="145" spans="1:9" ht="48" customHeight="1">
      <c r="A145" s="20" t="s">
        <v>2560</v>
      </c>
      <c r="B145" s="6" t="s">
        <v>1972</v>
      </c>
      <c r="C145" s="6" t="s">
        <v>2612</v>
      </c>
      <c r="D145" s="6" t="s">
        <v>2777</v>
      </c>
      <c r="E145" s="6" t="s">
        <v>2778</v>
      </c>
      <c r="F145" s="6" t="s">
        <v>2779</v>
      </c>
      <c r="G145" s="6" t="s">
        <v>2780</v>
      </c>
      <c r="H145" s="6" t="s">
        <v>2781</v>
      </c>
      <c r="I145" s="6" t="s">
        <v>2782</v>
      </c>
    </row>
    <row r="146" spans="1:9" ht="48" customHeight="1">
      <c r="A146" s="20" t="s">
        <v>2560</v>
      </c>
      <c r="B146" s="6" t="s">
        <v>1377</v>
      </c>
      <c r="C146" s="6" t="s">
        <v>2612</v>
      </c>
      <c r="D146" s="6" t="s">
        <v>2613</v>
      </c>
      <c r="E146" s="6" t="s">
        <v>2688</v>
      </c>
      <c r="F146" s="6" t="s">
        <v>8</v>
      </c>
      <c r="G146" s="6" t="s">
        <v>2620</v>
      </c>
      <c r="H146" s="6" t="s">
        <v>2689</v>
      </c>
      <c r="I146" s="6" t="s">
        <v>2690</v>
      </c>
    </row>
    <row r="147" spans="1:9" ht="48" customHeight="1">
      <c r="A147" s="20" t="s">
        <v>2560</v>
      </c>
      <c r="B147" s="6" t="s">
        <v>1973</v>
      </c>
      <c r="C147" s="6" t="s">
        <v>2612</v>
      </c>
      <c r="D147" s="6" t="s">
        <v>2698</v>
      </c>
      <c r="E147" s="6" t="s">
        <v>2699</v>
      </c>
      <c r="F147" s="6" t="s">
        <v>2700</v>
      </c>
      <c r="G147" s="6" t="s">
        <v>2701</v>
      </c>
      <c r="H147" s="6" t="s">
        <v>2634</v>
      </c>
      <c r="I147" s="6" t="s">
        <v>2702</v>
      </c>
    </row>
    <row r="148" spans="1:9" ht="48" customHeight="1">
      <c r="A148" s="20" t="s">
        <v>2560</v>
      </c>
      <c r="B148" s="6" t="s">
        <v>1974</v>
      </c>
      <c r="C148" s="6" t="s">
        <v>2612</v>
      </c>
      <c r="D148" s="6" t="s">
        <v>2613</v>
      </c>
      <c r="E148" s="6" t="s">
        <v>2664</v>
      </c>
      <c r="F148" s="6" t="s">
        <v>2665</v>
      </c>
      <c r="G148" s="6" t="s">
        <v>2666</v>
      </c>
      <c r="H148" s="6" t="s">
        <v>2667</v>
      </c>
      <c r="I148" s="6" t="s">
        <v>2668</v>
      </c>
    </row>
    <row r="149" spans="1:9" ht="48" customHeight="1">
      <c r="A149" s="20" t="s">
        <v>2560</v>
      </c>
      <c r="B149" s="6" t="s">
        <v>1857</v>
      </c>
      <c r="C149" s="6" t="s">
        <v>2612</v>
      </c>
      <c r="D149" s="6" t="s">
        <v>2703</v>
      </c>
      <c r="E149" s="6" t="s">
        <v>2704</v>
      </c>
      <c r="F149" s="6" t="s">
        <v>2705</v>
      </c>
      <c r="G149" s="6" t="s">
        <v>2706</v>
      </c>
      <c r="H149" s="6" t="s">
        <v>2707</v>
      </c>
      <c r="I149" s="6" t="s">
        <v>2708</v>
      </c>
    </row>
    <row r="150" spans="1:9" ht="48" customHeight="1">
      <c r="A150" s="20" t="s">
        <v>2560</v>
      </c>
      <c r="B150" s="6" t="s">
        <v>1975</v>
      </c>
      <c r="C150" s="6" t="s">
        <v>2612</v>
      </c>
      <c r="D150" s="6" t="s">
        <v>2703</v>
      </c>
      <c r="E150" s="6" t="s">
        <v>2704</v>
      </c>
      <c r="F150" s="6" t="s">
        <v>2705</v>
      </c>
      <c r="G150" s="6" t="s">
        <v>2706</v>
      </c>
      <c r="H150" s="6" t="s">
        <v>2707</v>
      </c>
      <c r="I150" s="6" t="s">
        <v>2708</v>
      </c>
    </row>
    <row r="151" spans="1:9" ht="48" customHeight="1">
      <c r="A151" s="20" t="s">
        <v>2560</v>
      </c>
      <c r="B151" s="6" t="s">
        <v>1378</v>
      </c>
      <c r="C151" s="6" t="s">
        <v>2612</v>
      </c>
      <c r="D151" s="6" t="s">
        <v>2613</v>
      </c>
      <c r="E151" s="6" t="s">
        <v>2695</v>
      </c>
      <c r="F151" s="6" t="s">
        <v>2</v>
      </c>
      <c r="G151" s="6" t="s">
        <v>2620</v>
      </c>
      <c r="H151" s="6" t="s">
        <v>2696</v>
      </c>
      <c r="I151" s="6" t="s">
        <v>2697</v>
      </c>
    </row>
    <row r="152" spans="1:9" ht="48" customHeight="1">
      <c r="A152" s="20" t="s">
        <v>2560</v>
      </c>
      <c r="B152" s="6" t="s">
        <v>1976</v>
      </c>
      <c r="C152" s="6" t="s">
        <v>2612</v>
      </c>
      <c r="D152" s="6" t="s">
        <v>2725</v>
      </c>
      <c r="E152" s="6" t="s">
        <v>2797</v>
      </c>
      <c r="F152" s="6" t="s">
        <v>2727</v>
      </c>
      <c r="G152" s="6" t="s">
        <v>2616</v>
      </c>
      <c r="H152" s="6" t="s">
        <v>2728</v>
      </c>
      <c r="I152" s="6" t="s">
        <v>2729</v>
      </c>
    </row>
    <row r="153" spans="1:9" ht="48" customHeight="1">
      <c r="A153" s="20" t="s">
        <v>2560</v>
      </c>
      <c r="B153" s="6" t="s">
        <v>1977</v>
      </c>
      <c r="C153" s="6" t="s">
        <v>2612</v>
      </c>
      <c r="D153" s="6" t="s">
        <v>2669</v>
      </c>
      <c r="E153" s="6" t="s">
        <v>2670</v>
      </c>
      <c r="F153" s="6" t="s">
        <v>2671</v>
      </c>
      <c r="G153" s="6" t="s">
        <v>2672</v>
      </c>
      <c r="H153" s="6" t="s">
        <v>2673</v>
      </c>
      <c r="I153" s="6" t="s">
        <v>2674</v>
      </c>
    </row>
    <row r="154" spans="1:9" ht="48" customHeight="1">
      <c r="A154" s="20" t="s">
        <v>2560</v>
      </c>
      <c r="B154" s="6" t="s">
        <v>1978</v>
      </c>
      <c r="C154" s="6" t="s">
        <v>2612</v>
      </c>
      <c r="D154" s="6" t="s">
        <v>2613</v>
      </c>
      <c r="E154" s="6" t="s">
        <v>2664</v>
      </c>
      <c r="F154" s="6" t="s">
        <v>2665</v>
      </c>
      <c r="G154" s="6" t="s">
        <v>2666</v>
      </c>
      <c r="H154" s="6" t="s">
        <v>2667</v>
      </c>
      <c r="I154" s="6" t="s">
        <v>2668</v>
      </c>
    </row>
    <row r="155" spans="1:9" ht="48" customHeight="1">
      <c r="A155" s="20" t="s">
        <v>2560</v>
      </c>
      <c r="B155" s="6" t="s">
        <v>1979</v>
      </c>
      <c r="C155" s="6" t="s">
        <v>2719</v>
      </c>
      <c r="D155" s="6" t="s">
        <v>2654</v>
      </c>
      <c r="E155" s="6" t="s">
        <v>2720</v>
      </c>
      <c r="F155" s="6" t="s">
        <v>2721</v>
      </c>
      <c r="G155" s="6" t="s">
        <v>2722</v>
      </c>
      <c r="H155" s="6" t="s">
        <v>2723</v>
      </c>
      <c r="I155" s="6" t="s">
        <v>2724</v>
      </c>
    </row>
    <row r="156" spans="1:9" ht="48" customHeight="1">
      <c r="A156" s="20" t="s">
        <v>2560</v>
      </c>
      <c r="B156" s="6" t="s">
        <v>1980</v>
      </c>
      <c r="C156" s="6" t="s">
        <v>2612</v>
      </c>
      <c r="D156" s="6" t="s">
        <v>2703</v>
      </c>
      <c r="E156" s="6" t="s">
        <v>2704</v>
      </c>
      <c r="F156" s="6" t="s">
        <v>2705</v>
      </c>
      <c r="G156" s="6" t="s">
        <v>2706</v>
      </c>
      <c r="H156" s="6" t="s">
        <v>2707</v>
      </c>
      <c r="I156" s="6" t="s">
        <v>2708</v>
      </c>
    </row>
    <row r="157" spans="1:9" ht="48" customHeight="1">
      <c r="A157" s="20" t="s">
        <v>2560</v>
      </c>
      <c r="B157" s="6" t="s">
        <v>1393</v>
      </c>
      <c r="C157" s="6" t="s">
        <v>2612</v>
      </c>
      <c r="D157" s="6" t="s">
        <v>2698</v>
      </c>
      <c r="E157" s="6" t="s">
        <v>2699</v>
      </c>
      <c r="F157" s="6" t="s">
        <v>2700</v>
      </c>
      <c r="G157" s="6" t="s">
        <v>2701</v>
      </c>
      <c r="H157" s="6" t="s">
        <v>2634</v>
      </c>
      <c r="I157" s="6" t="s">
        <v>2702</v>
      </c>
    </row>
    <row r="158" spans="1:9" ht="48" customHeight="1">
      <c r="A158" s="20" t="s">
        <v>2565</v>
      </c>
      <c r="B158" s="6" t="s">
        <v>1983</v>
      </c>
      <c r="C158" s="6" t="s">
        <v>2653</v>
      </c>
      <c r="D158" s="6" t="s">
        <v>2654</v>
      </c>
      <c r="E158" s="6" t="s">
        <v>2798</v>
      </c>
      <c r="F158" s="6" t="s">
        <v>1992</v>
      </c>
      <c r="G158" s="6" t="s">
        <v>2616</v>
      </c>
      <c r="H158" s="6" t="s">
        <v>2799</v>
      </c>
      <c r="I158" s="6" t="s">
        <v>2729</v>
      </c>
    </row>
    <row r="159" spans="1:9" ht="48" customHeight="1">
      <c r="A159" s="20" t="s">
        <v>2565</v>
      </c>
      <c r="B159" s="6" t="s">
        <v>2800</v>
      </c>
      <c r="C159" s="6" t="s">
        <v>2612</v>
      </c>
      <c r="D159" s="6" t="s">
        <v>2613</v>
      </c>
      <c r="E159" s="6" t="s">
        <v>2801</v>
      </c>
      <c r="F159" s="6" t="s">
        <v>2802</v>
      </c>
      <c r="G159" s="6" t="s">
        <v>2803</v>
      </c>
      <c r="H159" s="6" t="s">
        <v>2804</v>
      </c>
      <c r="I159" s="6" t="s">
        <v>2805</v>
      </c>
    </row>
    <row r="160" spans="1:9" ht="48" customHeight="1">
      <c r="A160" s="20" t="s">
        <v>2565</v>
      </c>
      <c r="B160" s="6" t="s">
        <v>2806</v>
      </c>
      <c r="C160" s="6" t="s">
        <v>2612</v>
      </c>
      <c r="D160" s="6" t="s">
        <v>2613</v>
      </c>
      <c r="E160" s="6" t="s">
        <v>2801</v>
      </c>
      <c r="F160" s="6" t="s">
        <v>2802</v>
      </c>
      <c r="G160" s="6" t="s">
        <v>2803</v>
      </c>
      <c r="H160" s="6" t="s">
        <v>2804</v>
      </c>
      <c r="I160" s="6" t="s">
        <v>2805</v>
      </c>
    </row>
    <row r="161" spans="1:9" ht="48" customHeight="1">
      <c r="A161" s="20" t="s">
        <v>2565</v>
      </c>
      <c r="B161" s="6" t="s">
        <v>2807</v>
      </c>
      <c r="C161" s="6" t="s">
        <v>2612</v>
      </c>
      <c r="D161" s="6" t="s">
        <v>2613</v>
      </c>
      <c r="E161" s="6" t="s">
        <v>2801</v>
      </c>
      <c r="F161" s="6" t="s">
        <v>2802</v>
      </c>
      <c r="G161" s="6" t="s">
        <v>2803</v>
      </c>
      <c r="H161" s="6" t="s">
        <v>2804</v>
      </c>
      <c r="I161" s="6" t="s">
        <v>2805</v>
      </c>
    </row>
    <row r="162" spans="1:9" ht="48" customHeight="1">
      <c r="A162" s="20" t="s">
        <v>2565</v>
      </c>
      <c r="B162" s="6" t="s">
        <v>2808</v>
      </c>
      <c r="C162" s="6" t="s">
        <v>2612</v>
      </c>
      <c r="D162" s="6" t="s">
        <v>2613</v>
      </c>
      <c r="E162" s="6" t="s">
        <v>2801</v>
      </c>
      <c r="F162" s="6" t="s">
        <v>2802</v>
      </c>
      <c r="G162" s="6" t="s">
        <v>2803</v>
      </c>
      <c r="H162" s="6" t="s">
        <v>2804</v>
      </c>
      <c r="I162" s="6" t="s">
        <v>2805</v>
      </c>
    </row>
    <row r="163" spans="1:9" ht="48" customHeight="1">
      <c r="A163" s="20" t="s">
        <v>2565</v>
      </c>
      <c r="B163" s="6" t="s">
        <v>2809</v>
      </c>
      <c r="C163" s="6" t="s">
        <v>2612</v>
      </c>
      <c r="D163" s="6" t="s">
        <v>2613</v>
      </c>
      <c r="E163" s="6" t="s">
        <v>2801</v>
      </c>
      <c r="F163" s="6" t="s">
        <v>2802</v>
      </c>
      <c r="G163" s="6" t="s">
        <v>2803</v>
      </c>
      <c r="H163" s="6" t="s">
        <v>2804</v>
      </c>
      <c r="I163" s="6" t="s">
        <v>2805</v>
      </c>
    </row>
    <row r="164" spans="1:9" ht="48" customHeight="1">
      <c r="A164" s="20" t="s">
        <v>2565</v>
      </c>
      <c r="B164" s="6" t="s">
        <v>2810</v>
      </c>
      <c r="C164" s="6" t="s">
        <v>2719</v>
      </c>
      <c r="D164" s="6" t="s">
        <v>2654</v>
      </c>
      <c r="E164" s="6" t="s">
        <v>2811</v>
      </c>
      <c r="F164" s="6" t="s">
        <v>2727</v>
      </c>
      <c r="G164" s="6" t="s">
        <v>2792</v>
      </c>
      <c r="H164" s="6" t="s">
        <v>2728</v>
      </c>
      <c r="I164" s="6" t="s">
        <v>2729</v>
      </c>
    </row>
    <row r="165" spans="1:9" ht="48" customHeight="1">
      <c r="A165" s="20" t="s">
        <v>2565</v>
      </c>
      <c r="B165" s="6" t="s">
        <v>1990</v>
      </c>
      <c r="C165" s="6" t="s">
        <v>2719</v>
      </c>
      <c r="D165" s="6" t="s">
        <v>2654</v>
      </c>
      <c r="E165" s="6" t="s">
        <v>2812</v>
      </c>
      <c r="F165" s="6" t="s">
        <v>2738</v>
      </c>
      <c r="G165" s="6" t="s">
        <v>2792</v>
      </c>
      <c r="H165" s="6" t="s">
        <v>2740</v>
      </c>
      <c r="I165" s="6" t="s">
        <v>2741</v>
      </c>
    </row>
    <row r="166" spans="1:9" ht="48" customHeight="1">
      <c r="A166" s="20" t="s">
        <v>2565</v>
      </c>
      <c r="B166" s="6" t="s">
        <v>1991</v>
      </c>
      <c r="C166" s="6" t="s">
        <v>2612</v>
      </c>
      <c r="D166" s="6" t="s">
        <v>2813</v>
      </c>
      <c r="E166" s="6" t="s">
        <v>2814</v>
      </c>
      <c r="F166" s="6" t="s">
        <v>2815</v>
      </c>
      <c r="G166" s="6" t="s">
        <v>2756</v>
      </c>
      <c r="H166" s="6" t="s">
        <v>2816</v>
      </c>
      <c r="I166" s="6" t="s">
        <v>2758</v>
      </c>
    </row>
    <row r="167" spans="1:9" ht="48" customHeight="1">
      <c r="A167" s="20" t="s">
        <v>2565</v>
      </c>
      <c r="B167" s="6" t="s">
        <v>1992</v>
      </c>
      <c r="C167" s="6" t="s">
        <v>2612</v>
      </c>
      <c r="D167" s="6" t="s">
        <v>2817</v>
      </c>
      <c r="E167" s="6" t="s">
        <v>2818</v>
      </c>
      <c r="F167" s="6" t="s">
        <v>2819</v>
      </c>
      <c r="G167" s="6" t="s">
        <v>2650</v>
      </c>
      <c r="H167" s="6" t="s">
        <v>2820</v>
      </c>
      <c r="I167" s="6" t="s">
        <v>2821</v>
      </c>
    </row>
    <row r="168" spans="1:9" ht="48" customHeight="1">
      <c r="A168" s="20" t="s">
        <v>2565</v>
      </c>
      <c r="B168" s="6" t="s">
        <v>1993</v>
      </c>
      <c r="C168" s="6" t="s">
        <v>2612</v>
      </c>
      <c r="D168" s="6" t="s">
        <v>2817</v>
      </c>
      <c r="E168" s="6" t="s">
        <v>2818</v>
      </c>
      <c r="F168" s="6" t="s">
        <v>2819</v>
      </c>
      <c r="G168" s="6" t="s">
        <v>2650</v>
      </c>
      <c r="H168" s="6" t="s">
        <v>2820</v>
      </c>
      <c r="I168" s="6" t="s">
        <v>2821</v>
      </c>
    </row>
    <row r="169" spans="1:9" ht="48" customHeight="1">
      <c r="A169" s="20" t="s">
        <v>2565</v>
      </c>
      <c r="B169" s="6" t="s">
        <v>1994</v>
      </c>
      <c r="C169" s="6" t="s">
        <v>2719</v>
      </c>
      <c r="D169" s="6" t="s">
        <v>2654</v>
      </c>
      <c r="E169" s="6" t="s">
        <v>2822</v>
      </c>
      <c r="F169" s="6" t="s">
        <v>2823</v>
      </c>
      <c r="G169" s="6" t="s">
        <v>2722</v>
      </c>
      <c r="H169" s="6" t="s">
        <v>2824</v>
      </c>
      <c r="I169" s="6" t="s">
        <v>2825</v>
      </c>
    </row>
    <row r="170" spans="1:9" ht="48" customHeight="1">
      <c r="A170" s="20" t="s">
        <v>2565</v>
      </c>
      <c r="B170" s="6" t="s">
        <v>333</v>
      </c>
      <c r="C170" s="6" t="s">
        <v>2719</v>
      </c>
      <c r="D170" s="6" t="s">
        <v>2654</v>
      </c>
      <c r="E170" s="6" t="s">
        <v>2822</v>
      </c>
      <c r="F170" s="6" t="s">
        <v>2823</v>
      </c>
      <c r="G170" s="6" t="s">
        <v>2722</v>
      </c>
      <c r="H170" s="6" t="s">
        <v>2824</v>
      </c>
      <c r="I170" s="6" t="s">
        <v>2825</v>
      </c>
    </row>
    <row r="171" spans="1:9" ht="48" customHeight="1">
      <c r="A171" s="20" t="s">
        <v>2565</v>
      </c>
      <c r="B171" s="6" t="s">
        <v>1995</v>
      </c>
      <c r="C171" s="6" t="s">
        <v>2612</v>
      </c>
      <c r="D171" s="6" t="s">
        <v>2817</v>
      </c>
      <c r="E171" s="6" t="s">
        <v>2818</v>
      </c>
      <c r="F171" s="6" t="s">
        <v>2819</v>
      </c>
      <c r="G171" s="6" t="s">
        <v>2650</v>
      </c>
      <c r="H171" s="6" t="s">
        <v>2820</v>
      </c>
      <c r="I171" s="6" t="s">
        <v>2821</v>
      </c>
    </row>
    <row r="172" spans="1:9" ht="48" customHeight="1">
      <c r="A172" s="20" t="s">
        <v>2565</v>
      </c>
      <c r="B172" s="6" t="s">
        <v>1996</v>
      </c>
      <c r="C172" s="6" t="s">
        <v>2612</v>
      </c>
      <c r="D172" s="6" t="s">
        <v>2817</v>
      </c>
      <c r="E172" s="6" t="s">
        <v>2818</v>
      </c>
      <c r="F172" s="6" t="s">
        <v>2819</v>
      </c>
      <c r="G172" s="6" t="s">
        <v>2650</v>
      </c>
      <c r="H172" s="6" t="s">
        <v>2820</v>
      </c>
      <c r="I172" s="6" t="s">
        <v>2821</v>
      </c>
    </row>
    <row r="173" spans="1:9" ht="48" customHeight="1">
      <c r="A173" s="20" t="s">
        <v>2565</v>
      </c>
      <c r="B173" s="6" t="s">
        <v>1997</v>
      </c>
      <c r="C173" s="6" t="s">
        <v>2612</v>
      </c>
      <c r="D173" s="6" t="s">
        <v>2817</v>
      </c>
      <c r="E173" s="6" t="s">
        <v>2818</v>
      </c>
      <c r="F173" s="6" t="s">
        <v>2819</v>
      </c>
      <c r="G173" s="6" t="s">
        <v>2650</v>
      </c>
      <c r="H173" s="6" t="s">
        <v>2820</v>
      </c>
      <c r="I173" s="6" t="s">
        <v>2821</v>
      </c>
    </row>
    <row r="174" spans="1:9" ht="48" customHeight="1">
      <c r="A174" s="20" t="s">
        <v>2565</v>
      </c>
      <c r="B174" s="6" t="s">
        <v>1998</v>
      </c>
      <c r="C174" s="6" t="s">
        <v>2612</v>
      </c>
      <c r="D174" s="6" t="s">
        <v>2817</v>
      </c>
      <c r="E174" s="6" t="s">
        <v>2818</v>
      </c>
      <c r="F174" s="6" t="s">
        <v>2819</v>
      </c>
      <c r="G174" s="6" t="s">
        <v>2650</v>
      </c>
      <c r="H174" s="6" t="s">
        <v>2820</v>
      </c>
      <c r="I174" s="6" t="s">
        <v>2821</v>
      </c>
    </row>
    <row r="175" spans="1:9" ht="48" customHeight="1">
      <c r="A175" s="20" t="s">
        <v>2565</v>
      </c>
      <c r="B175" s="6" t="s">
        <v>1999</v>
      </c>
      <c r="C175" s="6" t="s">
        <v>2719</v>
      </c>
      <c r="D175" s="6" t="s">
        <v>2654</v>
      </c>
      <c r="E175" s="6" t="s">
        <v>2822</v>
      </c>
      <c r="F175" s="6" t="s">
        <v>2823</v>
      </c>
      <c r="G175" s="6" t="s">
        <v>2722</v>
      </c>
      <c r="H175" s="6" t="s">
        <v>2824</v>
      </c>
      <c r="I175" s="6" t="s">
        <v>2825</v>
      </c>
    </row>
    <row r="176" spans="1:9" ht="48" customHeight="1">
      <c r="A176" s="20" t="s">
        <v>2565</v>
      </c>
      <c r="B176" s="6" t="s">
        <v>2000</v>
      </c>
      <c r="C176" s="6" t="s">
        <v>2719</v>
      </c>
      <c r="D176" s="6" t="s">
        <v>2654</v>
      </c>
      <c r="E176" s="6" t="s">
        <v>2822</v>
      </c>
      <c r="F176" s="6" t="s">
        <v>2823</v>
      </c>
      <c r="G176" s="6" t="s">
        <v>2722</v>
      </c>
      <c r="H176" s="6" t="s">
        <v>2824</v>
      </c>
      <c r="I176" s="6" t="s">
        <v>2825</v>
      </c>
    </row>
    <row r="177" spans="1:9" ht="48" customHeight="1">
      <c r="A177" s="20" t="s">
        <v>2565</v>
      </c>
      <c r="B177" s="6" t="s">
        <v>2001</v>
      </c>
      <c r="C177" s="6" t="s">
        <v>2612</v>
      </c>
      <c r="D177" s="6" t="s">
        <v>2817</v>
      </c>
      <c r="E177" s="6" t="s">
        <v>2818</v>
      </c>
      <c r="F177" s="6" t="s">
        <v>2819</v>
      </c>
      <c r="G177" s="6" t="s">
        <v>2650</v>
      </c>
      <c r="H177" s="6" t="s">
        <v>2820</v>
      </c>
      <c r="I177" s="6" t="s">
        <v>2821</v>
      </c>
    </row>
    <row r="178" spans="1:9" ht="48" customHeight="1">
      <c r="A178" s="20" t="s">
        <v>2565</v>
      </c>
      <c r="B178" s="6" t="s">
        <v>2002</v>
      </c>
      <c r="C178" s="6" t="s">
        <v>2719</v>
      </c>
      <c r="D178" s="6" t="s">
        <v>2654</v>
      </c>
      <c r="E178" s="6" t="s">
        <v>2822</v>
      </c>
      <c r="F178" s="6" t="s">
        <v>2823</v>
      </c>
      <c r="G178" s="6" t="s">
        <v>2722</v>
      </c>
      <c r="H178" s="6" t="s">
        <v>2824</v>
      </c>
      <c r="I178" s="6" t="s">
        <v>2825</v>
      </c>
    </row>
    <row r="179" spans="1:9" ht="48" customHeight="1">
      <c r="A179" s="20" t="s">
        <v>2565</v>
      </c>
      <c r="B179" s="6" t="s">
        <v>2003</v>
      </c>
      <c r="C179" s="6" t="s">
        <v>2612</v>
      </c>
      <c r="D179" s="6" t="s">
        <v>2817</v>
      </c>
      <c r="E179" s="6" t="s">
        <v>2818</v>
      </c>
      <c r="F179" s="6" t="s">
        <v>2819</v>
      </c>
      <c r="G179" s="6" t="s">
        <v>2650</v>
      </c>
      <c r="H179" s="6" t="s">
        <v>2820</v>
      </c>
      <c r="I179" s="6" t="s">
        <v>2821</v>
      </c>
    </row>
    <row r="180" spans="1:9" ht="48" customHeight="1">
      <c r="A180" s="20" t="s">
        <v>2565</v>
      </c>
      <c r="B180" s="6" t="s">
        <v>500</v>
      </c>
      <c r="C180" s="6" t="s">
        <v>2612</v>
      </c>
      <c r="D180" s="6" t="s">
        <v>2817</v>
      </c>
      <c r="E180" s="6" t="s">
        <v>2818</v>
      </c>
      <c r="F180" s="6" t="s">
        <v>2819</v>
      </c>
      <c r="G180" s="6" t="s">
        <v>2650</v>
      </c>
      <c r="H180" s="6" t="s">
        <v>2820</v>
      </c>
      <c r="I180" s="6" t="s">
        <v>2821</v>
      </c>
    </row>
    <row r="181" spans="1:9" ht="48" customHeight="1">
      <c r="A181" s="20" t="s">
        <v>2565</v>
      </c>
      <c r="B181" s="6" t="s">
        <v>2004</v>
      </c>
      <c r="C181" s="6" t="s">
        <v>2719</v>
      </c>
      <c r="D181" s="6" t="s">
        <v>2654</v>
      </c>
      <c r="E181" s="6" t="s">
        <v>2822</v>
      </c>
      <c r="F181" s="6" t="s">
        <v>2823</v>
      </c>
      <c r="G181" s="6" t="s">
        <v>2722</v>
      </c>
      <c r="H181" s="6" t="s">
        <v>2824</v>
      </c>
      <c r="I181" s="6" t="s">
        <v>2825</v>
      </c>
    </row>
    <row r="182" spans="1:9" ht="48" customHeight="1">
      <c r="A182" s="20" t="s">
        <v>2565</v>
      </c>
      <c r="B182" s="6" t="s">
        <v>2005</v>
      </c>
      <c r="C182" s="6" t="s">
        <v>2612</v>
      </c>
      <c r="D182" s="6" t="s">
        <v>2817</v>
      </c>
      <c r="E182" s="6" t="s">
        <v>2818</v>
      </c>
      <c r="F182" s="6" t="s">
        <v>2819</v>
      </c>
      <c r="G182" s="6" t="s">
        <v>2650</v>
      </c>
      <c r="H182" s="6" t="s">
        <v>2820</v>
      </c>
      <c r="I182" s="6" t="s">
        <v>2821</v>
      </c>
    </row>
    <row r="183" spans="1:9" ht="48" customHeight="1">
      <c r="A183" s="20" t="s">
        <v>2565</v>
      </c>
      <c r="B183" s="6" t="s">
        <v>373</v>
      </c>
      <c r="C183" s="6" t="s">
        <v>2612</v>
      </c>
      <c r="D183" s="6" t="s">
        <v>2817</v>
      </c>
      <c r="E183" s="6" t="s">
        <v>2818</v>
      </c>
      <c r="F183" s="6" t="s">
        <v>2819</v>
      </c>
      <c r="G183" s="6" t="s">
        <v>2650</v>
      </c>
      <c r="H183" s="6" t="s">
        <v>2820</v>
      </c>
      <c r="I183" s="6" t="s">
        <v>2821</v>
      </c>
    </row>
    <row r="184" spans="1:9" ht="48" customHeight="1">
      <c r="A184" s="20" t="s">
        <v>2565</v>
      </c>
      <c r="B184" s="6" t="s">
        <v>2006</v>
      </c>
      <c r="C184" s="6" t="s">
        <v>2719</v>
      </c>
      <c r="D184" s="6" t="s">
        <v>2654</v>
      </c>
      <c r="E184" s="6" t="s">
        <v>2822</v>
      </c>
      <c r="F184" s="6" t="s">
        <v>2823</v>
      </c>
      <c r="G184" s="6" t="s">
        <v>2722</v>
      </c>
      <c r="H184" s="6" t="s">
        <v>2824</v>
      </c>
      <c r="I184" s="6" t="s">
        <v>2825</v>
      </c>
    </row>
    <row r="185" spans="1:9" ht="48" customHeight="1">
      <c r="A185" s="20" t="s">
        <v>2565</v>
      </c>
      <c r="B185" s="6" t="s">
        <v>2007</v>
      </c>
      <c r="C185" s="6" t="s">
        <v>2612</v>
      </c>
      <c r="D185" s="6" t="s">
        <v>2817</v>
      </c>
      <c r="E185" s="6" t="s">
        <v>2818</v>
      </c>
      <c r="F185" s="6" t="s">
        <v>2819</v>
      </c>
      <c r="G185" s="6" t="s">
        <v>2650</v>
      </c>
      <c r="H185" s="6" t="s">
        <v>2820</v>
      </c>
      <c r="I185" s="6" t="s">
        <v>2821</v>
      </c>
    </row>
    <row r="186" spans="1:9" ht="48" customHeight="1">
      <c r="A186" s="20" t="s">
        <v>2565</v>
      </c>
      <c r="B186" s="6" t="s">
        <v>2008</v>
      </c>
      <c r="C186" s="6" t="s">
        <v>2612</v>
      </c>
      <c r="D186" s="6" t="s">
        <v>2817</v>
      </c>
      <c r="E186" s="6" t="s">
        <v>2818</v>
      </c>
      <c r="F186" s="6" t="s">
        <v>2819</v>
      </c>
      <c r="G186" s="6" t="s">
        <v>2650</v>
      </c>
      <c r="H186" s="6" t="s">
        <v>2820</v>
      </c>
      <c r="I186" s="6" t="s">
        <v>2821</v>
      </c>
    </row>
    <row r="187" spans="1:9" ht="48" customHeight="1">
      <c r="A187" s="20" t="s">
        <v>2565</v>
      </c>
      <c r="B187" s="6" t="s">
        <v>2009</v>
      </c>
      <c r="C187" s="6" t="s">
        <v>2612</v>
      </c>
      <c r="D187" s="6" t="s">
        <v>2817</v>
      </c>
      <c r="E187" s="6" t="s">
        <v>2818</v>
      </c>
      <c r="F187" s="6" t="s">
        <v>2819</v>
      </c>
      <c r="G187" s="6" t="s">
        <v>2650</v>
      </c>
      <c r="H187" s="6" t="s">
        <v>2820</v>
      </c>
      <c r="I187" s="6" t="s">
        <v>2821</v>
      </c>
    </row>
    <row r="188" spans="1:9" ht="48" customHeight="1">
      <c r="A188" s="20" t="s">
        <v>2565</v>
      </c>
      <c r="B188" s="6" t="s">
        <v>2010</v>
      </c>
      <c r="C188" s="6" t="s">
        <v>2612</v>
      </c>
      <c r="D188" s="6" t="s">
        <v>2817</v>
      </c>
      <c r="E188" s="6" t="s">
        <v>2818</v>
      </c>
      <c r="F188" s="6" t="s">
        <v>2819</v>
      </c>
      <c r="G188" s="6" t="s">
        <v>2650</v>
      </c>
      <c r="H188" s="6" t="s">
        <v>2820</v>
      </c>
      <c r="I188" s="6" t="s">
        <v>2821</v>
      </c>
    </row>
    <row r="189" spans="1:9" ht="48" customHeight="1">
      <c r="A189" s="20" t="s">
        <v>2565</v>
      </c>
      <c r="B189" s="6" t="s">
        <v>357</v>
      </c>
      <c r="C189" s="6" t="s">
        <v>2719</v>
      </c>
      <c r="D189" s="6" t="s">
        <v>2654</v>
      </c>
      <c r="E189" s="6" t="s">
        <v>2822</v>
      </c>
      <c r="F189" s="6" t="s">
        <v>2823</v>
      </c>
      <c r="G189" s="6" t="s">
        <v>2722</v>
      </c>
      <c r="H189" s="6" t="s">
        <v>2824</v>
      </c>
      <c r="I189" s="6" t="s">
        <v>2825</v>
      </c>
    </row>
    <row r="190" spans="1:9" ht="48" customHeight="1">
      <c r="A190" s="20" t="s">
        <v>2565</v>
      </c>
      <c r="B190" s="6" t="s">
        <v>2011</v>
      </c>
      <c r="C190" s="6" t="s">
        <v>2612</v>
      </c>
      <c r="D190" s="6" t="s">
        <v>2817</v>
      </c>
      <c r="E190" s="6" t="s">
        <v>2818</v>
      </c>
      <c r="F190" s="6" t="s">
        <v>2819</v>
      </c>
      <c r="G190" s="6" t="s">
        <v>2650</v>
      </c>
      <c r="H190" s="6" t="s">
        <v>2820</v>
      </c>
      <c r="I190" s="6" t="s">
        <v>2821</v>
      </c>
    </row>
    <row r="191" spans="1:9" ht="48" customHeight="1">
      <c r="A191" s="20" t="s">
        <v>2565</v>
      </c>
      <c r="B191" s="6" t="s">
        <v>2012</v>
      </c>
      <c r="C191" s="6" t="s">
        <v>2612</v>
      </c>
      <c r="D191" s="6" t="s">
        <v>2817</v>
      </c>
      <c r="E191" s="6" t="s">
        <v>2818</v>
      </c>
      <c r="F191" s="6" t="s">
        <v>2819</v>
      </c>
      <c r="G191" s="6" t="s">
        <v>2650</v>
      </c>
      <c r="H191" s="6" t="s">
        <v>2820</v>
      </c>
      <c r="I191" s="6" t="s">
        <v>2821</v>
      </c>
    </row>
    <row r="192" spans="1:9" ht="48" customHeight="1">
      <c r="A192" s="20" t="s">
        <v>2565</v>
      </c>
      <c r="B192" s="6" t="s">
        <v>2013</v>
      </c>
      <c r="C192" s="6" t="s">
        <v>2612</v>
      </c>
      <c r="D192" s="6" t="s">
        <v>2817</v>
      </c>
      <c r="E192" s="6" t="s">
        <v>2818</v>
      </c>
      <c r="F192" s="6" t="s">
        <v>2819</v>
      </c>
      <c r="G192" s="6" t="s">
        <v>2650</v>
      </c>
      <c r="H192" s="6" t="s">
        <v>2820</v>
      </c>
      <c r="I192" s="6" t="s">
        <v>2821</v>
      </c>
    </row>
    <row r="193" spans="1:9" ht="48" customHeight="1">
      <c r="A193" s="20" t="s">
        <v>2565</v>
      </c>
      <c r="B193" s="6" t="s">
        <v>2014</v>
      </c>
      <c r="C193" s="6" t="s">
        <v>2612</v>
      </c>
      <c r="D193" s="6" t="s">
        <v>2817</v>
      </c>
      <c r="E193" s="6" t="s">
        <v>2818</v>
      </c>
      <c r="F193" s="6" t="s">
        <v>2819</v>
      </c>
      <c r="G193" s="6" t="s">
        <v>2650</v>
      </c>
      <c r="H193" s="6" t="s">
        <v>2820</v>
      </c>
      <c r="I193" s="6" t="s">
        <v>2821</v>
      </c>
    </row>
    <row r="194" spans="1:9" ht="48" customHeight="1">
      <c r="A194" s="20" t="s">
        <v>2565</v>
      </c>
      <c r="B194" s="6" t="s">
        <v>2015</v>
      </c>
      <c r="C194" s="6" t="s">
        <v>2612</v>
      </c>
      <c r="D194" s="6" t="s">
        <v>2817</v>
      </c>
      <c r="E194" s="6" t="s">
        <v>2818</v>
      </c>
      <c r="F194" s="6" t="s">
        <v>2819</v>
      </c>
      <c r="G194" s="6" t="s">
        <v>2650</v>
      </c>
      <c r="H194" s="6" t="s">
        <v>2820</v>
      </c>
      <c r="I194" s="6" t="s">
        <v>2821</v>
      </c>
    </row>
    <row r="195" spans="1:9" ht="48" customHeight="1">
      <c r="A195" s="20" t="s">
        <v>2565</v>
      </c>
      <c r="B195" s="6" t="s">
        <v>2016</v>
      </c>
      <c r="C195" s="6" t="s">
        <v>2612</v>
      </c>
      <c r="D195" s="6" t="s">
        <v>2817</v>
      </c>
      <c r="E195" s="6" t="s">
        <v>2818</v>
      </c>
      <c r="F195" s="6" t="s">
        <v>2819</v>
      </c>
      <c r="G195" s="6" t="s">
        <v>2650</v>
      </c>
      <c r="H195" s="6" t="s">
        <v>2820</v>
      </c>
      <c r="I195" s="6" t="s">
        <v>2821</v>
      </c>
    </row>
    <row r="196" spans="1:9" ht="48" customHeight="1">
      <c r="A196" s="20" t="s">
        <v>2565</v>
      </c>
      <c r="B196" s="6" t="s">
        <v>2017</v>
      </c>
      <c r="C196" s="6" t="s">
        <v>2612</v>
      </c>
      <c r="D196" s="6" t="s">
        <v>2817</v>
      </c>
      <c r="E196" s="6" t="s">
        <v>2818</v>
      </c>
      <c r="F196" s="6" t="s">
        <v>2819</v>
      </c>
      <c r="G196" s="6" t="s">
        <v>2650</v>
      </c>
      <c r="H196" s="6" t="s">
        <v>2820</v>
      </c>
      <c r="I196" s="6" t="s">
        <v>2821</v>
      </c>
    </row>
    <row r="197" spans="1:9" ht="48" customHeight="1">
      <c r="A197" s="20" t="s">
        <v>2565</v>
      </c>
      <c r="B197" s="6" t="s">
        <v>2018</v>
      </c>
      <c r="C197" s="6" t="s">
        <v>2719</v>
      </c>
      <c r="D197" s="6" t="s">
        <v>2654</v>
      </c>
      <c r="E197" s="6" t="s">
        <v>2822</v>
      </c>
      <c r="F197" s="6" t="s">
        <v>2823</v>
      </c>
      <c r="G197" s="6" t="s">
        <v>2722</v>
      </c>
      <c r="H197" s="6" t="s">
        <v>2824</v>
      </c>
      <c r="I197" s="6" t="s">
        <v>2825</v>
      </c>
    </row>
    <row r="198" spans="1:9" ht="48" customHeight="1">
      <c r="A198" s="20" t="s">
        <v>2565</v>
      </c>
      <c r="B198" s="6" t="s">
        <v>2019</v>
      </c>
      <c r="C198" s="6" t="s">
        <v>2719</v>
      </c>
      <c r="D198" s="6" t="s">
        <v>2654</v>
      </c>
      <c r="E198" s="6" t="s">
        <v>2822</v>
      </c>
      <c r="F198" s="6" t="s">
        <v>2823</v>
      </c>
      <c r="G198" s="6" t="s">
        <v>2722</v>
      </c>
      <c r="H198" s="6" t="s">
        <v>2824</v>
      </c>
      <c r="I198" s="6" t="s">
        <v>2825</v>
      </c>
    </row>
    <row r="199" spans="1:9" ht="48" customHeight="1">
      <c r="A199" s="20" t="s">
        <v>2565</v>
      </c>
      <c r="B199" s="6" t="s">
        <v>2020</v>
      </c>
      <c r="C199" s="6" t="s">
        <v>2719</v>
      </c>
      <c r="D199" s="6" t="s">
        <v>2654</v>
      </c>
      <c r="E199" s="6" t="s">
        <v>2822</v>
      </c>
      <c r="F199" s="6" t="s">
        <v>2823</v>
      </c>
      <c r="G199" s="6" t="s">
        <v>2722</v>
      </c>
      <c r="H199" s="6" t="s">
        <v>2824</v>
      </c>
      <c r="I199" s="6" t="s">
        <v>2825</v>
      </c>
    </row>
    <row r="200" spans="1:9" ht="48" customHeight="1">
      <c r="A200" s="20" t="s">
        <v>2565</v>
      </c>
      <c r="B200" s="6" t="s">
        <v>2021</v>
      </c>
      <c r="C200" s="6" t="s">
        <v>2719</v>
      </c>
      <c r="D200" s="6" t="s">
        <v>2654</v>
      </c>
      <c r="E200" s="6" t="s">
        <v>2822</v>
      </c>
      <c r="F200" s="6" t="s">
        <v>2823</v>
      </c>
      <c r="G200" s="6" t="s">
        <v>2722</v>
      </c>
      <c r="H200" s="6" t="s">
        <v>2824</v>
      </c>
      <c r="I200" s="6" t="s">
        <v>2825</v>
      </c>
    </row>
    <row r="201" spans="1:9" ht="48" customHeight="1">
      <c r="A201" s="20" t="s">
        <v>2565</v>
      </c>
      <c r="B201" s="6" t="s">
        <v>2022</v>
      </c>
      <c r="C201" s="6" t="s">
        <v>2719</v>
      </c>
      <c r="D201" s="6" t="s">
        <v>2654</v>
      </c>
      <c r="E201" s="6" t="s">
        <v>2822</v>
      </c>
      <c r="F201" s="6" t="s">
        <v>2823</v>
      </c>
      <c r="G201" s="6" t="s">
        <v>2722</v>
      </c>
      <c r="H201" s="6" t="s">
        <v>2824</v>
      </c>
      <c r="I201" s="6" t="s">
        <v>2825</v>
      </c>
    </row>
    <row r="202" spans="1:9" ht="48" customHeight="1">
      <c r="A202" s="20" t="s">
        <v>2565</v>
      </c>
      <c r="B202" s="6" t="s">
        <v>2023</v>
      </c>
      <c r="C202" s="6" t="s">
        <v>2612</v>
      </c>
      <c r="D202" s="6" t="s">
        <v>2817</v>
      </c>
      <c r="E202" s="6" t="s">
        <v>2826</v>
      </c>
      <c r="F202" s="6" t="s">
        <v>2827</v>
      </c>
      <c r="G202" s="6" t="s">
        <v>2828</v>
      </c>
      <c r="H202" s="6" t="s">
        <v>2820</v>
      </c>
      <c r="I202" s="6" t="s">
        <v>2821</v>
      </c>
    </row>
    <row r="203" spans="1:9" ht="48" customHeight="1">
      <c r="A203" s="20" t="s">
        <v>2565</v>
      </c>
      <c r="B203" s="6" t="s">
        <v>2024</v>
      </c>
      <c r="C203" s="6" t="s">
        <v>2719</v>
      </c>
      <c r="D203" s="6" t="s">
        <v>2654</v>
      </c>
      <c r="E203" s="6" t="s">
        <v>2822</v>
      </c>
      <c r="F203" s="6" t="s">
        <v>2823</v>
      </c>
      <c r="G203" s="6" t="s">
        <v>2722</v>
      </c>
      <c r="H203" s="6" t="s">
        <v>2824</v>
      </c>
      <c r="I203" s="6" t="s">
        <v>2825</v>
      </c>
    </row>
    <row r="204" spans="1:9" ht="48" customHeight="1">
      <c r="A204" s="20" t="s">
        <v>2565</v>
      </c>
      <c r="B204" s="6" t="s">
        <v>2025</v>
      </c>
      <c r="C204" s="6" t="s">
        <v>2719</v>
      </c>
      <c r="D204" s="6" t="s">
        <v>2654</v>
      </c>
      <c r="E204" s="6" t="s">
        <v>2822</v>
      </c>
      <c r="F204" s="6" t="s">
        <v>2823</v>
      </c>
      <c r="G204" s="6" t="s">
        <v>2722</v>
      </c>
      <c r="H204" s="6" t="s">
        <v>2824</v>
      </c>
      <c r="I204" s="6" t="s">
        <v>2825</v>
      </c>
    </row>
    <row r="205" spans="1:9" ht="48" customHeight="1">
      <c r="A205" s="20" t="s">
        <v>2570</v>
      </c>
      <c r="B205" s="6" t="s">
        <v>2028</v>
      </c>
      <c r="C205" s="6" t="s">
        <v>2612</v>
      </c>
      <c r="D205" s="6" t="s">
        <v>2613</v>
      </c>
      <c r="E205" s="6" t="s">
        <v>2829</v>
      </c>
      <c r="F205" s="6" t="s">
        <v>2830</v>
      </c>
      <c r="G205" s="6" t="s">
        <v>2650</v>
      </c>
      <c r="H205" s="6" t="s">
        <v>2831</v>
      </c>
      <c r="I205" s="6" t="s">
        <v>2832</v>
      </c>
    </row>
    <row r="206" spans="1:9" ht="48" customHeight="1">
      <c r="A206" s="20" t="s">
        <v>2570</v>
      </c>
      <c r="B206" s="6" t="s">
        <v>2100</v>
      </c>
      <c r="C206" s="6" t="s">
        <v>2653</v>
      </c>
      <c r="D206" s="6" t="s">
        <v>2654</v>
      </c>
      <c r="E206" s="6" t="s">
        <v>2655</v>
      </c>
      <c r="F206" s="6" t="s">
        <v>1598</v>
      </c>
      <c r="G206" s="6" t="s">
        <v>2656</v>
      </c>
      <c r="H206" s="6" t="s">
        <v>2657</v>
      </c>
      <c r="I206" s="6" t="s">
        <v>2658</v>
      </c>
    </row>
    <row r="207" spans="1:9" ht="48" customHeight="1">
      <c r="A207" s="20" t="s">
        <v>2570</v>
      </c>
      <c r="B207" s="6" t="s">
        <v>2101</v>
      </c>
      <c r="C207" s="6" t="s">
        <v>2612</v>
      </c>
      <c r="D207" s="6" t="s">
        <v>2613</v>
      </c>
      <c r="E207" s="6" t="s">
        <v>2659</v>
      </c>
      <c r="F207" s="6" t="s">
        <v>2660</v>
      </c>
      <c r="G207" s="6" t="s">
        <v>2661</v>
      </c>
      <c r="H207" s="6" t="s">
        <v>2662</v>
      </c>
      <c r="I207" s="6" t="s">
        <v>2663</v>
      </c>
    </row>
    <row r="208" spans="1:9" ht="48" customHeight="1">
      <c r="A208" s="20" t="s">
        <v>2570</v>
      </c>
      <c r="B208" s="6" t="s">
        <v>2102</v>
      </c>
      <c r="C208" s="6" t="s">
        <v>2612</v>
      </c>
      <c r="D208" s="6" t="s">
        <v>2725</v>
      </c>
      <c r="E208" s="6" t="s">
        <v>2833</v>
      </c>
      <c r="F208" s="6" t="s">
        <v>2727</v>
      </c>
      <c r="G208" s="6" t="s">
        <v>2616</v>
      </c>
      <c r="H208" s="6" t="s">
        <v>2728</v>
      </c>
      <c r="I208" s="6" t="s">
        <v>2729</v>
      </c>
    </row>
    <row r="209" spans="1:9" ht="48" customHeight="1">
      <c r="A209" s="20" t="s">
        <v>2570</v>
      </c>
      <c r="B209" s="6" t="s">
        <v>2103</v>
      </c>
      <c r="C209" s="6" t="s">
        <v>2612</v>
      </c>
      <c r="D209" s="6" t="s">
        <v>2725</v>
      </c>
      <c r="E209" s="6" t="s">
        <v>2834</v>
      </c>
      <c r="F209" s="6" t="s">
        <v>2727</v>
      </c>
      <c r="G209" s="6" t="s">
        <v>2616</v>
      </c>
      <c r="H209" s="6" t="s">
        <v>2728</v>
      </c>
      <c r="I209" s="6" t="s">
        <v>2729</v>
      </c>
    </row>
    <row r="210" spans="1:9" ht="48" customHeight="1">
      <c r="A210" s="20" t="s">
        <v>2570</v>
      </c>
      <c r="B210" s="6" t="s">
        <v>2104</v>
      </c>
      <c r="C210" s="6" t="s">
        <v>2612</v>
      </c>
      <c r="D210" s="6" t="s">
        <v>2725</v>
      </c>
      <c r="E210" s="6" t="s">
        <v>2835</v>
      </c>
      <c r="F210" s="6" t="s">
        <v>2727</v>
      </c>
      <c r="G210" s="6" t="s">
        <v>2616</v>
      </c>
      <c r="H210" s="6" t="s">
        <v>2728</v>
      </c>
      <c r="I210" s="6" t="s">
        <v>2729</v>
      </c>
    </row>
    <row r="211" spans="1:9" ht="48" customHeight="1">
      <c r="A211" s="20" t="s">
        <v>2570</v>
      </c>
      <c r="B211" s="6" t="s">
        <v>2105</v>
      </c>
      <c r="C211" s="6" t="s">
        <v>2612</v>
      </c>
      <c r="D211" s="6" t="s">
        <v>2736</v>
      </c>
      <c r="E211" s="6" t="s">
        <v>2737</v>
      </c>
      <c r="F211" s="6" t="s">
        <v>2738</v>
      </c>
      <c r="G211" s="6" t="s">
        <v>2739</v>
      </c>
      <c r="H211" s="6" t="s">
        <v>2740</v>
      </c>
      <c r="I211" s="6" t="s">
        <v>2741</v>
      </c>
    </row>
    <row r="212" spans="1:9" ht="48" customHeight="1">
      <c r="A212" s="20" t="s">
        <v>2570</v>
      </c>
      <c r="B212" s="6" t="s">
        <v>2106</v>
      </c>
      <c r="C212" s="6" t="s">
        <v>2612</v>
      </c>
      <c r="D212" s="6" t="s">
        <v>2736</v>
      </c>
      <c r="E212" s="6" t="s">
        <v>2737</v>
      </c>
      <c r="F212" s="6" t="s">
        <v>2738</v>
      </c>
      <c r="G212" s="6" t="s">
        <v>2739</v>
      </c>
      <c r="H212" s="6" t="s">
        <v>2740</v>
      </c>
      <c r="I212" s="6" t="s">
        <v>2741</v>
      </c>
    </row>
    <row r="213" spans="1:9" ht="48" customHeight="1">
      <c r="A213" s="20" t="s">
        <v>2570</v>
      </c>
      <c r="B213" s="6" t="s">
        <v>2107</v>
      </c>
      <c r="C213" s="6" t="s">
        <v>2612</v>
      </c>
      <c r="D213" s="6" t="s">
        <v>2736</v>
      </c>
      <c r="E213" s="6" t="s">
        <v>2737</v>
      </c>
      <c r="F213" s="6" t="s">
        <v>2738</v>
      </c>
      <c r="G213" s="6" t="s">
        <v>2739</v>
      </c>
      <c r="H213" s="6" t="s">
        <v>2740</v>
      </c>
      <c r="I213" s="6" t="s">
        <v>2741</v>
      </c>
    </row>
    <row r="214" spans="1:9" ht="48" customHeight="1">
      <c r="A214" s="20" t="s">
        <v>2570</v>
      </c>
      <c r="B214" s="6" t="s">
        <v>2108</v>
      </c>
      <c r="C214" s="6" t="s">
        <v>2612</v>
      </c>
      <c r="D214" s="6" t="s">
        <v>2669</v>
      </c>
      <c r="E214" s="6" t="s">
        <v>2670</v>
      </c>
      <c r="F214" s="6" t="s">
        <v>2671</v>
      </c>
      <c r="G214" s="6" t="s">
        <v>2672</v>
      </c>
      <c r="H214" s="6" t="s">
        <v>2673</v>
      </c>
      <c r="I214" s="6" t="s">
        <v>2674</v>
      </c>
    </row>
    <row r="215" spans="1:9" ht="48" customHeight="1">
      <c r="A215" s="20" t="s">
        <v>2570</v>
      </c>
      <c r="B215" s="6" t="s">
        <v>2109</v>
      </c>
      <c r="C215" s="6" t="s">
        <v>2612</v>
      </c>
      <c r="D215" s="6" t="s">
        <v>2613</v>
      </c>
      <c r="E215" s="6" t="s">
        <v>2760</v>
      </c>
      <c r="F215" s="6" t="s">
        <v>21</v>
      </c>
      <c r="G215" s="6" t="s">
        <v>2620</v>
      </c>
      <c r="H215" s="6" t="s">
        <v>2761</v>
      </c>
      <c r="I215" s="6" t="s">
        <v>2762</v>
      </c>
    </row>
    <row r="216" spans="1:9" ht="48" customHeight="1">
      <c r="A216" s="20" t="s">
        <v>2570</v>
      </c>
      <c r="B216" s="6" t="s">
        <v>2110</v>
      </c>
      <c r="C216" s="6" t="s">
        <v>2612</v>
      </c>
      <c r="D216" s="6" t="s">
        <v>2725</v>
      </c>
      <c r="E216" s="6" t="s">
        <v>2836</v>
      </c>
      <c r="F216" s="6" t="s">
        <v>2727</v>
      </c>
      <c r="G216" s="6" t="s">
        <v>2616</v>
      </c>
      <c r="H216" s="6" t="s">
        <v>2728</v>
      </c>
      <c r="I216" s="6" t="s">
        <v>2729</v>
      </c>
    </row>
    <row r="217" spans="1:9" ht="48" customHeight="1">
      <c r="A217" s="20" t="s">
        <v>2570</v>
      </c>
      <c r="B217" s="6" t="s">
        <v>2111</v>
      </c>
      <c r="C217" s="6" t="s">
        <v>2612</v>
      </c>
      <c r="D217" s="6" t="s">
        <v>2725</v>
      </c>
      <c r="E217" s="6" t="s">
        <v>2837</v>
      </c>
      <c r="F217" s="6" t="s">
        <v>2727</v>
      </c>
      <c r="G217" s="6" t="s">
        <v>2616</v>
      </c>
      <c r="H217" s="6" t="s">
        <v>2728</v>
      </c>
      <c r="I217" s="6" t="s">
        <v>2729</v>
      </c>
    </row>
    <row r="218" spans="1:9" ht="48" customHeight="1">
      <c r="A218" s="20" t="s">
        <v>2570</v>
      </c>
      <c r="B218" s="6" t="s">
        <v>1378</v>
      </c>
      <c r="C218" s="6" t="s">
        <v>2612</v>
      </c>
      <c r="D218" s="6" t="s">
        <v>2613</v>
      </c>
      <c r="E218" s="6" t="s">
        <v>2695</v>
      </c>
      <c r="F218" s="6" t="s">
        <v>2</v>
      </c>
      <c r="G218" s="6" t="s">
        <v>2620</v>
      </c>
      <c r="H218" s="6" t="s">
        <v>2696</v>
      </c>
      <c r="I218" s="6" t="s">
        <v>2697</v>
      </c>
    </row>
    <row r="219" spans="1:9" ht="48" customHeight="1">
      <c r="A219" s="20" t="s">
        <v>2570</v>
      </c>
      <c r="B219" s="6" t="s">
        <v>1656</v>
      </c>
      <c r="C219" s="6" t="s">
        <v>2612</v>
      </c>
      <c r="D219" s="6" t="s">
        <v>2698</v>
      </c>
      <c r="E219" s="6" t="s">
        <v>2699</v>
      </c>
      <c r="F219" s="6" t="s">
        <v>2700</v>
      </c>
      <c r="G219" s="6" t="s">
        <v>2701</v>
      </c>
      <c r="H219" s="6" t="s">
        <v>2634</v>
      </c>
      <c r="I219" s="6" t="s">
        <v>2702</v>
      </c>
    </row>
    <row r="220" spans="1:9" ht="48" customHeight="1">
      <c r="A220" s="20" t="s">
        <v>2570</v>
      </c>
      <c r="B220" s="6" t="s">
        <v>2112</v>
      </c>
      <c r="C220" s="6" t="s">
        <v>2612</v>
      </c>
      <c r="D220" s="6" t="s">
        <v>2682</v>
      </c>
      <c r="E220" s="6" t="s">
        <v>2748</v>
      </c>
      <c r="F220" s="6" t="s">
        <v>2749</v>
      </c>
      <c r="G220" s="6" t="s">
        <v>2750</v>
      </c>
      <c r="H220" s="6" t="s">
        <v>2751</v>
      </c>
      <c r="I220" s="6" t="s">
        <v>2752</v>
      </c>
    </row>
    <row r="221" spans="1:9" ht="48" customHeight="1">
      <c r="A221" s="20" t="s">
        <v>2570</v>
      </c>
      <c r="B221" s="6" t="s">
        <v>1865</v>
      </c>
      <c r="C221" s="6" t="s">
        <v>2612</v>
      </c>
      <c r="D221" s="6" t="s">
        <v>2777</v>
      </c>
      <c r="E221" s="6" t="s">
        <v>2778</v>
      </c>
      <c r="F221" s="6" t="s">
        <v>2779</v>
      </c>
      <c r="G221" s="6" t="s">
        <v>2780</v>
      </c>
      <c r="H221" s="6" t="s">
        <v>2781</v>
      </c>
      <c r="I221" s="6" t="s">
        <v>2782</v>
      </c>
    </row>
    <row r="222" spans="1:9" ht="48" customHeight="1">
      <c r="A222" s="20" t="s">
        <v>2574</v>
      </c>
      <c r="B222" s="6" t="s">
        <v>2116</v>
      </c>
      <c r="C222" s="6" t="s">
        <v>2838</v>
      </c>
      <c r="D222" s="6" t="s">
        <v>2613</v>
      </c>
      <c r="E222" s="6" t="s">
        <v>2839</v>
      </c>
      <c r="F222" s="6" t="s">
        <v>2012</v>
      </c>
      <c r="G222" s="6" t="s">
        <v>2661</v>
      </c>
      <c r="H222" s="6" t="s">
        <v>2840</v>
      </c>
      <c r="I222" s="6" t="s">
        <v>2663</v>
      </c>
    </row>
    <row r="223" spans="1:9" ht="48" customHeight="1">
      <c r="A223" s="20" t="s">
        <v>2574</v>
      </c>
      <c r="B223" s="6" t="s">
        <v>2117</v>
      </c>
      <c r="C223" s="6" t="s">
        <v>2612</v>
      </c>
      <c r="D223" s="6" t="s">
        <v>2613</v>
      </c>
      <c r="E223" s="6" t="s">
        <v>2841</v>
      </c>
      <c r="F223" s="6" t="s">
        <v>2842</v>
      </c>
      <c r="G223" s="6" t="s">
        <v>2843</v>
      </c>
      <c r="H223" s="6" t="s">
        <v>2844</v>
      </c>
      <c r="I223" s="6" t="s">
        <v>2729</v>
      </c>
    </row>
    <row r="224" spans="1:9" ht="48" customHeight="1">
      <c r="A224" s="20" t="s">
        <v>2574</v>
      </c>
      <c r="B224" s="6" t="s">
        <v>2118</v>
      </c>
      <c r="C224" s="6" t="s">
        <v>2612</v>
      </c>
      <c r="D224" s="6" t="s">
        <v>2845</v>
      </c>
      <c r="E224" s="6" t="s">
        <v>2846</v>
      </c>
      <c r="F224" s="6" t="s">
        <v>2847</v>
      </c>
      <c r="G224" s="6" t="s">
        <v>2650</v>
      </c>
      <c r="H224" s="6" t="s">
        <v>2848</v>
      </c>
      <c r="I224" s="6" t="s">
        <v>2849</v>
      </c>
    </row>
    <row r="225" spans="1:9" ht="48" customHeight="1">
      <c r="A225" s="20" t="s">
        <v>2574</v>
      </c>
      <c r="B225" s="6" t="s">
        <v>2119</v>
      </c>
      <c r="C225" s="6" t="s">
        <v>2612</v>
      </c>
      <c r="D225" s="6" t="s">
        <v>2845</v>
      </c>
      <c r="E225" s="6" t="s">
        <v>2846</v>
      </c>
      <c r="F225" s="6" t="s">
        <v>2847</v>
      </c>
      <c r="G225" s="6" t="s">
        <v>2650</v>
      </c>
      <c r="H225" s="6" t="s">
        <v>2848</v>
      </c>
      <c r="I225" s="6" t="s">
        <v>2849</v>
      </c>
    </row>
    <row r="226" spans="1:9" ht="48" customHeight="1">
      <c r="A226" s="20" t="s">
        <v>2574</v>
      </c>
      <c r="B226" s="6" t="s">
        <v>2120</v>
      </c>
      <c r="C226" s="6" t="s">
        <v>2612</v>
      </c>
      <c r="D226" s="6" t="s">
        <v>2845</v>
      </c>
      <c r="E226" s="6" t="s">
        <v>2846</v>
      </c>
      <c r="F226" s="6" t="s">
        <v>2847</v>
      </c>
      <c r="G226" s="6" t="s">
        <v>2650</v>
      </c>
      <c r="H226" s="6" t="s">
        <v>2848</v>
      </c>
      <c r="I226" s="6" t="s">
        <v>2849</v>
      </c>
    </row>
    <row r="227" spans="1:9" ht="48" customHeight="1">
      <c r="A227" s="20" t="s">
        <v>2574</v>
      </c>
      <c r="B227" s="6" t="s">
        <v>2121</v>
      </c>
      <c r="C227" s="6" t="s">
        <v>2612</v>
      </c>
      <c r="D227" s="6" t="s">
        <v>2845</v>
      </c>
      <c r="E227" s="6" t="s">
        <v>2846</v>
      </c>
      <c r="F227" s="6" t="s">
        <v>2847</v>
      </c>
      <c r="G227" s="6" t="s">
        <v>2650</v>
      </c>
      <c r="H227" s="6" t="s">
        <v>2848</v>
      </c>
      <c r="I227" s="6" t="s">
        <v>2849</v>
      </c>
    </row>
    <row r="228" spans="1:9" ht="48" customHeight="1">
      <c r="A228" s="20" t="s">
        <v>2574</v>
      </c>
      <c r="B228" s="6" t="s">
        <v>2122</v>
      </c>
      <c r="C228" s="6" t="s">
        <v>2612</v>
      </c>
      <c r="D228" s="6" t="s">
        <v>2845</v>
      </c>
      <c r="E228" s="6" t="s">
        <v>2846</v>
      </c>
      <c r="F228" s="6" t="s">
        <v>2847</v>
      </c>
      <c r="G228" s="6" t="s">
        <v>2650</v>
      </c>
      <c r="H228" s="6" t="s">
        <v>2848</v>
      </c>
      <c r="I228" s="6" t="s">
        <v>2849</v>
      </c>
    </row>
    <row r="229" spans="1:9" ht="48" customHeight="1">
      <c r="A229" s="20" t="s">
        <v>2574</v>
      </c>
      <c r="B229" s="6" t="s">
        <v>2123</v>
      </c>
      <c r="C229" s="6" t="s">
        <v>2612</v>
      </c>
      <c r="D229" s="6" t="s">
        <v>2845</v>
      </c>
      <c r="E229" s="6" t="s">
        <v>2846</v>
      </c>
      <c r="F229" s="6" t="s">
        <v>2847</v>
      </c>
      <c r="G229" s="6" t="s">
        <v>2650</v>
      </c>
      <c r="H229" s="6" t="s">
        <v>2848</v>
      </c>
      <c r="I229" s="6" t="s">
        <v>2849</v>
      </c>
    </row>
    <row r="230" spans="1:9" ht="48" customHeight="1">
      <c r="A230" s="20" t="s">
        <v>2574</v>
      </c>
      <c r="B230" s="6" t="s">
        <v>2124</v>
      </c>
      <c r="C230" s="6" t="s">
        <v>2612</v>
      </c>
      <c r="D230" s="6" t="s">
        <v>2845</v>
      </c>
      <c r="E230" s="6" t="s">
        <v>2846</v>
      </c>
      <c r="F230" s="6" t="s">
        <v>2847</v>
      </c>
      <c r="G230" s="6" t="s">
        <v>2650</v>
      </c>
      <c r="H230" s="6" t="s">
        <v>2848</v>
      </c>
      <c r="I230" s="6" t="s">
        <v>2849</v>
      </c>
    </row>
    <row r="231" spans="1:9" ht="48" customHeight="1">
      <c r="A231" s="20" t="s">
        <v>2574</v>
      </c>
      <c r="B231" s="6" t="s">
        <v>2125</v>
      </c>
      <c r="C231" s="6" t="s">
        <v>2612</v>
      </c>
      <c r="D231" s="6" t="s">
        <v>2845</v>
      </c>
      <c r="E231" s="6" t="s">
        <v>2846</v>
      </c>
      <c r="F231" s="6" t="s">
        <v>2847</v>
      </c>
      <c r="G231" s="6" t="s">
        <v>2650</v>
      </c>
      <c r="H231" s="6" t="s">
        <v>2848</v>
      </c>
      <c r="I231" s="6" t="s">
        <v>2849</v>
      </c>
    </row>
    <row r="232" spans="1:9" ht="48" customHeight="1">
      <c r="A232" s="20" t="s">
        <v>2574</v>
      </c>
      <c r="B232" s="6" t="s">
        <v>2126</v>
      </c>
      <c r="C232" s="6" t="s">
        <v>2612</v>
      </c>
      <c r="D232" s="6" t="s">
        <v>2845</v>
      </c>
      <c r="E232" s="6" t="s">
        <v>2846</v>
      </c>
      <c r="F232" s="6" t="s">
        <v>2847</v>
      </c>
      <c r="G232" s="6" t="s">
        <v>2650</v>
      </c>
      <c r="H232" s="6" t="s">
        <v>2848</v>
      </c>
      <c r="I232" s="6" t="s">
        <v>2849</v>
      </c>
    </row>
    <row r="233" spans="1:9" ht="48" customHeight="1">
      <c r="A233" s="20" t="s">
        <v>2574</v>
      </c>
      <c r="B233" s="6" t="s">
        <v>2127</v>
      </c>
      <c r="C233" s="6" t="s">
        <v>2612</v>
      </c>
      <c r="D233" s="6" t="s">
        <v>2845</v>
      </c>
      <c r="E233" s="6" t="s">
        <v>2846</v>
      </c>
      <c r="F233" s="6" t="s">
        <v>2847</v>
      </c>
      <c r="G233" s="6" t="s">
        <v>2650</v>
      </c>
      <c r="H233" s="6" t="s">
        <v>2848</v>
      </c>
      <c r="I233" s="6" t="s">
        <v>2849</v>
      </c>
    </row>
    <row r="234" spans="1:9" ht="48" customHeight="1">
      <c r="A234" s="20" t="s">
        <v>2574</v>
      </c>
      <c r="B234" s="6" t="s">
        <v>2128</v>
      </c>
      <c r="C234" s="6" t="s">
        <v>2612</v>
      </c>
      <c r="D234" s="6" t="s">
        <v>2845</v>
      </c>
      <c r="E234" s="6" t="s">
        <v>2846</v>
      </c>
      <c r="F234" s="6" t="s">
        <v>2847</v>
      </c>
      <c r="G234" s="6" t="s">
        <v>2650</v>
      </c>
      <c r="H234" s="6" t="s">
        <v>2848</v>
      </c>
      <c r="I234" s="6" t="s">
        <v>2849</v>
      </c>
    </row>
    <row r="235" spans="1:9" ht="48" customHeight="1">
      <c r="A235" s="20" t="s">
        <v>2574</v>
      </c>
      <c r="B235" s="6" t="s">
        <v>2129</v>
      </c>
      <c r="C235" s="6" t="s">
        <v>2612</v>
      </c>
      <c r="D235" s="6" t="s">
        <v>2845</v>
      </c>
      <c r="E235" s="6" t="s">
        <v>2846</v>
      </c>
      <c r="F235" s="6" t="s">
        <v>2847</v>
      </c>
      <c r="G235" s="6" t="s">
        <v>2650</v>
      </c>
      <c r="H235" s="6" t="s">
        <v>2848</v>
      </c>
      <c r="I235" s="6" t="s">
        <v>2849</v>
      </c>
    </row>
    <row r="236" spans="1:9" ht="48" customHeight="1">
      <c r="A236" s="20" t="s">
        <v>2574</v>
      </c>
      <c r="B236" s="6" t="s">
        <v>2130</v>
      </c>
      <c r="C236" s="6" t="s">
        <v>2719</v>
      </c>
      <c r="D236" s="6" t="s">
        <v>2654</v>
      </c>
      <c r="E236" s="6" t="s">
        <v>2850</v>
      </c>
      <c r="F236" s="6" t="s">
        <v>2654</v>
      </c>
      <c r="G236" s="6" t="s">
        <v>2722</v>
      </c>
      <c r="H236" s="6" t="s">
        <v>2851</v>
      </c>
      <c r="I236" s="6" t="s">
        <v>2729</v>
      </c>
    </row>
    <row r="237" spans="1:9" ht="48" customHeight="1">
      <c r="A237" s="20" t="s">
        <v>2574</v>
      </c>
      <c r="B237" s="6" t="s">
        <v>2131</v>
      </c>
      <c r="C237" s="6" t="s">
        <v>2719</v>
      </c>
      <c r="D237" s="6" t="s">
        <v>2654</v>
      </c>
      <c r="E237" s="6" t="s">
        <v>2850</v>
      </c>
      <c r="F237" s="6" t="s">
        <v>2654</v>
      </c>
      <c r="G237" s="6" t="s">
        <v>2722</v>
      </c>
      <c r="H237" s="6" t="s">
        <v>2851</v>
      </c>
      <c r="I237" s="6" t="s">
        <v>2729</v>
      </c>
    </row>
    <row r="238" spans="1:9" ht="48" customHeight="1">
      <c r="A238" s="20" t="s">
        <v>2574</v>
      </c>
      <c r="B238" s="6" t="s">
        <v>2132</v>
      </c>
      <c r="C238" s="6" t="s">
        <v>2719</v>
      </c>
      <c r="D238" s="6" t="s">
        <v>2654</v>
      </c>
      <c r="E238" s="6" t="s">
        <v>2850</v>
      </c>
      <c r="F238" s="6" t="s">
        <v>2654</v>
      </c>
      <c r="G238" s="6" t="s">
        <v>2722</v>
      </c>
      <c r="H238" s="6" t="s">
        <v>2851</v>
      </c>
      <c r="I238" s="6" t="s">
        <v>2729</v>
      </c>
    </row>
    <row r="239" spans="1:9" ht="48" customHeight="1">
      <c r="A239" s="20" t="s">
        <v>2574</v>
      </c>
      <c r="B239" s="6" t="s">
        <v>2133</v>
      </c>
      <c r="C239" s="6" t="s">
        <v>2719</v>
      </c>
      <c r="D239" s="6" t="s">
        <v>2654</v>
      </c>
      <c r="E239" s="6" t="s">
        <v>2850</v>
      </c>
      <c r="F239" s="6" t="s">
        <v>2654</v>
      </c>
      <c r="G239" s="6" t="s">
        <v>2722</v>
      </c>
      <c r="H239" s="6" t="s">
        <v>2851</v>
      </c>
      <c r="I239" s="6" t="s">
        <v>2729</v>
      </c>
    </row>
    <row r="240" spans="1:9" ht="48" customHeight="1">
      <c r="A240" s="20" t="s">
        <v>2574</v>
      </c>
      <c r="B240" s="6" t="s">
        <v>2134</v>
      </c>
      <c r="C240" s="6" t="s">
        <v>2612</v>
      </c>
      <c r="D240" s="6" t="s">
        <v>2852</v>
      </c>
      <c r="E240" s="6" t="s">
        <v>2853</v>
      </c>
      <c r="F240" s="6" t="s">
        <v>2854</v>
      </c>
      <c r="G240" s="6" t="s">
        <v>2780</v>
      </c>
      <c r="H240" s="6" t="s">
        <v>2855</v>
      </c>
      <c r="I240" s="6" t="s">
        <v>2782</v>
      </c>
    </row>
    <row r="241" spans="1:9" ht="48" customHeight="1">
      <c r="A241" s="20" t="s">
        <v>2574</v>
      </c>
      <c r="B241" s="6" t="s">
        <v>2135</v>
      </c>
      <c r="C241" s="6" t="s">
        <v>2856</v>
      </c>
      <c r="D241" s="6" t="s">
        <v>2857</v>
      </c>
      <c r="E241" s="6" t="s">
        <v>2858</v>
      </c>
      <c r="F241" s="6" t="s">
        <v>2859</v>
      </c>
      <c r="G241" s="6" t="s">
        <v>2860</v>
      </c>
      <c r="H241" s="6" t="s">
        <v>2861</v>
      </c>
      <c r="I241" s="6" t="s">
        <v>2862</v>
      </c>
    </row>
    <row r="242" spans="1:9" ht="48" customHeight="1">
      <c r="A242" s="20" t="s">
        <v>2574</v>
      </c>
      <c r="B242" s="6" t="s">
        <v>2161</v>
      </c>
      <c r="C242" s="6" t="s">
        <v>2612</v>
      </c>
      <c r="D242" s="6" t="s">
        <v>2725</v>
      </c>
      <c r="E242" s="6" t="s">
        <v>2863</v>
      </c>
      <c r="F242" s="6" t="s">
        <v>2727</v>
      </c>
      <c r="G242" s="6" t="s">
        <v>2616</v>
      </c>
      <c r="H242" s="6" t="s">
        <v>2728</v>
      </c>
      <c r="I242" s="6" t="s">
        <v>2729</v>
      </c>
    </row>
    <row r="243" spans="1:9" ht="48" customHeight="1">
      <c r="A243" s="20" t="s">
        <v>2574</v>
      </c>
      <c r="B243" s="6" t="s">
        <v>2101</v>
      </c>
      <c r="C243" s="6" t="s">
        <v>2612</v>
      </c>
      <c r="D243" s="6" t="s">
        <v>2613</v>
      </c>
      <c r="E243" s="6" t="s">
        <v>2659</v>
      </c>
      <c r="F243" s="6" t="s">
        <v>2660</v>
      </c>
      <c r="G243" s="6" t="s">
        <v>2661</v>
      </c>
      <c r="H243" s="6" t="s">
        <v>2662</v>
      </c>
      <c r="I243" s="6" t="s">
        <v>2663</v>
      </c>
    </row>
    <row r="244" spans="1:9" ht="48" customHeight="1">
      <c r="A244" s="20" t="s">
        <v>2574</v>
      </c>
      <c r="B244" s="6" t="s">
        <v>2162</v>
      </c>
      <c r="C244" s="6" t="s">
        <v>2612</v>
      </c>
      <c r="D244" s="6" t="s">
        <v>2736</v>
      </c>
      <c r="E244" s="6" t="s">
        <v>2737</v>
      </c>
      <c r="F244" s="6" t="s">
        <v>2738</v>
      </c>
      <c r="G244" s="6" t="s">
        <v>2739</v>
      </c>
      <c r="H244" s="6" t="s">
        <v>2740</v>
      </c>
      <c r="I244" s="6" t="s">
        <v>2741</v>
      </c>
    </row>
    <row r="245" spans="1:9" ht="48" customHeight="1">
      <c r="A245" s="20" t="s">
        <v>2574</v>
      </c>
      <c r="B245" s="6" t="s">
        <v>2163</v>
      </c>
      <c r="C245" s="6" t="s">
        <v>2612</v>
      </c>
      <c r="D245" s="6" t="s">
        <v>2613</v>
      </c>
      <c r="E245" s="6" t="s">
        <v>2760</v>
      </c>
      <c r="F245" s="6" t="s">
        <v>21</v>
      </c>
      <c r="G245" s="6" t="s">
        <v>2620</v>
      </c>
      <c r="H245" s="6" t="s">
        <v>2761</v>
      </c>
      <c r="I245" s="6" t="s">
        <v>2762</v>
      </c>
    </row>
    <row r="246" spans="1:9" ht="48" customHeight="1">
      <c r="A246" s="20" t="s">
        <v>2574</v>
      </c>
      <c r="B246" s="6" t="s">
        <v>2164</v>
      </c>
      <c r="C246" s="6" t="s">
        <v>2612</v>
      </c>
      <c r="D246" s="6" t="s">
        <v>2725</v>
      </c>
      <c r="E246" s="6" t="s">
        <v>2864</v>
      </c>
      <c r="F246" s="6" t="s">
        <v>2727</v>
      </c>
      <c r="G246" s="6" t="s">
        <v>2616</v>
      </c>
      <c r="H246" s="6" t="s">
        <v>2728</v>
      </c>
      <c r="I246" s="6" t="s">
        <v>2729</v>
      </c>
    </row>
    <row r="247" spans="1:9" ht="48" customHeight="1">
      <c r="A247" s="20" t="s">
        <v>2574</v>
      </c>
      <c r="B247" s="6" t="s">
        <v>2165</v>
      </c>
      <c r="C247" s="6" t="s">
        <v>2612</v>
      </c>
      <c r="D247" s="6" t="s">
        <v>2736</v>
      </c>
      <c r="E247" s="6" t="s">
        <v>2737</v>
      </c>
      <c r="F247" s="6" t="s">
        <v>2738</v>
      </c>
      <c r="G247" s="6" t="s">
        <v>2739</v>
      </c>
      <c r="H247" s="6" t="s">
        <v>2740</v>
      </c>
      <c r="I247" s="6" t="s">
        <v>2741</v>
      </c>
    </row>
    <row r="248" spans="1:9" ht="48" customHeight="1">
      <c r="A248" s="20" t="s">
        <v>2574</v>
      </c>
      <c r="B248" s="6" t="s">
        <v>2166</v>
      </c>
      <c r="C248" s="6" t="s">
        <v>2612</v>
      </c>
      <c r="D248" s="6" t="s">
        <v>2725</v>
      </c>
      <c r="E248" s="6" t="s">
        <v>2865</v>
      </c>
      <c r="F248" s="6" t="s">
        <v>2727</v>
      </c>
      <c r="G248" s="6" t="s">
        <v>2616</v>
      </c>
      <c r="H248" s="6" t="s">
        <v>2728</v>
      </c>
      <c r="I248" s="6" t="s">
        <v>2729</v>
      </c>
    </row>
    <row r="249" spans="1:9" ht="48" customHeight="1">
      <c r="A249" s="20" t="s">
        <v>2574</v>
      </c>
      <c r="B249" s="6" t="s">
        <v>2108</v>
      </c>
      <c r="C249" s="6" t="s">
        <v>2612</v>
      </c>
      <c r="D249" s="6" t="s">
        <v>2669</v>
      </c>
      <c r="E249" s="6" t="s">
        <v>2670</v>
      </c>
      <c r="F249" s="6" t="s">
        <v>2671</v>
      </c>
      <c r="G249" s="6" t="s">
        <v>2672</v>
      </c>
      <c r="H249" s="6" t="s">
        <v>2673</v>
      </c>
      <c r="I249" s="6" t="s">
        <v>2674</v>
      </c>
    </row>
    <row r="250" spans="1:9" ht="48" customHeight="1">
      <c r="A250" s="20" t="s">
        <v>2574</v>
      </c>
      <c r="B250" s="6" t="s">
        <v>2167</v>
      </c>
      <c r="C250" s="6" t="s">
        <v>2612</v>
      </c>
      <c r="D250" s="6" t="s">
        <v>2742</v>
      </c>
      <c r="E250" s="6" t="s">
        <v>2743</v>
      </c>
      <c r="F250" s="6" t="s">
        <v>2744</v>
      </c>
      <c r="G250" s="6" t="s">
        <v>2745</v>
      </c>
      <c r="H250" s="6" t="s">
        <v>2746</v>
      </c>
      <c r="I250" s="6" t="s">
        <v>2747</v>
      </c>
    </row>
    <row r="251" spans="1:9" ht="48" customHeight="1">
      <c r="A251" s="20" t="s">
        <v>2574</v>
      </c>
      <c r="B251" s="6" t="s">
        <v>1656</v>
      </c>
      <c r="C251" s="6" t="s">
        <v>2612</v>
      </c>
      <c r="D251" s="6" t="s">
        <v>2698</v>
      </c>
      <c r="E251" s="6" t="s">
        <v>2699</v>
      </c>
      <c r="F251" s="6" t="s">
        <v>2700</v>
      </c>
      <c r="G251" s="6" t="s">
        <v>2701</v>
      </c>
      <c r="H251" s="6" t="s">
        <v>2634</v>
      </c>
      <c r="I251" s="6" t="s">
        <v>2702</v>
      </c>
    </row>
    <row r="252" spans="1:9" ht="48" customHeight="1">
      <c r="A252" s="20" t="s">
        <v>2578</v>
      </c>
      <c r="B252" s="6" t="s">
        <v>2231</v>
      </c>
      <c r="C252" s="6" t="s">
        <v>2653</v>
      </c>
      <c r="D252" s="6" t="s">
        <v>2654</v>
      </c>
      <c r="E252" s="6" t="s">
        <v>2655</v>
      </c>
      <c r="F252" s="6" t="s">
        <v>1598</v>
      </c>
      <c r="G252" s="6" t="s">
        <v>2656</v>
      </c>
      <c r="H252" s="6" t="s">
        <v>2657</v>
      </c>
      <c r="I252" s="6" t="s">
        <v>2658</v>
      </c>
    </row>
    <row r="253" spans="1:9" ht="48" customHeight="1">
      <c r="A253" s="20" t="s">
        <v>2578</v>
      </c>
      <c r="B253" s="6" t="s">
        <v>78</v>
      </c>
      <c r="C253" s="6" t="s">
        <v>2612</v>
      </c>
      <c r="D253" s="6" t="s">
        <v>2613</v>
      </c>
      <c r="E253" s="6" t="s">
        <v>2659</v>
      </c>
      <c r="F253" s="6" t="s">
        <v>2660</v>
      </c>
      <c r="G253" s="6" t="s">
        <v>2661</v>
      </c>
      <c r="H253" s="6" t="s">
        <v>2662</v>
      </c>
      <c r="I253" s="6" t="s">
        <v>2663</v>
      </c>
    </row>
    <row r="254" spans="1:9" ht="48" customHeight="1">
      <c r="A254" s="20" t="s">
        <v>2578</v>
      </c>
      <c r="B254" s="6" t="s">
        <v>2232</v>
      </c>
      <c r="C254" s="6" t="s">
        <v>2612</v>
      </c>
      <c r="D254" s="6" t="s">
        <v>2725</v>
      </c>
      <c r="E254" s="6" t="s">
        <v>2866</v>
      </c>
      <c r="F254" s="6" t="s">
        <v>2727</v>
      </c>
      <c r="G254" s="6" t="s">
        <v>2616</v>
      </c>
      <c r="H254" s="6" t="s">
        <v>2728</v>
      </c>
      <c r="I254" s="6" t="s">
        <v>2729</v>
      </c>
    </row>
    <row r="255" spans="1:9" ht="48" customHeight="1">
      <c r="A255" s="20" t="s">
        <v>2578</v>
      </c>
      <c r="B255" s="6" t="s">
        <v>2233</v>
      </c>
      <c r="C255" s="6" t="s">
        <v>2612</v>
      </c>
      <c r="D255" s="6" t="s">
        <v>2725</v>
      </c>
      <c r="E255" s="6" t="s">
        <v>2867</v>
      </c>
      <c r="F255" s="6" t="s">
        <v>2727</v>
      </c>
      <c r="G255" s="6" t="s">
        <v>2616</v>
      </c>
      <c r="H255" s="6" t="s">
        <v>2728</v>
      </c>
      <c r="I255" s="6" t="s">
        <v>2729</v>
      </c>
    </row>
    <row r="256" spans="1:9" ht="48" customHeight="1">
      <c r="A256" s="20" t="s">
        <v>2578</v>
      </c>
      <c r="B256" s="6" t="s">
        <v>2234</v>
      </c>
      <c r="C256" s="6" t="s">
        <v>2612</v>
      </c>
      <c r="D256" s="6" t="s">
        <v>2725</v>
      </c>
      <c r="E256" s="6" t="s">
        <v>2868</v>
      </c>
      <c r="F256" s="6" t="s">
        <v>2727</v>
      </c>
      <c r="G256" s="6" t="s">
        <v>2616</v>
      </c>
      <c r="H256" s="6" t="s">
        <v>2728</v>
      </c>
      <c r="I256" s="6" t="s">
        <v>2729</v>
      </c>
    </row>
    <row r="257" spans="1:9" ht="48" customHeight="1">
      <c r="A257" s="20" t="s">
        <v>2578</v>
      </c>
      <c r="B257" s="6" t="s">
        <v>2235</v>
      </c>
      <c r="C257" s="6" t="s">
        <v>2612</v>
      </c>
      <c r="D257" s="6" t="s">
        <v>2736</v>
      </c>
      <c r="E257" s="6" t="s">
        <v>2737</v>
      </c>
      <c r="F257" s="6" t="s">
        <v>2738</v>
      </c>
      <c r="G257" s="6" t="s">
        <v>2739</v>
      </c>
      <c r="H257" s="6" t="s">
        <v>2740</v>
      </c>
      <c r="I257" s="6" t="s">
        <v>2741</v>
      </c>
    </row>
    <row r="258" spans="1:9" ht="48" customHeight="1">
      <c r="A258" s="20" t="s">
        <v>2578</v>
      </c>
      <c r="B258" s="6" t="s">
        <v>2236</v>
      </c>
      <c r="C258" s="6" t="s">
        <v>2612</v>
      </c>
      <c r="D258" s="6" t="s">
        <v>2725</v>
      </c>
      <c r="E258" s="6" t="s">
        <v>2869</v>
      </c>
      <c r="F258" s="6" t="s">
        <v>2727</v>
      </c>
      <c r="G258" s="6" t="s">
        <v>2616</v>
      </c>
      <c r="H258" s="6" t="s">
        <v>2728</v>
      </c>
      <c r="I258" s="6" t="s">
        <v>2729</v>
      </c>
    </row>
    <row r="259" spans="1:9" ht="48" customHeight="1">
      <c r="A259" s="20" t="s">
        <v>2578</v>
      </c>
      <c r="B259" s="6" t="s">
        <v>2237</v>
      </c>
      <c r="C259" s="6" t="s">
        <v>2612</v>
      </c>
      <c r="D259" s="6" t="s">
        <v>2703</v>
      </c>
      <c r="E259" s="6" t="s">
        <v>2704</v>
      </c>
      <c r="F259" s="6" t="s">
        <v>2705</v>
      </c>
      <c r="G259" s="6" t="s">
        <v>2706</v>
      </c>
      <c r="H259" s="6" t="s">
        <v>2707</v>
      </c>
      <c r="I259" s="6" t="s">
        <v>2708</v>
      </c>
    </row>
    <row r="260" spans="1:9" ht="48" customHeight="1">
      <c r="A260" s="20" t="s">
        <v>2578</v>
      </c>
      <c r="B260" s="6" t="s">
        <v>2238</v>
      </c>
      <c r="C260" s="6" t="s">
        <v>2612</v>
      </c>
      <c r="D260" s="6" t="s">
        <v>2703</v>
      </c>
      <c r="E260" s="6" t="s">
        <v>2704</v>
      </c>
      <c r="F260" s="6" t="s">
        <v>2705</v>
      </c>
      <c r="G260" s="6" t="s">
        <v>2706</v>
      </c>
      <c r="H260" s="6" t="s">
        <v>2707</v>
      </c>
      <c r="I260" s="6" t="s">
        <v>2708</v>
      </c>
    </row>
    <row r="261" spans="1:9" ht="48" customHeight="1">
      <c r="A261" s="20" t="s">
        <v>2578</v>
      </c>
      <c r="B261" s="6" t="s">
        <v>2239</v>
      </c>
      <c r="C261" s="6" t="s">
        <v>2612</v>
      </c>
      <c r="D261" s="6" t="s">
        <v>2725</v>
      </c>
      <c r="E261" s="6" t="s">
        <v>2870</v>
      </c>
      <c r="F261" s="6" t="s">
        <v>2727</v>
      </c>
      <c r="G261" s="6" t="s">
        <v>2616</v>
      </c>
      <c r="H261" s="6" t="s">
        <v>2728</v>
      </c>
      <c r="I261" s="6" t="s">
        <v>2729</v>
      </c>
    </row>
    <row r="262" spans="1:9" ht="48" customHeight="1">
      <c r="A262" s="20" t="s">
        <v>2578</v>
      </c>
      <c r="B262" s="6" t="s">
        <v>2240</v>
      </c>
      <c r="C262" s="6" t="s">
        <v>2612</v>
      </c>
      <c r="D262" s="6" t="s">
        <v>2725</v>
      </c>
      <c r="E262" s="6" t="s">
        <v>2871</v>
      </c>
      <c r="F262" s="6" t="s">
        <v>2727</v>
      </c>
      <c r="G262" s="6" t="s">
        <v>2616</v>
      </c>
      <c r="H262" s="6" t="s">
        <v>2728</v>
      </c>
      <c r="I262" s="6" t="s">
        <v>2729</v>
      </c>
    </row>
    <row r="263" spans="1:9" ht="48" customHeight="1">
      <c r="A263" s="20" t="s">
        <v>2578</v>
      </c>
      <c r="B263" s="6" t="s">
        <v>602</v>
      </c>
      <c r="C263" s="6" t="s">
        <v>2612</v>
      </c>
      <c r="D263" s="6" t="s">
        <v>2725</v>
      </c>
      <c r="E263" s="6" t="s">
        <v>2872</v>
      </c>
      <c r="F263" s="6" t="s">
        <v>2727</v>
      </c>
      <c r="G263" s="6" t="s">
        <v>2616</v>
      </c>
      <c r="H263" s="6" t="s">
        <v>2728</v>
      </c>
      <c r="I263" s="6" t="s">
        <v>2729</v>
      </c>
    </row>
    <row r="264" spans="1:9" ht="48" customHeight="1">
      <c r="A264" s="20" t="s">
        <v>2578</v>
      </c>
      <c r="B264" s="6" t="s">
        <v>2241</v>
      </c>
      <c r="C264" s="6" t="s">
        <v>2612</v>
      </c>
      <c r="D264" s="6" t="s">
        <v>2725</v>
      </c>
      <c r="E264" s="6" t="s">
        <v>2873</v>
      </c>
      <c r="F264" s="6" t="s">
        <v>2727</v>
      </c>
      <c r="G264" s="6" t="s">
        <v>2616</v>
      </c>
      <c r="H264" s="6" t="s">
        <v>2728</v>
      </c>
      <c r="I264" s="6" t="s">
        <v>2729</v>
      </c>
    </row>
    <row r="265" spans="1:9" ht="48" customHeight="1">
      <c r="A265" s="20" t="s">
        <v>2578</v>
      </c>
      <c r="B265" s="6" t="s">
        <v>2242</v>
      </c>
      <c r="C265" s="6" t="s">
        <v>2612</v>
      </c>
      <c r="D265" s="6" t="s">
        <v>2725</v>
      </c>
      <c r="E265" s="6" t="s">
        <v>2874</v>
      </c>
      <c r="F265" s="6" t="s">
        <v>2727</v>
      </c>
      <c r="G265" s="6" t="s">
        <v>2616</v>
      </c>
      <c r="H265" s="6" t="s">
        <v>2728</v>
      </c>
      <c r="I265" s="6" t="s">
        <v>2729</v>
      </c>
    </row>
    <row r="266" spans="1:9" ht="48" customHeight="1">
      <c r="A266" s="20" t="s">
        <v>2578</v>
      </c>
      <c r="B266" s="6" t="s">
        <v>2243</v>
      </c>
      <c r="C266" s="6" t="s">
        <v>2612</v>
      </c>
      <c r="D266" s="6" t="s">
        <v>2725</v>
      </c>
      <c r="E266" s="6" t="s">
        <v>2875</v>
      </c>
      <c r="F266" s="6" t="s">
        <v>2727</v>
      </c>
      <c r="G266" s="6" t="s">
        <v>2616</v>
      </c>
      <c r="H266" s="6" t="s">
        <v>2728</v>
      </c>
      <c r="I266" s="6" t="s">
        <v>2729</v>
      </c>
    </row>
    <row r="267" spans="1:9" ht="48" customHeight="1">
      <c r="A267" s="20" t="s">
        <v>2578</v>
      </c>
      <c r="B267" s="6" t="s">
        <v>2244</v>
      </c>
      <c r="C267" s="6" t="s">
        <v>2612</v>
      </c>
      <c r="D267" s="6" t="s">
        <v>2725</v>
      </c>
      <c r="E267" s="6" t="s">
        <v>2876</v>
      </c>
      <c r="F267" s="6" t="s">
        <v>2727</v>
      </c>
      <c r="G267" s="6" t="s">
        <v>2616</v>
      </c>
      <c r="H267" s="6" t="s">
        <v>2728</v>
      </c>
      <c r="I267" s="6" t="s">
        <v>2729</v>
      </c>
    </row>
    <row r="268" spans="1:9" ht="48" customHeight="1">
      <c r="A268" s="20" t="s">
        <v>2578</v>
      </c>
      <c r="B268" s="6" t="s">
        <v>2245</v>
      </c>
      <c r="C268" s="6" t="s">
        <v>2612</v>
      </c>
      <c r="D268" s="6" t="s">
        <v>2725</v>
      </c>
      <c r="E268" s="6" t="s">
        <v>2877</v>
      </c>
      <c r="F268" s="6" t="s">
        <v>2727</v>
      </c>
      <c r="G268" s="6" t="s">
        <v>2616</v>
      </c>
      <c r="H268" s="6" t="s">
        <v>2728</v>
      </c>
      <c r="I268" s="6" t="s">
        <v>2729</v>
      </c>
    </row>
    <row r="269" spans="1:9" ht="48" customHeight="1">
      <c r="A269" s="20" t="s">
        <v>2578</v>
      </c>
      <c r="B269" s="6" t="s">
        <v>2246</v>
      </c>
      <c r="C269" s="6" t="s">
        <v>2612</v>
      </c>
      <c r="D269" s="6" t="s">
        <v>2725</v>
      </c>
      <c r="E269" s="6" t="s">
        <v>2878</v>
      </c>
      <c r="F269" s="6" t="s">
        <v>2727</v>
      </c>
      <c r="G269" s="6" t="s">
        <v>2616</v>
      </c>
      <c r="H269" s="6" t="s">
        <v>2728</v>
      </c>
      <c r="I269" s="6" t="s">
        <v>2729</v>
      </c>
    </row>
    <row r="270" spans="1:9" ht="48" customHeight="1">
      <c r="A270" s="20" t="s">
        <v>2578</v>
      </c>
      <c r="B270" s="6" t="s">
        <v>2247</v>
      </c>
      <c r="C270" s="6" t="s">
        <v>2612</v>
      </c>
      <c r="D270" s="6" t="s">
        <v>2725</v>
      </c>
      <c r="E270" s="6" t="s">
        <v>2879</v>
      </c>
      <c r="F270" s="6" t="s">
        <v>2727</v>
      </c>
      <c r="G270" s="6" t="s">
        <v>2616</v>
      </c>
      <c r="H270" s="6" t="s">
        <v>2728</v>
      </c>
      <c r="I270" s="6" t="s">
        <v>2729</v>
      </c>
    </row>
    <row r="271" spans="1:9" ht="48" customHeight="1">
      <c r="A271" s="20" t="s">
        <v>2578</v>
      </c>
      <c r="B271" s="6" t="s">
        <v>2248</v>
      </c>
      <c r="C271" s="6" t="s">
        <v>2612</v>
      </c>
      <c r="D271" s="6" t="s">
        <v>2725</v>
      </c>
      <c r="E271" s="6" t="s">
        <v>2880</v>
      </c>
      <c r="F271" s="6" t="s">
        <v>2727</v>
      </c>
      <c r="G271" s="6" t="s">
        <v>2616</v>
      </c>
      <c r="H271" s="6" t="s">
        <v>2728</v>
      </c>
      <c r="I271" s="6" t="s">
        <v>2729</v>
      </c>
    </row>
    <row r="272" spans="1:9" ht="48" customHeight="1">
      <c r="A272" s="20" t="s">
        <v>2578</v>
      </c>
      <c r="B272" s="6" t="s">
        <v>2249</v>
      </c>
      <c r="C272" s="6" t="s">
        <v>2612</v>
      </c>
      <c r="D272" s="6" t="s">
        <v>2725</v>
      </c>
      <c r="E272" s="6" t="s">
        <v>2881</v>
      </c>
      <c r="F272" s="6" t="s">
        <v>2727</v>
      </c>
      <c r="G272" s="6" t="s">
        <v>2616</v>
      </c>
      <c r="H272" s="6" t="s">
        <v>2728</v>
      </c>
      <c r="I272" s="6" t="s">
        <v>2729</v>
      </c>
    </row>
    <row r="273" spans="1:9" ht="48" customHeight="1">
      <c r="A273" s="20" t="s">
        <v>2578</v>
      </c>
      <c r="B273" s="6" t="s">
        <v>2250</v>
      </c>
      <c r="C273" s="6" t="s">
        <v>2612</v>
      </c>
      <c r="D273" s="6" t="s">
        <v>2613</v>
      </c>
      <c r="E273" s="6" t="s">
        <v>2760</v>
      </c>
      <c r="F273" s="6" t="s">
        <v>21</v>
      </c>
      <c r="G273" s="6" t="s">
        <v>2620</v>
      </c>
      <c r="H273" s="6" t="s">
        <v>2761</v>
      </c>
      <c r="I273" s="6" t="s">
        <v>2762</v>
      </c>
    </row>
    <row r="274" spans="1:9" ht="48" customHeight="1">
      <c r="A274" s="20" t="s">
        <v>2578</v>
      </c>
      <c r="B274" s="6" t="s">
        <v>2251</v>
      </c>
      <c r="C274" s="6" t="s">
        <v>2612</v>
      </c>
      <c r="D274" s="6" t="s">
        <v>2882</v>
      </c>
      <c r="E274" s="6" t="s">
        <v>2883</v>
      </c>
      <c r="F274" s="6" t="s">
        <v>2884</v>
      </c>
      <c r="G274" s="6" t="s">
        <v>2885</v>
      </c>
      <c r="H274" s="6" t="s">
        <v>2886</v>
      </c>
      <c r="I274" s="6" t="s">
        <v>2887</v>
      </c>
    </row>
    <row r="275" spans="1:9" ht="48" customHeight="1">
      <c r="A275" s="20" t="s">
        <v>2578</v>
      </c>
      <c r="B275" s="6" t="s">
        <v>2252</v>
      </c>
      <c r="C275" s="6" t="s">
        <v>2612</v>
      </c>
      <c r="D275" s="6" t="s">
        <v>2725</v>
      </c>
      <c r="E275" s="6" t="s">
        <v>2888</v>
      </c>
      <c r="F275" s="6" t="s">
        <v>2727</v>
      </c>
      <c r="G275" s="6" t="s">
        <v>2616</v>
      </c>
      <c r="H275" s="6" t="s">
        <v>2728</v>
      </c>
      <c r="I275" s="6" t="s">
        <v>2729</v>
      </c>
    </row>
    <row r="276" spans="1:9" ht="48" customHeight="1">
      <c r="A276" s="20" t="s">
        <v>2578</v>
      </c>
      <c r="B276" s="6" t="s">
        <v>1656</v>
      </c>
      <c r="C276" s="6" t="s">
        <v>2612</v>
      </c>
      <c r="D276" s="6" t="s">
        <v>2698</v>
      </c>
      <c r="E276" s="6" t="s">
        <v>2699</v>
      </c>
      <c r="F276" s="6" t="s">
        <v>2700</v>
      </c>
      <c r="G276" s="6" t="s">
        <v>2701</v>
      </c>
      <c r="H276" s="6" t="s">
        <v>2634</v>
      </c>
      <c r="I276" s="6" t="s">
        <v>2702</v>
      </c>
    </row>
    <row r="277" spans="1:9" ht="48" customHeight="1">
      <c r="A277" s="20" t="s">
        <v>2578</v>
      </c>
      <c r="B277" s="6" t="s">
        <v>1378</v>
      </c>
      <c r="C277" s="6" t="s">
        <v>2612</v>
      </c>
      <c r="D277" s="6" t="s">
        <v>2613</v>
      </c>
      <c r="E277" s="6" t="s">
        <v>2695</v>
      </c>
      <c r="F277" s="6" t="s">
        <v>2</v>
      </c>
      <c r="G277" s="6" t="s">
        <v>2620</v>
      </c>
      <c r="H277" s="6" t="s">
        <v>2696</v>
      </c>
      <c r="I277" s="6" t="s">
        <v>2697</v>
      </c>
    </row>
    <row r="278" spans="1:9" ht="48" customHeight="1">
      <c r="A278" s="20" t="s">
        <v>2578</v>
      </c>
      <c r="B278" s="6" t="s">
        <v>2253</v>
      </c>
      <c r="C278" s="6" t="s">
        <v>2612</v>
      </c>
      <c r="D278" s="6" t="s">
        <v>2753</v>
      </c>
      <c r="E278" s="6" t="s">
        <v>2754</v>
      </c>
      <c r="F278" s="6" t="s">
        <v>2755</v>
      </c>
      <c r="G278" s="6" t="s">
        <v>2756</v>
      </c>
      <c r="H278" s="6" t="s">
        <v>2757</v>
      </c>
      <c r="I278" s="6" t="s">
        <v>2758</v>
      </c>
    </row>
    <row r="279" spans="1:9" ht="48" customHeight="1">
      <c r="A279" s="20" t="s">
        <v>2578</v>
      </c>
      <c r="B279" s="6" t="s">
        <v>1580</v>
      </c>
      <c r="C279" s="6" t="s">
        <v>2612</v>
      </c>
      <c r="D279" s="6" t="s">
        <v>2682</v>
      </c>
      <c r="E279" s="6" t="s">
        <v>2748</v>
      </c>
      <c r="F279" s="6" t="s">
        <v>2749</v>
      </c>
      <c r="G279" s="6" t="s">
        <v>2750</v>
      </c>
      <c r="H279" s="6" t="s">
        <v>2751</v>
      </c>
      <c r="I279" s="6" t="s">
        <v>2752</v>
      </c>
    </row>
    <row r="280" spans="1:9" ht="48" customHeight="1">
      <c r="A280" s="20" t="s">
        <v>2583</v>
      </c>
      <c r="B280" s="6" t="s">
        <v>1370</v>
      </c>
      <c r="C280" s="6" t="s">
        <v>2653</v>
      </c>
      <c r="D280" s="6" t="s">
        <v>2654</v>
      </c>
      <c r="E280" s="6" t="s">
        <v>2655</v>
      </c>
      <c r="F280" s="6" t="s">
        <v>1598</v>
      </c>
      <c r="G280" s="6" t="s">
        <v>2656</v>
      </c>
      <c r="H280" s="6" t="s">
        <v>2657</v>
      </c>
      <c r="I280" s="6" t="s">
        <v>2658</v>
      </c>
    </row>
    <row r="281" spans="1:9" ht="48" customHeight="1">
      <c r="A281" s="20" t="s">
        <v>2583</v>
      </c>
      <c r="B281" s="6" t="s">
        <v>2268</v>
      </c>
      <c r="C281" s="6" t="s">
        <v>2612</v>
      </c>
      <c r="D281" s="6" t="s">
        <v>2613</v>
      </c>
      <c r="E281" s="6" t="s">
        <v>2659</v>
      </c>
      <c r="F281" s="6" t="s">
        <v>2660</v>
      </c>
      <c r="G281" s="6" t="s">
        <v>2661</v>
      </c>
      <c r="H281" s="6" t="s">
        <v>2662</v>
      </c>
      <c r="I281" s="6" t="s">
        <v>2663</v>
      </c>
    </row>
    <row r="282" spans="1:9" ht="48" customHeight="1">
      <c r="A282" s="20" t="s">
        <v>2583</v>
      </c>
      <c r="B282" s="6" t="s">
        <v>2269</v>
      </c>
      <c r="C282" s="6" t="s">
        <v>2612</v>
      </c>
      <c r="D282" s="6" t="s">
        <v>2613</v>
      </c>
      <c r="E282" s="6" t="s">
        <v>2664</v>
      </c>
      <c r="F282" s="6" t="s">
        <v>2665</v>
      </c>
      <c r="G282" s="6" t="s">
        <v>2666</v>
      </c>
      <c r="H282" s="6" t="s">
        <v>2667</v>
      </c>
      <c r="I282" s="6" t="s">
        <v>2668</v>
      </c>
    </row>
    <row r="283" spans="1:9" ht="48" customHeight="1">
      <c r="A283" s="20" t="s">
        <v>2583</v>
      </c>
      <c r="B283" s="6" t="s">
        <v>2108</v>
      </c>
      <c r="C283" s="6" t="s">
        <v>2612</v>
      </c>
      <c r="D283" s="6" t="s">
        <v>2669</v>
      </c>
      <c r="E283" s="6" t="s">
        <v>2670</v>
      </c>
      <c r="F283" s="6" t="s">
        <v>2671</v>
      </c>
      <c r="G283" s="6" t="s">
        <v>2672</v>
      </c>
      <c r="H283" s="6" t="s">
        <v>2673</v>
      </c>
      <c r="I283" s="6" t="s">
        <v>2674</v>
      </c>
    </row>
    <row r="284" spans="1:9" ht="48" customHeight="1">
      <c r="A284" s="20" t="s">
        <v>2583</v>
      </c>
      <c r="B284" s="6" t="s">
        <v>2270</v>
      </c>
      <c r="C284" s="6" t="s">
        <v>2612</v>
      </c>
      <c r="D284" s="6" t="s">
        <v>2675</v>
      </c>
      <c r="E284" s="6" t="s">
        <v>2676</v>
      </c>
      <c r="F284" s="6" t="s">
        <v>2677</v>
      </c>
      <c r="G284" s="6" t="s">
        <v>2678</v>
      </c>
      <c r="H284" s="6" t="s">
        <v>2679</v>
      </c>
      <c r="I284" s="6" t="s">
        <v>2680</v>
      </c>
    </row>
    <row r="285" spans="1:9" ht="48" customHeight="1">
      <c r="A285" s="20" t="s">
        <v>2583</v>
      </c>
      <c r="B285" s="6" t="s">
        <v>2271</v>
      </c>
      <c r="C285" s="6" t="s">
        <v>2681</v>
      </c>
      <c r="D285" s="6" t="s">
        <v>2682</v>
      </c>
      <c r="E285" s="6" t="s">
        <v>2683</v>
      </c>
      <c r="F285" s="6" t="s">
        <v>2684</v>
      </c>
      <c r="G285" s="6" t="s">
        <v>2685</v>
      </c>
      <c r="H285" s="6" t="s">
        <v>2686</v>
      </c>
      <c r="I285" s="6" t="s">
        <v>2687</v>
      </c>
    </row>
    <row r="286" spans="1:9" ht="48" customHeight="1">
      <c r="A286" s="20" t="s">
        <v>2583</v>
      </c>
      <c r="B286" s="6" t="s">
        <v>2272</v>
      </c>
      <c r="C286" s="6" t="s">
        <v>2612</v>
      </c>
      <c r="D286" s="6" t="s">
        <v>2882</v>
      </c>
      <c r="E286" s="6" t="s">
        <v>2883</v>
      </c>
      <c r="F286" s="6" t="s">
        <v>2884</v>
      </c>
      <c r="G286" s="6" t="s">
        <v>2885</v>
      </c>
      <c r="H286" s="6" t="s">
        <v>2886</v>
      </c>
      <c r="I286" s="6" t="s">
        <v>2887</v>
      </c>
    </row>
    <row r="287" spans="1:9" ht="48" customHeight="1">
      <c r="A287" s="20" t="s">
        <v>2583</v>
      </c>
      <c r="B287" s="6" t="s">
        <v>2251</v>
      </c>
      <c r="C287" s="6" t="s">
        <v>2612</v>
      </c>
      <c r="D287" s="6" t="s">
        <v>2882</v>
      </c>
      <c r="E287" s="6" t="s">
        <v>2883</v>
      </c>
      <c r="F287" s="6" t="s">
        <v>2884</v>
      </c>
      <c r="G287" s="6" t="s">
        <v>2885</v>
      </c>
      <c r="H287" s="6" t="s">
        <v>2886</v>
      </c>
      <c r="I287" s="6" t="s">
        <v>2887</v>
      </c>
    </row>
    <row r="288" spans="1:9" ht="48" customHeight="1">
      <c r="A288" s="20" t="s">
        <v>2583</v>
      </c>
      <c r="B288" s="6" t="s">
        <v>2273</v>
      </c>
      <c r="C288" s="6" t="s">
        <v>2612</v>
      </c>
      <c r="D288" s="6" t="s">
        <v>2725</v>
      </c>
      <c r="E288" s="6" t="s">
        <v>2889</v>
      </c>
      <c r="F288" s="6" t="s">
        <v>2727</v>
      </c>
      <c r="G288" s="6" t="s">
        <v>2616</v>
      </c>
      <c r="H288" s="6" t="s">
        <v>2728</v>
      </c>
      <c r="I288" s="6" t="s">
        <v>2729</v>
      </c>
    </row>
    <row r="289" spans="1:9" ht="48" customHeight="1">
      <c r="A289" s="20" t="s">
        <v>2583</v>
      </c>
      <c r="B289" s="6" t="s">
        <v>1656</v>
      </c>
      <c r="C289" s="6" t="s">
        <v>2612</v>
      </c>
      <c r="D289" s="6" t="s">
        <v>2698</v>
      </c>
      <c r="E289" s="6" t="s">
        <v>2699</v>
      </c>
      <c r="F289" s="6" t="s">
        <v>2700</v>
      </c>
      <c r="G289" s="6" t="s">
        <v>2701</v>
      </c>
      <c r="H289" s="6" t="s">
        <v>2634</v>
      </c>
      <c r="I289" s="6" t="s">
        <v>2702</v>
      </c>
    </row>
    <row r="290" spans="1:9" ht="48" customHeight="1">
      <c r="A290" s="20" t="s">
        <v>2583</v>
      </c>
      <c r="B290" s="6" t="s">
        <v>1857</v>
      </c>
      <c r="C290" s="6" t="s">
        <v>2612</v>
      </c>
      <c r="D290" s="6" t="s">
        <v>2703</v>
      </c>
      <c r="E290" s="6" t="s">
        <v>2704</v>
      </c>
      <c r="F290" s="6" t="s">
        <v>2705</v>
      </c>
      <c r="G290" s="6" t="s">
        <v>2706</v>
      </c>
      <c r="H290" s="6" t="s">
        <v>2707</v>
      </c>
      <c r="I290" s="6" t="s">
        <v>2708</v>
      </c>
    </row>
    <row r="291" spans="1:9" ht="48" customHeight="1">
      <c r="A291" s="20" t="s">
        <v>2583</v>
      </c>
      <c r="B291" s="6" t="s">
        <v>1378</v>
      </c>
      <c r="C291" s="6" t="s">
        <v>2612</v>
      </c>
      <c r="D291" s="6" t="s">
        <v>2613</v>
      </c>
      <c r="E291" s="6" t="s">
        <v>2695</v>
      </c>
      <c r="F291" s="6" t="s">
        <v>2</v>
      </c>
      <c r="G291" s="6" t="s">
        <v>2620</v>
      </c>
      <c r="H291" s="6" t="s">
        <v>2696</v>
      </c>
      <c r="I291" s="6" t="s">
        <v>2697</v>
      </c>
    </row>
    <row r="292" spans="1:9" ht="48" customHeight="1">
      <c r="A292" s="20" t="s">
        <v>2583</v>
      </c>
      <c r="B292" s="6" t="s">
        <v>2274</v>
      </c>
      <c r="C292" s="6" t="s">
        <v>2612</v>
      </c>
      <c r="D292" s="6" t="s">
        <v>2682</v>
      </c>
      <c r="E292" s="6" t="s">
        <v>2748</v>
      </c>
      <c r="F292" s="6" t="s">
        <v>2749</v>
      </c>
      <c r="G292" s="6" t="s">
        <v>2750</v>
      </c>
      <c r="H292" s="6" t="s">
        <v>2751</v>
      </c>
      <c r="I292" s="6" t="s">
        <v>2752</v>
      </c>
    </row>
    <row r="293" spans="1:9" ht="48" customHeight="1">
      <c r="A293" s="20" t="s">
        <v>2587</v>
      </c>
      <c r="B293" s="6" t="s">
        <v>1370</v>
      </c>
      <c r="C293" s="6" t="s">
        <v>2653</v>
      </c>
      <c r="D293" s="6" t="s">
        <v>2654</v>
      </c>
      <c r="E293" s="6" t="s">
        <v>2655</v>
      </c>
      <c r="F293" s="6" t="s">
        <v>1598</v>
      </c>
      <c r="G293" s="6" t="s">
        <v>2656</v>
      </c>
      <c r="H293" s="6" t="s">
        <v>2657</v>
      </c>
      <c r="I293" s="6" t="s">
        <v>2658</v>
      </c>
    </row>
    <row r="294" spans="1:9" ht="48" customHeight="1">
      <c r="A294" s="20" t="s">
        <v>2587</v>
      </c>
      <c r="B294" s="6" t="s">
        <v>2268</v>
      </c>
      <c r="C294" s="6" t="s">
        <v>2612</v>
      </c>
      <c r="D294" s="6" t="s">
        <v>2613</v>
      </c>
      <c r="E294" s="6" t="s">
        <v>2659</v>
      </c>
      <c r="F294" s="6" t="s">
        <v>2660</v>
      </c>
      <c r="G294" s="6" t="s">
        <v>2661</v>
      </c>
      <c r="H294" s="6" t="s">
        <v>2662</v>
      </c>
      <c r="I294" s="6" t="s">
        <v>2663</v>
      </c>
    </row>
    <row r="295" spans="1:9" ht="48" customHeight="1">
      <c r="A295" s="20" t="s">
        <v>2587</v>
      </c>
      <c r="B295" s="6" t="s">
        <v>2269</v>
      </c>
      <c r="C295" s="6" t="s">
        <v>2612</v>
      </c>
      <c r="D295" s="6" t="s">
        <v>2613</v>
      </c>
      <c r="E295" s="6" t="s">
        <v>2664</v>
      </c>
      <c r="F295" s="6" t="s">
        <v>2665</v>
      </c>
      <c r="G295" s="6" t="s">
        <v>2666</v>
      </c>
      <c r="H295" s="6" t="s">
        <v>2667</v>
      </c>
      <c r="I295" s="6" t="s">
        <v>2668</v>
      </c>
    </row>
    <row r="296" spans="1:9" ht="48" customHeight="1">
      <c r="A296" s="20" t="s">
        <v>2587</v>
      </c>
      <c r="B296" s="6" t="s">
        <v>2108</v>
      </c>
      <c r="C296" s="6" t="s">
        <v>2612</v>
      </c>
      <c r="D296" s="6" t="s">
        <v>2669</v>
      </c>
      <c r="E296" s="6" t="s">
        <v>2670</v>
      </c>
      <c r="F296" s="6" t="s">
        <v>2671</v>
      </c>
      <c r="G296" s="6" t="s">
        <v>2672</v>
      </c>
      <c r="H296" s="6" t="s">
        <v>2673</v>
      </c>
      <c r="I296" s="6" t="s">
        <v>2674</v>
      </c>
    </row>
    <row r="297" spans="1:9" ht="48" customHeight="1">
      <c r="A297" s="20" t="s">
        <v>2587</v>
      </c>
      <c r="B297" s="6" t="s">
        <v>2270</v>
      </c>
      <c r="C297" s="6" t="s">
        <v>2612</v>
      </c>
      <c r="D297" s="6" t="s">
        <v>2675</v>
      </c>
      <c r="E297" s="6" t="s">
        <v>2676</v>
      </c>
      <c r="F297" s="6" t="s">
        <v>2677</v>
      </c>
      <c r="G297" s="6" t="s">
        <v>2678</v>
      </c>
      <c r="H297" s="6" t="s">
        <v>2679</v>
      </c>
      <c r="I297" s="6" t="s">
        <v>2680</v>
      </c>
    </row>
    <row r="298" spans="1:9" ht="48" customHeight="1">
      <c r="A298" s="20" t="s">
        <v>2587</v>
      </c>
      <c r="B298" s="6" t="s">
        <v>2271</v>
      </c>
      <c r="C298" s="6" t="s">
        <v>2681</v>
      </c>
      <c r="D298" s="6" t="s">
        <v>2682</v>
      </c>
      <c r="E298" s="6" t="s">
        <v>2683</v>
      </c>
      <c r="F298" s="6" t="s">
        <v>2684</v>
      </c>
      <c r="G298" s="6" t="s">
        <v>2685</v>
      </c>
      <c r="H298" s="6" t="s">
        <v>2686</v>
      </c>
      <c r="I298" s="6" t="s">
        <v>2687</v>
      </c>
    </row>
    <row r="299" spans="1:9" ht="48" customHeight="1">
      <c r="A299" s="20" t="s">
        <v>2587</v>
      </c>
      <c r="B299" s="6" t="s">
        <v>2272</v>
      </c>
      <c r="C299" s="6" t="s">
        <v>2612</v>
      </c>
      <c r="D299" s="6" t="s">
        <v>2882</v>
      </c>
      <c r="E299" s="6" t="s">
        <v>2883</v>
      </c>
      <c r="F299" s="6" t="s">
        <v>2884</v>
      </c>
      <c r="G299" s="6" t="s">
        <v>2885</v>
      </c>
      <c r="H299" s="6" t="s">
        <v>2886</v>
      </c>
      <c r="I299" s="6" t="s">
        <v>2887</v>
      </c>
    </row>
    <row r="300" spans="1:9" ht="48" customHeight="1">
      <c r="A300" s="20" t="s">
        <v>2587</v>
      </c>
      <c r="B300" s="6" t="s">
        <v>2251</v>
      </c>
      <c r="C300" s="6" t="s">
        <v>2612</v>
      </c>
      <c r="D300" s="6" t="s">
        <v>2882</v>
      </c>
      <c r="E300" s="6" t="s">
        <v>2883</v>
      </c>
      <c r="F300" s="6" t="s">
        <v>2884</v>
      </c>
      <c r="G300" s="6" t="s">
        <v>2885</v>
      </c>
      <c r="H300" s="6" t="s">
        <v>2886</v>
      </c>
      <c r="I300" s="6" t="s">
        <v>2887</v>
      </c>
    </row>
    <row r="301" spans="1:9" ht="48" customHeight="1">
      <c r="A301" s="20" t="s">
        <v>2587</v>
      </c>
      <c r="B301" s="6" t="s">
        <v>2273</v>
      </c>
      <c r="C301" s="6" t="s">
        <v>2612</v>
      </c>
      <c r="D301" s="6" t="s">
        <v>2725</v>
      </c>
      <c r="E301" s="6" t="s">
        <v>2889</v>
      </c>
      <c r="F301" s="6" t="s">
        <v>2727</v>
      </c>
      <c r="G301" s="6" t="s">
        <v>2616</v>
      </c>
      <c r="H301" s="6" t="s">
        <v>2728</v>
      </c>
      <c r="I301" s="6" t="s">
        <v>2729</v>
      </c>
    </row>
    <row r="302" spans="1:9" ht="48" customHeight="1">
      <c r="A302" s="20" t="s">
        <v>2587</v>
      </c>
      <c r="B302" s="6" t="s">
        <v>1656</v>
      </c>
      <c r="C302" s="6" t="s">
        <v>2612</v>
      </c>
      <c r="D302" s="6" t="s">
        <v>2698</v>
      </c>
      <c r="E302" s="6" t="s">
        <v>2699</v>
      </c>
      <c r="F302" s="6" t="s">
        <v>2700</v>
      </c>
      <c r="G302" s="6" t="s">
        <v>2701</v>
      </c>
      <c r="H302" s="6" t="s">
        <v>2634</v>
      </c>
      <c r="I302" s="6" t="s">
        <v>2702</v>
      </c>
    </row>
    <row r="303" spans="1:9" ht="48" customHeight="1">
      <c r="A303" s="20" t="s">
        <v>2587</v>
      </c>
      <c r="B303" s="6" t="s">
        <v>1857</v>
      </c>
      <c r="C303" s="6" t="s">
        <v>2612</v>
      </c>
      <c r="D303" s="6" t="s">
        <v>2703</v>
      </c>
      <c r="E303" s="6" t="s">
        <v>2704</v>
      </c>
      <c r="F303" s="6" t="s">
        <v>2705</v>
      </c>
      <c r="G303" s="6" t="s">
        <v>2706</v>
      </c>
      <c r="H303" s="6" t="s">
        <v>2707</v>
      </c>
      <c r="I303" s="6" t="s">
        <v>2708</v>
      </c>
    </row>
    <row r="304" spans="1:9" ht="48" customHeight="1">
      <c r="A304" s="20" t="s">
        <v>2587</v>
      </c>
      <c r="B304" s="6" t="s">
        <v>1378</v>
      </c>
      <c r="C304" s="6" t="s">
        <v>2612</v>
      </c>
      <c r="D304" s="6" t="s">
        <v>2613</v>
      </c>
      <c r="E304" s="6" t="s">
        <v>2695</v>
      </c>
      <c r="F304" s="6" t="s">
        <v>2</v>
      </c>
      <c r="G304" s="6" t="s">
        <v>2620</v>
      </c>
      <c r="H304" s="6" t="s">
        <v>2696</v>
      </c>
      <c r="I304" s="6" t="s">
        <v>2697</v>
      </c>
    </row>
    <row r="305" spans="1:9" ht="48" customHeight="1">
      <c r="A305" s="20" t="s">
        <v>2587</v>
      </c>
      <c r="B305" s="6" t="s">
        <v>2274</v>
      </c>
      <c r="C305" s="6" t="s">
        <v>2612</v>
      </c>
      <c r="D305" s="6" t="s">
        <v>2682</v>
      </c>
      <c r="E305" s="6" t="s">
        <v>2748</v>
      </c>
      <c r="F305" s="6" t="s">
        <v>2749</v>
      </c>
      <c r="G305" s="6" t="s">
        <v>2750</v>
      </c>
      <c r="H305" s="6" t="s">
        <v>2751</v>
      </c>
      <c r="I305" s="6" t="s">
        <v>2752</v>
      </c>
    </row>
    <row r="306" spans="1:9" ht="48" customHeight="1">
      <c r="A306" s="20" t="s">
        <v>2592</v>
      </c>
      <c r="B306" s="6" t="s">
        <v>1370</v>
      </c>
      <c r="C306" s="6" t="s">
        <v>2653</v>
      </c>
      <c r="D306" s="6" t="s">
        <v>2654</v>
      </c>
      <c r="E306" s="6" t="s">
        <v>2655</v>
      </c>
      <c r="F306" s="6" t="s">
        <v>1598</v>
      </c>
      <c r="G306" s="6" t="s">
        <v>2656</v>
      </c>
      <c r="H306" s="6" t="s">
        <v>2657</v>
      </c>
      <c r="I306" s="6" t="s">
        <v>2658</v>
      </c>
    </row>
    <row r="307" spans="1:9" ht="48" customHeight="1">
      <c r="A307" s="20" t="s">
        <v>2592</v>
      </c>
      <c r="B307" s="6" t="s">
        <v>2268</v>
      </c>
      <c r="C307" s="6" t="s">
        <v>2612</v>
      </c>
      <c r="D307" s="6" t="s">
        <v>2613</v>
      </c>
      <c r="E307" s="6" t="s">
        <v>2659</v>
      </c>
      <c r="F307" s="6" t="s">
        <v>2660</v>
      </c>
      <c r="G307" s="6" t="s">
        <v>2661</v>
      </c>
      <c r="H307" s="6" t="s">
        <v>2662</v>
      </c>
      <c r="I307" s="6" t="s">
        <v>2663</v>
      </c>
    </row>
    <row r="308" spans="1:9" ht="48" customHeight="1">
      <c r="A308" s="20" t="s">
        <v>2592</v>
      </c>
      <c r="B308" s="6" t="s">
        <v>2269</v>
      </c>
      <c r="C308" s="6" t="s">
        <v>2612</v>
      </c>
      <c r="D308" s="6" t="s">
        <v>2613</v>
      </c>
      <c r="E308" s="6" t="s">
        <v>2664</v>
      </c>
      <c r="F308" s="6" t="s">
        <v>2665</v>
      </c>
      <c r="G308" s="6" t="s">
        <v>2666</v>
      </c>
      <c r="H308" s="6" t="s">
        <v>2667</v>
      </c>
      <c r="I308" s="6" t="s">
        <v>2668</v>
      </c>
    </row>
    <row r="309" spans="1:9" ht="48" customHeight="1">
      <c r="A309" s="20" t="s">
        <v>2592</v>
      </c>
      <c r="B309" s="6" t="s">
        <v>2108</v>
      </c>
      <c r="C309" s="6" t="s">
        <v>2612</v>
      </c>
      <c r="D309" s="6" t="s">
        <v>2669</v>
      </c>
      <c r="E309" s="6" t="s">
        <v>2670</v>
      </c>
      <c r="F309" s="6" t="s">
        <v>2671</v>
      </c>
      <c r="G309" s="6" t="s">
        <v>2672</v>
      </c>
      <c r="H309" s="6" t="s">
        <v>2673</v>
      </c>
      <c r="I309" s="6" t="s">
        <v>2674</v>
      </c>
    </row>
    <row r="310" spans="1:9" ht="48" customHeight="1">
      <c r="A310" s="20" t="s">
        <v>2592</v>
      </c>
      <c r="B310" s="6" t="s">
        <v>2270</v>
      </c>
      <c r="C310" s="6" t="s">
        <v>2612</v>
      </c>
      <c r="D310" s="6" t="s">
        <v>2675</v>
      </c>
      <c r="E310" s="6" t="s">
        <v>2676</v>
      </c>
      <c r="F310" s="6" t="s">
        <v>2677</v>
      </c>
      <c r="G310" s="6" t="s">
        <v>2678</v>
      </c>
      <c r="H310" s="6" t="s">
        <v>2679</v>
      </c>
      <c r="I310" s="6" t="s">
        <v>2680</v>
      </c>
    </row>
    <row r="311" spans="1:9" ht="48" customHeight="1">
      <c r="A311" s="20" t="s">
        <v>2592</v>
      </c>
      <c r="B311" s="6" t="s">
        <v>2271</v>
      </c>
      <c r="C311" s="6" t="s">
        <v>2681</v>
      </c>
      <c r="D311" s="6" t="s">
        <v>2682</v>
      </c>
      <c r="E311" s="6" t="s">
        <v>2683</v>
      </c>
      <c r="F311" s="6" t="s">
        <v>2684</v>
      </c>
      <c r="G311" s="6" t="s">
        <v>2685</v>
      </c>
      <c r="H311" s="6" t="s">
        <v>2686</v>
      </c>
      <c r="I311" s="6" t="s">
        <v>2687</v>
      </c>
    </row>
    <row r="312" spans="1:9" ht="48" customHeight="1">
      <c r="A312" s="20" t="s">
        <v>2592</v>
      </c>
      <c r="B312" s="6" t="s">
        <v>2272</v>
      </c>
      <c r="C312" s="6" t="s">
        <v>2612</v>
      </c>
      <c r="D312" s="6" t="s">
        <v>2882</v>
      </c>
      <c r="E312" s="6" t="s">
        <v>2883</v>
      </c>
      <c r="F312" s="6" t="s">
        <v>2884</v>
      </c>
      <c r="G312" s="6" t="s">
        <v>2885</v>
      </c>
      <c r="H312" s="6" t="s">
        <v>2886</v>
      </c>
      <c r="I312" s="6" t="s">
        <v>2887</v>
      </c>
    </row>
    <row r="313" spans="1:9" ht="48" customHeight="1">
      <c r="A313" s="20" t="s">
        <v>2592</v>
      </c>
      <c r="B313" s="6" t="s">
        <v>2251</v>
      </c>
      <c r="C313" s="6" t="s">
        <v>2612</v>
      </c>
      <c r="D313" s="6" t="s">
        <v>2882</v>
      </c>
      <c r="E313" s="6" t="s">
        <v>2883</v>
      </c>
      <c r="F313" s="6" t="s">
        <v>2884</v>
      </c>
      <c r="G313" s="6" t="s">
        <v>2885</v>
      </c>
      <c r="H313" s="6" t="s">
        <v>2886</v>
      </c>
      <c r="I313" s="6" t="s">
        <v>2887</v>
      </c>
    </row>
    <row r="314" spans="1:9" ht="48" customHeight="1">
      <c r="A314" s="20" t="s">
        <v>2592</v>
      </c>
      <c r="B314" s="6" t="s">
        <v>2273</v>
      </c>
      <c r="C314" s="6" t="s">
        <v>2612</v>
      </c>
      <c r="D314" s="6" t="s">
        <v>2725</v>
      </c>
      <c r="E314" s="6" t="s">
        <v>2889</v>
      </c>
      <c r="F314" s="6" t="s">
        <v>2727</v>
      </c>
      <c r="G314" s="6" t="s">
        <v>2616</v>
      </c>
      <c r="H314" s="6" t="s">
        <v>2728</v>
      </c>
      <c r="I314" s="6" t="s">
        <v>2729</v>
      </c>
    </row>
    <row r="315" spans="1:9" ht="48" customHeight="1">
      <c r="A315" s="20" t="s">
        <v>2592</v>
      </c>
      <c r="B315" s="6" t="s">
        <v>1656</v>
      </c>
      <c r="C315" s="6" t="s">
        <v>2612</v>
      </c>
      <c r="D315" s="6" t="s">
        <v>2698</v>
      </c>
      <c r="E315" s="6" t="s">
        <v>2699</v>
      </c>
      <c r="F315" s="6" t="s">
        <v>2700</v>
      </c>
      <c r="G315" s="6" t="s">
        <v>2701</v>
      </c>
      <c r="H315" s="6" t="s">
        <v>2634</v>
      </c>
      <c r="I315" s="6" t="s">
        <v>2702</v>
      </c>
    </row>
    <row r="316" spans="1:9" ht="48" customHeight="1">
      <c r="A316" s="20" t="s">
        <v>2592</v>
      </c>
      <c r="B316" s="6" t="s">
        <v>1857</v>
      </c>
      <c r="C316" s="6" t="s">
        <v>2612</v>
      </c>
      <c r="D316" s="6" t="s">
        <v>2703</v>
      </c>
      <c r="E316" s="6" t="s">
        <v>2704</v>
      </c>
      <c r="F316" s="6" t="s">
        <v>2705</v>
      </c>
      <c r="G316" s="6" t="s">
        <v>2706</v>
      </c>
      <c r="H316" s="6" t="s">
        <v>2707</v>
      </c>
      <c r="I316" s="6" t="s">
        <v>2708</v>
      </c>
    </row>
    <row r="317" spans="1:9" ht="48" customHeight="1">
      <c r="A317" s="20" t="s">
        <v>2592</v>
      </c>
      <c r="B317" s="6" t="s">
        <v>1378</v>
      </c>
      <c r="C317" s="6" t="s">
        <v>2612</v>
      </c>
      <c r="D317" s="6" t="s">
        <v>2613</v>
      </c>
      <c r="E317" s="6" t="s">
        <v>2695</v>
      </c>
      <c r="F317" s="6" t="s">
        <v>2</v>
      </c>
      <c r="G317" s="6" t="s">
        <v>2620</v>
      </c>
      <c r="H317" s="6" t="s">
        <v>2696</v>
      </c>
      <c r="I317" s="6" t="s">
        <v>2697</v>
      </c>
    </row>
    <row r="318" spans="1:9" ht="48" customHeight="1">
      <c r="A318" s="20" t="s">
        <v>2592</v>
      </c>
      <c r="B318" s="6" t="s">
        <v>2274</v>
      </c>
      <c r="C318" s="6" t="s">
        <v>2612</v>
      </c>
      <c r="D318" s="6" t="s">
        <v>2682</v>
      </c>
      <c r="E318" s="6" t="s">
        <v>2748</v>
      </c>
      <c r="F318" s="6" t="s">
        <v>2749</v>
      </c>
      <c r="G318" s="6" t="s">
        <v>2750</v>
      </c>
      <c r="H318" s="6" t="s">
        <v>2751</v>
      </c>
      <c r="I318" s="6" t="s">
        <v>2752</v>
      </c>
    </row>
    <row r="319" spans="1:9" ht="48" customHeight="1">
      <c r="A319" s="20" t="s">
        <v>2596</v>
      </c>
      <c r="B319" s="6" t="s">
        <v>2386</v>
      </c>
      <c r="C319" s="6" t="s">
        <v>2612</v>
      </c>
      <c r="D319" s="6" t="s">
        <v>2725</v>
      </c>
      <c r="E319" s="6" t="s">
        <v>2890</v>
      </c>
      <c r="F319" s="6" t="s">
        <v>2727</v>
      </c>
      <c r="G319" s="6" t="s">
        <v>2616</v>
      </c>
      <c r="H319" s="6" t="s">
        <v>2728</v>
      </c>
      <c r="I319" s="6" t="s">
        <v>2729</v>
      </c>
    </row>
    <row r="320" spans="1:9" ht="48" customHeight="1">
      <c r="A320" s="20" t="s">
        <v>2596</v>
      </c>
      <c r="B320" s="6" t="s">
        <v>2387</v>
      </c>
      <c r="C320" s="6" t="s">
        <v>2612</v>
      </c>
      <c r="D320" s="6" t="s">
        <v>2725</v>
      </c>
      <c r="E320" s="6" t="s">
        <v>2891</v>
      </c>
      <c r="F320" s="6" t="s">
        <v>2727</v>
      </c>
      <c r="G320" s="6" t="s">
        <v>2616</v>
      </c>
      <c r="H320" s="6" t="s">
        <v>2728</v>
      </c>
      <c r="I320" s="6" t="s">
        <v>2729</v>
      </c>
    </row>
    <row r="321" spans="1:9" ht="48" customHeight="1">
      <c r="A321" s="20" t="s">
        <v>2596</v>
      </c>
      <c r="B321" s="6" t="s">
        <v>2388</v>
      </c>
      <c r="C321" s="6" t="s">
        <v>2612</v>
      </c>
      <c r="D321" s="6" t="s">
        <v>2725</v>
      </c>
      <c r="E321" s="6" t="s">
        <v>2892</v>
      </c>
      <c r="F321" s="6" t="s">
        <v>2727</v>
      </c>
      <c r="G321" s="6" t="s">
        <v>2616</v>
      </c>
      <c r="H321" s="6" t="s">
        <v>2728</v>
      </c>
      <c r="I321" s="6" t="s">
        <v>2729</v>
      </c>
    </row>
    <row r="322" spans="1:9" ht="48" customHeight="1">
      <c r="A322" s="20" t="s">
        <v>2596</v>
      </c>
      <c r="B322" s="6" t="s">
        <v>2389</v>
      </c>
      <c r="C322" s="6" t="s">
        <v>2612</v>
      </c>
      <c r="D322" s="6" t="s">
        <v>2725</v>
      </c>
      <c r="E322" s="6" t="s">
        <v>2893</v>
      </c>
      <c r="F322" s="6" t="s">
        <v>2727</v>
      </c>
      <c r="G322" s="6" t="s">
        <v>2616</v>
      </c>
      <c r="H322" s="6" t="s">
        <v>2728</v>
      </c>
      <c r="I322" s="6" t="s">
        <v>2729</v>
      </c>
    </row>
    <row r="323" spans="1:9" ht="48" customHeight="1">
      <c r="A323" s="20" t="s">
        <v>2596</v>
      </c>
      <c r="B323" s="6" t="s">
        <v>2390</v>
      </c>
      <c r="C323" s="6" t="s">
        <v>2612</v>
      </c>
      <c r="D323" s="6" t="s">
        <v>2725</v>
      </c>
      <c r="E323" s="6" t="s">
        <v>2894</v>
      </c>
      <c r="F323" s="6" t="s">
        <v>2727</v>
      </c>
      <c r="G323" s="6" t="s">
        <v>2616</v>
      </c>
      <c r="H323" s="6" t="s">
        <v>2728</v>
      </c>
      <c r="I323" s="6" t="s">
        <v>2729</v>
      </c>
    </row>
    <row r="324" spans="1:9" ht="48" customHeight="1">
      <c r="A324" s="20" t="s">
        <v>2596</v>
      </c>
      <c r="B324" s="6" t="s">
        <v>2391</v>
      </c>
      <c r="C324" s="6" t="s">
        <v>2612</v>
      </c>
      <c r="D324" s="6" t="s">
        <v>2698</v>
      </c>
      <c r="E324" s="6" t="s">
        <v>2699</v>
      </c>
      <c r="F324" s="6" t="s">
        <v>2700</v>
      </c>
      <c r="G324" s="6" t="s">
        <v>2701</v>
      </c>
      <c r="H324" s="6" t="s">
        <v>2634</v>
      </c>
      <c r="I324" s="6" t="s">
        <v>2702</v>
      </c>
    </row>
    <row r="325" spans="1:9" ht="48" customHeight="1">
      <c r="A325" s="20" t="s">
        <v>2596</v>
      </c>
      <c r="B325" s="6" t="s">
        <v>2392</v>
      </c>
      <c r="C325" s="6" t="s">
        <v>2612</v>
      </c>
      <c r="D325" s="6" t="s">
        <v>2777</v>
      </c>
      <c r="E325" s="6" t="s">
        <v>2778</v>
      </c>
      <c r="F325" s="6" t="s">
        <v>2779</v>
      </c>
      <c r="G325" s="6" t="s">
        <v>2780</v>
      </c>
      <c r="H325" s="6" t="s">
        <v>2781</v>
      </c>
      <c r="I325" s="6" t="s">
        <v>2782</v>
      </c>
    </row>
    <row r="326" spans="1:9" ht="48" customHeight="1">
      <c r="A326" s="20" t="s">
        <v>2596</v>
      </c>
      <c r="B326" s="6" t="s">
        <v>1378</v>
      </c>
      <c r="C326" s="6" t="s">
        <v>2612</v>
      </c>
      <c r="D326" s="6" t="s">
        <v>2613</v>
      </c>
      <c r="E326" s="6" t="s">
        <v>2695</v>
      </c>
      <c r="F326" s="6" t="s">
        <v>2</v>
      </c>
      <c r="G326" s="6" t="s">
        <v>2620</v>
      </c>
      <c r="H326" s="6" t="s">
        <v>2696</v>
      </c>
      <c r="I326" s="6" t="s">
        <v>2697</v>
      </c>
    </row>
    <row r="327" spans="1:9" ht="48" customHeight="1">
      <c r="A327" s="20" t="s">
        <v>2601</v>
      </c>
      <c r="B327" s="6" t="s">
        <v>2463</v>
      </c>
      <c r="C327" s="6" t="s">
        <v>2653</v>
      </c>
      <c r="D327" s="6" t="s">
        <v>2654</v>
      </c>
      <c r="E327" s="6" t="s">
        <v>2655</v>
      </c>
      <c r="F327" s="6" t="s">
        <v>1598</v>
      </c>
      <c r="G327" s="6" t="s">
        <v>2656</v>
      </c>
      <c r="H327" s="6" t="s">
        <v>2657</v>
      </c>
      <c r="I327" s="6" t="s">
        <v>2658</v>
      </c>
    </row>
    <row r="328" spans="1:9" ht="48" customHeight="1">
      <c r="A328" s="20" t="s">
        <v>2601</v>
      </c>
      <c r="B328" s="6" t="s">
        <v>2464</v>
      </c>
      <c r="C328" s="6" t="s">
        <v>2612</v>
      </c>
      <c r="D328" s="6" t="s">
        <v>2725</v>
      </c>
      <c r="E328" s="6" t="s">
        <v>2895</v>
      </c>
      <c r="F328" s="6" t="s">
        <v>2727</v>
      </c>
      <c r="G328" s="6" t="s">
        <v>2616</v>
      </c>
      <c r="H328" s="6" t="s">
        <v>2728</v>
      </c>
      <c r="I328" s="6" t="s">
        <v>2729</v>
      </c>
    </row>
    <row r="329" spans="1:9" ht="48" customHeight="1">
      <c r="A329" s="20" t="s">
        <v>2601</v>
      </c>
      <c r="B329" s="6" t="s">
        <v>2465</v>
      </c>
      <c r="C329" s="6" t="s">
        <v>2612</v>
      </c>
      <c r="D329" s="6" t="s">
        <v>2725</v>
      </c>
      <c r="E329" s="6" t="s">
        <v>2896</v>
      </c>
      <c r="F329" s="6" t="s">
        <v>2727</v>
      </c>
      <c r="G329" s="6" t="s">
        <v>2616</v>
      </c>
      <c r="H329" s="6" t="s">
        <v>2728</v>
      </c>
      <c r="I329" s="6" t="s">
        <v>2729</v>
      </c>
    </row>
    <row r="330" spans="1:9" ht="48" customHeight="1">
      <c r="A330" s="20" t="s">
        <v>2601</v>
      </c>
      <c r="B330" s="6" t="s">
        <v>2466</v>
      </c>
      <c r="C330" s="6" t="s">
        <v>2612</v>
      </c>
      <c r="D330" s="6" t="s">
        <v>2725</v>
      </c>
      <c r="E330" s="6" t="s">
        <v>2897</v>
      </c>
      <c r="F330" s="6" t="s">
        <v>2727</v>
      </c>
      <c r="G330" s="6" t="s">
        <v>2616</v>
      </c>
      <c r="H330" s="6" t="s">
        <v>2728</v>
      </c>
      <c r="I330" s="6" t="s">
        <v>2729</v>
      </c>
    </row>
    <row r="331" spans="1:9" ht="48" customHeight="1">
      <c r="A331" s="20" t="s">
        <v>2601</v>
      </c>
      <c r="B331" s="6" t="s">
        <v>2467</v>
      </c>
      <c r="C331" s="6" t="s">
        <v>2612</v>
      </c>
      <c r="D331" s="6" t="s">
        <v>2725</v>
      </c>
      <c r="E331" s="6" t="s">
        <v>2898</v>
      </c>
      <c r="F331" s="6" t="s">
        <v>2727</v>
      </c>
      <c r="G331" s="6" t="s">
        <v>2616</v>
      </c>
      <c r="H331" s="6" t="s">
        <v>2728</v>
      </c>
      <c r="I331" s="6" t="s">
        <v>2729</v>
      </c>
    </row>
    <row r="332" spans="1:9" ht="48" customHeight="1">
      <c r="A332" s="20" t="s">
        <v>2601</v>
      </c>
      <c r="B332" s="6" t="s">
        <v>2468</v>
      </c>
      <c r="C332" s="6" t="s">
        <v>2612</v>
      </c>
      <c r="D332" s="6" t="s">
        <v>2725</v>
      </c>
      <c r="E332" s="6" t="s">
        <v>2899</v>
      </c>
      <c r="F332" s="6" t="s">
        <v>2727</v>
      </c>
      <c r="G332" s="6" t="s">
        <v>2616</v>
      </c>
      <c r="H332" s="6" t="s">
        <v>2728</v>
      </c>
      <c r="I332" s="6" t="s">
        <v>2729</v>
      </c>
    </row>
    <row r="333" spans="1:9" ht="48" customHeight="1">
      <c r="A333" s="20" t="s">
        <v>2601</v>
      </c>
      <c r="B333" s="6" t="s">
        <v>2469</v>
      </c>
      <c r="C333" s="6" t="s">
        <v>2612</v>
      </c>
      <c r="D333" s="6" t="s">
        <v>2703</v>
      </c>
      <c r="E333" s="6" t="s">
        <v>2704</v>
      </c>
      <c r="F333" s="6" t="s">
        <v>2705</v>
      </c>
      <c r="G333" s="6" t="s">
        <v>2706</v>
      </c>
      <c r="H333" s="6" t="s">
        <v>2707</v>
      </c>
      <c r="I333" s="6" t="s">
        <v>2708</v>
      </c>
    </row>
    <row r="334" spans="1:9" ht="48" customHeight="1">
      <c r="A334" s="20" t="s">
        <v>2535</v>
      </c>
      <c r="B334" s="6" t="s">
        <v>1371</v>
      </c>
      <c r="C334" s="6" t="s">
        <v>2612</v>
      </c>
      <c r="D334" s="6" t="s">
        <v>2613</v>
      </c>
      <c r="E334" s="6" t="s">
        <v>2659</v>
      </c>
      <c r="F334" s="6" t="s">
        <v>2660</v>
      </c>
      <c r="G334" s="6" t="s">
        <v>2661</v>
      </c>
      <c r="H334" s="6" t="s">
        <v>2662</v>
      </c>
      <c r="I334" s="6" t="s">
        <v>2663</v>
      </c>
    </row>
    <row r="335" spans="1:9" ht="48" customHeight="1">
      <c r="A335" s="20" t="s">
        <v>2535</v>
      </c>
      <c r="B335" s="6" t="s">
        <v>2482</v>
      </c>
      <c r="C335" s="6" t="s">
        <v>2612</v>
      </c>
      <c r="D335" s="6" t="s">
        <v>2725</v>
      </c>
      <c r="E335" s="6" t="s">
        <v>2900</v>
      </c>
      <c r="F335" s="6" t="s">
        <v>2727</v>
      </c>
      <c r="G335" s="6" t="s">
        <v>2616</v>
      </c>
      <c r="H335" s="6" t="s">
        <v>2728</v>
      </c>
      <c r="I335" s="6" t="s">
        <v>2729</v>
      </c>
    </row>
    <row r="336" spans="1:9" ht="48" customHeight="1">
      <c r="A336" s="20" t="s">
        <v>2535</v>
      </c>
      <c r="B336" s="6" t="s">
        <v>5</v>
      </c>
      <c r="C336" s="6" t="s">
        <v>2612</v>
      </c>
      <c r="D336" s="6" t="s">
        <v>2725</v>
      </c>
      <c r="E336" s="6" t="s">
        <v>2901</v>
      </c>
      <c r="F336" s="6" t="s">
        <v>2727</v>
      </c>
      <c r="G336" s="6" t="s">
        <v>2616</v>
      </c>
      <c r="H336" s="6" t="s">
        <v>2728</v>
      </c>
      <c r="I336" s="6" t="s">
        <v>2729</v>
      </c>
    </row>
    <row r="337" spans="1:9" ht="48" customHeight="1">
      <c r="A337" s="20" t="s">
        <v>2535</v>
      </c>
      <c r="B337" s="6" t="s">
        <v>1858</v>
      </c>
      <c r="C337" s="6" t="s">
        <v>2612</v>
      </c>
      <c r="D337" s="6" t="s">
        <v>2789</v>
      </c>
      <c r="E337" s="6" t="s">
        <v>2790</v>
      </c>
      <c r="F337" s="6" t="s">
        <v>2791</v>
      </c>
      <c r="G337" s="6" t="s">
        <v>2792</v>
      </c>
      <c r="H337" s="6" t="s">
        <v>2793</v>
      </c>
      <c r="I337" s="6" t="s">
        <v>2794</v>
      </c>
    </row>
    <row r="338" spans="1:9" ht="48" customHeight="1">
      <c r="A338" s="20" t="s">
        <v>2535</v>
      </c>
      <c r="B338" s="6" t="s">
        <v>2483</v>
      </c>
      <c r="C338" s="6" t="s">
        <v>2612</v>
      </c>
      <c r="D338" s="6" t="s">
        <v>2725</v>
      </c>
      <c r="E338" s="6" t="s">
        <v>2902</v>
      </c>
      <c r="F338" s="6" t="s">
        <v>2727</v>
      </c>
      <c r="G338" s="6" t="s">
        <v>2616</v>
      </c>
      <c r="H338" s="6" t="s">
        <v>2728</v>
      </c>
      <c r="I338" s="6" t="s">
        <v>2729</v>
      </c>
    </row>
    <row r="339" spans="1:9" ht="48" customHeight="1">
      <c r="A339" s="20" t="s">
        <v>2535</v>
      </c>
      <c r="B339" s="6" t="s">
        <v>2484</v>
      </c>
      <c r="C339" s="6" t="s">
        <v>2612</v>
      </c>
      <c r="D339" s="6" t="s">
        <v>2725</v>
      </c>
      <c r="E339" s="6" t="s">
        <v>2903</v>
      </c>
      <c r="F339" s="6" t="s">
        <v>2727</v>
      </c>
      <c r="G339" s="6" t="s">
        <v>2616</v>
      </c>
      <c r="H339" s="6" t="s">
        <v>2728</v>
      </c>
      <c r="I339" s="6" t="s">
        <v>2729</v>
      </c>
    </row>
    <row r="340" spans="1:9" ht="48" customHeight="1">
      <c r="A340" s="20" t="s">
        <v>2535</v>
      </c>
      <c r="B340" s="6" t="s">
        <v>2486</v>
      </c>
      <c r="C340" s="6" t="s">
        <v>2612</v>
      </c>
      <c r="D340" s="6" t="s">
        <v>2725</v>
      </c>
      <c r="E340" s="6" t="s">
        <v>2904</v>
      </c>
      <c r="F340" s="6" t="s">
        <v>2727</v>
      </c>
      <c r="G340" s="6" t="s">
        <v>2616</v>
      </c>
      <c r="H340" s="6" t="s">
        <v>2728</v>
      </c>
      <c r="I340" s="6" t="s">
        <v>2729</v>
      </c>
    </row>
    <row r="341" spans="1:9" ht="48" customHeight="1">
      <c r="A341" s="20" t="s">
        <v>2535</v>
      </c>
      <c r="B341" s="6" t="s">
        <v>2487</v>
      </c>
      <c r="C341" s="6" t="s">
        <v>2612</v>
      </c>
      <c r="D341" s="6" t="s">
        <v>2613</v>
      </c>
      <c r="E341" s="6" t="s">
        <v>2664</v>
      </c>
      <c r="F341" s="6" t="s">
        <v>2665</v>
      </c>
      <c r="G341" s="6" t="s">
        <v>2666</v>
      </c>
      <c r="H341" s="6" t="s">
        <v>2667</v>
      </c>
      <c r="I341" s="6" t="s">
        <v>2668</v>
      </c>
    </row>
    <row r="342" spans="1:9" ht="48" customHeight="1">
      <c r="A342" s="20" t="s">
        <v>2535</v>
      </c>
      <c r="B342" s="6" t="s">
        <v>1378</v>
      </c>
      <c r="C342" s="6" t="s">
        <v>2612</v>
      </c>
      <c r="D342" s="6" t="s">
        <v>2613</v>
      </c>
      <c r="E342" s="6" t="s">
        <v>2695</v>
      </c>
      <c r="F342" s="6" t="s">
        <v>2</v>
      </c>
      <c r="G342" s="6" t="s">
        <v>2620</v>
      </c>
      <c r="H342" s="6" t="s">
        <v>2696</v>
      </c>
      <c r="I342" s="6" t="s">
        <v>2697</v>
      </c>
    </row>
    <row r="343" spans="1:9" ht="48" customHeight="1">
      <c r="A343" s="20" t="s">
        <v>2535</v>
      </c>
      <c r="B343" s="6" t="s">
        <v>1656</v>
      </c>
      <c r="C343" s="6" t="s">
        <v>2612</v>
      </c>
      <c r="D343" s="6" t="s">
        <v>2698</v>
      </c>
      <c r="E343" s="6" t="s">
        <v>2699</v>
      </c>
      <c r="F343" s="6" t="s">
        <v>2700</v>
      </c>
      <c r="G343" s="6" t="s">
        <v>2701</v>
      </c>
      <c r="H343" s="6" t="s">
        <v>2634</v>
      </c>
      <c r="I343" s="6" t="s">
        <v>2702</v>
      </c>
    </row>
    <row r="344" spans="1:9" ht="48" customHeight="1">
      <c r="A344" s="20" t="s">
        <v>2535</v>
      </c>
      <c r="B344" s="6" t="s">
        <v>1663</v>
      </c>
      <c r="C344" s="6" t="s">
        <v>2612</v>
      </c>
      <c r="D344" s="6" t="s">
        <v>2777</v>
      </c>
      <c r="E344" s="6" t="s">
        <v>2778</v>
      </c>
      <c r="F344" s="6" t="s">
        <v>2779</v>
      </c>
      <c r="G344" s="6" t="s">
        <v>2780</v>
      </c>
      <c r="H344" s="6" t="s">
        <v>2781</v>
      </c>
      <c r="I344" s="6" t="s">
        <v>2782</v>
      </c>
    </row>
  </sheetData>
  <mergeCells count="16">
    <mergeCell ref="A1:I1"/>
    <mergeCell ref="A2:I2"/>
    <mergeCell ref="A4:I4"/>
    <mergeCell ref="B5:I5"/>
    <mergeCell ref="B6:I6"/>
    <mergeCell ref="B7:I7"/>
    <mergeCell ref="B8:I8"/>
    <mergeCell ref="B9:I9"/>
    <mergeCell ref="B10:I10"/>
    <mergeCell ref="A12:I12"/>
    <mergeCell ref="B13:I13"/>
    <mergeCell ref="B14:I14"/>
    <mergeCell ref="B15:I15"/>
    <mergeCell ref="B16:I16"/>
    <mergeCell ref="A18:I18"/>
    <mergeCell ref="A38:I38"/>
  </mergeCells>
  <hyperlinks>
    <hyperlink ref="A20" location="'00_Start'!A1" display="00_Start"/>
    <hyperlink ref="A21" location="'00_Ausfüllhilfe'!A1" display="00_Ausfüllhilfe"/>
    <hyperlink ref="A22" location="'01_Dashboard'!A1" display="01_Dashboard"/>
    <hyperlink ref="A23" location="'02_Checkliste'!A1" display="02_Checkliste"/>
    <hyperlink ref="A24" location="'03_Dokumente'!A1" display="03_Dokumente"/>
    <hyperlink ref="A25" location="'04_Risiken'!A1" display="04_Risiken"/>
    <hyperlink ref="A26" location="'05_Maßnahmen'!A1" display="05_Maßnahmen"/>
    <hyperlink ref="A27" location="'06_Q&amp;A'!A1" display="06_Q&amp;A"/>
    <hyperlink ref="A28" location="'07_Finanzanalyse'!A1" display="07_Finanzanalyse"/>
    <hyperlink ref="A29" location="'08_QoE'!A1" display="08_QoE"/>
    <hyperlink ref="A30" location="'09_NWC_NetDebt'!A1" display="09_NWC_NetDebt"/>
    <hyperlink ref="A31" location="'10_Verträge'!A1" display="10_Verträge"/>
    <hyperlink ref="A32" location="'11_IT_Cyber'!A1" display="11_IT_Cyber"/>
    <hyperlink ref="A33" location="'12_HR'!A1" display="12_HR"/>
    <hyperlink ref="A34" location="'13_Steuern'!A1" display="13_Steuern"/>
    <hyperlink ref="A35" location="'14_Deal_Mechanismen'!A1" display="14_Deal_Mechanismen"/>
    <hyperlink ref="A36" location="'15_Quellen'!A1" display="15_Quellen"/>
    <hyperlink ref="A40" location="'00_Start'!A1" display="00_Start"/>
    <hyperlink ref="A41" location="'00_Start'!A1" display="00_Start"/>
    <hyperlink ref="A42" location="'00_Start'!A1" display="00_Start"/>
    <hyperlink ref="A43" location="'00_Start'!A1" display="00_Start"/>
    <hyperlink ref="A44" location="'00_Start'!A1" display="00_Start"/>
    <hyperlink ref="A45" location="'00_Start'!A1" display="00_Start"/>
    <hyperlink ref="A46" location="'00_Start'!A1" display="00_Start"/>
    <hyperlink ref="A47" location="'00_Start'!A1" display="00_Start"/>
    <hyperlink ref="A48" location="'00_Start'!A1" display="00_Start"/>
    <hyperlink ref="A49" location="'02_Checkliste'!A1" display="02_Checkliste"/>
    <hyperlink ref="A50" location="'02_Checkliste'!A1" display="02_Checkliste"/>
    <hyperlink ref="A51" location="'02_Checkliste'!A1" display="02_Checkliste"/>
    <hyperlink ref="A52" location="'02_Checkliste'!A1" display="02_Checkliste"/>
    <hyperlink ref="A53" location="'02_Checkliste'!A1" display="02_Checkliste"/>
    <hyperlink ref="A54" location="'02_Checkliste'!A1" display="02_Checkliste"/>
    <hyperlink ref="A55" location="'02_Checkliste'!A1" display="02_Checkliste"/>
    <hyperlink ref="A56" location="'02_Checkliste'!A1" display="02_Checkliste"/>
    <hyperlink ref="A57" location="'02_Checkliste'!A1" display="02_Checkliste"/>
    <hyperlink ref="A58" location="'02_Checkliste'!A1" display="02_Checkliste"/>
    <hyperlink ref="A59" location="'02_Checkliste'!A1" display="02_Checkliste"/>
    <hyperlink ref="A60" location="'02_Checkliste'!A1" display="02_Checkliste"/>
    <hyperlink ref="A61" location="'02_Checkliste'!A1" display="02_Checkliste"/>
    <hyperlink ref="A62" location="'02_Checkliste'!A1" display="02_Checkliste"/>
    <hyperlink ref="A63" location="'02_Checkliste'!A1" display="02_Checkliste"/>
    <hyperlink ref="A64" location="'02_Checkliste'!A1" display="02_Checkliste"/>
    <hyperlink ref="A65" location="'02_Checkliste'!A1" display="02_Checkliste"/>
    <hyperlink ref="A66" location="'02_Checkliste'!A1" display="02_Checkliste"/>
    <hyperlink ref="A67" location="'02_Checkliste'!A1" display="02_Checkliste"/>
    <hyperlink ref="A68" location="'02_Checkliste'!A1" display="02_Checkliste"/>
    <hyperlink ref="A69" location="'02_Checkliste'!A1" display="02_Checkliste"/>
    <hyperlink ref="A70" location="'02_Checkliste'!A1" display="02_Checkliste"/>
    <hyperlink ref="A71" location="'02_Checkliste'!A1" display="02_Checkliste"/>
    <hyperlink ref="A72" location="'02_Checkliste'!A1" display="02_Checkliste"/>
    <hyperlink ref="A73" location="'02_Checkliste'!A1" display="02_Checkliste"/>
    <hyperlink ref="A74" location="'03_Dokumente'!A1" display="03_Dokumente"/>
    <hyperlink ref="A75" location="'03_Dokumente'!A1" display="03_Dokumente"/>
    <hyperlink ref="A76" location="'03_Dokumente'!A1" display="03_Dokumente"/>
    <hyperlink ref="A77" location="'03_Dokumente'!A1" display="03_Dokumente"/>
    <hyperlink ref="A78" location="'03_Dokumente'!A1" display="03_Dokumente"/>
    <hyperlink ref="A79" location="'03_Dokumente'!A1" display="03_Dokumente"/>
    <hyperlink ref="A80" location="'03_Dokumente'!A1" display="03_Dokumente"/>
    <hyperlink ref="A81" location="'03_Dokumente'!A1" display="03_Dokumente"/>
    <hyperlink ref="A82" location="'03_Dokumente'!A1" display="03_Dokumente"/>
    <hyperlink ref="A83" location="'03_Dokumente'!A1" display="03_Dokumente"/>
    <hyperlink ref="A84" location="'03_Dokumente'!A1" display="03_Dokumente"/>
    <hyperlink ref="A85" location="'03_Dokumente'!A1" display="03_Dokumente"/>
    <hyperlink ref="A86" location="'03_Dokumente'!A1" display="03_Dokumente"/>
    <hyperlink ref="A87" location="'03_Dokumente'!A1" display="03_Dokumente"/>
    <hyperlink ref="A88" location="'03_Dokumente'!A1" display="03_Dokumente"/>
    <hyperlink ref="A89" location="'03_Dokumente'!A1" display="03_Dokumente"/>
    <hyperlink ref="A90" location="'03_Dokumente'!A1" display="03_Dokumente"/>
    <hyperlink ref="A91" location="'03_Dokumente'!A1" display="03_Dokumente"/>
    <hyperlink ref="A92" location="'03_Dokumente'!A1" display="03_Dokumente"/>
    <hyperlink ref="A93" location="'04_Risiken'!A1" display="04_Risiken"/>
    <hyperlink ref="A94" location="'04_Risiken'!A1" display="04_Risiken"/>
    <hyperlink ref="A95" location="'04_Risiken'!A1" display="04_Risiken"/>
    <hyperlink ref="A96" location="'04_Risiken'!A1" display="04_Risiken"/>
    <hyperlink ref="A97" location="'04_Risiken'!A1" display="04_Risiken"/>
    <hyperlink ref="A98" location="'04_Risiken'!A1" display="04_Risiken"/>
    <hyperlink ref="A99" location="'04_Risiken'!A1" display="04_Risiken"/>
    <hyperlink ref="A100" location="'04_Risiken'!A1" display="04_Risiken"/>
    <hyperlink ref="A101" location="'04_Risiken'!A1" display="04_Risiken"/>
    <hyperlink ref="A102" location="'04_Risiken'!A1" display="04_Risiken"/>
    <hyperlink ref="A103" location="'04_Risiken'!A1" display="04_Risiken"/>
    <hyperlink ref="A104" location="'04_Risiken'!A1" display="04_Risiken"/>
    <hyperlink ref="A105" location="'04_Risiken'!A1" display="04_Risiken"/>
    <hyperlink ref="A106" location="'04_Risiken'!A1" display="04_Risiken"/>
    <hyperlink ref="A107" location="'04_Risiken'!A1" display="04_Risiken"/>
    <hyperlink ref="A108" location="'04_Risiken'!A1" display="04_Risiken"/>
    <hyperlink ref="A109" location="'04_Risiken'!A1" display="04_Risiken"/>
    <hyperlink ref="A110" location="'04_Risiken'!A1" display="04_Risiken"/>
    <hyperlink ref="A111" location="'04_Risiken'!A1" display="04_Risiken"/>
    <hyperlink ref="A112" location="'04_Risiken'!A1" display="04_Risiken"/>
    <hyperlink ref="A113" location="'04_Risiken'!A1" display="04_Risiken"/>
    <hyperlink ref="A114" location="'04_Risiken'!A1" display="04_Risiken"/>
    <hyperlink ref="A115" location="'04_Risiken'!A1" display="04_Risiken"/>
    <hyperlink ref="A116" location="'04_Risiken'!A1" display="04_Risiken"/>
    <hyperlink ref="A117" location="'04_Risiken'!A1" display="04_Risiken"/>
    <hyperlink ref="A118" location="'04_Risiken'!A1" display="04_Risiken"/>
    <hyperlink ref="A119" location="'05_Maßnahmen'!A1" display="05_Maßnahmen"/>
    <hyperlink ref="A120" location="'05_Maßnahmen'!A1" display="05_Maßnahmen"/>
    <hyperlink ref="A121" location="'05_Maßnahmen'!A1" display="05_Maßnahmen"/>
    <hyperlink ref="A122" location="'05_Maßnahmen'!A1" display="05_Maßnahmen"/>
    <hyperlink ref="A123" location="'05_Maßnahmen'!A1" display="05_Maßnahmen"/>
    <hyperlink ref="A124" location="'05_Maßnahmen'!A1" display="05_Maßnahmen"/>
    <hyperlink ref="A125" location="'05_Maßnahmen'!A1" display="05_Maßnahmen"/>
    <hyperlink ref="A126" location="'05_Maßnahmen'!A1" display="05_Maßnahmen"/>
    <hyperlink ref="A127" location="'05_Maßnahmen'!A1" display="05_Maßnahmen"/>
    <hyperlink ref="A128" location="'05_Maßnahmen'!A1" display="05_Maßnahmen"/>
    <hyperlink ref="A129" location="'05_Maßnahmen'!A1" display="05_Maßnahmen"/>
    <hyperlink ref="A130" location="'05_Maßnahmen'!A1" display="05_Maßnahmen"/>
    <hyperlink ref="A131" location="'05_Maßnahmen'!A1" display="05_Maßnahmen"/>
    <hyperlink ref="A132" location="'05_Maßnahmen'!A1" display="05_Maßnahmen"/>
    <hyperlink ref="A133" location="'05_Maßnahmen'!A1" display="05_Maßnahmen"/>
    <hyperlink ref="A134" location="'05_Maßnahmen'!A1" display="05_Maßnahmen"/>
    <hyperlink ref="A135" location="'05_Maßnahmen'!A1" display="05_Maßnahmen"/>
    <hyperlink ref="A136" location="'05_Maßnahmen'!A1" display="05_Maßnahmen"/>
    <hyperlink ref="A137" location="'05_Maßnahmen'!A1" display="05_Maßnahmen"/>
    <hyperlink ref="A138" location="'05_Maßnahmen'!A1" display="05_Maßnahmen"/>
    <hyperlink ref="A139" location="'05_Maßnahmen'!A1" display="05_Maßnahmen"/>
    <hyperlink ref="A140" location="'06_Q&amp;A'!A1" display="06_Q&amp;A"/>
    <hyperlink ref="A141" location="'06_Q&amp;A'!A1" display="06_Q&amp;A"/>
    <hyperlink ref="A142" location="'06_Q&amp;A'!A1" display="06_Q&amp;A"/>
    <hyperlink ref="A143" location="'06_Q&amp;A'!A1" display="06_Q&amp;A"/>
    <hyperlink ref="A144" location="'06_Q&amp;A'!A1" display="06_Q&amp;A"/>
    <hyperlink ref="A145" location="'06_Q&amp;A'!A1" display="06_Q&amp;A"/>
    <hyperlink ref="A146" location="'06_Q&amp;A'!A1" display="06_Q&amp;A"/>
    <hyperlink ref="A147" location="'06_Q&amp;A'!A1" display="06_Q&amp;A"/>
    <hyperlink ref="A148" location="'06_Q&amp;A'!A1" display="06_Q&amp;A"/>
    <hyperlink ref="A149" location="'06_Q&amp;A'!A1" display="06_Q&amp;A"/>
    <hyperlink ref="A150" location="'06_Q&amp;A'!A1" display="06_Q&amp;A"/>
    <hyperlink ref="A151" location="'06_Q&amp;A'!A1" display="06_Q&amp;A"/>
    <hyperlink ref="A152" location="'06_Q&amp;A'!A1" display="06_Q&amp;A"/>
    <hyperlink ref="A153" location="'06_Q&amp;A'!A1" display="06_Q&amp;A"/>
    <hyperlink ref="A154" location="'06_Q&amp;A'!A1" display="06_Q&amp;A"/>
    <hyperlink ref="A155" location="'06_Q&amp;A'!A1" display="06_Q&amp;A"/>
    <hyperlink ref="A156" location="'06_Q&amp;A'!A1" display="06_Q&amp;A"/>
    <hyperlink ref="A157" location="'06_Q&amp;A'!A1" display="06_Q&amp;A"/>
    <hyperlink ref="A158" location="'07_Finanzanalyse'!A1" display="07_Finanzanalyse"/>
    <hyperlink ref="A159" location="'07_Finanzanalyse'!A1" display="07_Finanzanalyse"/>
    <hyperlink ref="A160" location="'07_Finanzanalyse'!A1" display="07_Finanzanalyse"/>
    <hyperlink ref="A161" location="'07_Finanzanalyse'!A1" display="07_Finanzanalyse"/>
    <hyperlink ref="A162" location="'07_Finanzanalyse'!A1" display="07_Finanzanalyse"/>
    <hyperlink ref="A163" location="'07_Finanzanalyse'!A1" display="07_Finanzanalyse"/>
    <hyperlink ref="A164" location="'07_Finanzanalyse'!A1" display="07_Finanzanalyse"/>
    <hyperlink ref="A165" location="'07_Finanzanalyse'!A1" display="07_Finanzanalyse"/>
    <hyperlink ref="A166" location="'07_Finanzanalyse'!A1" display="07_Finanzanalyse"/>
    <hyperlink ref="A167" location="'07_Finanzanalyse'!A1" display="07_Finanzanalyse"/>
    <hyperlink ref="A168" location="'07_Finanzanalyse'!A1" display="07_Finanzanalyse"/>
    <hyperlink ref="A169" location="'07_Finanzanalyse'!A1" display="07_Finanzanalyse"/>
    <hyperlink ref="A170" location="'07_Finanzanalyse'!A1" display="07_Finanzanalyse"/>
    <hyperlink ref="A171" location="'07_Finanzanalyse'!A1" display="07_Finanzanalyse"/>
    <hyperlink ref="A172" location="'07_Finanzanalyse'!A1" display="07_Finanzanalyse"/>
    <hyperlink ref="A173" location="'07_Finanzanalyse'!A1" display="07_Finanzanalyse"/>
    <hyperlink ref="A174" location="'07_Finanzanalyse'!A1" display="07_Finanzanalyse"/>
    <hyperlink ref="A175" location="'07_Finanzanalyse'!A1" display="07_Finanzanalyse"/>
    <hyperlink ref="A176" location="'07_Finanzanalyse'!A1" display="07_Finanzanalyse"/>
    <hyperlink ref="A177" location="'07_Finanzanalyse'!A1" display="07_Finanzanalyse"/>
    <hyperlink ref="A178" location="'07_Finanzanalyse'!A1" display="07_Finanzanalyse"/>
    <hyperlink ref="A179" location="'07_Finanzanalyse'!A1" display="07_Finanzanalyse"/>
    <hyperlink ref="A180" location="'07_Finanzanalyse'!A1" display="07_Finanzanalyse"/>
    <hyperlink ref="A181" location="'07_Finanzanalyse'!A1" display="07_Finanzanalyse"/>
    <hyperlink ref="A182" location="'07_Finanzanalyse'!A1" display="07_Finanzanalyse"/>
    <hyperlink ref="A183" location="'07_Finanzanalyse'!A1" display="07_Finanzanalyse"/>
    <hyperlink ref="A184" location="'07_Finanzanalyse'!A1" display="07_Finanzanalyse"/>
    <hyperlink ref="A185" location="'07_Finanzanalyse'!A1" display="07_Finanzanalyse"/>
    <hyperlink ref="A186" location="'07_Finanzanalyse'!A1" display="07_Finanzanalyse"/>
    <hyperlink ref="A187" location="'07_Finanzanalyse'!A1" display="07_Finanzanalyse"/>
    <hyperlink ref="A188" location="'07_Finanzanalyse'!A1" display="07_Finanzanalyse"/>
    <hyperlink ref="A189" location="'07_Finanzanalyse'!A1" display="07_Finanzanalyse"/>
    <hyperlink ref="A190" location="'07_Finanzanalyse'!A1" display="07_Finanzanalyse"/>
    <hyperlink ref="A191" location="'07_Finanzanalyse'!A1" display="07_Finanzanalyse"/>
    <hyperlink ref="A192" location="'07_Finanzanalyse'!A1" display="07_Finanzanalyse"/>
    <hyperlink ref="A193" location="'07_Finanzanalyse'!A1" display="07_Finanzanalyse"/>
    <hyperlink ref="A194" location="'07_Finanzanalyse'!A1" display="07_Finanzanalyse"/>
    <hyperlink ref="A195" location="'07_Finanzanalyse'!A1" display="07_Finanzanalyse"/>
    <hyperlink ref="A196" location="'07_Finanzanalyse'!A1" display="07_Finanzanalyse"/>
    <hyperlink ref="A197" location="'07_Finanzanalyse'!A1" display="07_Finanzanalyse"/>
    <hyperlink ref="A198" location="'07_Finanzanalyse'!A1" display="07_Finanzanalyse"/>
    <hyperlink ref="A199" location="'07_Finanzanalyse'!A1" display="07_Finanzanalyse"/>
    <hyperlink ref="A200" location="'07_Finanzanalyse'!A1" display="07_Finanzanalyse"/>
    <hyperlink ref="A201" location="'07_Finanzanalyse'!A1" display="07_Finanzanalyse"/>
    <hyperlink ref="A202" location="'07_Finanzanalyse'!A1" display="07_Finanzanalyse"/>
    <hyperlink ref="A203" location="'07_Finanzanalyse'!A1" display="07_Finanzanalyse"/>
    <hyperlink ref="A204" location="'07_Finanzanalyse'!A1" display="07_Finanzanalyse"/>
    <hyperlink ref="A205" location="'08_QoE'!A1" display="08_QoE"/>
    <hyperlink ref="A206" location="'08_QoE'!A1" display="08_QoE"/>
    <hyperlink ref="A207" location="'08_QoE'!A1" display="08_QoE"/>
    <hyperlink ref="A208" location="'08_QoE'!A1" display="08_QoE"/>
    <hyperlink ref="A209" location="'08_QoE'!A1" display="08_QoE"/>
    <hyperlink ref="A210" location="'08_QoE'!A1" display="08_QoE"/>
    <hyperlink ref="A211" location="'08_QoE'!A1" display="08_QoE"/>
    <hyperlink ref="A212" location="'08_QoE'!A1" display="08_QoE"/>
    <hyperlink ref="A213" location="'08_QoE'!A1" display="08_QoE"/>
    <hyperlink ref="A214" location="'08_QoE'!A1" display="08_QoE"/>
    <hyperlink ref="A215" location="'08_QoE'!A1" display="08_QoE"/>
    <hyperlink ref="A216" location="'08_QoE'!A1" display="08_QoE"/>
    <hyperlink ref="A217" location="'08_QoE'!A1" display="08_QoE"/>
    <hyperlink ref="A218" location="'08_QoE'!A1" display="08_QoE"/>
    <hyperlink ref="A219" location="'08_QoE'!A1" display="08_QoE"/>
    <hyperlink ref="A220" location="'08_QoE'!A1" display="08_QoE"/>
    <hyperlink ref="A221" location="'08_QoE'!A1" display="08_QoE"/>
    <hyperlink ref="A222" location="'09_NWC_NetDebt'!A1" display="09_NWC_NetDebt"/>
    <hyperlink ref="A223" location="'09_NWC_NetDebt'!A1" display="09_NWC_NetDebt"/>
    <hyperlink ref="A224" location="'09_NWC_NetDebt'!A1" display="09_NWC_NetDebt"/>
    <hyperlink ref="A225" location="'09_NWC_NetDebt'!A1" display="09_NWC_NetDebt"/>
    <hyperlink ref="A226" location="'09_NWC_NetDebt'!A1" display="09_NWC_NetDebt"/>
    <hyperlink ref="A227" location="'09_NWC_NetDebt'!A1" display="09_NWC_NetDebt"/>
    <hyperlink ref="A228" location="'09_NWC_NetDebt'!A1" display="09_NWC_NetDebt"/>
    <hyperlink ref="A229" location="'09_NWC_NetDebt'!A1" display="09_NWC_NetDebt"/>
    <hyperlink ref="A230" location="'09_NWC_NetDebt'!A1" display="09_NWC_NetDebt"/>
    <hyperlink ref="A231" location="'09_NWC_NetDebt'!A1" display="09_NWC_NetDebt"/>
    <hyperlink ref="A232" location="'09_NWC_NetDebt'!A1" display="09_NWC_NetDebt"/>
    <hyperlink ref="A233" location="'09_NWC_NetDebt'!A1" display="09_NWC_NetDebt"/>
    <hyperlink ref="A234" location="'09_NWC_NetDebt'!A1" display="09_NWC_NetDebt"/>
    <hyperlink ref="A235" location="'09_NWC_NetDebt'!A1" display="09_NWC_NetDebt"/>
    <hyperlink ref="A236" location="'09_NWC_NetDebt'!A1" display="09_NWC_NetDebt"/>
    <hyperlink ref="A237" location="'09_NWC_NetDebt'!A1" display="09_NWC_NetDebt"/>
    <hyperlink ref="A238" location="'09_NWC_NetDebt'!A1" display="09_NWC_NetDebt"/>
    <hyperlink ref="A239" location="'09_NWC_NetDebt'!A1" display="09_NWC_NetDebt"/>
    <hyperlink ref="A240" location="'09_NWC_NetDebt'!A1" display="09_NWC_NetDebt"/>
    <hyperlink ref="A241" location="'09_NWC_NetDebt'!A1" display="09_NWC_NetDebt"/>
    <hyperlink ref="A242" location="'09_NWC_NetDebt'!A1" display="09_NWC_NetDebt"/>
    <hyperlink ref="A243" location="'09_NWC_NetDebt'!A1" display="09_NWC_NetDebt"/>
    <hyperlink ref="A244" location="'09_NWC_NetDebt'!A1" display="09_NWC_NetDebt"/>
    <hyperlink ref="A245" location="'09_NWC_NetDebt'!A1" display="09_NWC_NetDebt"/>
    <hyperlink ref="A246" location="'09_NWC_NetDebt'!A1" display="09_NWC_NetDebt"/>
    <hyperlink ref="A247" location="'09_NWC_NetDebt'!A1" display="09_NWC_NetDebt"/>
    <hyperlink ref="A248" location="'09_NWC_NetDebt'!A1" display="09_NWC_NetDebt"/>
    <hyperlink ref="A249" location="'09_NWC_NetDebt'!A1" display="09_NWC_NetDebt"/>
    <hyperlink ref="A250" location="'09_NWC_NetDebt'!A1" display="09_NWC_NetDebt"/>
    <hyperlink ref="A251" location="'09_NWC_NetDebt'!A1" display="09_NWC_NetDebt"/>
    <hyperlink ref="A252" location="'10_Verträge'!A1" display="10_Verträge"/>
    <hyperlink ref="A253" location="'10_Verträge'!A1" display="10_Verträge"/>
    <hyperlink ref="A254" location="'10_Verträge'!A1" display="10_Verträge"/>
    <hyperlink ref="A255" location="'10_Verträge'!A1" display="10_Verträge"/>
    <hyperlink ref="A256" location="'10_Verträge'!A1" display="10_Verträge"/>
    <hyperlink ref="A257" location="'10_Verträge'!A1" display="10_Verträge"/>
    <hyperlink ref="A258" location="'10_Verträge'!A1" display="10_Verträge"/>
    <hyperlink ref="A259" location="'10_Verträge'!A1" display="10_Verträge"/>
    <hyperlink ref="A260" location="'10_Verträge'!A1" display="10_Verträge"/>
    <hyperlink ref="A261" location="'10_Verträge'!A1" display="10_Verträge"/>
    <hyperlink ref="A262" location="'10_Verträge'!A1" display="10_Verträge"/>
    <hyperlink ref="A263" location="'10_Verträge'!A1" display="10_Verträge"/>
    <hyperlink ref="A264" location="'10_Verträge'!A1" display="10_Verträge"/>
    <hyperlink ref="A265" location="'10_Verträge'!A1" display="10_Verträge"/>
    <hyperlink ref="A266" location="'10_Verträge'!A1" display="10_Verträge"/>
    <hyperlink ref="A267" location="'10_Verträge'!A1" display="10_Verträge"/>
    <hyperlink ref="A268" location="'10_Verträge'!A1" display="10_Verträge"/>
    <hyperlink ref="A269" location="'10_Verträge'!A1" display="10_Verträge"/>
    <hyperlink ref="A270" location="'10_Verträge'!A1" display="10_Verträge"/>
    <hyperlink ref="A271" location="'10_Verträge'!A1" display="10_Verträge"/>
    <hyperlink ref="A272" location="'10_Verträge'!A1" display="10_Verträge"/>
    <hyperlink ref="A273" location="'10_Verträge'!A1" display="10_Verträge"/>
    <hyperlink ref="A274" location="'10_Verträge'!A1" display="10_Verträge"/>
    <hyperlink ref="A275" location="'10_Verträge'!A1" display="10_Verträge"/>
    <hyperlink ref="A276" location="'10_Verträge'!A1" display="10_Verträge"/>
    <hyperlink ref="A277" location="'10_Verträge'!A1" display="10_Verträge"/>
    <hyperlink ref="A278" location="'10_Verträge'!A1" display="10_Verträge"/>
    <hyperlink ref="A279" location="'10_Verträge'!A1" display="10_Verträge"/>
    <hyperlink ref="A280" location="'11_IT_Cyber'!A1" display="11_IT_Cyber"/>
    <hyperlink ref="A281" location="'11_IT_Cyber'!A1" display="11_IT_Cyber"/>
    <hyperlink ref="A282" location="'11_IT_Cyber'!A1" display="11_IT_Cyber"/>
    <hyperlink ref="A283" location="'11_IT_Cyber'!A1" display="11_IT_Cyber"/>
    <hyperlink ref="A284" location="'11_IT_Cyber'!A1" display="11_IT_Cyber"/>
    <hyperlink ref="A285" location="'11_IT_Cyber'!A1" display="11_IT_Cyber"/>
    <hyperlink ref="A286" location="'11_IT_Cyber'!A1" display="11_IT_Cyber"/>
    <hyperlink ref="A287" location="'11_IT_Cyber'!A1" display="11_IT_Cyber"/>
    <hyperlink ref="A288" location="'11_IT_Cyber'!A1" display="11_IT_Cyber"/>
    <hyperlink ref="A289" location="'11_IT_Cyber'!A1" display="11_IT_Cyber"/>
    <hyperlink ref="A290" location="'11_IT_Cyber'!A1" display="11_IT_Cyber"/>
    <hyperlink ref="A291" location="'11_IT_Cyber'!A1" display="11_IT_Cyber"/>
    <hyperlink ref="A292" location="'11_IT_Cyber'!A1" display="11_IT_Cyber"/>
    <hyperlink ref="A293" location="'12_HR'!A1" display="12_HR"/>
    <hyperlink ref="A294" location="'12_HR'!A1" display="12_HR"/>
    <hyperlink ref="A295" location="'12_HR'!A1" display="12_HR"/>
    <hyperlink ref="A296" location="'12_HR'!A1" display="12_HR"/>
    <hyperlink ref="A297" location="'12_HR'!A1" display="12_HR"/>
    <hyperlink ref="A298" location="'12_HR'!A1" display="12_HR"/>
    <hyperlink ref="A299" location="'12_HR'!A1" display="12_HR"/>
    <hyperlink ref="A300" location="'12_HR'!A1" display="12_HR"/>
    <hyperlink ref="A301" location="'12_HR'!A1" display="12_HR"/>
    <hyperlink ref="A302" location="'12_HR'!A1" display="12_HR"/>
    <hyperlink ref="A303" location="'12_HR'!A1" display="12_HR"/>
    <hyperlink ref="A304" location="'12_HR'!A1" display="12_HR"/>
    <hyperlink ref="A305" location="'12_HR'!A1" display="12_HR"/>
    <hyperlink ref="A306" location="'13_Steuern'!A1" display="13_Steuern"/>
    <hyperlink ref="A307" location="'13_Steuern'!A1" display="13_Steuern"/>
    <hyperlink ref="A308" location="'13_Steuern'!A1" display="13_Steuern"/>
    <hyperlink ref="A309" location="'13_Steuern'!A1" display="13_Steuern"/>
    <hyperlink ref="A310" location="'13_Steuern'!A1" display="13_Steuern"/>
    <hyperlink ref="A311" location="'13_Steuern'!A1" display="13_Steuern"/>
    <hyperlink ref="A312" location="'13_Steuern'!A1" display="13_Steuern"/>
    <hyperlink ref="A313" location="'13_Steuern'!A1" display="13_Steuern"/>
    <hyperlink ref="A314" location="'13_Steuern'!A1" display="13_Steuern"/>
    <hyperlink ref="A315" location="'13_Steuern'!A1" display="13_Steuern"/>
    <hyperlink ref="A316" location="'13_Steuern'!A1" display="13_Steuern"/>
    <hyperlink ref="A317" location="'13_Steuern'!A1" display="13_Steuern"/>
    <hyperlink ref="A318" location="'13_Steuern'!A1" display="13_Steuern"/>
    <hyperlink ref="A319" location="'14_Deal_Mechanismen'!A1" display="14_Deal_Mechanismen"/>
    <hyperlink ref="A320" location="'14_Deal_Mechanismen'!A1" display="14_Deal_Mechanismen"/>
    <hyperlink ref="A321" location="'14_Deal_Mechanismen'!A1" display="14_Deal_Mechanismen"/>
    <hyperlink ref="A322" location="'14_Deal_Mechanismen'!A1" display="14_Deal_Mechanismen"/>
    <hyperlink ref="A323" location="'14_Deal_Mechanismen'!A1" display="14_Deal_Mechanismen"/>
    <hyperlink ref="A324" location="'14_Deal_Mechanismen'!A1" display="14_Deal_Mechanismen"/>
    <hyperlink ref="A325" location="'14_Deal_Mechanismen'!A1" display="14_Deal_Mechanismen"/>
    <hyperlink ref="A326" location="'14_Deal_Mechanismen'!A1" display="14_Deal_Mechanismen"/>
    <hyperlink ref="A327" location="'15_Quellen'!A1" display="15_Quellen"/>
    <hyperlink ref="A328" location="'15_Quellen'!A1" display="15_Quellen"/>
    <hyperlink ref="A329" location="'15_Quellen'!A1" display="15_Quellen"/>
    <hyperlink ref="A330" location="'15_Quellen'!A1" display="15_Quellen"/>
    <hyperlink ref="A331" location="'15_Quellen'!A1" display="15_Quellen"/>
    <hyperlink ref="A332" location="'15_Quellen'!A1" display="15_Quellen"/>
    <hyperlink ref="A333" location="'15_Quellen'!A1" display="15_Quellen"/>
    <hyperlink ref="A334" location="'01_Dashboard'!A1" display="01_Dashboard"/>
    <hyperlink ref="A335" location="'01_Dashboard'!A1" display="01_Dashboard"/>
    <hyperlink ref="A336" location="'01_Dashboard'!A1" display="01_Dashboard"/>
    <hyperlink ref="A337" location="'01_Dashboard'!A1" display="01_Dashboard"/>
    <hyperlink ref="A338" location="'01_Dashboard'!A1" display="01_Dashboard"/>
    <hyperlink ref="A339" location="'01_Dashboard'!A1" display="01_Dashboard"/>
    <hyperlink ref="A340" location="'01_Dashboard'!A1" display="01_Dashboard"/>
    <hyperlink ref="A341" location="'01_Dashboard'!A1" display="01_Dashboard"/>
    <hyperlink ref="A342" location="'01_Dashboard'!A1" display="01_Dashboard"/>
    <hyperlink ref="A343" location="'01_Dashboard'!A1" display="01_Dashboard"/>
    <hyperlink ref="A344" location="'01_Dashboard'!A1" display="01_Dashboard"/>
  </hyperlink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F4E78"/>
  </sheetPr>
  <dimension ref="A1:N41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8.7109375" customWidth="1"/>
    <col min="2" max="14" width="14.7109375" customWidth="1"/>
  </cols>
  <sheetData>
    <row r="1" spans="1:14" ht="30" customHeight="1">
      <c r="A1" s="1" t="s">
        <v>2470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4" customHeight="1">
      <c r="A2" s="2" t="s">
        <v>2471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4" t="s">
        <v>90</v>
      </c>
      <c r="B3" s="21">
        <f>Zielunternehmen</f>
        <v/>
      </c>
      <c r="C3" s="21"/>
      <c r="D3" s="21"/>
      <c r="E3" s="4" t="s">
        <v>2472</v>
      </c>
      <c r="F3" s="21" t="str">
        <f>Transaktionstyp_Auswahl</f>
        <v>Share Deal</v>
      </c>
      <c r="G3" s="21"/>
      <c r="H3" s="21"/>
      <c r="I3" s="4" t="s">
        <v>2473</v>
      </c>
      <c r="J3" s="21">
        <f>DD_Stichtag</f>
        <v/>
      </c>
      <c r="K3" s="21"/>
      <c r="L3" s="4" t="s">
        <v>2474</v>
      </c>
      <c r="M3" s="22">
        <v>156</v>
      </c>
      <c r="N3" s="22"/>
    </row>
    <row r="5" spans="1:14">
      <c r="A5" s="23" t="s">
        <v>2475</v>
      </c>
      <c r="B5" s="23"/>
      <c r="E5" s="23" t="s">
        <v>5</v>
      </c>
      <c r="F5" s="23"/>
      <c r="I5" s="23" t="s">
        <v>1858</v>
      </c>
      <c r="J5" s="23"/>
      <c r="M5" s="23" t="s">
        <v>2476</v>
      </c>
      <c r="N5" s="23"/>
    </row>
    <row r="6" spans="1:14" ht="24" customHeight="1">
      <c r="A6" s="24">
        <f>COUNTA('02_Checkliste'!$A$5:$A$1000)</f>
        <v>156</v>
      </c>
      <c r="B6" s="24"/>
      <c r="E6" s="24">
        <f>COUNTIF('02_Checkliste'!$J$5:$J$1000,"Abgeschlossen")</f>
        <v>0</v>
      </c>
      <c r="F6" s="24"/>
      <c r="I6" s="25">
        <f>IFERROR(COUNTIF('02_Checkliste'!$J$5:$J$1000,"Abgeschlossen")/COUNTA('02_Checkliste'!$A$5:$A$1000),0)</f>
        <v>0</v>
      </c>
      <c r="J6" s="25"/>
      <c r="M6" s="24">
        <f>COUNTIFS('02_Checkliste'!$A$5:$A$1000,"&lt;&gt;",'02_Checkliste'!$P$5:$P$1000,"")</f>
        <v>156</v>
      </c>
      <c r="N6" s="24"/>
    </row>
    <row r="7" spans="1:14" ht="24" customHeight="1">
      <c r="A7" s="24"/>
      <c r="B7" s="24"/>
      <c r="E7" s="24"/>
      <c r="F7" s="24"/>
      <c r="I7" s="25"/>
      <c r="J7" s="25"/>
      <c r="M7" s="24"/>
      <c r="N7" s="24"/>
    </row>
    <row r="9" spans="1:14">
      <c r="A9" s="23" t="s">
        <v>2477</v>
      </c>
      <c r="B9" s="23"/>
      <c r="E9" s="23" t="s">
        <v>2478</v>
      </c>
      <c r="F9" s="23"/>
      <c r="I9" s="23" t="s">
        <v>2479</v>
      </c>
      <c r="J9" s="23"/>
      <c r="M9" s="23" t="s">
        <v>2480</v>
      </c>
      <c r="N9" s="23"/>
    </row>
    <row r="10" spans="1:14" ht="24" customHeight="1">
      <c r="A10" s="24">
        <f>COUNTIF('02_Checkliste'!$P$5:$P$1000,"Hoch")+COUNTIF('02_Checkliste'!$P$5:$P$1000,"Kritisch")</f>
        <v>0</v>
      </c>
      <c r="B10" s="24"/>
      <c r="E10" s="24">
        <f>COUNTIFS('03_Dokumente'!$F$5:$F$1000,"Kritisch",'03_Dokumente'!$L$5:$L$1000,"&lt;&gt;Vollständig")</f>
        <v>89</v>
      </c>
      <c r="F10" s="24"/>
      <c r="I10" s="24">
        <f>COUNTIFS('05_Maßnahmen'!$L$5:$L$500,"&lt;"&amp;TODAY(),'05_Maßnahmen'!$L$5:$L$500,"&lt;&gt;",'05_Maßnahmen'!$M$5:$M$500,"&lt;&gt;Erledigt")</f>
        <v>0</v>
      </c>
      <c r="J10" s="24"/>
      <c r="M10" s="26">
        <f>SUM('04_Risiken'!$M$5:$M$500)</f>
        <v>0</v>
      </c>
      <c r="N10" s="26"/>
    </row>
    <row r="11" spans="1:14" ht="24" customHeight="1">
      <c r="A11" s="24"/>
      <c r="B11" s="24"/>
      <c r="E11" s="24"/>
      <c r="F11" s="24"/>
      <c r="I11" s="24"/>
      <c r="J11" s="24"/>
      <c r="M11" s="26"/>
      <c r="N11" s="26"/>
    </row>
    <row r="13" spans="1:14">
      <c r="A13" s="3" t="s">
        <v>2481</v>
      </c>
      <c r="B13" s="3"/>
      <c r="C13" s="3"/>
      <c r="D13" s="3"/>
      <c r="E13" s="3"/>
      <c r="F13" s="3"/>
    </row>
    <row r="14" spans="1:14" ht="42" customHeight="1">
      <c r="A14" t="s">
        <v>1371</v>
      </c>
      <c r="B14" t="s">
        <v>2482</v>
      </c>
      <c r="C14" t="s">
        <v>5</v>
      </c>
      <c r="D14" t="s">
        <v>1858</v>
      </c>
      <c r="E14" t="s">
        <v>2483</v>
      </c>
      <c r="F14" t="s">
        <v>2484</v>
      </c>
    </row>
    <row r="15" spans="1:14">
      <c r="A15" s="6" t="s">
        <v>150</v>
      </c>
      <c r="B15" s="22">
        <f>COUNTIF('02_Checkliste'!$B$5:$B$1000,"Transaktion &amp; Scope")</f>
        <v>8</v>
      </c>
      <c r="C15" s="22">
        <f>COUNTIFS('02_Checkliste'!$B$5:$B$1000,"Transaktion &amp; Scope",'02_Checkliste'!$J$5:$J$1000,"Abgeschlossen")</f>
        <v>0</v>
      </c>
      <c r="D15" s="27">
        <f>IFERROR(C15/B15,0)</f>
        <v>0</v>
      </c>
      <c r="E15" s="22">
        <f>COUNTIFS('02_Checkliste'!$B$5:$B$1000,"Transaktion &amp; Scope",'02_Checkliste'!$P$5:$P$1000,"")</f>
        <v>8</v>
      </c>
      <c r="F15" s="22">
        <f>COUNTIFS('02_Checkliste'!$B$5:$B$1000,"Transaktion &amp; Scope",'02_Checkliste'!$P$5:$P$1000,"Hoch")+COUNTIFS('02_Checkliste'!$B$5:$B$1000,"Transaktion &amp; Scope",'02_Checkliste'!$P$5:$P$1000,"Kritisch")</f>
        <v>0</v>
      </c>
    </row>
    <row r="16" spans="1:14">
      <c r="A16" s="6" t="s">
        <v>219</v>
      </c>
      <c r="B16" s="22">
        <f>COUNTIF('02_Checkliste'!$B$5:$B$1000,"Corporate &amp; Governance")</f>
        <v>9</v>
      </c>
      <c r="C16" s="22">
        <f>COUNTIFS('02_Checkliste'!$B$5:$B$1000,"Corporate &amp; Governance",'02_Checkliste'!$J$5:$J$1000,"Abgeschlossen")</f>
        <v>0</v>
      </c>
      <c r="D16" s="27">
        <f>IFERROR(C16/B16,0)</f>
        <v>0</v>
      </c>
      <c r="E16" s="22">
        <f>COUNTIFS('02_Checkliste'!$B$5:$B$1000,"Corporate &amp; Governance",'02_Checkliste'!$P$5:$P$1000,"")</f>
        <v>9</v>
      </c>
      <c r="F16" s="22">
        <f>COUNTIFS('02_Checkliste'!$B$5:$B$1000,"Corporate &amp; Governance",'02_Checkliste'!$P$5:$P$1000,"Hoch")+COUNTIFS('02_Checkliste'!$B$5:$B$1000,"Corporate &amp; Governance",'02_Checkliste'!$P$5:$P$1000,"Kritisch")</f>
        <v>0</v>
      </c>
    </row>
    <row r="17" spans="1:6">
      <c r="A17" s="6" t="s">
        <v>292</v>
      </c>
      <c r="B17" s="22">
        <f>COUNTIF('02_Checkliste'!$B$5:$B$1000,"Financial")</f>
        <v>16</v>
      </c>
      <c r="C17" s="22">
        <f>COUNTIFS('02_Checkliste'!$B$5:$B$1000,"Financial",'02_Checkliste'!$J$5:$J$1000,"Abgeschlossen")</f>
        <v>0</v>
      </c>
      <c r="D17" s="27">
        <f>IFERROR(C17/B17,0)</f>
        <v>0</v>
      </c>
      <c r="E17" s="22">
        <f>COUNTIFS('02_Checkliste'!$B$5:$B$1000,"Financial",'02_Checkliste'!$P$5:$P$1000,"")</f>
        <v>16</v>
      </c>
      <c r="F17" s="22">
        <f>COUNTIFS('02_Checkliste'!$B$5:$B$1000,"Financial",'02_Checkliste'!$P$5:$P$1000,"Hoch")+COUNTIFS('02_Checkliste'!$B$5:$B$1000,"Financial",'02_Checkliste'!$P$5:$P$1000,"Kritisch")</f>
        <v>0</v>
      </c>
    </row>
    <row r="18" spans="1:6">
      <c r="A18" s="6" t="s">
        <v>421</v>
      </c>
      <c r="B18" s="22">
        <f>COUNTIF('02_Checkliste'!$B$5:$B$1000,"Commercial")</f>
        <v>10</v>
      </c>
      <c r="C18" s="22">
        <f>COUNTIFS('02_Checkliste'!$B$5:$B$1000,"Commercial",'02_Checkliste'!$J$5:$J$1000,"Abgeschlossen")</f>
        <v>0</v>
      </c>
      <c r="D18" s="27">
        <f>IFERROR(C18/B18,0)</f>
        <v>0</v>
      </c>
      <c r="E18" s="22">
        <f>COUNTIFS('02_Checkliste'!$B$5:$B$1000,"Commercial",'02_Checkliste'!$P$5:$P$1000,"")</f>
        <v>10</v>
      </c>
      <c r="F18" s="22">
        <f>COUNTIFS('02_Checkliste'!$B$5:$B$1000,"Commercial",'02_Checkliste'!$P$5:$P$1000,"Hoch")+COUNTIFS('02_Checkliste'!$B$5:$B$1000,"Commercial",'02_Checkliste'!$P$5:$P$1000,"Kritisch")</f>
        <v>0</v>
      </c>
    </row>
    <row r="19" spans="1:6">
      <c r="A19" s="6" t="s">
        <v>499</v>
      </c>
      <c r="B19" s="22">
        <f>COUNTIF('02_Checkliste'!$B$5:$B$1000,"Tax")</f>
        <v>11</v>
      </c>
      <c r="C19" s="22">
        <f>COUNTIFS('02_Checkliste'!$B$5:$B$1000,"Tax",'02_Checkliste'!$J$5:$J$1000,"Abgeschlossen")</f>
        <v>0</v>
      </c>
      <c r="D19" s="27">
        <f>IFERROR(C19/B19,0)</f>
        <v>0</v>
      </c>
      <c r="E19" s="22">
        <f>COUNTIFS('02_Checkliste'!$B$5:$B$1000,"Tax",'02_Checkliste'!$P$5:$P$1000,"")</f>
        <v>11</v>
      </c>
      <c r="F19" s="22">
        <f>COUNTIFS('02_Checkliste'!$B$5:$B$1000,"Tax",'02_Checkliste'!$P$5:$P$1000,"Hoch")+COUNTIFS('02_Checkliste'!$B$5:$B$1000,"Tax",'02_Checkliste'!$P$5:$P$1000,"Kritisch")</f>
        <v>0</v>
      </c>
    </row>
    <row r="20" spans="1:6">
      <c r="A20" s="6" t="s">
        <v>585</v>
      </c>
      <c r="B20" s="22">
        <f>COUNTIF('02_Checkliste'!$B$5:$B$1000,"Legal")</f>
        <v>13</v>
      </c>
      <c r="C20" s="22">
        <f>COUNTIFS('02_Checkliste'!$B$5:$B$1000,"Legal",'02_Checkliste'!$J$5:$J$1000,"Abgeschlossen")</f>
        <v>0</v>
      </c>
      <c r="D20" s="27">
        <f>IFERROR(C20/B20,0)</f>
        <v>0</v>
      </c>
      <c r="E20" s="22">
        <f>COUNTIFS('02_Checkliste'!$B$5:$B$1000,"Legal",'02_Checkliste'!$P$5:$P$1000,"")</f>
        <v>13</v>
      </c>
      <c r="F20" s="22">
        <f>COUNTIFS('02_Checkliste'!$B$5:$B$1000,"Legal",'02_Checkliste'!$P$5:$P$1000,"Hoch")+COUNTIFS('02_Checkliste'!$B$5:$B$1000,"Legal",'02_Checkliste'!$P$5:$P$1000,"Kritisch")</f>
        <v>0</v>
      </c>
    </row>
    <row r="21" spans="1:6">
      <c r="A21" s="6" t="s">
        <v>688</v>
      </c>
      <c r="B21" s="22">
        <f>COUNTIF('02_Checkliste'!$B$5:$B$1000,"Operations")</f>
        <v>9</v>
      </c>
      <c r="C21" s="22">
        <f>COUNTIFS('02_Checkliste'!$B$5:$B$1000,"Operations",'02_Checkliste'!$J$5:$J$1000,"Abgeschlossen")</f>
        <v>0</v>
      </c>
      <c r="D21" s="27">
        <f>IFERROR(C21/B21,0)</f>
        <v>0</v>
      </c>
      <c r="E21" s="22">
        <f>COUNTIFS('02_Checkliste'!$B$5:$B$1000,"Operations",'02_Checkliste'!$P$5:$P$1000,"")</f>
        <v>9</v>
      </c>
      <c r="F21" s="22">
        <f>COUNTIFS('02_Checkliste'!$B$5:$B$1000,"Operations",'02_Checkliste'!$P$5:$P$1000,"Hoch")+COUNTIFS('02_Checkliste'!$B$5:$B$1000,"Operations",'02_Checkliste'!$P$5:$P$1000,"Kritisch")</f>
        <v>0</v>
      </c>
    </row>
    <row r="22" spans="1:6">
      <c r="A22" s="6" t="s">
        <v>754</v>
      </c>
      <c r="B22" s="22">
        <f>COUNTIF('02_Checkliste'!$B$5:$B$1000,"Supply Chain")</f>
        <v>7</v>
      </c>
      <c r="C22" s="22">
        <f>COUNTIFS('02_Checkliste'!$B$5:$B$1000,"Supply Chain",'02_Checkliste'!$J$5:$J$1000,"Abgeschlossen")</f>
        <v>0</v>
      </c>
      <c r="D22" s="27">
        <f>IFERROR(C22/B22,0)</f>
        <v>0</v>
      </c>
      <c r="E22" s="22">
        <f>COUNTIFS('02_Checkliste'!$B$5:$B$1000,"Supply Chain",'02_Checkliste'!$P$5:$P$1000,"")</f>
        <v>7</v>
      </c>
      <c r="F22" s="22">
        <f>COUNTIFS('02_Checkliste'!$B$5:$B$1000,"Supply Chain",'02_Checkliste'!$P$5:$P$1000,"Hoch")+COUNTIFS('02_Checkliste'!$B$5:$B$1000,"Supply Chain",'02_Checkliste'!$P$5:$P$1000,"Kritisch")</f>
        <v>0</v>
      </c>
    </row>
    <row r="23" spans="1:6">
      <c r="A23" s="6" t="s">
        <v>807</v>
      </c>
      <c r="B23" s="22">
        <f>COUNTIF('02_Checkliste'!$B$5:$B$1000,"IT &amp; Cyber")</f>
        <v>12</v>
      </c>
      <c r="C23" s="22">
        <f>COUNTIFS('02_Checkliste'!$B$5:$B$1000,"IT &amp; Cyber",'02_Checkliste'!$J$5:$J$1000,"Abgeschlossen")</f>
        <v>0</v>
      </c>
      <c r="D23" s="27">
        <f>IFERROR(C23/B23,0)</f>
        <v>0</v>
      </c>
      <c r="E23" s="22">
        <f>COUNTIFS('02_Checkliste'!$B$5:$B$1000,"IT &amp; Cyber",'02_Checkliste'!$P$5:$P$1000,"")</f>
        <v>12</v>
      </c>
      <c r="F23" s="22">
        <f>COUNTIFS('02_Checkliste'!$B$5:$B$1000,"IT &amp; Cyber",'02_Checkliste'!$P$5:$P$1000,"Hoch")+COUNTIFS('02_Checkliste'!$B$5:$B$1000,"IT &amp; Cyber",'02_Checkliste'!$P$5:$P$1000,"Kritisch")</f>
        <v>0</v>
      </c>
    </row>
    <row r="24" spans="1:6">
      <c r="A24" s="6" t="s">
        <v>901</v>
      </c>
      <c r="B24" s="22">
        <f>COUNTIF('02_Checkliste'!$B$5:$B$1000,"Datenschutz")</f>
        <v>7</v>
      </c>
      <c r="C24" s="22">
        <f>COUNTIFS('02_Checkliste'!$B$5:$B$1000,"Datenschutz",'02_Checkliste'!$J$5:$J$1000,"Abgeschlossen")</f>
        <v>0</v>
      </c>
      <c r="D24" s="27">
        <f>IFERROR(C24/B24,0)</f>
        <v>0</v>
      </c>
      <c r="E24" s="22">
        <f>COUNTIFS('02_Checkliste'!$B$5:$B$1000,"Datenschutz",'02_Checkliste'!$P$5:$P$1000,"")</f>
        <v>7</v>
      </c>
      <c r="F24" s="22">
        <f>COUNTIFS('02_Checkliste'!$B$5:$B$1000,"Datenschutz",'02_Checkliste'!$P$5:$P$1000,"Hoch")+COUNTIFS('02_Checkliste'!$B$5:$B$1000,"Datenschutz",'02_Checkliste'!$P$5:$P$1000,"Kritisch")</f>
        <v>0</v>
      </c>
    </row>
    <row r="25" spans="1:6">
      <c r="A25" s="6" t="s">
        <v>955</v>
      </c>
      <c r="B25" s="22">
        <f>COUNTIF('02_Checkliste'!$B$5:$B$1000,"HR &amp; Pensions")</f>
        <v>10</v>
      </c>
      <c r="C25" s="22">
        <f>COUNTIFS('02_Checkliste'!$B$5:$B$1000,"HR &amp; Pensions",'02_Checkliste'!$J$5:$J$1000,"Abgeschlossen")</f>
        <v>0</v>
      </c>
      <c r="D25" s="27">
        <f>IFERROR(C25/B25,0)</f>
        <v>0</v>
      </c>
      <c r="E25" s="22">
        <f>COUNTIFS('02_Checkliste'!$B$5:$B$1000,"HR &amp; Pensions",'02_Checkliste'!$P$5:$P$1000,"")</f>
        <v>10</v>
      </c>
      <c r="F25" s="22">
        <f>COUNTIFS('02_Checkliste'!$B$5:$B$1000,"HR &amp; Pensions",'02_Checkliste'!$P$5:$P$1000,"Hoch")+COUNTIFS('02_Checkliste'!$B$5:$B$1000,"HR &amp; Pensions",'02_Checkliste'!$P$5:$P$1000,"Kritisch")</f>
        <v>0</v>
      </c>
    </row>
    <row r="26" spans="1:6">
      <c r="A26" s="6" t="s">
        <v>1031</v>
      </c>
      <c r="B26" s="22">
        <f>COUNTIF('02_Checkliste'!$B$5:$B$1000,"Intellectual Property")</f>
        <v>7</v>
      </c>
      <c r="C26" s="22">
        <f>COUNTIFS('02_Checkliste'!$B$5:$B$1000,"Intellectual Property",'02_Checkliste'!$J$5:$J$1000,"Abgeschlossen")</f>
        <v>0</v>
      </c>
      <c r="D26" s="27">
        <f>IFERROR(C26/B26,0)</f>
        <v>0</v>
      </c>
      <c r="E26" s="22">
        <f>COUNTIFS('02_Checkliste'!$B$5:$B$1000,"Intellectual Property",'02_Checkliste'!$P$5:$P$1000,"")</f>
        <v>7</v>
      </c>
      <c r="F26" s="22">
        <f>COUNTIFS('02_Checkliste'!$B$5:$B$1000,"Intellectual Property",'02_Checkliste'!$P$5:$P$1000,"Hoch")+COUNTIFS('02_Checkliste'!$B$5:$B$1000,"Intellectual Property",'02_Checkliste'!$P$5:$P$1000,"Kritisch")</f>
        <v>0</v>
      </c>
    </row>
    <row r="27" spans="1:6">
      <c r="A27" s="6" t="s">
        <v>1086</v>
      </c>
      <c r="B27" s="22">
        <f>COUNTIF('02_Checkliste'!$B$5:$B$1000,"ESG, EHS &amp; Produkt")</f>
        <v>9</v>
      </c>
      <c r="C27" s="22">
        <f>COUNTIFS('02_Checkliste'!$B$5:$B$1000,"ESG, EHS &amp; Produkt",'02_Checkliste'!$J$5:$J$1000,"Abgeschlossen")</f>
        <v>0</v>
      </c>
      <c r="D27" s="27">
        <f>IFERROR(C27/B27,0)</f>
        <v>0</v>
      </c>
      <c r="E27" s="22">
        <f>COUNTIFS('02_Checkliste'!$B$5:$B$1000,"ESG, EHS &amp; Produkt",'02_Checkliste'!$P$5:$P$1000,"")</f>
        <v>9</v>
      </c>
      <c r="F27" s="22">
        <f>COUNTIFS('02_Checkliste'!$B$5:$B$1000,"ESG, EHS &amp; Produkt",'02_Checkliste'!$P$5:$P$1000,"Hoch")+COUNTIFS('02_Checkliste'!$B$5:$B$1000,"ESG, EHS &amp; Produkt",'02_Checkliste'!$P$5:$P$1000,"Kritisch")</f>
        <v>0</v>
      </c>
    </row>
    <row r="28" spans="1:6">
      <c r="A28" s="6" t="s">
        <v>1155</v>
      </c>
      <c r="B28" s="22">
        <f>COUNTIF('02_Checkliste'!$B$5:$B$1000,"Real Estate &amp; Assets")</f>
        <v>5</v>
      </c>
      <c r="C28" s="22">
        <f>COUNTIFS('02_Checkliste'!$B$5:$B$1000,"Real Estate &amp; Assets",'02_Checkliste'!$J$5:$J$1000,"Abgeschlossen")</f>
        <v>0</v>
      </c>
      <c r="D28" s="27">
        <f>IFERROR(C28/B28,0)</f>
        <v>0</v>
      </c>
      <c r="E28" s="22">
        <f>COUNTIFS('02_Checkliste'!$B$5:$B$1000,"Real Estate &amp; Assets",'02_Checkliste'!$P$5:$P$1000,"")</f>
        <v>5</v>
      </c>
      <c r="F28" s="22">
        <f>COUNTIFS('02_Checkliste'!$B$5:$B$1000,"Real Estate &amp; Assets",'02_Checkliste'!$P$5:$P$1000,"Hoch")+COUNTIFS('02_Checkliste'!$B$5:$B$1000,"Real Estate &amp; Assets",'02_Checkliste'!$P$5:$P$1000,"Kritisch")</f>
        <v>0</v>
      </c>
    </row>
    <row r="29" spans="1:6">
      <c r="A29" s="6" t="s">
        <v>1192</v>
      </c>
      <c r="B29" s="22">
        <f>COUNTIF('02_Checkliste'!$B$5:$B$1000,"Insurance")</f>
        <v>5</v>
      </c>
      <c r="C29" s="22">
        <f>COUNTIFS('02_Checkliste'!$B$5:$B$1000,"Insurance",'02_Checkliste'!$J$5:$J$1000,"Abgeschlossen")</f>
        <v>0</v>
      </c>
      <c r="D29" s="27">
        <f>IFERROR(C29/B29,0)</f>
        <v>0</v>
      </c>
      <c r="E29" s="22">
        <f>COUNTIFS('02_Checkliste'!$B$5:$B$1000,"Insurance",'02_Checkliste'!$P$5:$P$1000,"")</f>
        <v>5</v>
      </c>
      <c r="F29" s="22">
        <f>COUNTIFS('02_Checkliste'!$B$5:$B$1000,"Insurance",'02_Checkliste'!$P$5:$P$1000,"Hoch")+COUNTIFS('02_Checkliste'!$B$5:$B$1000,"Insurance",'02_Checkliste'!$P$5:$P$1000,"Kritisch")</f>
        <v>0</v>
      </c>
    </row>
    <row r="30" spans="1:6">
      <c r="A30" s="6" t="s">
        <v>1230</v>
      </c>
      <c r="B30" s="22">
        <f>COUNTIF('02_Checkliste'!$B$5:$B$1000,"Compliance, AML &amp; Sanctions")</f>
        <v>9</v>
      </c>
      <c r="C30" s="22">
        <f>COUNTIFS('02_Checkliste'!$B$5:$B$1000,"Compliance, AML &amp; Sanctions",'02_Checkliste'!$J$5:$J$1000,"Abgeschlossen")</f>
        <v>0</v>
      </c>
      <c r="D30" s="27">
        <f>IFERROR(C30/B30,0)</f>
        <v>0</v>
      </c>
      <c r="E30" s="22">
        <f>COUNTIFS('02_Checkliste'!$B$5:$B$1000,"Compliance, AML &amp; Sanctions",'02_Checkliste'!$P$5:$P$1000,"")</f>
        <v>9</v>
      </c>
      <c r="F30" s="22">
        <f>COUNTIFS('02_Checkliste'!$B$5:$B$1000,"Compliance, AML &amp; Sanctions",'02_Checkliste'!$P$5:$P$1000,"Hoch")+COUNTIFS('02_Checkliste'!$B$5:$B$1000,"Compliance, AML &amp; Sanctions",'02_Checkliste'!$P$5:$P$1000,"Kritisch")</f>
        <v>0</v>
      </c>
    </row>
    <row r="31" spans="1:6">
      <c r="A31" s="6" t="s">
        <v>1301</v>
      </c>
      <c r="B31" s="22">
        <f>COUNTIF('02_Checkliste'!$B$5:$B$1000,"Carve-out &amp; Integration")</f>
        <v>9</v>
      </c>
      <c r="C31" s="22">
        <f>COUNTIFS('02_Checkliste'!$B$5:$B$1000,"Carve-out &amp; Integration",'02_Checkliste'!$J$5:$J$1000,"Abgeschlossen")</f>
        <v>0</v>
      </c>
      <c r="D31" s="27">
        <f>IFERROR(C31/B31,0)</f>
        <v>0</v>
      </c>
      <c r="E31" s="22">
        <f>COUNTIFS('02_Checkliste'!$B$5:$B$1000,"Carve-out &amp; Integration",'02_Checkliste'!$P$5:$P$1000,"")</f>
        <v>9</v>
      </c>
      <c r="F31" s="22">
        <f>COUNTIFS('02_Checkliste'!$B$5:$B$1000,"Carve-out &amp; Integration",'02_Checkliste'!$P$5:$P$1000,"Hoch")+COUNTIFS('02_Checkliste'!$B$5:$B$1000,"Carve-out &amp; Integration",'02_Checkliste'!$P$5:$P$1000,"Kritisch")</f>
        <v>0</v>
      </c>
    </row>
    <row r="34" spans="1:14">
      <c r="A34" s="3" t="s">
        <v>2485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>
      <c r="A35" s="9" t="s">
        <v>2486</v>
      </c>
      <c r="B35" s="9" t="s">
        <v>2487</v>
      </c>
      <c r="C35" s="9" t="s">
        <v>1378</v>
      </c>
      <c r="D35" s="9" t="s">
        <v>1656</v>
      </c>
      <c r="E35" s="9" t="s">
        <v>1663</v>
      </c>
    </row>
    <row r="36" spans="1:14">
      <c r="A36" s="6" t="s">
        <v>2488</v>
      </c>
      <c r="B36" s="6" t="s">
        <v>2489</v>
      </c>
      <c r="C36" s="5" t="s">
        <v>2036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1:14">
      <c r="A37" s="6" t="s">
        <v>2490</v>
      </c>
      <c r="B37" s="6" t="s">
        <v>2491</v>
      </c>
      <c r="C37" s="5" t="s">
        <v>2036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 spans="1:14">
      <c r="A38" s="6" t="s">
        <v>2492</v>
      </c>
      <c r="B38" s="6" t="s">
        <v>2493</v>
      </c>
      <c r="C38" s="5" t="s">
        <v>2036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 spans="1:14">
      <c r="A39" s="6" t="s">
        <v>2494</v>
      </c>
      <c r="B39" s="6" t="s">
        <v>2495</v>
      </c>
      <c r="C39" s="5" t="s">
        <v>2036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1:14">
      <c r="A40" s="6" t="s">
        <v>2496</v>
      </c>
      <c r="B40" s="6" t="s">
        <v>2497</v>
      </c>
      <c r="C40" s="5" t="s">
        <v>2036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 spans="1:14">
      <c r="A41" s="6" t="s">
        <v>2498</v>
      </c>
      <c r="B41" s="6" t="s">
        <v>2499</v>
      </c>
      <c r="C41" s="5" t="s">
        <v>2036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</sheetData>
  <mergeCells count="30">
    <mergeCell ref="A1:N1"/>
    <mergeCell ref="A2:N2"/>
    <mergeCell ref="B3:D3"/>
    <mergeCell ref="F3:H3"/>
    <mergeCell ref="J3:K3"/>
    <mergeCell ref="M3:N3"/>
    <mergeCell ref="A5:B5"/>
    <mergeCell ref="A6:B7"/>
    <mergeCell ref="E5:F5"/>
    <mergeCell ref="E6:F7"/>
    <mergeCell ref="I5:J5"/>
    <mergeCell ref="I6:J7"/>
    <mergeCell ref="M5:N5"/>
    <mergeCell ref="M6:N7"/>
    <mergeCell ref="A9:B9"/>
    <mergeCell ref="A10:B11"/>
    <mergeCell ref="E9:F9"/>
    <mergeCell ref="E10:F11"/>
    <mergeCell ref="I9:J9"/>
    <mergeCell ref="I10:J11"/>
    <mergeCell ref="M9:N9"/>
    <mergeCell ref="M10:N11"/>
    <mergeCell ref="A13:F13"/>
    <mergeCell ref="A34:N34"/>
    <mergeCell ref="E36:N36"/>
    <mergeCell ref="E37:N37"/>
    <mergeCell ref="E38:N38"/>
    <mergeCell ref="E39:N39"/>
    <mergeCell ref="E40:N40"/>
    <mergeCell ref="E41:N41"/>
  </mergeCells>
  <conditionalFormatting sqref="D15:D31">
    <cfRule type="dataBar" priority="1">
      <dataBar>
        <cfvo type="min" val="0"/>
        <cfvo type="max" val="0"/>
        <color rgb="FF0F6B78"/>
      </dataBar>
    </cfRule>
  </conditionalFormatting>
  <dataValidations count="3">
    <dataValidation type="list" allowBlank="1" showInputMessage="1" showErrorMessage="1" errorTitle="Eingabe prüfen" error="Bitte die vorgegebene Auswahl bzw. das geforderte Format verwenden." promptTitle="Gate-Status" prompt="Offen, Bedingt erfüllt, Erfüllt oder No-go eintragen; Entscheidung im Kommentarfeld belegen." sqref="C36:C41">
      <formula1>"Offen,Bedingt erfüllt,Erfüllt,No-go"</formula1>
    </dataValidation>
    <dataValidation allowBlank="1" showInputMessage="1" showErrorMessage="1" errorTitle="Eingabe prüfen" error="Bitte die vorgegebene Auswahl bzw. das geforderte Format verwenden." promptTitle="Gate-Owner" prompt="Eine entscheidungsverantwortliche Person oder Rolle eintragen." sqref="D36:D41"/>
    <dataValidation allowBlank="1" showInputMessage="1" showErrorMessage="1" errorTitle="Eingabe prüfen" error="Bitte die vorgegebene Auswahl bzw. das geforderte Format verwenden." promptTitle="Gate-Entscheidung" prompt="Entscheidung, Datum, Entscheider, Bedingungen und Referenzen dokumentieren." sqref="E36:N41"/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F4E78"/>
  </sheetPr>
  <dimension ref="A1:Y160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66" customHeight="1"/>
  <cols>
    <col min="1" max="1" width="12.7109375" customWidth="1"/>
    <col min="2" max="2" width="24.7109375" customWidth="1"/>
    <col min="3" max="3" width="22.7109375" customWidth="1"/>
    <col min="4" max="4" width="42.7109375" customWidth="1"/>
    <col min="5" max="5" width="40.7109375" customWidth="1"/>
    <col min="6" max="6" width="42.7109375" customWidth="1"/>
    <col min="7" max="7" width="38.7109375" customWidth="1"/>
    <col min="8" max="8" width="11.7109375" customWidth="1"/>
    <col min="9" max="9" width="14.7109375" customWidth="1"/>
    <col min="10" max="10" width="16.7109375" customWidth="1"/>
    <col min="11" max="11" width="18.7109375" customWidth="1"/>
    <col min="12" max="12" width="12.7109375" customWidth="1"/>
    <col min="13" max="13" width="11.7109375" customWidth="1"/>
    <col min="14" max="14" width="12.7109375" customWidth="1"/>
    <col min="15" max="15" width="11.7109375" customWidth="1"/>
    <col min="16" max="16" width="13.7109375" customWidth="1"/>
    <col min="17" max="17" width="40.7109375" customWidth="1"/>
    <col min="18" max="18" width="42.7109375" customWidth="1"/>
    <col min="19" max="19" width="22.7109375" customWidth="1"/>
    <col min="20" max="20" width="16.7109375" customWidth="1"/>
    <col min="21" max="21" width="28.7109375" customWidth="1"/>
    <col min="22" max="22" width="24.7109375" customWidth="1"/>
    <col min="23" max="23" width="10.7109375" customWidth="1"/>
    <col min="24" max="24" width="14.7109375" customWidth="1"/>
    <col min="25" max="25" width="18.7109375" customWidth="1"/>
  </cols>
  <sheetData>
    <row r="1" spans="1:25" ht="30" customHeight="1">
      <c r="A1" s="1" t="s">
        <v>147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4" customHeight="1">
      <c r="A2" s="2" t="s">
        <v>148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4" spans="1:25" ht="42" customHeight="1">
      <c r="A4" t="s">
        <v>1370</v>
      </c>
      <c r="B4" t="s">
        <v>1371</v>
      </c>
      <c r="C4" t="s">
        <v>1372</v>
      </c>
      <c r="D4" t="s">
        <v>1373</v>
      </c>
      <c r="E4" t="s">
        <v>1374</v>
      </c>
      <c r="F4" t="s">
        <v>1375</v>
      </c>
      <c r="G4" t="s">
        <v>1376</v>
      </c>
      <c r="H4" t="s">
        <v>1377</v>
      </c>
      <c r="I4" t="s">
        <v>12</v>
      </c>
      <c r="J4" t="s">
        <v>1378</v>
      </c>
      <c r="K4" t="s">
        <v>1379</v>
      </c>
      <c r="L4" t="s">
        <v>1380</v>
      </c>
      <c r="M4" t="s">
        <v>1381</v>
      </c>
      <c r="N4" t="s">
        <v>1382</v>
      </c>
      <c r="O4" t="s">
        <v>1383</v>
      </c>
      <c r="P4" t="s">
        <v>1384</v>
      </c>
      <c r="Q4" t="s">
        <v>1385</v>
      </c>
      <c r="R4" t="s">
        <v>1386</v>
      </c>
      <c r="S4" t="s">
        <v>1387</v>
      </c>
      <c r="T4" t="s">
        <v>1388</v>
      </c>
      <c r="U4" t="s">
        <v>1389</v>
      </c>
      <c r="V4" t="s">
        <v>1390</v>
      </c>
      <c r="W4" t="s">
        <v>1391</v>
      </c>
      <c r="X4" t="s">
        <v>1392</v>
      </c>
      <c r="Y4" t="s">
        <v>1393</v>
      </c>
    </row>
    <row r="5" spans="1:25" ht="66" customHeight="1">
      <c r="A5" s="6" t="s">
        <v>149</v>
      </c>
      <c r="B5" s="6" t="s">
        <v>150</v>
      </c>
      <c r="C5" s="6" t="s">
        <v>151</v>
      </c>
      <c r="D5" s="6" t="s">
        <v>152</v>
      </c>
      <c r="E5" s="6" t="s">
        <v>153</v>
      </c>
      <c r="F5" s="6" t="s">
        <v>154</v>
      </c>
      <c r="G5" s="6" t="s">
        <v>155</v>
      </c>
      <c r="H5" s="6" t="s">
        <v>8</v>
      </c>
      <c r="I5" s="6" t="s">
        <v>13</v>
      </c>
      <c r="J5" s="6" t="s">
        <v>1</v>
      </c>
      <c r="K5" s="5"/>
      <c r="L5" s="7"/>
      <c r="M5" s="28"/>
      <c r="N5" s="28"/>
      <c r="O5" s="22">
        <f>IF(OR(M5="",N5=""),"",M5*N5)</f>
        <v/>
      </c>
      <c r="P5" s="21">
        <f>IF(O5="","",IF(O5&gt;=17,"Kritisch",IF(O5&gt;=10,"Hoch",IF(O5&gt;=5,"Mittel","Niedrig"))))</f>
        <v/>
      </c>
      <c r="Q5" s="5"/>
      <c r="R5" s="6" t="s">
        <v>156</v>
      </c>
      <c r="S5" s="6" t="s">
        <v>65</v>
      </c>
      <c r="T5" s="8"/>
      <c r="U5" s="6" t="s">
        <v>157</v>
      </c>
      <c r="V5" s="5"/>
      <c r="W5" s="6" t="s">
        <v>158</v>
      </c>
      <c r="X5" s="7"/>
      <c r="Y5" s="5"/>
    </row>
    <row r="6" spans="1:25" ht="66" customHeight="1">
      <c r="A6" s="6" t="s">
        <v>159</v>
      </c>
      <c r="B6" s="6" t="s">
        <v>150</v>
      </c>
      <c r="C6" s="6" t="s">
        <v>160</v>
      </c>
      <c r="D6" s="6" t="s">
        <v>161</v>
      </c>
      <c r="E6" s="6" t="s">
        <v>162</v>
      </c>
      <c r="F6" s="6" t="s">
        <v>163</v>
      </c>
      <c r="G6" s="6" t="s">
        <v>164</v>
      </c>
      <c r="H6" s="6" t="s">
        <v>8</v>
      </c>
      <c r="I6" s="6" t="s">
        <v>13</v>
      </c>
      <c r="J6" s="6" t="s">
        <v>1</v>
      </c>
      <c r="K6" s="5"/>
      <c r="L6" s="7"/>
      <c r="M6" s="28"/>
      <c r="N6" s="28"/>
      <c r="O6" s="22">
        <f>IF(OR(M6="",N6=""),"",M6*N6)</f>
        <v/>
      </c>
      <c r="P6" s="21">
        <f>IF(O6="","",IF(O6&gt;=17,"Kritisch",IF(O6&gt;=10,"Hoch",IF(O6&gt;=5,"Mittel","Niedrig"))))</f>
        <v/>
      </c>
      <c r="Q6" s="5"/>
      <c r="R6" s="6" t="s">
        <v>165</v>
      </c>
      <c r="S6" s="6" t="s">
        <v>70</v>
      </c>
      <c r="T6" s="8"/>
      <c r="U6" s="6" t="s">
        <v>166</v>
      </c>
      <c r="V6" s="5"/>
      <c r="W6" s="6" t="s">
        <v>158</v>
      </c>
      <c r="X6" s="7"/>
      <c r="Y6" s="5"/>
    </row>
    <row r="7" spans="1:25" ht="66" customHeight="1">
      <c r="A7" s="6" t="s">
        <v>167</v>
      </c>
      <c r="B7" s="6" t="s">
        <v>150</v>
      </c>
      <c r="C7" s="6" t="s">
        <v>168</v>
      </c>
      <c r="D7" s="6" t="s">
        <v>169</v>
      </c>
      <c r="E7" s="6" t="s">
        <v>170</v>
      </c>
      <c r="F7" s="6" t="s">
        <v>171</v>
      </c>
      <c r="G7" s="6" t="s">
        <v>172</v>
      </c>
      <c r="H7" s="6" t="s">
        <v>9</v>
      </c>
      <c r="I7" s="6" t="s">
        <v>13</v>
      </c>
      <c r="J7" s="6" t="s">
        <v>1</v>
      </c>
      <c r="K7" s="5"/>
      <c r="L7" s="7"/>
      <c r="M7" s="28"/>
      <c r="N7" s="28"/>
      <c r="O7" s="22">
        <f>IF(OR(M7="",N7=""),"",M7*N7)</f>
        <v/>
      </c>
      <c r="P7" s="21">
        <f>IF(O7="","",IF(O7&gt;=17,"Kritisch",IF(O7&gt;=10,"Hoch",IF(O7&gt;=5,"Mittel","Niedrig"))))</f>
        <v/>
      </c>
      <c r="Q7" s="5"/>
      <c r="R7" s="6" t="s">
        <v>173</v>
      </c>
      <c r="S7" s="6" t="s">
        <v>69</v>
      </c>
      <c r="T7" s="8"/>
      <c r="U7" s="6" t="s">
        <v>174</v>
      </c>
      <c r="V7" s="5"/>
      <c r="W7" s="6" t="s">
        <v>175</v>
      </c>
      <c r="X7" s="7"/>
      <c r="Y7" s="5"/>
    </row>
    <row r="8" spans="1:25" ht="66" customHeight="1">
      <c r="A8" s="6" t="s">
        <v>176</v>
      </c>
      <c r="B8" s="6" t="s">
        <v>150</v>
      </c>
      <c r="C8" s="6" t="s">
        <v>177</v>
      </c>
      <c r="D8" s="6" t="s">
        <v>178</v>
      </c>
      <c r="E8" s="6" t="s">
        <v>179</v>
      </c>
      <c r="F8" s="6" t="s">
        <v>180</v>
      </c>
      <c r="G8" s="6" t="s">
        <v>181</v>
      </c>
      <c r="H8" s="6" t="s">
        <v>9</v>
      </c>
      <c r="I8" s="6" t="s">
        <v>14</v>
      </c>
      <c r="J8" s="6" t="s">
        <v>1</v>
      </c>
      <c r="K8" s="5"/>
      <c r="L8" s="7"/>
      <c r="M8" s="28"/>
      <c r="N8" s="28"/>
      <c r="O8" s="22">
        <f>IF(OR(M8="",N8=""),"",M8*N8)</f>
        <v/>
      </c>
      <c r="P8" s="21">
        <f>IF(O8="","",IF(O8&gt;=17,"Kritisch",IF(O8&gt;=10,"Hoch",IF(O8&gt;=5,"Mittel","Niedrig"))))</f>
        <v/>
      </c>
      <c r="Q8" s="5"/>
      <c r="R8" s="6" t="s">
        <v>182</v>
      </c>
      <c r="S8" s="6" t="s">
        <v>66</v>
      </c>
      <c r="T8" s="8"/>
      <c r="U8" s="6" t="s">
        <v>183</v>
      </c>
      <c r="V8" s="5"/>
      <c r="W8" s="6" t="s">
        <v>184</v>
      </c>
      <c r="X8" s="7"/>
      <c r="Y8" s="5"/>
    </row>
    <row r="9" spans="1:25" ht="66" customHeight="1">
      <c r="A9" s="6" t="s">
        <v>185</v>
      </c>
      <c r="B9" s="6" t="s">
        <v>150</v>
      </c>
      <c r="C9" s="6" t="s">
        <v>186</v>
      </c>
      <c r="D9" s="6" t="s">
        <v>187</v>
      </c>
      <c r="E9" s="6" t="s">
        <v>188</v>
      </c>
      <c r="F9" s="6" t="s">
        <v>189</v>
      </c>
      <c r="G9" s="6" t="s">
        <v>190</v>
      </c>
      <c r="H9" s="6" t="s">
        <v>8</v>
      </c>
      <c r="I9" s="6" t="s">
        <v>14</v>
      </c>
      <c r="J9" s="6" t="s">
        <v>1</v>
      </c>
      <c r="K9" s="5"/>
      <c r="L9" s="7"/>
      <c r="M9" s="28"/>
      <c r="N9" s="28"/>
      <c r="O9" s="22">
        <f>IF(OR(M9="",N9=""),"",M9*N9)</f>
        <v/>
      </c>
      <c r="P9" s="21">
        <f>IF(O9="","",IF(O9&gt;=17,"Kritisch",IF(O9&gt;=10,"Hoch",IF(O9&gt;=5,"Mittel","Niedrig"))))</f>
        <v/>
      </c>
      <c r="Q9" s="5"/>
      <c r="R9" s="6" t="s">
        <v>191</v>
      </c>
      <c r="S9" s="6" t="s">
        <v>66</v>
      </c>
      <c r="T9" s="8"/>
      <c r="U9" s="6" t="s">
        <v>192</v>
      </c>
      <c r="V9" s="5"/>
      <c r="W9" s="6" t="s">
        <v>193</v>
      </c>
      <c r="X9" s="7"/>
      <c r="Y9" s="5"/>
    </row>
    <row r="10" spans="1:25" ht="66" customHeight="1">
      <c r="A10" s="6" t="s">
        <v>194</v>
      </c>
      <c r="B10" s="6" t="s">
        <v>150</v>
      </c>
      <c r="C10" s="6" t="s">
        <v>195</v>
      </c>
      <c r="D10" s="6" t="s">
        <v>196</v>
      </c>
      <c r="E10" s="6" t="s">
        <v>197</v>
      </c>
      <c r="F10" s="6" t="s">
        <v>198</v>
      </c>
      <c r="G10" s="6" t="s">
        <v>199</v>
      </c>
      <c r="H10" s="6" t="s">
        <v>9</v>
      </c>
      <c r="I10" s="6" t="s">
        <v>14</v>
      </c>
      <c r="J10" s="6" t="s">
        <v>1</v>
      </c>
      <c r="K10" s="5"/>
      <c r="L10" s="7"/>
      <c r="M10" s="28"/>
      <c r="N10" s="28"/>
      <c r="O10" s="22">
        <f>IF(OR(M10="",N10=""),"",M10*N10)</f>
        <v/>
      </c>
      <c r="P10" s="21">
        <f>IF(O10="","",IF(O10&gt;=17,"Kritisch",IF(O10&gt;=10,"Hoch",IF(O10&gt;=5,"Mittel","Niedrig"))))</f>
        <v/>
      </c>
      <c r="Q10" s="5"/>
      <c r="R10" s="6" t="s">
        <v>200</v>
      </c>
      <c r="S10" s="6" t="s">
        <v>66</v>
      </c>
      <c r="T10" s="8"/>
      <c r="U10" s="6" t="s">
        <v>201</v>
      </c>
      <c r="V10" s="5"/>
      <c r="W10" s="6" t="s">
        <v>158</v>
      </c>
      <c r="X10" s="7"/>
      <c r="Y10" s="5"/>
    </row>
    <row r="11" spans="1:25" ht="66" customHeight="1">
      <c r="A11" s="6" t="s">
        <v>202</v>
      </c>
      <c r="B11" s="6" t="s">
        <v>150</v>
      </c>
      <c r="C11" s="6" t="s">
        <v>203</v>
      </c>
      <c r="D11" s="6" t="s">
        <v>204</v>
      </c>
      <c r="E11" s="6" t="s">
        <v>205</v>
      </c>
      <c r="F11" s="6" t="s">
        <v>206</v>
      </c>
      <c r="G11" s="6" t="s">
        <v>207</v>
      </c>
      <c r="H11" s="6" t="s">
        <v>9</v>
      </c>
      <c r="I11" s="6" t="s">
        <v>13</v>
      </c>
      <c r="J11" s="6" t="s">
        <v>1</v>
      </c>
      <c r="K11" s="5"/>
      <c r="L11" s="7"/>
      <c r="M11" s="28"/>
      <c r="N11" s="28"/>
      <c r="O11" s="22">
        <f>IF(OR(M11="",N11=""),"",M11*N11)</f>
        <v/>
      </c>
      <c r="P11" s="21">
        <f>IF(O11="","",IF(O11&gt;=17,"Kritisch",IF(O11&gt;=10,"Hoch",IF(O11&gt;=5,"Mittel","Niedrig"))))</f>
        <v/>
      </c>
      <c r="Q11" s="5"/>
      <c r="R11" s="6" t="s">
        <v>208</v>
      </c>
      <c r="S11" s="6" t="s">
        <v>65</v>
      </c>
      <c r="T11" s="8"/>
      <c r="U11" s="6" t="s">
        <v>209</v>
      </c>
      <c r="V11" s="5"/>
      <c r="W11" s="6" t="s">
        <v>175</v>
      </c>
      <c r="X11" s="7"/>
      <c r="Y11" s="5"/>
    </row>
    <row r="12" spans="1:25" ht="66" customHeight="1">
      <c r="A12" s="6" t="s">
        <v>210</v>
      </c>
      <c r="B12" s="6" t="s">
        <v>150</v>
      </c>
      <c r="C12" s="6" t="s">
        <v>211</v>
      </c>
      <c r="D12" s="6" t="s">
        <v>212</v>
      </c>
      <c r="E12" s="6" t="s">
        <v>213</v>
      </c>
      <c r="F12" s="6" t="s">
        <v>214</v>
      </c>
      <c r="G12" s="6" t="s">
        <v>215</v>
      </c>
      <c r="H12" s="6" t="s">
        <v>8</v>
      </c>
      <c r="I12" s="6" t="s">
        <v>13</v>
      </c>
      <c r="J12" s="6" t="s">
        <v>1</v>
      </c>
      <c r="K12" s="5"/>
      <c r="L12" s="7"/>
      <c r="M12" s="28"/>
      <c r="N12" s="28"/>
      <c r="O12" s="22">
        <f>IF(OR(M12="",N12=""),"",M12*N12)</f>
        <v/>
      </c>
      <c r="P12" s="21">
        <f>IF(O12="","",IF(O12&gt;=17,"Kritisch",IF(O12&gt;=10,"Hoch",IF(O12&gt;=5,"Mittel","Niedrig"))))</f>
        <v/>
      </c>
      <c r="Q12" s="5"/>
      <c r="R12" s="6" t="s">
        <v>216</v>
      </c>
      <c r="S12" s="6" t="s">
        <v>67</v>
      </c>
      <c r="T12" s="8"/>
      <c r="U12" s="6" t="s">
        <v>217</v>
      </c>
      <c r="V12" s="5"/>
      <c r="W12" s="6" t="s">
        <v>158</v>
      </c>
      <c r="X12" s="7"/>
      <c r="Y12" s="5"/>
    </row>
    <row r="13" spans="1:25" ht="66" customHeight="1">
      <c r="A13" s="6" t="s">
        <v>218</v>
      </c>
      <c r="B13" s="6" t="s">
        <v>219</v>
      </c>
      <c r="C13" s="6" t="s">
        <v>220</v>
      </c>
      <c r="D13" s="6" t="s">
        <v>221</v>
      </c>
      <c r="E13" s="6" t="s">
        <v>222</v>
      </c>
      <c r="F13" s="6" t="s">
        <v>223</v>
      </c>
      <c r="G13" s="6" t="s">
        <v>224</v>
      </c>
      <c r="H13" s="6" t="s">
        <v>8</v>
      </c>
      <c r="I13" s="6" t="s">
        <v>14</v>
      </c>
      <c r="J13" s="6" t="s">
        <v>1</v>
      </c>
      <c r="K13" s="5"/>
      <c r="L13" s="7"/>
      <c r="M13" s="28"/>
      <c r="N13" s="28"/>
      <c r="O13" s="22">
        <f>IF(OR(M13="",N13=""),"",M13*N13)</f>
        <v/>
      </c>
      <c r="P13" s="21">
        <f>IF(O13="","",IF(O13&gt;=17,"Kritisch",IF(O13&gt;=10,"Hoch",IF(O13&gt;=5,"Mittel","Niedrig"))))</f>
        <v/>
      </c>
      <c r="Q13" s="5"/>
      <c r="R13" s="6" t="s">
        <v>225</v>
      </c>
      <c r="S13" s="6" t="s">
        <v>67</v>
      </c>
      <c r="T13" s="8"/>
      <c r="U13" s="6" t="s">
        <v>226</v>
      </c>
      <c r="V13" s="5"/>
      <c r="W13" s="6" t="s">
        <v>158</v>
      </c>
      <c r="X13" s="7"/>
      <c r="Y13" s="5"/>
    </row>
    <row r="14" spans="1:25" ht="66" customHeight="1">
      <c r="A14" s="6" t="s">
        <v>227</v>
      </c>
      <c r="B14" s="6" t="s">
        <v>219</v>
      </c>
      <c r="C14" s="6" t="s">
        <v>228</v>
      </c>
      <c r="D14" s="6" t="s">
        <v>229</v>
      </c>
      <c r="E14" s="6" t="s">
        <v>230</v>
      </c>
      <c r="F14" s="6" t="s">
        <v>231</v>
      </c>
      <c r="G14" s="6" t="s">
        <v>232</v>
      </c>
      <c r="H14" s="6" t="s">
        <v>8</v>
      </c>
      <c r="I14" s="6" t="s">
        <v>14</v>
      </c>
      <c r="J14" s="6" t="s">
        <v>1</v>
      </c>
      <c r="K14" s="5"/>
      <c r="L14" s="7"/>
      <c r="M14" s="28"/>
      <c r="N14" s="28"/>
      <c r="O14" s="22">
        <f>IF(OR(M14="",N14=""),"",M14*N14)</f>
        <v/>
      </c>
      <c r="P14" s="21">
        <f>IF(O14="","",IF(O14&gt;=17,"Kritisch",IF(O14&gt;=10,"Hoch",IF(O14&gt;=5,"Mittel","Niedrig"))))</f>
        <v/>
      </c>
      <c r="Q14" s="5"/>
      <c r="R14" s="6" t="s">
        <v>233</v>
      </c>
      <c r="S14" s="6" t="s">
        <v>65</v>
      </c>
      <c r="T14" s="8"/>
      <c r="U14" s="6" t="s">
        <v>234</v>
      </c>
      <c r="V14" s="5"/>
      <c r="W14" s="6" t="s">
        <v>158</v>
      </c>
      <c r="X14" s="7"/>
      <c r="Y14" s="5"/>
    </row>
    <row r="15" spans="1:25" ht="66" customHeight="1">
      <c r="A15" s="6" t="s">
        <v>235</v>
      </c>
      <c r="B15" s="6" t="s">
        <v>219</v>
      </c>
      <c r="C15" s="6" t="s">
        <v>236</v>
      </c>
      <c r="D15" s="6" t="s">
        <v>237</v>
      </c>
      <c r="E15" s="6" t="s">
        <v>238</v>
      </c>
      <c r="F15" s="6" t="s">
        <v>239</v>
      </c>
      <c r="G15" s="6" t="s">
        <v>240</v>
      </c>
      <c r="H15" s="6" t="s">
        <v>8</v>
      </c>
      <c r="I15" s="6" t="s">
        <v>14</v>
      </c>
      <c r="J15" s="6" t="s">
        <v>1</v>
      </c>
      <c r="K15" s="5"/>
      <c r="L15" s="7"/>
      <c r="M15" s="28"/>
      <c r="N15" s="28"/>
      <c r="O15" s="22">
        <f>IF(OR(M15="",N15=""),"",M15*N15)</f>
        <v/>
      </c>
      <c r="P15" s="21">
        <f>IF(O15="","",IF(O15&gt;=17,"Kritisch",IF(O15&gt;=10,"Hoch",IF(O15&gt;=5,"Mittel","Niedrig"))))</f>
        <v/>
      </c>
      <c r="Q15" s="5"/>
      <c r="R15" s="6" t="s">
        <v>241</v>
      </c>
      <c r="S15" s="6" t="s">
        <v>68</v>
      </c>
      <c r="T15" s="8"/>
      <c r="U15" s="6" t="s">
        <v>242</v>
      </c>
      <c r="V15" s="5"/>
      <c r="W15" s="6" t="s">
        <v>158</v>
      </c>
      <c r="X15" s="7"/>
      <c r="Y15" s="5"/>
    </row>
    <row r="16" spans="1:25" ht="66" customHeight="1">
      <c r="A16" s="6" t="s">
        <v>243</v>
      </c>
      <c r="B16" s="6" t="s">
        <v>219</v>
      </c>
      <c r="C16" s="6" t="s">
        <v>244</v>
      </c>
      <c r="D16" s="6" t="s">
        <v>245</v>
      </c>
      <c r="E16" s="6" t="s">
        <v>246</v>
      </c>
      <c r="F16" s="6" t="s">
        <v>247</v>
      </c>
      <c r="G16" s="6" t="s">
        <v>248</v>
      </c>
      <c r="H16" s="6" t="s">
        <v>9</v>
      </c>
      <c r="I16" s="6" t="s">
        <v>14</v>
      </c>
      <c r="J16" s="6" t="s">
        <v>1</v>
      </c>
      <c r="K16" s="5"/>
      <c r="L16" s="7"/>
      <c r="M16" s="28"/>
      <c r="N16" s="28"/>
      <c r="O16" s="22">
        <f>IF(OR(M16="",N16=""),"",M16*N16)</f>
        <v/>
      </c>
      <c r="P16" s="21">
        <f>IF(O16="","",IF(O16&gt;=17,"Kritisch",IF(O16&gt;=10,"Hoch",IF(O16&gt;=5,"Mittel","Niedrig"))))</f>
        <v/>
      </c>
      <c r="Q16" s="5"/>
      <c r="R16" s="6" t="s">
        <v>249</v>
      </c>
      <c r="S16" s="6" t="s">
        <v>66</v>
      </c>
      <c r="T16" s="8"/>
      <c r="U16" s="6" t="s">
        <v>250</v>
      </c>
      <c r="V16" s="5"/>
      <c r="W16" s="6" t="s">
        <v>158</v>
      </c>
      <c r="X16" s="7"/>
      <c r="Y16" s="5"/>
    </row>
    <row r="17" spans="1:25" ht="66" customHeight="1">
      <c r="A17" s="6" t="s">
        <v>251</v>
      </c>
      <c r="B17" s="6" t="s">
        <v>219</v>
      </c>
      <c r="C17" s="6" t="s">
        <v>252</v>
      </c>
      <c r="D17" s="6" t="s">
        <v>253</v>
      </c>
      <c r="E17" s="6" t="s">
        <v>254</v>
      </c>
      <c r="F17" s="6" t="s">
        <v>255</v>
      </c>
      <c r="G17" s="6" t="s">
        <v>256</v>
      </c>
      <c r="H17" s="6" t="s">
        <v>8</v>
      </c>
      <c r="I17" s="6" t="s">
        <v>14</v>
      </c>
      <c r="J17" s="6" t="s">
        <v>1</v>
      </c>
      <c r="K17" s="5"/>
      <c r="L17" s="7"/>
      <c r="M17" s="28"/>
      <c r="N17" s="28"/>
      <c r="O17" s="22">
        <f>IF(OR(M17="",N17=""),"",M17*N17)</f>
        <v/>
      </c>
      <c r="P17" s="21">
        <f>IF(O17="","",IF(O17&gt;=17,"Kritisch",IF(O17&gt;=10,"Hoch",IF(O17&gt;=5,"Mittel","Niedrig"))))</f>
        <v/>
      </c>
      <c r="Q17" s="5"/>
      <c r="R17" s="6" t="s">
        <v>257</v>
      </c>
      <c r="S17" s="6" t="s">
        <v>67</v>
      </c>
      <c r="T17" s="8"/>
      <c r="U17" s="6" t="s">
        <v>258</v>
      </c>
      <c r="V17" s="5"/>
      <c r="W17" s="6" t="s">
        <v>158</v>
      </c>
      <c r="X17" s="7"/>
      <c r="Y17" s="5"/>
    </row>
    <row r="18" spans="1:25" ht="66" customHeight="1">
      <c r="A18" s="6" t="s">
        <v>259</v>
      </c>
      <c r="B18" s="6" t="s">
        <v>219</v>
      </c>
      <c r="C18" s="6" t="s">
        <v>260</v>
      </c>
      <c r="D18" s="6" t="s">
        <v>261</v>
      </c>
      <c r="E18" s="6" t="s">
        <v>262</v>
      </c>
      <c r="F18" s="6" t="s">
        <v>263</v>
      </c>
      <c r="G18" s="6" t="s">
        <v>264</v>
      </c>
      <c r="H18" s="6" t="s">
        <v>9</v>
      </c>
      <c r="I18" s="6" t="s">
        <v>14</v>
      </c>
      <c r="J18" s="6" t="s">
        <v>1</v>
      </c>
      <c r="K18" s="5"/>
      <c r="L18" s="7"/>
      <c r="M18" s="28"/>
      <c r="N18" s="28"/>
      <c r="O18" s="22">
        <f>IF(OR(M18="",N18=""),"",M18*N18)</f>
        <v/>
      </c>
      <c r="P18" s="21">
        <f>IF(O18="","",IF(O18&gt;=17,"Kritisch",IF(O18&gt;=10,"Hoch",IF(O18&gt;=5,"Mittel","Niedrig"))))</f>
        <v/>
      </c>
      <c r="Q18" s="5"/>
      <c r="R18" s="6" t="s">
        <v>265</v>
      </c>
      <c r="S18" s="6" t="s">
        <v>65</v>
      </c>
      <c r="T18" s="8"/>
      <c r="U18" s="6" t="s">
        <v>266</v>
      </c>
      <c r="V18" s="5"/>
      <c r="W18" s="6" t="s">
        <v>158</v>
      </c>
      <c r="X18" s="7"/>
      <c r="Y18" s="5"/>
    </row>
    <row r="19" spans="1:25" ht="66" customHeight="1">
      <c r="A19" s="6" t="s">
        <v>267</v>
      </c>
      <c r="B19" s="6" t="s">
        <v>219</v>
      </c>
      <c r="C19" s="6" t="s">
        <v>268</v>
      </c>
      <c r="D19" s="6" t="s">
        <v>269</v>
      </c>
      <c r="E19" s="6" t="s">
        <v>270</v>
      </c>
      <c r="F19" s="6" t="s">
        <v>271</v>
      </c>
      <c r="G19" s="6" t="s">
        <v>272</v>
      </c>
      <c r="H19" s="6" t="s">
        <v>8</v>
      </c>
      <c r="I19" s="6" t="s">
        <v>14</v>
      </c>
      <c r="J19" s="6" t="s">
        <v>1</v>
      </c>
      <c r="K19" s="5"/>
      <c r="L19" s="7"/>
      <c r="M19" s="28"/>
      <c r="N19" s="28"/>
      <c r="O19" s="22">
        <f>IF(OR(M19="",N19=""),"",M19*N19)</f>
        <v/>
      </c>
      <c r="P19" s="21">
        <f>IF(O19="","",IF(O19&gt;=17,"Kritisch",IF(O19&gt;=10,"Hoch",IF(O19&gt;=5,"Mittel","Niedrig"))))</f>
        <v/>
      </c>
      <c r="Q19" s="5"/>
      <c r="R19" s="6" t="s">
        <v>273</v>
      </c>
      <c r="S19" s="6" t="s">
        <v>69</v>
      </c>
      <c r="T19" s="8"/>
      <c r="U19" s="6" t="s">
        <v>274</v>
      </c>
      <c r="V19" s="5"/>
      <c r="W19" s="6" t="s">
        <v>158</v>
      </c>
      <c r="X19" s="7"/>
      <c r="Y19" s="5"/>
    </row>
    <row r="20" spans="1:25" ht="66" customHeight="1">
      <c r="A20" s="6" t="s">
        <v>275</v>
      </c>
      <c r="B20" s="6" t="s">
        <v>219</v>
      </c>
      <c r="C20" s="6" t="s">
        <v>276</v>
      </c>
      <c r="D20" s="6" t="s">
        <v>277</v>
      </c>
      <c r="E20" s="6" t="s">
        <v>278</v>
      </c>
      <c r="F20" s="6" t="s">
        <v>279</v>
      </c>
      <c r="G20" s="6" t="s">
        <v>280</v>
      </c>
      <c r="H20" s="6" t="s">
        <v>9</v>
      </c>
      <c r="I20" s="6" t="s">
        <v>14</v>
      </c>
      <c r="J20" s="6" t="s">
        <v>1</v>
      </c>
      <c r="K20" s="5"/>
      <c r="L20" s="7"/>
      <c r="M20" s="28"/>
      <c r="N20" s="28"/>
      <c r="O20" s="22">
        <f>IF(OR(M20="",N20=""),"",M20*N20)</f>
        <v/>
      </c>
      <c r="P20" s="21">
        <f>IF(O20="","",IF(O20&gt;=17,"Kritisch",IF(O20&gt;=10,"Hoch",IF(O20&gt;=5,"Mittel","Niedrig"))))</f>
        <v/>
      </c>
      <c r="Q20" s="5"/>
      <c r="R20" s="6" t="s">
        <v>281</v>
      </c>
      <c r="S20" s="6" t="s">
        <v>66</v>
      </c>
      <c r="T20" s="8"/>
      <c r="U20" s="6" t="s">
        <v>282</v>
      </c>
      <c r="V20" s="5"/>
      <c r="W20" s="6" t="s">
        <v>158</v>
      </c>
      <c r="X20" s="7"/>
      <c r="Y20" s="5"/>
    </row>
    <row r="21" spans="1:25" ht="66" customHeight="1">
      <c r="A21" s="6" t="s">
        <v>283</v>
      </c>
      <c r="B21" s="6" t="s">
        <v>219</v>
      </c>
      <c r="C21" s="6" t="s">
        <v>284</v>
      </c>
      <c r="D21" s="6" t="s">
        <v>285</v>
      </c>
      <c r="E21" s="6" t="s">
        <v>286</v>
      </c>
      <c r="F21" s="6" t="s">
        <v>287</v>
      </c>
      <c r="G21" s="6" t="s">
        <v>288</v>
      </c>
      <c r="H21" s="6" t="s">
        <v>9</v>
      </c>
      <c r="I21" s="6" t="s">
        <v>14</v>
      </c>
      <c r="J21" s="6" t="s">
        <v>1</v>
      </c>
      <c r="K21" s="5"/>
      <c r="L21" s="7"/>
      <c r="M21" s="28"/>
      <c r="N21" s="28"/>
      <c r="O21" s="22">
        <f>IF(OR(M21="",N21=""),"",M21*N21)</f>
        <v/>
      </c>
      <c r="P21" s="21">
        <f>IF(O21="","",IF(O21&gt;=17,"Kritisch",IF(O21&gt;=10,"Hoch",IF(O21&gt;=5,"Mittel","Niedrig"))))</f>
        <v/>
      </c>
      <c r="Q21" s="5"/>
      <c r="R21" s="6" t="s">
        <v>289</v>
      </c>
      <c r="S21" s="6" t="s">
        <v>65</v>
      </c>
      <c r="T21" s="8"/>
      <c r="U21" s="6" t="s">
        <v>290</v>
      </c>
      <c r="V21" s="5"/>
      <c r="W21" s="6" t="s">
        <v>158</v>
      </c>
      <c r="X21" s="7"/>
      <c r="Y21" s="5"/>
    </row>
    <row r="22" spans="1:25" ht="66" customHeight="1">
      <c r="A22" s="6" t="s">
        <v>291</v>
      </c>
      <c r="B22" s="6" t="s">
        <v>292</v>
      </c>
      <c r="C22" s="6" t="s">
        <v>293</v>
      </c>
      <c r="D22" s="6" t="s">
        <v>294</v>
      </c>
      <c r="E22" s="6" t="s">
        <v>295</v>
      </c>
      <c r="F22" s="6" t="s">
        <v>296</v>
      </c>
      <c r="G22" s="6" t="s">
        <v>297</v>
      </c>
      <c r="H22" s="6" t="s">
        <v>8</v>
      </c>
      <c r="I22" s="6" t="s">
        <v>14</v>
      </c>
      <c r="J22" s="6" t="s">
        <v>1</v>
      </c>
      <c r="K22" s="5"/>
      <c r="L22" s="7"/>
      <c r="M22" s="28"/>
      <c r="N22" s="28"/>
      <c r="O22" s="22">
        <f>IF(OR(M22="",N22=""),"",M22*N22)</f>
        <v/>
      </c>
      <c r="P22" s="21">
        <f>IF(O22="","",IF(O22&gt;=17,"Kritisch",IF(O22&gt;=10,"Hoch",IF(O22&gt;=5,"Mittel","Niedrig"))))</f>
        <v/>
      </c>
      <c r="Q22" s="5"/>
      <c r="R22" s="6" t="s">
        <v>298</v>
      </c>
      <c r="S22" s="6" t="s">
        <v>65</v>
      </c>
      <c r="T22" s="8"/>
      <c r="U22" s="6" t="s">
        <v>299</v>
      </c>
      <c r="V22" s="5"/>
      <c r="W22" s="6" t="s">
        <v>158</v>
      </c>
      <c r="X22" s="7"/>
      <c r="Y22" s="5"/>
    </row>
    <row r="23" spans="1:25" ht="66" customHeight="1">
      <c r="A23" s="6" t="s">
        <v>300</v>
      </c>
      <c r="B23" s="6" t="s">
        <v>292</v>
      </c>
      <c r="C23" s="6" t="s">
        <v>301</v>
      </c>
      <c r="D23" s="6" t="s">
        <v>302</v>
      </c>
      <c r="E23" s="6" t="s">
        <v>303</v>
      </c>
      <c r="F23" s="6" t="s">
        <v>304</v>
      </c>
      <c r="G23" s="6" t="s">
        <v>305</v>
      </c>
      <c r="H23" s="6" t="s">
        <v>9</v>
      </c>
      <c r="I23" s="6" t="s">
        <v>14</v>
      </c>
      <c r="J23" s="6" t="s">
        <v>1</v>
      </c>
      <c r="K23" s="5"/>
      <c r="L23" s="7"/>
      <c r="M23" s="28"/>
      <c r="N23" s="28"/>
      <c r="O23" s="22">
        <f>IF(OR(M23="",N23=""),"",M23*N23)</f>
        <v/>
      </c>
      <c r="P23" s="21">
        <f>IF(O23="","",IF(O23&gt;=17,"Kritisch",IF(O23&gt;=10,"Hoch",IF(O23&gt;=5,"Mittel","Niedrig"))))</f>
        <v/>
      </c>
      <c r="Q23" s="5"/>
      <c r="R23" s="6" t="s">
        <v>306</v>
      </c>
      <c r="S23" s="6" t="s">
        <v>65</v>
      </c>
      <c r="T23" s="8"/>
      <c r="U23" s="6" t="s">
        <v>307</v>
      </c>
      <c r="V23" s="5"/>
      <c r="W23" s="6" t="s">
        <v>158</v>
      </c>
      <c r="X23" s="7"/>
      <c r="Y23" s="5"/>
    </row>
    <row r="24" spans="1:25" ht="66" customHeight="1">
      <c r="A24" s="6" t="s">
        <v>308</v>
      </c>
      <c r="B24" s="6" t="s">
        <v>292</v>
      </c>
      <c r="C24" s="6" t="s">
        <v>309</v>
      </c>
      <c r="D24" s="6" t="s">
        <v>310</v>
      </c>
      <c r="E24" s="6" t="s">
        <v>311</v>
      </c>
      <c r="F24" s="6" t="s">
        <v>312</v>
      </c>
      <c r="G24" s="6" t="s">
        <v>313</v>
      </c>
      <c r="H24" s="6" t="s">
        <v>8</v>
      </c>
      <c r="I24" s="6" t="s">
        <v>14</v>
      </c>
      <c r="J24" s="6" t="s">
        <v>1</v>
      </c>
      <c r="K24" s="5"/>
      <c r="L24" s="7"/>
      <c r="M24" s="28"/>
      <c r="N24" s="28"/>
      <c r="O24" s="22">
        <f>IF(OR(M24="",N24=""),"",M24*N24)</f>
        <v/>
      </c>
      <c r="P24" s="21">
        <f>IF(O24="","",IF(O24&gt;=17,"Kritisch",IF(O24&gt;=10,"Hoch",IF(O24&gt;=5,"Mittel","Niedrig"))))</f>
        <v/>
      </c>
      <c r="Q24" s="5"/>
      <c r="R24" s="6" t="s">
        <v>314</v>
      </c>
      <c r="S24" s="6" t="s">
        <v>65</v>
      </c>
      <c r="T24" s="8"/>
      <c r="U24" s="6" t="s">
        <v>315</v>
      </c>
      <c r="V24" s="5"/>
      <c r="W24" s="6" t="s">
        <v>158</v>
      </c>
      <c r="X24" s="7"/>
      <c r="Y24" s="5"/>
    </row>
    <row r="25" spans="1:25" ht="66" customHeight="1">
      <c r="A25" s="6" t="s">
        <v>316</v>
      </c>
      <c r="B25" s="6" t="s">
        <v>292</v>
      </c>
      <c r="C25" s="6" t="s">
        <v>317</v>
      </c>
      <c r="D25" s="6" t="s">
        <v>318</v>
      </c>
      <c r="E25" s="6" t="s">
        <v>319</v>
      </c>
      <c r="F25" s="6" t="s">
        <v>320</v>
      </c>
      <c r="G25" s="6" t="s">
        <v>321</v>
      </c>
      <c r="H25" s="6" t="s">
        <v>8</v>
      </c>
      <c r="I25" s="6" t="s">
        <v>14</v>
      </c>
      <c r="J25" s="6" t="s">
        <v>1</v>
      </c>
      <c r="K25" s="5"/>
      <c r="L25" s="7"/>
      <c r="M25" s="28"/>
      <c r="N25" s="28"/>
      <c r="O25" s="22">
        <f>IF(OR(M25="",N25=""),"",M25*N25)</f>
        <v/>
      </c>
      <c r="P25" s="21">
        <f>IF(O25="","",IF(O25&gt;=17,"Kritisch",IF(O25&gt;=10,"Hoch",IF(O25&gt;=5,"Mittel","Niedrig"))))</f>
        <v/>
      </c>
      <c r="Q25" s="5"/>
      <c r="R25" s="6" t="s">
        <v>322</v>
      </c>
      <c r="S25" s="6" t="s">
        <v>65</v>
      </c>
      <c r="T25" s="8"/>
      <c r="U25" s="6" t="s">
        <v>323</v>
      </c>
      <c r="V25" s="5"/>
      <c r="W25" s="6" t="s">
        <v>158</v>
      </c>
      <c r="X25" s="7"/>
      <c r="Y25" s="5"/>
    </row>
    <row r="26" spans="1:25" ht="66" customHeight="1">
      <c r="A26" s="6" t="s">
        <v>324</v>
      </c>
      <c r="B26" s="6" t="s">
        <v>292</v>
      </c>
      <c r="C26" s="6" t="s">
        <v>325</v>
      </c>
      <c r="D26" s="6" t="s">
        <v>326</v>
      </c>
      <c r="E26" s="6" t="s">
        <v>327</v>
      </c>
      <c r="F26" s="6" t="s">
        <v>328</v>
      </c>
      <c r="G26" s="6" t="s">
        <v>329</v>
      </c>
      <c r="H26" s="6" t="s">
        <v>8</v>
      </c>
      <c r="I26" s="6" t="s">
        <v>14</v>
      </c>
      <c r="J26" s="6" t="s">
        <v>1</v>
      </c>
      <c r="K26" s="5"/>
      <c r="L26" s="7"/>
      <c r="M26" s="28"/>
      <c r="N26" s="28"/>
      <c r="O26" s="22">
        <f>IF(OR(M26="",N26=""),"",M26*N26)</f>
        <v/>
      </c>
      <c r="P26" s="21">
        <f>IF(O26="","",IF(O26&gt;=17,"Kritisch",IF(O26&gt;=10,"Hoch",IF(O26&gt;=5,"Mittel","Niedrig"))))</f>
        <v/>
      </c>
      <c r="Q26" s="5"/>
      <c r="R26" s="6" t="s">
        <v>330</v>
      </c>
      <c r="S26" s="6" t="s">
        <v>65</v>
      </c>
      <c r="T26" s="8"/>
      <c r="U26" s="6" t="s">
        <v>331</v>
      </c>
      <c r="V26" s="5"/>
      <c r="W26" s="6" t="s">
        <v>158</v>
      </c>
      <c r="X26" s="7"/>
      <c r="Y26" s="5"/>
    </row>
    <row r="27" spans="1:25" ht="66" customHeight="1">
      <c r="A27" s="6" t="s">
        <v>332</v>
      </c>
      <c r="B27" s="6" t="s">
        <v>292</v>
      </c>
      <c r="C27" s="6" t="s">
        <v>333</v>
      </c>
      <c r="D27" s="6" t="s">
        <v>334</v>
      </c>
      <c r="E27" s="6" t="s">
        <v>335</v>
      </c>
      <c r="F27" s="6" t="s">
        <v>336</v>
      </c>
      <c r="G27" s="6" t="s">
        <v>337</v>
      </c>
      <c r="H27" s="6" t="s">
        <v>9</v>
      </c>
      <c r="I27" s="6" t="s">
        <v>14</v>
      </c>
      <c r="J27" s="6" t="s">
        <v>1</v>
      </c>
      <c r="K27" s="5"/>
      <c r="L27" s="7"/>
      <c r="M27" s="28"/>
      <c r="N27" s="28"/>
      <c r="O27" s="22">
        <f>IF(OR(M27="",N27=""),"",M27*N27)</f>
        <v/>
      </c>
      <c r="P27" s="21">
        <f>IF(O27="","",IF(O27&gt;=17,"Kritisch",IF(O27&gt;=10,"Hoch",IF(O27&gt;=5,"Mittel","Niedrig"))))</f>
        <v/>
      </c>
      <c r="Q27" s="5"/>
      <c r="R27" s="6" t="s">
        <v>338</v>
      </c>
      <c r="S27" s="6" t="s">
        <v>65</v>
      </c>
      <c r="T27" s="8"/>
      <c r="U27" s="6" t="s">
        <v>339</v>
      </c>
      <c r="V27" s="5"/>
      <c r="W27" s="6" t="s">
        <v>158</v>
      </c>
      <c r="X27" s="7"/>
      <c r="Y27" s="5"/>
    </row>
    <row r="28" spans="1:25" ht="66" customHeight="1">
      <c r="A28" s="6" t="s">
        <v>340</v>
      </c>
      <c r="B28" s="6" t="s">
        <v>292</v>
      </c>
      <c r="C28" s="6" t="s">
        <v>341</v>
      </c>
      <c r="D28" s="6" t="s">
        <v>342</v>
      </c>
      <c r="E28" s="6" t="s">
        <v>343</v>
      </c>
      <c r="F28" s="6" t="s">
        <v>344</v>
      </c>
      <c r="G28" s="6" t="s">
        <v>345</v>
      </c>
      <c r="H28" s="6" t="s">
        <v>8</v>
      </c>
      <c r="I28" s="6" t="s">
        <v>14</v>
      </c>
      <c r="J28" s="6" t="s">
        <v>1</v>
      </c>
      <c r="K28" s="5"/>
      <c r="L28" s="7"/>
      <c r="M28" s="28"/>
      <c r="N28" s="28"/>
      <c r="O28" s="22">
        <f>IF(OR(M28="",N28=""),"",M28*N28)</f>
        <v/>
      </c>
      <c r="P28" s="21">
        <f>IF(O28="","",IF(O28&gt;=17,"Kritisch",IF(O28&gt;=10,"Hoch",IF(O28&gt;=5,"Mittel","Niedrig"))))</f>
        <v/>
      </c>
      <c r="Q28" s="5"/>
      <c r="R28" s="6" t="s">
        <v>346</v>
      </c>
      <c r="S28" s="6" t="s">
        <v>65</v>
      </c>
      <c r="T28" s="8"/>
      <c r="U28" s="6" t="s">
        <v>347</v>
      </c>
      <c r="V28" s="5"/>
      <c r="W28" s="6" t="s">
        <v>158</v>
      </c>
      <c r="X28" s="7"/>
      <c r="Y28" s="5"/>
    </row>
    <row r="29" spans="1:25" ht="66" customHeight="1">
      <c r="A29" s="6" t="s">
        <v>348</v>
      </c>
      <c r="B29" s="6" t="s">
        <v>292</v>
      </c>
      <c r="C29" s="6" t="s">
        <v>349</v>
      </c>
      <c r="D29" s="6" t="s">
        <v>350</v>
      </c>
      <c r="E29" s="6" t="s">
        <v>351</v>
      </c>
      <c r="F29" s="6" t="s">
        <v>352</v>
      </c>
      <c r="G29" s="6" t="s">
        <v>353</v>
      </c>
      <c r="H29" s="6" t="s">
        <v>8</v>
      </c>
      <c r="I29" s="6" t="s">
        <v>14</v>
      </c>
      <c r="J29" s="6" t="s">
        <v>1</v>
      </c>
      <c r="K29" s="5"/>
      <c r="L29" s="7"/>
      <c r="M29" s="28"/>
      <c r="N29" s="28"/>
      <c r="O29" s="22">
        <f>IF(OR(M29="",N29=""),"",M29*N29)</f>
        <v/>
      </c>
      <c r="P29" s="21">
        <f>IF(O29="","",IF(O29&gt;=17,"Kritisch",IF(O29&gt;=10,"Hoch",IF(O29&gt;=5,"Mittel","Niedrig"))))</f>
        <v/>
      </c>
      <c r="Q29" s="5"/>
      <c r="R29" s="6" t="s">
        <v>354</v>
      </c>
      <c r="S29" s="6" t="s">
        <v>65</v>
      </c>
      <c r="T29" s="8"/>
      <c r="U29" s="6" t="s">
        <v>355</v>
      </c>
      <c r="V29" s="5"/>
      <c r="W29" s="6" t="s">
        <v>158</v>
      </c>
      <c r="X29" s="7"/>
      <c r="Y29" s="5"/>
    </row>
    <row r="30" spans="1:25" ht="66" customHeight="1">
      <c r="A30" s="6" t="s">
        <v>356</v>
      </c>
      <c r="B30" s="6" t="s">
        <v>292</v>
      </c>
      <c r="C30" s="6" t="s">
        <v>357</v>
      </c>
      <c r="D30" s="6" t="s">
        <v>358</v>
      </c>
      <c r="E30" s="6" t="s">
        <v>359</v>
      </c>
      <c r="F30" s="6" t="s">
        <v>360</v>
      </c>
      <c r="G30" s="6" t="s">
        <v>361</v>
      </c>
      <c r="H30" s="6" t="s">
        <v>8</v>
      </c>
      <c r="I30" s="6" t="s">
        <v>14</v>
      </c>
      <c r="J30" s="6" t="s">
        <v>1</v>
      </c>
      <c r="K30" s="5"/>
      <c r="L30" s="7"/>
      <c r="M30" s="28"/>
      <c r="N30" s="28"/>
      <c r="O30" s="22">
        <f>IF(OR(M30="",N30=""),"",M30*N30)</f>
        <v/>
      </c>
      <c r="P30" s="21">
        <f>IF(O30="","",IF(O30&gt;=17,"Kritisch",IF(O30&gt;=10,"Hoch",IF(O30&gt;=5,"Mittel","Niedrig"))))</f>
        <v/>
      </c>
      <c r="Q30" s="5"/>
      <c r="R30" s="6" t="s">
        <v>362</v>
      </c>
      <c r="S30" s="6" t="s">
        <v>65</v>
      </c>
      <c r="T30" s="8"/>
      <c r="U30" s="6" t="s">
        <v>363</v>
      </c>
      <c r="V30" s="5"/>
      <c r="W30" s="6" t="s">
        <v>158</v>
      </c>
      <c r="X30" s="7"/>
      <c r="Y30" s="5"/>
    </row>
    <row r="31" spans="1:25" ht="66" customHeight="1">
      <c r="A31" s="6" t="s">
        <v>364</v>
      </c>
      <c r="B31" s="6" t="s">
        <v>292</v>
      </c>
      <c r="C31" s="6" t="s">
        <v>365</v>
      </c>
      <c r="D31" s="6" t="s">
        <v>366</v>
      </c>
      <c r="E31" s="6" t="s">
        <v>367</v>
      </c>
      <c r="F31" s="6" t="s">
        <v>368</v>
      </c>
      <c r="G31" s="6" t="s">
        <v>369</v>
      </c>
      <c r="H31" s="6" t="s">
        <v>9</v>
      </c>
      <c r="I31" s="6" t="s">
        <v>14</v>
      </c>
      <c r="J31" s="6" t="s">
        <v>1</v>
      </c>
      <c r="K31" s="5"/>
      <c r="L31" s="7"/>
      <c r="M31" s="28"/>
      <c r="N31" s="28"/>
      <c r="O31" s="22">
        <f>IF(OR(M31="",N31=""),"",M31*N31)</f>
        <v/>
      </c>
      <c r="P31" s="21">
        <f>IF(O31="","",IF(O31&gt;=17,"Kritisch",IF(O31&gt;=10,"Hoch",IF(O31&gt;=5,"Mittel","Niedrig"))))</f>
        <v/>
      </c>
      <c r="Q31" s="5"/>
      <c r="R31" s="6" t="s">
        <v>370</v>
      </c>
      <c r="S31" s="6" t="s">
        <v>68</v>
      </c>
      <c r="T31" s="8"/>
      <c r="U31" s="6" t="s">
        <v>371</v>
      </c>
      <c r="V31" s="5"/>
      <c r="W31" s="6" t="s">
        <v>158</v>
      </c>
      <c r="X31" s="7"/>
      <c r="Y31" s="5"/>
    </row>
    <row r="32" spans="1:25" ht="66" customHeight="1">
      <c r="A32" s="6" t="s">
        <v>372</v>
      </c>
      <c r="B32" s="6" t="s">
        <v>292</v>
      </c>
      <c r="C32" s="6" t="s">
        <v>373</v>
      </c>
      <c r="D32" s="6" t="s">
        <v>374</v>
      </c>
      <c r="E32" s="6" t="s">
        <v>375</v>
      </c>
      <c r="F32" s="6" t="s">
        <v>376</v>
      </c>
      <c r="G32" s="6" t="s">
        <v>377</v>
      </c>
      <c r="H32" s="6" t="s">
        <v>8</v>
      </c>
      <c r="I32" s="6" t="s">
        <v>14</v>
      </c>
      <c r="J32" s="6" t="s">
        <v>1</v>
      </c>
      <c r="K32" s="5"/>
      <c r="L32" s="7"/>
      <c r="M32" s="28"/>
      <c r="N32" s="28"/>
      <c r="O32" s="22">
        <f>IF(OR(M32="",N32=""),"",M32*N32)</f>
        <v/>
      </c>
      <c r="P32" s="21">
        <f>IF(O32="","",IF(O32&gt;=17,"Kritisch",IF(O32&gt;=10,"Hoch",IF(O32&gt;=5,"Mittel","Niedrig"))))</f>
        <v/>
      </c>
      <c r="Q32" s="5"/>
      <c r="R32" s="6" t="s">
        <v>378</v>
      </c>
      <c r="S32" s="6" t="s">
        <v>65</v>
      </c>
      <c r="T32" s="8"/>
      <c r="U32" s="6" t="s">
        <v>379</v>
      </c>
      <c r="V32" s="5"/>
      <c r="W32" s="6" t="s">
        <v>158</v>
      </c>
      <c r="X32" s="7"/>
      <c r="Y32" s="5"/>
    </row>
    <row r="33" spans="1:25" ht="66" customHeight="1">
      <c r="A33" s="6" t="s">
        <v>380</v>
      </c>
      <c r="B33" s="6" t="s">
        <v>292</v>
      </c>
      <c r="C33" s="6" t="s">
        <v>381</v>
      </c>
      <c r="D33" s="6" t="s">
        <v>382</v>
      </c>
      <c r="E33" s="6" t="s">
        <v>383</v>
      </c>
      <c r="F33" s="6" t="s">
        <v>384</v>
      </c>
      <c r="G33" s="6" t="s">
        <v>385</v>
      </c>
      <c r="H33" s="6" t="s">
        <v>9</v>
      </c>
      <c r="I33" s="6" t="s">
        <v>14</v>
      </c>
      <c r="J33" s="6" t="s">
        <v>1</v>
      </c>
      <c r="K33" s="5"/>
      <c r="L33" s="7"/>
      <c r="M33" s="28"/>
      <c r="N33" s="28"/>
      <c r="O33" s="22">
        <f>IF(OR(M33="",N33=""),"",M33*N33)</f>
        <v/>
      </c>
      <c r="P33" s="21">
        <f>IF(O33="","",IF(O33&gt;=17,"Kritisch",IF(O33&gt;=10,"Hoch",IF(O33&gt;=5,"Mittel","Niedrig"))))</f>
        <v/>
      </c>
      <c r="Q33" s="5"/>
      <c r="R33" s="6" t="s">
        <v>386</v>
      </c>
      <c r="S33" s="6" t="s">
        <v>66</v>
      </c>
      <c r="T33" s="8"/>
      <c r="U33" s="6" t="s">
        <v>387</v>
      </c>
      <c r="V33" s="5"/>
      <c r="W33" s="6" t="s">
        <v>158</v>
      </c>
      <c r="X33" s="7"/>
      <c r="Y33" s="5"/>
    </row>
    <row r="34" spans="1:25" ht="66" customHeight="1">
      <c r="A34" s="6" t="s">
        <v>388</v>
      </c>
      <c r="B34" s="6" t="s">
        <v>292</v>
      </c>
      <c r="C34" s="6" t="s">
        <v>389</v>
      </c>
      <c r="D34" s="6" t="s">
        <v>390</v>
      </c>
      <c r="E34" s="6" t="s">
        <v>391</v>
      </c>
      <c r="F34" s="6" t="s">
        <v>392</v>
      </c>
      <c r="G34" s="6" t="s">
        <v>393</v>
      </c>
      <c r="H34" s="6" t="s">
        <v>8</v>
      </c>
      <c r="I34" s="6" t="s">
        <v>14</v>
      </c>
      <c r="J34" s="6" t="s">
        <v>1</v>
      </c>
      <c r="K34" s="5"/>
      <c r="L34" s="7"/>
      <c r="M34" s="28"/>
      <c r="N34" s="28"/>
      <c r="O34" s="22">
        <f>IF(OR(M34="",N34=""),"",M34*N34)</f>
        <v/>
      </c>
      <c r="P34" s="21">
        <f>IF(O34="","",IF(O34&gt;=17,"Kritisch",IF(O34&gt;=10,"Hoch",IF(O34&gt;=5,"Mittel","Niedrig"))))</f>
        <v/>
      </c>
      <c r="Q34" s="5"/>
      <c r="R34" s="6" t="s">
        <v>394</v>
      </c>
      <c r="S34" s="6" t="s">
        <v>65</v>
      </c>
      <c r="T34" s="8"/>
      <c r="U34" s="6" t="s">
        <v>395</v>
      </c>
      <c r="V34" s="5"/>
      <c r="W34" s="6" t="s">
        <v>158</v>
      </c>
      <c r="X34" s="7"/>
      <c r="Y34" s="5"/>
    </row>
    <row r="35" spans="1:25" ht="66" customHeight="1">
      <c r="A35" s="6" t="s">
        <v>396</v>
      </c>
      <c r="B35" s="6" t="s">
        <v>292</v>
      </c>
      <c r="C35" s="6" t="s">
        <v>397</v>
      </c>
      <c r="D35" s="6" t="s">
        <v>398</v>
      </c>
      <c r="E35" s="6" t="s">
        <v>399</v>
      </c>
      <c r="F35" s="6" t="s">
        <v>400</v>
      </c>
      <c r="G35" s="6" t="s">
        <v>401</v>
      </c>
      <c r="H35" s="6" t="s">
        <v>9</v>
      </c>
      <c r="I35" s="6" t="s">
        <v>14</v>
      </c>
      <c r="J35" s="6" t="s">
        <v>1</v>
      </c>
      <c r="K35" s="5"/>
      <c r="L35" s="7"/>
      <c r="M35" s="28"/>
      <c r="N35" s="28"/>
      <c r="O35" s="22">
        <f>IF(OR(M35="",N35=""),"",M35*N35)</f>
        <v/>
      </c>
      <c r="P35" s="21">
        <f>IF(O35="","",IF(O35&gt;=17,"Kritisch",IF(O35&gt;=10,"Hoch",IF(O35&gt;=5,"Mittel","Niedrig"))))</f>
        <v/>
      </c>
      <c r="Q35" s="5"/>
      <c r="R35" s="6" t="s">
        <v>402</v>
      </c>
      <c r="S35" s="6" t="s">
        <v>65</v>
      </c>
      <c r="T35" s="8"/>
      <c r="U35" s="6" t="s">
        <v>403</v>
      </c>
      <c r="V35" s="5"/>
      <c r="W35" s="6" t="s">
        <v>158</v>
      </c>
      <c r="X35" s="7"/>
      <c r="Y35" s="5"/>
    </row>
    <row r="36" spans="1:25" ht="66" customHeight="1">
      <c r="A36" s="6" t="s">
        <v>404</v>
      </c>
      <c r="B36" s="6" t="s">
        <v>292</v>
      </c>
      <c r="C36" s="6" t="s">
        <v>405</v>
      </c>
      <c r="D36" s="6" t="s">
        <v>406</v>
      </c>
      <c r="E36" s="6" t="s">
        <v>407</v>
      </c>
      <c r="F36" s="6" t="s">
        <v>408</v>
      </c>
      <c r="G36" s="6" t="s">
        <v>409</v>
      </c>
      <c r="H36" s="6" t="s">
        <v>8</v>
      </c>
      <c r="I36" s="6" t="s">
        <v>14</v>
      </c>
      <c r="J36" s="6" t="s">
        <v>1</v>
      </c>
      <c r="K36" s="5"/>
      <c r="L36" s="7"/>
      <c r="M36" s="28"/>
      <c r="N36" s="28"/>
      <c r="O36" s="22">
        <f>IF(OR(M36="",N36=""),"",M36*N36)</f>
        <v/>
      </c>
      <c r="P36" s="21">
        <f>IF(O36="","",IF(O36&gt;=17,"Kritisch",IF(O36&gt;=10,"Hoch",IF(O36&gt;=5,"Mittel","Niedrig"))))</f>
        <v/>
      </c>
      <c r="Q36" s="5"/>
      <c r="R36" s="6" t="s">
        <v>410</v>
      </c>
      <c r="S36" s="6" t="s">
        <v>68</v>
      </c>
      <c r="T36" s="8"/>
      <c r="U36" s="6" t="s">
        <v>411</v>
      </c>
      <c r="V36" s="5"/>
      <c r="W36" s="6" t="s">
        <v>158</v>
      </c>
      <c r="X36" s="7"/>
      <c r="Y36" s="5"/>
    </row>
    <row r="37" spans="1:25" ht="66" customHeight="1">
      <c r="A37" s="6" t="s">
        <v>412</v>
      </c>
      <c r="B37" s="6" t="s">
        <v>292</v>
      </c>
      <c r="C37" s="6" t="s">
        <v>413</v>
      </c>
      <c r="D37" s="6" t="s">
        <v>414</v>
      </c>
      <c r="E37" s="6" t="s">
        <v>415</v>
      </c>
      <c r="F37" s="6" t="s">
        <v>416</v>
      </c>
      <c r="G37" s="6" t="s">
        <v>417</v>
      </c>
      <c r="H37" s="6" t="s">
        <v>9</v>
      </c>
      <c r="I37" s="6" t="s">
        <v>14</v>
      </c>
      <c r="J37" s="6" t="s">
        <v>1</v>
      </c>
      <c r="K37" s="5"/>
      <c r="L37" s="7"/>
      <c r="M37" s="28"/>
      <c r="N37" s="28"/>
      <c r="O37" s="22">
        <f>IF(OR(M37="",N37=""),"",M37*N37)</f>
        <v/>
      </c>
      <c r="P37" s="21">
        <f>IF(O37="","",IF(O37&gt;=17,"Kritisch",IF(O37&gt;=10,"Hoch",IF(O37&gt;=5,"Mittel","Niedrig"))))</f>
        <v/>
      </c>
      <c r="Q37" s="5"/>
      <c r="R37" s="6" t="s">
        <v>418</v>
      </c>
      <c r="S37" s="6" t="s">
        <v>70</v>
      </c>
      <c r="T37" s="8"/>
      <c r="U37" s="6" t="s">
        <v>419</v>
      </c>
      <c r="V37" s="5"/>
      <c r="W37" s="6" t="s">
        <v>158</v>
      </c>
      <c r="X37" s="7"/>
      <c r="Y37" s="5"/>
    </row>
    <row r="38" spans="1:25" ht="66" customHeight="1">
      <c r="A38" s="6" t="s">
        <v>420</v>
      </c>
      <c r="B38" s="6" t="s">
        <v>421</v>
      </c>
      <c r="C38" s="6" t="s">
        <v>422</v>
      </c>
      <c r="D38" s="6" t="s">
        <v>423</v>
      </c>
      <c r="E38" s="6" t="s">
        <v>424</v>
      </c>
      <c r="F38" s="6" t="s">
        <v>425</v>
      </c>
      <c r="G38" s="6" t="s">
        <v>426</v>
      </c>
      <c r="H38" s="6" t="s">
        <v>9</v>
      </c>
      <c r="I38" s="6" t="s">
        <v>14</v>
      </c>
      <c r="J38" s="6" t="s">
        <v>1</v>
      </c>
      <c r="K38" s="5"/>
      <c r="L38" s="7"/>
      <c r="M38" s="28"/>
      <c r="N38" s="28"/>
      <c r="O38" s="22">
        <f>IF(OR(M38="",N38=""),"",M38*N38)</f>
        <v/>
      </c>
      <c r="P38" s="21">
        <f>IF(O38="","",IF(O38&gt;=17,"Kritisch",IF(O38&gt;=10,"Hoch",IF(O38&gt;=5,"Mittel","Niedrig"))))</f>
        <v/>
      </c>
      <c r="Q38" s="5"/>
      <c r="R38" s="6" t="s">
        <v>427</v>
      </c>
      <c r="S38" s="6" t="s">
        <v>65</v>
      </c>
      <c r="T38" s="8"/>
      <c r="U38" s="6" t="s">
        <v>428</v>
      </c>
      <c r="V38" s="5"/>
      <c r="W38" s="6" t="s">
        <v>158</v>
      </c>
      <c r="X38" s="7"/>
      <c r="Y38" s="5"/>
    </row>
    <row r="39" spans="1:25" ht="66" customHeight="1">
      <c r="A39" s="6" t="s">
        <v>429</v>
      </c>
      <c r="B39" s="6" t="s">
        <v>421</v>
      </c>
      <c r="C39" s="6" t="s">
        <v>430</v>
      </c>
      <c r="D39" s="6" t="s">
        <v>431</v>
      </c>
      <c r="E39" s="6" t="s">
        <v>432</v>
      </c>
      <c r="F39" s="6" t="s">
        <v>433</v>
      </c>
      <c r="G39" s="6" t="s">
        <v>434</v>
      </c>
      <c r="H39" s="6" t="s">
        <v>9</v>
      </c>
      <c r="I39" s="6" t="s">
        <v>14</v>
      </c>
      <c r="J39" s="6" t="s">
        <v>1</v>
      </c>
      <c r="K39" s="5"/>
      <c r="L39" s="7"/>
      <c r="M39" s="28"/>
      <c r="N39" s="28"/>
      <c r="O39" s="22">
        <f>IF(OR(M39="",N39=""),"",M39*N39)</f>
        <v/>
      </c>
      <c r="P39" s="21">
        <f>IF(O39="","",IF(O39&gt;=17,"Kritisch",IF(O39&gt;=10,"Hoch",IF(O39&gt;=5,"Mittel","Niedrig"))))</f>
        <v/>
      </c>
      <c r="Q39" s="5"/>
      <c r="R39" s="6" t="s">
        <v>435</v>
      </c>
      <c r="S39" s="6" t="s">
        <v>69</v>
      </c>
      <c r="T39" s="8"/>
      <c r="U39" s="6" t="s">
        <v>339</v>
      </c>
      <c r="V39" s="5"/>
      <c r="W39" s="6" t="s">
        <v>158</v>
      </c>
      <c r="X39" s="7"/>
      <c r="Y39" s="5"/>
    </row>
    <row r="40" spans="1:25" ht="66" customHeight="1">
      <c r="A40" s="6" t="s">
        <v>436</v>
      </c>
      <c r="B40" s="6" t="s">
        <v>421</v>
      </c>
      <c r="C40" s="6" t="s">
        <v>437</v>
      </c>
      <c r="D40" s="6" t="s">
        <v>438</v>
      </c>
      <c r="E40" s="6" t="s">
        <v>439</v>
      </c>
      <c r="F40" s="6" t="s">
        <v>440</v>
      </c>
      <c r="G40" s="6" t="s">
        <v>441</v>
      </c>
      <c r="H40" s="6" t="s">
        <v>8</v>
      </c>
      <c r="I40" s="6" t="s">
        <v>14</v>
      </c>
      <c r="J40" s="6" t="s">
        <v>1</v>
      </c>
      <c r="K40" s="5"/>
      <c r="L40" s="7"/>
      <c r="M40" s="28"/>
      <c r="N40" s="28"/>
      <c r="O40" s="22">
        <f>IF(OR(M40="",N40=""),"",M40*N40)</f>
        <v/>
      </c>
      <c r="P40" s="21">
        <f>IF(O40="","",IF(O40&gt;=17,"Kritisch",IF(O40&gt;=10,"Hoch",IF(O40&gt;=5,"Mittel","Niedrig"))))</f>
        <v/>
      </c>
      <c r="Q40" s="5"/>
      <c r="R40" s="6" t="s">
        <v>442</v>
      </c>
      <c r="S40" s="6" t="s">
        <v>65</v>
      </c>
      <c r="T40" s="8"/>
      <c r="U40" s="6" t="s">
        <v>443</v>
      </c>
      <c r="V40" s="5"/>
      <c r="W40" s="6" t="s">
        <v>158</v>
      </c>
      <c r="X40" s="7"/>
      <c r="Y40" s="5"/>
    </row>
    <row r="41" spans="1:25" ht="66" customHeight="1">
      <c r="A41" s="6" t="s">
        <v>444</v>
      </c>
      <c r="B41" s="6" t="s">
        <v>421</v>
      </c>
      <c r="C41" s="6" t="s">
        <v>445</v>
      </c>
      <c r="D41" s="6" t="s">
        <v>446</v>
      </c>
      <c r="E41" s="6" t="s">
        <v>447</v>
      </c>
      <c r="F41" s="6" t="s">
        <v>448</v>
      </c>
      <c r="G41" s="6" t="s">
        <v>449</v>
      </c>
      <c r="H41" s="6" t="s">
        <v>9</v>
      </c>
      <c r="I41" s="6" t="s">
        <v>14</v>
      </c>
      <c r="J41" s="6" t="s">
        <v>1</v>
      </c>
      <c r="K41" s="5"/>
      <c r="L41" s="7"/>
      <c r="M41" s="28"/>
      <c r="N41" s="28"/>
      <c r="O41" s="22">
        <f>IF(OR(M41="",N41=""),"",M41*N41)</f>
        <v/>
      </c>
      <c r="P41" s="21">
        <f>IF(O41="","",IF(O41&gt;=17,"Kritisch",IF(O41&gt;=10,"Hoch",IF(O41&gt;=5,"Mittel","Niedrig"))))</f>
        <v/>
      </c>
      <c r="Q41" s="5"/>
      <c r="R41" s="6" t="s">
        <v>450</v>
      </c>
      <c r="S41" s="6" t="s">
        <v>65</v>
      </c>
      <c r="T41" s="8"/>
      <c r="U41" s="6" t="s">
        <v>451</v>
      </c>
      <c r="V41" s="5"/>
      <c r="W41" s="6" t="s">
        <v>158</v>
      </c>
      <c r="X41" s="7"/>
      <c r="Y41" s="5"/>
    </row>
    <row r="42" spans="1:25" ht="66" customHeight="1">
      <c r="A42" s="6" t="s">
        <v>452</v>
      </c>
      <c r="B42" s="6" t="s">
        <v>421</v>
      </c>
      <c r="C42" s="6" t="s">
        <v>453</v>
      </c>
      <c r="D42" s="6" t="s">
        <v>454</v>
      </c>
      <c r="E42" s="6" t="s">
        <v>455</v>
      </c>
      <c r="F42" s="6" t="s">
        <v>456</v>
      </c>
      <c r="G42" s="6" t="s">
        <v>457</v>
      </c>
      <c r="H42" s="6" t="s">
        <v>8</v>
      </c>
      <c r="I42" s="6" t="s">
        <v>14</v>
      </c>
      <c r="J42" s="6" t="s">
        <v>1</v>
      </c>
      <c r="K42" s="5"/>
      <c r="L42" s="7"/>
      <c r="M42" s="28"/>
      <c r="N42" s="28"/>
      <c r="O42" s="22">
        <f>IF(OR(M42="",N42=""),"",M42*N42)</f>
        <v/>
      </c>
      <c r="P42" s="21">
        <f>IF(O42="","",IF(O42&gt;=17,"Kritisch",IF(O42&gt;=10,"Hoch",IF(O42&gt;=5,"Mittel","Niedrig"))))</f>
        <v/>
      </c>
      <c r="Q42" s="5"/>
      <c r="R42" s="6" t="s">
        <v>458</v>
      </c>
      <c r="S42" s="6" t="s">
        <v>65</v>
      </c>
      <c r="T42" s="8"/>
      <c r="U42" s="6" t="s">
        <v>428</v>
      </c>
      <c r="V42" s="5"/>
      <c r="W42" s="6" t="s">
        <v>158</v>
      </c>
      <c r="X42" s="7"/>
      <c r="Y42" s="5"/>
    </row>
    <row r="43" spans="1:25" ht="66" customHeight="1">
      <c r="A43" s="6" t="s">
        <v>459</v>
      </c>
      <c r="B43" s="6" t="s">
        <v>421</v>
      </c>
      <c r="C43" s="6" t="s">
        <v>460</v>
      </c>
      <c r="D43" s="6" t="s">
        <v>461</v>
      </c>
      <c r="E43" s="6" t="s">
        <v>462</v>
      </c>
      <c r="F43" s="6" t="s">
        <v>463</v>
      </c>
      <c r="G43" s="6" t="s">
        <v>464</v>
      </c>
      <c r="H43" s="6" t="s">
        <v>9</v>
      </c>
      <c r="I43" s="6" t="s">
        <v>14</v>
      </c>
      <c r="J43" s="6" t="s">
        <v>1</v>
      </c>
      <c r="K43" s="5"/>
      <c r="L43" s="7"/>
      <c r="M43" s="28"/>
      <c r="N43" s="28"/>
      <c r="O43" s="22">
        <f>IF(OR(M43="",N43=""),"",M43*N43)</f>
        <v/>
      </c>
      <c r="P43" s="21">
        <f>IF(O43="","",IF(O43&gt;=17,"Kritisch",IF(O43&gt;=10,"Hoch",IF(O43&gt;=5,"Mittel","Niedrig"))))</f>
        <v/>
      </c>
      <c r="Q43" s="5"/>
      <c r="R43" s="6" t="s">
        <v>465</v>
      </c>
      <c r="S43" s="6" t="s">
        <v>69</v>
      </c>
      <c r="T43" s="8"/>
      <c r="U43" s="6" t="s">
        <v>466</v>
      </c>
      <c r="V43" s="5"/>
      <c r="W43" s="6" t="s">
        <v>158</v>
      </c>
      <c r="X43" s="7"/>
      <c r="Y43" s="5"/>
    </row>
    <row r="44" spans="1:25" ht="66" customHeight="1">
      <c r="A44" s="6" t="s">
        <v>467</v>
      </c>
      <c r="B44" s="6" t="s">
        <v>421</v>
      </c>
      <c r="C44" s="6" t="s">
        <v>468</v>
      </c>
      <c r="D44" s="6" t="s">
        <v>469</v>
      </c>
      <c r="E44" s="6" t="s">
        <v>470</v>
      </c>
      <c r="F44" s="6" t="s">
        <v>471</v>
      </c>
      <c r="G44" s="6" t="s">
        <v>472</v>
      </c>
      <c r="H44" s="6" t="s">
        <v>9</v>
      </c>
      <c r="I44" s="6" t="s">
        <v>14</v>
      </c>
      <c r="J44" s="6" t="s">
        <v>1</v>
      </c>
      <c r="K44" s="5"/>
      <c r="L44" s="7"/>
      <c r="M44" s="28"/>
      <c r="N44" s="28"/>
      <c r="O44" s="22">
        <f>IF(OR(M44="",N44=""),"",M44*N44)</f>
        <v/>
      </c>
      <c r="P44" s="21">
        <f>IF(O44="","",IF(O44&gt;=17,"Kritisch",IF(O44&gt;=10,"Hoch",IF(O44&gt;=5,"Mittel","Niedrig"))))</f>
        <v/>
      </c>
      <c r="Q44" s="5"/>
      <c r="R44" s="6" t="s">
        <v>473</v>
      </c>
      <c r="S44" s="6" t="s">
        <v>65</v>
      </c>
      <c r="T44" s="8"/>
      <c r="U44" s="6" t="s">
        <v>474</v>
      </c>
      <c r="V44" s="5"/>
      <c r="W44" s="6" t="s">
        <v>158</v>
      </c>
      <c r="X44" s="7"/>
      <c r="Y44" s="5"/>
    </row>
    <row r="45" spans="1:25" ht="66" customHeight="1">
      <c r="A45" s="6" t="s">
        <v>475</v>
      </c>
      <c r="B45" s="6" t="s">
        <v>421</v>
      </c>
      <c r="C45" s="6" t="s">
        <v>476</v>
      </c>
      <c r="D45" s="6" t="s">
        <v>477</v>
      </c>
      <c r="E45" s="6" t="s">
        <v>478</v>
      </c>
      <c r="F45" s="6" t="s">
        <v>479</v>
      </c>
      <c r="G45" s="6" t="s">
        <v>480</v>
      </c>
      <c r="H45" s="6" t="s">
        <v>9</v>
      </c>
      <c r="I45" s="6" t="s">
        <v>14</v>
      </c>
      <c r="J45" s="6" t="s">
        <v>1</v>
      </c>
      <c r="K45" s="5"/>
      <c r="L45" s="7"/>
      <c r="M45" s="28"/>
      <c r="N45" s="28"/>
      <c r="O45" s="22">
        <f>IF(OR(M45="",N45=""),"",M45*N45)</f>
        <v/>
      </c>
      <c r="P45" s="21">
        <f>IF(O45="","",IF(O45&gt;=17,"Kritisch",IF(O45&gt;=10,"Hoch",IF(O45&gt;=5,"Mittel","Niedrig"))))</f>
        <v/>
      </c>
      <c r="Q45" s="5"/>
      <c r="R45" s="6" t="s">
        <v>481</v>
      </c>
      <c r="S45" s="6" t="s">
        <v>69</v>
      </c>
      <c r="T45" s="8"/>
      <c r="U45" s="6" t="s">
        <v>466</v>
      </c>
      <c r="V45" s="5"/>
      <c r="W45" s="6" t="s">
        <v>158</v>
      </c>
      <c r="X45" s="7"/>
      <c r="Y45" s="5"/>
    </row>
    <row r="46" spans="1:25" ht="66" customHeight="1">
      <c r="A46" s="6" t="s">
        <v>482</v>
      </c>
      <c r="B46" s="6" t="s">
        <v>421</v>
      </c>
      <c r="C46" s="6" t="s">
        <v>483</v>
      </c>
      <c r="D46" s="6" t="s">
        <v>484</v>
      </c>
      <c r="E46" s="6" t="s">
        <v>485</v>
      </c>
      <c r="F46" s="6" t="s">
        <v>486</v>
      </c>
      <c r="G46" s="6" t="s">
        <v>487</v>
      </c>
      <c r="H46" s="6" t="s">
        <v>10</v>
      </c>
      <c r="I46" s="6" t="s">
        <v>14</v>
      </c>
      <c r="J46" s="6" t="s">
        <v>1</v>
      </c>
      <c r="K46" s="5"/>
      <c r="L46" s="7"/>
      <c r="M46" s="28"/>
      <c r="N46" s="28"/>
      <c r="O46" s="22">
        <f>IF(OR(M46="",N46=""),"",M46*N46)</f>
        <v/>
      </c>
      <c r="P46" s="21">
        <f>IF(O46="","",IF(O46&gt;=17,"Kritisch",IF(O46&gt;=10,"Hoch",IF(O46&gt;=5,"Mittel","Niedrig"))))</f>
        <v/>
      </c>
      <c r="Q46" s="5"/>
      <c r="R46" s="6" t="s">
        <v>488</v>
      </c>
      <c r="S46" s="6" t="s">
        <v>69</v>
      </c>
      <c r="T46" s="8"/>
      <c r="U46" s="6" t="s">
        <v>489</v>
      </c>
      <c r="V46" s="5"/>
      <c r="W46" s="6" t="s">
        <v>158</v>
      </c>
      <c r="X46" s="7"/>
      <c r="Y46" s="5"/>
    </row>
    <row r="47" spans="1:25" ht="66" customHeight="1">
      <c r="A47" s="6" t="s">
        <v>490</v>
      </c>
      <c r="B47" s="6" t="s">
        <v>421</v>
      </c>
      <c r="C47" s="6" t="s">
        <v>491</v>
      </c>
      <c r="D47" s="6" t="s">
        <v>492</v>
      </c>
      <c r="E47" s="6" t="s">
        <v>493</v>
      </c>
      <c r="F47" s="6" t="s">
        <v>494</v>
      </c>
      <c r="G47" s="6" t="s">
        <v>495</v>
      </c>
      <c r="H47" s="6" t="s">
        <v>9</v>
      </c>
      <c r="I47" s="6" t="s">
        <v>14</v>
      </c>
      <c r="J47" s="6" t="s">
        <v>1</v>
      </c>
      <c r="K47" s="5"/>
      <c r="L47" s="7"/>
      <c r="M47" s="28"/>
      <c r="N47" s="28"/>
      <c r="O47" s="22">
        <f>IF(OR(M47="",N47=""),"",M47*N47)</f>
        <v/>
      </c>
      <c r="P47" s="21">
        <f>IF(O47="","",IF(O47&gt;=17,"Kritisch",IF(O47&gt;=10,"Hoch",IF(O47&gt;=5,"Mittel","Niedrig"))))</f>
        <v/>
      </c>
      <c r="Q47" s="5"/>
      <c r="R47" s="6" t="s">
        <v>496</v>
      </c>
      <c r="S47" s="6" t="s">
        <v>65</v>
      </c>
      <c r="T47" s="8"/>
      <c r="U47" s="6" t="s">
        <v>497</v>
      </c>
      <c r="V47" s="5"/>
      <c r="W47" s="6" t="s">
        <v>158</v>
      </c>
      <c r="X47" s="7"/>
      <c r="Y47" s="5"/>
    </row>
    <row r="48" spans="1:25" ht="66" customHeight="1">
      <c r="A48" s="6" t="s">
        <v>498</v>
      </c>
      <c r="B48" s="6" t="s">
        <v>499</v>
      </c>
      <c r="C48" s="6" t="s">
        <v>500</v>
      </c>
      <c r="D48" s="6" t="s">
        <v>501</v>
      </c>
      <c r="E48" s="6" t="s">
        <v>502</v>
      </c>
      <c r="F48" s="6" t="s">
        <v>503</v>
      </c>
      <c r="G48" s="6" t="s">
        <v>504</v>
      </c>
      <c r="H48" s="6" t="s">
        <v>8</v>
      </c>
      <c r="I48" s="6" t="s">
        <v>14</v>
      </c>
      <c r="J48" s="6" t="s">
        <v>1</v>
      </c>
      <c r="K48" s="5"/>
      <c r="L48" s="7"/>
      <c r="M48" s="28"/>
      <c r="N48" s="28"/>
      <c r="O48" s="22">
        <f>IF(OR(M48="",N48=""),"",M48*N48)</f>
        <v/>
      </c>
      <c r="P48" s="21">
        <f>IF(O48="","",IF(O48&gt;=17,"Kritisch",IF(O48&gt;=10,"Hoch",IF(O48&gt;=5,"Mittel","Niedrig"))))</f>
        <v/>
      </c>
      <c r="Q48" s="5"/>
      <c r="R48" s="6" t="s">
        <v>505</v>
      </c>
      <c r="S48" s="6" t="s">
        <v>66</v>
      </c>
      <c r="T48" s="8"/>
      <c r="U48" s="6" t="s">
        <v>506</v>
      </c>
      <c r="V48" s="5"/>
      <c r="W48" s="6" t="s">
        <v>158</v>
      </c>
      <c r="X48" s="7"/>
      <c r="Y48" s="5"/>
    </row>
    <row r="49" spans="1:25" ht="66" customHeight="1">
      <c r="A49" s="6" t="s">
        <v>507</v>
      </c>
      <c r="B49" s="6" t="s">
        <v>499</v>
      </c>
      <c r="C49" s="6" t="s">
        <v>508</v>
      </c>
      <c r="D49" s="6" t="s">
        <v>509</v>
      </c>
      <c r="E49" s="6" t="s">
        <v>510</v>
      </c>
      <c r="F49" s="6" t="s">
        <v>511</v>
      </c>
      <c r="G49" s="6" t="s">
        <v>512</v>
      </c>
      <c r="H49" s="6" t="s">
        <v>8</v>
      </c>
      <c r="I49" s="6" t="s">
        <v>14</v>
      </c>
      <c r="J49" s="6" t="s">
        <v>1</v>
      </c>
      <c r="K49" s="5"/>
      <c r="L49" s="7"/>
      <c r="M49" s="28"/>
      <c r="N49" s="28"/>
      <c r="O49" s="22">
        <f>IF(OR(M49="",N49=""),"",M49*N49)</f>
        <v/>
      </c>
      <c r="P49" s="21">
        <f>IF(O49="","",IF(O49&gt;=17,"Kritisch",IF(O49&gt;=10,"Hoch",IF(O49&gt;=5,"Mittel","Niedrig"))))</f>
        <v/>
      </c>
      <c r="Q49" s="5"/>
      <c r="R49" s="6" t="s">
        <v>513</v>
      </c>
      <c r="S49" s="6" t="s">
        <v>66</v>
      </c>
      <c r="T49" s="8"/>
      <c r="U49" s="6" t="s">
        <v>514</v>
      </c>
      <c r="V49" s="5"/>
      <c r="W49" s="6" t="s">
        <v>158</v>
      </c>
      <c r="X49" s="7"/>
      <c r="Y49" s="5"/>
    </row>
    <row r="50" spans="1:25" ht="66" customHeight="1">
      <c r="A50" s="6" t="s">
        <v>515</v>
      </c>
      <c r="B50" s="6" t="s">
        <v>499</v>
      </c>
      <c r="C50" s="6" t="s">
        <v>516</v>
      </c>
      <c r="D50" s="6" t="s">
        <v>517</v>
      </c>
      <c r="E50" s="6" t="s">
        <v>518</v>
      </c>
      <c r="F50" s="6" t="s">
        <v>519</v>
      </c>
      <c r="G50" s="6" t="s">
        <v>520</v>
      </c>
      <c r="H50" s="6" t="s">
        <v>9</v>
      </c>
      <c r="I50" s="6" t="s">
        <v>14</v>
      </c>
      <c r="J50" s="6" t="s">
        <v>1</v>
      </c>
      <c r="K50" s="5"/>
      <c r="L50" s="7"/>
      <c r="M50" s="28"/>
      <c r="N50" s="28"/>
      <c r="O50" s="22">
        <f>IF(OR(M50="",N50=""),"",M50*N50)</f>
        <v/>
      </c>
      <c r="P50" s="21">
        <f>IF(O50="","",IF(O50&gt;=17,"Kritisch",IF(O50&gt;=10,"Hoch",IF(O50&gt;=5,"Mittel","Niedrig"))))</f>
        <v/>
      </c>
      <c r="Q50" s="5"/>
      <c r="R50" s="6" t="s">
        <v>521</v>
      </c>
      <c r="S50" s="6" t="s">
        <v>65</v>
      </c>
      <c r="T50" s="8"/>
      <c r="U50" s="6" t="s">
        <v>522</v>
      </c>
      <c r="V50" s="5"/>
      <c r="W50" s="6" t="s">
        <v>158</v>
      </c>
      <c r="X50" s="7"/>
      <c r="Y50" s="5"/>
    </row>
    <row r="51" spans="1:25" ht="66" customHeight="1">
      <c r="A51" s="6" t="s">
        <v>523</v>
      </c>
      <c r="B51" s="6" t="s">
        <v>499</v>
      </c>
      <c r="C51" s="6" t="s">
        <v>524</v>
      </c>
      <c r="D51" s="6" t="s">
        <v>525</v>
      </c>
      <c r="E51" s="6" t="s">
        <v>526</v>
      </c>
      <c r="F51" s="6" t="s">
        <v>527</v>
      </c>
      <c r="G51" s="6" t="s">
        <v>528</v>
      </c>
      <c r="H51" s="6" t="s">
        <v>8</v>
      </c>
      <c r="I51" s="6" t="s">
        <v>14</v>
      </c>
      <c r="J51" s="6" t="s">
        <v>1</v>
      </c>
      <c r="K51" s="5"/>
      <c r="L51" s="7"/>
      <c r="M51" s="28"/>
      <c r="N51" s="28"/>
      <c r="O51" s="22">
        <f>IF(OR(M51="",N51=""),"",M51*N51)</f>
        <v/>
      </c>
      <c r="P51" s="21">
        <f>IF(O51="","",IF(O51&gt;=17,"Kritisch",IF(O51&gt;=10,"Hoch",IF(O51&gt;=5,"Mittel","Niedrig"))))</f>
        <v/>
      </c>
      <c r="Q51" s="5"/>
      <c r="R51" s="6" t="s">
        <v>529</v>
      </c>
      <c r="S51" s="6" t="s">
        <v>66</v>
      </c>
      <c r="T51" s="8"/>
      <c r="U51" s="6" t="s">
        <v>530</v>
      </c>
      <c r="V51" s="5"/>
      <c r="W51" s="6" t="s">
        <v>158</v>
      </c>
      <c r="X51" s="7"/>
      <c r="Y51" s="5"/>
    </row>
    <row r="52" spans="1:25" ht="66" customHeight="1">
      <c r="A52" s="6" t="s">
        <v>531</v>
      </c>
      <c r="B52" s="6" t="s">
        <v>499</v>
      </c>
      <c r="C52" s="6" t="s">
        <v>532</v>
      </c>
      <c r="D52" s="6" t="s">
        <v>533</v>
      </c>
      <c r="E52" s="6" t="s">
        <v>534</v>
      </c>
      <c r="F52" s="6" t="s">
        <v>535</v>
      </c>
      <c r="G52" s="6" t="s">
        <v>536</v>
      </c>
      <c r="H52" s="6" t="s">
        <v>8</v>
      </c>
      <c r="I52" s="6" t="s">
        <v>14</v>
      </c>
      <c r="J52" s="6" t="s">
        <v>1</v>
      </c>
      <c r="K52" s="5"/>
      <c r="L52" s="7"/>
      <c r="M52" s="28"/>
      <c r="N52" s="28"/>
      <c r="O52" s="22">
        <f>IF(OR(M52="",N52=""),"",M52*N52)</f>
        <v/>
      </c>
      <c r="P52" s="21">
        <f>IF(O52="","",IF(O52&gt;=17,"Kritisch",IF(O52&gt;=10,"Hoch",IF(O52&gt;=5,"Mittel","Niedrig"))))</f>
        <v/>
      </c>
      <c r="Q52" s="5"/>
      <c r="R52" s="6" t="s">
        <v>537</v>
      </c>
      <c r="S52" s="6" t="s">
        <v>66</v>
      </c>
      <c r="T52" s="8"/>
      <c r="U52" s="6" t="s">
        <v>387</v>
      </c>
      <c r="V52" s="5"/>
      <c r="W52" s="6" t="s">
        <v>158</v>
      </c>
      <c r="X52" s="7"/>
      <c r="Y52" s="5"/>
    </row>
    <row r="53" spans="1:25" ht="66" customHeight="1">
      <c r="A53" s="6" t="s">
        <v>538</v>
      </c>
      <c r="B53" s="6" t="s">
        <v>499</v>
      </c>
      <c r="C53" s="6" t="s">
        <v>539</v>
      </c>
      <c r="D53" s="6" t="s">
        <v>540</v>
      </c>
      <c r="E53" s="6" t="s">
        <v>541</v>
      </c>
      <c r="F53" s="6" t="s">
        <v>542</v>
      </c>
      <c r="G53" s="6" t="s">
        <v>543</v>
      </c>
      <c r="H53" s="6" t="s">
        <v>8</v>
      </c>
      <c r="I53" s="6" t="s">
        <v>14</v>
      </c>
      <c r="J53" s="6" t="s">
        <v>1</v>
      </c>
      <c r="K53" s="5"/>
      <c r="L53" s="7"/>
      <c r="M53" s="28"/>
      <c r="N53" s="28"/>
      <c r="O53" s="22">
        <f>IF(OR(M53="",N53=""),"",M53*N53)</f>
        <v/>
      </c>
      <c r="P53" s="21">
        <f>IF(O53="","",IF(O53&gt;=17,"Kritisch",IF(O53&gt;=10,"Hoch",IF(O53&gt;=5,"Mittel","Niedrig"))))</f>
        <v/>
      </c>
      <c r="Q53" s="5"/>
      <c r="R53" s="6" t="s">
        <v>544</v>
      </c>
      <c r="S53" s="6" t="s">
        <v>66</v>
      </c>
      <c r="T53" s="8"/>
      <c r="U53" s="6" t="s">
        <v>530</v>
      </c>
      <c r="V53" s="5"/>
      <c r="W53" s="6" t="s">
        <v>545</v>
      </c>
      <c r="X53" s="7"/>
      <c r="Y53" s="5"/>
    </row>
    <row r="54" spans="1:25" ht="66" customHeight="1">
      <c r="A54" s="6" t="s">
        <v>546</v>
      </c>
      <c r="B54" s="6" t="s">
        <v>499</v>
      </c>
      <c r="C54" s="6" t="s">
        <v>547</v>
      </c>
      <c r="D54" s="6" t="s">
        <v>548</v>
      </c>
      <c r="E54" s="6" t="s">
        <v>549</v>
      </c>
      <c r="F54" s="6" t="s">
        <v>550</v>
      </c>
      <c r="G54" s="6" t="s">
        <v>551</v>
      </c>
      <c r="H54" s="6" t="s">
        <v>9</v>
      </c>
      <c r="I54" s="6" t="s">
        <v>14</v>
      </c>
      <c r="J54" s="6" t="s">
        <v>1</v>
      </c>
      <c r="K54" s="5"/>
      <c r="L54" s="7"/>
      <c r="M54" s="28"/>
      <c r="N54" s="28"/>
      <c r="O54" s="22">
        <f>IF(OR(M54="",N54=""),"",M54*N54)</f>
        <v/>
      </c>
      <c r="P54" s="21">
        <f>IF(O54="","",IF(O54&gt;=17,"Kritisch",IF(O54&gt;=10,"Hoch",IF(O54&gt;=5,"Mittel","Niedrig"))))</f>
        <v/>
      </c>
      <c r="Q54" s="5"/>
      <c r="R54" s="6" t="s">
        <v>552</v>
      </c>
      <c r="S54" s="6" t="s">
        <v>66</v>
      </c>
      <c r="T54" s="8"/>
      <c r="U54" s="6" t="s">
        <v>553</v>
      </c>
      <c r="V54" s="5"/>
      <c r="W54" s="6" t="s">
        <v>545</v>
      </c>
      <c r="X54" s="7"/>
      <c r="Y54" s="5"/>
    </row>
    <row r="55" spans="1:25" ht="66" customHeight="1">
      <c r="A55" s="6" t="s">
        <v>554</v>
      </c>
      <c r="B55" s="6" t="s">
        <v>499</v>
      </c>
      <c r="C55" s="6" t="s">
        <v>555</v>
      </c>
      <c r="D55" s="6" t="s">
        <v>556</v>
      </c>
      <c r="E55" s="6" t="s">
        <v>557</v>
      </c>
      <c r="F55" s="6" t="s">
        <v>558</v>
      </c>
      <c r="G55" s="6" t="s">
        <v>559</v>
      </c>
      <c r="H55" s="6" t="s">
        <v>9</v>
      </c>
      <c r="I55" s="6" t="s">
        <v>14</v>
      </c>
      <c r="J55" s="6" t="s">
        <v>1</v>
      </c>
      <c r="K55" s="5"/>
      <c r="L55" s="7"/>
      <c r="M55" s="28"/>
      <c r="N55" s="28"/>
      <c r="O55" s="22">
        <f>IF(OR(M55="",N55=""),"",M55*N55)</f>
        <v/>
      </c>
      <c r="P55" s="21">
        <f>IF(O55="","",IF(O55&gt;=17,"Kritisch",IF(O55&gt;=10,"Hoch",IF(O55&gt;=5,"Mittel","Niedrig"))))</f>
        <v/>
      </c>
      <c r="Q55" s="5"/>
      <c r="R55" s="6" t="s">
        <v>560</v>
      </c>
      <c r="S55" s="6" t="s">
        <v>65</v>
      </c>
      <c r="T55" s="8"/>
      <c r="U55" s="6" t="s">
        <v>530</v>
      </c>
      <c r="V55" s="5"/>
      <c r="W55" s="6" t="s">
        <v>545</v>
      </c>
      <c r="X55" s="7"/>
      <c r="Y55" s="5"/>
    </row>
    <row r="56" spans="1:25" ht="66" customHeight="1">
      <c r="A56" s="6" t="s">
        <v>561</v>
      </c>
      <c r="B56" s="6" t="s">
        <v>499</v>
      </c>
      <c r="C56" s="6" t="s">
        <v>562</v>
      </c>
      <c r="D56" s="6" t="s">
        <v>563</v>
      </c>
      <c r="E56" s="6" t="s">
        <v>564</v>
      </c>
      <c r="F56" s="6" t="s">
        <v>565</v>
      </c>
      <c r="G56" s="6" t="s">
        <v>566</v>
      </c>
      <c r="H56" s="6" t="s">
        <v>8</v>
      </c>
      <c r="I56" s="6" t="s">
        <v>14</v>
      </c>
      <c r="J56" s="6" t="s">
        <v>1</v>
      </c>
      <c r="K56" s="5"/>
      <c r="L56" s="7"/>
      <c r="M56" s="28"/>
      <c r="N56" s="28"/>
      <c r="O56" s="22">
        <f>IF(OR(M56="",N56=""),"",M56*N56)</f>
        <v/>
      </c>
      <c r="P56" s="21">
        <f>IF(O56="","",IF(O56&gt;=17,"Kritisch",IF(O56&gt;=10,"Hoch",IF(O56&gt;=5,"Mittel","Niedrig"))))</f>
        <v/>
      </c>
      <c r="Q56" s="5"/>
      <c r="R56" s="6" t="s">
        <v>567</v>
      </c>
      <c r="S56" s="6" t="s">
        <v>67</v>
      </c>
      <c r="T56" s="8"/>
      <c r="U56" s="6" t="s">
        <v>568</v>
      </c>
      <c r="V56" s="5"/>
      <c r="W56" s="6" t="s">
        <v>158</v>
      </c>
      <c r="X56" s="7"/>
      <c r="Y56" s="5"/>
    </row>
    <row r="57" spans="1:25" ht="66" customHeight="1">
      <c r="A57" s="6" t="s">
        <v>569</v>
      </c>
      <c r="B57" s="6" t="s">
        <v>499</v>
      </c>
      <c r="C57" s="6" t="s">
        <v>570</v>
      </c>
      <c r="D57" s="6" t="s">
        <v>571</v>
      </c>
      <c r="E57" s="6" t="s">
        <v>572</v>
      </c>
      <c r="F57" s="6" t="s">
        <v>573</v>
      </c>
      <c r="G57" s="6" t="s">
        <v>574</v>
      </c>
      <c r="H57" s="6" t="s">
        <v>10</v>
      </c>
      <c r="I57" s="6" t="s">
        <v>14</v>
      </c>
      <c r="J57" s="6" t="s">
        <v>1</v>
      </c>
      <c r="K57" s="5"/>
      <c r="L57" s="7"/>
      <c r="M57" s="28"/>
      <c r="N57" s="28"/>
      <c r="O57" s="22">
        <f>IF(OR(M57="",N57=""),"",M57*N57)</f>
        <v/>
      </c>
      <c r="P57" s="21">
        <f>IF(O57="","",IF(O57&gt;=17,"Kritisch",IF(O57&gt;=10,"Hoch",IF(O57&gt;=5,"Mittel","Niedrig"))))</f>
        <v/>
      </c>
      <c r="Q57" s="5"/>
      <c r="R57" s="6" t="s">
        <v>575</v>
      </c>
      <c r="S57" s="6" t="s">
        <v>69</v>
      </c>
      <c r="T57" s="8"/>
      <c r="U57" s="6" t="s">
        <v>466</v>
      </c>
      <c r="V57" s="5"/>
      <c r="W57" s="6" t="s">
        <v>158</v>
      </c>
      <c r="X57" s="7"/>
      <c r="Y57" s="5"/>
    </row>
    <row r="58" spans="1:25" ht="66" customHeight="1">
      <c r="A58" s="6" t="s">
        <v>576</v>
      </c>
      <c r="B58" s="6" t="s">
        <v>499</v>
      </c>
      <c r="C58" s="6" t="s">
        <v>577</v>
      </c>
      <c r="D58" s="6" t="s">
        <v>578</v>
      </c>
      <c r="E58" s="6" t="s">
        <v>579</v>
      </c>
      <c r="F58" s="6" t="s">
        <v>580</v>
      </c>
      <c r="G58" s="6" t="s">
        <v>581</v>
      </c>
      <c r="H58" s="6" t="s">
        <v>8</v>
      </c>
      <c r="I58" s="6" t="s">
        <v>13</v>
      </c>
      <c r="J58" s="6" t="s">
        <v>1</v>
      </c>
      <c r="K58" s="5"/>
      <c r="L58" s="7"/>
      <c r="M58" s="28"/>
      <c r="N58" s="28"/>
      <c r="O58" s="22">
        <f>IF(OR(M58="",N58=""),"",M58*N58)</f>
        <v/>
      </c>
      <c r="P58" s="21">
        <f>IF(O58="","",IF(O58&gt;=17,"Kritisch",IF(O58&gt;=10,"Hoch",IF(O58&gt;=5,"Mittel","Niedrig"))))</f>
        <v/>
      </c>
      <c r="Q58" s="5"/>
      <c r="R58" s="6" t="s">
        <v>582</v>
      </c>
      <c r="S58" s="6" t="s">
        <v>65</v>
      </c>
      <c r="T58" s="8"/>
      <c r="U58" s="6" t="s">
        <v>583</v>
      </c>
      <c r="V58" s="5"/>
      <c r="W58" s="6" t="s">
        <v>158</v>
      </c>
      <c r="X58" s="7"/>
      <c r="Y58" s="5"/>
    </row>
    <row r="59" spans="1:25" ht="66" customHeight="1">
      <c r="A59" s="6" t="s">
        <v>584</v>
      </c>
      <c r="B59" s="6" t="s">
        <v>585</v>
      </c>
      <c r="C59" s="6" t="s">
        <v>586</v>
      </c>
      <c r="D59" s="6" t="s">
        <v>587</v>
      </c>
      <c r="E59" s="6" t="s">
        <v>588</v>
      </c>
      <c r="F59" s="6" t="s">
        <v>589</v>
      </c>
      <c r="G59" s="6" t="s">
        <v>590</v>
      </c>
      <c r="H59" s="6" t="s">
        <v>8</v>
      </c>
      <c r="I59" s="6" t="s">
        <v>14</v>
      </c>
      <c r="J59" s="6" t="s">
        <v>1</v>
      </c>
      <c r="K59" s="5"/>
      <c r="L59" s="7"/>
      <c r="M59" s="28"/>
      <c r="N59" s="28"/>
      <c r="O59" s="22">
        <f>IF(OR(M59="",N59=""),"",M59*N59)</f>
        <v/>
      </c>
      <c r="P59" s="21">
        <f>IF(O59="","",IF(O59&gt;=17,"Kritisch",IF(O59&gt;=10,"Hoch",IF(O59&gt;=5,"Mittel","Niedrig"))))</f>
        <v/>
      </c>
      <c r="Q59" s="5"/>
      <c r="R59" s="6" t="s">
        <v>591</v>
      </c>
      <c r="S59" s="6" t="s">
        <v>67</v>
      </c>
      <c r="T59" s="8"/>
      <c r="U59" s="6" t="s">
        <v>592</v>
      </c>
      <c r="V59" s="5"/>
      <c r="W59" s="6" t="s">
        <v>158</v>
      </c>
      <c r="X59" s="7"/>
      <c r="Y59" s="5"/>
    </row>
    <row r="60" spans="1:25" ht="66" customHeight="1">
      <c r="A60" s="6" t="s">
        <v>593</v>
      </c>
      <c r="B60" s="6" t="s">
        <v>585</v>
      </c>
      <c r="C60" s="6" t="s">
        <v>594</v>
      </c>
      <c r="D60" s="6" t="s">
        <v>595</v>
      </c>
      <c r="E60" s="6" t="s">
        <v>596</v>
      </c>
      <c r="F60" s="6" t="s">
        <v>597</v>
      </c>
      <c r="G60" s="6" t="s">
        <v>598</v>
      </c>
      <c r="H60" s="6" t="s">
        <v>9</v>
      </c>
      <c r="I60" s="6" t="s">
        <v>14</v>
      </c>
      <c r="J60" s="6" t="s">
        <v>1</v>
      </c>
      <c r="K60" s="5"/>
      <c r="L60" s="7"/>
      <c r="M60" s="28"/>
      <c r="N60" s="28"/>
      <c r="O60" s="22">
        <f>IF(OR(M60="",N60=""),"",M60*N60)</f>
        <v/>
      </c>
      <c r="P60" s="21">
        <f>IF(O60="","",IF(O60&gt;=17,"Kritisch",IF(O60&gt;=10,"Hoch",IF(O60&gt;=5,"Mittel","Niedrig"))))</f>
        <v/>
      </c>
      <c r="Q60" s="5"/>
      <c r="R60" s="6" t="s">
        <v>599</v>
      </c>
      <c r="S60" s="6" t="s">
        <v>69</v>
      </c>
      <c r="T60" s="8"/>
      <c r="U60" s="6" t="s">
        <v>600</v>
      </c>
      <c r="V60" s="5"/>
      <c r="W60" s="6" t="s">
        <v>158</v>
      </c>
      <c r="X60" s="7"/>
      <c r="Y60" s="5"/>
    </row>
    <row r="61" spans="1:25" ht="66" customHeight="1">
      <c r="A61" s="6" t="s">
        <v>601</v>
      </c>
      <c r="B61" s="6" t="s">
        <v>585</v>
      </c>
      <c r="C61" s="6" t="s">
        <v>602</v>
      </c>
      <c r="D61" s="6" t="s">
        <v>603</v>
      </c>
      <c r="E61" s="6" t="s">
        <v>604</v>
      </c>
      <c r="F61" s="6" t="s">
        <v>605</v>
      </c>
      <c r="G61" s="6" t="s">
        <v>606</v>
      </c>
      <c r="H61" s="6" t="s">
        <v>8</v>
      </c>
      <c r="I61" s="6" t="s">
        <v>14</v>
      </c>
      <c r="J61" s="6" t="s">
        <v>1</v>
      </c>
      <c r="K61" s="5"/>
      <c r="L61" s="7"/>
      <c r="M61" s="28"/>
      <c r="N61" s="28"/>
      <c r="O61" s="22">
        <f>IF(OR(M61="",N61=""),"",M61*N61)</f>
        <v/>
      </c>
      <c r="P61" s="21">
        <f>IF(O61="","",IF(O61&gt;=17,"Kritisch",IF(O61&gt;=10,"Hoch",IF(O61&gt;=5,"Mittel","Niedrig"))))</f>
        <v/>
      </c>
      <c r="Q61" s="5"/>
      <c r="R61" s="6" t="s">
        <v>607</v>
      </c>
      <c r="S61" s="6" t="s">
        <v>67</v>
      </c>
      <c r="T61" s="8"/>
      <c r="U61" s="6" t="s">
        <v>608</v>
      </c>
      <c r="V61" s="5"/>
      <c r="W61" s="6" t="s">
        <v>158</v>
      </c>
      <c r="X61" s="7"/>
      <c r="Y61" s="5"/>
    </row>
    <row r="62" spans="1:25" ht="66" customHeight="1">
      <c r="A62" s="6" t="s">
        <v>609</v>
      </c>
      <c r="B62" s="6" t="s">
        <v>585</v>
      </c>
      <c r="C62" s="6" t="s">
        <v>610</v>
      </c>
      <c r="D62" s="6" t="s">
        <v>611</v>
      </c>
      <c r="E62" s="6" t="s">
        <v>612</v>
      </c>
      <c r="F62" s="6" t="s">
        <v>613</v>
      </c>
      <c r="G62" s="6" t="s">
        <v>614</v>
      </c>
      <c r="H62" s="6" t="s">
        <v>8</v>
      </c>
      <c r="I62" s="6" t="s">
        <v>14</v>
      </c>
      <c r="J62" s="6" t="s">
        <v>1</v>
      </c>
      <c r="K62" s="5"/>
      <c r="L62" s="7"/>
      <c r="M62" s="28"/>
      <c r="N62" s="28"/>
      <c r="O62" s="22">
        <f>IF(OR(M62="",N62=""),"",M62*N62)</f>
        <v/>
      </c>
      <c r="P62" s="21">
        <f>IF(O62="","",IF(O62&gt;=17,"Kritisch",IF(O62&gt;=10,"Hoch",IF(O62&gt;=5,"Mittel","Niedrig"))))</f>
        <v/>
      </c>
      <c r="Q62" s="5"/>
      <c r="R62" s="6" t="s">
        <v>615</v>
      </c>
      <c r="S62" s="6" t="s">
        <v>68</v>
      </c>
      <c r="T62" s="8"/>
      <c r="U62" s="6" t="s">
        <v>616</v>
      </c>
      <c r="V62" s="5"/>
      <c r="W62" s="6" t="s">
        <v>158</v>
      </c>
      <c r="X62" s="7"/>
      <c r="Y62" s="5"/>
    </row>
    <row r="63" spans="1:25" ht="66" customHeight="1">
      <c r="A63" s="6" t="s">
        <v>617</v>
      </c>
      <c r="B63" s="6" t="s">
        <v>585</v>
      </c>
      <c r="C63" s="6" t="s">
        <v>618</v>
      </c>
      <c r="D63" s="6" t="s">
        <v>619</v>
      </c>
      <c r="E63" s="6" t="s">
        <v>620</v>
      </c>
      <c r="F63" s="6" t="s">
        <v>621</v>
      </c>
      <c r="G63" s="6" t="s">
        <v>622</v>
      </c>
      <c r="H63" s="6" t="s">
        <v>8</v>
      </c>
      <c r="I63" s="6" t="s">
        <v>14</v>
      </c>
      <c r="J63" s="6" t="s">
        <v>1</v>
      </c>
      <c r="K63" s="5"/>
      <c r="L63" s="7"/>
      <c r="M63" s="28"/>
      <c r="N63" s="28"/>
      <c r="O63" s="22">
        <f>IF(OR(M63="",N63=""),"",M63*N63)</f>
        <v/>
      </c>
      <c r="P63" s="21">
        <f>IF(O63="","",IF(O63&gt;=17,"Kritisch",IF(O63&gt;=10,"Hoch",IF(O63&gt;=5,"Mittel","Niedrig"))))</f>
        <v/>
      </c>
      <c r="Q63" s="5"/>
      <c r="R63" s="6" t="s">
        <v>623</v>
      </c>
      <c r="S63" s="6" t="s">
        <v>66</v>
      </c>
      <c r="T63" s="8"/>
      <c r="U63" s="6" t="s">
        <v>387</v>
      </c>
      <c r="V63" s="5"/>
      <c r="W63" s="6" t="s">
        <v>158</v>
      </c>
      <c r="X63" s="7"/>
      <c r="Y63" s="5"/>
    </row>
    <row r="64" spans="1:25" ht="66" customHeight="1">
      <c r="A64" s="6" t="s">
        <v>624</v>
      </c>
      <c r="B64" s="6" t="s">
        <v>585</v>
      </c>
      <c r="C64" s="6" t="s">
        <v>625</v>
      </c>
      <c r="D64" s="6" t="s">
        <v>626</v>
      </c>
      <c r="E64" s="6" t="s">
        <v>627</v>
      </c>
      <c r="F64" s="6" t="s">
        <v>628</v>
      </c>
      <c r="G64" s="6" t="s">
        <v>629</v>
      </c>
      <c r="H64" s="6" t="s">
        <v>8</v>
      </c>
      <c r="I64" s="6" t="s">
        <v>14</v>
      </c>
      <c r="J64" s="6" t="s">
        <v>1</v>
      </c>
      <c r="K64" s="5"/>
      <c r="L64" s="7"/>
      <c r="M64" s="28"/>
      <c r="N64" s="28"/>
      <c r="O64" s="22">
        <f>IF(OR(M64="",N64=""),"",M64*N64)</f>
        <v/>
      </c>
      <c r="P64" s="21">
        <f>IF(O64="","",IF(O64&gt;=17,"Kritisch",IF(O64&gt;=10,"Hoch",IF(O64&gt;=5,"Mittel","Niedrig"))))</f>
        <v/>
      </c>
      <c r="Q64" s="5"/>
      <c r="R64" s="6" t="s">
        <v>630</v>
      </c>
      <c r="S64" s="6" t="s">
        <v>66</v>
      </c>
      <c r="T64" s="8"/>
      <c r="U64" s="6" t="s">
        <v>631</v>
      </c>
      <c r="V64" s="5"/>
      <c r="W64" s="6" t="s">
        <v>158</v>
      </c>
      <c r="X64" s="7"/>
      <c r="Y64" s="5"/>
    </row>
    <row r="65" spans="1:25" ht="66" customHeight="1">
      <c r="A65" s="6" t="s">
        <v>632</v>
      </c>
      <c r="B65" s="6" t="s">
        <v>585</v>
      </c>
      <c r="C65" s="6" t="s">
        <v>633</v>
      </c>
      <c r="D65" s="6" t="s">
        <v>634</v>
      </c>
      <c r="E65" s="6" t="s">
        <v>635</v>
      </c>
      <c r="F65" s="6" t="s">
        <v>636</v>
      </c>
      <c r="G65" s="6" t="s">
        <v>637</v>
      </c>
      <c r="H65" s="6" t="s">
        <v>8</v>
      </c>
      <c r="I65" s="6" t="s">
        <v>14</v>
      </c>
      <c r="J65" s="6" t="s">
        <v>1</v>
      </c>
      <c r="K65" s="5"/>
      <c r="L65" s="7"/>
      <c r="M65" s="28"/>
      <c r="N65" s="28"/>
      <c r="O65" s="22">
        <f>IF(OR(M65="",N65=""),"",M65*N65)</f>
        <v/>
      </c>
      <c r="P65" s="21">
        <f>IF(O65="","",IF(O65&gt;=17,"Kritisch",IF(O65&gt;=10,"Hoch",IF(O65&gt;=5,"Mittel","Niedrig"))))</f>
        <v/>
      </c>
      <c r="Q65" s="5"/>
      <c r="R65" s="6" t="s">
        <v>638</v>
      </c>
      <c r="S65" s="6" t="s">
        <v>67</v>
      </c>
      <c r="T65" s="8"/>
      <c r="U65" s="6" t="s">
        <v>639</v>
      </c>
      <c r="V65" s="5"/>
      <c r="W65" s="6" t="s">
        <v>158</v>
      </c>
      <c r="X65" s="7"/>
      <c r="Y65" s="5"/>
    </row>
    <row r="66" spans="1:25" ht="66" customHeight="1">
      <c r="A66" s="6" t="s">
        <v>640</v>
      </c>
      <c r="B66" s="6" t="s">
        <v>585</v>
      </c>
      <c r="C66" s="6" t="s">
        <v>641</v>
      </c>
      <c r="D66" s="6" t="s">
        <v>642</v>
      </c>
      <c r="E66" s="6" t="s">
        <v>643</v>
      </c>
      <c r="F66" s="6" t="s">
        <v>644</v>
      </c>
      <c r="G66" s="6" t="s">
        <v>645</v>
      </c>
      <c r="H66" s="6" t="s">
        <v>8</v>
      </c>
      <c r="I66" s="6" t="s">
        <v>14</v>
      </c>
      <c r="J66" s="6" t="s">
        <v>1</v>
      </c>
      <c r="K66" s="5"/>
      <c r="L66" s="7"/>
      <c r="M66" s="28"/>
      <c r="N66" s="28"/>
      <c r="O66" s="22">
        <f>IF(OR(M66="",N66=""),"",M66*N66)</f>
        <v/>
      </c>
      <c r="P66" s="21">
        <f>IF(O66="","",IF(O66&gt;=17,"Kritisch",IF(O66&gt;=10,"Hoch",IF(O66&gt;=5,"Mittel","Niedrig"))))</f>
        <v/>
      </c>
      <c r="Q66" s="5"/>
      <c r="R66" s="6" t="s">
        <v>646</v>
      </c>
      <c r="S66" s="6" t="s">
        <v>70</v>
      </c>
      <c r="T66" s="8"/>
      <c r="U66" s="6" t="s">
        <v>647</v>
      </c>
      <c r="V66" s="5"/>
      <c r="W66" s="6" t="s">
        <v>158</v>
      </c>
      <c r="X66" s="7"/>
      <c r="Y66" s="5"/>
    </row>
    <row r="67" spans="1:25" ht="66" customHeight="1">
      <c r="A67" s="6" t="s">
        <v>648</v>
      </c>
      <c r="B67" s="6" t="s">
        <v>585</v>
      </c>
      <c r="C67" s="6" t="s">
        <v>649</v>
      </c>
      <c r="D67" s="6" t="s">
        <v>650</v>
      </c>
      <c r="E67" s="6" t="s">
        <v>651</v>
      </c>
      <c r="F67" s="6" t="s">
        <v>652</v>
      </c>
      <c r="G67" s="6" t="s">
        <v>653</v>
      </c>
      <c r="H67" s="6" t="s">
        <v>9</v>
      </c>
      <c r="I67" s="6" t="s">
        <v>14</v>
      </c>
      <c r="J67" s="6" t="s">
        <v>1</v>
      </c>
      <c r="K67" s="5"/>
      <c r="L67" s="7"/>
      <c r="M67" s="28"/>
      <c r="N67" s="28"/>
      <c r="O67" s="22">
        <f>IF(OR(M67="",N67=""),"",M67*N67)</f>
        <v/>
      </c>
      <c r="P67" s="21">
        <f>IF(O67="","",IF(O67&gt;=17,"Kritisch",IF(O67&gt;=10,"Hoch",IF(O67&gt;=5,"Mittel","Niedrig"))))</f>
        <v/>
      </c>
      <c r="Q67" s="5"/>
      <c r="R67" s="6" t="s">
        <v>654</v>
      </c>
      <c r="S67" s="6" t="s">
        <v>65</v>
      </c>
      <c r="T67" s="8"/>
      <c r="U67" s="6" t="s">
        <v>655</v>
      </c>
      <c r="V67" s="5"/>
      <c r="W67" s="6" t="s">
        <v>158</v>
      </c>
      <c r="X67" s="7"/>
      <c r="Y67" s="5"/>
    </row>
    <row r="68" spans="1:25" ht="66" customHeight="1">
      <c r="A68" s="6" t="s">
        <v>656</v>
      </c>
      <c r="B68" s="6" t="s">
        <v>585</v>
      </c>
      <c r="C68" s="6" t="s">
        <v>657</v>
      </c>
      <c r="D68" s="6" t="s">
        <v>658</v>
      </c>
      <c r="E68" s="6" t="s">
        <v>659</v>
      </c>
      <c r="F68" s="6" t="s">
        <v>660</v>
      </c>
      <c r="G68" s="6" t="s">
        <v>661</v>
      </c>
      <c r="H68" s="6" t="s">
        <v>9</v>
      </c>
      <c r="I68" s="6" t="s">
        <v>14</v>
      </c>
      <c r="J68" s="6" t="s">
        <v>1</v>
      </c>
      <c r="K68" s="5"/>
      <c r="L68" s="7"/>
      <c r="M68" s="28"/>
      <c r="N68" s="28"/>
      <c r="O68" s="22">
        <f>IF(OR(M68="",N68=""),"",M68*N68)</f>
        <v/>
      </c>
      <c r="P68" s="21">
        <f>IF(O68="","",IF(O68&gt;=17,"Kritisch",IF(O68&gt;=10,"Hoch",IF(O68&gt;=5,"Mittel","Niedrig"))))</f>
        <v/>
      </c>
      <c r="Q68" s="5"/>
      <c r="R68" s="6" t="s">
        <v>662</v>
      </c>
      <c r="S68" s="6" t="s">
        <v>67</v>
      </c>
      <c r="T68" s="8"/>
      <c r="U68" s="6" t="s">
        <v>663</v>
      </c>
      <c r="V68" s="5"/>
      <c r="W68" s="6" t="s">
        <v>158</v>
      </c>
      <c r="X68" s="7"/>
      <c r="Y68" s="5"/>
    </row>
    <row r="69" spans="1:25" ht="66" customHeight="1">
      <c r="A69" s="6" t="s">
        <v>664</v>
      </c>
      <c r="B69" s="6" t="s">
        <v>585</v>
      </c>
      <c r="C69" s="6" t="s">
        <v>665</v>
      </c>
      <c r="D69" s="6" t="s">
        <v>666</v>
      </c>
      <c r="E69" s="6" t="s">
        <v>667</v>
      </c>
      <c r="F69" s="6" t="s">
        <v>668</v>
      </c>
      <c r="G69" s="6" t="s">
        <v>669</v>
      </c>
      <c r="H69" s="6" t="s">
        <v>8</v>
      </c>
      <c r="I69" s="6" t="s">
        <v>14</v>
      </c>
      <c r="J69" s="6" t="s">
        <v>1</v>
      </c>
      <c r="K69" s="5"/>
      <c r="L69" s="7"/>
      <c r="M69" s="28"/>
      <c r="N69" s="28"/>
      <c r="O69" s="22">
        <f>IF(OR(M69="",N69=""),"",M69*N69)</f>
        <v/>
      </c>
      <c r="P69" s="21">
        <f>IF(O69="","",IF(O69&gt;=17,"Kritisch",IF(O69&gt;=10,"Hoch",IF(O69&gt;=5,"Mittel","Niedrig"))))</f>
        <v/>
      </c>
      <c r="Q69" s="5"/>
      <c r="R69" s="6" t="s">
        <v>670</v>
      </c>
      <c r="S69" s="6" t="s">
        <v>66</v>
      </c>
      <c r="T69" s="8"/>
      <c r="U69" s="6" t="s">
        <v>671</v>
      </c>
      <c r="V69" s="5"/>
      <c r="W69" s="6" t="s">
        <v>158</v>
      </c>
      <c r="X69" s="7"/>
      <c r="Y69" s="5"/>
    </row>
    <row r="70" spans="1:25" ht="66" customHeight="1">
      <c r="A70" s="6" t="s">
        <v>672</v>
      </c>
      <c r="B70" s="6" t="s">
        <v>585</v>
      </c>
      <c r="C70" s="6" t="s">
        <v>673</v>
      </c>
      <c r="D70" s="6" t="s">
        <v>674</v>
      </c>
      <c r="E70" s="6" t="s">
        <v>675</v>
      </c>
      <c r="F70" s="6" t="s">
        <v>676</v>
      </c>
      <c r="G70" s="6" t="s">
        <v>677</v>
      </c>
      <c r="H70" s="6" t="s">
        <v>9</v>
      </c>
      <c r="I70" s="6" t="s">
        <v>14</v>
      </c>
      <c r="J70" s="6" t="s">
        <v>1</v>
      </c>
      <c r="K70" s="5"/>
      <c r="L70" s="7"/>
      <c r="M70" s="28"/>
      <c r="N70" s="28"/>
      <c r="O70" s="22">
        <f>IF(OR(M70="",N70=""),"",M70*N70)</f>
        <v/>
      </c>
      <c r="P70" s="21">
        <f>IF(O70="","",IF(O70&gt;=17,"Kritisch",IF(O70&gt;=10,"Hoch",IF(O70&gt;=5,"Mittel","Niedrig"))))</f>
        <v/>
      </c>
      <c r="Q70" s="5"/>
      <c r="R70" s="6" t="s">
        <v>678</v>
      </c>
      <c r="S70" s="6" t="s">
        <v>66</v>
      </c>
      <c r="T70" s="8"/>
      <c r="U70" s="6" t="s">
        <v>679</v>
      </c>
      <c r="V70" s="5"/>
      <c r="W70" s="6" t="s">
        <v>158</v>
      </c>
      <c r="X70" s="7"/>
      <c r="Y70" s="5"/>
    </row>
    <row r="71" spans="1:25" ht="66" customHeight="1">
      <c r="A71" s="6" t="s">
        <v>680</v>
      </c>
      <c r="B71" s="6" t="s">
        <v>585</v>
      </c>
      <c r="C71" s="6" t="s">
        <v>681</v>
      </c>
      <c r="D71" s="6" t="s">
        <v>682</v>
      </c>
      <c r="E71" s="6" t="s">
        <v>683</v>
      </c>
      <c r="F71" s="6" t="s">
        <v>684</v>
      </c>
      <c r="G71" s="6" t="s">
        <v>685</v>
      </c>
      <c r="H71" s="6" t="s">
        <v>10</v>
      </c>
      <c r="I71" s="6" t="s">
        <v>14</v>
      </c>
      <c r="J71" s="6" t="s">
        <v>1</v>
      </c>
      <c r="K71" s="5"/>
      <c r="L71" s="7"/>
      <c r="M71" s="28"/>
      <c r="N71" s="28"/>
      <c r="O71" s="22">
        <f>IF(OR(M71="",N71=""),"",M71*N71)</f>
        <v/>
      </c>
      <c r="P71" s="21">
        <f>IF(O71="","",IF(O71&gt;=17,"Kritisch",IF(O71&gt;=10,"Hoch",IF(O71&gt;=5,"Mittel","Niedrig"))))</f>
        <v/>
      </c>
      <c r="Q71" s="5"/>
      <c r="R71" s="6" t="s">
        <v>686</v>
      </c>
      <c r="S71" s="6" t="s">
        <v>69</v>
      </c>
      <c r="T71" s="8"/>
      <c r="U71" s="6" t="s">
        <v>466</v>
      </c>
      <c r="V71" s="5"/>
      <c r="W71" s="6" t="s">
        <v>158</v>
      </c>
      <c r="X71" s="7"/>
      <c r="Y71" s="5"/>
    </row>
    <row r="72" spans="1:25" ht="66" customHeight="1">
      <c r="A72" s="6" t="s">
        <v>687</v>
      </c>
      <c r="B72" s="6" t="s">
        <v>688</v>
      </c>
      <c r="C72" s="6" t="s">
        <v>689</v>
      </c>
      <c r="D72" s="6" t="s">
        <v>690</v>
      </c>
      <c r="E72" s="6" t="s">
        <v>691</v>
      </c>
      <c r="F72" s="6" t="s">
        <v>692</v>
      </c>
      <c r="G72" s="6" t="s">
        <v>693</v>
      </c>
      <c r="H72" s="6" t="s">
        <v>9</v>
      </c>
      <c r="I72" s="6" t="s">
        <v>14</v>
      </c>
      <c r="J72" s="6" t="s">
        <v>1</v>
      </c>
      <c r="K72" s="5"/>
      <c r="L72" s="7"/>
      <c r="M72" s="28"/>
      <c r="N72" s="28"/>
      <c r="O72" s="22">
        <f>IF(OR(M72="",N72=""),"",M72*N72)</f>
        <v/>
      </c>
      <c r="P72" s="21">
        <f>IF(O72="","",IF(O72&gt;=17,"Kritisch",IF(O72&gt;=10,"Hoch",IF(O72&gt;=5,"Mittel","Niedrig"))))</f>
        <v/>
      </c>
      <c r="Q72" s="5"/>
      <c r="R72" s="6" t="s">
        <v>694</v>
      </c>
      <c r="S72" s="6" t="s">
        <v>69</v>
      </c>
      <c r="T72" s="8"/>
      <c r="U72" s="6" t="s">
        <v>466</v>
      </c>
      <c r="V72" s="5"/>
      <c r="W72" s="6" t="s">
        <v>158</v>
      </c>
      <c r="X72" s="7"/>
      <c r="Y72" s="5"/>
    </row>
    <row r="73" spans="1:25" ht="66" customHeight="1">
      <c r="A73" s="6" t="s">
        <v>695</v>
      </c>
      <c r="B73" s="6" t="s">
        <v>688</v>
      </c>
      <c r="C73" s="6" t="s">
        <v>696</v>
      </c>
      <c r="D73" s="6" t="s">
        <v>697</v>
      </c>
      <c r="E73" s="6" t="s">
        <v>698</v>
      </c>
      <c r="F73" s="6" t="s">
        <v>699</v>
      </c>
      <c r="G73" s="6" t="s">
        <v>700</v>
      </c>
      <c r="H73" s="6" t="s">
        <v>8</v>
      </c>
      <c r="I73" s="6" t="s">
        <v>14</v>
      </c>
      <c r="J73" s="6" t="s">
        <v>1</v>
      </c>
      <c r="K73" s="5"/>
      <c r="L73" s="7"/>
      <c r="M73" s="28"/>
      <c r="N73" s="28"/>
      <c r="O73" s="22">
        <f>IF(OR(M73="",N73=""),"",M73*N73)</f>
        <v/>
      </c>
      <c r="P73" s="21">
        <f>IF(O73="","",IF(O73&gt;=17,"Kritisch",IF(O73&gt;=10,"Hoch",IF(O73&gt;=5,"Mittel","Niedrig"))))</f>
        <v/>
      </c>
      <c r="Q73" s="5"/>
      <c r="R73" s="6" t="s">
        <v>701</v>
      </c>
      <c r="S73" s="6" t="s">
        <v>65</v>
      </c>
      <c r="T73" s="8"/>
      <c r="U73" s="6" t="s">
        <v>702</v>
      </c>
      <c r="V73" s="5"/>
      <c r="W73" s="6" t="s">
        <v>158</v>
      </c>
      <c r="X73" s="7"/>
      <c r="Y73" s="5"/>
    </row>
    <row r="74" spans="1:25" ht="66" customHeight="1">
      <c r="A74" s="6" t="s">
        <v>703</v>
      </c>
      <c r="B74" s="6" t="s">
        <v>688</v>
      </c>
      <c r="C74" s="6" t="s">
        <v>704</v>
      </c>
      <c r="D74" s="6" t="s">
        <v>705</v>
      </c>
      <c r="E74" s="6" t="s">
        <v>706</v>
      </c>
      <c r="F74" s="6" t="s">
        <v>707</v>
      </c>
      <c r="G74" s="6" t="s">
        <v>708</v>
      </c>
      <c r="H74" s="6" t="s">
        <v>8</v>
      </c>
      <c r="I74" s="6" t="s">
        <v>14</v>
      </c>
      <c r="J74" s="6" t="s">
        <v>1</v>
      </c>
      <c r="K74" s="5"/>
      <c r="L74" s="7"/>
      <c r="M74" s="28"/>
      <c r="N74" s="28"/>
      <c r="O74" s="22">
        <f>IF(OR(M74="",N74=""),"",M74*N74)</f>
        <v/>
      </c>
      <c r="P74" s="21">
        <f>IF(O74="","",IF(O74&gt;=17,"Kritisch",IF(O74&gt;=10,"Hoch",IF(O74&gt;=5,"Mittel","Niedrig"))))</f>
        <v/>
      </c>
      <c r="Q74" s="5"/>
      <c r="R74" s="6" t="s">
        <v>709</v>
      </c>
      <c r="S74" s="6" t="s">
        <v>66</v>
      </c>
      <c r="T74" s="8"/>
      <c r="U74" s="6" t="s">
        <v>631</v>
      </c>
      <c r="V74" s="5"/>
      <c r="W74" s="6" t="s">
        <v>158</v>
      </c>
      <c r="X74" s="7"/>
      <c r="Y74" s="5"/>
    </row>
    <row r="75" spans="1:25" ht="66" customHeight="1">
      <c r="A75" s="6" t="s">
        <v>710</v>
      </c>
      <c r="B75" s="6" t="s">
        <v>688</v>
      </c>
      <c r="C75" s="6" t="s">
        <v>711</v>
      </c>
      <c r="D75" s="6" t="s">
        <v>712</v>
      </c>
      <c r="E75" s="6" t="s">
        <v>713</v>
      </c>
      <c r="F75" s="6" t="s">
        <v>714</v>
      </c>
      <c r="G75" s="6" t="s">
        <v>715</v>
      </c>
      <c r="H75" s="6" t="s">
        <v>9</v>
      </c>
      <c r="I75" s="6" t="s">
        <v>14</v>
      </c>
      <c r="J75" s="6" t="s">
        <v>1</v>
      </c>
      <c r="K75" s="5"/>
      <c r="L75" s="7"/>
      <c r="M75" s="28"/>
      <c r="N75" s="28"/>
      <c r="O75" s="22">
        <f>IF(OR(M75="",N75=""),"",M75*N75)</f>
        <v/>
      </c>
      <c r="P75" s="21">
        <f>IF(O75="","",IF(O75&gt;=17,"Kritisch",IF(O75&gt;=10,"Hoch",IF(O75&gt;=5,"Mittel","Niedrig"))))</f>
        <v/>
      </c>
      <c r="Q75" s="5"/>
      <c r="R75" s="6" t="s">
        <v>716</v>
      </c>
      <c r="S75" s="6" t="s">
        <v>65</v>
      </c>
      <c r="T75" s="8"/>
      <c r="U75" s="6" t="s">
        <v>717</v>
      </c>
      <c r="V75" s="5"/>
      <c r="W75" s="6" t="s">
        <v>158</v>
      </c>
      <c r="X75" s="7"/>
      <c r="Y75" s="5"/>
    </row>
    <row r="76" spans="1:25" ht="66" customHeight="1">
      <c r="A76" s="6" t="s">
        <v>718</v>
      </c>
      <c r="B76" s="6" t="s">
        <v>688</v>
      </c>
      <c r="C76" s="6" t="s">
        <v>719</v>
      </c>
      <c r="D76" s="6" t="s">
        <v>720</v>
      </c>
      <c r="E76" s="6" t="s">
        <v>721</v>
      </c>
      <c r="F76" s="6" t="s">
        <v>722</v>
      </c>
      <c r="G76" s="6" t="s">
        <v>723</v>
      </c>
      <c r="H76" s="6" t="s">
        <v>8</v>
      </c>
      <c r="I76" s="6" t="s">
        <v>14</v>
      </c>
      <c r="J76" s="6" t="s">
        <v>1</v>
      </c>
      <c r="K76" s="5"/>
      <c r="L76" s="7"/>
      <c r="M76" s="28"/>
      <c r="N76" s="28"/>
      <c r="O76" s="22">
        <f>IF(OR(M76="",N76=""),"",M76*N76)</f>
        <v/>
      </c>
      <c r="P76" s="21">
        <f>IF(O76="","",IF(O76&gt;=17,"Kritisch",IF(O76&gt;=10,"Hoch",IF(O76&gt;=5,"Mittel","Niedrig"))))</f>
        <v/>
      </c>
      <c r="Q76" s="5"/>
      <c r="R76" s="6" t="s">
        <v>724</v>
      </c>
      <c r="S76" s="6" t="s">
        <v>69</v>
      </c>
      <c r="T76" s="8"/>
      <c r="U76" s="6" t="s">
        <v>616</v>
      </c>
      <c r="V76" s="5"/>
      <c r="W76" s="6" t="s">
        <v>158</v>
      </c>
      <c r="X76" s="7"/>
      <c r="Y76" s="5"/>
    </row>
    <row r="77" spans="1:25" ht="66" customHeight="1">
      <c r="A77" s="6" t="s">
        <v>725</v>
      </c>
      <c r="B77" s="6" t="s">
        <v>688</v>
      </c>
      <c r="C77" s="6" t="s">
        <v>726</v>
      </c>
      <c r="D77" s="6" t="s">
        <v>727</v>
      </c>
      <c r="E77" s="6" t="s">
        <v>728</v>
      </c>
      <c r="F77" s="6" t="s">
        <v>729</v>
      </c>
      <c r="G77" s="6" t="s">
        <v>730</v>
      </c>
      <c r="H77" s="6" t="s">
        <v>8</v>
      </c>
      <c r="I77" s="6" t="s">
        <v>14</v>
      </c>
      <c r="J77" s="6" t="s">
        <v>1</v>
      </c>
      <c r="K77" s="5"/>
      <c r="L77" s="7"/>
      <c r="M77" s="28"/>
      <c r="N77" s="28"/>
      <c r="O77" s="22">
        <f>IF(OR(M77="",N77=""),"",M77*N77)</f>
        <v/>
      </c>
      <c r="P77" s="21">
        <f>IF(O77="","",IF(O77&gt;=17,"Kritisch",IF(O77&gt;=10,"Hoch",IF(O77&gt;=5,"Mittel","Niedrig"))))</f>
        <v/>
      </c>
      <c r="Q77" s="5"/>
      <c r="R77" s="6" t="s">
        <v>731</v>
      </c>
      <c r="S77" s="6" t="s">
        <v>65</v>
      </c>
      <c r="T77" s="8"/>
      <c r="U77" s="6" t="s">
        <v>355</v>
      </c>
      <c r="V77" s="5"/>
      <c r="W77" s="6" t="s">
        <v>158</v>
      </c>
      <c r="X77" s="7"/>
      <c r="Y77" s="5"/>
    </row>
    <row r="78" spans="1:25" ht="66" customHeight="1">
      <c r="A78" s="6" t="s">
        <v>732</v>
      </c>
      <c r="B78" s="6" t="s">
        <v>688</v>
      </c>
      <c r="C78" s="6" t="s">
        <v>733</v>
      </c>
      <c r="D78" s="6" t="s">
        <v>734</v>
      </c>
      <c r="E78" s="6" t="s">
        <v>735</v>
      </c>
      <c r="F78" s="6" t="s">
        <v>736</v>
      </c>
      <c r="G78" s="6" t="s">
        <v>737</v>
      </c>
      <c r="H78" s="6" t="s">
        <v>9</v>
      </c>
      <c r="I78" s="6" t="s">
        <v>14</v>
      </c>
      <c r="J78" s="6" t="s">
        <v>1</v>
      </c>
      <c r="K78" s="5"/>
      <c r="L78" s="7"/>
      <c r="M78" s="28"/>
      <c r="N78" s="28"/>
      <c r="O78" s="22">
        <f>IF(OR(M78="",N78=""),"",M78*N78)</f>
        <v/>
      </c>
      <c r="P78" s="21">
        <f>IF(O78="","",IF(O78&gt;=17,"Kritisch",IF(O78&gt;=10,"Hoch",IF(O78&gt;=5,"Mittel","Niedrig"))))</f>
        <v/>
      </c>
      <c r="Q78" s="5"/>
      <c r="R78" s="6" t="s">
        <v>738</v>
      </c>
      <c r="S78" s="6" t="s">
        <v>69</v>
      </c>
      <c r="T78" s="8"/>
      <c r="U78" s="6" t="s">
        <v>466</v>
      </c>
      <c r="V78" s="5"/>
      <c r="W78" s="6" t="s">
        <v>158</v>
      </c>
      <c r="X78" s="7"/>
      <c r="Y78" s="5"/>
    </row>
    <row r="79" spans="1:25" ht="66" customHeight="1">
      <c r="A79" s="6" t="s">
        <v>739</v>
      </c>
      <c r="B79" s="6" t="s">
        <v>688</v>
      </c>
      <c r="C79" s="6" t="s">
        <v>740</v>
      </c>
      <c r="D79" s="6" t="s">
        <v>741</v>
      </c>
      <c r="E79" s="6" t="s">
        <v>742</v>
      </c>
      <c r="F79" s="6" t="s">
        <v>743</v>
      </c>
      <c r="G79" s="6" t="s">
        <v>744</v>
      </c>
      <c r="H79" s="6" t="s">
        <v>9</v>
      </c>
      <c r="I79" s="6" t="s">
        <v>14</v>
      </c>
      <c r="J79" s="6" t="s">
        <v>1</v>
      </c>
      <c r="K79" s="5"/>
      <c r="L79" s="7"/>
      <c r="M79" s="28"/>
      <c r="N79" s="28"/>
      <c r="O79" s="22">
        <f>IF(OR(M79="",N79=""),"",M79*N79)</f>
        <v/>
      </c>
      <c r="P79" s="21">
        <f>IF(O79="","",IF(O79&gt;=17,"Kritisch",IF(O79&gt;=10,"Hoch",IF(O79&gt;=5,"Mittel","Niedrig"))))</f>
        <v/>
      </c>
      <c r="Q79" s="5"/>
      <c r="R79" s="6" t="s">
        <v>745</v>
      </c>
      <c r="S79" s="6" t="s">
        <v>69</v>
      </c>
      <c r="T79" s="8"/>
      <c r="U79" s="6" t="s">
        <v>339</v>
      </c>
      <c r="V79" s="5"/>
      <c r="W79" s="6" t="s">
        <v>158</v>
      </c>
      <c r="X79" s="7"/>
      <c r="Y79" s="5"/>
    </row>
    <row r="80" spans="1:25" ht="66" customHeight="1">
      <c r="A80" s="6" t="s">
        <v>746</v>
      </c>
      <c r="B80" s="6" t="s">
        <v>688</v>
      </c>
      <c r="C80" s="6" t="s">
        <v>747</v>
      </c>
      <c r="D80" s="6" t="s">
        <v>748</v>
      </c>
      <c r="E80" s="6" t="s">
        <v>749</v>
      </c>
      <c r="F80" s="6" t="s">
        <v>750</v>
      </c>
      <c r="G80" s="6" t="s">
        <v>751</v>
      </c>
      <c r="H80" s="6" t="s">
        <v>10</v>
      </c>
      <c r="I80" s="6" t="s">
        <v>14</v>
      </c>
      <c r="J80" s="6" t="s">
        <v>1</v>
      </c>
      <c r="K80" s="5"/>
      <c r="L80" s="7"/>
      <c r="M80" s="28"/>
      <c r="N80" s="28"/>
      <c r="O80" s="22">
        <f>IF(OR(M80="",N80=""),"",M80*N80)</f>
        <v/>
      </c>
      <c r="P80" s="21">
        <f>IF(O80="","",IF(O80&gt;=17,"Kritisch",IF(O80&gt;=10,"Hoch",IF(O80&gt;=5,"Mittel","Niedrig"))))</f>
        <v/>
      </c>
      <c r="Q80" s="5"/>
      <c r="R80" s="6" t="s">
        <v>752</v>
      </c>
      <c r="S80" s="6" t="s">
        <v>65</v>
      </c>
      <c r="T80" s="8"/>
      <c r="U80" s="6" t="s">
        <v>428</v>
      </c>
      <c r="V80" s="5"/>
      <c r="W80" s="6" t="s">
        <v>158</v>
      </c>
      <c r="X80" s="7"/>
      <c r="Y80" s="5"/>
    </row>
    <row r="81" spans="1:25" ht="66" customHeight="1">
      <c r="A81" s="6" t="s">
        <v>753</v>
      </c>
      <c r="B81" s="6" t="s">
        <v>754</v>
      </c>
      <c r="C81" s="6" t="s">
        <v>755</v>
      </c>
      <c r="D81" s="6" t="s">
        <v>756</v>
      </c>
      <c r="E81" s="6" t="s">
        <v>757</v>
      </c>
      <c r="F81" s="6" t="s">
        <v>758</v>
      </c>
      <c r="G81" s="6" t="s">
        <v>759</v>
      </c>
      <c r="H81" s="6" t="s">
        <v>8</v>
      </c>
      <c r="I81" s="6" t="s">
        <v>14</v>
      </c>
      <c r="J81" s="6" t="s">
        <v>1</v>
      </c>
      <c r="K81" s="5"/>
      <c r="L81" s="7"/>
      <c r="M81" s="28"/>
      <c r="N81" s="28"/>
      <c r="O81" s="22">
        <f>IF(OR(M81="",N81=""),"",M81*N81)</f>
        <v/>
      </c>
      <c r="P81" s="21">
        <f>IF(O81="","",IF(O81&gt;=17,"Kritisch",IF(O81&gt;=10,"Hoch",IF(O81&gt;=5,"Mittel","Niedrig"))))</f>
        <v/>
      </c>
      <c r="Q81" s="5"/>
      <c r="R81" s="6" t="s">
        <v>760</v>
      </c>
      <c r="S81" s="6" t="s">
        <v>69</v>
      </c>
      <c r="T81" s="8"/>
      <c r="U81" s="6" t="s">
        <v>466</v>
      </c>
      <c r="V81" s="5"/>
      <c r="W81" s="6" t="s">
        <v>158</v>
      </c>
      <c r="X81" s="7"/>
      <c r="Y81" s="5"/>
    </row>
    <row r="82" spans="1:25" ht="66" customHeight="1">
      <c r="A82" s="6" t="s">
        <v>761</v>
      </c>
      <c r="B82" s="6" t="s">
        <v>754</v>
      </c>
      <c r="C82" s="6" t="s">
        <v>762</v>
      </c>
      <c r="D82" s="6" t="s">
        <v>763</v>
      </c>
      <c r="E82" s="6" t="s">
        <v>764</v>
      </c>
      <c r="F82" s="6" t="s">
        <v>765</v>
      </c>
      <c r="G82" s="6" t="s">
        <v>766</v>
      </c>
      <c r="H82" s="6" t="s">
        <v>9</v>
      </c>
      <c r="I82" s="6" t="s">
        <v>14</v>
      </c>
      <c r="J82" s="6" t="s">
        <v>1</v>
      </c>
      <c r="K82" s="5"/>
      <c r="L82" s="7"/>
      <c r="M82" s="28"/>
      <c r="N82" s="28"/>
      <c r="O82" s="22">
        <f>IF(OR(M82="",N82=""),"",M82*N82)</f>
        <v/>
      </c>
      <c r="P82" s="21">
        <f>IF(O82="","",IF(O82&gt;=17,"Kritisch",IF(O82&gt;=10,"Hoch",IF(O82&gt;=5,"Mittel","Niedrig"))))</f>
        <v/>
      </c>
      <c r="Q82" s="5"/>
      <c r="R82" s="6" t="s">
        <v>767</v>
      </c>
      <c r="S82" s="6" t="s">
        <v>67</v>
      </c>
      <c r="T82" s="8"/>
      <c r="U82" s="6" t="s">
        <v>768</v>
      </c>
      <c r="V82" s="5"/>
      <c r="W82" s="6" t="s">
        <v>158</v>
      </c>
      <c r="X82" s="7"/>
      <c r="Y82" s="5"/>
    </row>
    <row r="83" spans="1:25" ht="66" customHeight="1">
      <c r="A83" s="6" t="s">
        <v>769</v>
      </c>
      <c r="B83" s="6" t="s">
        <v>754</v>
      </c>
      <c r="C83" s="6" t="s">
        <v>770</v>
      </c>
      <c r="D83" s="6" t="s">
        <v>771</v>
      </c>
      <c r="E83" s="6" t="s">
        <v>772</v>
      </c>
      <c r="F83" s="6" t="s">
        <v>773</v>
      </c>
      <c r="G83" s="6" t="s">
        <v>774</v>
      </c>
      <c r="H83" s="6" t="s">
        <v>9</v>
      </c>
      <c r="I83" s="6" t="s">
        <v>14</v>
      </c>
      <c r="J83" s="6" t="s">
        <v>1</v>
      </c>
      <c r="K83" s="5"/>
      <c r="L83" s="7"/>
      <c r="M83" s="28"/>
      <c r="N83" s="28"/>
      <c r="O83" s="22">
        <f>IF(OR(M83="",N83=""),"",M83*N83)</f>
        <v/>
      </c>
      <c r="P83" s="21">
        <f>IF(O83="","",IF(O83&gt;=17,"Kritisch",IF(O83&gt;=10,"Hoch",IF(O83&gt;=5,"Mittel","Niedrig"))))</f>
        <v/>
      </c>
      <c r="Q83" s="5"/>
      <c r="R83" s="6" t="s">
        <v>775</v>
      </c>
      <c r="S83" s="6" t="s">
        <v>65</v>
      </c>
      <c r="T83" s="8"/>
      <c r="U83" s="6" t="s">
        <v>466</v>
      </c>
      <c r="V83" s="5"/>
      <c r="W83" s="6" t="s">
        <v>158</v>
      </c>
      <c r="X83" s="7"/>
      <c r="Y83" s="5"/>
    </row>
    <row r="84" spans="1:25" ht="66" customHeight="1">
      <c r="A84" s="6" t="s">
        <v>776</v>
      </c>
      <c r="B84" s="6" t="s">
        <v>754</v>
      </c>
      <c r="C84" s="6" t="s">
        <v>777</v>
      </c>
      <c r="D84" s="6" t="s">
        <v>778</v>
      </c>
      <c r="E84" s="6" t="s">
        <v>779</v>
      </c>
      <c r="F84" s="6" t="s">
        <v>780</v>
      </c>
      <c r="G84" s="6" t="s">
        <v>781</v>
      </c>
      <c r="H84" s="6" t="s">
        <v>8</v>
      </c>
      <c r="I84" s="6" t="s">
        <v>14</v>
      </c>
      <c r="J84" s="6" t="s">
        <v>1</v>
      </c>
      <c r="K84" s="5"/>
      <c r="L84" s="7"/>
      <c r="M84" s="28"/>
      <c r="N84" s="28"/>
      <c r="O84" s="22">
        <f>IF(OR(M84="",N84=""),"",M84*N84)</f>
        <v/>
      </c>
      <c r="P84" s="21">
        <f>IF(O84="","",IF(O84&gt;=17,"Kritisch",IF(O84&gt;=10,"Hoch",IF(O84&gt;=5,"Mittel","Niedrig"))))</f>
        <v/>
      </c>
      <c r="Q84" s="5"/>
      <c r="R84" s="6" t="s">
        <v>782</v>
      </c>
      <c r="S84" s="6" t="s">
        <v>69</v>
      </c>
      <c r="T84" s="8"/>
      <c r="U84" s="6" t="s">
        <v>616</v>
      </c>
      <c r="V84" s="5"/>
      <c r="W84" s="6" t="s">
        <v>158</v>
      </c>
      <c r="X84" s="7"/>
      <c r="Y84" s="5"/>
    </row>
    <row r="85" spans="1:25" ht="66" customHeight="1">
      <c r="A85" s="6" t="s">
        <v>783</v>
      </c>
      <c r="B85" s="6" t="s">
        <v>754</v>
      </c>
      <c r="C85" s="6" t="s">
        <v>784</v>
      </c>
      <c r="D85" s="6" t="s">
        <v>785</v>
      </c>
      <c r="E85" s="6" t="s">
        <v>786</v>
      </c>
      <c r="F85" s="6" t="s">
        <v>787</v>
      </c>
      <c r="G85" s="6" t="s">
        <v>788</v>
      </c>
      <c r="H85" s="6" t="s">
        <v>9</v>
      </c>
      <c r="I85" s="6" t="s">
        <v>14</v>
      </c>
      <c r="J85" s="6" t="s">
        <v>1</v>
      </c>
      <c r="K85" s="5"/>
      <c r="L85" s="7"/>
      <c r="M85" s="28"/>
      <c r="N85" s="28"/>
      <c r="O85" s="22">
        <f>IF(OR(M85="",N85=""),"",M85*N85)</f>
        <v/>
      </c>
      <c r="P85" s="21">
        <f>IF(O85="","",IF(O85&gt;=17,"Kritisch",IF(O85&gt;=10,"Hoch",IF(O85&gt;=5,"Mittel","Niedrig"))))</f>
        <v/>
      </c>
      <c r="Q85" s="5"/>
      <c r="R85" s="6" t="s">
        <v>789</v>
      </c>
      <c r="S85" s="6" t="s">
        <v>65</v>
      </c>
      <c r="T85" s="8"/>
      <c r="U85" s="6" t="s">
        <v>655</v>
      </c>
      <c r="V85" s="5"/>
      <c r="W85" s="6" t="s">
        <v>158</v>
      </c>
      <c r="X85" s="7"/>
      <c r="Y85" s="5"/>
    </row>
    <row r="86" spans="1:25" ht="66" customHeight="1">
      <c r="A86" s="6" t="s">
        <v>790</v>
      </c>
      <c r="B86" s="6" t="s">
        <v>754</v>
      </c>
      <c r="C86" s="6" t="s">
        <v>791</v>
      </c>
      <c r="D86" s="6" t="s">
        <v>792</v>
      </c>
      <c r="E86" s="6" t="s">
        <v>793</v>
      </c>
      <c r="F86" s="6" t="s">
        <v>794</v>
      </c>
      <c r="G86" s="6" t="s">
        <v>795</v>
      </c>
      <c r="H86" s="6" t="s">
        <v>8</v>
      </c>
      <c r="I86" s="6" t="s">
        <v>14</v>
      </c>
      <c r="J86" s="6" t="s">
        <v>1</v>
      </c>
      <c r="K86" s="5"/>
      <c r="L86" s="7"/>
      <c r="M86" s="28"/>
      <c r="N86" s="28"/>
      <c r="O86" s="22">
        <f>IF(OR(M86="",N86=""),"",M86*N86)</f>
        <v/>
      </c>
      <c r="P86" s="21">
        <f>IF(O86="","",IF(O86&gt;=17,"Kritisch",IF(O86&gt;=10,"Hoch",IF(O86&gt;=5,"Mittel","Niedrig"))))</f>
        <v/>
      </c>
      <c r="Q86" s="5"/>
      <c r="R86" s="6" t="s">
        <v>796</v>
      </c>
      <c r="S86" s="6" t="s">
        <v>66</v>
      </c>
      <c r="T86" s="8"/>
      <c r="U86" s="6" t="s">
        <v>797</v>
      </c>
      <c r="V86" s="5"/>
      <c r="W86" s="6" t="s">
        <v>798</v>
      </c>
      <c r="X86" s="7"/>
      <c r="Y86" s="5"/>
    </row>
    <row r="87" spans="1:25" ht="66" customHeight="1">
      <c r="A87" s="6" t="s">
        <v>799</v>
      </c>
      <c r="B87" s="6" t="s">
        <v>754</v>
      </c>
      <c r="C87" s="6" t="s">
        <v>800</v>
      </c>
      <c r="D87" s="6" t="s">
        <v>801</v>
      </c>
      <c r="E87" s="6" t="s">
        <v>802</v>
      </c>
      <c r="F87" s="6" t="s">
        <v>803</v>
      </c>
      <c r="G87" s="6" t="s">
        <v>804</v>
      </c>
      <c r="H87" s="6" t="s">
        <v>9</v>
      </c>
      <c r="I87" s="6" t="s">
        <v>14</v>
      </c>
      <c r="J87" s="6" t="s">
        <v>1</v>
      </c>
      <c r="K87" s="5"/>
      <c r="L87" s="7"/>
      <c r="M87" s="28"/>
      <c r="N87" s="28"/>
      <c r="O87" s="22">
        <f>IF(OR(M87="",N87=""),"",M87*N87)</f>
        <v/>
      </c>
      <c r="P87" s="21">
        <f>IF(O87="","",IF(O87&gt;=17,"Kritisch",IF(O87&gt;=10,"Hoch",IF(O87&gt;=5,"Mittel","Niedrig"))))</f>
        <v/>
      </c>
      <c r="Q87" s="5"/>
      <c r="R87" s="6" t="s">
        <v>805</v>
      </c>
      <c r="S87" s="6" t="s">
        <v>70</v>
      </c>
      <c r="T87" s="8"/>
      <c r="U87" s="6" t="s">
        <v>679</v>
      </c>
      <c r="V87" s="5"/>
      <c r="W87" s="6" t="s">
        <v>158</v>
      </c>
      <c r="X87" s="7"/>
      <c r="Y87" s="5"/>
    </row>
    <row r="88" spans="1:25" ht="66" customHeight="1">
      <c r="A88" s="6" t="s">
        <v>806</v>
      </c>
      <c r="B88" s="6" t="s">
        <v>807</v>
      </c>
      <c r="C88" s="6" t="s">
        <v>808</v>
      </c>
      <c r="D88" s="6" t="s">
        <v>809</v>
      </c>
      <c r="E88" s="6" t="s">
        <v>810</v>
      </c>
      <c r="F88" s="6" t="s">
        <v>811</v>
      </c>
      <c r="G88" s="6" t="s">
        <v>812</v>
      </c>
      <c r="H88" s="6" t="s">
        <v>9</v>
      </c>
      <c r="I88" s="6" t="s">
        <v>14</v>
      </c>
      <c r="J88" s="6" t="s">
        <v>1</v>
      </c>
      <c r="K88" s="5"/>
      <c r="L88" s="7"/>
      <c r="M88" s="28"/>
      <c r="N88" s="28"/>
      <c r="O88" s="22">
        <f>IF(OR(M88="",N88=""),"",M88*N88)</f>
        <v/>
      </c>
      <c r="P88" s="21">
        <f>IF(O88="","",IF(O88&gt;=17,"Kritisch",IF(O88&gt;=10,"Hoch",IF(O88&gt;=5,"Mittel","Niedrig"))))</f>
        <v/>
      </c>
      <c r="Q88" s="5"/>
      <c r="R88" s="6" t="s">
        <v>813</v>
      </c>
      <c r="S88" s="6" t="s">
        <v>69</v>
      </c>
      <c r="T88" s="8"/>
      <c r="U88" s="6" t="s">
        <v>274</v>
      </c>
      <c r="V88" s="5"/>
      <c r="W88" s="6" t="s">
        <v>814</v>
      </c>
      <c r="X88" s="7"/>
      <c r="Y88" s="5"/>
    </row>
    <row r="89" spans="1:25" ht="66" customHeight="1">
      <c r="A89" s="6" t="s">
        <v>815</v>
      </c>
      <c r="B89" s="6" t="s">
        <v>807</v>
      </c>
      <c r="C89" s="6" t="s">
        <v>816</v>
      </c>
      <c r="D89" s="6" t="s">
        <v>817</v>
      </c>
      <c r="E89" s="6" t="s">
        <v>818</v>
      </c>
      <c r="F89" s="6" t="s">
        <v>819</v>
      </c>
      <c r="G89" s="6" t="s">
        <v>820</v>
      </c>
      <c r="H89" s="6" t="s">
        <v>8</v>
      </c>
      <c r="I89" s="6" t="s">
        <v>14</v>
      </c>
      <c r="J89" s="6" t="s">
        <v>1</v>
      </c>
      <c r="K89" s="5"/>
      <c r="L89" s="7"/>
      <c r="M89" s="28"/>
      <c r="N89" s="28"/>
      <c r="O89" s="22">
        <f>IF(OR(M89="",N89=""),"",M89*N89)</f>
        <v/>
      </c>
      <c r="P89" s="21">
        <f>IF(O89="","",IF(O89&gt;=17,"Kritisch",IF(O89&gt;=10,"Hoch",IF(O89&gt;=5,"Mittel","Niedrig"))))</f>
        <v/>
      </c>
      <c r="Q89" s="5"/>
      <c r="R89" s="6" t="s">
        <v>821</v>
      </c>
      <c r="S89" s="6" t="s">
        <v>69</v>
      </c>
      <c r="T89" s="8"/>
      <c r="U89" s="6" t="s">
        <v>616</v>
      </c>
      <c r="V89" s="5"/>
      <c r="W89" s="6" t="s">
        <v>814</v>
      </c>
      <c r="X89" s="7"/>
      <c r="Y89" s="5"/>
    </row>
    <row r="90" spans="1:25" ht="66" customHeight="1">
      <c r="A90" s="6" t="s">
        <v>822</v>
      </c>
      <c r="B90" s="6" t="s">
        <v>807</v>
      </c>
      <c r="C90" s="6" t="s">
        <v>823</v>
      </c>
      <c r="D90" s="6" t="s">
        <v>824</v>
      </c>
      <c r="E90" s="6" t="s">
        <v>825</v>
      </c>
      <c r="F90" s="6" t="s">
        <v>826</v>
      </c>
      <c r="G90" s="6" t="s">
        <v>827</v>
      </c>
      <c r="H90" s="6" t="s">
        <v>8</v>
      </c>
      <c r="I90" s="6" t="s">
        <v>14</v>
      </c>
      <c r="J90" s="6" t="s">
        <v>1</v>
      </c>
      <c r="K90" s="5"/>
      <c r="L90" s="7"/>
      <c r="M90" s="28"/>
      <c r="N90" s="28"/>
      <c r="O90" s="22">
        <f>IF(OR(M90="",N90=""),"",M90*N90)</f>
        <v/>
      </c>
      <c r="P90" s="21">
        <f>IF(O90="","",IF(O90&gt;=17,"Kritisch",IF(O90&gt;=10,"Hoch",IF(O90&gt;=5,"Mittel","Niedrig"))))</f>
        <v/>
      </c>
      <c r="Q90" s="5"/>
      <c r="R90" s="6" t="s">
        <v>828</v>
      </c>
      <c r="S90" s="6" t="s">
        <v>65</v>
      </c>
      <c r="T90" s="8"/>
      <c r="U90" s="6" t="s">
        <v>829</v>
      </c>
      <c r="V90" s="5"/>
      <c r="W90" s="6" t="s">
        <v>814</v>
      </c>
      <c r="X90" s="7"/>
      <c r="Y90" s="5"/>
    </row>
    <row r="91" spans="1:25" ht="66" customHeight="1">
      <c r="A91" s="6" t="s">
        <v>830</v>
      </c>
      <c r="B91" s="6" t="s">
        <v>807</v>
      </c>
      <c r="C91" s="6" t="s">
        <v>831</v>
      </c>
      <c r="D91" s="6" t="s">
        <v>832</v>
      </c>
      <c r="E91" s="6" t="s">
        <v>833</v>
      </c>
      <c r="F91" s="6" t="s">
        <v>834</v>
      </c>
      <c r="G91" s="6" t="s">
        <v>835</v>
      </c>
      <c r="H91" s="6" t="s">
        <v>8</v>
      </c>
      <c r="I91" s="6" t="s">
        <v>14</v>
      </c>
      <c r="J91" s="6" t="s">
        <v>1</v>
      </c>
      <c r="K91" s="5"/>
      <c r="L91" s="7"/>
      <c r="M91" s="28"/>
      <c r="N91" s="28"/>
      <c r="O91" s="22">
        <f>IF(OR(M91="",N91=""),"",M91*N91)</f>
        <v/>
      </c>
      <c r="P91" s="21">
        <f>IF(O91="","",IF(O91&gt;=17,"Kritisch",IF(O91&gt;=10,"Hoch",IF(O91&gt;=5,"Mittel","Niedrig"))))</f>
        <v/>
      </c>
      <c r="Q91" s="5"/>
      <c r="R91" s="6" t="s">
        <v>836</v>
      </c>
      <c r="S91" s="6" t="s">
        <v>67</v>
      </c>
      <c r="T91" s="8"/>
      <c r="U91" s="6" t="s">
        <v>837</v>
      </c>
      <c r="V91" s="5"/>
      <c r="W91" s="6" t="s">
        <v>838</v>
      </c>
      <c r="X91" s="7"/>
      <c r="Y91" s="5"/>
    </row>
    <row r="92" spans="1:25" ht="66" customHeight="1">
      <c r="A92" s="6" t="s">
        <v>839</v>
      </c>
      <c r="B92" s="6" t="s">
        <v>807</v>
      </c>
      <c r="C92" s="6" t="s">
        <v>840</v>
      </c>
      <c r="D92" s="6" t="s">
        <v>841</v>
      </c>
      <c r="E92" s="6" t="s">
        <v>842</v>
      </c>
      <c r="F92" s="6" t="s">
        <v>843</v>
      </c>
      <c r="G92" s="6" t="s">
        <v>844</v>
      </c>
      <c r="H92" s="6" t="s">
        <v>8</v>
      </c>
      <c r="I92" s="6" t="s">
        <v>14</v>
      </c>
      <c r="J92" s="6" t="s">
        <v>1</v>
      </c>
      <c r="K92" s="5"/>
      <c r="L92" s="7"/>
      <c r="M92" s="28"/>
      <c r="N92" s="28"/>
      <c r="O92" s="22">
        <f>IF(OR(M92="",N92=""),"",M92*N92)</f>
        <v/>
      </c>
      <c r="P92" s="21">
        <f>IF(O92="","",IF(O92&gt;=17,"Kritisch",IF(O92&gt;=10,"Hoch",IF(O92&gt;=5,"Mittel","Niedrig"))))</f>
        <v/>
      </c>
      <c r="Q92" s="5"/>
      <c r="R92" s="6" t="s">
        <v>845</v>
      </c>
      <c r="S92" s="6" t="s">
        <v>67</v>
      </c>
      <c r="T92" s="8"/>
      <c r="U92" s="6" t="s">
        <v>846</v>
      </c>
      <c r="V92" s="5"/>
      <c r="W92" s="6" t="s">
        <v>838</v>
      </c>
      <c r="X92" s="7"/>
      <c r="Y92" s="5"/>
    </row>
    <row r="93" spans="1:25" ht="66" customHeight="1">
      <c r="A93" s="6" t="s">
        <v>847</v>
      </c>
      <c r="B93" s="6" t="s">
        <v>807</v>
      </c>
      <c r="C93" s="6" t="s">
        <v>848</v>
      </c>
      <c r="D93" s="6" t="s">
        <v>849</v>
      </c>
      <c r="E93" s="6" t="s">
        <v>850</v>
      </c>
      <c r="F93" s="6" t="s">
        <v>851</v>
      </c>
      <c r="G93" s="6" t="s">
        <v>852</v>
      </c>
      <c r="H93" s="6" t="s">
        <v>8</v>
      </c>
      <c r="I93" s="6" t="s">
        <v>14</v>
      </c>
      <c r="J93" s="6" t="s">
        <v>1</v>
      </c>
      <c r="K93" s="5"/>
      <c r="L93" s="7"/>
      <c r="M93" s="28"/>
      <c r="N93" s="28"/>
      <c r="O93" s="22">
        <f>IF(OR(M93="",N93=""),"",M93*N93)</f>
        <v/>
      </c>
      <c r="P93" s="21">
        <f>IF(O93="","",IF(O93&gt;=17,"Kritisch",IF(O93&gt;=10,"Hoch",IF(O93&gt;=5,"Mittel","Niedrig"))))</f>
        <v/>
      </c>
      <c r="Q93" s="5"/>
      <c r="R93" s="6" t="s">
        <v>853</v>
      </c>
      <c r="S93" s="6" t="s">
        <v>70</v>
      </c>
      <c r="T93" s="8"/>
      <c r="U93" s="6" t="s">
        <v>854</v>
      </c>
      <c r="V93" s="5"/>
      <c r="W93" s="6" t="s">
        <v>838</v>
      </c>
      <c r="X93" s="7"/>
      <c r="Y93" s="5"/>
    </row>
    <row r="94" spans="1:25" ht="66" customHeight="1">
      <c r="A94" s="6" t="s">
        <v>855</v>
      </c>
      <c r="B94" s="6" t="s">
        <v>807</v>
      </c>
      <c r="C94" s="6" t="s">
        <v>856</v>
      </c>
      <c r="D94" s="6" t="s">
        <v>857</v>
      </c>
      <c r="E94" s="6" t="s">
        <v>858</v>
      </c>
      <c r="F94" s="6" t="s">
        <v>859</v>
      </c>
      <c r="G94" s="6" t="s">
        <v>860</v>
      </c>
      <c r="H94" s="6" t="s">
        <v>8</v>
      </c>
      <c r="I94" s="6" t="s">
        <v>14</v>
      </c>
      <c r="J94" s="6" t="s">
        <v>1</v>
      </c>
      <c r="K94" s="5"/>
      <c r="L94" s="7"/>
      <c r="M94" s="28"/>
      <c r="N94" s="28"/>
      <c r="O94" s="22">
        <f>IF(OR(M94="",N94=""),"",M94*N94)</f>
        <v/>
      </c>
      <c r="P94" s="21">
        <f>IF(O94="","",IF(O94&gt;=17,"Kritisch",IF(O94&gt;=10,"Hoch",IF(O94&gt;=5,"Mittel","Niedrig"))))</f>
        <v/>
      </c>
      <c r="Q94" s="5"/>
      <c r="R94" s="6" t="s">
        <v>861</v>
      </c>
      <c r="S94" s="6" t="s">
        <v>67</v>
      </c>
      <c r="T94" s="8"/>
      <c r="U94" s="6" t="s">
        <v>466</v>
      </c>
      <c r="V94" s="5"/>
      <c r="W94" s="6" t="s">
        <v>838</v>
      </c>
      <c r="X94" s="7"/>
      <c r="Y94" s="5"/>
    </row>
    <row r="95" spans="1:25" ht="66" customHeight="1">
      <c r="A95" s="6" t="s">
        <v>862</v>
      </c>
      <c r="B95" s="6" t="s">
        <v>807</v>
      </c>
      <c r="C95" s="6" t="s">
        <v>863</v>
      </c>
      <c r="D95" s="6" t="s">
        <v>864</v>
      </c>
      <c r="E95" s="6" t="s">
        <v>865</v>
      </c>
      <c r="F95" s="6" t="s">
        <v>866</v>
      </c>
      <c r="G95" s="6" t="s">
        <v>867</v>
      </c>
      <c r="H95" s="6" t="s">
        <v>9</v>
      </c>
      <c r="I95" s="6" t="s">
        <v>14</v>
      </c>
      <c r="J95" s="6" t="s">
        <v>1</v>
      </c>
      <c r="K95" s="5"/>
      <c r="L95" s="7"/>
      <c r="M95" s="28"/>
      <c r="N95" s="28"/>
      <c r="O95" s="22">
        <f>IF(OR(M95="",N95=""),"",M95*N95)</f>
        <v/>
      </c>
      <c r="P95" s="21">
        <f>IF(O95="","",IF(O95&gt;=17,"Kritisch",IF(O95&gt;=10,"Hoch",IF(O95&gt;=5,"Mittel","Niedrig"))))</f>
        <v/>
      </c>
      <c r="Q95" s="5"/>
      <c r="R95" s="6" t="s">
        <v>868</v>
      </c>
      <c r="S95" s="6" t="s">
        <v>69</v>
      </c>
      <c r="T95" s="8"/>
      <c r="U95" s="6" t="s">
        <v>466</v>
      </c>
      <c r="V95" s="5"/>
      <c r="W95" s="6" t="s">
        <v>838</v>
      </c>
      <c r="X95" s="7"/>
      <c r="Y95" s="5"/>
    </row>
    <row r="96" spans="1:25" ht="66" customHeight="1">
      <c r="A96" s="6" t="s">
        <v>869</v>
      </c>
      <c r="B96" s="6" t="s">
        <v>807</v>
      </c>
      <c r="C96" s="6" t="s">
        <v>870</v>
      </c>
      <c r="D96" s="6" t="s">
        <v>871</v>
      </c>
      <c r="E96" s="6" t="s">
        <v>872</v>
      </c>
      <c r="F96" s="6" t="s">
        <v>873</v>
      </c>
      <c r="G96" s="6" t="s">
        <v>874</v>
      </c>
      <c r="H96" s="6" t="s">
        <v>8</v>
      </c>
      <c r="I96" s="6" t="s">
        <v>14</v>
      </c>
      <c r="J96" s="6" t="s">
        <v>1</v>
      </c>
      <c r="K96" s="5"/>
      <c r="L96" s="7"/>
      <c r="M96" s="28"/>
      <c r="N96" s="28"/>
      <c r="O96" s="22">
        <f>IF(OR(M96="",N96=""),"",M96*N96)</f>
        <v/>
      </c>
      <c r="P96" s="21">
        <f>IF(O96="","",IF(O96&gt;=17,"Kritisch",IF(O96&gt;=10,"Hoch",IF(O96&gt;=5,"Mittel","Niedrig"))))</f>
        <v/>
      </c>
      <c r="Q96" s="5"/>
      <c r="R96" s="6" t="s">
        <v>875</v>
      </c>
      <c r="S96" s="6" t="s">
        <v>69</v>
      </c>
      <c r="T96" s="8"/>
      <c r="U96" s="6" t="s">
        <v>876</v>
      </c>
      <c r="V96" s="5"/>
      <c r="W96" s="6" t="s">
        <v>838</v>
      </c>
      <c r="X96" s="7"/>
      <c r="Y96" s="5"/>
    </row>
    <row r="97" spans="1:25" ht="66" customHeight="1">
      <c r="A97" s="6" t="s">
        <v>877</v>
      </c>
      <c r="B97" s="6" t="s">
        <v>807</v>
      </c>
      <c r="C97" s="6" t="s">
        <v>878</v>
      </c>
      <c r="D97" s="6" t="s">
        <v>879</v>
      </c>
      <c r="E97" s="6" t="s">
        <v>880</v>
      </c>
      <c r="F97" s="6" t="s">
        <v>881</v>
      </c>
      <c r="G97" s="6" t="s">
        <v>882</v>
      </c>
      <c r="H97" s="6" t="s">
        <v>8</v>
      </c>
      <c r="I97" s="6" t="s">
        <v>14</v>
      </c>
      <c r="J97" s="6" t="s">
        <v>1</v>
      </c>
      <c r="K97" s="5"/>
      <c r="L97" s="7"/>
      <c r="M97" s="28"/>
      <c r="N97" s="28"/>
      <c r="O97" s="22">
        <f>IF(OR(M97="",N97=""),"",M97*N97)</f>
        <v/>
      </c>
      <c r="P97" s="21">
        <f>IF(O97="","",IF(O97&gt;=17,"Kritisch",IF(O97&gt;=10,"Hoch",IF(O97&gt;=5,"Mittel","Niedrig"))))</f>
        <v/>
      </c>
      <c r="Q97" s="5"/>
      <c r="R97" s="6" t="s">
        <v>883</v>
      </c>
      <c r="S97" s="6" t="s">
        <v>65</v>
      </c>
      <c r="T97" s="8"/>
      <c r="U97" s="6" t="s">
        <v>884</v>
      </c>
      <c r="V97" s="5"/>
      <c r="W97" s="6" t="s">
        <v>158</v>
      </c>
      <c r="X97" s="7"/>
      <c r="Y97" s="5"/>
    </row>
    <row r="98" spans="1:25" ht="66" customHeight="1">
      <c r="A98" s="6" t="s">
        <v>885</v>
      </c>
      <c r="B98" s="6" t="s">
        <v>807</v>
      </c>
      <c r="C98" s="6" t="s">
        <v>886</v>
      </c>
      <c r="D98" s="6" t="s">
        <v>887</v>
      </c>
      <c r="E98" s="6" t="s">
        <v>888</v>
      </c>
      <c r="F98" s="6" t="s">
        <v>889</v>
      </c>
      <c r="G98" s="6" t="s">
        <v>890</v>
      </c>
      <c r="H98" s="6" t="s">
        <v>8</v>
      </c>
      <c r="I98" s="6" t="s">
        <v>14</v>
      </c>
      <c r="J98" s="6" t="s">
        <v>1</v>
      </c>
      <c r="K98" s="5"/>
      <c r="L98" s="7"/>
      <c r="M98" s="28"/>
      <c r="N98" s="28"/>
      <c r="O98" s="22">
        <f>IF(OR(M98="",N98=""),"",M98*N98)</f>
        <v/>
      </c>
      <c r="P98" s="21">
        <f>IF(O98="","",IF(O98&gt;=17,"Kritisch",IF(O98&gt;=10,"Hoch",IF(O98&gt;=5,"Mittel","Niedrig"))))</f>
        <v/>
      </c>
      <c r="Q98" s="5"/>
      <c r="R98" s="6" t="s">
        <v>891</v>
      </c>
      <c r="S98" s="6" t="s">
        <v>69</v>
      </c>
      <c r="T98" s="8"/>
      <c r="U98" s="6" t="s">
        <v>837</v>
      </c>
      <c r="V98" s="5"/>
      <c r="W98" s="6" t="s">
        <v>838</v>
      </c>
      <c r="X98" s="7"/>
      <c r="Y98" s="5"/>
    </row>
    <row r="99" spans="1:25" ht="66" customHeight="1">
      <c r="A99" s="6" t="s">
        <v>892</v>
      </c>
      <c r="B99" s="6" t="s">
        <v>807</v>
      </c>
      <c r="C99" s="6" t="s">
        <v>893</v>
      </c>
      <c r="D99" s="6" t="s">
        <v>894</v>
      </c>
      <c r="E99" s="6" t="s">
        <v>895</v>
      </c>
      <c r="F99" s="6" t="s">
        <v>896</v>
      </c>
      <c r="G99" s="6" t="s">
        <v>897</v>
      </c>
      <c r="H99" s="6" t="s">
        <v>8</v>
      </c>
      <c r="I99" s="6" t="s">
        <v>14</v>
      </c>
      <c r="J99" s="6" t="s">
        <v>1</v>
      </c>
      <c r="K99" s="5"/>
      <c r="L99" s="7"/>
      <c r="M99" s="28"/>
      <c r="N99" s="28"/>
      <c r="O99" s="22">
        <f>IF(OR(M99="",N99=""),"",M99*N99)</f>
        <v/>
      </c>
      <c r="P99" s="21">
        <f>IF(O99="","",IF(O99&gt;=17,"Kritisch",IF(O99&gt;=10,"Hoch",IF(O99&gt;=5,"Mittel","Niedrig"))))</f>
        <v/>
      </c>
      <c r="Q99" s="5"/>
      <c r="R99" s="6" t="s">
        <v>898</v>
      </c>
      <c r="S99" s="6" t="s">
        <v>67</v>
      </c>
      <c r="T99" s="8"/>
      <c r="U99" s="6" t="s">
        <v>899</v>
      </c>
      <c r="V99" s="5"/>
      <c r="W99" s="6" t="s">
        <v>158</v>
      </c>
      <c r="X99" s="7"/>
      <c r="Y99" s="5"/>
    </row>
    <row r="100" spans="1:25" ht="66" customHeight="1">
      <c r="A100" s="6" t="s">
        <v>900</v>
      </c>
      <c r="B100" s="6" t="s">
        <v>901</v>
      </c>
      <c r="C100" s="6" t="s">
        <v>902</v>
      </c>
      <c r="D100" s="6" t="s">
        <v>903</v>
      </c>
      <c r="E100" s="6" t="s">
        <v>904</v>
      </c>
      <c r="F100" s="6" t="s">
        <v>905</v>
      </c>
      <c r="G100" s="6" t="s">
        <v>906</v>
      </c>
      <c r="H100" s="6" t="s">
        <v>9</v>
      </c>
      <c r="I100" s="6" t="s">
        <v>14</v>
      </c>
      <c r="J100" s="6" t="s">
        <v>1</v>
      </c>
      <c r="K100" s="5"/>
      <c r="L100" s="7"/>
      <c r="M100" s="28"/>
      <c r="N100" s="28"/>
      <c r="O100" s="22">
        <f>IF(OR(M100="",N100=""),"",M100*N100)</f>
        <v/>
      </c>
      <c r="P100" s="21">
        <f>IF(O100="","",IF(O100&gt;=17,"Kritisch",IF(O100&gt;=10,"Hoch",IF(O100&gt;=5,"Mittel","Niedrig"))))</f>
        <v/>
      </c>
      <c r="Q100" s="5"/>
      <c r="R100" s="6" t="s">
        <v>907</v>
      </c>
      <c r="S100" s="6" t="s">
        <v>66</v>
      </c>
      <c r="T100" s="8"/>
      <c r="U100" s="6" t="s">
        <v>908</v>
      </c>
      <c r="V100" s="5"/>
      <c r="W100" s="6" t="s">
        <v>909</v>
      </c>
      <c r="X100" s="7"/>
      <c r="Y100" s="5"/>
    </row>
    <row r="101" spans="1:25" ht="66" customHeight="1">
      <c r="A101" s="6" t="s">
        <v>910</v>
      </c>
      <c r="B101" s="6" t="s">
        <v>901</v>
      </c>
      <c r="C101" s="6" t="s">
        <v>911</v>
      </c>
      <c r="D101" s="6" t="s">
        <v>912</v>
      </c>
      <c r="E101" s="6" t="s">
        <v>913</v>
      </c>
      <c r="F101" s="6" t="s">
        <v>914</v>
      </c>
      <c r="G101" s="6" t="s">
        <v>915</v>
      </c>
      <c r="H101" s="6" t="s">
        <v>8</v>
      </c>
      <c r="I101" s="6" t="s">
        <v>14</v>
      </c>
      <c r="J101" s="6" t="s">
        <v>1</v>
      </c>
      <c r="K101" s="5"/>
      <c r="L101" s="7"/>
      <c r="M101" s="28"/>
      <c r="N101" s="28"/>
      <c r="O101" s="22">
        <f>IF(OR(M101="",N101=""),"",M101*N101)</f>
        <v/>
      </c>
      <c r="P101" s="21">
        <f>IF(O101="","",IF(O101&gt;=17,"Kritisch",IF(O101&gt;=10,"Hoch",IF(O101&gt;=5,"Mittel","Niedrig"))))</f>
        <v/>
      </c>
      <c r="Q101" s="5"/>
      <c r="R101" s="6" t="s">
        <v>916</v>
      </c>
      <c r="S101" s="6" t="s">
        <v>66</v>
      </c>
      <c r="T101" s="8"/>
      <c r="U101" s="6" t="s">
        <v>917</v>
      </c>
      <c r="V101" s="5"/>
      <c r="W101" s="6" t="s">
        <v>909</v>
      </c>
      <c r="X101" s="7"/>
      <c r="Y101" s="5"/>
    </row>
    <row r="102" spans="1:25" ht="66" customHeight="1">
      <c r="A102" s="6" t="s">
        <v>918</v>
      </c>
      <c r="B102" s="6" t="s">
        <v>901</v>
      </c>
      <c r="C102" s="6" t="s">
        <v>919</v>
      </c>
      <c r="D102" s="6" t="s">
        <v>920</v>
      </c>
      <c r="E102" s="6" t="s">
        <v>921</v>
      </c>
      <c r="F102" s="6" t="s">
        <v>922</v>
      </c>
      <c r="G102" s="6" t="s">
        <v>923</v>
      </c>
      <c r="H102" s="6" t="s">
        <v>8</v>
      </c>
      <c r="I102" s="6" t="s">
        <v>14</v>
      </c>
      <c r="J102" s="6" t="s">
        <v>1</v>
      </c>
      <c r="K102" s="5"/>
      <c r="L102" s="7"/>
      <c r="M102" s="28"/>
      <c r="N102" s="28"/>
      <c r="O102" s="22">
        <f>IF(OR(M102="",N102=""),"",M102*N102)</f>
        <v/>
      </c>
      <c r="P102" s="21">
        <f>IF(O102="","",IF(O102&gt;=17,"Kritisch",IF(O102&gt;=10,"Hoch",IF(O102&gt;=5,"Mittel","Niedrig"))))</f>
        <v/>
      </c>
      <c r="Q102" s="5"/>
      <c r="R102" s="6" t="s">
        <v>924</v>
      </c>
      <c r="S102" s="6" t="s">
        <v>66</v>
      </c>
      <c r="T102" s="8"/>
      <c r="U102" s="6" t="s">
        <v>925</v>
      </c>
      <c r="V102" s="5"/>
      <c r="W102" s="6" t="s">
        <v>909</v>
      </c>
      <c r="X102" s="7"/>
      <c r="Y102" s="5"/>
    </row>
    <row r="103" spans="1:25" ht="66" customHeight="1">
      <c r="A103" s="6" t="s">
        <v>926</v>
      </c>
      <c r="B103" s="6" t="s">
        <v>901</v>
      </c>
      <c r="C103" s="6" t="s">
        <v>927</v>
      </c>
      <c r="D103" s="6" t="s">
        <v>928</v>
      </c>
      <c r="E103" s="6" t="s">
        <v>929</v>
      </c>
      <c r="F103" s="6" t="s">
        <v>930</v>
      </c>
      <c r="G103" s="6" t="s">
        <v>931</v>
      </c>
      <c r="H103" s="6" t="s">
        <v>9</v>
      </c>
      <c r="I103" s="6" t="s">
        <v>14</v>
      </c>
      <c r="J103" s="6" t="s">
        <v>1</v>
      </c>
      <c r="K103" s="5"/>
      <c r="L103" s="7"/>
      <c r="M103" s="28"/>
      <c r="N103" s="28"/>
      <c r="O103" s="22">
        <f>IF(OR(M103="",N103=""),"",M103*N103)</f>
        <v/>
      </c>
      <c r="P103" s="21">
        <f>IF(O103="","",IF(O103&gt;=17,"Kritisch",IF(O103&gt;=10,"Hoch",IF(O103&gt;=5,"Mittel","Niedrig"))))</f>
        <v/>
      </c>
      <c r="Q103" s="5"/>
      <c r="R103" s="6" t="s">
        <v>932</v>
      </c>
      <c r="S103" s="6" t="s">
        <v>69</v>
      </c>
      <c r="T103" s="8"/>
      <c r="U103" s="6" t="s">
        <v>466</v>
      </c>
      <c r="V103" s="5"/>
      <c r="W103" s="6" t="s">
        <v>909</v>
      </c>
      <c r="X103" s="7"/>
      <c r="Y103" s="5"/>
    </row>
    <row r="104" spans="1:25" ht="66" customHeight="1">
      <c r="A104" s="6" t="s">
        <v>933</v>
      </c>
      <c r="B104" s="6" t="s">
        <v>901</v>
      </c>
      <c r="C104" s="6" t="s">
        <v>934</v>
      </c>
      <c r="D104" s="6" t="s">
        <v>935</v>
      </c>
      <c r="E104" s="6" t="s">
        <v>936</v>
      </c>
      <c r="F104" s="6" t="s">
        <v>937</v>
      </c>
      <c r="G104" s="6" t="s">
        <v>938</v>
      </c>
      <c r="H104" s="6" t="s">
        <v>8</v>
      </c>
      <c r="I104" s="6" t="s">
        <v>14</v>
      </c>
      <c r="J104" s="6" t="s">
        <v>1</v>
      </c>
      <c r="K104" s="5"/>
      <c r="L104" s="7"/>
      <c r="M104" s="28"/>
      <c r="N104" s="28"/>
      <c r="O104" s="22">
        <f>IF(OR(M104="",N104=""),"",M104*N104)</f>
        <v/>
      </c>
      <c r="P104" s="21">
        <f>IF(O104="","",IF(O104&gt;=17,"Kritisch",IF(O104&gt;=10,"Hoch",IF(O104&gt;=5,"Mittel","Niedrig"))))</f>
        <v/>
      </c>
      <c r="Q104" s="5"/>
      <c r="R104" s="6" t="s">
        <v>939</v>
      </c>
      <c r="S104" s="6" t="s">
        <v>66</v>
      </c>
      <c r="T104" s="8"/>
      <c r="U104" s="6" t="s">
        <v>631</v>
      </c>
      <c r="V104" s="5"/>
      <c r="W104" s="6" t="s">
        <v>909</v>
      </c>
      <c r="X104" s="7"/>
      <c r="Y104" s="5"/>
    </row>
    <row r="105" spans="1:25" ht="66" customHeight="1">
      <c r="A105" s="6" t="s">
        <v>940</v>
      </c>
      <c r="B105" s="6" t="s">
        <v>901</v>
      </c>
      <c r="C105" s="6" t="s">
        <v>941</v>
      </c>
      <c r="D105" s="6" t="s">
        <v>942</v>
      </c>
      <c r="E105" s="6" t="s">
        <v>943</v>
      </c>
      <c r="F105" s="6" t="s">
        <v>944</v>
      </c>
      <c r="G105" s="6" t="s">
        <v>945</v>
      </c>
      <c r="H105" s="6" t="s">
        <v>8</v>
      </c>
      <c r="I105" s="6" t="s">
        <v>14</v>
      </c>
      <c r="J105" s="6" t="s">
        <v>1</v>
      </c>
      <c r="K105" s="5"/>
      <c r="L105" s="7"/>
      <c r="M105" s="28"/>
      <c r="N105" s="28"/>
      <c r="O105" s="22">
        <f>IF(OR(M105="",N105=""),"",M105*N105)</f>
        <v/>
      </c>
      <c r="P105" s="21">
        <f>IF(O105="","",IF(O105&gt;=17,"Kritisch",IF(O105&gt;=10,"Hoch",IF(O105&gt;=5,"Mittel","Niedrig"))))</f>
        <v/>
      </c>
      <c r="Q105" s="5"/>
      <c r="R105" s="6" t="s">
        <v>946</v>
      </c>
      <c r="S105" s="6" t="s">
        <v>67</v>
      </c>
      <c r="T105" s="8"/>
      <c r="U105" s="6" t="s">
        <v>466</v>
      </c>
      <c r="V105" s="5"/>
      <c r="W105" s="6" t="s">
        <v>909</v>
      </c>
      <c r="X105" s="7"/>
      <c r="Y105" s="5"/>
    </row>
    <row r="106" spans="1:25" ht="66" customHeight="1">
      <c r="A106" s="6" t="s">
        <v>947</v>
      </c>
      <c r="B106" s="6" t="s">
        <v>901</v>
      </c>
      <c r="C106" s="6" t="s">
        <v>948</v>
      </c>
      <c r="D106" s="6" t="s">
        <v>949</v>
      </c>
      <c r="E106" s="6" t="s">
        <v>950</v>
      </c>
      <c r="F106" s="6" t="s">
        <v>951</v>
      </c>
      <c r="G106" s="6" t="s">
        <v>952</v>
      </c>
      <c r="H106" s="6" t="s">
        <v>9</v>
      </c>
      <c r="I106" s="6" t="s">
        <v>14</v>
      </c>
      <c r="J106" s="6" t="s">
        <v>1</v>
      </c>
      <c r="K106" s="5"/>
      <c r="L106" s="7"/>
      <c r="M106" s="28"/>
      <c r="N106" s="28"/>
      <c r="O106" s="22">
        <f>IF(OR(M106="",N106=""),"",M106*N106)</f>
        <v/>
      </c>
      <c r="P106" s="21">
        <f>IF(O106="","",IF(O106&gt;=17,"Kritisch",IF(O106&gt;=10,"Hoch",IF(O106&gt;=5,"Mittel","Niedrig"))))</f>
        <v/>
      </c>
      <c r="Q106" s="5"/>
      <c r="R106" s="6" t="s">
        <v>953</v>
      </c>
      <c r="S106" s="6" t="s">
        <v>69</v>
      </c>
      <c r="T106" s="8"/>
      <c r="U106" s="6" t="s">
        <v>466</v>
      </c>
      <c r="V106" s="5"/>
      <c r="W106" s="6" t="s">
        <v>909</v>
      </c>
      <c r="X106" s="7"/>
      <c r="Y106" s="5"/>
    </row>
    <row r="107" spans="1:25" ht="66" customHeight="1">
      <c r="A107" s="6" t="s">
        <v>954</v>
      </c>
      <c r="B107" s="6" t="s">
        <v>955</v>
      </c>
      <c r="C107" s="6" t="s">
        <v>956</v>
      </c>
      <c r="D107" s="6" t="s">
        <v>957</v>
      </c>
      <c r="E107" s="6" t="s">
        <v>958</v>
      </c>
      <c r="F107" s="6" t="s">
        <v>959</v>
      </c>
      <c r="G107" s="6" t="s">
        <v>960</v>
      </c>
      <c r="H107" s="6" t="s">
        <v>9</v>
      </c>
      <c r="I107" s="6" t="s">
        <v>14</v>
      </c>
      <c r="J107" s="6" t="s">
        <v>1</v>
      </c>
      <c r="K107" s="5"/>
      <c r="L107" s="7"/>
      <c r="M107" s="28"/>
      <c r="N107" s="28"/>
      <c r="O107" s="22">
        <f>IF(OR(M107="",N107=""),"",M107*N107)</f>
        <v/>
      </c>
      <c r="P107" s="21">
        <f>IF(O107="","",IF(O107&gt;=17,"Kritisch",IF(O107&gt;=10,"Hoch",IF(O107&gt;=5,"Mittel","Niedrig"))))</f>
        <v/>
      </c>
      <c r="Q107" s="5"/>
      <c r="R107" s="6" t="s">
        <v>961</v>
      </c>
      <c r="S107" s="6" t="s">
        <v>69</v>
      </c>
      <c r="T107" s="8"/>
      <c r="U107" s="6" t="s">
        <v>466</v>
      </c>
      <c r="V107" s="5"/>
      <c r="W107" s="6" t="s">
        <v>158</v>
      </c>
      <c r="X107" s="7"/>
      <c r="Y107" s="5"/>
    </row>
    <row r="108" spans="1:25" ht="66" customHeight="1">
      <c r="A108" s="6" t="s">
        <v>962</v>
      </c>
      <c r="B108" s="6" t="s">
        <v>955</v>
      </c>
      <c r="C108" s="6" t="s">
        <v>963</v>
      </c>
      <c r="D108" s="6" t="s">
        <v>964</v>
      </c>
      <c r="E108" s="6" t="s">
        <v>965</v>
      </c>
      <c r="F108" s="6" t="s">
        <v>966</v>
      </c>
      <c r="G108" s="6" t="s">
        <v>967</v>
      </c>
      <c r="H108" s="6" t="s">
        <v>9</v>
      </c>
      <c r="I108" s="6" t="s">
        <v>14</v>
      </c>
      <c r="J108" s="6" t="s">
        <v>1</v>
      </c>
      <c r="K108" s="5"/>
      <c r="L108" s="7"/>
      <c r="M108" s="28"/>
      <c r="N108" s="28"/>
      <c r="O108" s="22">
        <f>IF(OR(M108="",N108=""),"",M108*N108)</f>
        <v/>
      </c>
      <c r="P108" s="21">
        <f>IF(O108="","",IF(O108&gt;=17,"Kritisch",IF(O108&gt;=10,"Hoch",IF(O108&gt;=5,"Mittel","Niedrig"))))</f>
        <v/>
      </c>
      <c r="Q108" s="5"/>
      <c r="R108" s="6" t="s">
        <v>968</v>
      </c>
      <c r="S108" s="6" t="s">
        <v>66</v>
      </c>
      <c r="T108" s="8"/>
      <c r="U108" s="6" t="s">
        <v>969</v>
      </c>
      <c r="V108" s="5"/>
      <c r="W108" s="6" t="s">
        <v>158</v>
      </c>
      <c r="X108" s="7"/>
      <c r="Y108" s="5"/>
    </row>
    <row r="109" spans="1:25" ht="66" customHeight="1">
      <c r="A109" s="6" t="s">
        <v>970</v>
      </c>
      <c r="B109" s="6" t="s">
        <v>955</v>
      </c>
      <c r="C109" s="6" t="s">
        <v>971</v>
      </c>
      <c r="D109" s="6" t="s">
        <v>972</v>
      </c>
      <c r="E109" s="6" t="s">
        <v>973</v>
      </c>
      <c r="F109" s="6" t="s">
        <v>974</v>
      </c>
      <c r="G109" s="6" t="s">
        <v>975</v>
      </c>
      <c r="H109" s="6" t="s">
        <v>8</v>
      </c>
      <c r="I109" s="6" t="s">
        <v>14</v>
      </c>
      <c r="J109" s="6" t="s">
        <v>1</v>
      </c>
      <c r="K109" s="5"/>
      <c r="L109" s="7"/>
      <c r="M109" s="28"/>
      <c r="N109" s="28"/>
      <c r="O109" s="22">
        <f>IF(OR(M109="",N109=""),"",M109*N109)</f>
        <v/>
      </c>
      <c r="P109" s="21">
        <f>IF(O109="","",IF(O109&gt;=17,"Kritisch",IF(O109&gt;=10,"Hoch",IF(O109&gt;=5,"Mittel","Niedrig"))))</f>
        <v/>
      </c>
      <c r="Q109" s="5"/>
      <c r="R109" s="6" t="s">
        <v>976</v>
      </c>
      <c r="S109" s="6" t="s">
        <v>65</v>
      </c>
      <c r="T109" s="8"/>
      <c r="U109" s="6" t="s">
        <v>977</v>
      </c>
      <c r="V109" s="5"/>
      <c r="W109" s="6" t="s">
        <v>158</v>
      </c>
      <c r="X109" s="7"/>
      <c r="Y109" s="5"/>
    </row>
    <row r="110" spans="1:25" ht="66" customHeight="1">
      <c r="A110" s="6" t="s">
        <v>978</v>
      </c>
      <c r="B110" s="6" t="s">
        <v>955</v>
      </c>
      <c r="C110" s="6" t="s">
        <v>979</v>
      </c>
      <c r="D110" s="6" t="s">
        <v>980</v>
      </c>
      <c r="E110" s="6" t="s">
        <v>981</v>
      </c>
      <c r="F110" s="6" t="s">
        <v>982</v>
      </c>
      <c r="G110" s="6" t="s">
        <v>983</v>
      </c>
      <c r="H110" s="6" t="s">
        <v>8</v>
      </c>
      <c r="I110" s="6" t="s">
        <v>14</v>
      </c>
      <c r="J110" s="6" t="s">
        <v>1</v>
      </c>
      <c r="K110" s="5"/>
      <c r="L110" s="7"/>
      <c r="M110" s="28"/>
      <c r="N110" s="28"/>
      <c r="O110" s="22">
        <f>IF(OR(M110="",N110=""),"",M110*N110)</f>
        <v/>
      </c>
      <c r="P110" s="21">
        <f>IF(O110="","",IF(O110&gt;=17,"Kritisch",IF(O110&gt;=10,"Hoch",IF(O110&gt;=5,"Mittel","Niedrig"))))</f>
        <v/>
      </c>
      <c r="Q110" s="5"/>
      <c r="R110" s="6" t="s">
        <v>984</v>
      </c>
      <c r="S110" s="6" t="s">
        <v>67</v>
      </c>
      <c r="T110" s="8"/>
      <c r="U110" s="6" t="s">
        <v>985</v>
      </c>
      <c r="V110" s="5"/>
      <c r="W110" s="6" t="s">
        <v>158</v>
      </c>
      <c r="X110" s="7"/>
      <c r="Y110" s="5"/>
    </row>
    <row r="111" spans="1:25" ht="66" customHeight="1">
      <c r="A111" s="6" t="s">
        <v>986</v>
      </c>
      <c r="B111" s="6" t="s">
        <v>955</v>
      </c>
      <c r="C111" s="6" t="s">
        <v>987</v>
      </c>
      <c r="D111" s="6" t="s">
        <v>988</v>
      </c>
      <c r="E111" s="6" t="s">
        <v>989</v>
      </c>
      <c r="F111" s="6" t="s">
        <v>990</v>
      </c>
      <c r="G111" s="6" t="s">
        <v>991</v>
      </c>
      <c r="H111" s="6" t="s">
        <v>9</v>
      </c>
      <c r="I111" s="6" t="s">
        <v>14</v>
      </c>
      <c r="J111" s="6" t="s">
        <v>1</v>
      </c>
      <c r="K111" s="5"/>
      <c r="L111" s="7"/>
      <c r="M111" s="28"/>
      <c r="N111" s="28"/>
      <c r="O111" s="22">
        <f>IF(OR(M111="",N111=""),"",M111*N111)</f>
        <v/>
      </c>
      <c r="P111" s="21">
        <f>IF(O111="","",IF(O111&gt;=17,"Kritisch",IF(O111&gt;=10,"Hoch",IF(O111&gt;=5,"Mittel","Niedrig"))))</f>
        <v/>
      </c>
      <c r="Q111" s="5"/>
      <c r="R111" s="6" t="s">
        <v>992</v>
      </c>
      <c r="S111" s="6" t="s">
        <v>65</v>
      </c>
      <c r="T111" s="8"/>
      <c r="U111" s="6" t="s">
        <v>993</v>
      </c>
      <c r="V111" s="5"/>
      <c r="W111" s="6" t="s">
        <v>158</v>
      </c>
      <c r="X111" s="7"/>
      <c r="Y111" s="5"/>
    </row>
    <row r="112" spans="1:25" ht="66" customHeight="1">
      <c r="A112" s="6" t="s">
        <v>994</v>
      </c>
      <c r="B112" s="6" t="s">
        <v>955</v>
      </c>
      <c r="C112" s="6" t="s">
        <v>995</v>
      </c>
      <c r="D112" s="6" t="s">
        <v>996</v>
      </c>
      <c r="E112" s="6" t="s">
        <v>997</v>
      </c>
      <c r="F112" s="6" t="s">
        <v>998</v>
      </c>
      <c r="G112" s="6" t="s">
        <v>999</v>
      </c>
      <c r="H112" s="6" t="s">
        <v>8</v>
      </c>
      <c r="I112" s="6" t="s">
        <v>13</v>
      </c>
      <c r="J112" s="6" t="s">
        <v>1</v>
      </c>
      <c r="K112" s="5"/>
      <c r="L112" s="7"/>
      <c r="M112" s="28"/>
      <c r="N112" s="28"/>
      <c r="O112" s="22">
        <f>IF(OR(M112="",N112=""),"",M112*N112)</f>
        <v/>
      </c>
      <c r="P112" s="21">
        <f>IF(O112="","",IF(O112&gt;=17,"Kritisch",IF(O112&gt;=10,"Hoch",IF(O112&gt;=5,"Mittel","Niedrig"))))</f>
        <v/>
      </c>
      <c r="Q112" s="5"/>
      <c r="R112" s="6" t="s">
        <v>1000</v>
      </c>
      <c r="S112" s="6" t="s">
        <v>67</v>
      </c>
      <c r="T112" s="8"/>
      <c r="U112" s="6" t="s">
        <v>466</v>
      </c>
      <c r="V112" s="5"/>
      <c r="W112" s="6" t="s">
        <v>158</v>
      </c>
      <c r="X112" s="7"/>
      <c r="Y112" s="5"/>
    </row>
    <row r="113" spans="1:25" ht="66" customHeight="1">
      <c r="A113" s="6" t="s">
        <v>1001</v>
      </c>
      <c r="B113" s="6" t="s">
        <v>955</v>
      </c>
      <c r="C113" s="6" t="s">
        <v>1002</v>
      </c>
      <c r="D113" s="6" t="s">
        <v>1003</v>
      </c>
      <c r="E113" s="6" t="s">
        <v>1004</v>
      </c>
      <c r="F113" s="6" t="s">
        <v>1005</v>
      </c>
      <c r="G113" s="6" t="s">
        <v>1006</v>
      </c>
      <c r="H113" s="6" t="s">
        <v>8</v>
      </c>
      <c r="I113" s="6" t="s">
        <v>14</v>
      </c>
      <c r="J113" s="6" t="s">
        <v>1</v>
      </c>
      <c r="K113" s="5"/>
      <c r="L113" s="7"/>
      <c r="M113" s="28"/>
      <c r="N113" s="28"/>
      <c r="O113" s="22">
        <f>IF(OR(M113="",N113=""),"",M113*N113)</f>
        <v/>
      </c>
      <c r="P113" s="21">
        <f>IF(O113="","",IF(O113&gt;=17,"Kritisch",IF(O113&gt;=10,"Hoch",IF(O113&gt;=5,"Mittel","Niedrig"))))</f>
        <v/>
      </c>
      <c r="Q113" s="5"/>
      <c r="R113" s="6" t="s">
        <v>1007</v>
      </c>
      <c r="S113" s="6" t="s">
        <v>65</v>
      </c>
      <c r="T113" s="8"/>
      <c r="U113" s="6" t="s">
        <v>1008</v>
      </c>
      <c r="V113" s="5"/>
      <c r="W113" s="6" t="s">
        <v>158</v>
      </c>
      <c r="X113" s="7"/>
      <c r="Y113" s="5"/>
    </row>
    <row r="114" spans="1:25" ht="66" customHeight="1">
      <c r="A114" s="6" t="s">
        <v>1009</v>
      </c>
      <c r="B114" s="6" t="s">
        <v>955</v>
      </c>
      <c r="C114" s="6" t="s">
        <v>1010</v>
      </c>
      <c r="D114" s="6" t="s">
        <v>1011</v>
      </c>
      <c r="E114" s="6" t="s">
        <v>1012</v>
      </c>
      <c r="F114" s="6" t="s">
        <v>1013</v>
      </c>
      <c r="G114" s="6" t="s">
        <v>1014</v>
      </c>
      <c r="H114" s="6" t="s">
        <v>8</v>
      </c>
      <c r="I114" s="6" t="s">
        <v>14</v>
      </c>
      <c r="J114" s="6" t="s">
        <v>1</v>
      </c>
      <c r="K114" s="5"/>
      <c r="L114" s="7"/>
      <c r="M114" s="28"/>
      <c r="N114" s="28"/>
      <c r="O114" s="22">
        <f>IF(OR(M114="",N114=""),"",M114*N114)</f>
        <v/>
      </c>
      <c r="P114" s="21">
        <f>IF(O114="","",IF(O114&gt;=17,"Kritisch",IF(O114&gt;=10,"Hoch",IF(O114&gt;=5,"Mittel","Niedrig"))))</f>
        <v/>
      </c>
      <c r="Q114" s="5"/>
      <c r="R114" s="6" t="s">
        <v>1015</v>
      </c>
      <c r="S114" s="6" t="s">
        <v>66</v>
      </c>
      <c r="T114" s="8"/>
      <c r="U114" s="6" t="s">
        <v>679</v>
      </c>
      <c r="V114" s="5"/>
      <c r="W114" s="6" t="s">
        <v>158</v>
      </c>
      <c r="X114" s="7"/>
      <c r="Y114" s="5"/>
    </row>
    <row r="115" spans="1:25" ht="66" customHeight="1">
      <c r="A115" s="6" t="s">
        <v>1016</v>
      </c>
      <c r="B115" s="6" t="s">
        <v>955</v>
      </c>
      <c r="C115" s="6" t="s">
        <v>1017</v>
      </c>
      <c r="D115" s="6" t="s">
        <v>1018</v>
      </c>
      <c r="E115" s="6" t="s">
        <v>1019</v>
      </c>
      <c r="F115" s="6" t="s">
        <v>1020</v>
      </c>
      <c r="G115" s="6" t="s">
        <v>1021</v>
      </c>
      <c r="H115" s="6" t="s">
        <v>9</v>
      </c>
      <c r="I115" s="6" t="s">
        <v>14</v>
      </c>
      <c r="J115" s="6" t="s">
        <v>1</v>
      </c>
      <c r="K115" s="5"/>
      <c r="L115" s="7"/>
      <c r="M115" s="28"/>
      <c r="N115" s="28"/>
      <c r="O115" s="22">
        <f>IF(OR(M115="",N115=""),"",M115*N115)</f>
        <v/>
      </c>
      <c r="P115" s="21">
        <f>IF(O115="","",IF(O115&gt;=17,"Kritisch",IF(O115&gt;=10,"Hoch",IF(O115&gt;=5,"Mittel","Niedrig"))))</f>
        <v/>
      </c>
      <c r="Q115" s="5"/>
      <c r="R115" s="6" t="s">
        <v>1022</v>
      </c>
      <c r="S115" s="6" t="s">
        <v>66</v>
      </c>
      <c r="T115" s="8"/>
      <c r="U115" s="6" t="s">
        <v>631</v>
      </c>
      <c r="V115" s="5"/>
      <c r="W115" s="6" t="s">
        <v>158</v>
      </c>
      <c r="X115" s="7"/>
      <c r="Y115" s="5"/>
    </row>
    <row r="116" spans="1:25" ht="66" customHeight="1">
      <c r="A116" s="6" t="s">
        <v>1023</v>
      </c>
      <c r="B116" s="6" t="s">
        <v>955</v>
      </c>
      <c r="C116" s="6" t="s">
        <v>1024</v>
      </c>
      <c r="D116" s="6" t="s">
        <v>1025</v>
      </c>
      <c r="E116" s="6" t="s">
        <v>1026</v>
      </c>
      <c r="F116" s="6" t="s">
        <v>1027</v>
      </c>
      <c r="G116" s="6" t="s">
        <v>1028</v>
      </c>
      <c r="H116" s="6" t="s">
        <v>8</v>
      </c>
      <c r="I116" s="6" t="s">
        <v>14</v>
      </c>
      <c r="J116" s="6" t="s">
        <v>1</v>
      </c>
      <c r="K116" s="5"/>
      <c r="L116" s="7"/>
      <c r="M116" s="28"/>
      <c r="N116" s="28"/>
      <c r="O116" s="22">
        <f>IF(OR(M116="",N116=""),"",M116*N116)</f>
        <v/>
      </c>
      <c r="P116" s="21">
        <f>IF(O116="","",IF(O116&gt;=17,"Kritisch",IF(O116&gt;=10,"Hoch",IF(O116&gt;=5,"Mittel","Niedrig"))))</f>
        <v/>
      </c>
      <c r="Q116" s="5"/>
      <c r="R116" s="6" t="s">
        <v>1029</v>
      </c>
      <c r="S116" s="6" t="s">
        <v>65</v>
      </c>
      <c r="T116" s="8"/>
      <c r="U116" s="6" t="s">
        <v>977</v>
      </c>
      <c r="V116" s="5"/>
      <c r="W116" s="6" t="s">
        <v>158</v>
      </c>
      <c r="X116" s="7"/>
      <c r="Y116" s="5"/>
    </row>
    <row r="117" spans="1:25" ht="66" customHeight="1">
      <c r="A117" s="6" t="s">
        <v>1030</v>
      </c>
      <c r="B117" s="6" t="s">
        <v>1031</v>
      </c>
      <c r="C117" s="6" t="s">
        <v>1032</v>
      </c>
      <c r="D117" s="6" t="s">
        <v>1033</v>
      </c>
      <c r="E117" s="6" t="s">
        <v>1034</v>
      </c>
      <c r="F117" s="6" t="s">
        <v>1035</v>
      </c>
      <c r="G117" s="6" t="s">
        <v>1036</v>
      </c>
      <c r="H117" s="6" t="s">
        <v>8</v>
      </c>
      <c r="I117" s="6" t="s">
        <v>14</v>
      </c>
      <c r="J117" s="6" t="s">
        <v>1</v>
      </c>
      <c r="K117" s="5"/>
      <c r="L117" s="7"/>
      <c r="M117" s="28"/>
      <c r="N117" s="28"/>
      <c r="O117" s="22">
        <f>IF(OR(M117="",N117=""),"",M117*N117)</f>
        <v/>
      </c>
      <c r="P117" s="21">
        <f>IF(O117="","",IF(O117&gt;=17,"Kritisch",IF(O117&gt;=10,"Hoch",IF(O117&gt;=5,"Mittel","Niedrig"))))</f>
        <v/>
      </c>
      <c r="Q117" s="5"/>
      <c r="R117" s="6" t="s">
        <v>1037</v>
      </c>
      <c r="S117" s="6" t="s">
        <v>67</v>
      </c>
      <c r="T117" s="8"/>
      <c r="U117" s="6" t="s">
        <v>1038</v>
      </c>
      <c r="V117" s="5"/>
      <c r="W117" s="6" t="s">
        <v>158</v>
      </c>
      <c r="X117" s="7"/>
      <c r="Y117" s="5"/>
    </row>
    <row r="118" spans="1:25" ht="66" customHeight="1">
      <c r="A118" s="6" t="s">
        <v>1039</v>
      </c>
      <c r="B118" s="6" t="s">
        <v>1031</v>
      </c>
      <c r="C118" s="6" t="s">
        <v>1040</v>
      </c>
      <c r="D118" s="6" t="s">
        <v>1041</v>
      </c>
      <c r="E118" s="6" t="s">
        <v>1042</v>
      </c>
      <c r="F118" s="6" t="s">
        <v>1043</v>
      </c>
      <c r="G118" s="6" t="s">
        <v>1044</v>
      </c>
      <c r="H118" s="6" t="s">
        <v>9</v>
      </c>
      <c r="I118" s="6" t="s">
        <v>14</v>
      </c>
      <c r="J118" s="6" t="s">
        <v>1</v>
      </c>
      <c r="K118" s="5"/>
      <c r="L118" s="7"/>
      <c r="M118" s="28"/>
      <c r="N118" s="28"/>
      <c r="O118" s="22">
        <f>IF(OR(M118="",N118=""),"",M118*N118)</f>
        <v/>
      </c>
      <c r="P118" s="21">
        <f>IF(O118="","",IF(O118&gt;=17,"Kritisch",IF(O118&gt;=10,"Hoch",IF(O118&gt;=5,"Mittel","Niedrig"))))</f>
        <v/>
      </c>
      <c r="Q118" s="5"/>
      <c r="R118" s="6" t="s">
        <v>1045</v>
      </c>
      <c r="S118" s="6" t="s">
        <v>65</v>
      </c>
      <c r="T118" s="8"/>
      <c r="U118" s="6" t="s">
        <v>1046</v>
      </c>
      <c r="V118" s="5"/>
      <c r="W118" s="6" t="s">
        <v>158</v>
      </c>
      <c r="X118" s="7"/>
      <c r="Y118" s="5"/>
    </row>
    <row r="119" spans="1:25" ht="66" customHeight="1">
      <c r="A119" s="6" t="s">
        <v>1047</v>
      </c>
      <c r="B119" s="6" t="s">
        <v>1031</v>
      </c>
      <c r="C119" s="6" t="s">
        <v>1048</v>
      </c>
      <c r="D119" s="6" t="s">
        <v>1049</v>
      </c>
      <c r="E119" s="6" t="s">
        <v>1050</v>
      </c>
      <c r="F119" s="6" t="s">
        <v>1051</v>
      </c>
      <c r="G119" s="6" t="s">
        <v>1052</v>
      </c>
      <c r="H119" s="6" t="s">
        <v>8</v>
      </c>
      <c r="I119" s="6" t="s">
        <v>14</v>
      </c>
      <c r="J119" s="6" t="s">
        <v>1</v>
      </c>
      <c r="K119" s="5"/>
      <c r="L119" s="7"/>
      <c r="M119" s="28"/>
      <c r="N119" s="28"/>
      <c r="O119" s="22">
        <f>IF(OR(M119="",N119=""),"",M119*N119)</f>
        <v/>
      </c>
      <c r="P119" s="21">
        <f>IF(O119="","",IF(O119&gt;=17,"Kritisch",IF(O119&gt;=10,"Hoch",IF(O119&gt;=5,"Mittel","Niedrig"))))</f>
        <v/>
      </c>
      <c r="Q119" s="5"/>
      <c r="R119" s="6" t="s">
        <v>1053</v>
      </c>
      <c r="S119" s="6" t="s">
        <v>67</v>
      </c>
      <c r="T119" s="8"/>
      <c r="U119" s="6" t="s">
        <v>1054</v>
      </c>
      <c r="V119" s="5"/>
      <c r="W119" s="6" t="s">
        <v>158</v>
      </c>
      <c r="X119" s="7"/>
      <c r="Y119" s="5"/>
    </row>
    <row r="120" spans="1:25" ht="66" customHeight="1">
      <c r="A120" s="6" t="s">
        <v>1055</v>
      </c>
      <c r="B120" s="6" t="s">
        <v>1031</v>
      </c>
      <c r="C120" s="6" t="s">
        <v>1056</v>
      </c>
      <c r="D120" s="6" t="s">
        <v>1057</v>
      </c>
      <c r="E120" s="6" t="s">
        <v>1058</v>
      </c>
      <c r="F120" s="6" t="s">
        <v>1059</v>
      </c>
      <c r="G120" s="6" t="s">
        <v>1060</v>
      </c>
      <c r="H120" s="6" t="s">
        <v>8</v>
      </c>
      <c r="I120" s="6" t="s">
        <v>14</v>
      </c>
      <c r="J120" s="6" t="s">
        <v>1</v>
      </c>
      <c r="K120" s="5"/>
      <c r="L120" s="7"/>
      <c r="M120" s="28"/>
      <c r="N120" s="28"/>
      <c r="O120" s="22">
        <f>IF(OR(M120="",N120=""),"",M120*N120)</f>
        <v/>
      </c>
      <c r="P120" s="21">
        <f>IF(O120="","",IF(O120&gt;=17,"Kritisch",IF(O120&gt;=10,"Hoch",IF(O120&gt;=5,"Mittel","Niedrig"))))</f>
        <v/>
      </c>
      <c r="Q120" s="5"/>
      <c r="R120" s="6" t="s">
        <v>1061</v>
      </c>
      <c r="S120" s="6" t="s">
        <v>66</v>
      </c>
      <c r="T120" s="8"/>
      <c r="U120" s="6" t="s">
        <v>1062</v>
      </c>
      <c r="V120" s="5"/>
      <c r="W120" s="6" t="s">
        <v>158</v>
      </c>
      <c r="X120" s="7"/>
      <c r="Y120" s="5"/>
    </row>
    <row r="121" spans="1:25" ht="66" customHeight="1">
      <c r="A121" s="6" t="s">
        <v>1063</v>
      </c>
      <c r="B121" s="6" t="s">
        <v>1031</v>
      </c>
      <c r="C121" s="6" t="s">
        <v>1064</v>
      </c>
      <c r="D121" s="6" t="s">
        <v>1065</v>
      </c>
      <c r="E121" s="6" t="s">
        <v>1066</v>
      </c>
      <c r="F121" s="6" t="s">
        <v>1067</v>
      </c>
      <c r="G121" s="6" t="s">
        <v>1068</v>
      </c>
      <c r="H121" s="6" t="s">
        <v>8</v>
      </c>
      <c r="I121" s="6" t="s">
        <v>14</v>
      </c>
      <c r="J121" s="6" t="s">
        <v>1</v>
      </c>
      <c r="K121" s="5"/>
      <c r="L121" s="7"/>
      <c r="M121" s="28"/>
      <c r="N121" s="28"/>
      <c r="O121" s="22">
        <f>IF(OR(M121="",N121=""),"",M121*N121)</f>
        <v/>
      </c>
      <c r="P121" s="21">
        <f>IF(O121="","",IF(O121&gt;=17,"Kritisch",IF(O121&gt;=10,"Hoch",IF(O121&gt;=5,"Mittel","Niedrig"))))</f>
        <v/>
      </c>
      <c r="Q121" s="5"/>
      <c r="R121" s="6" t="s">
        <v>1069</v>
      </c>
      <c r="S121" s="6" t="s">
        <v>70</v>
      </c>
      <c r="T121" s="8"/>
      <c r="U121" s="6" t="s">
        <v>1070</v>
      </c>
      <c r="V121" s="5"/>
      <c r="W121" s="6" t="s">
        <v>158</v>
      </c>
      <c r="X121" s="7"/>
      <c r="Y121" s="5"/>
    </row>
    <row r="122" spans="1:25" ht="66" customHeight="1">
      <c r="A122" s="6" t="s">
        <v>1071</v>
      </c>
      <c r="B122" s="6" t="s">
        <v>1031</v>
      </c>
      <c r="C122" s="6" t="s">
        <v>1072</v>
      </c>
      <c r="D122" s="6" t="s">
        <v>1073</v>
      </c>
      <c r="E122" s="6" t="s">
        <v>1074</v>
      </c>
      <c r="F122" s="6" t="s">
        <v>1075</v>
      </c>
      <c r="G122" s="6" t="s">
        <v>1076</v>
      </c>
      <c r="H122" s="6" t="s">
        <v>9</v>
      </c>
      <c r="I122" s="6" t="s">
        <v>14</v>
      </c>
      <c r="J122" s="6" t="s">
        <v>1</v>
      </c>
      <c r="K122" s="5"/>
      <c r="L122" s="7"/>
      <c r="M122" s="28"/>
      <c r="N122" s="28"/>
      <c r="O122" s="22">
        <f>IF(OR(M122="",N122=""),"",M122*N122)</f>
        <v/>
      </c>
      <c r="P122" s="21">
        <f>IF(O122="","",IF(O122&gt;=17,"Kritisch",IF(O122&gt;=10,"Hoch",IF(O122&gt;=5,"Mittel","Niedrig"))))</f>
        <v/>
      </c>
      <c r="Q122" s="5"/>
      <c r="R122" s="6" t="s">
        <v>1077</v>
      </c>
      <c r="S122" s="6" t="s">
        <v>69</v>
      </c>
      <c r="T122" s="8"/>
      <c r="U122" s="6" t="s">
        <v>466</v>
      </c>
      <c r="V122" s="5"/>
      <c r="W122" s="6" t="s">
        <v>158</v>
      </c>
      <c r="X122" s="7"/>
      <c r="Y122" s="5"/>
    </row>
    <row r="123" spans="1:25" ht="66" customHeight="1">
      <c r="A123" s="6" t="s">
        <v>1078</v>
      </c>
      <c r="B123" s="6" t="s">
        <v>1031</v>
      </c>
      <c r="C123" s="6" t="s">
        <v>1079</v>
      </c>
      <c r="D123" s="6" t="s">
        <v>1080</v>
      </c>
      <c r="E123" s="6" t="s">
        <v>1081</v>
      </c>
      <c r="F123" s="6" t="s">
        <v>1082</v>
      </c>
      <c r="G123" s="6" t="s">
        <v>1083</v>
      </c>
      <c r="H123" s="6" t="s">
        <v>9</v>
      </c>
      <c r="I123" s="6" t="s">
        <v>14</v>
      </c>
      <c r="J123" s="6" t="s">
        <v>1</v>
      </c>
      <c r="K123" s="5"/>
      <c r="L123" s="7"/>
      <c r="M123" s="28"/>
      <c r="N123" s="28"/>
      <c r="O123" s="22">
        <f>IF(OR(M123="",N123=""),"",M123*N123)</f>
        <v/>
      </c>
      <c r="P123" s="21">
        <f>IF(O123="","",IF(O123&gt;=17,"Kritisch",IF(O123&gt;=10,"Hoch",IF(O123&gt;=5,"Mittel","Niedrig"))))</f>
        <v/>
      </c>
      <c r="Q123" s="5"/>
      <c r="R123" s="6" t="s">
        <v>1084</v>
      </c>
      <c r="S123" s="6" t="s">
        <v>67</v>
      </c>
      <c r="T123" s="8"/>
      <c r="U123" s="6" t="s">
        <v>616</v>
      </c>
      <c r="V123" s="5"/>
      <c r="W123" s="6" t="s">
        <v>158</v>
      </c>
      <c r="X123" s="7"/>
      <c r="Y123" s="5"/>
    </row>
    <row r="124" spans="1:25" ht="66" customHeight="1">
      <c r="A124" s="6" t="s">
        <v>1085</v>
      </c>
      <c r="B124" s="6" t="s">
        <v>1086</v>
      </c>
      <c r="C124" s="6" t="s">
        <v>1087</v>
      </c>
      <c r="D124" s="6" t="s">
        <v>1088</v>
      </c>
      <c r="E124" s="6" t="s">
        <v>1089</v>
      </c>
      <c r="F124" s="6" t="s">
        <v>1090</v>
      </c>
      <c r="G124" s="6" t="s">
        <v>1091</v>
      </c>
      <c r="H124" s="6" t="s">
        <v>8</v>
      </c>
      <c r="I124" s="6" t="s">
        <v>14</v>
      </c>
      <c r="J124" s="6" t="s">
        <v>1</v>
      </c>
      <c r="K124" s="5"/>
      <c r="L124" s="7"/>
      <c r="M124" s="28"/>
      <c r="N124" s="28"/>
      <c r="O124" s="22">
        <f>IF(OR(M124="",N124=""),"",M124*N124)</f>
        <v/>
      </c>
      <c r="P124" s="21">
        <f>IF(O124="","",IF(O124&gt;=17,"Kritisch",IF(O124&gt;=10,"Hoch",IF(O124&gt;=5,"Mittel","Niedrig"))))</f>
        <v/>
      </c>
      <c r="Q124" s="5"/>
      <c r="R124" s="6" t="s">
        <v>1092</v>
      </c>
      <c r="S124" s="6" t="s">
        <v>66</v>
      </c>
      <c r="T124" s="8"/>
      <c r="U124" s="6" t="s">
        <v>1093</v>
      </c>
      <c r="V124" s="5"/>
      <c r="W124" s="6" t="s">
        <v>798</v>
      </c>
      <c r="X124" s="7"/>
      <c r="Y124" s="5"/>
    </row>
    <row r="125" spans="1:25" ht="66" customHeight="1">
      <c r="A125" s="6" t="s">
        <v>1094</v>
      </c>
      <c r="B125" s="6" t="s">
        <v>1086</v>
      </c>
      <c r="C125" s="6" t="s">
        <v>1095</v>
      </c>
      <c r="D125" s="6" t="s">
        <v>1096</v>
      </c>
      <c r="E125" s="6" t="s">
        <v>1097</v>
      </c>
      <c r="F125" s="6" t="s">
        <v>1098</v>
      </c>
      <c r="G125" s="6" t="s">
        <v>1099</v>
      </c>
      <c r="H125" s="6" t="s">
        <v>8</v>
      </c>
      <c r="I125" s="6" t="s">
        <v>14</v>
      </c>
      <c r="J125" s="6" t="s">
        <v>1</v>
      </c>
      <c r="K125" s="5"/>
      <c r="L125" s="7"/>
      <c r="M125" s="28"/>
      <c r="N125" s="28"/>
      <c r="O125" s="22">
        <f>IF(OR(M125="",N125=""),"",M125*N125)</f>
        <v/>
      </c>
      <c r="P125" s="21">
        <f>IF(O125="","",IF(O125&gt;=17,"Kritisch",IF(O125&gt;=10,"Hoch",IF(O125&gt;=5,"Mittel","Niedrig"))))</f>
        <v/>
      </c>
      <c r="Q125" s="5"/>
      <c r="R125" s="6" t="s">
        <v>1100</v>
      </c>
      <c r="S125" s="6" t="s">
        <v>70</v>
      </c>
      <c r="T125" s="8"/>
      <c r="U125" s="6" t="s">
        <v>631</v>
      </c>
      <c r="V125" s="5"/>
      <c r="W125" s="6" t="s">
        <v>798</v>
      </c>
      <c r="X125" s="7"/>
      <c r="Y125" s="5"/>
    </row>
    <row r="126" spans="1:25" ht="66" customHeight="1">
      <c r="A126" s="6" t="s">
        <v>1101</v>
      </c>
      <c r="B126" s="6" t="s">
        <v>1086</v>
      </c>
      <c r="C126" s="6" t="s">
        <v>1102</v>
      </c>
      <c r="D126" s="6" t="s">
        <v>1103</v>
      </c>
      <c r="E126" s="6" t="s">
        <v>1104</v>
      </c>
      <c r="F126" s="6" t="s">
        <v>1105</v>
      </c>
      <c r="G126" s="6" t="s">
        <v>1106</v>
      </c>
      <c r="H126" s="6" t="s">
        <v>8</v>
      </c>
      <c r="I126" s="6" t="s">
        <v>14</v>
      </c>
      <c r="J126" s="6" t="s">
        <v>1</v>
      </c>
      <c r="K126" s="5"/>
      <c r="L126" s="7"/>
      <c r="M126" s="28"/>
      <c r="N126" s="28"/>
      <c r="O126" s="22">
        <f>IF(OR(M126="",N126=""),"",M126*N126)</f>
        <v/>
      </c>
      <c r="P126" s="21">
        <f>IF(O126="","",IF(O126&gt;=17,"Kritisch",IF(O126&gt;=10,"Hoch",IF(O126&gt;=5,"Mittel","Niedrig"))))</f>
        <v/>
      </c>
      <c r="Q126" s="5"/>
      <c r="R126" s="6" t="s">
        <v>1107</v>
      </c>
      <c r="S126" s="6" t="s">
        <v>67</v>
      </c>
      <c r="T126" s="8"/>
      <c r="U126" s="6" t="s">
        <v>1108</v>
      </c>
      <c r="V126" s="5"/>
      <c r="W126" s="6" t="s">
        <v>798</v>
      </c>
      <c r="X126" s="7"/>
      <c r="Y126" s="5"/>
    </row>
    <row r="127" spans="1:25" ht="66" customHeight="1">
      <c r="A127" s="6" t="s">
        <v>1109</v>
      </c>
      <c r="B127" s="6" t="s">
        <v>1086</v>
      </c>
      <c r="C127" s="6" t="s">
        <v>1110</v>
      </c>
      <c r="D127" s="6" t="s">
        <v>1111</v>
      </c>
      <c r="E127" s="6" t="s">
        <v>1112</v>
      </c>
      <c r="F127" s="6" t="s">
        <v>1113</v>
      </c>
      <c r="G127" s="6" t="s">
        <v>1114</v>
      </c>
      <c r="H127" s="6" t="s">
        <v>9</v>
      </c>
      <c r="I127" s="6" t="s">
        <v>14</v>
      </c>
      <c r="J127" s="6" t="s">
        <v>1</v>
      </c>
      <c r="K127" s="5"/>
      <c r="L127" s="7"/>
      <c r="M127" s="28"/>
      <c r="N127" s="28"/>
      <c r="O127" s="22">
        <f>IF(OR(M127="",N127=""),"",M127*N127)</f>
        <v/>
      </c>
      <c r="P127" s="21">
        <f>IF(O127="","",IF(O127&gt;=17,"Kritisch",IF(O127&gt;=10,"Hoch",IF(O127&gt;=5,"Mittel","Niedrig"))))</f>
        <v/>
      </c>
      <c r="Q127" s="5"/>
      <c r="R127" s="6" t="s">
        <v>1115</v>
      </c>
      <c r="S127" s="6" t="s">
        <v>65</v>
      </c>
      <c r="T127" s="8"/>
      <c r="U127" s="6" t="s">
        <v>466</v>
      </c>
      <c r="V127" s="5"/>
      <c r="W127" s="6" t="s">
        <v>798</v>
      </c>
      <c r="X127" s="7"/>
      <c r="Y127" s="5"/>
    </row>
    <row r="128" spans="1:25" ht="66" customHeight="1">
      <c r="A128" s="6" t="s">
        <v>1116</v>
      </c>
      <c r="B128" s="6" t="s">
        <v>1086</v>
      </c>
      <c r="C128" s="6" t="s">
        <v>1117</v>
      </c>
      <c r="D128" s="6" t="s">
        <v>1118</v>
      </c>
      <c r="E128" s="6" t="s">
        <v>1119</v>
      </c>
      <c r="F128" s="6" t="s">
        <v>1120</v>
      </c>
      <c r="G128" s="6" t="s">
        <v>1121</v>
      </c>
      <c r="H128" s="6" t="s">
        <v>9</v>
      </c>
      <c r="I128" s="6" t="s">
        <v>14</v>
      </c>
      <c r="J128" s="6" t="s">
        <v>1</v>
      </c>
      <c r="K128" s="5"/>
      <c r="L128" s="7"/>
      <c r="M128" s="28"/>
      <c r="N128" s="28"/>
      <c r="O128" s="22">
        <f>IF(OR(M128="",N128=""),"",M128*N128)</f>
        <v/>
      </c>
      <c r="P128" s="21">
        <f>IF(O128="","",IF(O128&gt;=17,"Kritisch",IF(O128&gt;=10,"Hoch",IF(O128&gt;=5,"Mittel","Niedrig"))))</f>
        <v/>
      </c>
      <c r="Q128" s="5"/>
      <c r="R128" s="6" t="s">
        <v>1122</v>
      </c>
      <c r="S128" s="6" t="s">
        <v>69</v>
      </c>
      <c r="T128" s="8"/>
      <c r="U128" s="6" t="s">
        <v>466</v>
      </c>
      <c r="V128" s="5"/>
      <c r="W128" s="6" t="s">
        <v>1123</v>
      </c>
      <c r="X128" s="7"/>
      <c r="Y128" s="5"/>
    </row>
    <row r="129" spans="1:25" ht="66" customHeight="1">
      <c r="A129" s="6" t="s">
        <v>1124</v>
      </c>
      <c r="B129" s="6" t="s">
        <v>1086</v>
      </c>
      <c r="C129" s="6" t="s">
        <v>1125</v>
      </c>
      <c r="D129" s="6" t="s">
        <v>1126</v>
      </c>
      <c r="E129" s="6" t="s">
        <v>1127</v>
      </c>
      <c r="F129" s="6" t="s">
        <v>1128</v>
      </c>
      <c r="G129" s="6" t="s">
        <v>1129</v>
      </c>
      <c r="H129" s="6" t="s">
        <v>8</v>
      </c>
      <c r="I129" s="6" t="s">
        <v>14</v>
      </c>
      <c r="J129" s="6" t="s">
        <v>1</v>
      </c>
      <c r="K129" s="5"/>
      <c r="L129" s="7"/>
      <c r="M129" s="28"/>
      <c r="N129" s="28"/>
      <c r="O129" s="22">
        <f>IF(OR(M129="",N129=""),"",M129*N129)</f>
        <v/>
      </c>
      <c r="P129" s="21">
        <f>IF(O129="","",IF(O129&gt;=17,"Kritisch",IF(O129&gt;=10,"Hoch",IF(O129&gt;=5,"Mittel","Niedrig"))))</f>
        <v/>
      </c>
      <c r="Q129" s="5"/>
      <c r="R129" s="6" t="s">
        <v>1130</v>
      </c>
      <c r="S129" s="6" t="s">
        <v>70</v>
      </c>
      <c r="T129" s="8"/>
      <c r="U129" s="6" t="s">
        <v>1131</v>
      </c>
      <c r="V129" s="5"/>
      <c r="W129" s="6" t="s">
        <v>798</v>
      </c>
      <c r="X129" s="7"/>
      <c r="Y129" s="5"/>
    </row>
    <row r="130" spans="1:25" ht="66" customHeight="1">
      <c r="A130" s="6" t="s">
        <v>1132</v>
      </c>
      <c r="B130" s="6" t="s">
        <v>1086</v>
      </c>
      <c r="C130" s="6" t="s">
        <v>1133</v>
      </c>
      <c r="D130" s="6" t="s">
        <v>1134</v>
      </c>
      <c r="E130" s="6" t="s">
        <v>1135</v>
      </c>
      <c r="F130" s="6" t="s">
        <v>1136</v>
      </c>
      <c r="G130" s="6" t="s">
        <v>1137</v>
      </c>
      <c r="H130" s="6" t="s">
        <v>8</v>
      </c>
      <c r="I130" s="6" t="s">
        <v>14</v>
      </c>
      <c r="J130" s="6" t="s">
        <v>1</v>
      </c>
      <c r="K130" s="5"/>
      <c r="L130" s="7"/>
      <c r="M130" s="28"/>
      <c r="N130" s="28"/>
      <c r="O130" s="22">
        <f>IF(OR(M130="",N130=""),"",M130*N130)</f>
        <v/>
      </c>
      <c r="P130" s="21">
        <f>IF(O130="","",IF(O130&gt;=17,"Kritisch",IF(O130&gt;=10,"Hoch",IF(O130&gt;=5,"Mittel","Niedrig"))))</f>
        <v/>
      </c>
      <c r="Q130" s="5"/>
      <c r="R130" s="6" t="s">
        <v>1138</v>
      </c>
      <c r="S130" s="6" t="s">
        <v>70</v>
      </c>
      <c r="T130" s="8"/>
      <c r="U130" s="6" t="s">
        <v>1139</v>
      </c>
      <c r="V130" s="5"/>
      <c r="W130" s="6" t="s">
        <v>158</v>
      </c>
      <c r="X130" s="7"/>
      <c r="Y130" s="5"/>
    </row>
    <row r="131" spans="1:25" ht="66" customHeight="1">
      <c r="A131" s="6" t="s">
        <v>1140</v>
      </c>
      <c r="B131" s="6" t="s">
        <v>1086</v>
      </c>
      <c r="C131" s="6" t="s">
        <v>1141</v>
      </c>
      <c r="D131" s="6" t="s">
        <v>1142</v>
      </c>
      <c r="E131" s="6" t="s">
        <v>1143</v>
      </c>
      <c r="F131" s="6" t="s">
        <v>1144</v>
      </c>
      <c r="G131" s="6" t="s">
        <v>1145</v>
      </c>
      <c r="H131" s="6" t="s">
        <v>9</v>
      </c>
      <c r="I131" s="6" t="s">
        <v>14</v>
      </c>
      <c r="J131" s="6" t="s">
        <v>1</v>
      </c>
      <c r="K131" s="5"/>
      <c r="L131" s="7"/>
      <c r="M131" s="28"/>
      <c r="N131" s="28"/>
      <c r="O131" s="22">
        <f>IF(OR(M131="",N131=""),"",M131*N131)</f>
        <v/>
      </c>
      <c r="P131" s="21">
        <f>IF(O131="","",IF(O131&gt;=17,"Kritisch",IF(O131&gt;=10,"Hoch",IF(O131&gt;=5,"Mittel","Niedrig"))))</f>
        <v/>
      </c>
      <c r="Q131" s="5"/>
      <c r="R131" s="6" t="s">
        <v>1146</v>
      </c>
      <c r="S131" s="6" t="s">
        <v>66</v>
      </c>
      <c r="T131" s="8"/>
      <c r="U131" s="6" t="s">
        <v>679</v>
      </c>
      <c r="V131" s="5"/>
      <c r="W131" s="6" t="s">
        <v>798</v>
      </c>
      <c r="X131" s="7"/>
      <c r="Y131" s="5"/>
    </row>
    <row r="132" spans="1:25" ht="66" customHeight="1">
      <c r="A132" s="6" t="s">
        <v>1147</v>
      </c>
      <c r="B132" s="6" t="s">
        <v>1086</v>
      </c>
      <c r="C132" s="6" t="s">
        <v>1148</v>
      </c>
      <c r="D132" s="6" t="s">
        <v>1149</v>
      </c>
      <c r="E132" s="6" t="s">
        <v>1150</v>
      </c>
      <c r="F132" s="6" t="s">
        <v>1151</v>
      </c>
      <c r="G132" s="6" t="s">
        <v>1152</v>
      </c>
      <c r="H132" s="6" t="s">
        <v>10</v>
      </c>
      <c r="I132" s="6" t="s">
        <v>14</v>
      </c>
      <c r="J132" s="6" t="s">
        <v>1</v>
      </c>
      <c r="K132" s="5"/>
      <c r="L132" s="7"/>
      <c r="M132" s="28"/>
      <c r="N132" s="28"/>
      <c r="O132" s="22">
        <f>IF(OR(M132="",N132=""),"",M132*N132)</f>
        <v/>
      </c>
      <c r="P132" s="21">
        <f>IF(O132="","",IF(O132&gt;=17,"Kritisch",IF(O132&gt;=10,"Hoch",IF(O132&gt;=5,"Mittel","Niedrig"))))</f>
        <v/>
      </c>
      <c r="Q132" s="5"/>
      <c r="R132" s="6" t="s">
        <v>1153</v>
      </c>
      <c r="S132" s="6" t="s">
        <v>69</v>
      </c>
      <c r="T132" s="8"/>
      <c r="U132" s="6" t="s">
        <v>466</v>
      </c>
      <c r="V132" s="5"/>
      <c r="W132" s="6" t="s">
        <v>1123</v>
      </c>
      <c r="X132" s="7"/>
      <c r="Y132" s="5"/>
    </row>
    <row r="133" spans="1:25" ht="66" customHeight="1">
      <c r="A133" s="6" t="s">
        <v>1154</v>
      </c>
      <c r="B133" s="6" t="s">
        <v>1155</v>
      </c>
      <c r="C133" s="6" t="s">
        <v>1156</v>
      </c>
      <c r="D133" s="6" t="s">
        <v>1157</v>
      </c>
      <c r="E133" s="6" t="s">
        <v>1158</v>
      </c>
      <c r="F133" s="6" t="s">
        <v>1159</v>
      </c>
      <c r="G133" s="6" t="s">
        <v>1160</v>
      </c>
      <c r="H133" s="6" t="s">
        <v>8</v>
      </c>
      <c r="I133" s="6" t="s">
        <v>14</v>
      </c>
      <c r="J133" s="6" t="s">
        <v>1</v>
      </c>
      <c r="K133" s="5"/>
      <c r="L133" s="7"/>
      <c r="M133" s="28"/>
      <c r="N133" s="28"/>
      <c r="O133" s="22">
        <f>IF(OR(M133="",N133=""),"",M133*N133)</f>
        <v/>
      </c>
      <c r="P133" s="21">
        <f>IF(O133="","",IF(O133&gt;=17,"Kritisch",IF(O133&gt;=10,"Hoch",IF(O133&gt;=5,"Mittel","Niedrig"))))</f>
        <v/>
      </c>
      <c r="Q133" s="5"/>
      <c r="R133" s="6" t="s">
        <v>1161</v>
      </c>
      <c r="S133" s="6" t="s">
        <v>67</v>
      </c>
      <c r="T133" s="8"/>
      <c r="U133" s="6" t="s">
        <v>639</v>
      </c>
      <c r="V133" s="5"/>
      <c r="W133" s="6" t="s">
        <v>158</v>
      </c>
      <c r="X133" s="7"/>
      <c r="Y133" s="5"/>
    </row>
    <row r="134" spans="1:25" ht="66" customHeight="1">
      <c r="A134" s="6" t="s">
        <v>1162</v>
      </c>
      <c r="B134" s="6" t="s">
        <v>1155</v>
      </c>
      <c r="C134" s="6" t="s">
        <v>1163</v>
      </c>
      <c r="D134" s="6" t="s">
        <v>1164</v>
      </c>
      <c r="E134" s="6" t="s">
        <v>1165</v>
      </c>
      <c r="F134" s="6" t="s">
        <v>1166</v>
      </c>
      <c r="G134" s="6" t="s">
        <v>1167</v>
      </c>
      <c r="H134" s="6" t="s">
        <v>9</v>
      </c>
      <c r="I134" s="6" t="s">
        <v>14</v>
      </c>
      <c r="J134" s="6" t="s">
        <v>1</v>
      </c>
      <c r="K134" s="5"/>
      <c r="L134" s="7"/>
      <c r="M134" s="28"/>
      <c r="N134" s="28"/>
      <c r="O134" s="22">
        <f>IF(OR(M134="",N134=""),"",M134*N134)</f>
        <v/>
      </c>
      <c r="P134" s="21">
        <f>IF(O134="","",IF(O134&gt;=17,"Kritisch",IF(O134&gt;=10,"Hoch",IF(O134&gt;=5,"Mittel","Niedrig"))))</f>
        <v/>
      </c>
      <c r="Q134" s="5"/>
      <c r="R134" s="6" t="s">
        <v>1168</v>
      </c>
      <c r="S134" s="6" t="s">
        <v>67</v>
      </c>
      <c r="T134" s="8"/>
      <c r="U134" s="6" t="s">
        <v>600</v>
      </c>
      <c r="V134" s="5"/>
      <c r="W134" s="6" t="s">
        <v>158</v>
      </c>
      <c r="X134" s="7"/>
      <c r="Y134" s="5"/>
    </row>
    <row r="135" spans="1:25" ht="66" customHeight="1">
      <c r="A135" s="6" t="s">
        <v>1169</v>
      </c>
      <c r="B135" s="6" t="s">
        <v>1155</v>
      </c>
      <c r="C135" s="6" t="s">
        <v>1170</v>
      </c>
      <c r="D135" s="6" t="s">
        <v>1171</v>
      </c>
      <c r="E135" s="6" t="s">
        <v>1172</v>
      </c>
      <c r="F135" s="6" t="s">
        <v>1173</v>
      </c>
      <c r="G135" s="6" t="s">
        <v>1174</v>
      </c>
      <c r="H135" s="6" t="s">
        <v>8</v>
      </c>
      <c r="I135" s="6" t="s">
        <v>14</v>
      </c>
      <c r="J135" s="6" t="s">
        <v>1</v>
      </c>
      <c r="K135" s="5"/>
      <c r="L135" s="7"/>
      <c r="M135" s="28"/>
      <c r="N135" s="28"/>
      <c r="O135" s="22">
        <f>IF(OR(M135="",N135=""),"",M135*N135)</f>
        <v/>
      </c>
      <c r="P135" s="21">
        <f>IF(O135="","",IF(O135&gt;=17,"Kritisch",IF(O135&gt;=10,"Hoch",IF(O135&gt;=5,"Mittel","Niedrig"))))</f>
        <v/>
      </c>
      <c r="Q135" s="5"/>
      <c r="R135" s="6" t="s">
        <v>1175</v>
      </c>
      <c r="S135" s="6" t="s">
        <v>66</v>
      </c>
      <c r="T135" s="8"/>
      <c r="U135" s="6" t="s">
        <v>647</v>
      </c>
      <c r="V135" s="5"/>
      <c r="W135" s="6" t="s">
        <v>158</v>
      </c>
      <c r="X135" s="7"/>
      <c r="Y135" s="5"/>
    </row>
    <row r="136" spans="1:25" ht="66" customHeight="1">
      <c r="A136" s="6" t="s">
        <v>1176</v>
      </c>
      <c r="B136" s="6" t="s">
        <v>1155</v>
      </c>
      <c r="C136" s="6" t="s">
        <v>1177</v>
      </c>
      <c r="D136" s="6" t="s">
        <v>1178</v>
      </c>
      <c r="E136" s="6" t="s">
        <v>1179</v>
      </c>
      <c r="F136" s="6" t="s">
        <v>1180</v>
      </c>
      <c r="G136" s="6" t="s">
        <v>1181</v>
      </c>
      <c r="H136" s="6" t="s">
        <v>9</v>
      </c>
      <c r="I136" s="6" t="s">
        <v>14</v>
      </c>
      <c r="J136" s="6" t="s">
        <v>1</v>
      </c>
      <c r="K136" s="5"/>
      <c r="L136" s="7"/>
      <c r="M136" s="28"/>
      <c r="N136" s="28"/>
      <c r="O136" s="22">
        <f>IF(OR(M136="",N136=""),"",M136*N136)</f>
        <v/>
      </c>
      <c r="P136" s="21">
        <f>IF(O136="","",IF(O136&gt;=17,"Kritisch",IF(O136&gt;=10,"Hoch",IF(O136&gt;=5,"Mittel","Niedrig"))))</f>
        <v/>
      </c>
      <c r="Q136" s="5"/>
      <c r="R136" s="6" t="s">
        <v>1182</v>
      </c>
      <c r="S136" s="6" t="s">
        <v>65</v>
      </c>
      <c r="T136" s="8"/>
      <c r="U136" s="6" t="s">
        <v>1183</v>
      </c>
      <c r="V136" s="5"/>
      <c r="W136" s="6" t="s">
        <v>158</v>
      </c>
      <c r="X136" s="7"/>
      <c r="Y136" s="5"/>
    </row>
    <row r="137" spans="1:25" ht="66" customHeight="1">
      <c r="A137" s="6" t="s">
        <v>1184</v>
      </c>
      <c r="B137" s="6" t="s">
        <v>1155</v>
      </c>
      <c r="C137" s="6" t="s">
        <v>1185</v>
      </c>
      <c r="D137" s="6" t="s">
        <v>1186</v>
      </c>
      <c r="E137" s="6" t="s">
        <v>1187</v>
      </c>
      <c r="F137" s="6" t="s">
        <v>1188</v>
      </c>
      <c r="G137" s="6" t="s">
        <v>1189</v>
      </c>
      <c r="H137" s="6" t="s">
        <v>9</v>
      </c>
      <c r="I137" s="6" t="s">
        <v>14</v>
      </c>
      <c r="J137" s="6" t="s">
        <v>1</v>
      </c>
      <c r="K137" s="5"/>
      <c r="L137" s="7"/>
      <c r="M137" s="28"/>
      <c r="N137" s="28"/>
      <c r="O137" s="22">
        <f>IF(OR(M137="",N137=""),"",M137*N137)</f>
        <v/>
      </c>
      <c r="P137" s="21">
        <f>IF(O137="","",IF(O137&gt;=17,"Kritisch",IF(O137&gt;=10,"Hoch",IF(O137&gt;=5,"Mittel","Niedrig"))))</f>
        <v/>
      </c>
      <c r="Q137" s="5"/>
      <c r="R137" s="6" t="s">
        <v>1190</v>
      </c>
      <c r="S137" s="6" t="s">
        <v>65</v>
      </c>
      <c r="T137" s="8"/>
      <c r="U137" s="6" t="s">
        <v>1008</v>
      </c>
      <c r="V137" s="5"/>
      <c r="W137" s="6" t="s">
        <v>158</v>
      </c>
      <c r="X137" s="7"/>
      <c r="Y137" s="5"/>
    </row>
    <row r="138" spans="1:25" ht="66" customHeight="1">
      <c r="A138" s="6" t="s">
        <v>1191</v>
      </c>
      <c r="B138" s="6" t="s">
        <v>1192</v>
      </c>
      <c r="C138" s="6" t="s">
        <v>1193</v>
      </c>
      <c r="D138" s="6" t="s">
        <v>1194</v>
      </c>
      <c r="E138" s="6" t="s">
        <v>1195</v>
      </c>
      <c r="F138" s="6" t="s">
        <v>1196</v>
      </c>
      <c r="G138" s="6" t="s">
        <v>1197</v>
      </c>
      <c r="H138" s="6" t="s">
        <v>9</v>
      </c>
      <c r="I138" s="6" t="s">
        <v>14</v>
      </c>
      <c r="J138" s="6" t="s">
        <v>1</v>
      </c>
      <c r="K138" s="5"/>
      <c r="L138" s="7"/>
      <c r="M138" s="28"/>
      <c r="N138" s="28"/>
      <c r="O138" s="22">
        <f>IF(OR(M138="",N138=""),"",M138*N138)</f>
        <v/>
      </c>
      <c r="P138" s="21">
        <f>IF(O138="","",IF(O138&gt;=17,"Kritisch",IF(O138&gt;=10,"Hoch",IF(O138&gt;=5,"Mittel","Niedrig"))))</f>
        <v/>
      </c>
      <c r="Q138" s="5"/>
      <c r="R138" s="6" t="s">
        <v>1198</v>
      </c>
      <c r="S138" s="6" t="s">
        <v>69</v>
      </c>
      <c r="T138" s="8"/>
      <c r="U138" s="6" t="s">
        <v>616</v>
      </c>
      <c r="V138" s="5"/>
      <c r="W138" s="6" t="s">
        <v>158</v>
      </c>
      <c r="X138" s="7"/>
      <c r="Y138" s="5"/>
    </row>
    <row r="139" spans="1:25" ht="66" customHeight="1">
      <c r="A139" s="6" t="s">
        <v>1199</v>
      </c>
      <c r="B139" s="6" t="s">
        <v>1192</v>
      </c>
      <c r="C139" s="6" t="s">
        <v>1200</v>
      </c>
      <c r="D139" s="6" t="s">
        <v>1201</v>
      </c>
      <c r="E139" s="6" t="s">
        <v>1202</v>
      </c>
      <c r="F139" s="6" t="s">
        <v>1203</v>
      </c>
      <c r="G139" s="6" t="s">
        <v>1204</v>
      </c>
      <c r="H139" s="6" t="s">
        <v>9</v>
      </c>
      <c r="I139" s="6" t="s">
        <v>14</v>
      </c>
      <c r="J139" s="6" t="s">
        <v>1</v>
      </c>
      <c r="K139" s="5"/>
      <c r="L139" s="7"/>
      <c r="M139" s="28"/>
      <c r="N139" s="28"/>
      <c r="O139" s="22">
        <f>IF(OR(M139="",N139=""),"",M139*N139)</f>
        <v/>
      </c>
      <c r="P139" s="21">
        <f>IF(O139="","",IF(O139&gt;=17,"Kritisch",IF(O139&gt;=10,"Hoch",IF(O139&gt;=5,"Mittel","Niedrig"))))</f>
        <v/>
      </c>
      <c r="Q139" s="5"/>
      <c r="R139" s="6" t="s">
        <v>1205</v>
      </c>
      <c r="S139" s="6" t="s">
        <v>66</v>
      </c>
      <c r="T139" s="8"/>
      <c r="U139" s="6" t="s">
        <v>631</v>
      </c>
      <c r="V139" s="5"/>
      <c r="W139" s="6" t="s">
        <v>158</v>
      </c>
      <c r="X139" s="7"/>
      <c r="Y139" s="5"/>
    </row>
    <row r="140" spans="1:25" ht="66" customHeight="1">
      <c r="A140" s="6" t="s">
        <v>1206</v>
      </c>
      <c r="B140" s="6" t="s">
        <v>1192</v>
      </c>
      <c r="C140" s="6" t="s">
        <v>1207</v>
      </c>
      <c r="D140" s="6" t="s">
        <v>1208</v>
      </c>
      <c r="E140" s="6" t="s">
        <v>1209</v>
      </c>
      <c r="F140" s="6" t="s">
        <v>1210</v>
      </c>
      <c r="G140" s="6" t="s">
        <v>1211</v>
      </c>
      <c r="H140" s="6" t="s">
        <v>8</v>
      </c>
      <c r="I140" s="6" t="s">
        <v>14</v>
      </c>
      <c r="J140" s="6" t="s">
        <v>1</v>
      </c>
      <c r="K140" s="5"/>
      <c r="L140" s="7"/>
      <c r="M140" s="28"/>
      <c r="N140" s="28"/>
      <c r="O140" s="22">
        <f>IF(OR(M140="",N140=""),"",M140*N140)</f>
        <v/>
      </c>
      <c r="P140" s="21">
        <f>IF(O140="","",IF(O140&gt;=17,"Kritisch",IF(O140&gt;=10,"Hoch",IF(O140&gt;=5,"Mittel","Niedrig"))))</f>
        <v/>
      </c>
      <c r="Q140" s="5"/>
      <c r="R140" s="6" t="s">
        <v>1212</v>
      </c>
      <c r="S140" s="6" t="s">
        <v>66</v>
      </c>
      <c r="T140" s="8"/>
      <c r="U140" s="6" t="s">
        <v>679</v>
      </c>
      <c r="V140" s="5"/>
      <c r="W140" s="6" t="s">
        <v>158</v>
      </c>
      <c r="X140" s="7"/>
      <c r="Y140" s="5"/>
    </row>
    <row r="141" spans="1:25" ht="66" customHeight="1">
      <c r="A141" s="6" t="s">
        <v>1213</v>
      </c>
      <c r="B141" s="6" t="s">
        <v>1192</v>
      </c>
      <c r="C141" s="6" t="s">
        <v>1214</v>
      </c>
      <c r="D141" s="6" t="s">
        <v>1215</v>
      </c>
      <c r="E141" s="6" t="s">
        <v>1216</v>
      </c>
      <c r="F141" s="6" t="s">
        <v>1217</v>
      </c>
      <c r="G141" s="6" t="s">
        <v>1218</v>
      </c>
      <c r="H141" s="6" t="s">
        <v>8</v>
      </c>
      <c r="I141" s="6" t="s">
        <v>14</v>
      </c>
      <c r="J141" s="6" t="s">
        <v>1</v>
      </c>
      <c r="K141" s="5"/>
      <c r="L141" s="7"/>
      <c r="M141" s="28"/>
      <c r="N141" s="28"/>
      <c r="O141" s="22">
        <f>IF(OR(M141="",N141=""),"",M141*N141)</f>
        <v/>
      </c>
      <c r="P141" s="21">
        <f>IF(O141="","",IF(O141&gt;=17,"Kritisch",IF(O141&gt;=10,"Hoch",IF(O141&gt;=5,"Mittel","Niedrig"))))</f>
        <v/>
      </c>
      <c r="Q141" s="5"/>
      <c r="R141" s="6" t="s">
        <v>1219</v>
      </c>
      <c r="S141" s="6" t="s">
        <v>67</v>
      </c>
      <c r="T141" s="8"/>
      <c r="U141" s="6" t="s">
        <v>1220</v>
      </c>
      <c r="V141" s="5"/>
      <c r="W141" s="6" t="s">
        <v>158</v>
      </c>
      <c r="X141" s="7"/>
      <c r="Y141" s="5"/>
    </row>
    <row r="142" spans="1:25" ht="66" customHeight="1">
      <c r="A142" s="6" t="s">
        <v>1221</v>
      </c>
      <c r="B142" s="6" t="s">
        <v>1192</v>
      </c>
      <c r="C142" s="6" t="s">
        <v>1222</v>
      </c>
      <c r="D142" s="6" t="s">
        <v>1223</v>
      </c>
      <c r="E142" s="6" t="s">
        <v>1224</v>
      </c>
      <c r="F142" s="6" t="s">
        <v>1225</v>
      </c>
      <c r="G142" s="6" t="s">
        <v>1226</v>
      </c>
      <c r="H142" s="6" t="s">
        <v>9</v>
      </c>
      <c r="I142" s="6" t="s">
        <v>15</v>
      </c>
      <c r="J142" s="6" t="s">
        <v>1</v>
      </c>
      <c r="K142" s="5"/>
      <c r="L142" s="7"/>
      <c r="M142" s="28"/>
      <c r="N142" s="28"/>
      <c r="O142" s="22">
        <f>IF(OR(M142="",N142=""),"",M142*N142)</f>
        <v/>
      </c>
      <c r="P142" s="21">
        <f>IF(O142="","",IF(O142&gt;=17,"Kritisch",IF(O142&gt;=10,"Hoch",IF(O142&gt;=5,"Mittel","Niedrig"))))</f>
        <v/>
      </c>
      <c r="Q142" s="5"/>
      <c r="R142" s="6" t="s">
        <v>1227</v>
      </c>
      <c r="S142" s="6" t="s">
        <v>66</v>
      </c>
      <c r="T142" s="8"/>
      <c r="U142" s="6" t="s">
        <v>1228</v>
      </c>
      <c r="V142" s="5"/>
      <c r="W142" s="6" t="s">
        <v>158</v>
      </c>
      <c r="X142" s="7"/>
      <c r="Y142" s="5"/>
    </row>
    <row r="143" spans="1:25" ht="66" customHeight="1">
      <c r="A143" s="6" t="s">
        <v>1229</v>
      </c>
      <c r="B143" s="6" t="s">
        <v>1230</v>
      </c>
      <c r="C143" s="6" t="s">
        <v>1231</v>
      </c>
      <c r="D143" s="6" t="s">
        <v>1232</v>
      </c>
      <c r="E143" s="6" t="s">
        <v>1233</v>
      </c>
      <c r="F143" s="6" t="s">
        <v>1234</v>
      </c>
      <c r="G143" s="6" t="s">
        <v>1235</v>
      </c>
      <c r="H143" s="6" t="s">
        <v>8</v>
      </c>
      <c r="I143" s="6" t="s">
        <v>14</v>
      </c>
      <c r="J143" s="6" t="s">
        <v>1</v>
      </c>
      <c r="K143" s="5"/>
      <c r="L143" s="7"/>
      <c r="M143" s="28"/>
      <c r="N143" s="28"/>
      <c r="O143" s="22">
        <f>IF(OR(M143="",N143=""),"",M143*N143)</f>
        <v/>
      </c>
      <c r="P143" s="21">
        <f>IF(O143="","",IF(O143&gt;=17,"Kritisch",IF(O143&gt;=10,"Hoch",IF(O143&gt;=5,"Mittel","Niedrig"))))</f>
        <v/>
      </c>
      <c r="Q143" s="5"/>
      <c r="R143" s="6" t="s">
        <v>1236</v>
      </c>
      <c r="S143" s="6" t="s">
        <v>66</v>
      </c>
      <c r="T143" s="8"/>
      <c r="U143" s="6" t="s">
        <v>1237</v>
      </c>
      <c r="V143" s="5"/>
      <c r="W143" s="6" t="s">
        <v>158</v>
      </c>
      <c r="X143" s="7"/>
      <c r="Y143" s="5"/>
    </row>
    <row r="144" spans="1:25" ht="66" customHeight="1">
      <c r="A144" s="6" t="s">
        <v>1238</v>
      </c>
      <c r="B144" s="6" t="s">
        <v>1230</v>
      </c>
      <c r="C144" s="6" t="s">
        <v>1239</v>
      </c>
      <c r="D144" s="6" t="s">
        <v>1240</v>
      </c>
      <c r="E144" s="6" t="s">
        <v>1241</v>
      </c>
      <c r="F144" s="6" t="s">
        <v>1242</v>
      </c>
      <c r="G144" s="6" t="s">
        <v>1243</v>
      </c>
      <c r="H144" s="6" t="s">
        <v>8</v>
      </c>
      <c r="I144" s="6" t="s">
        <v>14</v>
      </c>
      <c r="J144" s="6" t="s">
        <v>1</v>
      </c>
      <c r="K144" s="5"/>
      <c r="L144" s="7"/>
      <c r="M144" s="28"/>
      <c r="N144" s="28"/>
      <c r="O144" s="22">
        <f>IF(OR(M144="",N144=""),"",M144*N144)</f>
        <v/>
      </c>
      <c r="P144" s="21">
        <f>IF(O144="","",IF(O144&gt;=17,"Kritisch",IF(O144&gt;=10,"Hoch",IF(O144&gt;=5,"Mittel","Niedrig"))))</f>
        <v/>
      </c>
      <c r="Q144" s="5"/>
      <c r="R144" s="6" t="s">
        <v>1244</v>
      </c>
      <c r="S144" s="6" t="s">
        <v>70</v>
      </c>
      <c r="T144" s="8"/>
      <c r="U144" s="6" t="s">
        <v>1245</v>
      </c>
      <c r="V144" s="5"/>
      <c r="W144" s="6" t="s">
        <v>158</v>
      </c>
      <c r="X144" s="7"/>
      <c r="Y144" s="5"/>
    </row>
    <row r="145" spans="1:25" ht="66" customHeight="1">
      <c r="A145" s="6" t="s">
        <v>1246</v>
      </c>
      <c r="B145" s="6" t="s">
        <v>1230</v>
      </c>
      <c r="C145" s="6" t="s">
        <v>1247</v>
      </c>
      <c r="D145" s="6" t="s">
        <v>1248</v>
      </c>
      <c r="E145" s="6" t="s">
        <v>1249</v>
      </c>
      <c r="F145" s="6" t="s">
        <v>1250</v>
      </c>
      <c r="G145" s="6" t="s">
        <v>1251</v>
      </c>
      <c r="H145" s="6" t="s">
        <v>8</v>
      </c>
      <c r="I145" s="6" t="s">
        <v>14</v>
      </c>
      <c r="J145" s="6" t="s">
        <v>1</v>
      </c>
      <c r="K145" s="5"/>
      <c r="L145" s="7"/>
      <c r="M145" s="28"/>
      <c r="N145" s="28"/>
      <c r="O145" s="22">
        <f>IF(OR(M145="",N145=""),"",M145*N145)</f>
        <v/>
      </c>
      <c r="P145" s="21">
        <f>IF(O145="","",IF(O145&gt;=17,"Kritisch",IF(O145&gt;=10,"Hoch",IF(O145&gt;=5,"Mittel","Niedrig"))))</f>
        <v/>
      </c>
      <c r="Q145" s="5"/>
      <c r="R145" s="6" t="s">
        <v>1252</v>
      </c>
      <c r="S145" s="6" t="s">
        <v>70</v>
      </c>
      <c r="T145" s="8"/>
      <c r="U145" s="6" t="s">
        <v>1253</v>
      </c>
      <c r="V145" s="5"/>
      <c r="W145" s="6" t="s">
        <v>1254</v>
      </c>
      <c r="X145" s="7"/>
      <c r="Y145" s="5"/>
    </row>
    <row r="146" spans="1:25" ht="66" customHeight="1">
      <c r="A146" s="6" t="s">
        <v>1255</v>
      </c>
      <c r="B146" s="6" t="s">
        <v>1230</v>
      </c>
      <c r="C146" s="6" t="s">
        <v>1256</v>
      </c>
      <c r="D146" s="6" t="s">
        <v>1257</v>
      </c>
      <c r="E146" s="6" t="s">
        <v>1258</v>
      </c>
      <c r="F146" s="6" t="s">
        <v>1259</v>
      </c>
      <c r="G146" s="6" t="s">
        <v>1260</v>
      </c>
      <c r="H146" s="6" t="s">
        <v>8</v>
      </c>
      <c r="I146" s="6" t="s">
        <v>14</v>
      </c>
      <c r="J146" s="6" t="s">
        <v>1</v>
      </c>
      <c r="K146" s="5"/>
      <c r="L146" s="7"/>
      <c r="M146" s="28"/>
      <c r="N146" s="28"/>
      <c r="O146" s="22">
        <f>IF(OR(M146="",N146=""),"",M146*N146)</f>
        <v/>
      </c>
      <c r="P146" s="21">
        <f>IF(O146="","",IF(O146&gt;=17,"Kritisch",IF(O146&gt;=10,"Hoch",IF(O146&gt;=5,"Mittel","Niedrig"))))</f>
        <v/>
      </c>
      <c r="Q146" s="5"/>
      <c r="R146" s="6" t="s">
        <v>1261</v>
      </c>
      <c r="S146" s="6" t="s">
        <v>70</v>
      </c>
      <c r="T146" s="8"/>
      <c r="U146" s="6" t="s">
        <v>1262</v>
      </c>
      <c r="V146" s="5"/>
      <c r="W146" s="6" t="s">
        <v>1254</v>
      </c>
      <c r="X146" s="7"/>
      <c r="Y146" s="5"/>
    </row>
    <row r="147" spans="1:25" ht="66" customHeight="1">
      <c r="A147" s="6" t="s">
        <v>1263</v>
      </c>
      <c r="B147" s="6" t="s">
        <v>1230</v>
      </c>
      <c r="C147" s="6" t="s">
        <v>1264</v>
      </c>
      <c r="D147" s="6" t="s">
        <v>1265</v>
      </c>
      <c r="E147" s="6" t="s">
        <v>1266</v>
      </c>
      <c r="F147" s="6" t="s">
        <v>1267</v>
      </c>
      <c r="G147" s="6" t="s">
        <v>1268</v>
      </c>
      <c r="H147" s="6" t="s">
        <v>8</v>
      </c>
      <c r="I147" s="6" t="s">
        <v>14</v>
      </c>
      <c r="J147" s="6" t="s">
        <v>1</v>
      </c>
      <c r="K147" s="5"/>
      <c r="L147" s="7"/>
      <c r="M147" s="28"/>
      <c r="N147" s="28"/>
      <c r="O147" s="22">
        <f>IF(OR(M147="",N147=""),"",M147*N147)</f>
        <v/>
      </c>
      <c r="P147" s="21">
        <f>IF(O147="","",IF(O147&gt;=17,"Kritisch",IF(O147&gt;=10,"Hoch",IF(O147&gt;=5,"Mittel","Niedrig"))))</f>
        <v/>
      </c>
      <c r="Q147" s="5"/>
      <c r="R147" s="6" t="s">
        <v>1269</v>
      </c>
      <c r="S147" s="6" t="s">
        <v>70</v>
      </c>
      <c r="T147" s="8"/>
      <c r="U147" s="6" t="s">
        <v>1270</v>
      </c>
      <c r="V147" s="5"/>
      <c r="W147" s="6" t="s">
        <v>1254</v>
      </c>
      <c r="X147" s="7"/>
      <c r="Y147" s="5"/>
    </row>
    <row r="148" spans="1:25" ht="66" customHeight="1">
      <c r="A148" s="6" t="s">
        <v>1271</v>
      </c>
      <c r="B148" s="6" t="s">
        <v>1230</v>
      </c>
      <c r="C148" s="6" t="s">
        <v>1272</v>
      </c>
      <c r="D148" s="6" t="s">
        <v>1273</v>
      </c>
      <c r="E148" s="6" t="s">
        <v>1274</v>
      </c>
      <c r="F148" s="6" t="s">
        <v>1275</v>
      </c>
      <c r="G148" s="6" t="s">
        <v>1276</v>
      </c>
      <c r="H148" s="6" t="s">
        <v>9</v>
      </c>
      <c r="I148" s="6" t="s">
        <v>14</v>
      </c>
      <c r="J148" s="6" t="s">
        <v>1</v>
      </c>
      <c r="K148" s="5"/>
      <c r="L148" s="7"/>
      <c r="M148" s="28"/>
      <c r="N148" s="28"/>
      <c r="O148" s="22">
        <f>IF(OR(M148="",N148=""),"",M148*N148)</f>
        <v/>
      </c>
      <c r="P148" s="21">
        <f>IF(O148="","",IF(O148&gt;=17,"Kritisch",IF(O148&gt;=10,"Hoch",IF(O148&gt;=5,"Mittel","Niedrig"))))</f>
        <v/>
      </c>
      <c r="Q148" s="5"/>
      <c r="R148" s="6" t="s">
        <v>1277</v>
      </c>
      <c r="S148" s="6" t="s">
        <v>66</v>
      </c>
      <c r="T148" s="8"/>
      <c r="U148" s="6" t="s">
        <v>1108</v>
      </c>
      <c r="V148" s="5"/>
      <c r="W148" s="6" t="s">
        <v>1278</v>
      </c>
      <c r="X148" s="7"/>
      <c r="Y148" s="5"/>
    </row>
    <row r="149" spans="1:25" ht="66" customHeight="1">
      <c r="A149" s="6" t="s">
        <v>1279</v>
      </c>
      <c r="B149" s="6" t="s">
        <v>1230</v>
      </c>
      <c r="C149" s="6" t="s">
        <v>1280</v>
      </c>
      <c r="D149" s="6" t="s">
        <v>1281</v>
      </c>
      <c r="E149" s="6" t="s">
        <v>1282</v>
      </c>
      <c r="F149" s="6" t="s">
        <v>1283</v>
      </c>
      <c r="G149" s="6" t="s">
        <v>1284</v>
      </c>
      <c r="H149" s="6" t="s">
        <v>8</v>
      </c>
      <c r="I149" s="6" t="s">
        <v>14</v>
      </c>
      <c r="J149" s="6" t="s">
        <v>1</v>
      </c>
      <c r="K149" s="5"/>
      <c r="L149" s="7"/>
      <c r="M149" s="28"/>
      <c r="N149" s="28"/>
      <c r="O149" s="22">
        <f>IF(OR(M149="",N149=""),"",M149*N149)</f>
        <v/>
      </c>
      <c r="P149" s="21">
        <f>IF(O149="","",IF(O149&gt;=17,"Kritisch",IF(O149&gt;=10,"Hoch",IF(O149&gt;=5,"Mittel","Niedrig"))))</f>
        <v/>
      </c>
      <c r="Q149" s="5"/>
      <c r="R149" s="6" t="s">
        <v>1285</v>
      </c>
      <c r="S149" s="6" t="s">
        <v>70</v>
      </c>
      <c r="T149" s="8"/>
      <c r="U149" s="6" t="s">
        <v>679</v>
      </c>
      <c r="V149" s="5"/>
      <c r="W149" s="6" t="s">
        <v>158</v>
      </c>
      <c r="X149" s="7"/>
      <c r="Y149" s="5"/>
    </row>
    <row r="150" spans="1:25" ht="66" customHeight="1">
      <c r="A150" s="6" t="s">
        <v>1286</v>
      </c>
      <c r="B150" s="6" t="s">
        <v>1230</v>
      </c>
      <c r="C150" s="6" t="s">
        <v>203</v>
      </c>
      <c r="D150" s="6" t="s">
        <v>1287</v>
      </c>
      <c r="E150" s="6" t="s">
        <v>1288</v>
      </c>
      <c r="F150" s="6" t="s">
        <v>1289</v>
      </c>
      <c r="G150" s="6" t="s">
        <v>1290</v>
      </c>
      <c r="H150" s="6" t="s">
        <v>9</v>
      </c>
      <c r="I150" s="6" t="s">
        <v>14</v>
      </c>
      <c r="J150" s="6" t="s">
        <v>1</v>
      </c>
      <c r="K150" s="5"/>
      <c r="L150" s="7"/>
      <c r="M150" s="28"/>
      <c r="N150" s="28"/>
      <c r="O150" s="22">
        <f>IF(OR(M150="",N150=""),"",M150*N150)</f>
        <v/>
      </c>
      <c r="P150" s="21">
        <f>IF(O150="","",IF(O150&gt;=17,"Kritisch",IF(O150&gt;=10,"Hoch",IF(O150&gt;=5,"Mittel","Niedrig"))))</f>
        <v/>
      </c>
      <c r="Q150" s="5"/>
      <c r="R150" s="6" t="s">
        <v>1291</v>
      </c>
      <c r="S150" s="6" t="s">
        <v>66</v>
      </c>
      <c r="T150" s="8"/>
      <c r="U150" s="6" t="s">
        <v>679</v>
      </c>
      <c r="V150" s="5"/>
      <c r="W150" s="6" t="s">
        <v>158</v>
      </c>
      <c r="X150" s="7"/>
      <c r="Y150" s="5"/>
    </row>
    <row r="151" spans="1:25" ht="66" customHeight="1">
      <c r="A151" s="6" t="s">
        <v>1292</v>
      </c>
      <c r="B151" s="6" t="s">
        <v>1230</v>
      </c>
      <c r="C151" s="6" t="s">
        <v>1293</v>
      </c>
      <c r="D151" s="6" t="s">
        <v>1294</v>
      </c>
      <c r="E151" s="6" t="s">
        <v>1295</v>
      </c>
      <c r="F151" s="6" t="s">
        <v>1296</v>
      </c>
      <c r="G151" s="6" t="s">
        <v>1297</v>
      </c>
      <c r="H151" s="6" t="s">
        <v>8</v>
      </c>
      <c r="I151" s="6" t="s">
        <v>14</v>
      </c>
      <c r="J151" s="6" t="s">
        <v>1</v>
      </c>
      <c r="K151" s="5"/>
      <c r="L151" s="7"/>
      <c r="M151" s="28"/>
      <c r="N151" s="28"/>
      <c r="O151" s="22">
        <f>IF(OR(M151="",N151=""),"",M151*N151)</f>
        <v/>
      </c>
      <c r="P151" s="21">
        <f>IF(O151="","",IF(O151&gt;=17,"Kritisch",IF(O151&gt;=10,"Hoch",IF(O151&gt;=5,"Mittel","Niedrig"))))</f>
        <v/>
      </c>
      <c r="Q151" s="5"/>
      <c r="R151" s="6" t="s">
        <v>1298</v>
      </c>
      <c r="S151" s="6" t="s">
        <v>70</v>
      </c>
      <c r="T151" s="8"/>
      <c r="U151" s="6" t="s">
        <v>1299</v>
      </c>
      <c r="V151" s="5"/>
      <c r="W151" s="6" t="s">
        <v>158</v>
      </c>
      <c r="X151" s="7"/>
      <c r="Y151" s="5"/>
    </row>
    <row r="152" spans="1:25" ht="66" customHeight="1">
      <c r="A152" s="6" t="s">
        <v>1300</v>
      </c>
      <c r="B152" s="6" t="s">
        <v>1301</v>
      </c>
      <c r="C152" s="6" t="s">
        <v>1302</v>
      </c>
      <c r="D152" s="6" t="s">
        <v>1303</v>
      </c>
      <c r="E152" s="6" t="s">
        <v>1304</v>
      </c>
      <c r="F152" s="6" t="s">
        <v>1305</v>
      </c>
      <c r="G152" s="6" t="s">
        <v>1306</v>
      </c>
      <c r="H152" s="6" t="s">
        <v>8</v>
      </c>
      <c r="I152" s="6" t="s">
        <v>14</v>
      </c>
      <c r="J152" s="6" t="s">
        <v>1</v>
      </c>
      <c r="K152" s="5"/>
      <c r="L152" s="7"/>
      <c r="M152" s="28"/>
      <c r="N152" s="28"/>
      <c r="O152" s="22">
        <f>IF(OR(M152="",N152=""),"",M152*N152)</f>
        <v/>
      </c>
      <c r="P152" s="21">
        <f>IF(O152="","",IF(O152&gt;=17,"Kritisch",IF(O152&gt;=10,"Hoch",IF(O152&gt;=5,"Mittel","Niedrig"))))</f>
        <v/>
      </c>
      <c r="Q152" s="5"/>
      <c r="R152" s="6" t="s">
        <v>1307</v>
      </c>
      <c r="S152" s="6" t="s">
        <v>69</v>
      </c>
      <c r="T152" s="8"/>
      <c r="U152" s="6" t="s">
        <v>899</v>
      </c>
      <c r="V152" s="5"/>
      <c r="W152" s="6" t="s">
        <v>158</v>
      </c>
      <c r="X152" s="7"/>
      <c r="Y152" s="5"/>
    </row>
    <row r="153" spans="1:25" ht="66" customHeight="1">
      <c r="A153" s="6" t="s">
        <v>1308</v>
      </c>
      <c r="B153" s="6" t="s">
        <v>1301</v>
      </c>
      <c r="C153" s="6" t="s">
        <v>1309</v>
      </c>
      <c r="D153" s="6" t="s">
        <v>1310</v>
      </c>
      <c r="E153" s="6" t="s">
        <v>1311</v>
      </c>
      <c r="F153" s="6" t="s">
        <v>1312</v>
      </c>
      <c r="G153" s="6" t="s">
        <v>1313</v>
      </c>
      <c r="H153" s="6" t="s">
        <v>8</v>
      </c>
      <c r="I153" s="6" t="s">
        <v>15</v>
      </c>
      <c r="J153" s="6" t="s">
        <v>1</v>
      </c>
      <c r="K153" s="5"/>
      <c r="L153" s="7"/>
      <c r="M153" s="28"/>
      <c r="N153" s="28"/>
      <c r="O153" s="22">
        <f>IF(OR(M153="",N153=""),"",M153*N153)</f>
        <v/>
      </c>
      <c r="P153" s="21">
        <f>IF(O153="","",IF(O153&gt;=17,"Kritisch",IF(O153&gt;=10,"Hoch",IF(O153&gt;=5,"Mittel","Niedrig"))))</f>
        <v/>
      </c>
      <c r="Q153" s="5"/>
      <c r="R153" s="6" t="s">
        <v>1314</v>
      </c>
      <c r="S153" s="6" t="s">
        <v>67</v>
      </c>
      <c r="T153" s="8"/>
      <c r="U153" s="6" t="s">
        <v>1315</v>
      </c>
      <c r="V153" s="5"/>
      <c r="W153" s="6" t="s">
        <v>158</v>
      </c>
      <c r="X153" s="7"/>
      <c r="Y153" s="5"/>
    </row>
    <row r="154" spans="1:25" ht="66" customHeight="1">
      <c r="A154" s="6" t="s">
        <v>1316</v>
      </c>
      <c r="B154" s="6" t="s">
        <v>1301</v>
      </c>
      <c r="C154" s="6" t="s">
        <v>1317</v>
      </c>
      <c r="D154" s="6" t="s">
        <v>1318</v>
      </c>
      <c r="E154" s="6" t="s">
        <v>1319</v>
      </c>
      <c r="F154" s="6" t="s">
        <v>1320</v>
      </c>
      <c r="G154" s="6" t="s">
        <v>1321</v>
      </c>
      <c r="H154" s="6" t="s">
        <v>8</v>
      </c>
      <c r="I154" s="6" t="s">
        <v>15</v>
      </c>
      <c r="J154" s="6" t="s">
        <v>1</v>
      </c>
      <c r="K154" s="5"/>
      <c r="L154" s="7"/>
      <c r="M154" s="28"/>
      <c r="N154" s="28"/>
      <c r="O154" s="22">
        <f>IF(OR(M154="",N154=""),"",M154*N154)</f>
        <v/>
      </c>
      <c r="P154" s="21">
        <f>IF(O154="","",IF(O154&gt;=17,"Kritisch",IF(O154&gt;=10,"Hoch",IF(O154&gt;=5,"Mittel","Niedrig"))))</f>
        <v/>
      </c>
      <c r="Q154" s="5"/>
      <c r="R154" s="6" t="s">
        <v>1322</v>
      </c>
      <c r="S154" s="6" t="s">
        <v>69</v>
      </c>
      <c r="T154" s="8"/>
      <c r="U154" s="6" t="s">
        <v>1323</v>
      </c>
      <c r="V154" s="5"/>
      <c r="W154" s="6" t="s">
        <v>158</v>
      </c>
      <c r="X154" s="7"/>
      <c r="Y154" s="5"/>
    </row>
    <row r="155" spans="1:25" ht="66" customHeight="1">
      <c r="A155" s="6" t="s">
        <v>1324</v>
      </c>
      <c r="B155" s="6" t="s">
        <v>1301</v>
      </c>
      <c r="C155" s="6" t="s">
        <v>1325</v>
      </c>
      <c r="D155" s="6" t="s">
        <v>1326</v>
      </c>
      <c r="E155" s="6" t="s">
        <v>1327</v>
      </c>
      <c r="F155" s="6" t="s">
        <v>1328</v>
      </c>
      <c r="G155" s="6" t="s">
        <v>1329</v>
      </c>
      <c r="H155" s="6" t="s">
        <v>8</v>
      </c>
      <c r="I155" s="6" t="s">
        <v>14</v>
      </c>
      <c r="J155" s="6" t="s">
        <v>1</v>
      </c>
      <c r="K155" s="5"/>
      <c r="L155" s="7"/>
      <c r="M155" s="28"/>
      <c r="N155" s="28"/>
      <c r="O155" s="22">
        <f>IF(OR(M155="",N155=""),"",M155*N155)</f>
        <v/>
      </c>
      <c r="P155" s="21">
        <f>IF(O155="","",IF(O155&gt;=17,"Kritisch",IF(O155&gt;=10,"Hoch",IF(O155&gt;=5,"Mittel","Niedrig"))))</f>
        <v/>
      </c>
      <c r="Q155" s="5"/>
      <c r="R155" s="6" t="s">
        <v>1330</v>
      </c>
      <c r="S155" s="6" t="s">
        <v>65</v>
      </c>
      <c r="T155" s="8"/>
      <c r="U155" s="6" t="s">
        <v>1331</v>
      </c>
      <c r="V155" s="5"/>
      <c r="W155" s="6" t="s">
        <v>158</v>
      </c>
      <c r="X155" s="7"/>
      <c r="Y155" s="5"/>
    </row>
    <row r="156" spans="1:25" ht="66" customHeight="1">
      <c r="A156" s="6" t="s">
        <v>1332</v>
      </c>
      <c r="B156" s="6" t="s">
        <v>1301</v>
      </c>
      <c r="C156" s="6" t="s">
        <v>1333</v>
      </c>
      <c r="D156" s="6" t="s">
        <v>1334</v>
      </c>
      <c r="E156" s="6" t="s">
        <v>1335</v>
      </c>
      <c r="F156" s="6" t="s">
        <v>1336</v>
      </c>
      <c r="G156" s="6" t="s">
        <v>1337</v>
      </c>
      <c r="H156" s="6" t="s">
        <v>9</v>
      </c>
      <c r="I156" s="6" t="s">
        <v>14</v>
      </c>
      <c r="J156" s="6" t="s">
        <v>1</v>
      </c>
      <c r="K156" s="5"/>
      <c r="L156" s="7"/>
      <c r="M156" s="28"/>
      <c r="N156" s="28"/>
      <c r="O156" s="22">
        <f>IF(OR(M156="",N156=""),"",M156*N156)</f>
        <v/>
      </c>
      <c r="P156" s="21">
        <f>IF(O156="","",IF(O156&gt;=17,"Kritisch",IF(O156&gt;=10,"Hoch",IF(O156&gt;=5,"Mittel","Niedrig"))))</f>
        <v/>
      </c>
      <c r="Q156" s="5"/>
      <c r="R156" s="6" t="s">
        <v>1338</v>
      </c>
      <c r="S156" s="6" t="s">
        <v>65</v>
      </c>
      <c r="T156" s="8"/>
      <c r="U156" s="6" t="s">
        <v>1339</v>
      </c>
      <c r="V156" s="5"/>
      <c r="W156" s="6" t="s">
        <v>158</v>
      </c>
      <c r="X156" s="7"/>
      <c r="Y156" s="5"/>
    </row>
    <row r="157" spans="1:25" ht="66" customHeight="1">
      <c r="A157" s="6" t="s">
        <v>1340</v>
      </c>
      <c r="B157" s="6" t="s">
        <v>1301</v>
      </c>
      <c r="C157" s="6" t="s">
        <v>1341</v>
      </c>
      <c r="D157" s="6" t="s">
        <v>1342</v>
      </c>
      <c r="E157" s="6" t="s">
        <v>1343</v>
      </c>
      <c r="F157" s="6" t="s">
        <v>1344</v>
      </c>
      <c r="G157" s="6" t="s">
        <v>1345</v>
      </c>
      <c r="H157" s="6" t="s">
        <v>8</v>
      </c>
      <c r="I157" s="6" t="s">
        <v>16</v>
      </c>
      <c r="J157" s="6" t="s">
        <v>1</v>
      </c>
      <c r="K157" s="5"/>
      <c r="L157" s="7"/>
      <c r="M157" s="28"/>
      <c r="N157" s="28"/>
      <c r="O157" s="22">
        <f>IF(OR(M157="",N157=""),"",M157*N157)</f>
        <v/>
      </c>
      <c r="P157" s="21">
        <f>IF(O157="","",IF(O157&gt;=17,"Kritisch",IF(O157&gt;=10,"Hoch",IF(O157&gt;=5,"Mittel","Niedrig"))))</f>
        <v/>
      </c>
      <c r="Q157" s="5"/>
      <c r="R157" s="6" t="s">
        <v>1346</v>
      </c>
      <c r="S157" s="6" t="s">
        <v>67</v>
      </c>
      <c r="T157" s="8"/>
      <c r="U157" s="6" t="s">
        <v>1347</v>
      </c>
      <c r="V157" s="5"/>
      <c r="W157" s="6" t="s">
        <v>158</v>
      </c>
      <c r="X157" s="7"/>
      <c r="Y157" s="5"/>
    </row>
    <row r="158" spans="1:25" ht="66" customHeight="1">
      <c r="A158" s="6" t="s">
        <v>1348</v>
      </c>
      <c r="B158" s="6" t="s">
        <v>1301</v>
      </c>
      <c r="C158" s="6" t="s">
        <v>1349</v>
      </c>
      <c r="D158" s="6" t="s">
        <v>1350</v>
      </c>
      <c r="E158" s="6" t="s">
        <v>1351</v>
      </c>
      <c r="F158" s="6" t="s">
        <v>1352</v>
      </c>
      <c r="G158" s="6" t="s">
        <v>1353</v>
      </c>
      <c r="H158" s="6" t="s">
        <v>9</v>
      </c>
      <c r="I158" s="6" t="s">
        <v>14</v>
      </c>
      <c r="J158" s="6" t="s">
        <v>1</v>
      </c>
      <c r="K158" s="5"/>
      <c r="L158" s="7"/>
      <c r="M158" s="28"/>
      <c r="N158" s="28"/>
      <c r="O158" s="22">
        <f>IF(OR(M158="",N158=""),"",M158*N158)</f>
        <v/>
      </c>
      <c r="P158" s="21">
        <f>IF(O158="","",IF(O158&gt;=17,"Kritisch",IF(O158&gt;=10,"Hoch",IF(O158&gt;=5,"Mittel","Niedrig"))))</f>
        <v/>
      </c>
      <c r="Q158" s="5"/>
      <c r="R158" s="6" t="s">
        <v>1354</v>
      </c>
      <c r="S158" s="6" t="s">
        <v>65</v>
      </c>
      <c r="T158" s="8"/>
      <c r="U158" s="6" t="s">
        <v>428</v>
      </c>
      <c r="V158" s="5"/>
      <c r="W158" s="6" t="s">
        <v>158</v>
      </c>
      <c r="X158" s="7"/>
      <c r="Y158" s="5"/>
    </row>
    <row r="159" spans="1:25" ht="66" customHeight="1">
      <c r="A159" s="6" t="s">
        <v>1355</v>
      </c>
      <c r="B159" s="6" t="s">
        <v>1301</v>
      </c>
      <c r="C159" s="6" t="s">
        <v>1356</v>
      </c>
      <c r="D159" s="6" t="s">
        <v>1357</v>
      </c>
      <c r="E159" s="6" t="s">
        <v>1358</v>
      </c>
      <c r="F159" s="6" t="s">
        <v>1359</v>
      </c>
      <c r="G159" s="6" t="s">
        <v>1360</v>
      </c>
      <c r="H159" s="6" t="s">
        <v>8</v>
      </c>
      <c r="I159" s="6" t="s">
        <v>15</v>
      </c>
      <c r="J159" s="6" t="s">
        <v>1</v>
      </c>
      <c r="K159" s="5"/>
      <c r="L159" s="7"/>
      <c r="M159" s="28"/>
      <c r="N159" s="28"/>
      <c r="O159" s="22">
        <f>IF(OR(M159="",N159=""),"",M159*N159)</f>
        <v/>
      </c>
      <c r="P159" s="21">
        <f>IF(O159="","",IF(O159&gt;=17,"Kritisch",IF(O159&gt;=10,"Hoch",IF(O159&gt;=5,"Mittel","Niedrig"))))</f>
        <v/>
      </c>
      <c r="Q159" s="5"/>
      <c r="R159" s="6" t="s">
        <v>1361</v>
      </c>
      <c r="S159" s="6" t="s">
        <v>67</v>
      </c>
      <c r="T159" s="8"/>
      <c r="U159" s="6" t="s">
        <v>1362</v>
      </c>
      <c r="V159" s="5"/>
      <c r="W159" s="6" t="s">
        <v>158</v>
      </c>
      <c r="X159" s="7"/>
      <c r="Y159" s="5"/>
    </row>
    <row r="160" spans="1:25" ht="66" customHeight="1">
      <c r="A160" s="6" t="s">
        <v>1363</v>
      </c>
      <c r="B160" s="6" t="s">
        <v>1301</v>
      </c>
      <c r="C160" s="6" t="s">
        <v>1364</v>
      </c>
      <c r="D160" s="6" t="s">
        <v>1365</v>
      </c>
      <c r="E160" s="6" t="s">
        <v>1366</v>
      </c>
      <c r="F160" s="6" t="s">
        <v>1367</v>
      </c>
      <c r="G160" s="6" t="s">
        <v>1368</v>
      </c>
      <c r="H160" s="6" t="s">
        <v>9</v>
      </c>
      <c r="I160" s="6" t="s">
        <v>16</v>
      </c>
      <c r="J160" s="6" t="s">
        <v>1</v>
      </c>
      <c r="K160" s="5"/>
      <c r="L160" s="7"/>
      <c r="M160" s="28"/>
      <c r="N160" s="28"/>
      <c r="O160" s="22">
        <f>IF(OR(M160="",N160=""),"",M160*N160)</f>
        <v/>
      </c>
      <c r="P160" s="21">
        <f>IF(O160="","",IF(O160&gt;=17,"Kritisch",IF(O160&gt;=10,"Hoch",IF(O160&gt;=5,"Mittel","Niedrig"))))</f>
        <v/>
      </c>
      <c r="Q160" s="5"/>
      <c r="R160" s="6" t="s">
        <v>1369</v>
      </c>
      <c r="S160" s="6" t="s">
        <v>69</v>
      </c>
      <c r="T160" s="8"/>
      <c r="U160" s="6" t="s">
        <v>466</v>
      </c>
      <c r="V160" s="5"/>
      <c r="W160" s="6" t="s">
        <v>158</v>
      </c>
      <c r="X160" s="7"/>
      <c r="Y160" s="5"/>
    </row>
  </sheetData>
  <mergeCells count="2">
    <mergeCell ref="A1:Y1"/>
    <mergeCell ref="A2:Y2"/>
  </mergeCells>
  <conditionalFormatting sqref="H5:P160">
    <cfRule type="containsText" dxfId="0" priority="1" operator="containsText" text="Abgeschlossen">
      <formula>NOT(ISERROR(SEARCH("Abgeschlossen",H5)))</formula>
    </cfRule>
    <cfRule type="containsText" dxfId="0" priority="2" operator="containsText" text="Vollständig">
      <formula>NOT(ISERROR(SEARCH("Vollständig",H5)))</formula>
    </cfRule>
    <cfRule type="containsText" dxfId="0" priority="3" operator="containsText" text="Erledigt">
      <formula>NOT(ISERROR(SEARCH("Erledigt",H5)))</formula>
    </cfRule>
    <cfRule type="containsText" dxfId="1" priority="4" operator="containsText" text="Blockiert">
      <formula>NOT(ISERROR(SEARCH("Blockiert",H5)))</formula>
    </cfRule>
    <cfRule type="containsText" dxfId="1" priority="5" operator="containsText" text="Kritisch">
      <formula>NOT(ISERROR(SEARCH("Kritisch",H5)))</formula>
    </cfRule>
    <cfRule type="containsText" dxfId="1" priority="6" operator="containsText" text="Überfällig">
      <formula>NOT(ISERROR(SEARCH("Überfällig",H5)))</formula>
    </cfRule>
    <cfRule type="containsText" dxfId="2" priority="7" operator="containsText" text="In Prüfung">
      <formula>NOT(ISERROR(SEARCH("In Prüfung",H5)))</formula>
    </cfRule>
    <cfRule type="containsText" dxfId="2" priority="8" operator="containsText" text="In Arbeit">
      <formula>NOT(ISERROR(SEARCH("In Arbeit",H5)))</formula>
    </cfRule>
  </conditionalFormatting>
  <conditionalFormatting sqref="O5:O160">
    <cfRule type="colorScale" priority="9">
      <colorScale>
        <cfvo type="min" val="0"/>
        <cfvo type="percentile" val="50"/>
        <cfvo type="max" val="0"/>
        <color rgb="FFC6EFCE"/>
        <color rgb="FFFFEB9C"/>
        <color rgb="FFFFC7CE"/>
      </colorScale>
    </cfRule>
  </conditionalFormatting>
  <dataValidations count="12">
    <dataValidation type="list" allowBlank="1" showInputMessage="1" showErrorMessage="1" errorTitle="Eingabe prüfen" error="Bitte die vorgegebene Auswahl bzw. das geforderte Format verwenden." promptTitle="Priorität" prompt="Deal-Relevanz und Dringlichkeit auswählen; kritisch = sofort eskalieren." sqref="H5:H160">
      <formula1>Prioritaet</formula1>
    </dataValidation>
    <dataValidation type="list" allowBlank="1" showInputMessage="1" showErrorMessage="1" errorTitle="Eingabe prüfen" error="Bitte die vorgegebene Auswahl bzw. das geforderte Format verwenden." promptTitle="Phase" prompt="Phase wählen, bis zu der der Punkt geklärt sein muss." sqref="I5:I160">
      <formula1>Phase</formula1>
    </dataValidation>
    <dataValidation type="list" allowBlank="1" showInputMessage="1" showErrorMessage="1" errorTitle="Eingabe prüfen" error="Bitte die vorgegebene Auswahl bzw. das geforderte Format verwenden." promptTitle="Prüfstatus" prompt="Nur bei ausreichender Evidenz auf „Abgeschlossen“ setzen." sqref="J5:J160">
      <formula1>Pruefstatus</formula1>
    </dataValidation>
    <dataValidation allowBlank="1" showInputMessage="1" showErrorMessage="1" errorTitle="Eingabe prüfen" error="Bitte die vorgegebene Auswahl bzw. das geforderte Format verwenden." promptTitle="Verantwortlich" prompt="Eine Person oder eindeutig verantwortliche Rolle eintragen." sqref="K5:K160"/>
    <dataValidation type="date" allowBlank="1" showInputMessage="1" showErrorMessage="1" errorTitle="Eingabe prüfen" error="Bitte die vorgegebene Auswahl bzw. das geforderte Format verwenden." promptTitle="Fälligkeit" prompt="Verbindliches Datum im Format TT.MM.JJJJ." sqref="L5:L160">
      <formula1>36526</formula1>
      <formula2>73415</formula2>
    </dataValidation>
    <dataValidation type="whole" allowBlank="1" showInputMessage="1" showErrorMessage="1" errorTitle="Eingabe prüfen" error="Bitte die vorgegebene Auswahl bzw. das geforderte Format verwenden." promptTitle="Risiko 1–5" prompt="Eintritt und Auswirkung getrennt bewerten; Definitionen siehe 00_Start." sqref="M5:N160">
      <formula1>1</formula1>
      <formula2>5</formula2>
    </dataValidation>
    <dataValidation allowBlank="1" showInputMessage="1" showErrorMessage="1" errorTitle="Eingabe prüfen" error="Bitte die vorgegebene Auswahl bzw. das geforderte Format verwenden." promptTitle="Finding / Evidenz" prompt="Fakt, Ursache, Umfang, Auswirkung sowie konkrete Belegreferenz dokumentieren." sqref="Q5:Q160"/>
    <dataValidation type="list" allowBlank="1" showInputMessage="1" showErrorMessage="1" errorTitle="Eingabe prüfen" error="Bitte die vorgegebene Auswahl bzw. das geforderte Format verwenden." promptTitle="Deal-Implikation" prompt="Primäre Folge für Preis, SPA, Closing, Finanzierung oder Integration wählen." sqref="S5:S160">
      <formula1>DealImpact</formula1>
    </dataValidation>
    <dataValidation allowBlank="1" showInputMessage="1" showErrorMessage="1" errorTitle="Eingabe prüfen" error="Bitte die vorgegebene Auswahl bzw. das geforderte Format verwenden." promptTitle="Kaufpreiseffekt" prompt="Quantifizierten Betrag ohne Währungstext eingeben; Herleitung im Finding dokumentieren." sqref="T5:T160"/>
    <dataValidation allowBlank="1" showInputMessage="1" showErrorMessage="1" errorTitle="Eingabe prüfen" error="Bitte die vorgegebene Auswahl bzw. das geforderte Format verwenden." promptTitle="Referenz" prompt="Vorhandene Dokument-, Q&amp;A- oder Risiko-ID eintragen." sqref="V5:V160"/>
    <dataValidation type="date" allowBlank="1" showInputMessage="1" showErrorMessage="1" errorTitle="Eingabe prüfen" error="Bitte die vorgegebene Auswahl bzw. das geforderte Format verwenden." promptTitle="Aktualisierung" prompt="Datum der letzten materiellen Aktualisierung." sqref="X5:X160">
      <formula1>36526</formula1>
      <formula2>73415</formula2>
    </dataValidation>
    <dataValidation allowBlank="1" showInputMessage="1" showErrorMessage="1" errorTitle="Eingabe prüfen" error="Bitte die vorgegebene Auswahl bzw. das geforderte Format verwenden." promptTitle="Reviewer" prompt="Unabhängigen fachlichen Reviewer mit Rolle eintragen." sqref="Y5:Y160"/>
  </dataValidations>
  <pageMargins left="0.7" right="0.7" top="0.75" bottom="0.75" header="0.3" footer="0.3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1F4E78"/>
  </sheetPr>
  <dimension ref="A1:S160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58" customHeight="1"/>
  <cols>
    <col min="1" max="1" width="12.7109375" customWidth="1"/>
    <col min="2" max="2" width="24.7109375" customWidth="1"/>
    <col min="3" max="3" width="44.7109375" customWidth="1"/>
    <col min="4" max="4" width="24.7109375" customWidth="1"/>
    <col min="5" max="5" width="40.7109375" customWidth="1"/>
    <col min="6" max="6" width="11.7109375" customWidth="1"/>
    <col min="7" max="7" width="10.7109375" customWidth="1"/>
    <col min="8" max="8" width="22.7109375" customWidth="1"/>
    <col min="9" max="11" width="13.7109375" customWidth="1"/>
    <col min="12" max="12" width="17.7109375" customWidth="1"/>
    <col min="13" max="13" width="16.7109375" customWidth="1"/>
    <col min="14" max="14" width="18.7109375" customWidth="1"/>
    <col min="15" max="15" width="28.7109375" customWidth="1"/>
    <col min="16" max="16" width="16.7109375" customWidth="1"/>
    <col min="17" max="17" width="34.7109375" customWidth="1"/>
    <col min="18" max="18" width="14.7109375" customWidth="1"/>
    <col min="19" max="19" width="18.7109375" customWidth="1"/>
  </cols>
  <sheetData>
    <row r="1" spans="1:19" ht="30" customHeight="1">
      <c r="A1" s="1" t="s">
        <v>1394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34" customHeight="1">
      <c r="A2" s="2" t="s">
        <v>1395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19" ht="42" customHeight="1">
      <c r="A4" t="s">
        <v>1569</v>
      </c>
      <c r="B4" t="s">
        <v>1371</v>
      </c>
      <c r="C4" t="s">
        <v>1570</v>
      </c>
      <c r="D4" t="s">
        <v>1571</v>
      </c>
      <c r="E4" t="s">
        <v>1572</v>
      </c>
      <c r="F4" t="s">
        <v>1377</v>
      </c>
      <c r="G4" t="s">
        <v>1573</v>
      </c>
      <c r="H4" t="s">
        <v>1574</v>
      </c>
      <c r="I4" t="s">
        <v>1575</v>
      </c>
      <c r="J4" t="s">
        <v>1576</v>
      </c>
      <c r="K4" t="s">
        <v>1577</v>
      </c>
      <c r="L4" t="s">
        <v>1378</v>
      </c>
      <c r="M4" t="s">
        <v>1578</v>
      </c>
      <c r="N4" t="s">
        <v>51</v>
      </c>
      <c r="O4" t="s">
        <v>1579</v>
      </c>
      <c r="P4" t="s">
        <v>1580</v>
      </c>
      <c r="Q4" t="s">
        <v>1581</v>
      </c>
      <c r="R4" t="s">
        <v>1582</v>
      </c>
      <c r="S4" t="s">
        <v>1393</v>
      </c>
    </row>
    <row r="5" spans="1:19" ht="58" customHeight="1">
      <c r="A5" s="6" t="s">
        <v>1396</v>
      </c>
      <c r="B5" s="6" t="s">
        <v>150</v>
      </c>
      <c r="C5" s="6" t="s">
        <v>153</v>
      </c>
      <c r="D5" s="6" t="s">
        <v>1397</v>
      </c>
      <c r="E5" s="6" t="s">
        <v>152</v>
      </c>
      <c r="F5" s="6" t="s">
        <v>8</v>
      </c>
      <c r="G5" s="6" t="s">
        <v>19</v>
      </c>
      <c r="H5" s="6" t="s">
        <v>1398</v>
      </c>
      <c r="I5" s="7"/>
      <c r="J5" s="7"/>
      <c r="K5" s="7"/>
      <c r="L5" s="6" t="s">
        <v>23</v>
      </c>
      <c r="M5" s="6" t="s">
        <v>29</v>
      </c>
      <c r="N5" s="6" t="s">
        <v>53</v>
      </c>
      <c r="O5" s="5"/>
      <c r="P5" s="6" t="s">
        <v>149</v>
      </c>
      <c r="Q5" s="5"/>
      <c r="R5" s="22">
        <f>IF(OR(J5="",L5="Vollständig",L5="Nicht anwendbar"),"",MAX(0,TODAY()-J5))</f>
        <v/>
      </c>
      <c r="S5" s="5"/>
    </row>
    <row r="6" spans="1:19" ht="58" customHeight="1">
      <c r="A6" s="6" t="s">
        <v>1399</v>
      </c>
      <c r="B6" s="6" t="s">
        <v>150</v>
      </c>
      <c r="C6" s="6" t="s">
        <v>162</v>
      </c>
      <c r="D6" s="6" t="s">
        <v>1397</v>
      </c>
      <c r="E6" s="6" t="s">
        <v>161</v>
      </c>
      <c r="F6" s="6" t="s">
        <v>8</v>
      </c>
      <c r="G6" s="6" t="s">
        <v>19</v>
      </c>
      <c r="H6" s="6" t="s">
        <v>1398</v>
      </c>
      <c r="I6" s="7"/>
      <c r="J6" s="7"/>
      <c r="K6" s="7"/>
      <c r="L6" s="6" t="s">
        <v>23</v>
      </c>
      <c r="M6" s="6" t="s">
        <v>29</v>
      </c>
      <c r="N6" s="6" t="s">
        <v>53</v>
      </c>
      <c r="O6" s="5"/>
      <c r="P6" s="6" t="s">
        <v>159</v>
      </c>
      <c r="Q6" s="5"/>
      <c r="R6" s="22">
        <f>IF(OR(J6="",L6="Vollständig",L6="Nicht anwendbar"),"",MAX(0,TODAY()-J6))</f>
        <v/>
      </c>
      <c r="S6" s="5"/>
    </row>
    <row r="7" spans="1:19" ht="58" customHeight="1">
      <c r="A7" s="6" t="s">
        <v>1400</v>
      </c>
      <c r="B7" s="6" t="s">
        <v>150</v>
      </c>
      <c r="C7" s="6" t="s">
        <v>170</v>
      </c>
      <c r="D7" s="6" t="s">
        <v>1397</v>
      </c>
      <c r="E7" s="6" t="s">
        <v>169</v>
      </c>
      <c r="F7" s="6" t="s">
        <v>9</v>
      </c>
      <c r="G7" s="6" t="s">
        <v>19</v>
      </c>
      <c r="H7" s="6" t="s">
        <v>1398</v>
      </c>
      <c r="I7" s="7"/>
      <c r="J7" s="7"/>
      <c r="K7" s="7"/>
      <c r="L7" s="6" t="s">
        <v>23</v>
      </c>
      <c r="M7" s="6" t="s">
        <v>29</v>
      </c>
      <c r="N7" s="6" t="s">
        <v>53</v>
      </c>
      <c r="O7" s="5"/>
      <c r="P7" s="6" t="s">
        <v>167</v>
      </c>
      <c r="Q7" s="5"/>
      <c r="R7" s="22">
        <f>IF(OR(J7="",L7="Vollständig",L7="Nicht anwendbar"),"",MAX(0,TODAY()-J7))</f>
        <v/>
      </c>
      <c r="S7" s="5"/>
    </row>
    <row r="8" spans="1:19" ht="58" customHeight="1">
      <c r="A8" s="6" t="s">
        <v>1401</v>
      </c>
      <c r="B8" s="6" t="s">
        <v>150</v>
      </c>
      <c r="C8" s="6" t="s">
        <v>179</v>
      </c>
      <c r="D8" s="6" t="s">
        <v>1397</v>
      </c>
      <c r="E8" s="6" t="s">
        <v>178</v>
      </c>
      <c r="F8" s="6" t="s">
        <v>9</v>
      </c>
      <c r="G8" s="6" t="s">
        <v>19</v>
      </c>
      <c r="H8" s="6" t="s">
        <v>1398</v>
      </c>
      <c r="I8" s="7"/>
      <c r="J8" s="7"/>
      <c r="K8" s="7"/>
      <c r="L8" s="6" t="s">
        <v>23</v>
      </c>
      <c r="M8" s="6" t="s">
        <v>29</v>
      </c>
      <c r="N8" s="6" t="s">
        <v>53</v>
      </c>
      <c r="O8" s="5"/>
      <c r="P8" s="6" t="s">
        <v>176</v>
      </c>
      <c r="Q8" s="5"/>
      <c r="R8" s="22">
        <f>IF(OR(J8="",L8="Vollständig",L8="Nicht anwendbar"),"",MAX(0,TODAY()-J8))</f>
        <v/>
      </c>
      <c r="S8" s="5"/>
    </row>
    <row r="9" spans="1:19" ht="58" customHeight="1">
      <c r="A9" s="6" t="s">
        <v>1402</v>
      </c>
      <c r="B9" s="6" t="s">
        <v>150</v>
      </c>
      <c r="C9" s="6" t="s">
        <v>188</v>
      </c>
      <c r="D9" s="6" t="s">
        <v>1397</v>
      </c>
      <c r="E9" s="6" t="s">
        <v>187</v>
      </c>
      <c r="F9" s="6" t="s">
        <v>8</v>
      </c>
      <c r="G9" s="6" t="s">
        <v>19</v>
      </c>
      <c r="H9" s="6" t="s">
        <v>1398</v>
      </c>
      <c r="I9" s="7"/>
      <c r="J9" s="7"/>
      <c r="K9" s="7"/>
      <c r="L9" s="6" t="s">
        <v>23</v>
      </c>
      <c r="M9" s="6" t="s">
        <v>29</v>
      </c>
      <c r="N9" s="6" t="s">
        <v>53</v>
      </c>
      <c r="O9" s="5"/>
      <c r="P9" s="6" t="s">
        <v>185</v>
      </c>
      <c r="Q9" s="5"/>
      <c r="R9" s="22">
        <f>IF(OR(J9="",L9="Vollständig",L9="Nicht anwendbar"),"",MAX(0,TODAY()-J9))</f>
        <v/>
      </c>
      <c r="S9" s="5"/>
    </row>
    <row r="10" spans="1:19" ht="58" customHeight="1">
      <c r="A10" s="6" t="s">
        <v>1403</v>
      </c>
      <c r="B10" s="6" t="s">
        <v>150</v>
      </c>
      <c r="C10" s="6" t="s">
        <v>197</v>
      </c>
      <c r="D10" s="6" t="s">
        <v>1397</v>
      </c>
      <c r="E10" s="6" t="s">
        <v>196</v>
      </c>
      <c r="F10" s="6" t="s">
        <v>9</v>
      </c>
      <c r="G10" s="6" t="s">
        <v>19</v>
      </c>
      <c r="H10" s="6" t="s">
        <v>1398</v>
      </c>
      <c r="I10" s="7"/>
      <c r="J10" s="7"/>
      <c r="K10" s="7"/>
      <c r="L10" s="6" t="s">
        <v>23</v>
      </c>
      <c r="M10" s="6" t="s">
        <v>29</v>
      </c>
      <c r="N10" s="6" t="s">
        <v>53</v>
      </c>
      <c r="O10" s="5"/>
      <c r="P10" s="6" t="s">
        <v>194</v>
      </c>
      <c r="Q10" s="5"/>
      <c r="R10" s="22">
        <f>IF(OR(J10="",L10="Vollständig",L10="Nicht anwendbar"),"",MAX(0,TODAY()-J10))</f>
        <v/>
      </c>
      <c r="S10" s="5"/>
    </row>
    <row r="11" spans="1:19" ht="58" customHeight="1">
      <c r="A11" s="6" t="s">
        <v>1404</v>
      </c>
      <c r="B11" s="6" t="s">
        <v>150</v>
      </c>
      <c r="C11" s="6" t="s">
        <v>205</v>
      </c>
      <c r="D11" s="6" t="s">
        <v>1397</v>
      </c>
      <c r="E11" s="6" t="s">
        <v>204</v>
      </c>
      <c r="F11" s="6" t="s">
        <v>9</v>
      </c>
      <c r="G11" s="6" t="s">
        <v>19</v>
      </c>
      <c r="H11" s="6" t="s">
        <v>1398</v>
      </c>
      <c r="I11" s="7"/>
      <c r="J11" s="7"/>
      <c r="K11" s="7"/>
      <c r="L11" s="6" t="s">
        <v>23</v>
      </c>
      <c r="M11" s="6" t="s">
        <v>29</v>
      </c>
      <c r="N11" s="6" t="s">
        <v>53</v>
      </c>
      <c r="O11" s="5"/>
      <c r="P11" s="6" t="s">
        <v>202</v>
      </c>
      <c r="Q11" s="5"/>
      <c r="R11" s="22">
        <f>IF(OR(J11="",L11="Vollständig",L11="Nicht anwendbar"),"",MAX(0,TODAY()-J11))</f>
        <v/>
      </c>
      <c r="S11" s="5"/>
    </row>
    <row r="12" spans="1:19" ht="58" customHeight="1">
      <c r="A12" s="6" t="s">
        <v>1405</v>
      </c>
      <c r="B12" s="6" t="s">
        <v>150</v>
      </c>
      <c r="C12" s="6" t="s">
        <v>213</v>
      </c>
      <c r="D12" s="6" t="s">
        <v>1397</v>
      </c>
      <c r="E12" s="6" t="s">
        <v>212</v>
      </c>
      <c r="F12" s="6" t="s">
        <v>8</v>
      </c>
      <c r="G12" s="6" t="s">
        <v>19</v>
      </c>
      <c r="H12" s="6" t="s">
        <v>1398</v>
      </c>
      <c r="I12" s="7"/>
      <c r="J12" s="7"/>
      <c r="K12" s="7"/>
      <c r="L12" s="6" t="s">
        <v>23</v>
      </c>
      <c r="M12" s="6" t="s">
        <v>29</v>
      </c>
      <c r="N12" s="6" t="s">
        <v>53</v>
      </c>
      <c r="O12" s="5"/>
      <c r="P12" s="6" t="s">
        <v>210</v>
      </c>
      <c r="Q12" s="5"/>
      <c r="R12" s="22">
        <f>IF(OR(J12="",L12="Vollständig",L12="Nicht anwendbar"),"",MAX(0,TODAY()-J12))</f>
        <v/>
      </c>
      <c r="S12" s="5"/>
    </row>
    <row r="13" spans="1:19" ht="58" customHeight="1">
      <c r="A13" s="6" t="s">
        <v>1406</v>
      </c>
      <c r="B13" s="6" t="s">
        <v>219</v>
      </c>
      <c r="C13" s="6" t="s">
        <v>222</v>
      </c>
      <c r="D13" s="6" t="s">
        <v>1397</v>
      </c>
      <c r="E13" s="6" t="s">
        <v>221</v>
      </c>
      <c r="F13" s="6" t="s">
        <v>8</v>
      </c>
      <c r="G13" s="6" t="s">
        <v>19</v>
      </c>
      <c r="H13" s="6" t="s">
        <v>1407</v>
      </c>
      <c r="I13" s="7"/>
      <c r="J13" s="7"/>
      <c r="K13" s="7"/>
      <c r="L13" s="6" t="s">
        <v>23</v>
      </c>
      <c r="M13" s="6" t="s">
        <v>29</v>
      </c>
      <c r="N13" s="6" t="s">
        <v>53</v>
      </c>
      <c r="O13" s="5"/>
      <c r="P13" s="6" t="s">
        <v>218</v>
      </c>
      <c r="Q13" s="5"/>
      <c r="R13" s="22">
        <f>IF(OR(J13="",L13="Vollständig",L13="Nicht anwendbar"),"",MAX(0,TODAY()-J13))</f>
        <v/>
      </c>
      <c r="S13" s="5"/>
    </row>
    <row r="14" spans="1:19" ht="58" customHeight="1">
      <c r="A14" s="6" t="s">
        <v>1408</v>
      </c>
      <c r="B14" s="6" t="s">
        <v>219</v>
      </c>
      <c r="C14" s="6" t="s">
        <v>230</v>
      </c>
      <c r="D14" s="6" t="s">
        <v>1397</v>
      </c>
      <c r="E14" s="6" t="s">
        <v>229</v>
      </c>
      <c r="F14" s="6" t="s">
        <v>8</v>
      </c>
      <c r="G14" s="6" t="s">
        <v>19</v>
      </c>
      <c r="H14" s="6" t="s">
        <v>1407</v>
      </c>
      <c r="I14" s="7"/>
      <c r="J14" s="7"/>
      <c r="K14" s="7"/>
      <c r="L14" s="6" t="s">
        <v>23</v>
      </c>
      <c r="M14" s="6" t="s">
        <v>29</v>
      </c>
      <c r="N14" s="6" t="s">
        <v>53</v>
      </c>
      <c r="O14" s="5"/>
      <c r="P14" s="6" t="s">
        <v>227</v>
      </c>
      <c r="Q14" s="5"/>
      <c r="R14" s="22">
        <f>IF(OR(J14="",L14="Vollständig",L14="Nicht anwendbar"),"",MAX(0,TODAY()-J14))</f>
        <v/>
      </c>
      <c r="S14" s="5"/>
    </row>
    <row r="15" spans="1:19" ht="58" customHeight="1">
      <c r="A15" s="6" t="s">
        <v>1409</v>
      </c>
      <c r="B15" s="6" t="s">
        <v>219</v>
      </c>
      <c r="C15" s="6" t="s">
        <v>238</v>
      </c>
      <c r="D15" s="6" t="s">
        <v>1397</v>
      </c>
      <c r="E15" s="6" t="s">
        <v>237</v>
      </c>
      <c r="F15" s="6" t="s">
        <v>8</v>
      </c>
      <c r="G15" s="6" t="s">
        <v>19</v>
      </c>
      <c r="H15" s="6" t="s">
        <v>1407</v>
      </c>
      <c r="I15" s="7"/>
      <c r="J15" s="7"/>
      <c r="K15" s="7"/>
      <c r="L15" s="6" t="s">
        <v>23</v>
      </c>
      <c r="M15" s="6" t="s">
        <v>29</v>
      </c>
      <c r="N15" s="6" t="s">
        <v>53</v>
      </c>
      <c r="O15" s="5"/>
      <c r="P15" s="6" t="s">
        <v>235</v>
      </c>
      <c r="Q15" s="5"/>
      <c r="R15" s="22">
        <f>IF(OR(J15="",L15="Vollständig",L15="Nicht anwendbar"),"",MAX(0,TODAY()-J15))</f>
        <v/>
      </c>
      <c r="S15" s="5"/>
    </row>
    <row r="16" spans="1:19" ht="58" customHeight="1">
      <c r="A16" s="6" t="s">
        <v>1410</v>
      </c>
      <c r="B16" s="6" t="s">
        <v>219</v>
      </c>
      <c r="C16" s="6" t="s">
        <v>246</v>
      </c>
      <c r="D16" s="6" t="s">
        <v>1397</v>
      </c>
      <c r="E16" s="6" t="s">
        <v>245</v>
      </c>
      <c r="F16" s="6" t="s">
        <v>9</v>
      </c>
      <c r="G16" s="6" t="s">
        <v>19</v>
      </c>
      <c r="H16" s="6" t="s">
        <v>1407</v>
      </c>
      <c r="I16" s="7"/>
      <c r="J16" s="7"/>
      <c r="K16" s="7"/>
      <c r="L16" s="6" t="s">
        <v>23</v>
      </c>
      <c r="M16" s="6" t="s">
        <v>29</v>
      </c>
      <c r="N16" s="6" t="s">
        <v>53</v>
      </c>
      <c r="O16" s="5"/>
      <c r="P16" s="6" t="s">
        <v>243</v>
      </c>
      <c r="Q16" s="5"/>
      <c r="R16" s="22">
        <f>IF(OR(J16="",L16="Vollständig",L16="Nicht anwendbar"),"",MAX(0,TODAY()-J16))</f>
        <v/>
      </c>
      <c r="S16" s="5"/>
    </row>
    <row r="17" spans="1:19" ht="58" customHeight="1">
      <c r="A17" s="6" t="s">
        <v>1411</v>
      </c>
      <c r="B17" s="6" t="s">
        <v>219</v>
      </c>
      <c r="C17" s="6" t="s">
        <v>254</v>
      </c>
      <c r="D17" s="6" t="s">
        <v>1397</v>
      </c>
      <c r="E17" s="6" t="s">
        <v>253</v>
      </c>
      <c r="F17" s="6" t="s">
        <v>8</v>
      </c>
      <c r="G17" s="6" t="s">
        <v>19</v>
      </c>
      <c r="H17" s="6" t="s">
        <v>1407</v>
      </c>
      <c r="I17" s="7"/>
      <c r="J17" s="7"/>
      <c r="K17" s="7"/>
      <c r="L17" s="6" t="s">
        <v>23</v>
      </c>
      <c r="M17" s="6" t="s">
        <v>29</v>
      </c>
      <c r="N17" s="6" t="s">
        <v>53</v>
      </c>
      <c r="O17" s="5"/>
      <c r="P17" s="6" t="s">
        <v>251</v>
      </c>
      <c r="Q17" s="5"/>
      <c r="R17" s="22">
        <f>IF(OR(J17="",L17="Vollständig",L17="Nicht anwendbar"),"",MAX(0,TODAY()-J17))</f>
        <v/>
      </c>
      <c r="S17" s="5"/>
    </row>
    <row r="18" spans="1:19" ht="58" customHeight="1">
      <c r="A18" s="6" t="s">
        <v>1412</v>
      </c>
      <c r="B18" s="6" t="s">
        <v>219</v>
      </c>
      <c r="C18" s="6" t="s">
        <v>262</v>
      </c>
      <c r="D18" s="6" t="s">
        <v>1397</v>
      </c>
      <c r="E18" s="6" t="s">
        <v>261</v>
      </c>
      <c r="F18" s="6" t="s">
        <v>9</v>
      </c>
      <c r="G18" s="6" t="s">
        <v>19</v>
      </c>
      <c r="H18" s="6" t="s">
        <v>1407</v>
      </c>
      <c r="I18" s="7"/>
      <c r="J18" s="7"/>
      <c r="K18" s="7"/>
      <c r="L18" s="6" t="s">
        <v>23</v>
      </c>
      <c r="M18" s="6" t="s">
        <v>29</v>
      </c>
      <c r="N18" s="6" t="s">
        <v>53</v>
      </c>
      <c r="O18" s="5"/>
      <c r="P18" s="6" t="s">
        <v>259</v>
      </c>
      <c r="Q18" s="5"/>
      <c r="R18" s="22">
        <f>IF(OR(J18="",L18="Vollständig",L18="Nicht anwendbar"),"",MAX(0,TODAY()-J18))</f>
        <v/>
      </c>
      <c r="S18" s="5"/>
    </row>
    <row r="19" spans="1:19" ht="58" customHeight="1">
      <c r="A19" s="6" t="s">
        <v>1413</v>
      </c>
      <c r="B19" s="6" t="s">
        <v>219</v>
      </c>
      <c r="C19" s="6" t="s">
        <v>270</v>
      </c>
      <c r="D19" s="6" t="s">
        <v>1397</v>
      </c>
      <c r="E19" s="6" t="s">
        <v>269</v>
      </c>
      <c r="F19" s="6" t="s">
        <v>8</v>
      </c>
      <c r="G19" s="6" t="s">
        <v>19</v>
      </c>
      <c r="H19" s="6" t="s">
        <v>1407</v>
      </c>
      <c r="I19" s="7"/>
      <c r="J19" s="7"/>
      <c r="K19" s="7"/>
      <c r="L19" s="6" t="s">
        <v>23</v>
      </c>
      <c r="M19" s="6" t="s">
        <v>29</v>
      </c>
      <c r="N19" s="6" t="s">
        <v>53</v>
      </c>
      <c r="O19" s="5"/>
      <c r="P19" s="6" t="s">
        <v>267</v>
      </c>
      <c r="Q19" s="5"/>
      <c r="R19" s="22">
        <f>IF(OR(J19="",L19="Vollständig",L19="Nicht anwendbar"),"",MAX(0,TODAY()-J19))</f>
        <v/>
      </c>
      <c r="S19" s="5"/>
    </row>
    <row r="20" spans="1:19" ht="58" customHeight="1">
      <c r="A20" s="6" t="s">
        <v>1414</v>
      </c>
      <c r="B20" s="6" t="s">
        <v>219</v>
      </c>
      <c r="C20" s="6" t="s">
        <v>278</v>
      </c>
      <c r="D20" s="6" t="s">
        <v>1397</v>
      </c>
      <c r="E20" s="6" t="s">
        <v>277</v>
      </c>
      <c r="F20" s="6" t="s">
        <v>9</v>
      </c>
      <c r="G20" s="6" t="s">
        <v>19</v>
      </c>
      <c r="H20" s="6" t="s">
        <v>1407</v>
      </c>
      <c r="I20" s="7"/>
      <c r="J20" s="7"/>
      <c r="K20" s="7"/>
      <c r="L20" s="6" t="s">
        <v>23</v>
      </c>
      <c r="M20" s="6" t="s">
        <v>29</v>
      </c>
      <c r="N20" s="6" t="s">
        <v>53</v>
      </c>
      <c r="O20" s="5"/>
      <c r="P20" s="6" t="s">
        <v>275</v>
      </c>
      <c r="Q20" s="5"/>
      <c r="R20" s="22">
        <f>IF(OR(J20="",L20="Vollständig",L20="Nicht anwendbar"),"",MAX(0,TODAY()-J20))</f>
        <v/>
      </c>
      <c r="S20" s="5"/>
    </row>
    <row r="21" spans="1:19" ht="58" customHeight="1">
      <c r="A21" s="6" t="s">
        <v>1415</v>
      </c>
      <c r="B21" s="6" t="s">
        <v>219</v>
      </c>
      <c r="C21" s="6" t="s">
        <v>286</v>
      </c>
      <c r="D21" s="6" t="s">
        <v>1397</v>
      </c>
      <c r="E21" s="6" t="s">
        <v>285</v>
      </c>
      <c r="F21" s="6" t="s">
        <v>9</v>
      </c>
      <c r="G21" s="6" t="s">
        <v>19</v>
      </c>
      <c r="H21" s="6" t="s">
        <v>1407</v>
      </c>
      <c r="I21" s="7"/>
      <c r="J21" s="7"/>
      <c r="K21" s="7"/>
      <c r="L21" s="6" t="s">
        <v>23</v>
      </c>
      <c r="M21" s="6" t="s">
        <v>29</v>
      </c>
      <c r="N21" s="6" t="s">
        <v>53</v>
      </c>
      <c r="O21" s="5"/>
      <c r="P21" s="6" t="s">
        <v>283</v>
      </c>
      <c r="Q21" s="5"/>
      <c r="R21" s="22">
        <f>IF(OR(J21="",L21="Vollständig",L21="Nicht anwendbar"),"",MAX(0,TODAY()-J21))</f>
        <v/>
      </c>
      <c r="S21" s="5"/>
    </row>
    <row r="22" spans="1:19" ht="58" customHeight="1">
      <c r="A22" s="6" t="s">
        <v>1416</v>
      </c>
      <c r="B22" s="6" t="s">
        <v>292</v>
      </c>
      <c r="C22" s="6" t="s">
        <v>295</v>
      </c>
      <c r="D22" s="6" t="s">
        <v>1417</v>
      </c>
      <c r="E22" s="6" t="s">
        <v>294</v>
      </c>
      <c r="F22" s="6" t="s">
        <v>8</v>
      </c>
      <c r="G22" s="6" t="s">
        <v>19</v>
      </c>
      <c r="H22" s="6" t="s">
        <v>1418</v>
      </c>
      <c r="I22" s="7"/>
      <c r="J22" s="7"/>
      <c r="K22" s="7"/>
      <c r="L22" s="6" t="s">
        <v>23</v>
      </c>
      <c r="M22" s="6" t="s">
        <v>29</v>
      </c>
      <c r="N22" s="6" t="s">
        <v>53</v>
      </c>
      <c r="O22" s="5"/>
      <c r="P22" s="6" t="s">
        <v>291</v>
      </c>
      <c r="Q22" s="5"/>
      <c r="R22" s="22">
        <f>IF(OR(J22="",L22="Vollständig",L22="Nicht anwendbar"),"",MAX(0,TODAY()-J22))</f>
        <v/>
      </c>
      <c r="S22" s="5"/>
    </row>
    <row r="23" spans="1:19" ht="58" customHeight="1">
      <c r="A23" s="6" t="s">
        <v>1419</v>
      </c>
      <c r="B23" s="6" t="s">
        <v>292</v>
      </c>
      <c r="C23" s="6" t="s">
        <v>303</v>
      </c>
      <c r="D23" s="6" t="s">
        <v>1417</v>
      </c>
      <c r="E23" s="6" t="s">
        <v>302</v>
      </c>
      <c r="F23" s="6" t="s">
        <v>9</v>
      </c>
      <c r="G23" s="6" t="s">
        <v>19</v>
      </c>
      <c r="H23" s="6" t="s">
        <v>1418</v>
      </c>
      <c r="I23" s="7"/>
      <c r="J23" s="7"/>
      <c r="K23" s="7"/>
      <c r="L23" s="6" t="s">
        <v>23</v>
      </c>
      <c r="M23" s="6" t="s">
        <v>29</v>
      </c>
      <c r="N23" s="6" t="s">
        <v>53</v>
      </c>
      <c r="O23" s="5"/>
      <c r="P23" s="6" t="s">
        <v>300</v>
      </c>
      <c r="Q23" s="5"/>
      <c r="R23" s="22">
        <f>IF(OR(J23="",L23="Vollständig",L23="Nicht anwendbar"),"",MAX(0,TODAY()-J23))</f>
        <v/>
      </c>
      <c r="S23" s="5"/>
    </row>
    <row r="24" spans="1:19" ht="58" customHeight="1">
      <c r="A24" s="6" t="s">
        <v>1420</v>
      </c>
      <c r="B24" s="6" t="s">
        <v>292</v>
      </c>
      <c r="C24" s="6" t="s">
        <v>311</v>
      </c>
      <c r="D24" s="6" t="s">
        <v>1417</v>
      </c>
      <c r="E24" s="6" t="s">
        <v>310</v>
      </c>
      <c r="F24" s="6" t="s">
        <v>8</v>
      </c>
      <c r="G24" s="6" t="s">
        <v>19</v>
      </c>
      <c r="H24" s="6" t="s">
        <v>1418</v>
      </c>
      <c r="I24" s="7"/>
      <c r="J24" s="7"/>
      <c r="K24" s="7"/>
      <c r="L24" s="6" t="s">
        <v>23</v>
      </c>
      <c r="M24" s="6" t="s">
        <v>29</v>
      </c>
      <c r="N24" s="6" t="s">
        <v>53</v>
      </c>
      <c r="O24" s="5"/>
      <c r="P24" s="6" t="s">
        <v>308</v>
      </c>
      <c r="Q24" s="5"/>
      <c r="R24" s="22">
        <f>IF(OR(J24="",L24="Vollständig",L24="Nicht anwendbar"),"",MAX(0,TODAY()-J24))</f>
        <v/>
      </c>
      <c r="S24" s="5"/>
    </row>
    <row r="25" spans="1:19" ht="58" customHeight="1">
      <c r="A25" s="6" t="s">
        <v>1421</v>
      </c>
      <c r="B25" s="6" t="s">
        <v>292</v>
      </c>
      <c r="C25" s="6" t="s">
        <v>319</v>
      </c>
      <c r="D25" s="6" t="s">
        <v>1417</v>
      </c>
      <c r="E25" s="6" t="s">
        <v>318</v>
      </c>
      <c r="F25" s="6" t="s">
        <v>8</v>
      </c>
      <c r="G25" s="6" t="s">
        <v>19</v>
      </c>
      <c r="H25" s="6" t="s">
        <v>1418</v>
      </c>
      <c r="I25" s="7"/>
      <c r="J25" s="7"/>
      <c r="K25" s="7"/>
      <c r="L25" s="6" t="s">
        <v>23</v>
      </c>
      <c r="M25" s="6" t="s">
        <v>29</v>
      </c>
      <c r="N25" s="6" t="s">
        <v>53</v>
      </c>
      <c r="O25" s="5"/>
      <c r="P25" s="6" t="s">
        <v>316</v>
      </c>
      <c r="Q25" s="5"/>
      <c r="R25" s="22">
        <f>IF(OR(J25="",L25="Vollständig",L25="Nicht anwendbar"),"",MAX(0,TODAY()-J25))</f>
        <v/>
      </c>
      <c r="S25" s="5"/>
    </row>
    <row r="26" spans="1:19" ht="58" customHeight="1">
      <c r="A26" s="6" t="s">
        <v>1422</v>
      </c>
      <c r="B26" s="6" t="s">
        <v>292</v>
      </c>
      <c r="C26" s="6" t="s">
        <v>327</v>
      </c>
      <c r="D26" s="6" t="s">
        <v>1417</v>
      </c>
      <c r="E26" s="6" t="s">
        <v>326</v>
      </c>
      <c r="F26" s="6" t="s">
        <v>8</v>
      </c>
      <c r="G26" s="6" t="s">
        <v>19</v>
      </c>
      <c r="H26" s="6" t="s">
        <v>1418</v>
      </c>
      <c r="I26" s="7"/>
      <c r="J26" s="7"/>
      <c r="K26" s="7"/>
      <c r="L26" s="6" t="s">
        <v>23</v>
      </c>
      <c r="M26" s="6" t="s">
        <v>29</v>
      </c>
      <c r="N26" s="6" t="s">
        <v>53</v>
      </c>
      <c r="O26" s="5"/>
      <c r="P26" s="6" t="s">
        <v>324</v>
      </c>
      <c r="Q26" s="5"/>
      <c r="R26" s="22">
        <f>IF(OR(J26="",L26="Vollständig",L26="Nicht anwendbar"),"",MAX(0,TODAY()-J26))</f>
        <v/>
      </c>
      <c r="S26" s="5"/>
    </row>
    <row r="27" spans="1:19" ht="58" customHeight="1">
      <c r="A27" s="6" t="s">
        <v>1423</v>
      </c>
      <c r="B27" s="6" t="s">
        <v>292</v>
      </c>
      <c r="C27" s="6" t="s">
        <v>335</v>
      </c>
      <c r="D27" s="6" t="s">
        <v>1417</v>
      </c>
      <c r="E27" s="6" t="s">
        <v>334</v>
      </c>
      <c r="F27" s="6" t="s">
        <v>9</v>
      </c>
      <c r="G27" s="6" t="s">
        <v>19</v>
      </c>
      <c r="H27" s="6" t="s">
        <v>1418</v>
      </c>
      <c r="I27" s="7"/>
      <c r="J27" s="7"/>
      <c r="K27" s="7"/>
      <c r="L27" s="6" t="s">
        <v>23</v>
      </c>
      <c r="M27" s="6" t="s">
        <v>29</v>
      </c>
      <c r="N27" s="6" t="s">
        <v>53</v>
      </c>
      <c r="O27" s="5"/>
      <c r="P27" s="6" t="s">
        <v>332</v>
      </c>
      <c r="Q27" s="5"/>
      <c r="R27" s="22">
        <f>IF(OR(J27="",L27="Vollständig",L27="Nicht anwendbar"),"",MAX(0,TODAY()-J27))</f>
        <v/>
      </c>
      <c r="S27" s="5"/>
    </row>
    <row r="28" spans="1:19" ht="58" customHeight="1">
      <c r="A28" s="6" t="s">
        <v>1424</v>
      </c>
      <c r="B28" s="6" t="s">
        <v>292</v>
      </c>
      <c r="C28" s="6" t="s">
        <v>343</v>
      </c>
      <c r="D28" s="6" t="s">
        <v>1417</v>
      </c>
      <c r="E28" s="6" t="s">
        <v>342</v>
      </c>
      <c r="F28" s="6" t="s">
        <v>8</v>
      </c>
      <c r="G28" s="6" t="s">
        <v>19</v>
      </c>
      <c r="H28" s="6" t="s">
        <v>1418</v>
      </c>
      <c r="I28" s="7"/>
      <c r="J28" s="7"/>
      <c r="K28" s="7"/>
      <c r="L28" s="6" t="s">
        <v>23</v>
      </c>
      <c r="M28" s="6" t="s">
        <v>29</v>
      </c>
      <c r="N28" s="6" t="s">
        <v>53</v>
      </c>
      <c r="O28" s="5"/>
      <c r="P28" s="6" t="s">
        <v>340</v>
      </c>
      <c r="Q28" s="5"/>
      <c r="R28" s="22">
        <f>IF(OR(J28="",L28="Vollständig",L28="Nicht anwendbar"),"",MAX(0,TODAY()-J28))</f>
        <v/>
      </c>
      <c r="S28" s="5"/>
    </row>
    <row r="29" spans="1:19" ht="58" customHeight="1">
      <c r="A29" s="6" t="s">
        <v>1425</v>
      </c>
      <c r="B29" s="6" t="s">
        <v>292</v>
      </c>
      <c r="C29" s="6" t="s">
        <v>351</v>
      </c>
      <c r="D29" s="6" t="s">
        <v>1417</v>
      </c>
      <c r="E29" s="6" t="s">
        <v>350</v>
      </c>
      <c r="F29" s="6" t="s">
        <v>8</v>
      </c>
      <c r="G29" s="6" t="s">
        <v>19</v>
      </c>
      <c r="H29" s="6" t="s">
        <v>1418</v>
      </c>
      <c r="I29" s="7"/>
      <c r="J29" s="7"/>
      <c r="K29" s="7"/>
      <c r="L29" s="6" t="s">
        <v>23</v>
      </c>
      <c r="M29" s="6" t="s">
        <v>29</v>
      </c>
      <c r="N29" s="6" t="s">
        <v>53</v>
      </c>
      <c r="O29" s="5"/>
      <c r="P29" s="6" t="s">
        <v>348</v>
      </c>
      <c r="Q29" s="5"/>
      <c r="R29" s="22">
        <f>IF(OR(J29="",L29="Vollständig",L29="Nicht anwendbar"),"",MAX(0,TODAY()-J29))</f>
        <v/>
      </c>
      <c r="S29" s="5"/>
    </row>
    <row r="30" spans="1:19" ht="58" customHeight="1">
      <c r="A30" s="6" t="s">
        <v>1426</v>
      </c>
      <c r="B30" s="6" t="s">
        <v>292</v>
      </c>
      <c r="C30" s="6" t="s">
        <v>359</v>
      </c>
      <c r="D30" s="6" t="s">
        <v>1417</v>
      </c>
      <c r="E30" s="6" t="s">
        <v>358</v>
      </c>
      <c r="F30" s="6" t="s">
        <v>8</v>
      </c>
      <c r="G30" s="6" t="s">
        <v>19</v>
      </c>
      <c r="H30" s="6" t="s">
        <v>1418</v>
      </c>
      <c r="I30" s="7"/>
      <c r="J30" s="7"/>
      <c r="K30" s="7"/>
      <c r="L30" s="6" t="s">
        <v>23</v>
      </c>
      <c r="M30" s="6" t="s">
        <v>29</v>
      </c>
      <c r="N30" s="6" t="s">
        <v>53</v>
      </c>
      <c r="O30" s="5"/>
      <c r="P30" s="6" t="s">
        <v>356</v>
      </c>
      <c r="Q30" s="5"/>
      <c r="R30" s="22">
        <f>IF(OR(J30="",L30="Vollständig",L30="Nicht anwendbar"),"",MAX(0,TODAY()-J30))</f>
        <v/>
      </c>
      <c r="S30" s="5"/>
    </row>
    <row r="31" spans="1:19" ht="58" customHeight="1">
      <c r="A31" s="6" t="s">
        <v>1427</v>
      </c>
      <c r="B31" s="6" t="s">
        <v>292</v>
      </c>
      <c r="C31" s="6" t="s">
        <v>367</v>
      </c>
      <c r="D31" s="6" t="s">
        <v>1417</v>
      </c>
      <c r="E31" s="6" t="s">
        <v>366</v>
      </c>
      <c r="F31" s="6" t="s">
        <v>9</v>
      </c>
      <c r="G31" s="6" t="s">
        <v>19</v>
      </c>
      <c r="H31" s="6" t="s">
        <v>1418</v>
      </c>
      <c r="I31" s="7"/>
      <c r="J31" s="7"/>
      <c r="K31" s="7"/>
      <c r="L31" s="6" t="s">
        <v>23</v>
      </c>
      <c r="M31" s="6" t="s">
        <v>29</v>
      </c>
      <c r="N31" s="6" t="s">
        <v>53</v>
      </c>
      <c r="O31" s="5"/>
      <c r="P31" s="6" t="s">
        <v>364</v>
      </c>
      <c r="Q31" s="5"/>
      <c r="R31" s="22">
        <f>IF(OR(J31="",L31="Vollständig",L31="Nicht anwendbar"),"",MAX(0,TODAY()-J31))</f>
        <v/>
      </c>
      <c r="S31" s="5"/>
    </row>
    <row r="32" spans="1:19" ht="58" customHeight="1">
      <c r="A32" s="6" t="s">
        <v>1428</v>
      </c>
      <c r="B32" s="6" t="s">
        <v>292</v>
      </c>
      <c r="C32" s="6" t="s">
        <v>375</v>
      </c>
      <c r="D32" s="6" t="s">
        <v>1417</v>
      </c>
      <c r="E32" s="6" t="s">
        <v>374</v>
      </c>
      <c r="F32" s="6" t="s">
        <v>8</v>
      </c>
      <c r="G32" s="6" t="s">
        <v>19</v>
      </c>
      <c r="H32" s="6" t="s">
        <v>1418</v>
      </c>
      <c r="I32" s="7"/>
      <c r="J32" s="7"/>
      <c r="K32" s="7"/>
      <c r="L32" s="6" t="s">
        <v>23</v>
      </c>
      <c r="M32" s="6" t="s">
        <v>29</v>
      </c>
      <c r="N32" s="6" t="s">
        <v>53</v>
      </c>
      <c r="O32" s="5"/>
      <c r="P32" s="6" t="s">
        <v>372</v>
      </c>
      <c r="Q32" s="5"/>
      <c r="R32" s="22">
        <f>IF(OR(J32="",L32="Vollständig",L32="Nicht anwendbar"),"",MAX(0,TODAY()-J32))</f>
        <v/>
      </c>
      <c r="S32" s="5"/>
    </row>
    <row r="33" spans="1:19" ht="58" customHeight="1">
      <c r="A33" s="6" t="s">
        <v>1429</v>
      </c>
      <c r="B33" s="6" t="s">
        <v>292</v>
      </c>
      <c r="C33" s="6" t="s">
        <v>383</v>
      </c>
      <c r="D33" s="6" t="s">
        <v>1417</v>
      </c>
      <c r="E33" s="6" t="s">
        <v>382</v>
      </c>
      <c r="F33" s="6" t="s">
        <v>9</v>
      </c>
      <c r="G33" s="6" t="s">
        <v>19</v>
      </c>
      <c r="H33" s="6" t="s">
        <v>1418</v>
      </c>
      <c r="I33" s="7"/>
      <c r="J33" s="7"/>
      <c r="K33" s="7"/>
      <c r="L33" s="6" t="s">
        <v>23</v>
      </c>
      <c r="M33" s="6" t="s">
        <v>29</v>
      </c>
      <c r="N33" s="6" t="s">
        <v>53</v>
      </c>
      <c r="O33" s="5"/>
      <c r="P33" s="6" t="s">
        <v>380</v>
      </c>
      <c r="Q33" s="5"/>
      <c r="R33" s="22">
        <f>IF(OR(J33="",L33="Vollständig",L33="Nicht anwendbar"),"",MAX(0,TODAY()-J33))</f>
        <v/>
      </c>
      <c r="S33" s="5"/>
    </row>
    <row r="34" spans="1:19" ht="58" customHeight="1">
      <c r="A34" s="6" t="s">
        <v>1430</v>
      </c>
      <c r="B34" s="6" t="s">
        <v>292</v>
      </c>
      <c r="C34" s="6" t="s">
        <v>391</v>
      </c>
      <c r="D34" s="6" t="s">
        <v>1417</v>
      </c>
      <c r="E34" s="6" t="s">
        <v>390</v>
      </c>
      <c r="F34" s="6" t="s">
        <v>8</v>
      </c>
      <c r="G34" s="6" t="s">
        <v>19</v>
      </c>
      <c r="H34" s="6" t="s">
        <v>1418</v>
      </c>
      <c r="I34" s="7"/>
      <c r="J34" s="7"/>
      <c r="K34" s="7"/>
      <c r="L34" s="6" t="s">
        <v>23</v>
      </c>
      <c r="M34" s="6" t="s">
        <v>29</v>
      </c>
      <c r="N34" s="6" t="s">
        <v>53</v>
      </c>
      <c r="O34" s="5"/>
      <c r="P34" s="6" t="s">
        <v>388</v>
      </c>
      <c r="Q34" s="5"/>
      <c r="R34" s="22">
        <f>IF(OR(J34="",L34="Vollständig",L34="Nicht anwendbar"),"",MAX(0,TODAY()-J34))</f>
        <v/>
      </c>
      <c r="S34" s="5"/>
    </row>
    <row r="35" spans="1:19" ht="58" customHeight="1">
      <c r="A35" s="6" t="s">
        <v>1431</v>
      </c>
      <c r="B35" s="6" t="s">
        <v>292</v>
      </c>
      <c r="C35" s="6" t="s">
        <v>399</v>
      </c>
      <c r="D35" s="6" t="s">
        <v>1417</v>
      </c>
      <c r="E35" s="6" t="s">
        <v>398</v>
      </c>
      <c r="F35" s="6" t="s">
        <v>9</v>
      </c>
      <c r="G35" s="6" t="s">
        <v>19</v>
      </c>
      <c r="H35" s="6" t="s">
        <v>1418</v>
      </c>
      <c r="I35" s="7"/>
      <c r="J35" s="7"/>
      <c r="K35" s="7"/>
      <c r="L35" s="6" t="s">
        <v>23</v>
      </c>
      <c r="M35" s="6" t="s">
        <v>29</v>
      </c>
      <c r="N35" s="6" t="s">
        <v>53</v>
      </c>
      <c r="O35" s="5"/>
      <c r="P35" s="6" t="s">
        <v>396</v>
      </c>
      <c r="Q35" s="5"/>
      <c r="R35" s="22">
        <f>IF(OR(J35="",L35="Vollständig",L35="Nicht anwendbar"),"",MAX(0,TODAY()-J35))</f>
        <v/>
      </c>
      <c r="S35" s="5"/>
    </row>
    <row r="36" spans="1:19" ht="58" customHeight="1">
      <c r="A36" s="6" t="s">
        <v>1432</v>
      </c>
      <c r="B36" s="6" t="s">
        <v>292</v>
      </c>
      <c r="C36" s="6" t="s">
        <v>407</v>
      </c>
      <c r="D36" s="6" t="s">
        <v>1417</v>
      </c>
      <c r="E36" s="6" t="s">
        <v>406</v>
      </c>
      <c r="F36" s="6" t="s">
        <v>8</v>
      </c>
      <c r="G36" s="6" t="s">
        <v>19</v>
      </c>
      <c r="H36" s="6" t="s">
        <v>1418</v>
      </c>
      <c r="I36" s="7"/>
      <c r="J36" s="7"/>
      <c r="K36" s="7"/>
      <c r="L36" s="6" t="s">
        <v>23</v>
      </c>
      <c r="M36" s="6" t="s">
        <v>29</v>
      </c>
      <c r="N36" s="6" t="s">
        <v>53</v>
      </c>
      <c r="O36" s="5"/>
      <c r="P36" s="6" t="s">
        <v>404</v>
      </c>
      <c r="Q36" s="5"/>
      <c r="R36" s="22">
        <f>IF(OR(J36="",L36="Vollständig",L36="Nicht anwendbar"),"",MAX(0,TODAY()-J36))</f>
        <v/>
      </c>
      <c r="S36" s="5"/>
    </row>
    <row r="37" spans="1:19" ht="58" customHeight="1">
      <c r="A37" s="6" t="s">
        <v>1433</v>
      </c>
      <c r="B37" s="6" t="s">
        <v>292</v>
      </c>
      <c r="C37" s="6" t="s">
        <v>415</v>
      </c>
      <c r="D37" s="6" t="s">
        <v>1417</v>
      </c>
      <c r="E37" s="6" t="s">
        <v>414</v>
      </c>
      <c r="F37" s="6" t="s">
        <v>9</v>
      </c>
      <c r="G37" s="6" t="s">
        <v>19</v>
      </c>
      <c r="H37" s="6" t="s">
        <v>1418</v>
      </c>
      <c r="I37" s="7"/>
      <c r="J37" s="7"/>
      <c r="K37" s="7"/>
      <c r="L37" s="6" t="s">
        <v>23</v>
      </c>
      <c r="M37" s="6" t="s">
        <v>29</v>
      </c>
      <c r="N37" s="6" t="s">
        <v>53</v>
      </c>
      <c r="O37" s="5"/>
      <c r="P37" s="6" t="s">
        <v>412</v>
      </c>
      <c r="Q37" s="5"/>
      <c r="R37" s="22">
        <f>IF(OR(J37="",L37="Vollständig",L37="Nicht anwendbar"),"",MAX(0,TODAY()-J37))</f>
        <v/>
      </c>
      <c r="S37" s="5"/>
    </row>
    <row r="38" spans="1:19" ht="58" customHeight="1">
      <c r="A38" s="6" t="s">
        <v>1434</v>
      </c>
      <c r="B38" s="6" t="s">
        <v>421</v>
      </c>
      <c r="C38" s="6" t="s">
        <v>424</v>
      </c>
      <c r="D38" s="6" t="s">
        <v>1417</v>
      </c>
      <c r="E38" s="6" t="s">
        <v>423</v>
      </c>
      <c r="F38" s="6" t="s">
        <v>9</v>
      </c>
      <c r="G38" s="6" t="s">
        <v>19</v>
      </c>
      <c r="H38" s="6" t="s">
        <v>1435</v>
      </c>
      <c r="I38" s="7"/>
      <c r="J38" s="7"/>
      <c r="K38" s="7"/>
      <c r="L38" s="6" t="s">
        <v>23</v>
      </c>
      <c r="M38" s="6" t="s">
        <v>29</v>
      </c>
      <c r="N38" s="6" t="s">
        <v>53</v>
      </c>
      <c r="O38" s="5"/>
      <c r="P38" s="6" t="s">
        <v>420</v>
      </c>
      <c r="Q38" s="5"/>
      <c r="R38" s="22">
        <f>IF(OR(J38="",L38="Vollständig",L38="Nicht anwendbar"),"",MAX(0,TODAY()-J38))</f>
        <v/>
      </c>
      <c r="S38" s="5"/>
    </row>
    <row r="39" spans="1:19" ht="58" customHeight="1">
      <c r="A39" s="6" t="s">
        <v>1436</v>
      </c>
      <c r="B39" s="6" t="s">
        <v>421</v>
      </c>
      <c r="C39" s="6" t="s">
        <v>432</v>
      </c>
      <c r="D39" s="6" t="s">
        <v>1417</v>
      </c>
      <c r="E39" s="6" t="s">
        <v>431</v>
      </c>
      <c r="F39" s="6" t="s">
        <v>9</v>
      </c>
      <c r="G39" s="6" t="s">
        <v>19</v>
      </c>
      <c r="H39" s="6" t="s">
        <v>1435</v>
      </c>
      <c r="I39" s="7"/>
      <c r="J39" s="7"/>
      <c r="K39" s="7"/>
      <c r="L39" s="6" t="s">
        <v>23</v>
      </c>
      <c r="M39" s="6" t="s">
        <v>29</v>
      </c>
      <c r="N39" s="6" t="s">
        <v>53</v>
      </c>
      <c r="O39" s="5"/>
      <c r="P39" s="6" t="s">
        <v>429</v>
      </c>
      <c r="Q39" s="5"/>
      <c r="R39" s="22">
        <f>IF(OR(J39="",L39="Vollständig",L39="Nicht anwendbar"),"",MAX(0,TODAY()-J39))</f>
        <v/>
      </c>
      <c r="S39" s="5"/>
    </row>
    <row r="40" spans="1:19" ht="58" customHeight="1">
      <c r="A40" s="6" t="s">
        <v>1437</v>
      </c>
      <c r="B40" s="6" t="s">
        <v>421</v>
      </c>
      <c r="C40" s="6" t="s">
        <v>439</v>
      </c>
      <c r="D40" s="6" t="s">
        <v>1417</v>
      </c>
      <c r="E40" s="6" t="s">
        <v>438</v>
      </c>
      <c r="F40" s="6" t="s">
        <v>8</v>
      </c>
      <c r="G40" s="6" t="s">
        <v>19</v>
      </c>
      <c r="H40" s="6" t="s">
        <v>1435</v>
      </c>
      <c r="I40" s="7"/>
      <c r="J40" s="7"/>
      <c r="K40" s="7"/>
      <c r="L40" s="6" t="s">
        <v>23</v>
      </c>
      <c r="M40" s="6" t="s">
        <v>29</v>
      </c>
      <c r="N40" s="6" t="s">
        <v>53</v>
      </c>
      <c r="O40" s="5"/>
      <c r="P40" s="6" t="s">
        <v>436</v>
      </c>
      <c r="Q40" s="5"/>
      <c r="R40" s="22">
        <f>IF(OR(J40="",L40="Vollständig",L40="Nicht anwendbar"),"",MAX(0,TODAY()-J40))</f>
        <v/>
      </c>
      <c r="S40" s="5"/>
    </row>
    <row r="41" spans="1:19" ht="58" customHeight="1">
      <c r="A41" s="6" t="s">
        <v>1438</v>
      </c>
      <c r="B41" s="6" t="s">
        <v>421</v>
      </c>
      <c r="C41" s="6" t="s">
        <v>447</v>
      </c>
      <c r="D41" s="6" t="s">
        <v>1417</v>
      </c>
      <c r="E41" s="6" t="s">
        <v>446</v>
      </c>
      <c r="F41" s="6" t="s">
        <v>9</v>
      </c>
      <c r="G41" s="6" t="s">
        <v>19</v>
      </c>
      <c r="H41" s="6" t="s">
        <v>1435</v>
      </c>
      <c r="I41" s="7"/>
      <c r="J41" s="7"/>
      <c r="K41" s="7"/>
      <c r="L41" s="6" t="s">
        <v>23</v>
      </c>
      <c r="M41" s="6" t="s">
        <v>29</v>
      </c>
      <c r="N41" s="6" t="s">
        <v>53</v>
      </c>
      <c r="O41" s="5"/>
      <c r="P41" s="6" t="s">
        <v>444</v>
      </c>
      <c r="Q41" s="5"/>
      <c r="R41" s="22">
        <f>IF(OR(J41="",L41="Vollständig",L41="Nicht anwendbar"),"",MAX(0,TODAY()-J41))</f>
        <v/>
      </c>
      <c r="S41" s="5"/>
    </row>
    <row r="42" spans="1:19" ht="58" customHeight="1">
      <c r="A42" s="6" t="s">
        <v>1439</v>
      </c>
      <c r="B42" s="6" t="s">
        <v>421</v>
      </c>
      <c r="C42" s="6" t="s">
        <v>455</v>
      </c>
      <c r="D42" s="6" t="s">
        <v>1417</v>
      </c>
      <c r="E42" s="6" t="s">
        <v>454</v>
      </c>
      <c r="F42" s="6" t="s">
        <v>8</v>
      </c>
      <c r="G42" s="6" t="s">
        <v>19</v>
      </c>
      <c r="H42" s="6" t="s">
        <v>1435</v>
      </c>
      <c r="I42" s="7"/>
      <c r="J42" s="7"/>
      <c r="K42" s="7"/>
      <c r="L42" s="6" t="s">
        <v>23</v>
      </c>
      <c r="M42" s="6" t="s">
        <v>29</v>
      </c>
      <c r="N42" s="6" t="s">
        <v>53</v>
      </c>
      <c r="O42" s="5"/>
      <c r="P42" s="6" t="s">
        <v>452</v>
      </c>
      <c r="Q42" s="5"/>
      <c r="R42" s="22">
        <f>IF(OR(J42="",L42="Vollständig",L42="Nicht anwendbar"),"",MAX(0,TODAY()-J42))</f>
        <v/>
      </c>
      <c r="S42" s="5"/>
    </row>
    <row r="43" spans="1:19" ht="58" customHeight="1">
      <c r="A43" s="6" t="s">
        <v>1440</v>
      </c>
      <c r="B43" s="6" t="s">
        <v>421</v>
      </c>
      <c r="C43" s="6" t="s">
        <v>462</v>
      </c>
      <c r="D43" s="6" t="s">
        <v>1417</v>
      </c>
      <c r="E43" s="6" t="s">
        <v>461</v>
      </c>
      <c r="F43" s="6" t="s">
        <v>9</v>
      </c>
      <c r="G43" s="6" t="s">
        <v>19</v>
      </c>
      <c r="H43" s="6" t="s">
        <v>1435</v>
      </c>
      <c r="I43" s="7"/>
      <c r="J43" s="7"/>
      <c r="K43" s="7"/>
      <c r="L43" s="6" t="s">
        <v>23</v>
      </c>
      <c r="M43" s="6" t="s">
        <v>29</v>
      </c>
      <c r="N43" s="6" t="s">
        <v>53</v>
      </c>
      <c r="O43" s="5"/>
      <c r="P43" s="6" t="s">
        <v>459</v>
      </c>
      <c r="Q43" s="5"/>
      <c r="R43" s="22">
        <f>IF(OR(J43="",L43="Vollständig",L43="Nicht anwendbar"),"",MAX(0,TODAY()-J43))</f>
        <v/>
      </c>
      <c r="S43" s="5"/>
    </row>
    <row r="44" spans="1:19" ht="58" customHeight="1">
      <c r="A44" s="6" t="s">
        <v>1441</v>
      </c>
      <c r="B44" s="6" t="s">
        <v>421</v>
      </c>
      <c r="C44" s="6" t="s">
        <v>470</v>
      </c>
      <c r="D44" s="6" t="s">
        <v>1417</v>
      </c>
      <c r="E44" s="6" t="s">
        <v>469</v>
      </c>
      <c r="F44" s="6" t="s">
        <v>9</v>
      </c>
      <c r="G44" s="6" t="s">
        <v>19</v>
      </c>
      <c r="H44" s="6" t="s">
        <v>1435</v>
      </c>
      <c r="I44" s="7"/>
      <c r="J44" s="7"/>
      <c r="K44" s="7"/>
      <c r="L44" s="6" t="s">
        <v>23</v>
      </c>
      <c r="M44" s="6" t="s">
        <v>29</v>
      </c>
      <c r="N44" s="6" t="s">
        <v>53</v>
      </c>
      <c r="O44" s="5"/>
      <c r="P44" s="6" t="s">
        <v>467</v>
      </c>
      <c r="Q44" s="5"/>
      <c r="R44" s="22">
        <f>IF(OR(J44="",L44="Vollständig",L44="Nicht anwendbar"),"",MAX(0,TODAY()-J44))</f>
        <v/>
      </c>
      <c r="S44" s="5"/>
    </row>
    <row r="45" spans="1:19" ht="58" customHeight="1">
      <c r="A45" s="6" t="s">
        <v>1442</v>
      </c>
      <c r="B45" s="6" t="s">
        <v>421</v>
      </c>
      <c r="C45" s="6" t="s">
        <v>478</v>
      </c>
      <c r="D45" s="6" t="s">
        <v>1417</v>
      </c>
      <c r="E45" s="6" t="s">
        <v>477</v>
      </c>
      <c r="F45" s="6" t="s">
        <v>9</v>
      </c>
      <c r="G45" s="6" t="s">
        <v>19</v>
      </c>
      <c r="H45" s="6" t="s">
        <v>1435</v>
      </c>
      <c r="I45" s="7"/>
      <c r="J45" s="7"/>
      <c r="K45" s="7"/>
      <c r="L45" s="6" t="s">
        <v>23</v>
      </c>
      <c r="M45" s="6" t="s">
        <v>29</v>
      </c>
      <c r="N45" s="6" t="s">
        <v>53</v>
      </c>
      <c r="O45" s="5"/>
      <c r="P45" s="6" t="s">
        <v>475</v>
      </c>
      <c r="Q45" s="5"/>
      <c r="R45" s="22">
        <f>IF(OR(J45="",L45="Vollständig",L45="Nicht anwendbar"),"",MAX(0,TODAY()-J45))</f>
        <v/>
      </c>
      <c r="S45" s="5"/>
    </row>
    <row r="46" spans="1:19" ht="58" customHeight="1">
      <c r="A46" s="6" t="s">
        <v>1443</v>
      </c>
      <c r="B46" s="6" t="s">
        <v>421</v>
      </c>
      <c r="C46" s="6" t="s">
        <v>485</v>
      </c>
      <c r="D46" s="6" t="s">
        <v>1417</v>
      </c>
      <c r="E46" s="6" t="s">
        <v>484</v>
      </c>
      <c r="F46" s="6" t="s">
        <v>10</v>
      </c>
      <c r="G46" s="6" t="s">
        <v>21</v>
      </c>
      <c r="H46" s="6" t="s">
        <v>1435</v>
      </c>
      <c r="I46" s="7"/>
      <c r="J46" s="7"/>
      <c r="K46" s="7"/>
      <c r="L46" s="6" t="s">
        <v>23</v>
      </c>
      <c r="M46" s="6" t="s">
        <v>29</v>
      </c>
      <c r="N46" s="6" t="s">
        <v>53</v>
      </c>
      <c r="O46" s="5"/>
      <c r="P46" s="6" t="s">
        <v>482</v>
      </c>
      <c r="Q46" s="5"/>
      <c r="R46" s="22">
        <f>IF(OR(J46="",L46="Vollständig",L46="Nicht anwendbar"),"",MAX(0,TODAY()-J46))</f>
        <v/>
      </c>
      <c r="S46" s="5"/>
    </row>
    <row r="47" spans="1:19" ht="58" customHeight="1">
      <c r="A47" s="6" t="s">
        <v>1444</v>
      </c>
      <c r="B47" s="6" t="s">
        <v>421</v>
      </c>
      <c r="C47" s="6" t="s">
        <v>493</v>
      </c>
      <c r="D47" s="6" t="s">
        <v>1417</v>
      </c>
      <c r="E47" s="6" t="s">
        <v>492</v>
      </c>
      <c r="F47" s="6" t="s">
        <v>9</v>
      </c>
      <c r="G47" s="6" t="s">
        <v>19</v>
      </c>
      <c r="H47" s="6" t="s">
        <v>1435</v>
      </c>
      <c r="I47" s="7"/>
      <c r="J47" s="7"/>
      <c r="K47" s="7"/>
      <c r="L47" s="6" t="s">
        <v>23</v>
      </c>
      <c r="M47" s="6" t="s">
        <v>29</v>
      </c>
      <c r="N47" s="6" t="s">
        <v>53</v>
      </c>
      <c r="O47" s="5"/>
      <c r="P47" s="6" t="s">
        <v>490</v>
      </c>
      <c r="Q47" s="5"/>
      <c r="R47" s="22">
        <f>IF(OR(J47="",L47="Vollständig",L47="Nicht anwendbar"),"",MAX(0,TODAY()-J47))</f>
        <v/>
      </c>
      <c r="S47" s="5"/>
    </row>
    <row r="48" spans="1:19" ht="58" customHeight="1">
      <c r="A48" s="6" t="s">
        <v>1445</v>
      </c>
      <c r="B48" s="6" t="s">
        <v>499</v>
      </c>
      <c r="C48" s="6" t="s">
        <v>502</v>
      </c>
      <c r="D48" s="6" t="s">
        <v>1417</v>
      </c>
      <c r="E48" s="6" t="s">
        <v>501</v>
      </c>
      <c r="F48" s="6" t="s">
        <v>8</v>
      </c>
      <c r="G48" s="6" t="s">
        <v>19</v>
      </c>
      <c r="H48" s="6" t="s">
        <v>499</v>
      </c>
      <c r="I48" s="7"/>
      <c r="J48" s="7"/>
      <c r="K48" s="7"/>
      <c r="L48" s="6" t="s">
        <v>23</v>
      </c>
      <c r="M48" s="6" t="s">
        <v>29</v>
      </c>
      <c r="N48" s="6" t="s">
        <v>53</v>
      </c>
      <c r="O48" s="5"/>
      <c r="P48" s="6" t="s">
        <v>498</v>
      </c>
      <c r="Q48" s="5"/>
      <c r="R48" s="22">
        <f>IF(OR(J48="",L48="Vollständig",L48="Nicht anwendbar"),"",MAX(0,TODAY()-J48))</f>
        <v/>
      </c>
      <c r="S48" s="5"/>
    </row>
    <row r="49" spans="1:19" ht="58" customHeight="1">
      <c r="A49" s="6" t="s">
        <v>1446</v>
      </c>
      <c r="B49" s="6" t="s">
        <v>499</v>
      </c>
      <c r="C49" s="6" t="s">
        <v>510</v>
      </c>
      <c r="D49" s="6" t="s">
        <v>1417</v>
      </c>
      <c r="E49" s="6" t="s">
        <v>509</v>
      </c>
      <c r="F49" s="6" t="s">
        <v>8</v>
      </c>
      <c r="G49" s="6" t="s">
        <v>19</v>
      </c>
      <c r="H49" s="6" t="s">
        <v>499</v>
      </c>
      <c r="I49" s="7"/>
      <c r="J49" s="7"/>
      <c r="K49" s="7"/>
      <c r="L49" s="6" t="s">
        <v>23</v>
      </c>
      <c r="M49" s="6" t="s">
        <v>29</v>
      </c>
      <c r="N49" s="6" t="s">
        <v>53</v>
      </c>
      <c r="O49" s="5"/>
      <c r="P49" s="6" t="s">
        <v>507</v>
      </c>
      <c r="Q49" s="5"/>
      <c r="R49" s="22">
        <f>IF(OR(J49="",L49="Vollständig",L49="Nicht anwendbar"),"",MAX(0,TODAY()-J49))</f>
        <v/>
      </c>
      <c r="S49" s="5"/>
    </row>
    <row r="50" spans="1:19" ht="58" customHeight="1">
      <c r="A50" s="6" t="s">
        <v>1447</v>
      </c>
      <c r="B50" s="6" t="s">
        <v>499</v>
      </c>
      <c r="C50" s="6" t="s">
        <v>518</v>
      </c>
      <c r="D50" s="6" t="s">
        <v>1417</v>
      </c>
      <c r="E50" s="6" t="s">
        <v>517</v>
      </c>
      <c r="F50" s="6" t="s">
        <v>9</v>
      </c>
      <c r="G50" s="6" t="s">
        <v>19</v>
      </c>
      <c r="H50" s="6" t="s">
        <v>499</v>
      </c>
      <c r="I50" s="7"/>
      <c r="J50" s="7"/>
      <c r="K50" s="7"/>
      <c r="L50" s="6" t="s">
        <v>23</v>
      </c>
      <c r="M50" s="6" t="s">
        <v>29</v>
      </c>
      <c r="N50" s="6" t="s">
        <v>53</v>
      </c>
      <c r="O50" s="5"/>
      <c r="P50" s="6" t="s">
        <v>515</v>
      </c>
      <c r="Q50" s="5"/>
      <c r="R50" s="22">
        <f>IF(OR(J50="",L50="Vollständig",L50="Nicht anwendbar"),"",MAX(0,TODAY()-J50))</f>
        <v/>
      </c>
      <c r="S50" s="5"/>
    </row>
    <row r="51" spans="1:19" ht="58" customHeight="1">
      <c r="A51" s="6" t="s">
        <v>1448</v>
      </c>
      <c r="B51" s="6" t="s">
        <v>499</v>
      </c>
      <c r="C51" s="6" t="s">
        <v>526</v>
      </c>
      <c r="D51" s="6" t="s">
        <v>1417</v>
      </c>
      <c r="E51" s="6" t="s">
        <v>525</v>
      </c>
      <c r="F51" s="6" t="s">
        <v>8</v>
      </c>
      <c r="G51" s="6" t="s">
        <v>19</v>
      </c>
      <c r="H51" s="6" t="s">
        <v>499</v>
      </c>
      <c r="I51" s="7"/>
      <c r="J51" s="7"/>
      <c r="K51" s="7"/>
      <c r="L51" s="6" t="s">
        <v>23</v>
      </c>
      <c r="M51" s="6" t="s">
        <v>29</v>
      </c>
      <c r="N51" s="6" t="s">
        <v>53</v>
      </c>
      <c r="O51" s="5"/>
      <c r="P51" s="6" t="s">
        <v>523</v>
      </c>
      <c r="Q51" s="5"/>
      <c r="R51" s="22">
        <f>IF(OR(J51="",L51="Vollständig",L51="Nicht anwendbar"),"",MAX(0,TODAY()-J51))</f>
        <v/>
      </c>
      <c r="S51" s="5"/>
    </row>
    <row r="52" spans="1:19" ht="58" customHeight="1">
      <c r="A52" s="6" t="s">
        <v>1449</v>
      </c>
      <c r="B52" s="6" t="s">
        <v>499</v>
      </c>
      <c r="C52" s="6" t="s">
        <v>534</v>
      </c>
      <c r="D52" s="6" t="s">
        <v>1417</v>
      </c>
      <c r="E52" s="6" t="s">
        <v>533</v>
      </c>
      <c r="F52" s="6" t="s">
        <v>8</v>
      </c>
      <c r="G52" s="6" t="s">
        <v>19</v>
      </c>
      <c r="H52" s="6" t="s">
        <v>499</v>
      </c>
      <c r="I52" s="7"/>
      <c r="J52" s="7"/>
      <c r="K52" s="7"/>
      <c r="L52" s="6" t="s">
        <v>23</v>
      </c>
      <c r="M52" s="6" t="s">
        <v>29</v>
      </c>
      <c r="N52" s="6" t="s">
        <v>53</v>
      </c>
      <c r="O52" s="5"/>
      <c r="P52" s="6" t="s">
        <v>531</v>
      </c>
      <c r="Q52" s="5"/>
      <c r="R52" s="22">
        <f>IF(OR(J52="",L52="Vollständig",L52="Nicht anwendbar"),"",MAX(0,TODAY()-J52))</f>
        <v/>
      </c>
      <c r="S52" s="5"/>
    </row>
    <row r="53" spans="1:19" ht="58" customHeight="1">
      <c r="A53" s="6" t="s">
        <v>1450</v>
      </c>
      <c r="B53" s="6" t="s">
        <v>499</v>
      </c>
      <c r="C53" s="6" t="s">
        <v>541</v>
      </c>
      <c r="D53" s="6" t="s">
        <v>1417</v>
      </c>
      <c r="E53" s="6" t="s">
        <v>540</v>
      </c>
      <c r="F53" s="6" t="s">
        <v>8</v>
      </c>
      <c r="G53" s="6" t="s">
        <v>19</v>
      </c>
      <c r="H53" s="6" t="s">
        <v>499</v>
      </c>
      <c r="I53" s="7"/>
      <c r="J53" s="7"/>
      <c r="K53" s="7"/>
      <c r="L53" s="6" t="s">
        <v>23</v>
      </c>
      <c r="M53" s="6" t="s">
        <v>29</v>
      </c>
      <c r="N53" s="6" t="s">
        <v>53</v>
      </c>
      <c r="O53" s="5"/>
      <c r="P53" s="6" t="s">
        <v>538</v>
      </c>
      <c r="Q53" s="5"/>
      <c r="R53" s="22">
        <f>IF(OR(J53="",L53="Vollständig",L53="Nicht anwendbar"),"",MAX(0,TODAY()-J53))</f>
        <v/>
      </c>
      <c r="S53" s="5"/>
    </row>
    <row r="54" spans="1:19" ht="58" customHeight="1">
      <c r="A54" s="6" t="s">
        <v>1451</v>
      </c>
      <c r="B54" s="6" t="s">
        <v>499</v>
      </c>
      <c r="C54" s="6" t="s">
        <v>549</v>
      </c>
      <c r="D54" s="6" t="s">
        <v>1417</v>
      </c>
      <c r="E54" s="6" t="s">
        <v>548</v>
      </c>
      <c r="F54" s="6" t="s">
        <v>9</v>
      </c>
      <c r="G54" s="6" t="s">
        <v>19</v>
      </c>
      <c r="H54" s="6" t="s">
        <v>499</v>
      </c>
      <c r="I54" s="7"/>
      <c r="J54" s="7"/>
      <c r="K54" s="7"/>
      <c r="L54" s="6" t="s">
        <v>23</v>
      </c>
      <c r="M54" s="6" t="s">
        <v>29</v>
      </c>
      <c r="N54" s="6" t="s">
        <v>53</v>
      </c>
      <c r="O54" s="5"/>
      <c r="P54" s="6" t="s">
        <v>546</v>
      </c>
      <c r="Q54" s="5"/>
      <c r="R54" s="22">
        <f>IF(OR(J54="",L54="Vollständig",L54="Nicht anwendbar"),"",MAX(0,TODAY()-J54))</f>
        <v/>
      </c>
      <c r="S54" s="5"/>
    </row>
    <row r="55" spans="1:19" ht="58" customHeight="1">
      <c r="A55" s="6" t="s">
        <v>1452</v>
      </c>
      <c r="B55" s="6" t="s">
        <v>499</v>
      </c>
      <c r="C55" s="6" t="s">
        <v>557</v>
      </c>
      <c r="D55" s="6" t="s">
        <v>1417</v>
      </c>
      <c r="E55" s="6" t="s">
        <v>556</v>
      </c>
      <c r="F55" s="6" t="s">
        <v>9</v>
      </c>
      <c r="G55" s="6" t="s">
        <v>19</v>
      </c>
      <c r="H55" s="6" t="s">
        <v>499</v>
      </c>
      <c r="I55" s="7"/>
      <c r="J55" s="7"/>
      <c r="K55" s="7"/>
      <c r="L55" s="6" t="s">
        <v>23</v>
      </c>
      <c r="M55" s="6" t="s">
        <v>29</v>
      </c>
      <c r="N55" s="6" t="s">
        <v>53</v>
      </c>
      <c r="O55" s="5"/>
      <c r="P55" s="6" t="s">
        <v>554</v>
      </c>
      <c r="Q55" s="5"/>
      <c r="R55" s="22">
        <f>IF(OR(J55="",L55="Vollständig",L55="Nicht anwendbar"),"",MAX(0,TODAY()-J55))</f>
        <v/>
      </c>
      <c r="S55" s="5"/>
    </row>
    <row r="56" spans="1:19" ht="58" customHeight="1">
      <c r="A56" s="6" t="s">
        <v>1453</v>
      </c>
      <c r="B56" s="6" t="s">
        <v>499</v>
      </c>
      <c r="C56" s="6" t="s">
        <v>564</v>
      </c>
      <c r="D56" s="6" t="s">
        <v>1417</v>
      </c>
      <c r="E56" s="6" t="s">
        <v>563</v>
      </c>
      <c r="F56" s="6" t="s">
        <v>8</v>
      </c>
      <c r="G56" s="6" t="s">
        <v>19</v>
      </c>
      <c r="H56" s="6" t="s">
        <v>499</v>
      </c>
      <c r="I56" s="7"/>
      <c r="J56" s="7"/>
      <c r="K56" s="7"/>
      <c r="L56" s="6" t="s">
        <v>23</v>
      </c>
      <c r="M56" s="6" t="s">
        <v>29</v>
      </c>
      <c r="N56" s="6" t="s">
        <v>53</v>
      </c>
      <c r="O56" s="5"/>
      <c r="P56" s="6" t="s">
        <v>561</v>
      </c>
      <c r="Q56" s="5"/>
      <c r="R56" s="22">
        <f>IF(OR(J56="",L56="Vollständig",L56="Nicht anwendbar"),"",MAX(0,TODAY()-J56))</f>
        <v/>
      </c>
      <c r="S56" s="5"/>
    </row>
    <row r="57" spans="1:19" ht="58" customHeight="1">
      <c r="A57" s="6" t="s">
        <v>1454</v>
      </c>
      <c r="B57" s="6" t="s">
        <v>499</v>
      </c>
      <c r="C57" s="6" t="s">
        <v>572</v>
      </c>
      <c r="D57" s="6" t="s">
        <v>1417</v>
      </c>
      <c r="E57" s="6" t="s">
        <v>571</v>
      </c>
      <c r="F57" s="6" t="s">
        <v>10</v>
      </c>
      <c r="G57" s="6" t="s">
        <v>21</v>
      </c>
      <c r="H57" s="6" t="s">
        <v>499</v>
      </c>
      <c r="I57" s="7"/>
      <c r="J57" s="7"/>
      <c r="K57" s="7"/>
      <c r="L57" s="6" t="s">
        <v>23</v>
      </c>
      <c r="M57" s="6" t="s">
        <v>29</v>
      </c>
      <c r="N57" s="6" t="s">
        <v>53</v>
      </c>
      <c r="O57" s="5"/>
      <c r="P57" s="6" t="s">
        <v>569</v>
      </c>
      <c r="Q57" s="5"/>
      <c r="R57" s="22">
        <f>IF(OR(J57="",L57="Vollständig",L57="Nicht anwendbar"),"",MAX(0,TODAY()-J57))</f>
        <v/>
      </c>
      <c r="S57" s="5"/>
    </row>
    <row r="58" spans="1:19" ht="58" customHeight="1">
      <c r="A58" s="6" t="s">
        <v>1455</v>
      </c>
      <c r="B58" s="6" t="s">
        <v>499</v>
      </c>
      <c r="C58" s="6" t="s">
        <v>579</v>
      </c>
      <c r="D58" s="6" t="s">
        <v>1417</v>
      </c>
      <c r="E58" s="6" t="s">
        <v>578</v>
      </c>
      <c r="F58" s="6" t="s">
        <v>8</v>
      </c>
      <c r="G58" s="6" t="s">
        <v>19</v>
      </c>
      <c r="H58" s="6" t="s">
        <v>499</v>
      </c>
      <c r="I58" s="7"/>
      <c r="J58" s="7"/>
      <c r="K58" s="7"/>
      <c r="L58" s="6" t="s">
        <v>23</v>
      </c>
      <c r="M58" s="6" t="s">
        <v>29</v>
      </c>
      <c r="N58" s="6" t="s">
        <v>53</v>
      </c>
      <c r="O58" s="5"/>
      <c r="P58" s="6" t="s">
        <v>576</v>
      </c>
      <c r="Q58" s="5"/>
      <c r="R58" s="22">
        <f>IF(OR(J58="",L58="Vollständig",L58="Nicht anwendbar"),"",MAX(0,TODAY()-J58))</f>
        <v/>
      </c>
      <c r="S58" s="5"/>
    </row>
    <row r="59" spans="1:19" ht="58" customHeight="1">
      <c r="A59" s="6" t="s">
        <v>1456</v>
      </c>
      <c r="B59" s="6" t="s">
        <v>585</v>
      </c>
      <c r="C59" s="6" t="s">
        <v>588</v>
      </c>
      <c r="D59" s="6" t="s">
        <v>1397</v>
      </c>
      <c r="E59" s="6" t="s">
        <v>587</v>
      </c>
      <c r="F59" s="6" t="s">
        <v>8</v>
      </c>
      <c r="G59" s="6" t="s">
        <v>19</v>
      </c>
      <c r="H59" s="6" t="s">
        <v>585</v>
      </c>
      <c r="I59" s="7"/>
      <c r="J59" s="7"/>
      <c r="K59" s="7"/>
      <c r="L59" s="6" t="s">
        <v>23</v>
      </c>
      <c r="M59" s="6" t="s">
        <v>29</v>
      </c>
      <c r="N59" s="6" t="s">
        <v>53</v>
      </c>
      <c r="O59" s="5"/>
      <c r="P59" s="6" t="s">
        <v>584</v>
      </c>
      <c r="Q59" s="5"/>
      <c r="R59" s="22">
        <f>IF(OR(J59="",L59="Vollständig",L59="Nicht anwendbar"),"",MAX(0,TODAY()-J59))</f>
        <v/>
      </c>
      <c r="S59" s="5"/>
    </row>
    <row r="60" spans="1:19" ht="58" customHeight="1">
      <c r="A60" s="6" t="s">
        <v>1457</v>
      </c>
      <c r="B60" s="6" t="s">
        <v>585</v>
      </c>
      <c r="C60" s="6" t="s">
        <v>596</v>
      </c>
      <c r="D60" s="6" t="s">
        <v>1397</v>
      </c>
      <c r="E60" s="6" t="s">
        <v>595</v>
      </c>
      <c r="F60" s="6" t="s">
        <v>9</v>
      </c>
      <c r="G60" s="6" t="s">
        <v>19</v>
      </c>
      <c r="H60" s="6" t="s">
        <v>585</v>
      </c>
      <c r="I60" s="7"/>
      <c r="J60" s="7"/>
      <c r="K60" s="7"/>
      <c r="L60" s="6" t="s">
        <v>23</v>
      </c>
      <c r="M60" s="6" t="s">
        <v>29</v>
      </c>
      <c r="N60" s="6" t="s">
        <v>53</v>
      </c>
      <c r="O60" s="5"/>
      <c r="P60" s="6" t="s">
        <v>593</v>
      </c>
      <c r="Q60" s="5"/>
      <c r="R60" s="22">
        <f>IF(OR(J60="",L60="Vollständig",L60="Nicht anwendbar"),"",MAX(0,TODAY()-J60))</f>
        <v/>
      </c>
      <c r="S60" s="5"/>
    </row>
    <row r="61" spans="1:19" ht="58" customHeight="1">
      <c r="A61" s="6" t="s">
        <v>1458</v>
      </c>
      <c r="B61" s="6" t="s">
        <v>585</v>
      </c>
      <c r="C61" s="6" t="s">
        <v>604</v>
      </c>
      <c r="D61" s="6" t="s">
        <v>1397</v>
      </c>
      <c r="E61" s="6" t="s">
        <v>603</v>
      </c>
      <c r="F61" s="6" t="s">
        <v>8</v>
      </c>
      <c r="G61" s="6" t="s">
        <v>19</v>
      </c>
      <c r="H61" s="6" t="s">
        <v>585</v>
      </c>
      <c r="I61" s="7"/>
      <c r="J61" s="7"/>
      <c r="K61" s="7"/>
      <c r="L61" s="6" t="s">
        <v>23</v>
      </c>
      <c r="M61" s="6" t="s">
        <v>29</v>
      </c>
      <c r="N61" s="6" t="s">
        <v>53</v>
      </c>
      <c r="O61" s="5"/>
      <c r="P61" s="6" t="s">
        <v>601</v>
      </c>
      <c r="Q61" s="5"/>
      <c r="R61" s="22">
        <f>IF(OR(J61="",L61="Vollständig",L61="Nicht anwendbar"),"",MAX(0,TODAY()-J61))</f>
        <v/>
      </c>
      <c r="S61" s="5"/>
    </row>
    <row r="62" spans="1:19" ht="58" customHeight="1">
      <c r="A62" s="6" t="s">
        <v>1459</v>
      </c>
      <c r="B62" s="6" t="s">
        <v>585</v>
      </c>
      <c r="C62" s="6" t="s">
        <v>612</v>
      </c>
      <c r="D62" s="6" t="s">
        <v>1397</v>
      </c>
      <c r="E62" s="6" t="s">
        <v>611</v>
      </c>
      <c r="F62" s="6" t="s">
        <v>8</v>
      </c>
      <c r="G62" s="6" t="s">
        <v>19</v>
      </c>
      <c r="H62" s="6" t="s">
        <v>585</v>
      </c>
      <c r="I62" s="7"/>
      <c r="J62" s="7"/>
      <c r="K62" s="7"/>
      <c r="L62" s="6" t="s">
        <v>23</v>
      </c>
      <c r="M62" s="6" t="s">
        <v>29</v>
      </c>
      <c r="N62" s="6" t="s">
        <v>53</v>
      </c>
      <c r="O62" s="5"/>
      <c r="P62" s="6" t="s">
        <v>609</v>
      </c>
      <c r="Q62" s="5"/>
      <c r="R62" s="22">
        <f>IF(OR(J62="",L62="Vollständig",L62="Nicht anwendbar"),"",MAX(0,TODAY()-J62))</f>
        <v/>
      </c>
      <c r="S62" s="5"/>
    </row>
    <row r="63" spans="1:19" ht="58" customHeight="1">
      <c r="A63" s="6" t="s">
        <v>1460</v>
      </c>
      <c r="B63" s="6" t="s">
        <v>585</v>
      </c>
      <c r="C63" s="6" t="s">
        <v>620</v>
      </c>
      <c r="D63" s="6" t="s">
        <v>1397</v>
      </c>
      <c r="E63" s="6" t="s">
        <v>619</v>
      </c>
      <c r="F63" s="6" t="s">
        <v>8</v>
      </c>
      <c r="G63" s="6" t="s">
        <v>19</v>
      </c>
      <c r="H63" s="6" t="s">
        <v>585</v>
      </c>
      <c r="I63" s="7"/>
      <c r="J63" s="7"/>
      <c r="K63" s="7"/>
      <c r="L63" s="6" t="s">
        <v>23</v>
      </c>
      <c r="M63" s="6" t="s">
        <v>29</v>
      </c>
      <c r="N63" s="6" t="s">
        <v>53</v>
      </c>
      <c r="O63" s="5"/>
      <c r="P63" s="6" t="s">
        <v>617</v>
      </c>
      <c r="Q63" s="5"/>
      <c r="R63" s="22">
        <f>IF(OR(J63="",L63="Vollständig",L63="Nicht anwendbar"),"",MAX(0,TODAY()-J63))</f>
        <v/>
      </c>
      <c r="S63" s="5"/>
    </row>
    <row r="64" spans="1:19" ht="58" customHeight="1">
      <c r="A64" s="6" t="s">
        <v>1461</v>
      </c>
      <c r="B64" s="6" t="s">
        <v>585</v>
      </c>
      <c r="C64" s="6" t="s">
        <v>627</v>
      </c>
      <c r="D64" s="6" t="s">
        <v>1397</v>
      </c>
      <c r="E64" s="6" t="s">
        <v>626</v>
      </c>
      <c r="F64" s="6" t="s">
        <v>8</v>
      </c>
      <c r="G64" s="6" t="s">
        <v>19</v>
      </c>
      <c r="H64" s="6" t="s">
        <v>585</v>
      </c>
      <c r="I64" s="7"/>
      <c r="J64" s="7"/>
      <c r="K64" s="7"/>
      <c r="L64" s="6" t="s">
        <v>23</v>
      </c>
      <c r="M64" s="6" t="s">
        <v>29</v>
      </c>
      <c r="N64" s="6" t="s">
        <v>53</v>
      </c>
      <c r="O64" s="5"/>
      <c r="P64" s="6" t="s">
        <v>624</v>
      </c>
      <c r="Q64" s="5"/>
      <c r="R64" s="22">
        <f>IF(OR(J64="",L64="Vollständig",L64="Nicht anwendbar"),"",MAX(0,TODAY()-J64))</f>
        <v/>
      </c>
      <c r="S64" s="5"/>
    </row>
    <row r="65" spans="1:19" ht="58" customHeight="1">
      <c r="A65" s="6" t="s">
        <v>1462</v>
      </c>
      <c r="B65" s="6" t="s">
        <v>585</v>
      </c>
      <c r="C65" s="6" t="s">
        <v>635</v>
      </c>
      <c r="D65" s="6" t="s">
        <v>1397</v>
      </c>
      <c r="E65" s="6" t="s">
        <v>634</v>
      </c>
      <c r="F65" s="6" t="s">
        <v>8</v>
      </c>
      <c r="G65" s="6" t="s">
        <v>19</v>
      </c>
      <c r="H65" s="6" t="s">
        <v>585</v>
      </c>
      <c r="I65" s="7"/>
      <c r="J65" s="7"/>
      <c r="K65" s="7"/>
      <c r="L65" s="6" t="s">
        <v>23</v>
      </c>
      <c r="M65" s="6" t="s">
        <v>29</v>
      </c>
      <c r="N65" s="6" t="s">
        <v>53</v>
      </c>
      <c r="O65" s="5"/>
      <c r="P65" s="6" t="s">
        <v>632</v>
      </c>
      <c r="Q65" s="5"/>
      <c r="R65" s="22">
        <f>IF(OR(J65="",L65="Vollständig",L65="Nicht anwendbar"),"",MAX(0,TODAY()-J65))</f>
        <v/>
      </c>
      <c r="S65" s="5"/>
    </row>
    <row r="66" spans="1:19" ht="58" customHeight="1">
      <c r="A66" s="6" t="s">
        <v>1463</v>
      </c>
      <c r="B66" s="6" t="s">
        <v>585</v>
      </c>
      <c r="C66" s="6" t="s">
        <v>643</v>
      </c>
      <c r="D66" s="6" t="s">
        <v>1397</v>
      </c>
      <c r="E66" s="6" t="s">
        <v>642</v>
      </c>
      <c r="F66" s="6" t="s">
        <v>8</v>
      </c>
      <c r="G66" s="6" t="s">
        <v>19</v>
      </c>
      <c r="H66" s="6" t="s">
        <v>585</v>
      </c>
      <c r="I66" s="7"/>
      <c r="J66" s="7"/>
      <c r="K66" s="7"/>
      <c r="L66" s="6" t="s">
        <v>23</v>
      </c>
      <c r="M66" s="6" t="s">
        <v>29</v>
      </c>
      <c r="N66" s="6" t="s">
        <v>53</v>
      </c>
      <c r="O66" s="5"/>
      <c r="P66" s="6" t="s">
        <v>640</v>
      </c>
      <c r="Q66" s="5"/>
      <c r="R66" s="22">
        <f>IF(OR(J66="",L66="Vollständig",L66="Nicht anwendbar"),"",MAX(0,TODAY()-J66))</f>
        <v/>
      </c>
      <c r="S66" s="5"/>
    </row>
    <row r="67" spans="1:19" ht="58" customHeight="1">
      <c r="A67" s="6" t="s">
        <v>1464</v>
      </c>
      <c r="B67" s="6" t="s">
        <v>585</v>
      </c>
      <c r="C67" s="6" t="s">
        <v>651</v>
      </c>
      <c r="D67" s="6" t="s">
        <v>1397</v>
      </c>
      <c r="E67" s="6" t="s">
        <v>650</v>
      </c>
      <c r="F67" s="6" t="s">
        <v>9</v>
      </c>
      <c r="G67" s="6" t="s">
        <v>19</v>
      </c>
      <c r="H67" s="6" t="s">
        <v>585</v>
      </c>
      <c r="I67" s="7"/>
      <c r="J67" s="7"/>
      <c r="K67" s="7"/>
      <c r="L67" s="6" t="s">
        <v>23</v>
      </c>
      <c r="M67" s="6" t="s">
        <v>29</v>
      </c>
      <c r="N67" s="6" t="s">
        <v>53</v>
      </c>
      <c r="O67" s="5"/>
      <c r="P67" s="6" t="s">
        <v>648</v>
      </c>
      <c r="Q67" s="5"/>
      <c r="R67" s="22">
        <f>IF(OR(J67="",L67="Vollständig",L67="Nicht anwendbar"),"",MAX(0,TODAY()-J67))</f>
        <v/>
      </c>
      <c r="S67" s="5"/>
    </row>
    <row r="68" spans="1:19" ht="58" customHeight="1">
      <c r="A68" s="6" t="s">
        <v>1465</v>
      </c>
      <c r="B68" s="6" t="s">
        <v>585</v>
      </c>
      <c r="C68" s="6" t="s">
        <v>659</v>
      </c>
      <c r="D68" s="6" t="s">
        <v>1397</v>
      </c>
      <c r="E68" s="6" t="s">
        <v>658</v>
      </c>
      <c r="F68" s="6" t="s">
        <v>9</v>
      </c>
      <c r="G68" s="6" t="s">
        <v>19</v>
      </c>
      <c r="H68" s="6" t="s">
        <v>585</v>
      </c>
      <c r="I68" s="7"/>
      <c r="J68" s="7"/>
      <c r="K68" s="7"/>
      <c r="L68" s="6" t="s">
        <v>23</v>
      </c>
      <c r="M68" s="6" t="s">
        <v>29</v>
      </c>
      <c r="N68" s="6" t="s">
        <v>53</v>
      </c>
      <c r="O68" s="5"/>
      <c r="P68" s="6" t="s">
        <v>656</v>
      </c>
      <c r="Q68" s="5"/>
      <c r="R68" s="22">
        <f>IF(OR(J68="",L68="Vollständig",L68="Nicht anwendbar"),"",MAX(0,TODAY()-J68))</f>
        <v/>
      </c>
      <c r="S68" s="5"/>
    </row>
    <row r="69" spans="1:19" ht="58" customHeight="1">
      <c r="A69" s="6" t="s">
        <v>1466</v>
      </c>
      <c r="B69" s="6" t="s">
        <v>585</v>
      </c>
      <c r="C69" s="6" t="s">
        <v>667</v>
      </c>
      <c r="D69" s="6" t="s">
        <v>1397</v>
      </c>
      <c r="E69" s="6" t="s">
        <v>666</v>
      </c>
      <c r="F69" s="6" t="s">
        <v>8</v>
      </c>
      <c r="G69" s="6" t="s">
        <v>19</v>
      </c>
      <c r="H69" s="6" t="s">
        <v>585</v>
      </c>
      <c r="I69" s="7"/>
      <c r="J69" s="7"/>
      <c r="K69" s="7"/>
      <c r="L69" s="6" t="s">
        <v>23</v>
      </c>
      <c r="M69" s="6" t="s">
        <v>29</v>
      </c>
      <c r="N69" s="6" t="s">
        <v>53</v>
      </c>
      <c r="O69" s="5"/>
      <c r="P69" s="6" t="s">
        <v>664</v>
      </c>
      <c r="Q69" s="5"/>
      <c r="R69" s="22">
        <f>IF(OR(J69="",L69="Vollständig",L69="Nicht anwendbar"),"",MAX(0,TODAY()-J69))</f>
        <v/>
      </c>
      <c r="S69" s="5"/>
    </row>
    <row r="70" spans="1:19" ht="58" customHeight="1">
      <c r="A70" s="6" t="s">
        <v>1467</v>
      </c>
      <c r="B70" s="6" t="s">
        <v>585</v>
      </c>
      <c r="C70" s="6" t="s">
        <v>675</v>
      </c>
      <c r="D70" s="6" t="s">
        <v>1397</v>
      </c>
      <c r="E70" s="6" t="s">
        <v>674</v>
      </c>
      <c r="F70" s="6" t="s">
        <v>9</v>
      </c>
      <c r="G70" s="6" t="s">
        <v>19</v>
      </c>
      <c r="H70" s="6" t="s">
        <v>585</v>
      </c>
      <c r="I70" s="7"/>
      <c r="J70" s="7"/>
      <c r="K70" s="7"/>
      <c r="L70" s="6" t="s">
        <v>23</v>
      </c>
      <c r="M70" s="6" t="s">
        <v>29</v>
      </c>
      <c r="N70" s="6" t="s">
        <v>53</v>
      </c>
      <c r="O70" s="5"/>
      <c r="P70" s="6" t="s">
        <v>672</v>
      </c>
      <c r="Q70" s="5"/>
      <c r="R70" s="22">
        <f>IF(OR(J70="",L70="Vollständig",L70="Nicht anwendbar"),"",MAX(0,TODAY()-J70))</f>
        <v/>
      </c>
      <c r="S70" s="5"/>
    </row>
    <row r="71" spans="1:19" ht="58" customHeight="1">
      <c r="A71" s="6" t="s">
        <v>1468</v>
      </c>
      <c r="B71" s="6" t="s">
        <v>585</v>
      </c>
      <c r="C71" s="6" t="s">
        <v>683</v>
      </c>
      <c r="D71" s="6" t="s">
        <v>1397</v>
      </c>
      <c r="E71" s="6" t="s">
        <v>682</v>
      </c>
      <c r="F71" s="6" t="s">
        <v>10</v>
      </c>
      <c r="G71" s="6" t="s">
        <v>21</v>
      </c>
      <c r="H71" s="6" t="s">
        <v>585</v>
      </c>
      <c r="I71" s="7"/>
      <c r="J71" s="7"/>
      <c r="K71" s="7"/>
      <c r="L71" s="6" t="s">
        <v>23</v>
      </c>
      <c r="M71" s="6" t="s">
        <v>29</v>
      </c>
      <c r="N71" s="6" t="s">
        <v>53</v>
      </c>
      <c r="O71" s="5"/>
      <c r="P71" s="6" t="s">
        <v>680</v>
      </c>
      <c r="Q71" s="5"/>
      <c r="R71" s="22">
        <f>IF(OR(J71="",L71="Vollständig",L71="Nicht anwendbar"),"",MAX(0,TODAY()-J71))</f>
        <v/>
      </c>
      <c r="S71" s="5"/>
    </row>
    <row r="72" spans="1:19" ht="58" customHeight="1">
      <c r="A72" s="6" t="s">
        <v>1469</v>
      </c>
      <c r="B72" s="6" t="s">
        <v>688</v>
      </c>
      <c r="C72" s="6" t="s">
        <v>691</v>
      </c>
      <c r="D72" s="6" t="s">
        <v>1397</v>
      </c>
      <c r="E72" s="6" t="s">
        <v>690</v>
      </c>
      <c r="F72" s="6" t="s">
        <v>9</v>
      </c>
      <c r="G72" s="6" t="s">
        <v>19</v>
      </c>
      <c r="H72" s="6" t="s">
        <v>1470</v>
      </c>
      <c r="I72" s="7"/>
      <c r="J72" s="7"/>
      <c r="K72" s="7"/>
      <c r="L72" s="6" t="s">
        <v>23</v>
      </c>
      <c r="M72" s="6" t="s">
        <v>29</v>
      </c>
      <c r="N72" s="6" t="s">
        <v>53</v>
      </c>
      <c r="O72" s="5"/>
      <c r="P72" s="6" t="s">
        <v>687</v>
      </c>
      <c r="Q72" s="5"/>
      <c r="R72" s="22">
        <f>IF(OR(J72="",L72="Vollständig",L72="Nicht anwendbar"),"",MAX(0,TODAY()-J72))</f>
        <v/>
      </c>
      <c r="S72" s="5"/>
    </row>
    <row r="73" spans="1:19" ht="58" customHeight="1">
      <c r="A73" s="6" t="s">
        <v>1471</v>
      </c>
      <c r="B73" s="6" t="s">
        <v>688</v>
      </c>
      <c r="C73" s="6" t="s">
        <v>698</v>
      </c>
      <c r="D73" s="6" t="s">
        <v>1397</v>
      </c>
      <c r="E73" s="6" t="s">
        <v>697</v>
      </c>
      <c r="F73" s="6" t="s">
        <v>8</v>
      </c>
      <c r="G73" s="6" t="s">
        <v>19</v>
      </c>
      <c r="H73" s="6" t="s">
        <v>1470</v>
      </c>
      <c r="I73" s="7"/>
      <c r="J73" s="7"/>
      <c r="K73" s="7"/>
      <c r="L73" s="6" t="s">
        <v>23</v>
      </c>
      <c r="M73" s="6" t="s">
        <v>29</v>
      </c>
      <c r="N73" s="6" t="s">
        <v>53</v>
      </c>
      <c r="O73" s="5"/>
      <c r="P73" s="6" t="s">
        <v>695</v>
      </c>
      <c r="Q73" s="5"/>
      <c r="R73" s="22">
        <f>IF(OR(J73="",L73="Vollständig",L73="Nicht anwendbar"),"",MAX(0,TODAY()-J73))</f>
        <v/>
      </c>
      <c r="S73" s="5"/>
    </row>
    <row r="74" spans="1:19" ht="58" customHeight="1">
      <c r="A74" s="6" t="s">
        <v>1472</v>
      </c>
      <c r="B74" s="6" t="s">
        <v>688</v>
      </c>
      <c r="C74" s="6" t="s">
        <v>706</v>
      </c>
      <c r="D74" s="6" t="s">
        <v>1397</v>
      </c>
      <c r="E74" s="6" t="s">
        <v>705</v>
      </c>
      <c r="F74" s="6" t="s">
        <v>8</v>
      </c>
      <c r="G74" s="6" t="s">
        <v>19</v>
      </c>
      <c r="H74" s="6" t="s">
        <v>1470</v>
      </c>
      <c r="I74" s="7"/>
      <c r="J74" s="7"/>
      <c r="K74" s="7"/>
      <c r="L74" s="6" t="s">
        <v>23</v>
      </c>
      <c r="M74" s="6" t="s">
        <v>29</v>
      </c>
      <c r="N74" s="6" t="s">
        <v>53</v>
      </c>
      <c r="O74" s="5"/>
      <c r="P74" s="6" t="s">
        <v>703</v>
      </c>
      <c r="Q74" s="5"/>
      <c r="R74" s="22">
        <f>IF(OR(J74="",L74="Vollständig",L74="Nicht anwendbar"),"",MAX(0,TODAY()-J74))</f>
        <v/>
      </c>
      <c r="S74" s="5"/>
    </row>
    <row r="75" spans="1:19" ht="58" customHeight="1">
      <c r="A75" s="6" t="s">
        <v>1473</v>
      </c>
      <c r="B75" s="6" t="s">
        <v>688</v>
      </c>
      <c r="C75" s="6" t="s">
        <v>713</v>
      </c>
      <c r="D75" s="6" t="s">
        <v>1397</v>
      </c>
      <c r="E75" s="6" t="s">
        <v>712</v>
      </c>
      <c r="F75" s="6" t="s">
        <v>9</v>
      </c>
      <c r="G75" s="6" t="s">
        <v>19</v>
      </c>
      <c r="H75" s="6" t="s">
        <v>1470</v>
      </c>
      <c r="I75" s="7"/>
      <c r="J75" s="7"/>
      <c r="K75" s="7"/>
      <c r="L75" s="6" t="s">
        <v>23</v>
      </c>
      <c r="M75" s="6" t="s">
        <v>29</v>
      </c>
      <c r="N75" s="6" t="s">
        <v>53</v>
      </c>
      <c r="O75" s="5"/>
      <c r="P75" s="6" t="s">
        <v>710</v>
      </c>
      <c r="Q75" s="5"/>
      <c r="R75" s="22">
        <f>IF(OR(J75="",L75="Vollständig",L75="Nicht anwendbar"),"",MAX(0,TODAY()-J75))</f>
        <v/>
      </c>
      <c r="S75" s="5"/>
    </row>
    <row r="76" spans="1:19" ht="58" customHeight="1">
      <c r="A76" s="6" t="s">
        <v>1474</v>
      </c>
      <c r="B76" s="6" t="s">
        <v>688</v>
      </c>
      <c r="C76" s="6" t="s">
        <v>721</v>
      </c>
      <c r="D76" s="6" t="s">
        <v>1397</v>
      </c>
      <c r="E76" s="6" t="s">
        <v>720</v>
      </c>
      <c r="F76" s="6" t="s">
        <v>8</v>
      </c>
      <c r="G76" s="6" t="s">
        <v>19</v>
      </c>
      <c r="H76" s="6" t="s">
        <v>1470</v>
      </c>
      <c r="I76" s="7"/>
      <c r="J76" s="7"/>
      <c r="K76" s="7"/>
      <c r="L76" s="6" t="s">
        <v>23</v>
      </c>
      <c r="M76" s="6" t="s">
        <v>29</v>
      </c>
      <c r="N76" s="6" t="s">
        <v>53</v>
      </c>
      <c r="O76" s="5"/>
      <c r="P76" s="6" t="s">
        <v>718</v>
      </c>
      <c r="Q76" s="5"/>
      <c r="R76" s="22">
        <f>IF(OR(J76="",L76="Vollständig",L76="Nicht anwendbar"),"",MAX(0,TODAY()-J76))</f>
        <v/>
      </c>
      <c r="S76" s="5"/>
    </row>
    <row r="77" spans="1:19" ht="58" customHeight="1">
      <c r="A77" s="6" t="s">
        <v>1475</v>
      </c>
      <c r="B77" s="6" t="s">
        <v>688</v>
      </c>
      <c r="C77" s="6" t="s">
        <v>728</v>
      </c>
      <c r="D77" s="6" t="s">
        <v>1397</v>
      </c>
      <c r="E77" s="6" t="s">
        <v>727</v>
      </c>
      <c r="F77" s="6" t="s">
        <v>8</v>
      </c>
      <c r="G77" s="6" t="s">
        <v>19</v>
      </c>
      <c r="H77" s="6" t="s">
        <v>1470</v>
      </c>
      <c r="I77" s="7"/>
      <c r="J77" s="7"/>
      <c r="K77" s="7"/>
      <c r="L77" s="6" t="s">
        <v>23</v>
      </c>
      <c r="M77" s="6" t="s">
        <v>29</v>
      </c>
      <c r="N77" s="6" t="s">
        <v>53</v>
      </c>
      <c r="O77" s="5"/>
      <c r="P77" s="6" t="s">
        <v>725</v>
      </c>
      <c r="Q77" s="5"/>
      <c r="R77" s="22">
        <f>IF(OR(J77="",L77="Vollständig",L77="Nicht anwendbar"),"",MAX(0,TODAY()-J77))</f>
        <v/>
      </c>
      <c r="S77" s="5"/>
    </row>
    <row r="78" spans="1:19" ht="58" customHeight="1">
      <c r="A78" s="6" t="s">
        <v>1476</v>
      </c>
      <c r="B78" s="6" t="s">
        <v>688</v>
      </c>
      <c r="C78" s="6" t="s">
        <v>735</v>
      </c>
      <c r="D78" s="6" t="s">
        <v>1397</v>
      </c>
      <c r="E78" s="6" t="s">
        <v>734</v>
      </c>
      <c r="F78" s="6" t="s">
        <v>9</v>
      </c>
      <c r="G78" s="6" t="s">
        <v>19</v>
      </c>
      <c r="H78" s="6" t="s">
        <v>1470</v>
      </c>
      <c r="I78" s="7"/>
      <c r="J78" s="7"/>
      <c r="K78" s="7"/>
      <c r="L78" s="6" t="s">
        <v>23</v>
      </c>
      <c r="M78" s="6" t="s">
        <v>29</v>
      </c>
      <c r="N78" s="6" t="s">
        <v>53</v>
      </c>
      <c r="O78" s="5"/>
      <c r="P78" s="6" t="s">
        <v>732</v>
      </c>
      <c r="Q78" s="5"/>
      <c r="R78" s="22">
        <f>IF(OR(J78="",L78="Vollständig",L78="Nicht anwendbar"),"",MAX(0,TODAY()-J78))</f>
        <v/>
      </c>
      <c r="S78" s="5"/>
    </row>
    <row r="79" spans="1:19" ht="58" customHeight="1">
      <c r="A79" s="6" t="s">
        <v>1477</v>
      </c>
      <c r="B79" s="6" t="s">
        <v>688</v>
      </c>
      <c r="C79" s="6" t="s">
        <v>742</v>
      </c>
      <c r="D79" s="6" t="s">
        <v>1397</v>
      </c>
      <c r="E79" s="6" t="s">
        <v>741</v>
      </c>
      <c r="F79" s="6" t="s">
        <v>9</v>
      </c>
      <c r="G79" s="6" t="s">
        <v>19</v>
      </c>
      <c r="H79" s="6" t="s">
        <v>1470</v>
      </c>
      <c r="I79" s="7"/>
      <c r="J79" s="7"/>
      <c r="K79" s="7"/>
      <c r="L79" s="6" t="s">
        <v>23</v>
      </c>
      <c r="M79" s="6" t="s">
        <v>29</v>
      </c>
      <c r="N79" s="6" t="s">
        <v>53</v>
      </c>
      <c r="O79" s="5"/>
      <c r="P79" s="6" t="s">
        <v>739</v>
      </c>
      <c r="Q79" s="5"/>
      <c r="R79" s="22">
        <f>IF(OR(J79="",L79="Vollständig",L79="Nicht anwendbar"),"",MAX(0,TODAY()-J79))</f>
        <v/>
      </c>
      <c r="S79" s="5"/>
    </row>
    <row r="80" spans="1:19" ht="58" customHeight="1">
      <c r="A80" s="6" t="s">
        <v>1478</v>
      </c>
      <c r="B80" s="6" t="s">
        <v>688</v>
      </c>
      <c r="C80" s="6" t="s">
        <v>749</v>
      </c>
      <c r="D80" s="6" t="s">
        <v>1397</v>
      </c>
      <c r="E80" s="6" t="s">
        <v>748</v>
      </c>
      <c r="F80" s="6" t="s">
        <v>10</v>
      </c>
      <c r="G80" s="6" t="s">
        <v>21</v>
      </c>
      <c r="H80" s="6" t="s">
        <v>1470</v>
      </c>
      <c r="I80" s="7"/>
      <c r="J80" s="7"/>
      <c r="K80" s="7"/>
      <c r="L80" s="6" t="s">
        <v>23</v>
      </c>
      <c r="M80" s="6" t="s">
        <v>29</v>
      </c>
      <c r="N80" s="6" t="s">
        <v>53</v>
      </c>
      <c r="O80" s="5"/>
      <c r="P80" s="6" t="s">
        <v>746</v>
      </c>
      <c r="Q80" s="5"/>
      <c r="R80" s="22">
        <f>IF(OR(J80="",L80="Vollständig",L80="Nicht anwendbar"),"",MAX(0,TODAY()-J80))</f>
        <v/>
      </c>
      <c r="S80" s="5"/>
    </row>
    <row r="81" spans="1:19" ht="58" customHeight="1">
      <c r="A81" s="6" t="s">
        <v>1479</v>
      </c>
      <c r="B81" s="6" t="s">
        <v>754</v>
      </c>
      <c r="C81" s="6" t="s">
        <v>757</v>
      </c>
      <c r="D81" s="6" t="s">
        <v>1397</v>
      </c>
      <c r="E81" s="6" t="s">
        <v>756</v>
      </c>
      <c r="F81" s="6" t="s">
        <v>8</v>
      </c>
      <c r="G81" s="6" t="s">
        <v>19</v>
      </c>
      <c r="H81" s="6" t="s">
        <v>1480</v>
      </c>
      <c r="I81" s="7"/>
      <c r="J81" s="7"/>
      <c r="K81" s="7"/>
      <c r="L81" s="6" t="s">
        <v>23</v>
      </c>
      <c r="M81" s="6" t="s">
        <v>29</v>
      </c>
      <c r="N81" s="6" t="s">
        <v>53</v>
      </c>
      <c r="O81" s="5"/>
      <c r="P81" s="6" t="s">
        <v>753</v>
      </c>
      <c r="Q81" s="5"/>
      <c r="R81" s="22">
        <f>IF(OR(J81="",L81="Vollständig",L81="Nicht anwendbar"),"",MAX(0,TODAY()-J81))</f>
        <v/>
      </c>
      <c r="S81" s="5"/>
    </row>
    <row r="82" spans="1:19" ht="58" customHeight="1">
      <c r="A82" s="6" t="s">
        <v>1481</v>
      </c>
      <c r="B82" s="6" t="s">
        <v>754</v>
      </c>
      <c r="C82" s="6" t="s">
        <v>764</v>
      </c>
      <c r="D82" s="6" t="s">
        <v>1397</v>
      </c>
      <c r="E82" s="6" t="s">
        <v>763</v>
      </c>
      <c r="F82" s="6" t="s">
        <v>9</v>
      </c>
      <c r="G82" s="6" t="s">
        <v>19</v>
      </c>
      <c r="H82" s="6" t="s">
        <v>1480</v>
      </c>
      <c r="I82" s="7"/>
      <c r="J82" s="7"/>
      <c r="K82" s="7"/>
      <c r="L82" s="6" t="s">
        <v>23</v>
      </c>
      <c r="M82" s="6" t="s">
        <v>29</v>
      </c>
      <c r="N82" s="6" t="s">
        <v>53</v>
      </c>
      <c r="O82" s="5"/>
      <c r="P82" s="6" t="s">
        <v>761</v>
      </c>
      <c r="Q82" s="5"/>
      <c r="R82" s="22">
        <f>IF(OR(J82="",L82="Vollständig",L82="Nicht anwendbar"),"",MAX(0,TODAY()-J82))</f>
        <v/>
      </c>
      <c r="S82" s="5"/>
    </row>
    <row r="83" spans="1:19" ht="58" customHeight="1">
      <c r="A83" s="6" t="s">
        <v>1482</v>
      </c>
      <c r="B83" s="6" t="s">
        <v>754</v>
      </c>
      <c r="C83" s="6" t="s">
        <v>772</v>
      </c>
      <c r="D83" s="6" t="s">
        <v>1397</v>
      </c>
      <c r="E83" s="6" t="s">
        <v>771</v>
      </c>
      <c r="F83" s="6" t="s">
        <v>9</v>
      </c>
      <c r="G83" s="6" t="s">
        <v>19</v>
      </c>
      <c r="H83" s="6" t="s">
        <v>1480</v>
      </c>
      <c r="I83" s="7"/>
      <c r="J83" s="7"/>
      <c r="K83" s="7"/>
      <c r="L83" s="6" t="s">
        <v>23</v>
      </c>
      <c r="M83" s="6" t="s">
        <v>29</v>
      </c>
      <c r="N83" s="6" t="s">
        <v>53</v>
      </c>
      <c r="O83" s="5"/>
      <c r="P83" s="6" t="s">
        <v>769</v>
      </c>
      <c r="Q83" s="5"/>
      <c r="R83" s="22">
        <f>IF(OR(J83="",L83="Vollständig",L83="Nicht anwendbar"),"",MAX(0,TODAY()-J83))</f>
        <v/>
      </c>
      <c r="S83" s="5"/>
    </row>
    <row r="84" spans="1:19" ht="58" customHeight="1">
      <c r="A84" s="6" t="s">
        <v>1483</v>
      </c>
      <c r="B84" s="6" t="s">
        <v>754</v>
      </c>
      <c r="C84" s="6" t="s">
        <v>779</v>
      </c>
      <c r="D84" s="6" t="s">
        <v>1397</v>
      </c>
      <c r="E84" s="6" t="s">
        <v>778</v>
      </c>
      <c r="F84" s="6" t="s">
        <v>8</v>
      </c>
      <c r="G84" s="6" t="s">
        <v>19</v>
      </c>
      <c r="H84" s="6" t="s">
        <v>1480</v>
      </c>
      <c r="I84" s="7"/>
      <c r="J84" s="7"/>
      <c r="K84" s="7"/>
      <c r="L84" s="6" t="s">
        <v>23</v>
      </c>
      <c r="M84" s="6" t="s">
        <v>29</v>
      </c>
      <c r="N84" s="6" t="s">
        <v>53</v>
      </c>
      <c r="O84" s="5"/>
      <c r="P84" s="6" t="s">
        <v>776</v>
      </c>
      <c r="Q84" s="5"/>
      <c r="R84" s="22">
        <f>IF(OR(J84="",L84="Vollständig",L84="Nicht anwendbar"),"",MAX(0,TODAY()-J84))</f>
        <v/>
      </c>
      <c r="S84" s="5"/>
    </row>
    <row r="85" spans="1:19" ht="58" customHeight="1">
      <c r="A85" s="6" t="s">
        <v>1484</v>
      </c>
      <c r="B85" s="6" t="s">
        <v>754</v>
      </c>
      <c r="C85" s="6" t="s">
        <v>786</v>
      </c>
      <c r="D85" s="6" t="s">
        <v>1397</v>
      </c>
      <c r="E85" s="6" t="s">
        <v>785</v>
      </c>
      <c r="F85" s="6" t="s">
        <v>9</v>
      </c>
      <c r="G85" s="6" t="s">
        <v>19</v>
      </c>
      <c r="H85" s="6" t="s">
        <v>1480</v>
      </c>
      <c r="I85" s="7"/>
      <c r="J85" s="7"/>
      <c r="K85" s="7"/>
      <c r="L85" s="6" t="s">
        <v>23</v>
      </c>
      <c r="M85" s="6" t="s">
        <v>29</v>
      </c>
      <c r="N85" s="6" t="s">
        <v>53</v>
      </c>
      <c r="O85" s="5"/>
      <c r="P85" s="6" t="s">
        <v>783</v>
      </c>
      <c r="Q85" s="5"/>
      <c r="R85" s="22">
        <f>IF(OR(J85="",L85="Vollständig",L85="Nicht anwendbar"),"",MAX(0,TODAY()-J85))</f>
        <v/>
      </c>
      <c r="S85" s="5"/>
    </row>
    <row r="86" spans="1:19" ht="58" customHeight="1">
      <c r="A86" s="6" t="s">
        <v>1485</v>
      </c>
      <c r="B86" s="6" t="s">
        <v>754</v>
      </c>
      <c r="C86" s="6" t="s">
        <v>793</v>
      </c>
      <c r="D86" s="6" t="s">
        <v>1397</v>
      </c>
      <c r="E86" s="6" t="s">
        <v>792</v>
      </c>
      <c r="F86" s="6" t="s">
        <v>8</v>
      </c>
      <c r="G86" s="6" t="s">
        <v>19</v>
      </c>
      <c r="H86" s="6" t="s">
        <v>1480</v>
      </c>
      <c r="I86" s="7"/>
      <c r="J86" s="7"/>
      <c r="K86" s="7"/>
      <c r="L86" s="6" t="s">
        <v>23</v>
      </c>
      <c r="M86" s="6" t="s">
        <v>29</v>
      </c>
      <c r="N86" s="6" t="s">
        <v>53</v>
      </c>
      <c r="O86" s="5"/>
      <c r="P86" s="6" t="s">
        <v>790</v>
      </c>
      <c r="Q86" s="5"/>
      <c r="R86" s="22">
        <f>IF(OR(J86="",L86="Vollständig",L86="Nicht anwendbar"),"",MAX(0,TODAY()-J86))</f>
        <v/>
      </c>
      <c r="S86" s="5"/>
    </row>
    <row r="87" spans="1:19" ht="58" customHeight="1">
      <c r="A87" s="6" t="s">
        <v>1486</v>
      </c>
      <c r="B87" s="6" t="s">
        <v>754</v>
      </c>
      <c r="C87" s="6" t="s">
        <v>802</v>
      </c>
      <c r="D87" s="6" t="s">
        <v>1397</v>
      </c>
      <c r="E87" s="6" t="s">
        <v>801</v>
      </c>
      <c r="F87" s="6" t="s">
        <v>9</v>
      </c>
      <c r="G87" s="6" t="s">
        <v>19</v>
      </c>
      <c r="H87" s="6" t="s">
        <v>1480</v>
      </c>
      <c r="I87" s="7"/>
      <c r="J87" s="7"/>
      <c r="K87" s="7"/>
      <c r="L87" s="6" t="s">
        <v>23</v>
      </c>
      <c r="M87" s="6" t="s">
        <v>29</v>
      </c>
      <c r="N87" s="6" t="s">
        <v>53</v>
      </c>
      <c r="O87" s="5"/>
      <c r="P87" s="6" t="s">
        <v>799</v>
      </c>
      <c r="Q87" s="5"/>
      <c r="R87" s="22">
        <f>IF(OR(J87="",L87="Vollständig",L87="Nicht anwendbar"),"",MAX(0,TODAY()-J87))</f>
        <v/>
      </c>
      <c r="S87" s="5"/>
    </row>
    <row r="88" spans="1:19" ht="58" customHeight="1">
      <c r="A88" s="6" t="s">
        <v>1487</v>
      </c>
      <c r="B88" s="6" t="s">
        <v>807</v>
      </c>
      <c r="C88" s="6" t="s">
        <v>810</v>
      </c>
      <c r="D88" s="6" t="s">
        <v>1397</v>
      </c>
      <c r="E88" s="6" t="s">
        <v>809</v>
      </c>
      <c r="F88" s="6" t="s">
        <v>9</v>
      </c>
      <c r="G88" s="6" t="s">
        <v>19</v>
      </c>
      <c r="H88" s="6" t="s">
        <v>1488</v>
      </c>
      <c r="I88" s="7"/>
      <c r="J88" s="7"/>
      <c r="K88" s="7"/>
      <c r="L88" s="6" t="s">
        <v>23</v>
      </c>
      <c r="M88" s="6" t="s">
        <v>29</v>
      </c>
      <c r="N88" s="6" t="s">
        <v>53</v>
      </c>
      <c r="O88" s="5"/>
      <c r="P88" s="6" t="s">
        <v>806</v>
      </c>
      <c r="Q88" s="5"/>
      <c r="R88" s="22">
        <f>IF(OR(J88="",L88="Vollständig",L88="Nicht anwendbar"),"",MAX(0,TODAY()-J88))</f>
        <v/>
      </c>
      <c r="S88" s="5"/>
    </row>
    <row r="89" spans="1:19" ht="58" customHeight="1">
      <c r="A89" s="6" t="s">
        <v>1489</v>
      </c>
      <c r="B89" s="6" t="s">
        <v>807</v>
      </c>
      <c r="C89" s="6" t="s">
        <v>818</v>
      </c>
      <c r="D89" s="6" t="s">
        <v>1397</v>
      </c>
      <c r="E89" s="6" t="s">
        <v>817</v>
      </c>
      <c r="F89" s="6" t="s">
        <v>8</v>
      </c>
      <c r="G89" s="6" t="s">
        <v>19</v>
      </c>
      <c r="H89" s="6" t="s">
        <v>1488</v>
      </c>
      <c r="I89" s="7"/>
      <c r="J89" s="7"/>
      <c r="K89" s="7"/>
      <c r="L89" s="6" t="s">
        <v>23</v>
      </c>
      <c r="M89" s="6" t="s">
        <v>29</v>
      </c>
      <c r="N89" s="6" t="s">
        <v>53</v>
      </c>
      <c r="O89" s="5"/>
      <c r="P89" s="6" t="s">
        <v>815</v>
      </c>
      <c r="Q89" s="5"/>
      <c r="R89" s="22">
        <f>IF(OR(J89="",L89="Vollständig",L89="Nicht anwendbar"),"",MAX(0,TODAY()-J89))</f>
        <v/>
      </c>
      <c r="S89" s="5"/>
    </row>
    <row r="90" spans="1:19" ht="58" customHeight="1">
      <c r="A90" s="6" t="s">
        <v>1490</v>
      </c>
      <c r="B90" s="6" t="s">
        <v>807</v>
      </c>
      <c r="C90" s="6" t="s">
        <v>825</v>
      </c>
      <c r="D90" s="6" t="s">
        <v>1397</v>
      </c>
      <c r="E90" s="6" t="s">
        <v>824</v>
      </c>
      <c r="F90" s="6" t="s">
        <v>8</v>
      </c>
      <c r="G90" s="6" t="s">
        <v>19</v>
      </c>
      <c r="H90" s="6" t="s">
        <v>1488</v>
      </c>
      <c r="I90" s="7"/>
      <c r="J90" s="7"/>
      <c r="K90" s="7"/>
      <c r="L90" s="6" t="s">
        <v>23</v>
      </c>
      <c r="M90" s="6" t="s">
        <v>29</v>
      </c>
      <c r="N90" s="6" t="s">
        <v>53</v>
      </c>
      <c r="O90" s="5"/>
      <c r="P90" s="6" t="s">
        <v>822</v>
      </c>
      <c r="Q90" s="5"/>
      <c r="R90" s="22">
        <f>IF(OR(J90="",L90="Vollständig",L90="Nicht anwendbar"),"",MAX(0,TODAY()-J90))</f>
        <v/>
      </c>
      <c r="S90" s="5"/>
    </row>
    <row r="91" spans="1:19" ht="58" customHeight="1">
      <c r="A91" s="6" t="s">
        <v>1491</v>
      </c>
      <c r="B91" s="6" t="s">
        <v>807</v>
      </c>
      <c r="C91" s="6" t="s">
        <v>833</v>
      </c>
      <c r="D91" s="6" t="s">
        <v>1397</v>
      </c>
      <c r="E91" s="6" t="s">
        <v>832</v>
      </c>
      <c r="F91" s="6" t="s">
        <v>8</v>
      </c>
      <c r="G91" s="6" t="s">
        <v>19</v>
      </c>
      <c r="H91" s="6" t="s">
        <v>1488</v>
      </c>
      <c r="I91" s="7"/>
      <c r="J91" s="7"/>
      <c r="K91" s="7"/>
      <c r="L91" s="6" t="s">
        <v>23</v>
      </c>
      <c r="M91" s="6" t="s">
        <v>29</v>
      </c>
      <c r="N91" s="6" t="s">
        <v>53</v>
      </c>
      <c r="O91" s="5"/>
      <c r="P91" s="6" t="s">
        <v>830</v>
      </c>
      <c r="Q91" s="5"/>
      <c r="R91" s="22">
        <f>IF(OR(J91="",L91="Vollständig",L91="Nicht anwendbar"),"",MAX(0,TODAY()-J91))</f>
        <v/>
      </c>
      <c r="S91" s="5"/>
    </row>
    <row r="92" spans="1:19" ht="58" customHeight="1">
      <c r="A92" s="6" t="s">
        <v>1492</v>
      </c>
      <c r="B92" s="6" t="s">
        <v>807</v>
      </c>
      <c r="C92" s="6" t="s">
        <v>842</v>
      </c>
      <c r="D92" s="6" t="s">
        <v>1397</v>
      </c>
      <c r="E92" s="6" t="s">
        <v>841</v>
      </c>
      <c r="F92" s="6" t="s">
        <v>8</v>
      </c>
      <c r="G92" s="6" t="s">
        <v>19</v>
      </c>
      <c r="H92" s="6" t="s">
        <v>1488</v>
      </c>
      <c r="I92" s="7"/>
      <c r="J92" s="7"/>
      <c r="K92" s="7"/>
      <c r="L92" s="6" t="s">
        <v>23</v>
      </c>
      <c r="M92" s="6" t="s">
        <v>29</v>
      </c>
      <c r="N92" s="6" t="s">
        <v>53</v>
      </c>
      <c r="O92" s="5"/>
      <c r="P92" s="6" t="s">
        <v>839</v>
      </c>
      <c r="Q92" s="5"/>
      <c r="R92" s="22">
        <f>IF(OR(J92="",L92="Vollständig",L92="Nicht anwendbar"),"",MAX(0,TODAY()-J92))</f>
        <v/>
      </c>
      <c r="S92" s="5"/>
    </row>
    <row r="93" spans="1:19" ht="58" customHeight="1">
      <c r="A93" s="6" t="s">
        <v>1493</v>
      </c>
      <c r="B93" s="6" t="s">
        <v>807</v>
      </c>
      <c r="C93" s="6" t="s">
        <v>850</v>
      </c>
      <c r="D93" s="6" t="s">
        <v>1397</v>
      </c>
      <c r="E93" s="6" t="s">
        <v>849</v>
      </c>
      <c r="F93" s="6" t="s">
        <v>8</v>
      </c>
      <c r="G93" s="6" t="s">
        <v>19</v>
      </c>
      <c r="H93" s="6" t="s">
        <v>1488</v>
      </c>
      <c r="I93" s="7"/>
      <c r="J93" s="7"/>
      <c r="K93" s="7"/>
      <c r="L93" s="6" t="s">
        <v>23</v>
      </c>
      <c r="M93" s="6" t="s">
        <v>29</v>
      </c>
      <c r="N93" s="6" t="s">
        <v>53</v>
      </c>
      <c r="O93" s="5"/>
      <c r="P93" s="6" t="s">
        <v>847</v>
      </c>
      <c r="Q93" s="5"/>
      <c r="R93" s="22">
        <f>IF(OR(J93="",L93="Vollständig",L93="Nicht anwendbar"),"",MAX(0,TODAY()-J93))</f>
        <v/>
      </c>
      <c r="S93" s="5"/>
    </row>
    <row r="94" spans="1:19" ht="58" customHeight="1">
      <c r="A94" s="6" t="s">
        <v>1494</v>
      </c>
      <c r="B94" s="6" t="s">
        <v>807</v>
      </c>
      <c r="C94" s="6" t="s">
        <v>858</v>
      </c>
      <c r="D94" s="6" t="s">
        <v>1397</v>
      </c>
      <c r="E94" s="6" t="s">
        <v>857</v>
      </c>
      <c r="F94" s="6" t="s">
        <v>8</v>
      </c>
      <c r="G94" s="6" t="s">
        <v>19</v>
      </c>
      <c r="H94" s="6" t="s">
        <v>1488</v>
      </c>
      <c r="I94" s="7"/>
      <c r="J94" s="7"/>
      <c r="K94" s="7"/>
      <c r="L94" s="6" t="s">
        <v>23</v>
      </c>
      <c r="M94" s="6" t="s">
        <v>29</v>
      </c>
      <c r="N94" s="6" t="s">
        <v>53</v>
      </c>
      <c r="O94" s="5"/>
      <c r="P94" s="6" t="s">
        <v>855</v>
      </c>
      <c r="Q94" s="5"/>
      <c r="R94" s="22">
        <f>IF(OR(J94="",L94="Vollständig",L94="Nicht anwendbar"),"",MAX(0,TODAY()-J94))</f>
        <v/>
      </c>
      <c r="S94" s="5"/>
    </row>
    <row r="95" spans="1:19" ht="58" customHeight="1">
      <c r="A95" s="6" t="s">
        <v>1495</v>
      </c>
      <c r="B95" s="6" t="s">
        <v>807</v>
      </c>
      <c r="C95" s="6" t="s">
        <v>865</v>
      </c>
      <c r="D95" s="6" t="s">
        <v>1397</v>
      </c>
      <c r="E95" s="6" t="s">
        <v>864</v>
      </c>
      <c r="F95" s="6" t="s">
        <v>9</v>
      </c>
      <c r="G95" s="6" t="s">
        <v>19</v>
      </c>
      <c r="H95" s="6" t="s">
        <v>1488</v>
      </c>
      <c r="I95" s="7"/>
      <c r="J95" s="7"/>
      <c r="K95" s="7"/>
      <c r="L95" s="6" t="s">
        <v>23</v>
      </c>
      <c r="M95" s="6" t="s">
        <v>29</v>
      </c>
      <c r="N95" s="6" t="s">
        <v>53</v>
      </c>
      <c r="O95" s="5"/>
      <c r="P95" s="6" t="s">
        <v>862</v>
      </c>
      <c r="Q95" s="5"/>
      <c r="R95" s="22">
        <f>IF(OR(J95="",L95="Vollständig",L95="Nicht anwendbar"),"",MAX(0,TODAY()-J95))</f>
        <v/>
      </c>
      <c r="S95" s="5"/>
    </row>
    <row r="96" spans="1:19" ht="58" customHeight="1">
      <c r="A96" s="6" t="s">
        <v>1496</v>
      </c>
      <c r="B96" s="6" t="s">
        <v>807</v>
      </c>
      <c r="C96" s="6" t="s">
        <v>872</v>
      </c>
      <c r="D96" s="6" t="s">
        <v>1397</v>
      </c>
      <c r="E96" s="6" t="s">
        <v>871</v>
      </c>
      <c r="F96" s="6" t="s">
        <v>8</v>
      </c>
      <c r="G96" s="6" t="s">
        <v>19</v>
      </c>
      <c r="H96" s="6" t="s">
        <v>1488</v>
      </c>
      <c r="I96" s="7"/>
      <c r="J96" s="7"/>
      <c r="K96" s="7"/>
      <c r="L96" s="6" t="s">
        <v>23</v>
      </c>
      <c r="M96" s="6" t="s">
        <v>29</v>
      </c>
      <c r="N96" s="6" t="s">
        <v>53</v>
      </c>
      <c r="O96" s="5"/>
      <c r="P96" s="6" t="s">
        <v>869</v>
      </c>
      <c r="Q96" s="5"/>
      <c r="R96" s="22">
        <f>IF(OR(J96="",L96="Vollständig",L96="Nicht anwendbar"),"",MAX(0,TODAY()-J96))</f>
        <v/>
      </c>
      <c r="S96" s="5"/>
    </row>
    <row r="97" spans="1:19" ht="58" customHeight="1">
      <c r="A97" s="6" t="s">
        <v>1497</v>
      </c>
      <c r="B97" s="6" t="s">
        <v>807</v>
      </c>
      <c r="C97" s="6" t="s">
        <v>880</v>
      </c>
      <c r="D97" s="6" t="s">
        <v>1397</v>
      </c>
      <c r="E97" s="6" t="s">
        <v>879</v>
      </c>
      <c r="F97" s="6" t="s">
        <v>8</v>
      </c>
      <c r="G97" s="6" t="s">
        <v>19</v>
      </c>
      <c r="H97" s="6" t="s">
        <v>1488</v>
      </c>
      <c r="I97" s="7"/>
      <c r="J97" s="7"/>
      <c r="K97" s="7"/>
      <c r="L97" s="6" t="s">
        <v>23</v>
      </c>
      <c r="M97" s="6" t="s">
        <v>29</v>
      </c>
      <c r="N97" s="6" t="s">
        <v>53</v>
      </c>
      <c r="O97" s="5"/>
      <c r="P97" s="6" t="s">
        <v>877</v>
      </c>
      <c r="Q97" s="5"/>
      <c r="R97" s="22">
        <f>IF(OR(J97="",L97="Vollständig",L97="Nicht anwendbar"),"",MAX(0,TODAY()-J97))</f>
        <v/>
      </c>
      <c r="S97" s="5"/>
    </row>
    <row r="98" spans="1:19" ht="58" customHeight="1">
      <c r="A98" s="6" t="s">
        <v>1498</v>
      </c>
      <c r="B98" s="6" t="s">
        <v>807</v>
      </c>
      <c r="C98" s="6" t="s">
        <v>888</v>
      </c>
      <c r="D98" s="6" t="s">
        <v>1397</v>
      </c>
      <c r="E98" s="6" t="s">
        <v>887</v>
      </c>
      <c r="F98" s="6" t="s">
        <v>8</v>
      </c>
      <c r="G98" s="6" t="s">
        <v>19</v>
      </c>
      <c r="H98" s="6" t="s">
        <v>1488</v>
      </c>
      <c r="I98" s="7"/>
      <c r="J98" s="7"/>
      <c r="K98" s="7"/>
      <c r="L98" s="6" t="s">
        <v>23</v>
      </c>
      <c r="M98" s="6" t="s">
        <v>29</v>
      </c>
      <c r="N98" s="6" t="s">
        <v>53</v>
      </c>
      <c r="O98" s="5"/>
      <c r="P98" s="6" t="s">
        <v>885</v>
      </c>
      <c r="Q98" s="5"/>
      <c r="R98" s="22">
        <f>IF(OR(J98="",L98="Vollständig",L98="Nicht anwendbar"),"",MAX(0,TODAY()-J98))</f>
        <v/>
      </c>
      <c r="S98" s="5"/>
    </row>
    <row r="99" spans="1:19" ht="58" customHeight="1">
      <c r="A99" s="6" t="s">
        <v>1499</v>
      </c>
      <c r="B99" s="6" t="s">
        <v>807</v>
      </c>
      <c r="C99" s="6" t="s">
        <v>895</v>
      </c>
      <c r="D99" s="6" t="s">
        <v>1397</v>
      </c>
      <c r="E99" s="6" t="s">
        <v>894</v>
      </c>
      <c r="F99" s="6" t="s">
        <v>8</v>
      </c>
      <c r="G99" s="6" t="s">
        <v>19</v>
      </c>
      <c r="H99" s="6" t="s">
        <v>1488</v>
      </c>
      <c r="I99" s="7"/>
      <c r="J99" s="7"/>
      <c r="K99" s="7"/>
      <c r="L99" s="6" t="s">
        <v>23</v>
      </c>
      <c r="M99" s="6" t="s">
        <v>29</v>
      </c>
      <c r="N99" s="6" t="s">
        <v>53</v>
      </c>
      <c r="O99" s="5"/>
      <c r="P99" s="6" t="s">
        <v>892</v>
      </c>
      <c r="Q99" s="5"/>
      <c r="R99" s="22">
        <f>IF(OR(J99="",L99="Vollständig",L99="Nicht anwendbar"),"",MAX(0,TODAY()-J99))</f>
        <v/>
      </c>
      <c r="S99" s="5"/>
    </row>
    <row r="100" spans="1:19" ht="58" customHeight="1">
      <c r="A100" s="6" t="s">
        <v>1500</v>
      </c>
      <c r="B100" s="6" t="s">
        <v>901</v>
      </c>
      <c r="C100" s="6" t="s">
        <v>904</v>
      </c>
      <c r="D100" s="6" t="s">
        <v>1397</v>
      </c>
      <c r="E100" s="6" t="s">
        <v>903</v>
      </c>
      <c r="F100" s="6" t="s">
        <v>9</v>
      </c>
      <c r="G100" s="6" t="s">
        <v>19</v>
      </c>
      <c r="H100" s="6" t="s">
        <v>1501</v>
      </c>
      <c r="I100" s="7"/>
      <c r="J100" s="7"/>
      <c r="K100" s="7"/>
      <c r="L100" s="6" t="s">
        <v>23</v>
      </c>
      <c r="M100" s="6" t="s">
        <v>29</v>
      </c>
      <c r="N100" s="6" t="s">
        <v>53</v>
      </c>
      <c r="O100" s="5"/>
      <c r="P100" s="6" t="s">
        <v>900</v>
      </c>
      <c r="Q100" s="5"/>
      <c r="R100" s="22">
        <f>IF(OR(J100="",L100="Vollständig",L100="Nicht anwendbar"),"",MAX(0,TODAY()-J100))</f>
        <v/>
      </c>
      <c r="S100" s="5"/>
    </row>
    <row r="101" spans="1:19" ht="58" customHeight="1">
      <c r="A101" s="6" t="s">
        <v>1502</v>
      </c>
      <c r="B101" s="6" t="s">
        <v>901</v>
      </c>
      <c r="C101" s="6" t="s">
        <v>913</v>
      </c>
      <c r="D101" s="6" t="s">
        <v>1397</v>
      </c>
      <c r="E101" s="6" t="s">
        <v>912</v>
      </c>
      <c r="F101" s="6" t="s">
        <v>8</v>
      </c>
      <c r="G101" s="6" t="s">
        <v>19</v>
      </c>
      <c r="H101" s="6" t="s">
        <v>1501</v>
      </c>
      <c r="I101" s="7"/>
      <c r="J101" s="7"/>
      <c r="K101" s="7"/>
      <c r="L101" s="6" t="s">
        <v>23</v>
      </c>
      <c r="M101" s="6" t="s">
        <v>29</v>
      </c>
      <c r="N101" s="6" t="s">
        <v>53</v>
      </c>
      <c r="O101" s="5"/>
      <c r="P101" s="6" t="s">
        <v>910</v>
      </c>
      <c r="Q101" s="5"/>
      <c r="R101" s="22">
        <f>IF(OR(J101="",L101="Vollständig",L101="Nicht anwendbar"),"",MAX(0,TODAY()-J101))</f>
        <v/>
      </c>
      <c r="S101" s="5"/>
    </row>
    <row r="102" spans="1:19" ht="58" customHeight="1">
      <c r="A102" s="6" t="s">
        <v>1503</v>
      </c>
      <c r="B102" s="6" t="s">
        <v>901</v>
      </c>
      <c r="C102" s="6" t="s">
        <v>921</v>
      </c>
      <c r="D102" s="6" t="s">
        <v>1397</v>
      </c>
      <c r="E102" s="6" t="s">
        <v>920</v>
      </c>
      <c r="F102" s="6" t="s">
        <v>8</v>
      </c>
      <c r="G102" s="6" t="s">
        <v>19</v>
      </c>
      <c r="H102" s="6" t="s">
        <v>1501</v>
      </c>
      <c r="I102" s="7"/>
      <c r="J102" s="7"/>
      <c r="K102" s="7"/>
      <c r="L102" s="6" t="s">
        <v>23</v>
      </c>
      <c r="M102" s="6" t="s">
        <v>29</v>
      </c>
      <c r="N102" s="6" t="s">
        <v>53</v>
      </c>
      <c r="O102" s="5"/>
      <c r="P102" s="6" t="s">
        <v>918</v>
      </c>
      <c r="Q102" s="5"/>
      <c r="R102" s="22">
        <f>IF(OR(J102="",L102="Vollständig",L102="Nicht anwendbar"),"",MAX(0,TODAY()-J102))</f>
        <v/>
      </c>
      <c r="S102" s="5"/>
    </row>
    <row r="103" spans="1:19" ht="58" customHeight="1">
      <c r="A103" s="6" t="s">
        <v>1504</v>
      </c>
      <c r="B103" s="6" t="s">
        <v>901</v>
      </c>
      <c r="C103" s="6" t="s">
        <v>929</v>
      </c>
      <c r="D103" s="6" t="s">
        <v>1397</v>
      </c>
      <c r="E103" s="6" t="s">
        <v>928</v>
      </c>
      <c r="F103" s="6" t="s">
        <v>9</v>
      </c>
      <c r="G103" s="6" t="s">
        <v>19</v>
      </c>
      <c r="H103" s="6" t="s">
        <v>1501</v>
      </c>
      <c r="I103" s="7"/>
      <c r="J103" s="7"/>
      <c r="K103" s="7"/>
      <c r="L103" s="6" t="s">
        <v>23</v>
      </c>
      <c r="M103" s="6" t="s">
        <v>29</v>
      </c>
      <c r="N103" s="6" t="s">
        <v>53</v>
      </c>
      <c r="O103" s="5"/>
      <c r="P103" s="6" t="s">
        <v>926</v>
      </c>
      <c r="Q103" s="5"/>
      <c r="R103" s="22">
        <f>IF(OR(J103="",L103="Vollständig",L103="Nicht anwendbar"),"",MAX(0,TODAY()-J103))</f>
        <v/>
      </c>
      <c r="S103" s="5"/>
    </row>
    <row r="104" spans="1:19" ht="58" customHeight="1">
      <c r="A104" s="6" t="s">
        <v>1505</v>
      </c>
      <c r="B104" s="6" t="s">
        <v>901</v>
      </c>
      <c r="C104" s="6" t="s">
        <v>936</v>
      </c>
      <c r="D104" s="6" t="s">
        <v>1397</v>
      </c>
      <c r="E104" s="6" t="s">
        <v>935</v>
      </c>
      <c r="F104" s="6" t="s">
        <v>8</v>
      </c>
      <c r="G104" s="6" t="s">
        <v>19</v>
      </c>
      <c r="H104" s="6" t="s">
        <v>1501</v>
      </c>
      <c r="I104" s="7"/>
      <c r="J104" s="7"/>
      <c r="K104" s="7"/>
      <c r="L104" s="6" t="s">
        <v>23</v>
      </c>
      <c r="M104" s="6" t="s">
        <v>29</v>
      </c>
      <c r="N104" s="6" t="s">
        <v>53</v>
      </c>
      <c r="O104" s="5"/>
      <c r="P104" s="6" t="s">
        <v>933</v>
      </c>
      <c r="Q104" s="5"/>
      <c r="R104" s="22">
        <f>IF(OR(J104="",L104="Vollständig",L104="Nicht anwendbar"),"",MAX(0,TODAY()-J104))</f>
        <v/>
      </c>
      <c r="S104" s="5"/>
    </row>
    <row r="105" spans="1:19" ht="58" customHeight="1">
      <c r="A105" s="6" t="s">
        <v>1506</v>
      </c>
      <c r="B105" s="6" t="s">
        <v>901</v>
      </c>
      <c r="C105" s="6" t="s">
        <v>943</v>
      </c>
      <c r="D105" s="6" t="s">
        <v>1397</v>
      </c>
      <c r="E105" s="6" t="s">
        <v>942</v>
      </c>
      <c r="F105" s="6" t="s">
        <v>8</v>
      </c>
      <c r="G105" s="6" t="s">
        <v>19</v>
      </c>
      <c r="H105" s="6" t="s">
        <v>1501</v>
      </c>
      <c r="I105" s="7"/>
      <c r="J105" s="7"/>
      <c r="K105" s="7"/>
      <c r="L105" s="6" t="s">
        <v>23</v>
      </c>
      <c r="M105" s="6" t="s">
        <v>29</v>
      </c>
      <c r="N105" s="6" t="s">
        <v>53</v>
      </c>
      <c r="O105" s="5"/>
      <c r="P105" s="6" t="s">
        <v>940</v>
      </c>
      <c r="Q105" s="5"/>
      <c r="R105" s="22">
        <f>IF(OR(J105="",L105="Vollständig",L105="Nicht anwendbar"),"",MAX(0,TODAY()-J105))</f>
        <v/>
      </c>
      <c r="S105" s="5"/>
    </row>
    <row r="106" spans="1:19" ht="58" customHeight="1">
      <c r="A106" s="6" t="s">
        <v>1507</v>
      </c>
      <c r="B106" s="6" t="s">
        <v>901</v>
      </c>
      <c r="C106" s="6" t="s">
        <v>950</v>
      </c>
      <c r="D106" s="6" t="s">
        <v>1397</v>
      </c>
      <c r="E106" s="6" t="s">
        <v>949</v>
      </c>
      <c r="F106" s="6" t="s">
        <v>9</v>
      </c>
      <c r="G106" s="6" t="s">
        <v>19</v>
      </c>
      <c r="H106" s="6" t="s">
        <v>1501</v>
      </c>
      <c r="I106" s="7"/>
      <c r="J106" s="7"/>
      <c r="K106" s="7"/>
      <c r="L106" s="6" t="s">
        <v>23</v>
      </c>
      <c r="M106" s="6" t="s">
        <v>29</v>
      </c>
      <c r="N106" s="6" t="s">
        <v>53</v>
      </c>
      <c r="O106" s="5"/>
      <c r="P106" s="6" t="s">
        <v>947</v>
      </c>
      <c r="Q106" s="5"/>
      <c r="R106" s="22">
        <f>IF(OR(J106="",L106="Vollständig",L106="Nicht anwendbar"),"",MAX(0,TODAY()-J106))</f>
        <v/>
      </c>
      <c r="S106" s="5"/>
    </row>
    <row r="107" spans="1:19" ht="58" customHeight="1">
      <c r="A107" s="6" t="s">
        <v>1508</v>
      </c>
      <c r="B107" s="6" t="s">
        <v>955</v>
      </c>
      <c r="C107" s="6" t="s">
        <v>958</v>
      </c>
      <c r="D107" s="6" t="s">
        <v>1417</v>
      </c>
      <c r="E107" s="6" t="s">
        <v>957</v>
      </c>
      <c r="F107" s="6" t="s">
        <v>9</v>
      </c>
      <c r="G107" s="6" t="s">
        <v>19</v>
      </c>
      <c r="H107" s="6" t="s">
        <v>1509</v>
      </c>
      <c r="I107" s="7"/>
      <c r="J107" s="7"/>
      <c r="K107" s="7"/>
      <c r="L107" s="6" t="s">
        <v>23</v>
      </c>
      <c r="M107" s="6" t="s">
        <v>29</v>
      </c>
      <c r="N107" s="6" t="s">
        <v>54</v>
      </c>
      <c r="O107" s="5"/>
      <c r="P107" s="6" t="s">
        <v>954</v>
      </c>
      <c r="Q107" s="5"/>
      <c r="R107" s="22">
        <f>IF(OR(J107="",L107="Vollständig",L107="Nicht anwendbar"),"",MAX(0,TODAY()-J107))</f>
        <v/>
      </c>
      <c r="S107" s="5"/>
    </row>
    <row r="108" spans="1:19" ht="58" customHeight="1">
      <c r="A108" s="6" t="s">
        <v>1510</v>
      </c>
      <c r="B108" s="6" t="s">
        <v>955</v>
      </c>
      <c r="C108" s="6" t="s">
        <v>965</v>
      </c>
      <c r="D108" s="6" t="s">
        <v>1417</v>
      </c>
      <c r="E108" s="6" t="s">
        <v>964</v>
      </c>
      <c r="F108" s="6" t="s">
        <v>9</v>
      </c>
      <c r="G108" s="6" t="s">
        <v>19</v>
      </c>
      <c r="H108" s="6" t="s">
        <v>1509</v>
      </c>
      <c r="I108" s="7"/>
      <c r="J108" s="7"/>
      <c r="K108" s="7"/>
      <c r="L108" s="6" t="s">
        <v>23</v>
      </c>
      <c r="M108" s="6" t="s">
        <v>29</v>
      </c>
      <c r="N108" s="6" t="s">
        <v>54</v>
      </c>
      <c r="O108" s="5"/>
      <c r="P108" s="6" t="s">
        <v>962</v>
      </c>
      <c r="Q108" s="5"/>
      <c r="R108" s="22">
        <f>IF(OR(J108="",L108="Vollständig",L108="Nicht anwendbar"),"",MAX(0,TODAY()-J108))</f>
        <v/>
      </c>
      <c r="S108" s="5"/>
    </row>
    <row r="109" spans="1:19" ht="58" customHeight="1">
      <c r="A109" s="6" t="s">
        <v>1511</v>
      </c>
      <c r="B109" s="6" t="s">
        <v>955</v>
      </c>
      <c r="C109" s="6" t="s">
        <v>973</v>
      </c>
      <c r="D109" s="6" t="s">
        <v>1417</v>
      </c>
      <c r="E109" s="6" t="s">
        <v>972</v>
      </c>
      <c r="F109" s="6" t="s">
        <v>8</v>
      </c>
      <c r="G109" s="6" t="s">
        <v>19</v>
      </c>
      <c r="H109" s="6" t="s">
        <v>1509</v>
      </c>
      <c r="I109" s="7"/>
      <c r="J109" s="7"/>
      <c r="K109" s="7"/>
      <c r="L109" s="6" t="s">
        <v>23</v>
      </c>
      <c r="M109" s="6" t="s">
        <v>29</v>
      </c>
      <c r="N109" s="6" t="s">
        <v>54</v>
      </c>
      <c r="O109" s="5"/>
      <c r="P109" s="6" t="s">
        <v>970</v>
      </c>
      <c r="Q109" s="5"/>
      <c r="R109" s="22">
        <f>IF(OR(J109="",L109="Vollständig",L109="Nicht anwendbar"),"",MAX(0,TODAY()-J109))</f>
        <v/>
      </c>
      <c r="S109" s="5"/>
    </row>
    <row r="110" spans="1:19" ht="58" customHeight="1">
      <c r="A110" s="6" t="s">
        <v>1512</v>
      </c>
      <c r="B110" s="6" t="s">
        <v>955</v>
      </c>
      <c r="C110" s="6" t="s">
        <v>981</v>
      </c>
      <c r="D110" s="6" t="s">
        <v>1417</v>
      </c>
      <c r="E110" s="6" t="s">
        <v>980</v>
      </c>
      <c r="F110" s="6" t="s">
        <v>8</v>
      </c>
      <c r="G110" s="6" t="s">
        <v>19</v>
      </c>
      <c r="H110" s="6" t="s">
        <v>1509</v>
      </c>
      <c r="I110" s="7"/>
      <c r="J110" s="7"/>
      <c r="K110" s="7"/>
      <c r="L110" s="6" t="s">
        <v>23</v>
      </c>
      <c r="M110" s="6" t="s">
        <v>29</v>
      </c>
      <c r="N110" s="6" t="s">
        <v>54</v>
      </c>
      <c r="O110" s="5"/>
      <c r="P110" s="6" t="s">
        <v>978</v>
      </c>
      <c r="Q110" s="5"/>
      <c r="R110" s="22">
        <f>IF(OR(J110="",L110="Vollständig",L110="Nicht anwendbar"),"",MAX(0,TODAY()-J110))</f>
        <v/>
      </c>
      <c r="S110" s="5"/>
    </row>
    <row r="111" spans="1:19" ht="58" customHeight="1">
      <c r="A111" s="6" t="s">
        <v>1513</v>
      </c>
      <c r="B111" s="6" t="s">
        <v>955</v>
      </c>
      <c r="C111" s="6" t="s">
        <v>989</v>
      </c>
      <c r="D111" s="6" t="s">
        <v>1417</v>
      </c>
      <c r="E111" s="6" t="s">
        <v>988</v>
      </c>
      <c r="F111" s="6" t="s">
        <v>9</v>
      </c>
      <c r="G111" s="6" t="s">
        <v>19</v>
      </c>
      <c r="H111" s="6" t="s">
        <v>1509</v>
      </c>
      <c r="I111" s="7"/>
      <c r="J111" s="7"/>
      <c r="K111" s="7"/>
      <c r="L111" s="6" t="s">
        <v>23</v>
      </c>
      <c r="M111" s="6" t="s">
        <v>29</v>
      </c>
      <c r="N111" s="6" t="s">
        <v>54</v>
      </c>
      <c r="O111" s="5"/>
      <c r="P111" s="6" t="s">
        <v>986</v>
      </c>
      <c r="Q111" s="5"/>
      <c r="R111" s="22">
        <f>IF(OR(J111="",L111="Vollständig",L111="Nicht anwendbar"),"",MAX(0,TODAY()-J111))</f>
        <v/>
      </c>
      <c r="S111" s="5"/>
    </row>
    <row r="112" spans="1:19" ht="58" customHeight="1">
      <c r="A112" s="6" t="s">
        <v>1514</v>
      </c>
      <c r="B112" s="6" t="s">
        <v>955</v>
      </c>
      <c r="C112" s="6" t="s">
        <v>997</v>
      </c>
      <c r="D112" s="6" t="s">
        <v>1417</v>
      </c>
      <c r="E112" s="6" t="s">
        <v>996</v>
      </c>
      <c r="F112" s="6" t="s">
        <v>8</v>
      </c>
      <c r="G112" s="6" t="s">
        <v>19</v>
      </c>
      <c r="H112" s="6" t="s">
        <v>1509</v>
      </c>
      <c r="I112" s="7"/>
      <c r="J112" s="7"/>
      <c r="K112" s="7"/>
      <c r="L112" s="6" t="s">
        <v>23</v>
      </c>
      <c r="M112" s="6" t="s">
        <v>29</v>
      </c>
      <c r="N112" s="6" t="s">
        <v>54</v>
      </c>
      <c r="O112" s="5"/>
      <c r="P112" s="6" t="s">
        <v>994</v>
      </c>
      <c r="Q112" s="5"/>
      <c r="R112" s="22">
        <f>IF(OR(J112="",L112="Vollständig",L112="Nicht anwendbar"),"",MAX(0,TODAY()-J112))</f>
        <v/>
      </c>
      <c r="S112" s="5"/>
    </row>
    <row r="113" spans="1:19" ht="58" customHeight="1">
      <c r="A113" s="6" t="s">
        <v>1515</v>
      </c>
      <c r="B113" s="6" t="s">
        <v>955</v>
      </c>
      <c r="C113" s="6" t="s">
        <v>1004</v>
      </c>
      <c r="D113" s="6" t="s">
        <v>1417</v>
      </c>
      <c r="E113" s="6" t="s">
        <v>1003</v>
      </c>
      <c r="F113" s="6" t="s">
        <v>8</v>
      </c>
      <c r="G113" s="6" t="s">
        <v>19</v>
      </c>
      <c r="H113" s="6" t="s">
        <v>1509</v>
      </c>
      <c r="I113" s="7"/>
      <c r="J113" s="7"/>
      <c r="K113" s="7"/>
      <c r="L113" s="6" t="s">
        <v>23</v>
      </c>
      <c r="M113" s="6" t="s">
        <v>29</v>
      </c>
      <c r="N113" s="6" t="s">
        <v>54</v>
      </c>
      <c r="O113" s="5"/>
      <c r="P113" s="6" t="s">
        <v>1001</v>
      </c>
      <c r="Q113" s="5"/>
      <c r="R113" s="22">
        <f>IF(OR(J113="",L113="Vollständig",L113="Nicht anwendbar"),"",MAX(0,TODAY()-J113))</f>
        <v/>
      </c>
      <c r="S113" s="5"/>
    </row>
    <row r="114" spans="1:19" ht="58" customHeight="1">
      <c r="A114" s="6" t="s">
        <v>1516</v>
      </c>
      <c r="B114" s="6" t="s">
        <v>955</v>
      </c>
      <c r="C114" s="6" t="s">
        <v>1012</v>
      </c>
      <c r="D114" s="6" t="s">
        <v>1417</v>
      </c>
      <c r="E114" s="6" t="s">
        <v>1011</v>
      </c>
      <c r="F114" s="6" t="s">
        <v>8</v>
      </c>
      <c r="G114" s="6" t="s">
        <v>19</v>
      </c>
      <c r="H114" s="6" t="s">
        <v>1509</v>
      </c>
      <c r="I114" s="7"/>
      <c r="J114" s="7"/>
      <c r="K114" s="7"/>
      <c r="L114" s="6" t="s">
        <v>23</v>
      </c>
      <c r="M114" s="6" t="s">
        <v>29</v>
      </c>
      <c r="N114" s="6" t="s">
        <v>54</v>
      </c>
      <c r="O114" s="5"/>
      <c r="P114" s="6" t="s">
        <v>1009</v>
      </c>
      <c r="Q114" s="5"/>
      <c r="R114" s="22">
        <f>IF(OR(J114="",L114="Vollständig",L114="Nicht anwendbar"),"",MAX(0,TODAY()-J114))</f>
        <v/>
      </c>
      <c r="S114" s="5"/>
    </row>
    <row r="115" spans="1:19" ht="58" customHeight="1">
      <c r="A115" s="6" t="s">
        <v>1517</v>
      </c>
      <c r="B115" s="6" t="s">
        <v>955</v>
      </c>
      <c r="C115" s="6" t="s">
        <v>1019</v>
      </c>
      <c r="D115" s="6" t="s">
        <v>1417</v>
      </c>
      <c r="E115" s="6" t="s">
        <v>1018</v>
      </c>
      <c r="F115" s="6" t="s">
        <v>9</v>
      </c>
      <c r="G115" s="6" t="s">
        <v>19</v>
      </c>
      <c r="H115" s="6" t="s">
        <v>1509</v>
      </c>
      <c r="I115" s="7"/>
      <c r="J115" s="7"/>
      <c r="K115" s="7"/>
      <c r="L115" s="6" t="s">
        <v>23</v>
      </c>
      <c r="M115" s="6" t="s">
        <v>29</v>
      </c>
      <c r="N115" s="6" t="s">
        <v>54</v>
      </c>
      <c r="O115" s="5"/>
      <c r="P115" s="6" t="s">
        <v>1016</v>
      </c>
      <c r="Q115" s="5"/>
      <c r="R115" s="22">
        <f>IF(OR(J115="",L115="Vollständig",L115="Nicht anwendbar"),"",MAX(0,TODAY()-J115))</f>
        <v/>
      </c>
      <c r="S115" s="5"/>
    </row>
    <row r="116" spans="1:19" ht="58" customHeight="1">
      <c r="A116" s="6" t="s">
        <v>1518</v>
      </c>
      <c r="B116" s="6" t="s">
        <v>955</v>
      </c>
      <c r="C116" s="6" t="s">
        <v>1026</v>
      </c>
      <c r="D116" s="6" t="s">
        <v>1417</v>
      </c>
      <c r="E116" s="6" t="s">
        <v>1025</v>
      </c>
      <c r="F116" s="6" t="s">
        <v>8</v>
      </c>
      <c r="G116" s="6" t="s">
        <v>19</v>
      </c>
      <c r="H116" s="6" t="s">
        <v>1509</v>
      </c>
      <c r="I116" s="7"/>
      <c r="J116" s="7"/>
      <c r="K116" s="7"/>
      <c r="L116" s="6" t="s">
        <v>23</v>
      </c>
      <c r="M116" s="6" t="s">
        <v>29</v>
      </c>
      <c r="N116" s="6" t="s">
        <v>54</v>
      </c>
      <c r="O116" s="5"/>
      <c r="P116" s="6" t="s">
        <v>1023</v>
      </c>
      <c r="Q116" s="5"/>
      <c r="R116" s="22">
        <f>IF(OR(J116="",L116="Vollständig",L116="Nicht anwendbar"),"",MAX(0,TODAY()-J116))</f>
        <v/>
      </c>
      <c r="S116" s="5"/>
    </row>
    <row r="117" spans="1:19" ht="58" customHeight="1">
      <c r="A117" s="6" t="s">
        <v>1519</v>
      </c>
      <c r="B117" s="6" t="s">
        <v>1031</v>
      </c>
      <c r="C117" s="6" t="s">
        <v>1034</v>
      </c>
      <c r="D117" s="6" t="s">
        <v>1397</v>
      </c>
      <c r="E117" s="6" t="s">
        <v>1033</v>
      </c>
      <c r="F117" s="6" t="s">
        <v>8</v>
      </c>
      <c r="G117" s="6" t="s">
        <v>19</v>
      </c>
      <c r="H117" s="6" t="s">
        <v>1520</v>
      </c>
      <c r="I117" s="7"/>
      <c r="J117" s="7"/>
      <c r="K117" s="7"/>
      <c r="L117" s="6" t="s">
        <v>23</v>
      </c>
      <c r="M117" s="6" t="s">
        <v>29</v>
      </c>
      <c r="N117" s="6" t="s">
        <v>53</v>
      </c>
      <c r="O117" s="5"/>
      <c r="P117" s="6" t="s">
        <v>1030</v>
      </c>
      <c r="Q117" s="5"/>
      <c r="R117" s="22">
        <f>IF(OR(J117="",L117="Vollständig",L117="Nicht anwendbar"),"",MAX(0,TODAY()-J117))</f>
        <v/>
      </c>
      <c r="S117" s="5"/>
    </row>
    <row r="118" spans="1:19" ht="58" customHeight="1">
      <c r="A118" s="6" t="s">
        <v>1521</v>
      </c>
      <c r="B118" s="6" t="s">
        <v>1031</v>
      </c>
      <c r="C118" s="6" t="s">
        <v>1042</v>
      </c>
      <c r="D118" s="6" t="s">
        <v>1397</v>
      </c>
      <c r="E118" s="6" t="s">
        <v>1041</v>
      </c>
      <c r="F118" s="6" t="s">
        <v>9</v>
      </c>
      <c r="G118" s="6" t="s">
        <v>19</v>
      </c>
      <c r="H118" s="6" t="s">
        <v>1520</v>
      </c>
      <c r="I118" s="7"/>
      <c r="J118" s="7"/>
      <c r="K118" s="7"/>
      <c r="L118" s="6" t="s">
        <v>23</v>
      </c>
      <c r="M118" s="6" t="s">
        <v>29</v>
      </c>
      <c r="N118" s="6" t="s">
        <v>53</v>
      </c>
      <c r="O118" s="5"/>
      <c r="P118" s="6" t="s">
        <v>1039</v>
      </c>
      <c r="Q118" s="5"/>
      <c r="R118" s="22">
        <f>IF(OR(J118="",L118="Vollständig",L118="Nicht anwendbar"),"",MAX(0,TODAY()-J118))</f>
        <v/>
      </c>
      <c r="S118" s="5"/>
    </row>
    <row r="119" spans="1:19" ht="58" customHeight="1">
      <c r="A119" s="6" t="s">
        <v>1522</v>
      </c>
      <c r="B119" s="6" t="s">
        <v>1031</v>
      </c>
      <c r="C119" s="6" t="s">
        <v>1050</v>
      </c>
      <c r="D119" s="6" t="s">
        <v>1397</v>
      </c>
      <c r="E119" s="6" t="s">
        <v>1049</v>
      </c>
      <c r="F119" s="6" t="s">
        <v>8</v>
      </c>
      <c r="G119" s="6" t="s">
        <v>19</v>
      </c>
      <c r="H119" s="6" t="s">
        <v>1520</v>
      </c>
      <c r="I119" s="7"/>
      <c r="J119" s="7"/>
      <c r="K119" s="7"/>
      <c r="L119" s="6" t="s">
        <v>23</v>
      </c>
      <c r="M119" s="6" t="s">
        <v>29</v>
      </c>
      <c r="N119" s="6" t="s">
        <v>53</v>
      </c>
      <c r="O119" s="5"/>
      <c r="P119" s="6" t="s">
        <v>1047</v>
      </c>
      <c r="Q119" s="5"/>
      <c r="R119" s="22">
        <f>IF(OR(J119="",L119="Vollständig",L119="Nicht anwendbar"),"",MAX(0,TODAY()-J119))</f>
        <v/>
      </c>
      <c r="S119" s="5"/>
    </row>
    <row r="120" spans="1:19" ht="58" customHeight="1">
      <c r="A120" s="6" t="s">
        <v>1523</v>
      </c>
      <c r="B120" s="6" t="s">
        <v>1031</v>
      </c>
      <c r="C120" s="6" t="s">
        <v>1058</v>
      </c>
      <c r="D120" s="6" t="s">
        <v>1397</v>
      </c>
      <c r="E120" s="6" t="s">
        <v>1057</v>
      </c>
      <c r="F120" s="6" t="s">
        <v>8</v>
      </c>
      <c r="G120" s="6" t="s">
        <v>19</v>
      </c>
      <c r="H120" s="6" t="s">
        <v>1520</v>
      </c>
      <c r="I120" s="7"/>
      <c r="J120" s="7"/>
      <c r="K120" s="7"/>
      <c r="L120" s="6" t="s">
        <v>23</v>
      </c>
      <c r="M120" s="6" t="s">
        <v>29</v>
      </c>
      <c r="N120" s="6" t="s">
        <v>53</v>
      </c>
      <c r="O120" s="5"/>
      <c r="P120" s="6" t="s">
        <v>1055</v>
      </c>
      <c r="Q120" s="5"/>
      <c r="R120" s="22">
        <f>IF(OR(J120="",L120="Vollständig",L120="Nicht anwendbar"),"",MAX(0,TODAY()-J120))</f>
        <v/>
      </c>
      <c r="S120" s="5"/>
    </row>
    <row r="121" spans="1:19" ht="58" customHeight="1">
      <c r="A121" s="6" t="s">
        <v>1524</v>
      </c>
      <c r="B121" s="6" t="s">
        <v>1031</v>
      </c>
      <c r="C121" s="6" t="s">
        <v>1066</v>
      </c>
      <c r="D121" s="6" t="s">
        <v>1397</v>
      </c>
      <c r="E121" s="6" t="s">
        <v>1065</v>
      </c>
      <c r="F121" s="6" t="s">
        <v>8</v>
      </c>
      <c r="G121" s="6" t="s">
        <v>19</v>
      </c>
      <c r="H121" s="6" t="s">
        <v>1520</v>
      </c>
      <c r="I121" s="7"/>
      <c r="J121" s="7"/>
      <c r="K121" s="7"/>
      <c r="L121" s="6" t="s">
        <v>23</v>
      </c>
      <c r="M121" s="6" t="s">
        <v>29</v>
      </c>
      <c r="N121" s="6" t="s">
        <v>53</v>
      </c>
      <c r="O121" s="5"/>
      <c r="P121" s="6" t="s">
        <v>1063</v>
      </c>
      <c r="Q121" s="5"/>
      <c r="R121" s="22">
        <f>IF(OR(J121="",L121="Vollständig",L121="Nicht anwendbar"),"",MAX(0,TODAY()-J121))</f>
        <v/>
      </c>
      <c r="S121" s="5"/>
    </row>
    <row r="122" spans="1:19" ht="58" customHeight="1">
      <c r="A122" s="6" t="s">
        <v>1525</v>
      </c>
      <c r="B122" s="6" t="s">
        <v>1031</v>
      </c>
      <c r="C122" s="6" t="s">
        <v>1074</v>
      </c>
      <c r="D122" s="6" t="s">
        <v>1397</v>
      </c>
      <c r="E122" s="6" t="s">
        <v>1073</v>
      </c>
      <c r="F122" s="6" t="s">
        <v>9</v>
      </c>
      <c r="G122" s="6" t="s">
        <v>19</v>
      </c>
      <c r="H122" s="6" t="s">
        <v>1520</v>
      </c>
      <c r="I122" s="7"/>
      <c r="J122" s="7"/>
      <c r="K122" s="7"/>
      <c r="L122" s="6" t="s">
        <v>23</v>
      </c>
      <c r="M122" s="6" t="s">
        <v>29</v>
      </c>
      <c r="N122" s="6" t="s">
        <v>53</v>
      </c>
      <c r="O122" s="5"/>
      <c r="P122" s="6" t="s">
        <v>1071</v>
      </c>
      <c r="Q122" s="5"/>
      <c r="R122" s="22">
        <f>IF(OR(J122="",L122="Vollständig",L122="Nicht anwendbar"),"",MAX(0,TODAY()-J122))</f>
        <v/>
      </c>
      <c r="S122" s="5"/>
    </row>
    <row r="123" spans="1:19" ht="58" customHeight="1">
      <c r="A123" s="6" t="s">
        <v>1526</v>
      </c>
      <c r="B123" s="6" t="s">
        <v>1031</v>
      </c>
      <c r="C123" s="6" t="s">
        <v>1081</v>
      </c>
      <c r="D123" s="6" t="s">
        <v>1397</v>
      </c>
      <c r="E123" s="6" t="s">
        <v>1080</v>
      </c>
      <c r="F123" s="6" t="s">
        <v>9</v>
      </c>
      <c r="G123" s="6" t="s">
        <v>19</v>
      </c>
      <c r="H123" s="6" t="s">
        <v>1520</v>
      </c>
      <c r="I123" s="7"/>
      <c r="J123" s="7"/>
      <c r="K123" s="7"/>
      <c r="L123" s="6" t="s">
        <v>23</v>
      </c>
      <c r="M123" s="6" t="s">
        <v>29</v>
      </c>
      <c r="N123" s="6" t="s">
        <v>53</v>
      </c>
      <c r="O123" s="5"/>
      <c r="P123" s="6" t="s">
        <v>1078</v>
      </c>
      <c r="Q123" s="5"/>
      <c r="R123" s="22">
        <f>IF(OR(J123="",L123="Vollständig",L123="Nicht anwendbar"),"",MAX(0,TODAY()-J123))</f>
        <v/>
      </c>
      <c r="S123" s="5"/>
    </row>
    <row r="124" spans="1:19" ht="58" customHeight="1">
      <c r="A124" s="6" t="s">
        <v>1527</v>
      </c>
      <c r="B124" s="6" t="s">
        <v>1086</v>
      </c>
      <c r="C124" s="6" t="s">
        <v>1089</v>
      </c>
      <c r="D124" s="6" t="s">
        <v>1397</v>
      </c>
      <c r="E124" s="6" t="s">
        <v>1088</v>
      </c>
      <c r="F124" s="6" t="s">
        <v>8</v>
      </c>
      <c r="G124" s="6" t="s">
        <v>19</v>
      </c>
      <c r="H124" s="6" t="s">
        <v>1528</v>
      </c>
      <c r="I124" s="7"/>
      <c r="J124" s="7"/>
      <c r="K124" s="7"/>
      <c r="L124" s="6" t="s">
        <v>23</v>
      </c>
      <c r="M124" s="6" t="s">
        <v>29</v>
      </c>
      <c r="N124" s="6" t="s">
        <v>53</v>
      </c>
      <c r="O124" s="5"/>
      <c r="P124" s="6" t="s">
        <v>1085</v>
      </c>
      <c r="Q124" s="5"/>
      <c r="R124" s="22">
        <f>IF(OR(J124="",L124="Vollständig",L124="Nicht anwendbar"),"",MAX(0,TODAY()-J124))</f>
        <v/>
      </c>
      <c r="S124" s="5"/>
    </row>
    <row r="125" spans="1:19" ht="58" customHeight="1">
      <c r="A125" s="6" t="s">
        <v>1529</v>
      </c>
      <c r="B125" s="6" t="s">
        <v>1086</v>
      </c>
      <c r="C125" s="6" t="s">
        <v>1097</v>
      </c>
      <c r="D125" s="6" t="s">
        <v>1397</v>
      </c>
      <c r="E125" s="6" t="s">
        <v>1096</v>
      </c>
      <c r="F125" s="6" t="s">
        <v>8</v>
      </c>
      <c r="G125" s="6" t="s">
        <v>19</v>
      </c>
      <c r="H125" s="6" t="s">
        <v>1528</v>
      </c>
      <c r="I125" s="7"/>
      <c r="J125" s="7"/>
      <c r="K125" s="7"/>
      <c r="L125" s="6" t="s">
        <v>23</v>
      </c>
      <c r="M125" s="6" t="s">
        <v>29</v>
      </c>
      <c r="N125" s="6" t="s">
        <v>53</v>
      </c>
      <c r="O125" s="5"/>
      <c r="P125" s="6" t="s">
        <v>1094</v>
      </c>
      <c r="Q125" s="5"/>
      <c r="R125" s="22">
        <f>IF(OR(J125="",L125="Vollständig",L125="Nicht anwendbar"),"",MAX(0,TODAY()-J125))</f>
        <v/>
      </c>
      <c r="S125" s="5"/>
    </row>
    <row r="126" spans="1:19" ht="58" customHeight="1">
      <c r="A126" s="6" t="s">
        <v>1530</v>
      </c>
      <c r="B126" s="6" t="s">
        <v>1086</v>
      </c>
      <c r="C126" s="6" t="s">
        <v>1104</v>
      </c>
      <c r="D126" s="6" t="s">
        <v>1397</v>
      </c>
      <c r="E126" s="6" t="s">
        <v>1103</v>
      </c>
      <c r="F126" s="6" t="s">
        <v>8</v>
      </c>
      <c r="G126" s="6" t="s">
        <v>19</v>
      </c>
      <c r="H126" s="6" t="s">
        <v>1528</v>
      </c>
      <c r="I126" s="7"/>
      <c r="J126" s="7"/>
      <c r="K126" s="7"/>
      <c r="L126" s="6" t="s">
        <v>23</v>
      </c>
      <c r="M126" s="6" t="s">
        <v>29</v>
      </c>
      <c r="N126" s="6" t="s">
        <v>53</v>
      </c>
      <c r="O126" s="5"/>
      <c r="P126" s="6" t="s">
        <v>1101</v>
      </c>
      <c r="Q126" s="5"/>
      <c r="R126" s="22">
        <f>IF(OR(J126="",L126="Vollständig",L126="Nicht anwendbar"),"",MAX(0,TODAY()-J126))</f>
        <v/>
      </c>
      <c r="S126" s="5"/>
    </row>
    <row r="127" spans="1:19" ht="58" customHeight="1">
      <c r="A127" s="6" t="s">
        <v>1531</v>
      </c>
      <c r="B127" s="6" t="s">
        <v>1086</v>
      </c>
      <c r="C127" s="6" t="s">
        <v>1112</v>
      </c>
      <c r="D127" s="6" t="s">
        <v>1397</v>
      </c>
      <c r="E127" s="6" t="s">
        <v>1111</v>
      </c>
      <c r="F127" s="6" t="s">
        <v>9</v>
      </c>
      <c r="G127" s="6" t="s">
        <v>19</v>
      </c>
      <c r="H127" s="6" t="s">
        <v>1528</v>
      </c>
      <c r="I127" s="7"/>
      <c r="J127" s="7"/>
      <c r="K127" s="7"/>
      <c r="L127" s="6" t="s">
        <v>23</v>
      </c>
      <c r="M127" s="6" t="s">
        <v>29</v>
      </c>
      <c r="N127" s="6" t="s">
        <v>53</v>
      </c>
      <c r="O127" s="5"/>
      <c r="P127" s="6" t="s">
        <v>1109</v>
      </c>
      <c r="Q127" s="5"/>
      <c r="R127" s="22">
        <f>IF(OR(J127="",L127="Vollständig",L127="Nicht anwendbar"),"",MAX(0,TODAY()-J127))</f>
        <v/>
      </c>
      <c r="S127" s="5"/>
    </row>
    <row r="128" spans="1:19" ht="58" customHeight="1">
      <c r="A128" s="6" t="s">
        <v>1532</v>
      </c>
      <c r="B128" s="6" t="s">
        <v>1086</v>
      </c>
      <c r="C128" s="6" t="s">
        <v>1119</v>
      </c>
      <c r="D128" s="6" t="s">
        <v>1397</v>
      </c>
      <c r="E128" s="6" t="s">
        <v>1118</v>
      </c>
      <c r="F128" s="6" t="s">
        <v>9</v>
      </c>
      <c r="G128" s="6" t="s">
        <v>19</v>
      </c>
      <c r="H128" s="6" t="s">
        <v>1528</v>
      </c>
      <c r="I128" s="7"/>
      <c r="J128" s="7"/>
      <c r="K128" s="7"/>
      <c r="L128" s="6" t="s">
        <v>23</v>
      </c>
      <c r="M128" s="6" t="s">
        <v>29</v>
      </c>
      <c r="N128" s="6" t="s">
        <v>53</v>
      </c>
      <c r="O128" s="5"/>
      <c r="P128" s="6" t="s">
        <v>1116</v>
      </c>
      <c r="Q128" s="5"/>
      <c r="R128" s="22">
        <f>IF(OR(J128="",L128="Vollständig",L128="Nicht anwendbar"),"",MAX(0,TODAY()-J128))</f>
        <v/>
      </c>
      <c r="S128" s="5"/>
    </row>
    <row r="129" spans="1:19" ht="58" customHeight="1">
      <c r="A129" s="6" t="s">
        <v>1533</v>
      </c>
      <c r="B129" s="6" t="s">
        <v>1086</v>
      </c>
      <c r="C129" s="6" t="s">
        <v>1127</v>
      </c>
      <c r="D129" s="6" t="s">
        <v>1397</v>
      </c>
      <c r="E129" s="6" t="s">
        <v>1126</v>
      </c>
      <c r="F129" s="6" t="s">
        <v>8</v>
      </c>
      <c r="G129" s="6" t="s">
        <v>19</v>
      </c>
      <c r="H129" s="6" t="s">
        <v>1528</v>
      </c>
      <c r="I129" s="7"/>
      <c r="J129" s="7"/>
      <c r="K129" s="7"/>
      <c r="L129" s="6" t="s">
        <v>23</v>
      </c>
      <c r="M129" s="6" t="s">
        <v>29</v>
      </c>
      <c r="N129" s="6" t="s">
        <v>53</v>
      </c>
      <c r="O129" s="5"/>
      <c r="P129" s="6" t="s">
        <v>1124</v>
      </c>
      <c r="Q129" s="5"/>
      <c r="R129" s="22">
        <f>IF(OR(J129="",L129="Vollständig",L129="Nicht anwendbar"),"",MAX(0,TODAY()-J129))</f>
        <v/>
      </c>
      <c r="S129" s="5"/>
    </row>
    <row r="130" spans="1:19" ht="58" customHeight="1">
      <c r="A130" s="6" t="s">
        <v>1534</v>
      </c>
      <c r="B130" s="6" t="s">
        <v>1086</v>
      </c>
      <c r="C130" s="6" t="s">
        <v>1135</v>
      </c>
      <c r="D130" s="6" t="s">
        <v>1397</v>
      </c>
      <c r="E130" s="6" t="s">
        <v>1134</v>
      </c>
      <c r="F130" s="6" t="s">
        <v>8</v>
      </c>
      <c r="G130" s="6" t="s">
        <v>19</v>
      </c>
      <c r="H130" s="6" t="s">
        <v>1528</v>
      </c>
      <c r="I130" s="7"/>
      <c r="J130" s="7"/>
      <c r="K130" s="7"/>
      <c r="L130" s="6" t="s">
        <v>23</v>
      </c>
      <c r="M130" s="6" t="s">
        <v>29</v>
      </c>
      <c r="N130" s="6" t="s">
        <v>53</v>
      </c>
      <c r="O130" s="5"/>
      <c r="P130" s="6" t="s">
        <v>1132</v>
      </c>
      <c r="Q130" s="5"/>
      <c r="R130" s="22">
        <f>IF(OR(J130="",L130="Vollständig",L130="Nicht anwendbar"),"",MAX(0,TODAY()-J130))</f>
        <v/>
      </c>
      <c r="S130" s="5"/>
    </row>
    <row r="131" spans="1:19" ht="58" customHeight="1">
      <c r="A131" s="6" t="s">
        <v>1535</v>
      </c>
      <c r="B131" s="6" t="s">
        <v>1086</v>
      </c>
      <c r="C131" s="6" t="s">
        <v>1143</v>
      </c>
      <c r="D131" s="6" t="s">
        <v>1397</v>
      </c>
      <c r="E131" s="6" t="s">
        <v>1142</v>
      </c>
      <c r="F131" s="6" t="s">
        <v>9</v>
      </c>
      <c r="G131" s="6" t="s">
        <v>19</v>
      </c>
      <c r="H131" s="6" t="s">
        <v>1528</v>
      </c>
      <c r="I131" s="7"/>
      <c r="J131" s="7"/>
      <c r="K131" s="7"/>
      <c r="L131" s="6" t="s">
        <v>23</v>
      </c>
      <c r="M131" s="6" t="s">
        <v>29</v>
      </c>
      <c r="N131" s="6" t="s">
        <v>53</v>
      </c>
      <c r="O131" s="5"/>
      <c r="P131" s="6" t="s">
        <v>1140</v>
      </c>
      <c r="Q131" s="5"/>
      <c r="R131" s="22">
        <f>IF(OR(J131="",L131="Vollständig",L131="Nicht anwendbar"),"",MAX(0,TODAY()-J131))</f>
        <v/>
      </c>
      <c r="S131" s="5"/>
    </row>
    <row r="132" spans="1:19" ht="58" customHeight="1">
      <c r="A132" s="6" t="s">
        <v>1536</v>
      </c>
      <c r="B132" s="6" t="s">
        <v>1086</v>
      </c>
      <c r="C132" s="6" t="s">
        <v>1150</v>
      </c>
      <c r="D132" s="6" t="s">
        <v>1397</v>
      </c>
      <c r="E132" s="6" t="s">
        <v>1149</v>
      </c>
      <c r="F132" s="6" t="s">
        <v>10</v>
      </c>
      <c r="G132" s="6" t="s">
        <v>21</v>
      </c>
      <c r="H132" s="6" t="s">
        <v>1528</v>
      </c>
      <c r="I132" s="7"/>
      <c r="J132" s="7"/>
      <c r="K132" s="7"/>
      <c r="L132" s="6" t="s">
        <v>23</v>
      </c>
      <c r="M132" s="6" t="s">
        <v>29</v>
      </c>
      <c r="N132" s="6" t="s">
        <v>53</v>
      </c>
      <c r="O132" s="5"/>
      <c r="P132" s="6" t="s">
        <v>1147</v>
      </c>
      <c r="Q132" s="5"/>
      <c r="R132" s="22">
        <f>IF(OR(J132="",L132="Vollständig",L132="Nicht anwendbar"),"",MAX(0,TODAY()-J132))</f>
        <v/>
      </c>
      <c r="S132" s="5"/>
    </row>
    <row r="133" spans="1:19" ht="58" customHeight="1">
      <c r="A133" s="6" t="s">
        <v>1537</v>
      </c>
      <c r="B133" s="6" t="s">
        <v>1155</v>
      </c>
      <c r="C133" s="6" t="s">
        <v>1158</v>
      </c>
      <c r="D133" s="6" t="s">
        <v>1397</v>
      </c>
      <c r="E133" s="6" t="s">
        <v>1157</v>
      </c>
      <c r="F133" s="6" t="s">
        <v>8</v>
      </c>
      <c r="G133" s="6" t="s">
        <v>19</v>
      </c>
      <c r="H133" s="6" t="s">
        <v>1538</v>
      </c>
      <c r="I133" s="7"/>
      <c r="J133" s="7"/>
      <c r="K133" s="7"/>
      <c r="L133" s="6" t="s">
        <v>23</v>
      </c>
      <c r="M133" s="6" t="s">
        <v>29</v>
      </c>
      <c r="N133" s="6" t="s">
        <v>53</v>
      </c>
      <c r="O133" s="5"/>
      <c r="P133" s="6" t="s">
        <v>1154</v>
      </c>
      <c r="Q133" s="5"/>
      <c r="R133" s="22">
        <f>IF(OR(J133="",L133="Vollständig",L133="Nicht anwendbar"),"",MAX(0,TODAY()-J133))</f>
        <v/>
      </c>
      <c r="S133" s="5"/>
    </row>
    <row r="134" spans="1:19" ht="58" customHeight="1">
      <c r="A134" s="6" t="s">
        <v>1539</v>
      </c>
      <c r="B134" s="6" t="s">
        <v>1155</v>
      </c>
      <c r="C134" s="6" t="s">
        <v>1165</v>
      </c>
      <c r="D134" s="6" t="s">
        <v>1397</v>
      </c>
      <c r="E134" s="6" t="s">
        <v>1164</v>
      </c>
      <c r="F134" s="6" t="s">
        <v>9</v>
      </c>
      <c r="G134" s="6" t="s">
        <v>19</v>
      </c>
      <c r="H134" s="6" t="s">
        <v>1538</v>
      </c>
      <c r="I134" s="7"/>
      <c r="J134" s="7"/>
      <c r="K134" s="7"/>
      <c r="L134" s="6" t="s">
        <v>23</v>
      </c>
      <c r="M134" s="6" t="s">
        <v>29</v>
      </c>
      <c r="N134" s="6" t="s">
        <v>53</v>
      </c>
      <c r="O134" s="5"/>
      <c r="P134" s="6" t="s">
        <v>1162</v>
      </c>
      <c r="Q134" s="5"/>
      <c r="R134" s="22">
        <f>IF(OR(J134="",L134="Vollständig",L134="Nicht anwendbar"),"",MAX(0,TODAY()-J134))</f>
        <v/>
      </c>
      <c r="S134" s="5"/>
    </row>
    <row r="135" spans="1:19" ht="58" customHeight="1">
      <c r="A135" s="6" t="s">
        <v>1540</v>
      </c>
      <c r="B135" s="6" t="s">
        <v>1155</v>
      </c>
      <c r="C135" s="6" t="s">
        <v>1172</v>
      </c>
      <c r="D135" s="6" t="s">
        <v>1397</v>
      </c>
      <c r="E135" s="6" t="s">
        <v>1171</v>
      </c>
      <c r="F135" s="6" t="s">
        <v>8</v>
      </c>
      <c r="G135" s="6" t="s">
        <v>19</v>
      </c>
      <c r="H135" s="6" t="s">
        <v>1538</v>
      </c>
      <c r="I135" s="7"/>
      <c r="J135" s="7"/>
      <c r="K135" s="7"/>
      <c r="L135" s="6" t="s">
        <v>23</v>
      </c>
      <c r="M135" s="6" t="s">
        <v>29</v>
      </c>
      <c r="N135" s="6" t="s">
        <v>53</v>
      </c>
      <c r="O135" s="5"/>
      <c r="P135" s="6" t="s">
        <v>1169</v>
      </c>
      <c r="Q135" s="5"/>
      <c r="R135" s="22">
        <f>IF(OR(J135="",L135="Vollständig",L135="Nicht anwendbar"),"",MAX(0,TODAY()-J135))</f>
        <v/>
      </c>
      <c r="S135" s="5"/>
    </row>
    <row r="136" spans="1:19" ht="58" customHeight="1">
      <c r="A136" s="6" t="s">
        <v>1541</v>
      </c>
      <c r="B136" s="6" t="s">
        <v>1155</v>
      </c>
      <c r="C136" s="6" t="s">
        <v>1179</v>
      </c>
      <c r="D136" s="6" t="s">
        <v>1397</v>
      </c>
      <c r="E136" s="6" t="s">
        <v>1178</v>
      </c>
      <c r="F136" s="6" t="s">
        <v>9</v>
      </c>
      <c r="G136" s="6" t="s">
        <v>19</v>
      </c>
      <c r="H136" s="6" t="s">
        <v>1538</v>
      </c>
      <c r="I136" s="7"/>
      <c r="J136" s="7"/>
      <c r="K136" s="7"/>
      <c r="L136" s="6" t="s">
        <v>23</v>
      </c>
      <c r="M136" s="6" t="s">
        <v>29</v>
      </c>
      <c r="N136" s="6" t="s">
        <v>53</v>
      </c>
      <c r="O136" s="5"/>
      <c r="P136" s="6" t="s">
        <v>1176</v>
      </c>
      <c r="Q136" s="5"/>
      <c r="R136" s="22">
        <f>IF(OR(J136="",L136="Vollständig",L136="Nicht anwendbar"),"",MAX(0,TODAY()-J136))</f>
        <v/>
      </c>
      <c r="S136" s="5"/>
    </row>
    <row r="137" spans="1:19" ht="58" customHeight="1">
      <c r="A137" s="6" t="s">
        <v>1542</v>
      </c>
      <c r="B137" s="6" t="s">
        <v>1155</v>
      </c>
      <c r="C137" s="6" t="s">
        <v>1187</v>
      </c>
      <c r="D137" s="6" t="s">
        <v>1397</v>
      </c>
      <c r="E137" s="6" t="s">
        <v>1186</v>
      </c>
      <c r="F137" s="6" t="s">
        <v>9</v>
      </c>
      <c r="G137" s="6" t="s">
        <v>19</v>
      </c>
      <c r="H137" s="6" t="s">
        <v>1538</v>
      </c>
      <c r="I137" s="7"/>
      <c r="J137" s="7"/>
      <c r="K137" s="7"/>
      <c r="L137" s="6" t="s">
        <v>23</v>
      </c>
      <c r="M137" s="6" t="s">
        <v>29</v>
      </c>
      <c r="N137" s="6" t="s">
        <v>53</v>
      </c>
      <c r="O137" s="5"/>
      <c r="P137" s="6" t="s">
        <v>1184</v>
      </c>
      <c r="Q137" s="5"/>
      <c r="R137" s="22">
        <f>IF(OR(J137="",L137="Vollständig",L137="Nicht anwendbar"),"",MAX(0,TODAY()-J137))</f>
        <v/>
      </c>
      <c r="S137" s="5"/>
    </row>
    <row r="138" spans="1:19" ht="58" customHeight="1">
      <c r="A138" s="6" t="s">
        <v>1543</v>
      </c>
      <c r="B138" s="6" t="s">
        <v>1192</v>
      </c>
      <c r="C138" s="6" t="s">
        <v>1195</v>
      </c>
      <c r="D138" s="6" t="s">
        <v>1397</v>
      </c>
      <c r="E138" s="6" t="s">
        <v>1194</v>
      </c>
      <c r="F138" s="6" t="s">
        <v>9</v>
      </c>
      <c r="G138" s="6" t="s">
        <v>19</v>
      </c>
      <c r="H138" s="6" t="s">
        <v>1544</v>
      </c>
      <c r="I138" s="7"/>
      <c r="J138" s="7"/>
      <c r="K138" s="7"/>
      <c r="L138" s="6" t="s">
        <v>23</v>
      </c>
      <c r="M138" s="6" t="s">
        <v>29</v>
      </c>
      <c r="N138" s="6" t="s">
        <v>53</v>
      </c>
      <c r="O138" s="5"/>
      <c r="P138" s="6" t="s">
        <v>1191</v>
      </c>
      <c r="Q138" s="5"/>
      <c r="R138" s="22">
        <f>IF(OR(J138="",L138="Vollständig",L138="Nicht anwendbar"),"",MAX(0,TODAY()-J138))</f>
        <v/>
      </c>
      <c r="S138" s="5"/>
    </row>
    <row r="139" spans="1:19" ht="58" customHeight="1">
      <c r="A139" s="6" t="s">
        <v>1545</v>
      </c>
      <c r="B139" s="6" t="s">
        <v>1192</v>
      </c>
      <c r="C139" s="6" t="s">
        <v>1202</v>
      </c>
      <c r="D139" s="6" t="s">
        <v>1397</v>
      </c>
      <c r="E139" s="6" t="s">
        <v>1201</v>
      </c>
      <c r="F139" s="6" t="s">
        <v>9</v>
      </c>
      <c r="G139" s="6" t="s">
        <v>19</v>
      </c>
      <c r="H139" s="6" t="s">
        <v>1544</v>
      </c>
      <c r="I139" s="7"/>
      <c r="J139" s="7"/>
      <c r="K139" s="7"/>
      <c r="L139" s="6" t="s">
        <v>23</v>
      </c>
      <c r="M139" s="6" t="s">
        <v>29</v>
      </c>
      <c r="N139" s="6" t="s">
        <v>53</v>
      </c>
      <c r="O139" s="5"/>
      <c r="P139" s="6" t="s">
        <v>1199</v>
      </c>
      <c r="Q139" s="5"/>
      <c r="R139" s="22">
        <f>IF(OR(J139="",L139="Vollständig",L139="Nicht anwendbar"),"",MAX(0,TODAY()-J139))</f>
        <v/>
      </c>
      <c r="S139" s="5"/>
    </row>
    <row r="140" spans="1:19" ht="58" customHeight="1">
      <c r="A140" s="6" t="s">
        <v>1546</v>
      </c>
      <c r="B140" s="6" t="s">
        <v>1192</v>
      </c>
      <c r="C140" s="6" t="s">
        <v>1209</v>
      </c>
      <c r="D140" s="6" t="s">
        <v>1397</v>
      </c>
      <c r="E140" s="6" t="s">
        <v>1208</v>
      </c>
      <c r="F140" s="6" t="s">
        <v>8</v>
      </c>
      <c r="G140" s="6" t="s">
        <v>19</v>
      </c>
      <c r="H140" s="6" t="s">
        <v>1544</v>
      </c>
      <c r="I140" s="7"/>
      <c r="J140" s="7"/>
      <c r="K140" s="7"/>
      <c r="L140" s="6" t="s">
        <v>23</v>
      </c>
      <c r="M140" s="6" t="s">
        <v>29</v>
      </c>
      <c r="N140" s="6" t="s">
        <v>53</v>
      </c>
      <c r="O140" s="5"/>
      <c r="P140" s="6" t="s">
        <v>1206</v>
      </c>
      <c r="Q140" s="5"/>
      <c r="R140" s="22">
        <f>IF(OR(J140="",L140="Vollständig",L140="Nicht anwendbar"),"",MAX(0,TODAY()-J140))</f>
        <v/>
      </c>
      <c r="S140" s="5"/>
    </row>
    <row r="141" spans="1:19" ht="58" customHeight="1">
      <c r="A141" s="6" t="s">
        <v>1547</v>
      </c>
      <c r="B141" s="6" t="s">
        <v>1192</v>
      </c>
      <c r="C141" s="6" t="s">
        <v>1216</v>
      </c>
      <c r="D141" s="6" t="s">
        <v>1397</v>
      </c>
      <c r="E141" s="6" t="s">
        <v>1215</v>
      </c>
      <c r="F141" s="6" t="s">
        <v>8</v>
      </c>
      <c r="G141" s="6" t="s">
        <v>19</v>
      </c>
      <c r="H141" s="6" t="s">
        <v>1544</v>
      </c>
      <c r="I141" s="7"/>
      <c r="J141" s="7"/>
      <c r="K141" s="7"/>
      <c r="L141" s="6" t="s">
        <v>23</v>
      </c>
      <c r="M141" s="6" t="s">
        <v>29</v>
      </c>
      <c r="N141" s="6" t="s">
        <v>53</v>
      </c>
      <c r="O141" s="5"/>
      <c r="P141" s="6" t="s">
        <v>1213</v>
      </c>
      <c r="Q141" s="5"/>
      <c r="R141" s="22">
        <f>IF(OR(J141="",L141="Vollständig",L141="Nicht anwendbar"),"",MAX(0,TODAY()-J141))</f>
        <v/>
      </c>
      <c r="S141" s="5"/>
    </row>
    <row r="142" spans="1:19" ht="58" customHeight="1">
      <c r="A142" s="6" t="s">
        <v>1548</v>
      </c>
      <c r="B142" s="6" t="s">
        <v>1192</v>
      </c>
      <c r="C142" s="6" t="s">
        <v>1224</v>
      </c>
      <c r="D142" s="6" t="s">
        <v>1397</v>
      </c>
      <c r="E142" s="6" t="s">
        <v>1223</v>
      </c>
      <c r="F142" s="6" t="s">
        <v>9</v>
      </c>
      <c r="G142" s="6" t="s">
        <v>19</v>
      </c>
      <c r="H142" s="6" t="s">
        <v>1544</v>
      </c>
      <c r="I142" s="7"/>
      <c r="J142" s="7"/>
      <c r="K142" s="7"/>
      <c r="L142" s="6" t="s">
        <v>23</v>
      </c>
      <c r="M142" s="6" t="s">
        <v>29</v>
      </c>
      <c r="N142" s="6" t="s">
        <v>53</v>
      </c>
      <c r="O142" s="5"/>
      <c r="P142" s="6" t="s">
        <v>1221</v>
      </c>
      <c r="Q142" s="5"/>
      <c r="R142" s="22">
        <f>IF(OR(J142="",L142="Vollständig",L142="Nicht anwendbar"),"",MAX(0,TODAY()-J142))</f>
        <v/>
      </c>
      <c r="S142" s="5"/>
    </row>
    <row r="143" spans="1:19" ht="58" customHeight="1">
      <c r="A143" s="6" t="s">
        <v>1549</v>
      </c>
      <c r="B143" s="6" t="s">
        <v>1230</v>
      </c>
      <c r="C143" s="6" t="s">
        <v>1233</v>
      </c>
      <c r="D143" s="6" t="s">
        <v>1397</v>
      </c>
      <c r="E143" s="6" t="s">
        <v>1232</v>
      </c>
      <c r="F143" s="6" t="s">
        <v>8</v>
      </c>
      <c r="G143" s="6" t="s">
        <v>19</v>
      </c>
      <c r="H143" s="6" t="s">
        <v>1550</v>
      </c>
      <c r="I143" s="7"/>
      <c r="J143" s="7"/>
      <c r="K143" s="7"/>
      <c r="L143" s="6" t="s">
        <v>23</v>
      </c>
      <c r="M143" s="6" t="s">
        <v>29</v>
      </c>
      <c r="N143" s="6" t="s">
        <v>54</v>
      </c>
      <c r="O143" s="5"/>
      <c r="P143" s="6" t="s">
        <v>1229</v>
      </c>
      <c r="Q143" s="5"/>
      <c r="R143" s="22">
        <f>IF(OR(J143="",L143="Vollständig",L143="Nicht anwendbar"),"",MAX(0,TODAY()-J143))</f>
        <v/>
      </c>
      <c r="S143" s="5"/>
    </row>
    <row r="144" spans="1:19" ht="58" customHeight="1">
      <c r="A144" s="6" t="s">
        <v>1551</v>
      </c>
      <c r="B144" s="6" t="s">
        <v>1230</v>
      </c>
      <c r="C144" s="6" t="s">
        <v>1241</v>
      </c>
      <c r="D144" s="6" t="s">
        <v>1397</v>
      </c>
      <c r="E144" s="6" t="s">
        <v>1240</v>
      </c>
      <c r="F144" s="6" t="s">
        <v>8</v>
      </c>
      <c r="G144" s="6" t="s">
        <v>19</v>
      </c>
      <c r="H144" s="6" t="s">
        <v>1550</v>
      </c>
      <c r="I144" s="7"/>
      <c r="J144" s="7"/>
      <c r="K144" s="7"/>
      <c r="L144" s="6" t="s">
        <v>23</v>
      </c>
      <c r="M144" s="6" t="s">
        <v>29</v>
      </c>
      <c r="N144" s="6" t="s">
        <v>54</v>
      </c>
      <c r="O144" s="5"/>
      <c r="P144" s="6" t="s">
        <v>1238</v>
      </c>
      <c r="Q144" s="5"/>
      <c r="R144" s="22">
        <f>IF(OR(J144="",L144="Vollständig",L144="Nicht anwendbar"),"",MAX(0,TODAY()-J144))</f>
        <v/>
      </c>
      <c r="S144" s="5"/>
    </row>
    <row r="145" spans="1:19" ht="58" customHeight="1">
      <c r="A145" s="6" t="s">
        <v>1552</v>
      </c>
      <c r="B145" s="6" t="s">
        <v>1230</v>
      </c>
      <c r="C145" s="6" t="s">
        <v>1249</v>
      </c>
      <c r="D145" s="6" t="s">
        <v>1397</v>
      </c>
      <c r="E145" s="6" t="s">
        <v>1248</v>
      </c>
      <c r="F145" s="6" t="s">
        <v>8</v>
      </c>
      <c r="G145" s="6" t="s">
        <v>19</v>
      </c>
      <c r="H145" s="6" t="s">
        <v>1550</v>
      </c>
      <c r="I145" s="7"/>
      <c r="J145" s="7"/>
      <c r="K145" s="7"/>
      <c r="L145" s="6" t="s">
        <v>23</v>
      </c>
      <c r="M145" s="6" t="s">
        <v>29</v>
      </c>
      <c r="N145" s="6" t="s">
        <v>54</v>
      </c>
      <c r="O145" s="5"/>
      <c r="P145" s="6" t="s">
        <v>1246</v>
      </c>
      <c r="Q145" s="5"/>
      <c r="R145" s="22">
        <f>IF(OR(J145="",L145="Vollständig",L145="Nicht anwendbar"),"",MAX(0,TODAY()-J145))</f>
        <v/>
      </c>
      <c r="S145" s="5"/>
    </row>
    <row r="146" spans="1:19" ht="58" customHeight="1">
      <c r="A146" s="6" t="s">
        <v>1553</v>
      </c>
      <c r="B146" s="6" t="s">
        <v>1230</v>
      </c>
      <c r="C146" s="6" t="s">
        <v>1258</v>
      </c>
      <c r="D146" s="6" t="s">
        <v>1397</v>
      </c>
      <c r="E146" s="6" t="s">
        <v>1257</v>
      </c>
      <c r="F146" s="6" t="s">
        <v>8</v>
      </c>
      <c r="G146" s="6" t="s">
        <v>19</v>
      </c>
      <c r="H146" s="6" t="s">
        <v>1550</v>
      </c>
      <c r="I146" s="7"/>
      <c r="J146" s="7"/>
      <c r="K146" s="7"/>
      <c r="L146" s="6" t="s">
        <v>23</v>
      </c>
      <c r="M146" s="6" t="s">
        <v>29</v>
      </c>
      <c r="N146" s="6" t="s">
        <v>54</v>
      </c>
      <c r="O146" s="5"/>
      <c r="P146" s="6" t="s">
        <v>1255</v>
      </c>
      <c r="Q146" s="5"/>
      <c r="R146" s="22">
        <f>IF(OR(J146="",L146="Vollständig",L146="Nicht anwendbar"),"",MAX(0,TODAY()-J146))</f>
        <v/>
      </c>
      <c r="S146" s="5"/>
    </row>
    <row r="147" spans="1:19" ht="58" customHeight="1">
      <c r="A147" s="6" t="s">
        <v>1554</v>
      </c>
      <c r="B147" s="6" t="s">
        <v>1230</v>
      </c>
      <c r="C147" s="6" t="s">
        <v>1266</v>
      </c>
      <c r="D147" s="6" t="s">
        <v>1397</v>
      </c>
      <c r="E147" s="6" t="s">
        <v>1265</v>
      </c>
      <c r="F147" s="6" t="s">
        <v>8</v>
      </c>
      <c r="G147" s="6" t="s">
        <v>19</v>
      </c>
      <c r="H147" s="6" t="s">
        <v>1550</v>
      </c>
      <c r="I147" s="7"/>
      <c r="J147" s="7"/>
      <c r="K147" s="7"/>
      <c r="L147" s="6" t="s">
        <v>23</v>
      </c>
      <c r="M147" s="6" t="s">
        <v>29</v>
      </c>
      <c r="N147" s="6" t="s">
        <v>54</v>
      </c>
      <c r="O147" s="5"/>
      <c r="P147" s="6" t="s">
        <v>1263</v>
      </c>
      <c r="Q147" s="5"/>
      <c r="R147" s="22">
        <f>IF(OR(J147="",L147="Vollständig",L147="Nicht anwendbar"),"",MAX(0,TODAY()-J147))</f>
        <v/>
      </c>
      <c r="S147" s="5"/>
    </row>
    <row r="148" spans="1:19" ht="58" customHeight="1">
      <c r="A148" s="6" t="s">
        <v>1555</v>
      </c>
      <c r="B148" s="6" t="s">
        <v>1230</v>
      </c>
      <c r="C148" s="6" t="s">
        <v>1274</v>
      </c>
      <c r="D148" s="6" t="s">
        <v>1397</v>
      </c>
      <c r="E148" s="6" t="s">
        <v>1273</v>
      </c>
      <c r="F148" s="6" t="s">
        <v>9</v>
      </c>
      <c r="G148" s="6" t="s">
        <v>19</v>
      </c>
      <c r="H148" s="6" t="s">
        <v>1550</v>
      </c>
      <c r="I148" s="7"/>
      <c r="J148" s="7"/>
      <c r="K148" s="7"/>
      <c r="L148" s="6" t="s">
        <v>23</v>
      </c>
      <c r="M148" s="6" t="s">
        <v>29</v>
      </c>
      <c r="N148" s="6" t="s">
        <v>54</v>
      </c>
      <c r="O148" s="5"/>
      <c r="P148" s="6" t="s">
        <v>1271</v>
      </c>
      <c r="Q148" s="5"/>
      <c r="R148" s="22">
        <f>IF(OR(J148="",L148="Vollständig",L148="Nicht anwendbar"),"",MAX(0,TODAY()-J148))</f>
        <v/>
      </c>
      <c r="S148" s="5"/>
    </row>
    <row r="149" spans="1:19" ht="58" customHeight="1">
      <c r="A149" s="6" t="s">
        <v>1556</v>
      </c>
      <c r="B149" s="6" t="s">
        <v>1230</v>
      </c>
      <c r="C149" s="6" t="s">
        <v>1282</v>
      </c>
      <c r="D149" s="6" t="s">
        <v>1397</v>
      </c>
      <c r="E149" s="6" t="s">
        <v>1281</v>
      </c>
      <c r="F149" s="6" t="s">
        <v>8</v>
      </c>
      <c r="G149" s="6" t="s">
        <v>19</v>
      </c>
      <c r="H149" s="6" t="s">
        <v>1550</v>
      </c>
      <c r="I149" s="7"/>
      <c r="J149" s="7"/>
      <c r="K149" s="7"/>
      <c r="L149" s="6" t="s">
        <v>23</v>
      </c>
      <c r="M149" s="6" t="s">
        <v>29</v>
      </c>
      <c r="N149" s="6" t="s">
        <v>54</v>
      </c>
      <c r="O149" s="5"/>
      <c r="P149" s="6" t="s">
        <v>1279</v>
      </c>
      <c r="Q149" s="5"/>
      <c r="R149" s="22">
        <f>IF(OR(J149="",L149="Vollständig",L149="Nicht anwendbar"),"",MAX(0,TODAY()-J149))</f>
        <v/>
      </c>
      <c r="S149" s="5"/>
    </row>
    <row r="150" spans="1:19" ht="58" customHeight="1">
      <c r="A150" s="6" t="s">
        <v>1557</v>
      </c>
      <c r="B150" s="6" t="s">
        <v>1230</v>
      </c>
      <c r="C150" s="6" t="s">
        <v>1288</v>
      </c>
      <c r="D150" s="6" t="s">
        <v>1397</v>
      </c>
      <c r="E150" s="6" t="s">
        <v>1287</v>
      </c>
      <c r="F150" s="6" t="s">
        <v>9</v>
      </c>
      <c r="G150" s="6" t="s">
        <v>19</v>
      </c>
      <c r="H150" s="6" t="s">
        <v>1550</v>
      </c>
      <c r="I150" s="7"/>
      <c r="J150" s="7"/>
      <c r="K150" s="7"/>
      <c r="L150" s="6" t="s">
        <v>23</v>
      </c>
      <c r="M150" s="6" t="s">
        <v>29</v>
      </c>
      <c r="N150" s="6" t="s">
        <v>54</v>
      </c>
      <c r="O150" s="5"/>
      <c r="P150" s="6" t="s">
        <v>1286</v>
      </c>
      <c r="Q150" s="5"/>
      <c r="R150" s="22">
        <f>IF(OR(J150="",L150="Vollständig",L150="Nicht anwendbar"),"",MAX(0,TODAY()-J150))</f>
        <v/>
      </c>
      <c r="S150" s="5"/>
    </row>
    <row r="151" spans="1:19" ht="58" customHeight="1">
      <c r="A151" s="6" t="s">
        <v>1558</v>
      </c>
      <c r="B151" s="6" t="s">
        <v>1230</v>
      </c>
      <c r="C151" s="6" t="s">
        <v>1295</v>
      </c>
      <c r="D151" s="6" t="s">
        <v>1397</v>
      </c>
      <c r="E151" s="6" t="s">
        <v>1294</v>
      </c>
      <c r="F151" s="6" t="s">
        <v>8</v>
      </c>
      <c r="G151" s="6" t="s">
        <v>19</v>
      </c>
      <c r="H151" s="6" t="s">
        <v>1550</v>
      </c>
      <c r="I151" s="7"/>
      <c r="J151" s="7"/>
      <c r="K151" s="7"/>
      <c r="L151" s="6" t="s">
        <v>23</v>
      </c>
      <c r="M151" s="6" t="s">
        <v>29</v>
      </c>
      <c r="N151" s="6" t="s">
        <v>54</v>
      </c>
      <c r="O151" s="5"/>
      <c r="P151" s="6" t="s">
        <v>1292</v>
      </c>
      <c r="Q151" s="5"/>
      <c r="R151" s="22">
        <f>IF(OR(J151="",L151="Vollständig",L151="Nicht anwendbar"),"",MAX(0,TODAY()-J151))</f>
        <v/>
      </c>
      <c r="S151" s="5"/>
    </row>
    <row r="152" spans="1:19" ht="58" customHeight="1">
      <c r="A152" s="6" t="s">
        <v>1559</v>
      </c>
      <c r="B152" s="6" t="s">
        <v>1301</v>
      </c>
      <c r="C152" s="6" t="s">
        <v>1304</v>
      </c>
      <c r="D152" s="6" t="s">
        <v>1397</v>
      </c>
      <c r="E152" s="6" t="s">
        <v>1303</v>
      </c>
      <c r="F152" s="6" t="s">
        <v>8</v>
      </c>
      <c r="G152" s="6" t="s">
        <v>19</v>
      </c>
      <c r="H152" s="6" t="s">
        <v>1560</v>
      </c>
      <c r="I152" s="7"/>
      <c r="J152" s="7"/>
      <c r="K152" s="7"/>
      <c r="L152" s="6" t="s">
        <v>23</v>
      </c>
      <c r="M152" s="6" t="s">
        <v>29</v>
      </c>
      <c r="N152" s="6" t="s">
        <v>53</v>
      </c>
      <c r="O152" s="5"/>
      <c r="P152" s="6" t="s">
        <v>1300</v>
      </c>
      <c r="Q152" s="5"/>
      <c r="R152" s="22">
        <f>IF(OR(J152="",L152="Vollständig",L152="Nicht anwendbar"),"",MAX(0,TODAY()-J152))</f>
        <v/>
      </c>
      <c r="S152" s="5"/>
    </row>
    <row r="153" spans="1:19" ht="58" customHeight="1">
      <c r="A153" s="6" t="s">
        <v>1561</v>
      </c>
      <c r="B153" s="6" t="s">
        <v>1301</v>
      </c>
      <c r="C153" s="6" t="s">
        <v>1311</v>
      </c>
      <c r="D153" s="6" t="s">
        <v>1397</v>
      </c>
      <c r="E153" s="6" t="s">
        <v>1310</v>
      </c>
      <c r="F153" s="6" t="s">
        <v>8</v>
      </c>
      <c r="G153" s="6" t="s">
        <v>19</v>
      </c>
      <c r="H153" s="6" t="s">
        <v>1560</v>
      </c>
      <c r="I153" s="7"/>
      <c r="J153" s="7"/>
      <c r="K153" s="7"/>
      <c r="L153" s="6" t="s">
        <v>23</v>
      </c>
      <c r="M153" s="6" t="s">
        <v>29</v>
      </c>
      <c r="N153" s="6" t="s">
        <v>53</v>
      </c>
      <c r="O153" s="5"/>
      <c r="P153" s="6" t="s">
        <v>1308</v>
      </c>
      <c r="Q153" s="5"/>
      <c r="R153" s="22">
        <f>IF(OR(J153="",L153="Vollständig",L153="Nicht anwendbar"),"",MAX(0,TODAY()-J153))</f>
        <v/>
      </c>
      <c r="S153" s="5"/>
    </row>
    <row r="154" spans="1:19" ht="58" customHeight="1">
      <c r="A154" s="6" t="s">
        <v>1562</v>
      </c>
      <c r="B154" s="6" t="s">
        <v>1301</v>
      </c>
      <c r="C154" s="6" t="s">
        <v>1319</v>
      </c>
      <c r="D154" s="6" t="s">
        <v>1397</v>
      </c>
      <c r="E154" s="6" t="s">
        <v>1318</v>
      </c>
      <c r="F154" s="6" t="s">
        <v>8</v>
      </c>
      <c r="G154" s="6" t="s">
        <v>19</v>
      </c>
      <c r="H154" s="6" t="s">
        <v>1560</v>
      </c>
      <c r="I154" s="7"/>
      <c r="J154" s="7"/>
      <c r="K154" s="7"/>
      <c r="L154" s="6" t="s">
        <v>23</v>
      </c>
      <c r="M154" s="6" t="s">
        <v>29</v>
      </c>
      <c r="N154" s="6" t="s">
        <v>53</v>
      </c>
      <c r="O154" s="5"/>
      <c r="P154" s="6" t="s">
        <v>1316</v>
      </c>
      <c r="Q154" s="5"/>
      <c r="R154" s="22">
        <f>IF(OR(J154="",L154="Vollständig",L154="Nicht anwendbar"),"",MAX(0,TODAY()-J154))</f>
        <v/>
      </c>
      <c r="S154" s="5"/>
    </row>
    <row r="155" spans="1:19" ht="58" customHeight="1">
      <c r="A155" s="6" t="s">
        <v>1563</v>
      </c>
      <c r="B155" s="6" t="s">
        <v>1301</v>
      </c>
      <c r="C155" s="6" t="s">
        <v>1327</v>
      </c>
      <c r="D155" s="6" t="s">
        <v>1397</v>
      </c>
      <c r="E155" s="6" t="s">
        <v>1326</v>
      </c>
      <c r="F155" s="6" t="s">
        <v>8</v>
      </c>
      <c r="G155" s="6" t="s">
        <v>19</v>
      </c>
      <c r="H155" s="6" t="s">
        <v>1560</v>
      </c>
      <c r="I155" s="7"/>
      <c r="J155" s="7"/>
      <c r="K155" s="7"/>
      <c r="L155" s="6" t="s">
        <v>23</v>
      </c>
      <c r="M155" s="6" t="s">
        <v>29</v>
      </c>
      <c r="N155" s="6" t="s">
        <v>53</v>
      </c>
      <c r="O155" s="5"/>
      <c r="P155" s="6" t="s">
        <v>1324</v>
      </c>
      <c r="Q155" s="5"/>
      <c r="R155" s="22">
        <f>IF(OR(J155="",L155="Vollständig",L155="Nicht anwendbar"),"",MAX(0,TODAY()-J155))</f>
        <v/>
      </c>
      <c r="S155" s="5"/>
    </row>
    <row r="156" spans="1:19" ht="58" customHeight="1">
      <c r="A156" s="6" t="s">
        <v>1564</v>
      </c>
      <c r="B156" s="6" t="s">
        <v>1301</v>
      </c>
      <c r="C156" s="6" t="s">
        <v>1335</v>
      </c>
      <c r="D156" s="6" t="s">
        <v>1397</v>
      </c>
      <c r="E156" s="6" t="s">
        <v>1334</v>
      </c>
      <c r="F156" s="6" t="s">
        <v>9</v>
      </c>
      <c r="G156" s="6" t="s">
        <v>19</v>
      </c>
      <c r="H156" s="6" t="s">
        <v>1560</v>
      </c>
      <c r="I156" s="7"/>
      <c r="J156" s="7"/>
      <c r="K156" s="7"/>
      <c r="L156" s="6" t="s">
        <v>23</v>
      </c>
      <c r="M156" s="6" t="s">
        <v>29</v>
      </c>
      <c r="N156" s="6" t="s">
        <v>53</v>
      </c>
      <c r="O156" s="5"/>
      <c r="P156" s="6" t="s">
        <v>1332</v>
      </c>
      <c r="Q156" s="5"/>
      <c r="R156" s="22">
        <f>IF(OR(J156="",L156="Vollständig",L156="Nicht anwendbar"),"",MAX(0,TODAY()-J156))</f>
        <v/>
      </c>
      <c r="S156" s="5"/>
    </row>
    <row r="157" spans="1:19" ht="58" customHeight="1">
      <c r="A157" s="6" t="s">
        <v>1565</v>
      </c>
      <c r="B157" s="6" t="s">
        <v>1301</v>
      </c>
      <c r="C157" s="6" t="s">
        <v>1343</v>
      </c>
      <c r="D157" s="6" t="s">
        <v>1397</v>
      </c>
      <c r="E157" s="6" t="s">
        <v>1342</v>
      </c>
      <c r="F157" s="6" t="s">
        <v>8</v>
      </c>
      <c r="G157" s="6" t="s">
        <v>19</v>
      </c>
      <c r="H157" s="6" t="s">
        <v>1560</v>
      </c>
      <c r="I157" s="7"/>
      <c r="J157" s="7"/>
      <c r="K157" s="7"/>
      <c r="L157" s="6" t="s">
        <v>23</v>
      </c>
      <c r="M157" s="6" t="s">
        <v>29</v>
      </c>
      <c r="N157" s="6" t="s">
        <v>53</v>
      </c>
      <c r="O157" s="5"/>
      <c r="P157" s="6" t="s">
        <v>1340</v>
      </c>
      <c r="Q157" s="5"/>
      <c r="R157" s="22">
        <f>IF(OR(J157="",L157="Vollständig",L157="Nicht anwendbar"),"",MAX(0,TODAY()-J157))</f>
        <v/>
      </c>
      <c r="S157" s="5"/>
    </row>
    <row r="158" spans="1:19" ht="58" customHeight="1">
      <c r="A158" s="6" t="s">
        <v>1566</v>
      </c>
      <c r="B158" s="6" t="s">
        <v>1301</v>
      </c>
      <c r="C158" s="6" t="s">
        <v>1351</v>
      </c>
      <c r="D158" s="6" t="s">
        <v>1397</v>
      </c>
      <c r="E158" s="6" t="s">
        <v>1350</v>
      </c>
      <c r="F158" s="6" t="s">
        <v>9</v>
      </c>
      <c r="G158" s="6" t="s">
        <v>19</v>
      </c>
      <c r="H158" s="6" t="s">
        <v>1560</v>
      </c>
      <c r="I158" s="7"/>
      <c r="J158" s="7"/>
      <c r="K158" s="7"/>
      <c r="L158" s="6" t="s">
        <v>23</v>
      </c>
      <c r="M158" s="6" t="s">
        <v>29</v>
      </c>
      <c r="N158" s="6" t="s">
        <v>53</v>
      </c>
      <c r="O158" s="5"/>
      <c r="P158" s="6" t="s">
        <v>1348</v>
      </c>
      <c r="Q158" s="5"/>
      <c r="R158" s="22">
        <f>IF(OR(J158="",L158="Vollständig",L158="Nicht anwendbar"),"",MAX(0,TODAY()-J158))</f>
        <v/>
      </c>
      <c r="S158" s="5"/>
    </row>
    <row r="159" spans="1:19" ht="58" customHeight="1">
      <c r="A159" s="6" t="s">
        <v>1567</v>
      </c>
      <c r="B159" s="6" t="s">
        <v>1301</v>
      </c>
      <c r="C159" s="6" t="s">
        <v>1358</v>
      </c>
      <c r="D159" s="6" t="s">
        <v>1397</v>
      </c>
      <c r="E159" s="6" t="s">
        <v>1357</v>
      </c>
      <c r="F159" s="6" t="s">
        <v>8</v>
      </c>
      <c r="G159" s="6" t="s">
        <v>19</v>
      </c>
      <c r="H159" s="6" t="s">
        <v>1560</v>
      </c>
      <c r="I159" s="7"/>
      <c r="J159" s="7"/>
      <c r="K159" s="7"/>
      <c r="L159" s="6" t="s">
        <v>23</v>
      </c>
      <c r="M159" s="6" t="s">
        <v>29</v>
      </c>
      <c r="N159" s="6" t="s">
        <v>53</v>
      </c>
      <c r="O159" s="5"/>
      <c r="P159" s="6" t="s">
        <v>1355</v>
      </c>
      <c r="Q159" s="5"/>
      <c r="R159" s="22">
        <f>IF(OR(J159="",L159="Vollständig",L159="Nicht anwendbar"),"",MAX(0,TODAY()-J159))</f>
        <v/>
      </c>
      <c r="S159" s="5"/>
    </row>
    <row r="160" spans="1:19" ht="58" customHeight="1">
      <c r="A160" s="6" t="s">
        <v>1568</v>
      </c>
      <c r="B160" s="6" t="s">
        <v>1301</v>
      </c>
      <c r="C160" s="6" t="s">
        <v>1366</v>
      </c>
      <c r="D160" s="6" t="s">
        <v>1397</v>
      </c>
      <c r="E160" s="6" t="s">
        <v>1365</v>
      </c>
      <c r="F160" s="6" t="s">
        <v>9</v>
      </c>
      <c r="G160" s="6" t="s">
        <v>19</v>
      </c>
      <c r="H160" s="6" t="s">
        <v>1560</v>
      </c>
      <c r="I160" s="7"/>
      <c r="J160" s="7"/>
      <c r="K160" s="7"/>
      <c r="L160" s="6" t="s">
        <v>23</v>
      </c>
      <c r="M160" s="6" t="s">
        <v>29</v>
      </c>
      <c r="N160" s="6" t="s">
        <v>53</v>
      </c>
      <c r="O160" s="5"/>
      <c r="P160" s="6" t="s">
        <v>1363</v>
      </c>
      <c r="Q160" s="5"/>
      <c r="R160" s="22">
        <f>IF(OR(J160="",L160="Vollständig",L160="Nicht anwendbar"),"",MAX(0,TODAY()-J160))</f>
        <v/>
      </c>
      <c r="S160" s="5"/>
    </row>
  </sheetData>
  <mergeCells count="2">
    <mergeCell ref="A1:S1"/>
    <mergeCell ref="A2:S2"/>
  </mergeCells>
  <conditionalFormatting sqref="F5:R160">
    <cfRule type="containsText" dxfId="0" priority="1" operator="containsText" text="Abgeschlossen">
      <formula>NOT(ISERROR(SEARCH("Abgeschlossen",F5)))</formula>
    </cfRule>
    <cfRule type="containsText" dxfId="0" priority="2" operator="containsText" text="Vollständig">
      <formula>NOT(ISERROR(SEARCH("Vollständig",F5)))</formula>
    </cfRule>
    <cfRule type="containsText" dxfId="0" priority="3" operator="containsText" text="Erledigt">
      <formula>NOT(ISERROR(SEARCH("Erledigt",F5)))</formula>
    </cfRule>
    <cfRule type="containsText" dxfId="1" priority="4" operator="containsText" text="Blockiert">
      <formula>NOT(ISERROR(SEARCH("Blockiert",F5)))</formula>
    </cfRule>
    <cfRule type="containsText" dxfId="1" priority="5" operator="containsText" text="Kritisch">
      <formula>NOT(ISERROR(SEARCH("Kritisch",F5)))</formula>
    </cfRule>
    <cfRule type="containsText" dxfId="1" priority="6" operator="containsText" text="Überfällig">
      <formula>NOT(ISERROR(SEARCH("Überfällig",F5)))</formula>
    </cfRule>
    <cfRule type="containsText" dxfId="2" priority="7" operator="containsText" text="In Prüfung">
      <formula>NOT(ISERROR(SEARCH("In Prüfung",F5)))</formula>
    </cfRule>
    <cfRule type="containsText" dxfId="2" priority="8" operator="containsText" text="In Arbeit">
      <formula>NOT(ISERROR(SEARCH("In Arbeit",F5)))</formula>
    </cfRule>
  </conditionalFormatting>
  <conditionalFormatting sqref="R5:R160">
    <cfRule type="cellIs" dxfId="1" priority="9" operator="greaterThan">
      <formula>0</formula>
    </cfRule>
  </conditionalFormatting>
  <dataValidations count="10">
    <dataValidation type="list" allowBlank="1" showInputMessage="1" showErrorMessage="1" errorTitle="Eingabe prüfen" error="Bitte die vorgegebene Auswahl bzw. das geforderte Format verwenden." promptTitle="Priorität" prompt="Priorität aus Deal-Relevanz und zeitlichem Pfad wählen." sqref="F5:F160">
      <formula1>Prioritaet</formula1>
    </dataValidation>
    <dataValidation type="list" allowBlank="1" showInputMessage="1" showErrorMessage="1" errorTitle="Eingabe prüfen" error="Bitte die vorgegebene Auswahl bzw. das geforderte Format verwenden." promptTitle="Pflicht?" prompt="Ja, Nein oder Zu prüfen auswählen." sqref="G5:G160">
      <formula1>JaNeinPruefen</formula1>
    </dataValidation>
    <dataValidation allowBlank="1" showInputMessage="1" showErrorMessage="1" errorTitle="Eingabe prüfen" error="Bitte die vorgegebene Auswahl bzw. das geforderte Format verwenden." promptTitle="Owner Zielunternehmen" prompt="Eine lieferverantwortliche Person oder Rolle eintragen." sqref="H5:H160"/>
    <dataValidation type="date" allowBlank="1" showInputMessage="1" showErrorMessage="1" errorTitle="Eingabe prüfen" error="Bitte die vorgegebene Auswahl bzw. das geforderte Format verwenden." promptTitle="Dokumentendatum" prompt="Anforderung, Fälligkeit und Erhalt im Format TT.MM.JJJJ pflegen." sqref="I5:K160">
      <formula1>36526</formula1>
      <formula2>73415</formula2>
    </dataValidation>
    <dataValidation type="list" allowBlank="1" showInputMessage="1" showErrorMessage="1" errorTitle="Eingabe prüfen" error="Bitte die vorgegebene Auswahl bzw. das geforderte Format verwenden." promptTitle="Dokumentenstatus" prompt="„Vollständig“ erst nach Inhalts- und Periodenprüfung wählen." sqref="L5:L160">
      <formula1>DokStatus</formula1>
    </dataValidation>
    <dataValidation type="list" allowBlank="1" showInputMessage="1" showErrorMessage="1" errorTitle="Eingabe prüfen" error="Bitte die vorgegebene Auswahl bzw. das geforderte Format verwenden." promptTitle="Vollständigkeit" prompt="Qualität nach Abgleich mit Request und Inhalt auswählen." sqref="M5:M160">
      <formula1>Vollstaendigkeit</formula1>
    </dataValidation>
    <dataValidation type="list" allowBlank="1" showInputMessage="1" showErrorMessage="1" errorTitle="Eingabe prüfen" error="Bitte die vorgegebene Auswahl bzw. das geforderte Format verwenden." promptTitle="Vertraulichkeit" prompt="Höchste enthaltene Schutzklasse auswählen." sqref="N5:N160">
      <formula1>Vertraulichkeit</formula1>
    </dataValidation>
    <dataValidation allowBlank="1" showInputMessage="1" showErrorMessage="1" errorTitle="Eingabe prüfen" error="Bitte die vorgegebene Auswahl bzw. das geforderte Format verwenden." promptTitle="VDR-Pfad" prompt="Eindeutigen, reproduzierbaren VDR-Pfad oder Link eintragen." sqref="O5:O160"/>
    <dataValidation allowBlank="1" showInputMessage="1" showErrorMessage="1" errorTitle="Eingabe prüfen" error="Bitte die vorgegebene Auswahl bzw. das geforderte Format verwenden." promptTitle="Offene Punkte" prompt="Fehlende Perioden, Anhänge, Versionen oder Widersprüche konkret benennen." sqref="Q5:Q160"/>
    <dataValidation allowBlank="1" showInputMessage="1" showErrorMessage="1" errorTitle="Eingabe prüfen" error="Bitte die vorgegebene Auswahl bzw. das geforderte Format verwenden." promptTitle="Reviewer" prompt="Person/Rolle der Qualitätsprüfung eintragen." sqref="S5:S160"/>
  </dataValidations>
  <pageMargins left="0.7" right="0.7" top="0.75" bottom="0.75" header="0.3" footer="0.3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1F4E78"/>
  </sheetPr>
  <dimension ref="A1:Z64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64" customHeight="1"/>
  <cols>
    <col min="1" max="1" width="12.7109375" customWidth="1"/>
    <col min="2" max="2" width="24.7109375" customWidth="1"/>
    <col min="3" max="3" width="40.7109375" customWidth="1"/>
    <col min="4" max="4" width="38.7109375" customWidth="1"/>
    <col min="5" max="5" width="40.7109375" customWidth="1"/>
    <col min="6" max="6" width="17.7109375" customWidth="1"/>
    <col min="7" max="7" width="40.7109375" customWidth="1"/>
    <col min="8" max="8" width="11.7109375" customWidth="1"/>
    <col min="9" max="9" width="12.7109375" customWidth="1"/>
    <col min="10" max="10" width="9.7109375" customWidth="1"/>
    <col min="11" max="11" width="11.7109375" customWidth="1"/>
    <col min="12" max="12" width="16.7109375" customWidth="1"/>
    <col min="13" max="14" width="17.7109375" customWidth="1"/>
    <col min="15" max="15" width="42.7109375" customWidth="1"/>
    <col min="16" max="16" width="18.7109375" customWidth="1"/>
    <col min="17" max="17" width="13.7109375" customWidth="1"/>
    <col min="18" max="18" width="18.7109375" customWidth="1"/>
    <col min="19" max="19" width="22.7109375" customWidth="1"/>
    <col min="20" max="20" width="16.7109375" customWidth="1"/>
    <col min="21" max="21" width="11.7109375" customWidth="1"/>
    <col min="22" max="22" width="12.7109375" customWidth="1"/>
    <col min="23" max="23" width="10.7109375" customWidth="1"/>
    <col min="24" max="24" width="11.7109375" customWidth="1"/>
    <col min="25" max="25" width="34.7109375" customWidth="1"/>
    <col min="26" max="26" width="18.7109375" customWidth="1"/>
  </cols>
  <sheetData>
    <row r="1" spans="1:26" ht="30" customHeight="1">
      <c r="A1" s="1" t="s">
        <v>1583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4" customHeight="1">
      <c r="A2" s="2" t="s">
        <v>1584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 spans="1:26" ht="42" customHeight="1">
      <c r="A4" t="s">
        <v>1645</v>
      </c>
      <c r="B4" t="s">
        <v>1371</v>
      </c>
      <c r="C4" t="s">
        <v>1646</v>
      </c>
      <c r="D4" t="s">
        <v>1647</v>
      </c>
      <c r="E4" t="s">
        <v>1648</v>
      </c>
      <c r="F4" t="s">
        <v>1649</v>
      </c>
      <c r="G4" t="s">
        <v>1385</v>
      </c>
      <c r="H4" t="s">
        <v>1381</v>
      </c>
      <c r="I4" t="s">
        <v>1382</v>
      </c>
      <c r="J4" t="s">
        <v>1650</v>
      </c>
      <c r="K4" t="s">
        <v>1651</v>
      </c>
      <c r="L4" t="s">
        <v>1652</v>
      </c>
      <c r="M4" t="s">
        <v>1653</v>
      </c>
      <c r="N4" t="s">
        <v>1654</v>
      </c>
      <c r="O4" t="s">
        <v>1655</v>
      </c>
      <c r="P4" t="s">
        <v>1656</v>
      </c>
      <c r="Q4" t="s">
        <v>1380</v>
      </c>
      <c r="R4" t="s">
        <v>1657</v>
      </c>
      <c r="S4" t="s">
        <v>1658</v>
      </c>
      <c r="T4" t="s">
        <v>1580</v>
      </c>
      <c r="U4" t="s">
        <v>1659</v>
      </c>
      <c r="V4" t="s">
        <v>1660</v>
      </c>
      <c r="W4" t="s">
        <v>1661</v>
      </c>
      <c r="X4" t="s">
        <v>1662</v>
      </c>
      <c r="Y4" t="s">
        <v>1663</v>
      </c>
      <c r="Z4" t="s">
        <v>1393</v>
      </c>
    </row>
    <row r="5" spans="1:26" ht="64" customHeight="1">
      <c r="A5" s="6" t="s">
        <v>1585</v>
      </c>
      <c r="B5" s="6" t="s">
        <v>150</v>
      </c>
      <c r="C5" s="6" t="s">
        <v>155</v>
      </c>
      <c r="D5" s="6" t="s">
        <v>153</v>
      </c>
      <c r="E5" s="6" t="s">
        <v>154</v>
      </c>
      <c r="F5" s="6" t="s">
        <v>34</v>
      </c>
      <c r="G5" s="5"/>
      <c r="H5" s="28"/>
      <c r="I5" s="28"/>
      <c r="J5" s="22">
        <f>IF(OR(H5="",I5=""),"",H5*I5)</f>
        <v/>
      </c>
      <c r="K5" s="21">
        <f>IF(J5="","",IF(J5&gt;=17,"Kritisch",IF(J5&gt;=10,"Hoch",IF(J5&gt;=5,"Mittel","Niedrig"))))</f>
        <v/>
      </c>
      <c r="L5" s="8"/>
      <c r="M5" s="8"/>
      <c r="N5" s="8"/>
      <c r="O5" s="6" t="s">
        <v>156</v>
      </c>
      <c r="P5" s="5"/>
      <c r="Q5" s="7"/>
      <c r="R5" s="6" t="s">
        <v>40</v>
      </c>
      <c r="S5" s="6" t="s">
        <v>65</v>
      </c>
      <c r="T5" s="6" t="s">
        <v>149</v>
      </c>
      <c r="U5" s="28"/>
      <c r="V5" s="28"/>
      <c r="W5" s="22">
        <f>IF(OR(U5="",V5=""),"",U5*V5)</f>
        <v/>
      </c>
      <c r="X5" s="21">
        <f>IF(W5="","",IF(W5&gt;=17,"Kritisch",IF(W5&gt;=10,"Hoch",IF(W5&gt;=5,"Mittel","Niedrig"))))</f>
        <v/>
      </c>
      <c r="Y5" s="5"/>
      <c r="Z5" s="5"/>
    </row>
    <row r="6" spans="1:26" ht="64" customHeight="1">
      <c r="A6" s="6" t="s">
        <v>1586</v>
      </c>
      <c r="B6" s="6" t="s">
        <v>150</v>
      </c>
      <c r="C6" s="6" t="s">
        <v>164</v>
      </c>
      <c r="D6" s="6" t="s">
        <v>162</v>
      </c>
      <c r="E6" s="6" t="s">
        <v>163</v>
      </c>
      <c r="F6" s="6" t="s">
        <v>34</v>
      </c>
      <c r="G6" s="5"/>
      <c r="H6" s="28"/>
      <c r="I6" s="28"/>
      <c r="J6" s="22">
        <f>IF(OR(H6="",I6=""),"",H6*I6)</f>
        <v/>
      </c>
      <c r="K6" s="21">
        <f>IF(J6="","",IF(J6&gt;=17,"Kritisch",IF(J6&gt;=10,"Hoch",IF(J6&gt;=5,"Mittel","Niedrig"))))</f>
        <v/>
      </c>
      <c r="L6" s="8"/>
      <c r="M6" s="8"/>
      <c r="N6" s="8"/>
      <c r="O6" s="6" t="s">
        <v>165</v>
      </c>
      <c r="P6" s="5"/>
      <c r="Q6" s="7"/>
      <c r="R6" s="6" t="s">
        <v>40</v>
      </c>
      <c r="S6" s="6" t="s">
        <v>70</v>
      </c>
      <c r="T6" s="6" t="s">
        <v>159</v>
      </c>
      <c r="U6" s="28"/>
      <c r="V6" s="28"/>
      <c r="W6" s="22">
        <f>IF(OR(U6="",V6=""),"",U6*V6)</f>
        <v/>
      </c>
      <c r="X6" s="21">
        <f>IF(W6="","",IF(W6&gt;=17,"Kritisch",IF(W6&gt;=10,"Hoch",IF(W6&gt;=5,"Mittel","Niedrig"))))</f>
        <v/>
      </c>
      <c r="Y6" s="5"/>
      <c r="Z6" s="5"/>
    </row>
    <row r="7" spans="1:26" ht="64" customHeight="1">
      <c r="A7" s="6" t="s">
        <v>1587</v>
      </c>
      <c r="B7" s="6" t="s">
        <v>150</v>
      </c>
      <c r="C7" s="6" t="s">
        <v>190</v>
      </c>
      <c r="D7" s="6" t="s">
        <v>188</v>
      </c>
      <c r="E7" s="6" t="s">
        <v>189</v>
      </c>
      <c r="F7" s="6" t="s">
        <v>34</v>
      </c>
      <c r="G7" s="5"/>
      <c r="H7" s="28"/>
      <c r="I7" s="28"/>
      <c r="J7" s="22">
        <f>IF(OR(H7="",I7=""),"",H7*I7)</f>
        <v/>
      </c>
      <c r="K7" s="21">
        <f>IF(J7="","",IF(J7&gt;=17,"Kritisch",IF(J7&gt;=10,"Hoch",IF(J7&gt;=5,"Mittel","Niedrig"))))</f>
        <v/>
      </c>
      <c r="L7" s="8"/>
      <c r="M7" s="8"/>
      <c r="N7" s="8"/>
      <c r="O7" s="6" t="s">
        <v>191</v>
      </c>
      <c r="P7" s="5"/>
      <c r="Q7" s="7"/>
      <c r="R7" s="6" t="s">
        <v>40</v>
      </c>
      <c r="S7" s="6" t="s">
        <v>66</v>
      </c>
      <c r="T7" s="6" t="s">
        <v>185</v>
      </c>
      <c r="U7" s="28"/>
      <c r="V7" s="28"/>
      <c r="W7" s="22">
        <f>IF(OR(U7="",V7=""),"",U7*V7)</f>
        <v/>
      </c>
      <c r="X7" s="21">
        <f>IF(W7="","",IF(W7&gt;=17,"Kritisch",IF(W7&gt;=10,"Hoch",IF(W7&gt;=5,"Mittel","Niedrig"))))</f>
        <v/>
      </c>
      <c r="Y7" s="5"/>
      <c r="Z7" s="5"/>
    </row>
    <row r="8" spans="1:26" ht="64" customHeight="1">
      <c r="A8" s="6" t="s">
        <v>1588</v>
      </c>
      <c r="B8" s="6" t="s">
        <v>150</v>
      </c>
      <c r="C8" s="6" t="s">
        <v>215</v>
      </c>
      <c r="D8" s="6" t="s">
        <v>213</v>
      </c>
      <c r="E8" s="6" t="s">
        <v>214</v>
      </c>
      <c r="F8" s="6" t="s">
        <v>34</v>
      </c>
      <c r="G8" s="5"/>
      <c r="H8" s="28"/>
      <c r="I8" s="28"/>
      <c r="J8" s="22">
        <f>IF(OR(H8="",I8=""),"",H8*I8)</f>
        <v/>
      </c>
      <c r="K8" s="21">
        <f>IF(J8="","",IF(J8&gt;=17,"Kritisch",IF(J8&gt;=10,"Hoch",IF(J8&gt;=5,"Mittel","Niedrig"))))</f>
        <v/>
      </c>
      <c r="L8" s="8"/>
      <c r="M8" s="8"/>
      <c r="N8" s="8"/>
      <c r="O8" s="6" t="s">
        <v>216</v>
      </c>
      <c r="P8" s="5"/>
      <c r="Q8" s="7"/>
      <c r="R8" s="6" t="s">
        <v>40</v>
      </c>
      <c r="S8" s="6" t="s">
        <v>67</v>
      </c>
      <c r="T8" s="6" t="s">
        <v>210</v>
      </c>
      <c r="U8" s="28"/>
      <c r="V8" s="28"/>
      <c r="W8" s="22">
        <f>IF(OR(U8="",V8=""),"",U8*V8)</f>
        <v/>
      </c>
      <c r="X8" s="21">
        <f>IF(W8="","",IF(W8&gt;=17,"Kritisch",IF(W8&gt;=10,"Hoch",IF(W8&gt;=5,"Mittel","Niedrig"))))</f>
        <v/>
      </c>
      <c r="Y8" s="5"/>
      <c r="Z8" s="5"/>
    </row>
    <row r="9" spans="1:26" ht="64" customHeight="1">
      <c r="A9" s="6" t="s">
        <v>1589</v>
      </c>
      <c r="B9" s="6" t="s">
        <v>219</v>
      </c>
      <c r="C9" s="6" t="s">
        <v>224</v>
      </c>
      <c r="D9" s="6" t="s">
        <v>222</v>
      </c>
      <c r="E9" s="6" t="s">
        <v>223</v>
      </c>
      <c r="F9" s="6" t="s">
        <v>34</v>
      </c>
      <c r="G9" s="5"/>
      <c r="H9" s="28"/>
      <c r="I9" s="28"/>
      <c r="J9" s="22">
        <f>IF(OR(H9="",I9=""),"",H9*I9)</f>
        <v/>
      </c>
      <c r="K9" s="21">
        <f>IF(J9="","",IF(J9&gt;=17,"Kritisch",IF(J9&gt;=10,"Hoch",IF(J9&gt;=5,"Mittel","Niedrig"))))</f>
        <v/>
      </c>
      <c r="L9" s="8"/>
      <c r="M9" s="8"/>
      <c r="N9" s="8"/>
      <c r="O9" s="6" t="s">
        <v>225</v>
      </c>
      <c r="P9" s="5"/>
      <c r="Q9" s="7"/>
      <c r="R9" s="6" t="s">
        <v>40</v>
      </c>
      <c r="S9" s="6" t="s">
        <v>67</v>
      </c>
      <c r="T9" s="6" t="s">
        <v>218</v>
      </c>
      <c r="U9" s="28"/>
      <c r="V9" s="28"/>
      <c r="W9" s="22">
        <f>IF(OR(U9="",V9=""),"",U9*V9)</f>
        <v/>
      </c>
      <c r="X9" s="21">
        <f>IF(W9="","",IF(W9&gt;=17,"Kritisch",IF(W9&gt;=10,"Hoch",IF(W9&gt;=5,"Mittel","Niedrig"))))</f>
        <v/>
      </c>
      <c r="Y9" s="5"/>
      <c r="Z9" s="5"/>
    </row>
    <row r="10" spans="1:26" ht="64" customHeight="1">
      <c r="A10" s="6" t="s">
        <v>1590</v>
      </c>
      <c r="B10" s="6" t="s">
        <v>219</v>
      </c>
      <c r="C10" s="6" t="s">
        <v>232</v>
      </c>
      <c r="D10" s="6" t="s">
        <v>230</v>
      </c>
      <c r="E10" s="6" t="s">
        <v>231</v>
      </c>
      <c r="F10" s="6" t="s">
        <v>34</v>
      </c>
      <c r="G10" s="5"/>
      <c r="H10" s="28"/>
      <c r="I10" s="28"/>
      <c r="J10" s="22">
        <f>IF(OR(H10="",I10=""),"",H10*I10)</f>
        <v/>
      </c>
      <c r="K10" s="21">
        <f>IF(J10="","",IF(J10&gt;=17,"Kritisch",IF(J10&gt;=10,"Hoch",IF(J10&gt;=5,"Mittel","Niedrig"))))</f>
        <v/>
      </c>
      <c r="L10" s="8"/>
      <c r="M10" s="8"/>
      <c r="N10" s="8"/>
      <c r="O10" s="6" t="s">
        <v>233</v>
      </c>
      <c r="P10" s="5"/>
      <c r="Q10" s="7"/>
      <c r="R10" s="6" t="s">
        <v>40</v>
      </c>
      <c r="S10" s="6" t="s">
        <v>65</v>
      </c>
      <c r="T10" s="6" t="s">
        <v>227</v>
      </c>
      <c r="U10" s="28"/>
      <c r="V10" s="28"/>
      <c r="W10" s="22">
        <f>IF(OR(U10="",V10=""),"",U10*V10)</f>
        <v/>
      </c>
      <c r="X10" s="21">
        <f>IF(W10="","",IF(W10&gt;=17,"Kritisch",IF(W10&gt;=10,"Hoch",IF(W10&gt;=5,"Mittel","Niedrig"))))</f>
        <v/>
      </c>
      <c r="Y10" s="5"/>
      <c r="Z10" s="5"/>
    </row>
    <row r="11" spans="1:26" ht="64" customHeight="1">
      <c r="A11" s="6" t="s">
        <v>1591</v>
      </c>
      <c r="B11" s="6" t="s">
        <v>219</v>
      </c>
      <c r="C11" s="6" t="s">
        <v>240</v>
      </c>
      <c r="D11" s="6" t="s">
        <v>238</v>
      </c>
      <c r="E11" s="6" t="s">
        <v>239</v>
      </c>
      <c r="F11" s="6" t="s">
        <v>34</v>
      </c>
      <c r="G11" s="5"/>
      <c r="H11" s="28"/>
      <c r="I11" s="28"/>
      <c r="J11" s="22">
        <f>IF(OR(H11="",I11=""),"",H11*I11)</f>
        <v/>
      </c>
      <c r="K11" s="21">
        <f>IF(J11="","",IF(J11&gt;=17,"Kritisch",IF(J11&gt;=10,"Hoch",IF(J11&gt;=5,"Mittel","Niedrig"))))</f>
        <v/>
      </c>
      <c r="L11" s="8"/>
      <c r="M11" s="8"/>
      <c r="N11" s="8"/>
      <c r="O11" s="6" t="s">
        <v>241</v>
      </c>
      <c r="P11" s="5"/>
      <c r="Q11" s="7"/>
      <c r="R11" s="6" t="s">
        <v>40</v>
      </c>
      <c r="S11" s="6" t="s">
        <v>68</v>
      </c>
      <c r="T11" s="6" t="s">
        <v>235</v>
      </c>
      <c r="U11" s="28"/>
      <c r="V11" s="28"/>
      <c r="W11" s="22">
        <f>IF(OR(U11="",V11=""),"",U11*V11)</f>
        <v/>
      </c>
      <c r="X11" s="21">
        <f>IF(W11="","",IF(W11&gt;=17,"Kritisch",IF(W11&gt;=10,"Hoch",IF(W11&gt;=5,"Mittel","Niedrig"))))</f>
        <v/>
      </c>
      <c r="Y11" s="5"/>
      <c r="Z11" s="5"/>
    </row>
    <row r="12" spans="1:26" ht="64" customHeight="1">
      <c r="A12" s="6" t="s">
        <v>1592</v>
      </c>
      <c r="B12" s="6" t="s">
        <v>219</v>
      </c>
      <c r="C12" s="6" t="s">
        <v>256</v>
      </c>
      <c r="D12" s="6" t="s">
        <v>254</v>
      </c>
      <c r="E12" s="6" t="s">
        <v>255</v>
      </c>
      <c r="F12" s="6" t="s">
        <v>34</v>
      </c>
      <c r="G12" s="5"/>
      <c r="H12" s="28"/>
      <c r="I12" s="28"/>
      <c r="J12" s="22">
        <f>IF(OR(H12="",I12=""),"",H12*I12)</f>
        <v/>
      </c>
      <c r="K12" s="21">
        <f>IF(J12="","",IF(J12&gt;=17,"Kritisch",IF(J12&gt;=10,"Hoch",IF(J12&gt;=5,"Mittel","Niedrig"))))</f>
        <v/>
      </c>
      <c r="L12" s="8"/>
      <c r="M12" s="8"/>
      <c r="N12" s="8"/>
      <c r="O12" s="6" t="s">
        <v>257</v>
      </c>
      <c r="P12" s="5"/>
      <c r="Q12" s="7"/>
      <c r="R12" s="6" t="s">
        <v>40</v>
      </c>
      <c r="S12" s="6" t="s">
        <v>67</v>
      </c>
      <c r="T12" s="6" t="s">
        <v>251</v>
      </c>
      <c r="U12" s="28"/>
      <c r="V12" s="28"/>
      <c r="W12" s="22">
        <f>IF(OR(U12="",V12=""),"",U12*V12)</f>
        <v/>
      </c>
      <c r="X12" s="21">
        <f>IF(W12="","",IF(W12&gt;=17,"Kritisch",IF(W12&gt;=10,"Hoch",IF(W12&gt;=5,"Mittel","Niedrig"))))</f>
        <v/>
      </c>
      <c r="Y12" s="5"/>
      <c r="Z12" s="5"/>
    </row>
    <row r="13" spans="1:26" ht="64" customHeight="1">
      <c r="A13" s="6" t="s">
        <v>1593</v>
      </c>
      <c r="B13" s="6" t="s">
        <v>219</v>
      </c>
      <c r="C13" s="6" t="s">
        <v>272</v>
      </c>
      <c r="D13" s="6" t="s">
        <v>270</v>
      </c>
      <c r="E13" s="6" t="s">
        <v>271</v>
      </c>
      <c r="F13" s="6" t="s">
        <v>34</v>
      </c>
      <c r="G13" s="5"/>
      <c r="H13" s="28"/>
      <c r="I13" s="28"/>
      <c r="J13" s="22">
        <f>IF(OR(H13="",I13=""),"",H13*I13)</f>
        <v/>
      </c>
      <c r="K13" s="21">
        <f>IF(J13="","",IF(J13&gt;=17,"Kritisch",IF(J13&gt;=10,"Hoch",IF(J13&gt;=5,"Mittel","Niedrig"))))</f>
        <v/>
      </c>
      <c r="L13" s="8"/>
      <c r="M13" s="8"/>
      <c r="N13" s="8"/>
      <c r="O13" s="6" t="s">
        <v>273</v>
      </c>
      <c r="P13" s="5"/>
      <c r="Q13" s="7"/>
      <c r="R13" s="6" t="s">
        <v>40</v>
      </c>
      <c r="S13" s="6" t="s">
        <v>69</v>
      </c>
      <c r="T13" s="6" t="s">
        <v>267</v>
      </c>
      <c r="U13" s="28"/>
      <c r="V13" s="28"/>
      <c r="W13" s="22">
        <f>IF(OR(U13="",V13=""),"",U13*V13)</f>
        <v/>
      </c>
      <c r="X13" s="21">
        <f>IF(W13="","",IF(W13&gt;=17,"Kritisch",IF(W13&gt;=10,"Hoch",IF(W13&gt;=5,"Mittel","Niedrig"))))</f>
        <v/>
      </c>
      <c r="Y13" s="5"/>
      <c r="Z13" s="5"/>
    </row>
    <row r="14" spans="1:26" ht="64" customHeight="1">
      <c r="A14" s="6" t="s">
        <v>1594</v>
      </c>
      <c r="B14" s="6" t="s">
        <v>292</v>
      </c>
      <c r="C14" s="6" t="s">
        <v>297</v>
      </c>
      <c r="D14" s="6" t="s">
        <v>295</v>
      </c>
      <c r="E14" s="6" t="s">
        <v>296</v>
      </c>
      <c r="F14" s="6" t="s">
        <v>34</v>
      </c>
      <c r="G14" s="5"/>
      <c r="H14" s="28"/>
      <c r="I14" s="28"/>
      <c r="J14" s="22">
        <f>IF(OR(H14="",I14=""),"",H14*I14)</f>
        <v/>
      </c>
      <c r="K14" s="21">
        <f>IF(J14="","",IF(J14&gt;=17,"Kritisch",IF(J14&gt;=10,"Hoch",IF(J14&gt;=5,"Mittel","Niedrig"))))</f>
        <v/>
      </c>
      <c r="L14" s="8"/>
      <c r="M14" s="8"/>
      <c r="N14" s="8"/>
      <c r="O14" s="6" t="s">
        <v>298</v>
      </c>
      <c r="P14" s="5"/>
      <c r="Q14" s="7"/>
      <c r="R14" s="6" t="s">
        <v>40</v>
      </c>
      <c r="S14" s="6" t="s">
        <v>65</v>
      </c>
      <c r="T14" s="6" t="s">
        <v>291</v>
      </c>
      <c r="U14" s="28"/>
      <c r="V14" s="28"/>
      <c r="W14" s="22">
        <f>IF(OR(U14="",V14=""),"",U14*V14)</f>
        <v/>
      </c>
      <c r="X14" s="21">
        <f>IF(W14="","",IF(W14&gt;=17,"Kritisch",IF(W14&gt;=10,"Hoch",IF(W14&gt;=5,"Mittel","Niedrig"))))</f>
        <v/>
      </c>
      <c r="Y14" s="5"/>
      <c r="Z14" s="5"/>
    </row>
    <row r="15" spans="1:26" ht="64" customHeight="1">
      <c r="A15" s="6" t="s">
        <v>1595</v>
      </c>
      <c r="B15" s="6" t="s">
        <v>292</v>
      </c>
      <c r="C15" s="6" t="s">
        <v>313</v>
      </c>
      <c r="D15" s="6" t="s">
        <v>311</v>
      </c>
      <c r="E15" s="6" t="s">
        <v>312</v>
      </c>
      <c r="F15" s="6" t="s">
        <v>34</v>
      </c>
      <c r="G15" s="5"/>
      <c r="H15" s="28"/>
      <c r="I15" s="28"/>
      <c r="J15" s="22">
        <f>IF(OR(H15="",I15=""),"",H15*I15)</f>
        <v/>
      </c>
      <c r="K15" s="21">
        <f>IF(J15="","",IF(J15&gt;=17,"Kritisch",IF(J15&gt;=10,"Hoch",IF(J15&gt;=5,"Mittel","Niedrig"))))</f>
        <v/>
      </c>
      <c r="L15" s="8"/>
      <c r="M15" s="8"/>
      <c r="N15" s="8"/>
      <c r="O15" s="6" t="s">
        <v>314</v>
      </c>
      <c r="P15" s="5"/>
      <c r="Q15" s="7"/>
      <c r="R15" s="6" t="s">
        <v>40</v>
      </c>
      <c r="S15" s="6" t="s">
        <v>65</v>
      </c>
      <c r="T15" s="6" t="s">
        <v>308</v>
      </c>
      <c r="U15" s="28"/>
      <c r="V15" s="28"/>
      <c r="W15" s="22">
        <f>IF(OR(U15="",V15=""),"",U15*V15)</f>
        <v/>
      </c>
      <c r="X15" s="21">
        <f>IF(W15="","",IF(W15&gt;=17,"Kritisch",IF(W15&gt;=10,"Hoch",IF(W15&gt;=5,"Mittel","Niedrig"))))</f>
        <v/>
      </c>
      <c r="Y15" s="5"/>
      <c r="Z15" s="5"/>
    </row>
    <row r="16" spans="1:26" ht="64" customHeight="1">
      <c r="A16" s="6" t="s">
        <v>1596</v>
      </c>
      <c r="B16" s="6" t="s">
        <v>292</v>
      </c>
      <c r="C16" s="6" t="s">
        <v>321</v>
      </c>
      <c r="D16" s="6" t="s">
        <v>319</v>
      </c>
      <c r="E16" s="6" t="s">
        <v>320</v>
      </c>
      <c r="F16" s="6" t="s">
        <v>34</v>
      </c>
      <c r="G16" s="5"/>
      <c r="H16" s="28"/>
      <c r="I16" s="28"/>
      <c r="J16" s="22">
        <f>IF(OR(H16="",I16=""),"",H16*I16)</f>
        <v/>
      </c>
      <c r="K16" s="21">
        <f>IF(J16="","",IF(J16&gt;=17,"Kritisch",IF(J16&gt;=10,"Hoch",IF(J16&gt;=5,"Mittel","Niedrig"))))</f>
        <v/>
      </c>
      <c r="L16" s="8"/>
      <c r="M16" s="8"/>
      <c r="N16" s="8"/>
      <c r="O16" s="6" t="s">
        <v>322</v>
      </c>
      <c r="P16" s="5"/>
      <c r="Q16" s="7"/>
      <c r="R16" s="6" t="s">
        <v>40</v>
      </c>
      <c r="S16" s="6" t="s">
        <v>65</v>
      </c>
      <c r="T16" s="6" t="s">
        <v>316</v>
      </c>
      <c r="U16" s="28"/>
      <c r="V16" s="28"/>
      <c r="W16" s="22">
        <f>IF(OR(U16="",V16=""),"",U16*V16)</f>
        <v/>
      </c>
      <c r="X16" s="21">
        <f>IF(W16="","",IF(W16&gt;=17,"Kritisch",IF(W16&gt;=10,"Hoch",IF(W16&gt;=5,"Mittel","Niedrig"))))</f>
        <v/>
      </c>
      <c r="Y16" s="5"/>
      <c r="Z16" s="5"/>
    </row>
    <row r="17" spans="1:26" ht="64" customHeight="1">
      <c r="A17" s="6" t="s">
        <v>1597</v>
      </c>
      <c r="B17" s="6" t="s">
        <v>292</v>
      </c>
      <c r="C17" s="6" t="s">
        <v>329</v>
      </c>
      <c r="D17" s="6" t="s">
        <v>327</v>
      </c>
      <c r="E17" s="6" t="s">
        <v>328</v>
      </c>
      <c r="F17" s="6" t="s">
        <v>34</v>
      </c>
      <c r="G17" s="5"/>
      <c r="H17" s="28"/>
      <c r="I17" s="28"/>
      <c r="J17" s="22">
        <f>IF(OR(H17="",I17=""),"",H17*I17)</f>
        <v/>
      </c>
      <c r="K17" s="21">
        <f>IF(J17="","",IF(J17&gt;=17,"Kritisch",IF(J17&gt;=10,"Hoch",IF(J17&gt;=5,"Mittel","Niedrig"))))</f>
        <v/>
      </c>
      <c r="L17" s="8"/>
      <c r="M17" s="8"/>
      <c r="N17" s="8"/>
      <c r="O17" s="6" t="s">
        <v>330</v>
      </c>
      <c r="P17" s="5"/>
      <c r="Q17" s="7"/>
      <c r="R17" s="6" t="s">
        <v>40</v>
      </c>
      <c r="S17" s="6" t="s">
        <v>65</v>
      </c>
      <c r="T17" s="6" t="s">
        <v>324</v>
      </c>
      <c r="U17" s="28"/>
      <c r="V17" s="28"/>
      <c r="W17" s="22">
        <f>IF(OR(U17="",V17=""),"",U17*V17)</f>
        <v/>
      </c>
      <c r="X17" s="21">
        <f>IF(W17="","",IF(W17&gt;=17,"Kritisch",IF(W17&gt;=10,"Hoch",IF(W17&gt;=5,"Mittel","Niedrig"))))</f>
        <v/>
      </c>
      <c r="Y17" s="5"/>
      <c r="Z17" s="5"/>
    </row>
    <row r="18" spans="1:26" ht="64" customHeight="1">
      <c r="A18" s="6" t="s">
        <v>1598</v>
      </c>
      <c r="B18" s="6" t="s">
        <v>292</v>
      </c>
      <c r="C18" s="6" t="s">
        <v>345</v>
      </c>
      <c r="D18" s="6" t="s">
        <v>343</v>
      </c>
      <c r="E18" s="6" t="s">
        <v>344</v>
      </c>
      <c r="F18" s="6" t="s">
        <v>34</v>
      </c>
      <c r="G18" s="5"/>
      <c r="H18" s="28"/>
      <c r="I18" s="28"/>
      <c r="J18" s="22">
        <f>IF(OR(H18="",I18=""),"",H18*I18)</f>
        <v/>
      </c>
      <c r="K18" s="21">
        <f>IF(J18="","",IF(J18&gt;=17,"Kritisch",IF(J18&gt;=10,"Hoch",IF(J18&gt;=5,"Mittel","Niedrig"))))</f>
        <v/>
      </c>
      <c r="L18" s="8"/>
      <c r="M18" s="8"/>
      <c r="N18" s="8"/>
      <c r="O18" s="6" t="s">
        <v>346</v>
      </c>
      <c r="P18" s="5"/>
      <c r="Q18" s="7"/>
      <c r="R18" s="6" t="s">
        <v>40</v>
      </c>
      <c r="S18" s="6" t="s">
        <v>65</v>
      </c>
      <c r="T18" s="6" t="s">
        <v>340</v>
      </c>
      <c r="U18" s="28"/>
      <c r="V18" s="28"/>
      <c r="W18" s="22">
        <f>IF(OR(U18="",V18=""),"",U18*V18)</f>
        <v/>
      </c>
      <c r="X18" s="21">
        <f>IF(W18="","",IF(W18&gt;=17,"Kritisch",IF(W18&gt;=10,"Hoch",IF(W18&gt;=5,"Mittel","Niedrig"))))</f>
        <v/>
      </c>
      <c r="Y18" s="5"/>
      <c r="Z18" s="5"/>
    </row>
    <row r="19" spans="1:26" ht="64" customHeight="1">
      <c r="A19" s="6" t="s">
        <v>1599</v>
      </c>
      <c r="B19" s="6" t="s">
        <v>292</v>
      </c>
      <c r="C19" s="6" t="s">
        <v>353</v>
      </c>
      <c r="D19" s="6" t="s">
        <v>351</v>
      </c>
      <c r="E19" s="6" t="s">
        <v>352</v>
      </c>
      <c r="F19" s="6" t="s">
        <v>34</v>
      </c>
      <c r="G19" s="5"/>
      <c r="H19" s="28"/>
      <c r="I19" s="28"/>
      <c r="J19" s="22">
        <f>IF(OR(H19="",I19=""),"",H19*I19)</f>
        <v/>
      </c>
      <c r="K19" s="21">
        <f>IF(J19="","",IF(J19&gt;=17,"Kritisch",IF(J19&gt;=10,"Hoch",IF(J19&gt;=5,"Mittel","Niedrig"))))</f>
        <v/>
      </c>
      <c r="L19" s="8"/>
      <c r="M19" s="8"/>
      <c r="N19" s="8"/>
      <c r="O19" s="6" t="s">
        <v>354</v>
      </c>
      <c r="P19" s="5"/>
      <c r="Q19" s="7"/>
      <c r="R19" s="6" t="s">
        <v>40</v>
      </c>
      <c r="S19" s="6" t="s">
        <v>65</v>
      </c>
      <c r="T19" s="6" t="s">
        <v>348</v>
      </c>
      <c r="U19" s="28"/>
      <c r="V19" s="28"/>
      <c r="W19" s="22">
        <f>IF(OR(U19="",V19=""),"",U19*V19)</f>
        <v/>
      </c>
      <c r="X19" s="21">
        <f>IF(W19="","",IF(W19&gt;=17,"Kritisch",IF(W19&gt;=10,"Hoch",IF(W19&gt;=5,"Mittel","Niedrig"))))</f>
        <v/>
      </c>
      <c r="Y19" s="5"/>
      <c r="Z19" s="5"/>
    </row>
    <row r="20" spans="1:26" ht="64" customHeight="1">
      <c r="A20" s="6" t="s">
        <v>1600</v>
      </c>
      <c r="B20" s="6" t="s">
        <v>292</v>
      </c>
      <c r="C20" s="6" t="s">
        <v>361</v>
      </c>
      <c r="D20" s="6" t="s">
        <v>359</v>
      </c>
      <c r="E20" s="6" t="s">
        <v>360</v>
      </c>
      <c r="F20" s="6" t="s">
        <v>34</v>
      </c>
      <c r="G20" s="5"/>
      <c r="H20" s="28"/>
      <c r="I20" s="28"/>
      <c r="J20" s="22">
        <f>IF(OR(H20="",I20=""),"",H20*I20)</f>
        <v/>
      </c>
      <c r="K20" s="21">
        <f>IF(J20="","",IF(J20&gt;=17,"Kritisch",IF(J20&gt;=10,"Hoch",IF(J20&gt;=5,"Mittel","Niedrig"))))</f>
        <v/>
      </c>
      <c r="L20" s="8"/>
      <c r="M20" s="8"/>
      <c r="N20" s="8"/>
      <c r="O20" s="6" t="s">
        <v>362</v>
      </c>
      <c r="P20" s="5"/>
      <c r="Q20" s="7"/>
      <c r="R20" s="6" t="s">
        <v>40</v>
      </c>
      <c r="S20" s="6" t="s">
        <v>65</v>
      </c>
      <c r="T20" s="6" t="s">
        <v>356</v>
      </c>
      <c r="U20" s="28"/>
      <c r="V20" s="28"/>
      <c r="W20" s="22">
        <f>IF(OR(U20="",V20=""),"",U20*V20)</f>
        <v/>
      </c>
      <c r="X20" s="21">
        <f>IF(W20="","",IF(W20&gt;=17,"Kritisch",IF(W20&gt;=10,"Hoch",IF(W20&gt;=5,"Mittel","Niedrig"))))</f>
        <v/>
      </c>
      <c r="Y20" s="5"/>
      <c r="Z20" s="5"/>
    </row>
    <row r="21" spans="1:26" ht="64" customHeight="1">
      <c r="A21" s="6" t="s">
        <v>1601</v>
      </c>
      <c r="B21" s="6" t="s">
        <v>292</v>
      </c>
      <c r="C21" s="6" t="s">
        <v>377</v>
      </c>
      <c r="D21" s="6" t="s">
        <v>375</v>
      </c>
      <c r="E21" s="6" t="s">
        <v>376</v>
      </c>
      <c r="F21" s="6" t="s">
        <v>34</v>
      </c>
      <c r="G21" s="5"/>
      <c r="H21" s="28"/>
      <c r="I21" s="28"/>
      <c r="J21" s="22">
        <f>IF(OR(H21="",I21=""),"",H21*I21)</f>
        <v/>
      </c>
      <c r="K21" s="21">
        <f>IF(J21="","",IF(J21&gt;=17,"Kritisch",IF(J21&gt;=10,"Hoch",IF(J21&gt;=5,"Mittel","Niedrig"))))</f>
        <v/>
      </c>
      <c r="L21" s="8"/>
      <c r="M21" s="8"/>
      <c r="N21" s="8"/>
      <c r="O21" s="6" t="s">
        <v>378</v>
      </c>
      <c r="P21" s="5"/>
      <c r="Q21" s="7"/>
      <c r="R21" s="6" t="s">
        <v>40</v>
      </c>
      <c r="S21" s="6" t="s">
        <v>65</v>
      </c>
      <c r="T21" s="6" t="s">
        <v>372</v>
      </c>
      <c r="U21" s="28"/>
      <c r="V21" s="28"/>
      <c r="W21" s="22">
        <f>IF(OR(U21="",V21=""),"",U21*V21)</f>
        <v/>
      </c>
      <c r="X21" s="21">
        <f>IF(W21="","",IF(W21&gt;=17,"Kritisch",IF(W21&gt;=10,"Hoch",IF(W21&gt;=5,"Mittel","Niedrig"))))</f>
        <v/>
      </c>
      <c r="Y21" s="5"/>
      <c r="Z21" s="5"/>
    </row>
    <row r="22" spans="1:26" ht="64" customHeight="1">
      <c r="A22" s="6" t="s">
        <v>1602</v>
      </c>
      <c r="B22" s="6" t="s">
        <v>292</v>
      </c>
      <c r="C22" s="6" t="s">
        <v>393</v>
      </c>
      <c r="D22" s="6" t="s">
        <v>391</v>
      </c>
      <c r="E22" s="6" t="s">
        <v>392</v>
      </c>
      <c r="F22" s="6" t="s">
        <v>34</v>
      </c>
      <c r="G22" s="5"/>
      <c r="H22" s="28"/>
      <c r="I22" s="28"/>
      <c r="J22" s="22">
        <f>IF(OR(H22="",I22=""),"",H22*I22)</f>
        <v/>
      </c>
      <c r="K22" s="21">
        <f>IF(J22="","",IF(J22&gt;=17,"Kritisch",IF(J22&gt;=10,"Hoch",IF(J22&gt;=5,"Mittel","Niedrig"))))</f>
        <v/>
      </c>
      <c r="L22" s="8"/>
      <c r="M22" s="8"/>
      <c r="N22" s="8"/>
      <c r="O22" s="6" t="s">
        <v>394</v>
      </c>
      <c r="P22" s="5"/>
      <c r="Q22" s="7"/>
      <c r="R22" s="6" t="s">
        <v>40</v>
      </c>
      <c r="S22" s="6" t="s">
        <v>65</v>
      </c>
      <c r="T22" s="6" t="s">
        <v>388</v>
      </c>
      <c r="U22" s="28"/>
      <c r="V22" s="28"/>
      <c r="W22" s="22">
        <f>IF(OR(U22="",V22=""),"",U22*V22)</f>
        <v/>
      </c>
      <c r="X22" s="21">
        <f>IF(W22="","",IF(W22&gt;=17,"Kritisch",IF(W22&gt;=10,"Hoch",IF(W22&gt;=5,"Mittel","Niedrig"))))</f>
        <v/>
      </c>
      <c r="Y22" s="5"/>
      <c r="Z22" s="5"/>
    </row>
    <row r="23" spans="1:26" ht="64" customHeight="1">
      <c r="A23" s="6" t="s">
        <v>1603</v>
      </c>
      <c r="B23" s="6" t="s">
        <v>292</v>
      </c>
      <c r="C23" s="6" t="s">
        <v>409</v>
      </c>
      <c r="D23" s="6" t="s">
        <v>407</v>
      </c>
      <c r="E23" s="6" t="s">
        <v>408</v>
      </c>
      <c r="F23" s="6" t="s">
        <v>34</v>
      </c>
      <c r="G23" s="5"/>
      <c r="H23" s="28"/>
      <c r="I23" s="28"/>
      <c r="J23" s="22">
        <f>IF(OR(H23="",I23=""),"",H23*I23)</f>
        <v/>
      </c>
      <c r="K23" s="21">
        <f>IF(J23="","",IF(J23&gt;=17,"Kritisch",IF(J23&gt;=10,"Hoch",IF(J23&gt;=5,"Mittel","Niedrig"))))</f>
        <v/>
      </c>
      <c r="L23" s="8"/>
      <c r="M23" s="8"/>
      <c r="N23" s="8"/>
      <c r="O23" s="6" t="s">
        <v>410</v>
      </c>
      <c r="P23" s="5"/>
      <c r="Q23" s="7"/>
      <c r="R23" s="6" t="s">
        <v>40</v>
      </c>
      <c r="S23" s="6" t="s">
        <v>68</v>
      </c>
      <c r="T23" s="6" t="s">
        <v>404</v>
      </c>
      <c r="U23" s="28"/>
      <c r="V23" s="28"/>
      <c r="W23" s="22">
        <f>IF(OR(U23="",V23=""),"",U23*V23)</f>
        <v/>
      </c>
      <c r="X23" s="21">
        <f>IF(W23="","",IF(W23&gt;=17,"Kritisch",IF(W23&gt;=10,"Hoch",IF(W23&gt;=5,"Mittel","Niedrig"))))</f>
        <v/>
      </c>
      <c r="Y23" s="5"/>
      <c r="Z23" s="5"/>
    </row>
    <row r="24" spans="1:26" ht="64" customHeight="1">
      <c r="A24" s="6" t="s">
        <v>1604</v>
      </c>
      <c r="B24" s="6" t="s">
        <v>421</v>
      </c>
      <c r="C24" s="6" t="s">
        <v>441</v>
      </c>
      <c r="D24" s="6" t="s">
        <v>439</v>
      </c>
      <c r="E24" s="6" t="s">
        <v>440</v>
      </c>
      <c r="F24" s="6" t="s">
        <v>34</v>
      </c>
      <c r="G24" s="5"/>
      <c r="H24" s="28"/>
      <c r="I24" s="28"/>
      <c r="J24" s="22">
        <f>IF(OR(H24="",I24=""),"",H24*I24)</f>
        <v/>
      </c>
      <c r="K24" s="21">
        <f>IF(J24="","",IF(J24&gt;=17,"Kritisch",IF(J24&gt;=10,"Hoch",IF(J24&gt;=5,"Mittel","Niedrig"))))</f>
        <v/>
      </c>
      <c r="L24" s="8"/>
      <c r="M24" s="8"/>
      <c r="N24" s="8"/>
      <c r="O24" s="6" t="s">
        <v>442</v>
      </c>
      <c r="P24" s="5"/>
      <c r="Q24" s="7"/>
      <c r="R24" s="6" t="s">
        <v>40</v>
      </c>
      <c r="S24" s="6" t="s">
        <v>65</v>
      </c>
      <c r="T24" s="6" t="s">
        <v>436</v>
      </c>
      <c r="U24" s="28"/>
      <c r="V24" s="28"/>
      <c r="W24" s="22">
        <f>IF(OR(U24="",V24=""),"",U24*V24)</f>
        <v/>
      </c>
      <c r="X24" s="21">
        <f>IF(W24="","",IF(W24&gt;=17,"Kritisch",IF(W24&gt;=10,"Hoch",IF(W24&gt;=5,"Mittel","Niedrig"))))</f>
        <v/>
      </c>
      <c r="Y24" s="5"/>
      <c r="Z24" s="5"/>
    </row>
    <row r="25" spans="1:26" ht="64" customHeight="1">
      <c r="A25" s="6" t="s">
        <v>1605</v>
      </c>
      <c r="B25" s="6" t="s">
        <v>421</v>
      </c>
      <c r="C25" s="6" t="s">
        <v>457</v>
      </c>
      <c r="D25" s="6" t="s">
        <v>455</v>
      </c>
      <c r="E25" s="6" t="s">
        <v>456</v>
      </c>
      <c r="F25" s="6" t="s">
        <v>34</v>
      </c>
      <c r="G25" s="5"/>
      <c r="H25" s="28"/>
      <c r="I25" s="28"/>
      <c r="J25" s="22">
        <f>IF(OR(H25="",I25=""),"",H25*I25)</f>
        <v/>
      </c>
      <c r="K25" s="21">
        <f>IF(J25="","",IF(J25&gt;=17,"Kritisch",IF(J25&gt;=10,"Hoch",IF(J25&gt;=5,"Mittel","Niedrig"))))</f>
        <v/>
      </c>
      <c r="L25" s="8"/>
      <c r="M25" s="8"/>
      <c r="N25" s="8"/>
      <c r="O25" s="6" t="s">
        <v>458</v>
      </c>
      <c r="P25" s="5"/>
      <c r="Q25" s="7"/>
      <c r="R25" s="6" t="s">
        <v>40</v>
      </c>
      <c r="S25" s="6" t="s">
        <v>65</v>
      </c>
      <c r="T25" s="6" t="s">
        <v>452</v>
      </c>
      <c r="U25" s="28"/>
      <c r="V25" s="28"/>
      <c r="W25" s="22">
        <f>IF(OR(U25="",V25=""),"",U25*V25)</f>
        <v/>
      </c>
      <c r="X25" s="21">
        <f>IF(W25="","",IF(W25&gt;=17,"Kritisch",IF(W25&gt;=10,"Hoch",IF(W25&gt;=5,"Mittel","Niedrig"))))</f>
        <v/>
      </c>
      <c r="Y25" s="5"/>
      <c r="Z25" s="5"/>
    </row>
    <row r="26" spans="1:26" ht="64" customHeight="1">
      <c r="A26" s="6" t="s">
        <v>1606</v>
      </c>
      <c r="B26" s="6" t="s">
        <v>499</v>
      </c>
      <c r="C26" s="6" t="s">
        <v>504</v>
      </c>
      <c r="D26" s="6" t="s">
        <v>502</v>
      </c>
      <c r="E26" s="6" t="s">
        <v>503</v>
      </c>
      <c r="F26" s="6" t="s">
        <v>34</v>
      </c>
      <c r="G26" s="5"/>
      <c r="H26" s="28"/>
      <c r="I26" s="28"/>
      <c r="J26" s="22">
        <f>IF(OR(H26="",I26=""),"",H26*I26)</f>
        <v/>
      </c>
      <c r="K26" s="21">
        <f>IF(J26="","",IF(J26&gt;=17,"Kritisch",IF(J26&gt;=10,"Hoch",IF(J26&gt;=5,"Mittel","Niedrig"))))</f>
        <v/>
      </c>
      <c r="L26" s="8"/>
      <c r="M26" s="8"/>
      <c r="N26" s="8"/>
      <c r="O26" s="6" t="s">
        <v>505</v>
      </c>
      <c r="P26" s="5"/>
      <c r="Q26" s="7"/>
      <c r="R26" s="6" t="s">
        <v>40</v>
      </c>
      <c r="S26" s="6" t="s">
        <v>66</v>
      </c>
      <c r="T26" s="6" t="s">
        <v>498</v>
      </c>
      <c r="U26" s="28"/>
      <c r="V26" s="28"/>
      <c r="W26" s="22">
        <f>IF(OR(U26="",V26=""),"",U26*V26)</f>
        <v/>
      </c>
      <c r="X26" s="21">
        <f>IF(W26="","",IF(W26&gt;=17,"Kritisch",IF(W26&gt;=10,"Hoch",IF(W26&gt;=5,"Mittel","Niedrig"))))</f>
        <v/>
      </c>
      <c r="Y26" s="5"/>
      <c r="Z26" s="5"/>
    </row>
    <row r="27" spans="1:26" ht="64" customHeight="1">
      <c r="A27" s="6" t="s">
        <v>1607</v>
      </c>
      <c r="B27" s="6" t="s">
        <v>499</v>
      </c>
      <c r="C27" s="6" t="s">
        <v>512</v>
      </c>
      <c r="D27" s="6" t="s">
        <v>510</v>
      </c>
      <c r="E27" s="6" t="s">
        <v>511</v>
      </c>
      <c r="F27" s="6" t="s">
        <v>34</v>
      </c>
      <c r="G27" s="5"/>
      <c r="H27" s="28"/>
      <c r="I27" s="28"/>
      <c r="J27" s="22">
        <f>IF(OR(H27="",I27=""),"",H27*I27)</f>
        <v/>
      </c>
      <c r="K27" s="21">
        <f>IF(J27="","",IF(J27&gt;=17,"Kritisch",IF(J27&gt;=10,"Hoch",IF(J27&gt;=5,"Mittel","Niedrig"))))</f>
        <v/>
      </c>
      <c r="L27" s="8"/>
      <c r="M27" s="8"/>
      <c r="N27" s="8"/>
      <c r="O27" s="6" t="s">
        <v>513</v>
      </c>
      <c r="P27" s="5"/>
      <c r="Q27" s="7"/>
      <c r="R27" s="6" t="s">
        <v>40</v>
      </c>
      <c r="S27" s="6" t="s">
        <v>66</v>
      </c>
      <c r="T27" s="6" t="s">
        <v>507</v>
      </c>
      <c r="U27" s="28"/>
      <c r="V27" s="28"/>
      <c r="W27" s="22">
        <f>IF(OR(U27="",V27=""),"",U27*V27)</f>
        <v/>
      </c>
      <c r="X27" s="21">
        <f>IF(W27="","",IF(W27&gt;=17,"Kritisch",IF(W27&gt;=10,"Hoch",IF(W27&gt;=5,"Mittel","Niedrig"))))</f>
        <v/>
      </c>
      <c r="Y27" s="5"/>
      <c r="Z27" s="5"/>
    </row>
    <row r="28" spans="1:26" ht="64" customHeight="1">
      <c r="A28" s="6" t="s">
        <v>1608</v>
      </c>
      <c r="B28" s="6" t="s">
        <v>499</v>
      </c>
      <c r="C28" s="6" t="s">
        <v>528</v>
      </c>
      <c r="D28" s="6" t="s">
        <v>526</v>
      </c>
      <c r="E28" s="6" t="s">
        <v>527</v>
      </c>
      <c r="F28" s="6" t="s">
        <v>34</v>
      </c>
      <c r="G28" s="5"/>
      <c r="H28" s="28"/>
      <c r="I28" s="28"/>
      <c r="J28" s="22">
        <f>IF(OR(H28="",I28=""),"",H28*I28)</f>
        <v/>
      </c>
      <c r="K28" s="21">
        <f>IF(J28="","",IF(J28&gt;=17,"Kritisch",IF(J28&gt;=10,"Hoch",IF(J28&gt;=5,"Mittel","Niedrig"))))</f>
        <v/>
      </c>
      <c r="L28" s="8"/>
      <c r="M28" s="8"/>
      <c r="N28" s="8"/>
      <c r="O28" s="6" t="s">
        <v>529</v>
      </c>
      <c r="P28" s="5"/>
      <c r="Q28" s="7"/>
      <c r="R28" s="6" t="s">
        <v>40</v>
      </c>
      <c r="S28" s="6" t="s">
        <v>66</v>
      </c>
      <c r="T28" s="6" t="s">
        <v>523</v>
      </c>
      <c r="U28" s="28"/>
      <c r="V28" s="28"/>
      <c r="W28" s="22">
        <f>IF(OR(U28="",V28=""),"",U28*V28)</f>
        <v/>
      </c>
      <c r="X28" s="21">
        <f>IF(W28="","",IF(W28&gt;=17,"Kritisch",IF(W28&gt;=10,"Hoch",IF(W28&gt;=5,"Mittel","Niedrig"))))</f>
        <v/>
      </c>
      <c r="Y28" s="5"/>
      <c r="Z28" s="5"/>
    </row>
    <row r="29" spans="1:26" ht="64" customHeight="1">
      <c r="A29" s="6" t="s">
        <v>1609</v>
      </c>
      <c r="B29" s="6" t="s">
        <v>499</v>
      </c>
      <c r="C29" s="6" t="s">
        <v>536</v>
      </c>
      <c r="D29" s="6" t="s">
        <v>534</v>
      </c>
      <c r="E29" s="6" t="s">
        <v>535</v>
      </c>
      <c r="F29" s="6" t="s">
        <v>34</v>
      </c>
      <c r="G29" s="5"/>
      <c r="H29" s="28"/>
      <c r="I29" s="28"/>
      <c r="J29" s="22">
        <f>IF(OR(H29="",I29=""),"",H29*I29)</f>
        <v/>
      </c>
      <c r="K29" s="21">
        <f>IF(J29="","",IF(J29&gt;=17,"Kritisch",IF(J29&gt;=10,"Hoch",IF(J29&gt;=5,"Mittel","Niedrig"))))</f>
        <v/>
      </c>
      <c r="L29" s="8"/>
      <c r="M29" s="8"/>
      <c r="N29" s="8"/>
      <c r="O29" s="6" t="s">
        <v>537</v>
      </c>
      <c r="P29" s="5"/>
      <c r="Q29" s="7"/>
      <c r="R29" s="6" t="s">
        <v>40</v>
      </c>
      <c r="S29" s="6" t="s">
        <v>66</v>
      </c>
      <c r="T29" s="6" t="s">
        <v>531</v>
      </c>
      <c r="U29" s="28"/>
      <c r="V29" s="28"/>
      <c r="W29" s="22">
        <f>IF(OR(U29="",V29=""),"",U29*V29)</f>
        <v/>
      </c>
      <c r="X29" s="21">
        <f>IF(W29="","",IF(W29&gt;=17,"Kritisch",IF(W29&gt;=10,"Hoch",IF(W29&gt;=5,"Mittel","Niedrig"))))</f>
        <v/>
      </c>
      <c r="Y29" s="5"/>
      <c r="Z29" s="5"/>
    </row>
    <row r="30" spans="1:26" ht="64" customHeight="1">
      <c r="A30" s="6" t="s">
        <v>1610</v>
      </c>
      <c r="B30" s="6" t="s">
        <v>499</v>
      </c>
      <c r="C30" s="6" t="s">
        <v>543</v>
      </c>
      <c r="D30" s="6" t="s">
        <v>541</v>
      </c>
      <c r="E30" s="6" t="s">
        <v>542</v>
      </c>
      <c r="F30" s="6" t="s">
        <v>34</v>
      </c>
      <c r="G30" s="5"/>
      <c r="H30" s="28"/>
      <c r="I30" s="28"/>
      <c r="J30" s="22">
        <f>IF(OR(H30="",I30=""),"",H30*I30)</f>
        <v/>
      </c>
      <c r="K30" s="21">
        <f>IF(J30="","",IF(J30&gt;=17,"Kritisch",IF(J30&gt;=10,"Hoch",IF(J30&gt;=5,"Mittel","Niedrig"))))</f>
        <v/>
      </c>
      <c r="L30" s="8"/>
      <c r="M30" s="8"/>
      <c r="N30" s="8"/>
      <c r="O30" s="6" t="s">
        <v>544</v>
      </c>
      <c r="P30" s="5"/>
      <c r="Q30" s="7"/>
      <c r="R30" s="6" t="s">
        <v>40</v>
      </c>
      <c r="S30" s="6" t="s">
        <v>66</v>
      </c>
      <c r="T30" s="6" t="s">
        <v>538</v>
      </c>
      <c r="U30" s="28"/>
      <c r="V30" s="28"/>
      <c r="W30" s="22">
        <f>IF(OR(U30="",V30=""),"",U30*V30)</f>
        <v/>
      </c>
      <c r="X30" s="21">
        <f>IF(W30="","",IF(W30&gt;=17,"Kritisch",IF(W30&gt;=10,"Hoch",IF(W30&gt;=5,"Mittel","Niedrig"))))</f>
        <v/>
      </c>
      <c r="Y30" s="5"/>
      <c r="Z30" s="5"/>
    </row>
    <row r="31" spans="1:26" ht="64" customHeight="1">
      <c r="A31" s="6" t="s">
        <v>1611</v>
      </c>
      <c r="B31" s="6" t="s">
        <v>499</v>
      </c>
      <c r="C31" s="6" t="s">
        <v>566</v>
      </c>
      <c r="D31" s="6" t="s">
        <v>564</v>
      </c>
      <c r="E31" s="6" t="s">
        <v>565</v>
      </c>
      <c r="F31" s="6" t="s">
        <v>34</v>
      </c>
      <c r="G31" s="5"/>
      <c r="H31" s="28"/>
      <c r="I31" s="28"/>
      <c r="J31" s="22">
        <f>IF(OR(H31="",I31=""),"",H31*I31)</f>
        <v/>
      </c>
      <c r="K31" s="21">
        <f>IF(J31="","",IF(J31&gt;=17,"Kritisch",IF(J31&gt;=10,"Hoch",IF(J31&gt;=5,"Mittel","Niedrig"))))</f>
        <v/>
      </c>
      <c r="L31" s="8"/>
      <c r="M31" s="8"/>
      <c r="N31" s="8"/>
      <c r="O31" s="6" t="s">
        <v>567</v>
      </c>
      <c r="P31" s="5"/>
      <c r="Q31" s="7"/>
      <c r="R31" s="6" t="s">
        <v>40</v>
      </c>
      <c r="S31" s="6" t="s">
        <v>67</v>
      </c>
      <c r="T31" s="6" t="s">
        <v>561</v>
      </c>
      <c r="U31" s="28"/>
      <c r="V31" s="28"/>
      <c r="W31" s="22">
        <f>IF(OR(U31="",V31=""),"",U31*V31)</f>
        <v/>
      </c>
      <c r="X31" s="21">
        <f>IF(W31="","",IF(W31&gt;=17,"Kritisch",IF(W31&gt;=10,"Hoch",IF(W31&gt;=5,"Mittel","Niedrig"))))</f>
        <v/>
      </c>
      <c r="Y31" s="5"/>
      <c r="Z31" s="5"/>
    </row>
    <row r="32" spans="1:26" ht="64" customHeight="1">
      <c r="A32" s="6" t="s">
        <v>1612</v>
      </c>
      <c r="B32" s="6" t="s">
        <v>499</v>
      </c>
      <c r="C32" s="6" t="s">
        <v>581</v>
      </c>
      <c r="D32" s="6" t="s">
        <v>579</v>
      </c>
      <c r="E32" s="6" t="s">
        <v>580</v>
      </c>
      <c r="F32" s="6" t="s">
        <v>34</v>
      </c>
      <c r="G32" s="5"/>
      <c r="H32" s="28"/>
      <c r="I32" s="28"/>
      <c r="J32" s="22">
        <f>IF(OR(H32="",I32=""),"",H32*I32)</f>
        <v/>
      </c>
      <c r="K32" s="21">
        <f>IF(J32="","",IF(J32&gt;=17,"Kritisch",IF(J32&gt;=10,"Hoch",IF(J32&gt;=5,"Mittel","Niedrig"))))</f>
        <v/>
      </c>
      <c r="L32" s="8"/>
      <c r="M32" s="8"/>
      <c r="N32" s="8"/>
      <c r="O32" s="6" t="s">
        <v>582</v>
      </c>
      <c r="P32" s="5"/>
      <c r="Q32" s="7"/>
      <c r="R32" s="6" t="s">
        <v>40</v>
      </c>
      <c r="S32" s="6" t="s">
        <v>65</v>
      </c>
      <c r="T32" s="6" t="s">
        <v>576</v>
      </c>
      <c r="U32" s="28"/>
      <c r="V32" s="28"/>
      <c r="W32" s="22">
        <f>IF(OR(U32="",V32=""),"",U32*V32)</f>
        <v/>
      </c>
      <c r="X32" s="21">
        <f>IF(W32="","",IF(W32&gt;=17,"Kritisch",IF(W32&gt;=10,"Hoch",IF(W32&gt;=5,"Mittel","Niedrig"))))</f>
        <v/>
      </c>
      <c r="Y32" s="5"/>
      <c r="Z32" s="5"/>
    </row>
    <row r="33" spans="1:26" ht="64" customHeight="1">
      <c r="A33" s="6" t="s">
        <v>1613</v>
      </c>
      <c r="B33" s="6" t="s">
        <v>585</v>
      </c>
      <c r="C33" s="6" t="s">
        <v>590</v>
      </c>
      <c r="D33" s="6" t="s">
        <v>588</v>
      </c>
      <c r="E33" s="6" t="s">
        <v>589</v>
      </c>
      <c r="F33" s="6" t="s">
        <v>34</v>
      </c>
      <c r="G33" s="5"/>
      <c r="H33" s="28"/>
      <c r="I33" s="28"/>
      <c r="J33" s="22">
        <f>IF(OR(H33="",I33=""),"",H33*I33)</f>
        <v/>
      </c>
      <c r="K33" s="21">
        <f>IF(J33="","",IF(J33&gt;=17,"Kritisch",IF(J33&gt;=10,"Hoch",IF(J33&gt;=5,"Mittel","Niedrig"))))</f>
        <v/>
      </c>
      <c r="L33" s="8"/>
      <c r="M33" s="8"/>
      <c r="N33" s="8"/>
      <c r="O33" s="6" t="s">
        <v>591</v>
      </c>
      <c r="P33" s="5"/>
      <c r="Q33" s="7"/>
      <c r="R33" s="6" t="s">
        <v>40</v>
      </c>
      <c r="S33" s="6" t="s">
        <v>67</v>
      </c>
      <c r="T33" s="6" t="s">
        <v>584</v>
      </c>
      <c r="U33" s="28"/>
      <c r="V33" s="28"/>
      <c r="W33" s="22">
        <f>IF(OR(U33="",V33=""),"",U33*V33)</f>
        <v/>
      </c>
      <c r="X33" s="21">
        <f>IF(W33="","",IF(W33&gt;=17,"Kritisch",IF(W33&gt;=10,"Hoch",IF(W33&gt;=5,"Mittel","Niedrig"))))</f>
        <v/>
      </c>
      <c r="Y33" s="5"/>
      <c r="Z33" s="5"/>
    </row>
    <row r="34" spans="1:26" ht="64" customHeight="1">
      <c r="A34" s="6" t="s">
        <v>1614</v>
      </c>
      <c r="B34" s="6" t="s">
        <v>585</v>
      </c>
      <c r="C34" s="6" t="s">
        <v>606</v>
      </c>
      <c r="D34" s="6" t="s">
        <v>604</v>
      </c>
      <c r="E34" s="6" t="s">
        <v>605</v>
      </c>
      <c r="F34" s="6" t="s">
        <v>34</v>
      </c>
      <c r="G34" s="5"/>
      <c r="H34" s="28"/>
      <c r="I34" s="28"/>
      <c r="J34" s="22">
        <f>IF(OR(H34="",I34=""),"",H34*I34)</f>
        <v/>
      </c>
      <c r="K34" s="21">
        <f>IF(J34="","",IF(J34&gt;=17,"Kritisch",IF(J34&gt;=10,"Hoch",IF(J34&gt;=5,"Mittel","Niedrig"))))</f>
        <v/>
      </c>
      <c r="L34" s="8"/>
      <c r="M34" s="8"/>
      <c r="N34" s="8"/>
      <c r="O34" s="6" t="s">
        <v>607</v>
      </c>
      <c r="P34" s="5"/>
      <c r="Q34" s="7"/>
      <c r="R34" s="6" t="s">
        <v>40</v>
      </c>
      <c r="S34" s="6" t="s">
        <v>67</v>
      </c>
      <c r="T34" s="6" t="s">
        <v>601</v>
      </c>
      <c r="U34" s="28"/>
      <c r="V34" s="28"/>
      <c r="W34" s="22">
        <f>IF(OR(U34="",V34=""),"",U34*V34)</f>
        <v/>
      </c>
      <c r="X34" s="21">
        <f>IF(W34="","",IF(W34&gt;=17,"Kritisch",IF(W34&gt;=10,"Hoch",IF(W34&gt;=5,"Mittel","Niedrig"))))</f>
        <v/>
      </c>
      <c r="Y34" s="5"/>
      <c r="Z34" s="5"/>
    </row>
    <row r="35" spans="1:26" ht="64" customHeight="1">
      <c r="A35" s="6" t="s">
        <v>1615</v>
      </c>
      <c r="B35" s="6" t="s">
        <v>585</v>
      </c>
      <c r="C35" s="6" t="s">
        <v>614</v>
      </c>
      <c r="D35" s="6" t="s">
        <v>612</v>
      </c>
      <c r="E35" s="6" t="s">
        <v>613</v>
      </c>
      <c r="F35" s="6" t="s">
        <v>34</v>
      </c>
      <c r="G35" s="5"/>
      <c r="H35" s="28"/>
      <c r="I35" s="28"/>
      <c r="J35" s="22">
        <f>IF(OR(H35="",I35=""),"",H35*I35)</f>
        <v/>
      </c>
      <c r="K35" s="21">
        <f>IF(J35="","",IF(J35&gt;=17,"Kritisch",IF(J35&gt;=10,"Hoch",IF(J35&gt;=5,"Mittel","Niedrig"))))</f>
        <v/>
      </c>
      <c r="L35" s="8"/>
      <c r="M35" s="8"/>
      <c r="N35" s="8"/>
      <c r="O35" s="6" t="s">
        <v>615</v>
      </c>
      <c r="P35" s="5"/>
      <c r="Q35" s="7"/>
      <c r="R35" s="6" t="s">
        <v>40</v>
      </c>
      <c r="S35" s="6" t="s">
        <v>68</v>
      </c>
      <c r="T35" s="6" t="s">
        <v>609</v>
      </c>
      <c r="U35" s="28"/>
      <c r="V35" s="28"/>
      <c r="W35" s="22">
        <f>IF(OR(U35="",V35=""),"",U35*V35)</f>
        <v/>
      </c>
      <c r="X35" s="21">
        <f>IF(W35="","",IF(W35&gt;=17,"Kritisch",IF(W35&gt;=10,"Hoch",IF(W35&gt;=5,"Mittel","Niedrig"))))</f>
        <v/>
      </c>
      <c r="Y35" s="5"/>
      <c r="Z35" s="5"/>
    </row>
    <row r="36" spans="1:26" ht="64" customHeight="1">
      <c r="A36" s="6" t="s">
        <v>1616</v>
      </c>
      <c r="B36" s="6" t="s">
        <v>585</v>
      </c>
      <c r="C36" s="6" t="s">
        <v>622</v>
      </c>
      <c r="D36" s="6" t="s">
        <v>620</v>
      </c>
      <c r="E36" s="6" t="s">
        <v>621</v>
      </c>
      <c r="F36" s="6" t="s">
        <v>34</v>
      </c>
      <c r="G36" s="5"/>
      <c r="H36" s="28"/>
      <c r="I36" s="28"/>
      <c r="J36" s="22">
        <f>IF(OR(H36="",I36=""),"",H36*I36)</f>
        <v/>
      </c>
      <c r="K36" s="21">
        <f>IF(J36="","",IF(J36&gt;=17,"Kritisch",IF(J36&gt;=10,"Hoch",IF(J36&gt;=5,"Mittel","Niedrig"))))</f>
        <v/>
      </c>
      <c r="L36" s="8"/>
      <c r="M36" s="8"/>
      <c r="N36" s="8"/>
      <c r="O36" s="6" t="s">
        <v>623</v>
      </c>
      <c r="P36" s="5"/>
      <c r="Q36" s="7"/>
      <c r="R36" s="6" t="s">
        <v>40</v>
      </c>
      <c r="S36" s="6" t="s">
        <v>66</v>
      </c>
      <c r="T36" s="6" t="s">
        <v>617</v>
      </c>
      <c r="U36" s="28"/>
      <c r="V36" s="28"/>
      <c r="W36" s="22">
        <f>IF(OR(U36="",V36=""),"",U36*V36)</f>
        <v/>
      </c>
      <c r="X36" s="21">
        <f>IF(W36="","",IF(W36&gt;=17,"Kritisch",IF(W36&gt;=10,"Hoch",IF(W36&gt;=5,"Mittel","Niedrig"))))</f>
        <v/>
      </c>
      <c r="Y36" s="5"/>
      <c r="Z36" s="5"/>
    </row>
    <row r="37" spans="1:26" ht="64" customHeight="1">
      <c r="A37" s="6" t="s">
        <v>1617</v>
      </c>
      <c r="B37" s="6" t="s">
        <v>585</v>
      </c>
      <c r="C37" s="6" t="s">
        <v>629</v>
      </c>
      <c r="D37" s="6" t="s">
        <v>627</v>
      </c>
      <c r="E37" s="6" t="s">
        <v>628</v>
      </c>
      <c r="F37" s="6" t="s">
        <v>34</v>
      </c>
      <c r="G37" s="5"/>
      <c r="H37" s="28"/>
      <c r="I37" s="28"/>
      <c r="J37" s="22">
        <f>IF(OR(H37="",I37=""),"",H37*I37)</f>
        <v/>
      </c>
      <c r="K37" s="21">
        <f>IF(J37="","",IF(J37&gt;=17,"Kritisch",IF(J37&gt;=10,"Hoch",IF(J37&gt;=5,"Mittel","Niedrig"))))</f>
        <v/>
      </c>
      <c r="L37" s="8"/>
      <c r="M37" s="8"/>
      <c r="N37" s="8"/>
      <c r="O37" s="6" t="s">
        <v>630</v>
      </c>
      <c r="P37" s="5"/>
      <c r="Q37" s="7"/>
      <c r="R37" s="6" t="s">
        <v>40</v>
      </c>
      <c r="S37" s="6" t="s">
        <v>66</v>
      </c>
      <c r="T37" s="6" t="s">
        <v>624</v>
      </c>
      <c r="U37" s="28"/>
      <c r="V37" s="28"/>
      <c r="W37" s="22">
        <f>IF(OR(U37="",V37=""),"",U37*V37)</f>
        <v/>
      </c>
      <c r="X37" s="21">
        <f>IF(W37="","",IF(W37&gt;=17,"Kritisch",IF(W37&gt;=10,"Hoch",IF(W37&gt;=5,"Mittel","Niedrig"))))</f>
        <v/>
      </c>
      <c r="Y37" s="5"/>
      <c r="Z37" s="5"/>
    </row>
    <row r="38" spans="1:26" ht="64" customHeight="1">
      <c r="A38" s="6" t="s">
        <v>1618</v>
      </c>
      <c r="B38" s="6" t="s">
        <v>585</v>
      </c>
      <c r="C38" s="6" t="s">
        <v>637</v>
      </c>
      <c r="D38" s="6" t="s">
        <v>635</v>
      </c>
      <c r="E38" s="6" t="s">
        <v>636</v>
      </c>
      <c r="F38" s="6" t="s">
        <v>34</v>
      </c>
      <c r="G38" s="5"/>
      <c r="H38" s="28"/>
      <c r="I38" s="28"/>
      <c r="J38" s="22">
        <f>IF(OR(H38="",I38=""),"",H38*I38)</f>
        <v/>
      </c>
      <c r="K38" s="21">
        <f>IF(J38="","",IF(J38&gt;=17,"Kritisch",IF(J38&gt;=10,"Hoch",IF(J38&gt;=5,"Mittel","Niedrig"))))</f>
        <v/>
      </c>
      <c r="L38" s="8"/>
      <c r="M38" s="8"/>
      <c r="N38" s="8"/>
      <c r="O38" s="6" t="s">
        <v>638</v>
      </c>
      <c r="P38" s="5"/>
      <c r="Q38" s="7"/>
      <c r="R38" s="6" t="s">
        <v>40</v>
      </c>
      <c r="S38" s="6" t="s">
        <v>67</v>
      </c>
      <c r="T38" s="6" t="s">
        <v>632</v>
      </c>
      <c r="U38" s="28"/>
      <c r="V38" s="28"/>
      <c r="W38" s="22">
        <f>IF(OR(U38="",V38=""),"",U38*V38)</f>
        <v/>
      </c>
      <c r="X38" s="21">
        <f>IF(W38="","",IF(W38&gt;=17,"Kritisch",IF(W38&gt;=10,"Hoch",IF(W38&gt;=5,"Mittel","Niedrig"))))</f>
        <v/>
      </c>
      <c r="Y38" s="5"/>
      <c r="Z38" s="5"/>
    </row>
    <row r="39" spans="1:26" ht="64" customHeight="1">
      <c r="A39" s="6" t="s">
        <v>1619</v>
      </c>
      <c r="B39" s="6" t="s">
        <v>585</v>
      </c>
      <c r="C39" s="6" t="s">
        <v>645</v>
      </c>
      <c r="D39" s="6" t="s">
        <v>643</v>
      </c>
      <c r="E39" s="6" t="s">
        <v>644</v>
      </c>
      <c r="F39" s="6" t="s">
        <v>34</v>
      </c>
      <c r="G39" s="5"/>
      <c r="H39" s="28"/>
      <c r="I39" s="28"/>
      <c r="J39" s="22">
        <f>IF(OR(H39="",I39=""),"",H39*I39)</f>
        <v/>
      </c>
      <c r="K39" s="21">
        <f>IF(J39="","",IF(J39&gt;=17,"Kritisch",IF(J39&gt;=10,"Hoch",IF(J39&gt;=5,"Mittel","Niedrig"))))</f>
        <v/>
      </c>
      <c r="L39" s="8"/>
      <c r="M39" s="8"/>
      <c r="N39" s="8"/>
      <c r="O39" s="6" t="s">
        <v>646</v>
      </c>
      <c r="P39" s="5"/>
      <c r="Q39" s="7"/>
      <c r="R39" s="6" t="s">
        <v>40</v>
      </c>
      <c r="S39" s="6" t="s">
        <v>70</v>
      </c>
      <c r="T39" s="6" t="s">
        <v>640</v>
      </c>
      <c r="U39" s="28"/>
      <c r="V39" s="28"/>
      <c r="W39" s="22">
        <f>IF(OR(U39="",V39=""),"",U39*V39)</f>
        <v/>
      </c>
      <c r="X39" s="21">
        <f>IF(W39="","",IF(W39&gt;=17,"Kritisch",IF(W39&gt;=10,"Hoch",IF(W39&gt;=5,"Mittel","Niedrig"))))</f>
        <v/>
      </c>
      <c r="Y39" s="5"/>
      <c r="Z39" s="5"/>
    </row>
    <row r="40" spans="1:26" ht="64" customHeight="1">
      <c r="A40" s="6" t="s">
        <v>1620</v>
      </c>
      <c r="B40" s="6" t="s">
        <v>585</v>
      </c>
      <c r="C40" s="6" t="s">
        <v>669</v>
      </c>
      <c r="D40" s="6" t="s">
        <v>667</v>
      </c>
      <c r="E40" s="6" t="s">
        <v>668</v>
      </c>
      <c r="F40" s="6" t="s">
        <v>34</v>
      </c>
      <c r="G40" s="5"/>
      <c r="H40" s="28"/>
      <c r="I40" s="28"/>
      <c r="J40" s="22">
        <f>IF(OR(H40="",I40=""),"",H40*I40)</f>
        <v/>
      </c>
      <c r="K40" s="21">
        <f>IF(J40="","",IF(J40&gt;=17,"Kritisch",IF(J40&gt;=10,"Hoch",IF(J40&gt;=5,"Mittel","Niedrig"))))</f>
        <v/>
      </c>
      <c r="L40" s="8"/>
      <c r="M40" s="8"/>
      <c r="N40" s="8"/>
      <c r="O40" s="6" t="s">
        <v>670</v>
      </c>
      <c r="P40" s="5"/>
      <c r="Q40" s="7"/>
      <c r="R40" s="6" t="s">
        <v>40</v>
      </c>
      <c r="S40" s="6" t="s">
        <v>66</v>
      </c>
      <c r="T40" s="6" t="s">
        <v>664</v>
      </c>
      <c r="U40" s="28"/>
      <c r="V40" s="28"/>
      <c r="W40" s="22">
        <f>IF(OR(U40="",V40=""),"",U40*V40)</f>
        <v/>
      </c>
      <c r="X40" s="21">
        <f>IF(W40="","",IF(W40&gt;=17,"Kritisch",IF(W40&gt;=10,"Hoch",IF(W40&gt;=5,"Mittel","Niedrig"))))</f>
        <v/>
      </c>
      <c r="Y40" s="5"/>
      <c r="Z40" s="5"/>
    </row>
    <row r="41" spans="1:26" ht="64" customHeight="1">
      <c r="A41" s="6" t="s">
        <v>1621</v>
      </c>
      <c r="B41" s="6" t="s">
        <v>688</v>
      </c>
      <c r="C41" s="6" t="s">
        <v>700</v>
      </c>
      <c r="D41" s="6" t="s">
        <v>698</v>
      </c>
      <c r="E41" s="6" t="s">
        <v>699</v>
      </c>
      <c r="F41" s="6" t="s">
        <v>34</v>
      </c>
      <c r="G41" s="5"/>
      <c r="H41" s="28"/>
      <c r="I41" s="28"/>
      <c r="J41" s="22">
        <f>IF(OR(H41="",I41=""),"",H41*I41)</f>
        <v/>
      </c>
      <c r="K41" s="21">
        <f>IF(J41="","",IF(J41&gt;=17,"Kritisch",IF(J41&gt;=10,"Hoch",IF(J41&gt;=5,"Mittel","Niedrig"))))</f>
        <v/>
      </c>
      <c r="L41" s="8"/>
      <c r="M41" s="8"/>
      <c r="N41" s="8"/>
      <c r="O41" s="6" t="s">
        <v>701</v>
      </c>
      <c r="P41" s="5"/>
      <c r="Q41" s="7"/>
      <c r="R41" s="6" t="s">
        <v>40</v>
      </c>
      <c r="S41" s="6" t="s">
        <v>65</v>
      </c>
      <c r="T41" s="6" t="s">
        <v>695</v>
      </c>
      <c r="U41" s="28"/>
      <c r="V41" s="28"/>
      <c r="W41" s="22">
        <f>IF(OR(U41="",V41=""),"",U41*V41)</f>
        <v/>
      </c>
      <c r="X41" s="21">
        <f>IF(W41="","",IF(W41&gt;=17,"Kritisch",IF(W41&gt;=10,"Hoch",IF(W41&gt;=5,"Mittel","Niedrig"))))</f>
        <v/>
      </c>
      <c r="Y41" s="5"/>
      <c r="Z41" s="5"/>
    </row>
    <row r="42" spans="1:26" ht="64" customHeight="1">
      <c r="A42" s="6" t="s">
        <v>1622</v>
      </c>
      <c r="B42" s="6" t="s">
        <v>688</v>
      </c>
      <c r="C42" s="6" t="s">
        <v>708</v>
      </c>
      <c r="D42" s="6" t="s">
        <v>706</v>
      </c>
      <c r="E42" s="6" t="s">
        <v>707</v>
      </c>
      <c r="F42" s="6" t="s">
        <v>34</v>
      </c>
      <c r="G42" s="5"/>
      <c r="H42" s="28"/>
      <c r="I42" s="28"/>
      <c r="J42" s="22">
        <f>IF(OR(H42="",I42=""),"",H42*I42)</f>
        <v/>
      </c>
      <c r="K42" s="21">
        <f>IF(J42="","",IF(J42&gt;=17,"Kritisch",IF(J42&gt;=10,"Hoch",IF(J42&gt;=5,"Mittel","Niedrig"))))</f>
        <v/>
      </c>
      <c r="L42" s="8"/>
      <c r="M42" s="8"/>
      <c r="N42" s="8"/>
      <c r="O42" s="6" t="s">
        <v>709</v>
      </c>
      <c r="P42" s="5"/>
      <c r="Q42" s="7"/>
      <c r="R42" s="6" t="s">
        <v>40</v>
      </c>
      <c r="S42" s="6" t="s">
        <v>66</v>
      </c>
      <c r="T42" s="6" t="s">
        <v>703</v>
      </c>
      <c r="U42" s="28"/>
      <c r="V42" s="28"/>
      <c r="W42" s="22">
        <f>IF(OR(U42="",V42=""),"",U42*V42)</f>
        <v/>
      </c>
      <c r="X42" s="21">
        <f>IF(W42="","",IF(W42&gt;=17,"Kritisch",IF(W42&gt;=10,"Hoch",IF(W42&gt;=5,"Mittel","Niedrig"))))</f>
        <v/>
      </c>
      <c r="Y42" s="5"/>
      <c r="Z42" s="5"/>
    </row>
    <row r="43" spans="1:26" ht="64" customHeight="1">
      <c r="A43" s="6" t="s">
        <v>1623</v>
      </c>
      <c r="B43" s="6" t="s">
        <v>688</v>
      </c>
      <c r="C43" s="6" t="s">
        <v>723</v>
      </c>
      <c r="D43" s="6" t="s">
        <v>721</v>
      </c>
      <c r="E43" s="6" t="s">
        <v>722</v>
      </c>
      <c r="F43" s="6" t="s">
        <v>34</v>
      </c>
      <c r="G43" s="5"/>
      <c r="H43" s="28"/>
      <c r="I43" s="28"/>
      <c r="J43" s="22">
        <f>IF(OR(H43="",I43=""),"",H43*I43)</f>
        <v/>
      </c>
      <c r="K43" s="21">
        <f>IF(J43="","",IF(J43&gt;=17,"Kritisch",IF(J43&gt;=10,"Hoch",IF(J43&gt;=5,"Mittel","Niedrig"))))</f>
        <v/>
      </c>
      <c r="L43" s="8"/>
      <c r="M43" s="8"/>
      <c r="N43" s="8"/>
      <c r="O43" s="6" t="s">
        <v>724</v>
      </c>
      <c r="P43" s="5"/>
      <c r="Q43" s="7"/>
      <c r="R43" s="6" t="s">
        <v>40</v>
      </c>
      <c r="S43" s="6" t="s">
        <v>69</v>
      </c>
      <c r="T43" s="6" t="s">
        <v>718</v>
      </c>
      <c r="U43" s="28"/>
      <c r="V43" s="28"/>
      <c r="W43" s="22">
        <f>IF(OR(U43="",V43=""),"",U43*V43)</f>
        <v/>
      </c>
      <c r="X43" s="21">
        <f>IF(W43="","",IF(W43&gt;=17,"Kritisch",IF(W43&gt;=10,"Hoch",IF(W43&gt;=5,"Mittel","Niedrig"))))</f>
        <v/>
      </c>
      <c r="Y43" s="5"/>
      <c r="Z43" s="5"/>
    </row>
    <row r="44" spans="1:26" ht="64" customHeight="1">
      <c r="A44" s="6" t="s">
        <v>1624</v>
      </c>
      <c r="B44" s="6" t="s">
        <v>688</v>
      </c>
      <c r="C44" s="6" t="s">
        <v>730</v>
      </c>
      <c r="D44" s="6" t="s">
        <v>728</v>
      </c>
      <c r="E44" s="6" t="s">
        <v>729</v>
      </c>
      <c r="F44" s="6" t="s">
        <v>34</v>
      </c>
      <c r="G44" s="5"/>
      <c r="H44" s="28"/>
      <c r="I44" s="28"/>
      <c r="J44" s="22">
        <f>IF(OR(H44="",I44=""),"",H44*I44)</f>
        <v/>
      </c>
      <c r="K44" s="21">
        <f>IF(J44="","",IF(J44&gt;=17,"Kritisch",IF(J44&gt;=10,"Hoch",IF(J44&gt;=5,"Mittel","Niedrig"))))</f>
        <v/>
      </c>
      <c r="L44" s="8"/>
      <c r="M44" s="8"/>
      <c r="N44" s="8"/>
      <c r="O44" s="6" t="s">
        <v>731</v>
      </c>
      <c r="P44" s="5"/>
      <c r="Q44" s="7"/>
      <c r="R44" s="6" t="s">
        <v>40</v>
      </c>
      <c r="S44" s="6" t="s">
        <v>65</v>
      </c>
      <c r="T44" s="6" t="s">
        <v>725</v>
      </c>
      <c r="U44" s="28"/>
      <c r="V44" s="28"/>
      <c r="W44" s="22">
        <f>IF(OR(U44="",V44=""),"",U44*V44)</f>
        <v/>
      </c>
      <c r="X44" s="21">
        <f>IF(W44="","",IF(W44&gt;=17,"Kritisch",IF(W44&gt;=10,"Hoch",IF(W44&gt;=5,"Mittel","Niedrig"))))</f>
        <v/>
      </c>
      <c r="Y44" s="5"/>
      <c r="Z44" s="5"/>
    </row>
    <row r="45" spans="1:26" ht="64" customHeight="1">
      <c r="A45" s="6" t="s">
        <v>1625</v>
      </c>
      <c r="B45" s="6" t="s">
        <v>754</v>
      </c>
      <c r="C45" s="6" t="s">
        <v>759</v>
      </c>
      <c r="D45" s="6" t="s">
        <v>757</v>
      </c>
      <c r="E45" s="6" t="s">
        <v>758</v>
      </c>
      <c r="F45" s="6" t="s">
        <v>34</v>
      </c>
      <c r="G45" s="5"/>
      <c r="H45" s="28"/>
      <c r="I45" s="28"/>
      <c r="J45" s="22">
        <f>IF(OR(H45="",I45=""),"",H45*I45)</f>
        <v/>
      </c>
      <c r="K45" s="21">
        <f>IF(J45="","",IF(J45&gt;=17,"Kritisch",IF(J45&gt;=10,"Hoch",IF(J45&gt;=5,"Mittel","Niedrig"))))</f>
        <v/>
      </c>
      <c r="L45" s="8"/>
      <c r="M45" s="8"/>
      <c r="N45" s="8"/>
      <c r="O45" s="6" t="s">
        <v>760</v>
      </c>
      <c r="P45" s="5"/>
      <c r="Q45" s="7"/>
      <c r="R45" s="6" t="s">
        <v>40</v>
      </c>
      <c r="S45" s="6" t="s">
        <v>69</v>
      </c>
      <c r="T45" s="6" t="s">
        <v>753</v>
      </c>
      <c r="U45" s="28"/>
      <c r="V45" s="28"/>
      <c r="W45" s="22">
        <f>IF(OR(U45="",V45=""),"",U45*V45)</f>
        <v/>
      </c>
      <c r="X45" s="21">
        <f>IF(W45="","",IF(W45&gt;=17,"Kritisch",IF(W45&gt;=10,"Hoch",IF(W45&gt;=5,"Mittel","Niedrig"))))</f>
        <v/>
      </c>
      <c r="Y45" s="5"/>
      <c r="Z45" s="5"/>
    </row>
    <row r="46" spans="1:26" ht="64" customHeight="1">
      <c r="A46" s="6" t="s">
        <v>1626</v>
      </c>
      <c r="B46" s="6" t="s">
        <v>754</v>
      </c>
      <c r="C46" s="6" t="s">
        <v>781</v>
      </c>
      <c r="D46" s="6" t="s">
        <v>779</v>
      </c>
      <c r="E46" s="6" t="s">
        <v>780</v>
      </c>
      <c r="F46" s="6" t="s">
        <v>34</v>
      </c>
      <c r="G46" s="5"/>
      <c r="H46" s="28"/>
      <c r="I46" s="28"/>
      <c r="J46" s="22">
        <f>IF(OR(H46="",I46=""),"",H46*I46)</f>
        <v/>
      </c>
      <c r="K46" s="21">
        <f>IF(J46="","",IF(J46&gt;=17,"Kritisch",IF(J46&gt;=10,"Hoch",IF(J46&gt;=5,"Mittel","Niedrig"))))</f>
        <v/>
      </c>
      <c r="L46" s="8"/>
      <c r="M46" s="8"/>
      <c r="N46" s="8"/>
      <c r="O46" s="6" t="s">
        <v>782</v>
      </c>
      <c r="P46" s="5"/>
      <c r="Q46" s="7"/>
      <c r="R46" s="6" t="s">
        <v>40</v>
      </c>
      <c r="S46" s="6" t="s">
        <v>69</v>
      </c>
      <c r="T46" s="6" t="s">
        <v>776</v>
      </c>
      <c r="U46" s="28"/>
      <c r="V46" s="28"/>
      <c r="W46" s="22">
        <f>IF(OR(U46="",V46=""),"",U46*V46)</f>
        <v/>
      </c>
      <c r="X46" s="21">
        <f>IF(W46="","",IF(W46&gt;=17,"Kritisch",IF(W46&gt;=10,"Hoch",IF(W46&gt;=5,"Mittel","Niedrig"))))</f>
        <v/>
      </c>
      <c r="Y46" s="5"/>
      <c r="Z46" s="5"/>
    </row>
    <row r="47" spans="1:26" ht="64" customHeight="1">
      <c r="A47" s="6" t="s">
        <v>1627</v>
      </c>
      <c r="B47" s="6" t="s">
        <v>754</v>
      </c>
      <c r="C47" s="6" t="s">
        <v>795</v>
      </c>
      <c r="D47" s="6" t="s">
        <v>793</v>
      </c>
      <c r="E47" s="6" t="s">
        <v>794</v>
      </c>
      <c r="F47" s="6" t="s">
        <v>34</v>
      </c>
      <c r="G47" s="5"/>
      <c r="H47" s="28"/>
      <c r="I47" s="28"/>
      <c r="J47" s="22">
        <f>IF(OR(H47="",I47=""),"",H47*I47)</f>
        <v/>
      </c>
      <c r="K47" s="21">
        <f>IF(J47="","",IF(J47&gt;=17,"Kritisch",IF(J47&gt;=10,"Hoch",IF(J47&gt;=5,"Mittel","Niedrig"))))</f>
        <v/>
      </c>
      <c r="L47" s="8"/>
      <c r="M47" s="8"/>
      <c r="N47" s="8"/>
      <c r="O47" s="6" t="s">
        <v>796</v>
      </c>
      <c r="P47" s="5"/>
      <c r="Q47" s="7"/>
      <c r="R47" s="6" t="s">
        <v>40</v>
      </c>
      <c r="S47" s="6" t="s">
        <v>66</v>
      </c>
      <c r="T47" s="6" t="s">
        <v>790</v>
      </c>
      <c r="U47" s="28"/>
      <c r="V47" s="28"/>
      <c r="W47" s="22">
        <f>IF(OR(U47="",V47=""),"",U47*V47)</f>
        <v/>
      </c>
      <c r="X47" s="21">
        <f>IF(W47="","",IF(W47&gt;=17,"Kritisch",IF(W47&gt;=10,"Hoch",IF(W47&gt;=5,"Mittel","Niedrig"))))</f>
        <v/>
      </c>
      <c r="Y47" s="5"/>
      <c r="Z47" s="5"/>
    </row>
    <row r="48" spans="1:26" ht="64" customHeight="1">
      <c r="A48" s="6" t="s">
        <v>1628</v>
      </c>
      <c r="B48" s="6" t="s">
        <v>807</v>
      </c>
      <c r="C48" s="6" t="s">
        <v>820</v>
      </c>
      <c r="D48" s="6" t="s">
        <v>818</v>
      </c>
      <c r="E48" s="6" t="s">
        <v>819</v>
      </c>
      <c r="F48" s="6" t="s">
        <v>34</v>
      </c>
      <c r="G48" s="5"/>
      <c r="H48" s="28"/>
      <c r="I48" s="28"/>
      <c r="J48" s="22">
        <f>IF(OR(H48="",I48=""),"",H48*I48)</f>
        <v/>
      </c>
      <c r="K48" s="21">
        <f>IF(J48="","",IF(J48&gt;=17,"Kritisch",IF(J48&gt;=10,"Hoch",IF(J48&gt;=5,"Mittel","Niedrig"))))</f>
        <v/>
      </c>
      <c r="L48" s="8"/>
      <c r="M48" s="8"/>
      <c r="N48" s="8"/>
      <c r="O48" s="6" t="s">
        <v>821</v>
      </c>
      <c r="P48" s="5"/>
      <c r="Q48" s="7"/>
      <c r="R48" s="6" t="s">
        <v>40</v>
      </c>
      <c r="S48" s="6" t="s">
        <v>69</v>
      </c>
      <c r="T48" s="6" t="s">
        <v>815</v>
      </c>
      <c r="U48" s="28"/>
      <c r="V48" s="28"/>
      <c r="W48" s="22">
        <f>IF(OR(U48="",V48=""),"",U48*V48)</f>
        <v/>
      </c>
      <c r="X48" s="21">
        <f>IF(W48="","",IF(W48&gt;=17,"Kritisch",IF(W48&gt;=10,"Hoch",IF(W48&gt;=5,"Mittel","Niedrig"))))</f>
        <v/>
      </c>
      <c r="Y48" s="5"/>
      <c r="Z48" s="5"/>
    </row>
    <row r="49" spans="1:26" ht="64" customHeight="1">
      <c r="A49" s="6" t="s">
        <v>1629</v>
      </c>
      <c r="B49" s="6" t="s">
        <v>807</v>
      </c>
      <c r="C49" s="6" t="s">
        <v>827</v>
      </c>
      <c r="D49" s="6" t="s">
        <v>825</v>
      </c>
      <c r="E49" s="6" t="s">
        <v>826</v>
      </c>
      <c r="F49" s="6" t="s">
        <v>34</v>
      </c>
      <c r="G49" s="5"/>
      <c r="H49" s="28"/>
      <c r="I49" s="28"/>
      <c r="J49" s="22">
        <f>IF(OR(H49="",I49=""),"",H49*I49)</f>
        <v/>
      </c>
      <c r="K49" s="21">
        <f>IF(J49="","",IF(J49&gt;=17,"Kritisch",IF(J49&gt;=10,"Hoch",IF(J49&gt;=5,"Mittel","Niedrig"))))</f>
        <v/>
      </c>
      <c r="L49" s="8"/>
      <c r="M49" s="8"/>
      <c r="N49" s="8"/>
      <c r="O49" s="6" t="s">
        <v>828</v>
      </c>
      <c r="P49" s="5"/>
      <c r="Q49" s="7"/>
      <c r="R49" s="6" t="s">
        <v>40</v>
      </c>
      <c r="S49" s="6" t="s">
        <v>65</v>
      </c>
      <c r="T49" s="6" t="s">
        <v>822</v>
      </c>
      <c r="U49" s="28"/>
      <c r="V49" s="28"/>
      <c r="W49" s="22">
        <f>IF(OR(U49="",V49=""),"",U49*V49)</f>
        <v/>
      </c>
      <c r="X49" s="21">
        <f>IF(W49="","",IF(W49&gt;=17,"Kritisch",IF(W49&gt;=10,"Hoch",IF(W49&gt;=5,"Mittel","Niedrig"))))</f>
        <v/>
      </c>
      <c r="Y49" s="5"/>
      <c r="Z49" s="5"/>
    </row>
    <row r="50" spans="1:26" ht="64" customHeight="1">
      <c r="A50" s="6" t="s">
        <v>1630</v>
      </c>
      <c r="B50" s="6" t="s">
        <v>807</v>
      </c>
      <c r="C50" s="6" t="s">
        <v>835</v>
      </c>
      <c r="D50" s="6" t="s">
        <v>833</v>
      </c>
      <c r="E50" s="6" t="s">
        <v>834</v>
      </c>
      <c r="F50" s="6" t="s">
        <v>34</v>
      </c>
      <c r="G50" s="5"/>
      <c r="H50" s="28"/>
      <c r="I50" s="28"/>
      <c r="J50" s="22">
        <f>IF(OR(H50="",I50=""),"",H50*I50)</f>
        <v/>
      </c>
      <c r="K50" s="21">
        <f>IF(J50="","",IF(J50&gt;=17,"Kritisch",IF(J50&gt;=10,"Hoch",IF(J50&gt;=5,"Mittel","Niedrig"))))</f>
        <v/>
      </c>
      <c r="L50" s="8"/>
      <c r="M50" s="8"/>
      <c r="N50" s="8"/>
      <c r="O50" s="6" t="s">
        <v>836</v>
      </c>
      <c r="P50" s="5"/>
      <c r="Q50" s="7"/>
      <c r="R50" s="6" t="s">
        <v>40</v>
      </c>
      <c r="S50" s="6" t="s">
        <v>67</v>
      </c>
      <c r="T50" s="6" t="s">
        <v>830</v>
      </c>
      <c r="U50" s="28"/>
      <c r="V50" s="28"/>
      <c r="W50" s="22">
        <f>IF(OR(U50="",V50=""),"",U50*V50)</f>
        <v/>
      </c>
      <c r="X50" s="21">
        <f>IF(W50="","",IF(W50&gt;=17,"Kritisch",IF(W50&gt;=10,"Hoch",IF(W50&gt;=5,"Mittel","Niedrig"))))</f>
        <v/>
      </c>
      <c r="Y50" s="5"/>
      <c r="Z50" s="5"/>
    </row>
    <row r="51" spans="1:26" ht="64" customHeight="1">
      <c r="A51" s="6" t="s">
        <v>1631</v>
      </c>
      <c r="B51" s="6" t="s">
        <v>807</v>
      </c>
      <c r="C51" s="6" t="s">
        <v>844</v>
      </c>
      <c r="D51" s="6" t="s">
        <v>842</v>
      </c>
      <c r="E51" s="6" t="s">
        <v>843</v>
      </c>
      <c r="F51" s="6" t="s">
        <v>34</v>
      </c>
      <c r="G51" s="5"/>
      <c r="H51" s="28"/>
      <c r="I51" s="28"/>
      <c r="J51" s="22">
        <f>IF(OR(H51="",I51=""),"",H51*I51)</f>
        <v/>
      </c>
      <c r="K51" s="21">
        <f>IF(J51="","",IF(J51&gt;=17,"Kritisch",IF(J51&gt;=10,"Hoch",IF(J51&gt;=5,"Mittel","Niedrig"))))</f>
        <v/>
      </c>
      <c r="L51" s="8"/>
      <c r="M51" s="8"/>
      <c r="N51" s="8"/>
      <c r="O51" s="6" t="s">
        <v>845</v>
      </c>
      <c r="P51" s="5"/>
      <c r="Q51" s="7"/>
      <c r="R51" s="6" t="s">
        <v>40</v>
      </c>
      <c r="S51" s="6" t="s">
        <v>67</v>
      </c>
      <c r="T51" s="6" t="s">
        <v>839</v>
      </c>
      <c r="U51" s="28"/>
      <c r="V51" s="28"/>
      <c r="W51" s="22">
        <f>IF(OR(U51="",V51=""),"",U51*V51)</f>
        <v/>
      </c>
      <c r="X51" s="21">
        <f>IF(W51="","",IF(W51&gt;=17,"Kritisch",IF(W51&gt;=10,"Hoch",IF(W51&gt;=5,"Mittel","Niedrig"))))</f>
        <v/>
      </c>
      <c r="Y51" s="5"/>
      <c r="Z51" s="5"/>
    </row>
    <row r="52" spans="1:26" ht="64" customHeight="1">
      <c r="A52" s="6" t="s">
        <v>1632</v>
      </c>
      <c r="B52" s="6" t="s">
        <v>807</v>
      </c>
      <c r="C52" s="6" t="s">
        <v>852</v>
      </c>
      <c r="D52" s="6" t="s">
        <v>850</v>
      </c>
      <c r="E52" s="6" t="s">
        <v>851</v>
      </c>
      <c r="F52" s="6" t="s">
        <v>34</v>
      </c>
      <c r="G52" s="5"/>
      <c r="H52" s="28"/>
      <c r="I52" s="28"/>
      <c r="J52" s="22">
        <f>IF(OR(H52="",I52=""),"",H52*I52)</f>
        <v/>
      </c>
      <c r="K52" s="21">
        <f>IF(J52="","",IF(J52&gt;=17,"Kritisch",IF(J52&gt;=10,"Hoch",IF(J52&gt;=5,"Mittel","Niedrig"))))</f>
        <v/>
      </c>
      <c r="L52" s="8"/>
      <c r="M52" s="8"/>
      <c r="N52" s="8"/>
      <c r="O52" s="6" t="s">
        <v>853</v>
      </c>
      <c r="P52" s="5"/>
      <c r="Q52" s="7"/>
      <c r="R52" s="6" t="s">
        <v>40</v>
      </c>
      <c r="S52" s="6" t="s">
        <v>70</v>
      </c>
      <c r="T52" s="6" t="s">
        <v>847</v>
      </c>
      <c r="U52" s="28"/>
      <c r="V52" s="28"/>
      <c r="W52" s="22">
        <f>IF(OR(U52="",V52=""),"",U52*V52)</f>
        <v/>
      </c>
      <c r="X52" s="21">
        <f>IF(W52="","",IF(W52&gt;=17,"Kritisch",IF(W52&gt;=10,"Hoch",IF(W52&gt;=5,"Mittel","Niedrig"))))</f>
        <v/>
      </c>
      <c r="Y52" s="5"/>
      <c r="Z52" s="5"/>
    </row>
    <row r="53" spans="1:26" ht="64" customHeight="1">
      <c r="A53" s="6" t="s">
        <v>1633</v>
      </c>
      <c r="B53" s="6" t="s">
        <v>807</v>
      </c>
      <c r="C53" s="6" t="s">
        <v>860</v>
      </c>
      <c r="D53" s="6" t="s">
        <v>858</v>
      </c>
      <c r="E53" s="6" t="s">
        <v>859</v>
      </c>
      <c r="F53" s="6" t="s">
        <v>34</v>
      </c>
      <c r="G53" s="5"/>
      <c r="H53" s="28"/>
      <c r="I53" s="28"/>
      <c r="J53" s="22">
        <f>IF(OR(H53="",I53=""),"",H53*I53)</f>
        <v/>
      </c>
      <c r="K53" s="21">
        <f>IF(J53="","",IF(J53&gt;=17,"Kritisch",IF(J53&gt;=10,"Hoch",IF(J53&gt;=5,"Mittel","Niedrig"))))</f>
        <v/>
      </c>
      <c r="L53" s="8"/>
      <c r="M53" s="8"/>
      <c r="N53" s="8"/>
      <c r="O53" s="6" t="s">
        <v>861</v>
      </c>
      <c r="P53" s="5"/>
      <c r="Q53" s="7"/>
      <c r="R53" s="6" t="s">
        <v>40</v>
      </c>
      <c r="S53" s="6" t="s">
        <v>67</v>
      </c>
      <c r="T53" s="6" t="s">
        <v>855</v>
      </c>
      <c r="U53" s="28"/>
      <c r="V53" s="28"/>
      <c r="W53" s="22">
        <f>IF(OR(U53="",V53=""),"",U53*V53)</f>
        <v/>
      </c>
      <c r="X53" s="21">
        <f>IF(W53="","",IF(W53&gt;=17,"Kritisch",IF(W53&gt;=10,"Hoch",IF(W53&gt;=5,"Mittel","Niedrig"))))</f>
        <v/>
      </c>
      <c r="Y53" s="5"/>
      <c r="Z53" s="5"/>
    </row>
    <row r="54" spans="1:26" ht="64" customHeight="1">
      <c r="A54" s="6" t="s">
        <v>1634</v>
      </c>
      <c r="B54" s="6" t="s">
        <v>807</v>
      </c>
      <c r="C54" s="6" t="s">
        <v>874</v>
      </c>
      <c r="D54" s="6" t="s">
        <v>872</v>
      </c>
      <c r="E54" s="6" t="s">
        <v>873</v>
      </c>
      <c r="F54" s="6" t="s">
        <v>34</v>
      </c>
      <c r="G54" s="5"/>
      <c r="H54" s="28"/>
      <c r="I54" s="28"/>
      <c r="J54" s="22">
        <f>IF(OR(H54="",I54=""),"",H54*I54)</f>
        <v/>
      </c>
      <c r="K54" s="21">
        <f>IF(J54="","",IF(J54&gt;=17,"Kritisch",IF(J54&gt;=10,"Hoch",IF(J54&gt;=5,"Mittel","Niedrig"))))</f>
        <v/>
      </c>
      <c r="L54" s="8"/>
      <c r="M54" s="8"/>
      <c r="N54" s="8"/>
      <c r="O54" s="6" t="s">
        <v>875</v>
      </c>
      <c r="P54" s="5"/>
      <c r="Q54" s="7"/>
      <c r="R54" s="6" t="s">
        <v>40</v>
      </c>
      <c r="S54" s="6" t="s">
        <v>69</v>
      </c>
      <c r="T54" s="6" t="s">
        <v>869</v>
      </c>
      <c r="U54" s="28"/>
      <c r="V54" s="28"/>
      <c r="W54" s="22">
        <f>IF(OR(U54="",V54=""),"",U54*V54)</f>
        <v/>
      </c>
      <c r="X54" s="21">
        <f>IF(W54="","",IF(W54&gt;=17,"Kritisch",IF(W54&gt;=10,"Hoch",IF(W54&gt;=5,"Mittel","Niedrig"))))</f>
        <v/>
      </c>
      <c r="Y54" s="5"/>
      <c r="Z54" s="5"/>
    </row>
    <row r="55" spans="1:26" ht="64" customHeight="1">
      <c r="A55" s="6" t="s">
        <v>1635</v>
      </c>
      <c r="B55" s="6" t="s">
        <v>807</v>
      </c>
      <c r="C55" s="6" t="s">
        <v>882</v>
      </c>
      <c r="D55" s="6" t="s">
        <v>880</v>
      </c>
      <c r="E55" s="6" t="s">
        <v>881</v>
      </c>
      <c r="F55" s="6" t="s">
        <v>34</v>
      </c>
      <c r="G55" s="5"/>
      <c r="H55" s="28"/>
      <c r="I55" s="28"/>
      <c r="J55" s="22">
        <f>IF(OR(H55="",I55=""),"",H55*I55)</f>
        <v/>
      </c>
      <c r="K55" s="21">
        <f>IF(J55="","",IF(J55&gt;=17,"Kritisch",IF(J55&gt;=10,"Hoch",IF(J55&gt;=5,"Mittel","Niedrig"))))</f>
        <v/>
      </c>
      <c r="L55" s="8"/>
      <c r="M55" s="8"/>
      <c r="N55" s="8"/>
      <c r="O55" s="6" t="s">
        <v>883</v>
      </c>
      <c r="P55" s="5"/>
      <c r="Q55" s="7"/>
      <c r="R55" s="6" t="s">
        <v>40</v>
      </c>
      <c r="S55" s="6" t="s">
        <v>65</v>
      </c>
      <c r="T55" s="6" t="s">
        <v>877</v>
      </c>
      <c r="U55" s="28"/>
      <c r="V55" s="28"/>
      <c r="W55" s="22">
        <f>IF(OR(U55="",V55=""),"",U55*V55)</f>
        <v/>
      </c>
      <c r="X55" s="21">
        <f>IF(W55="","",IF(W55&gt;=17,"Kritisch",IF(W55&gt;=10,"Hoch",IF(W55&gt;=5,"Mittel","Niedrig"))))</f>
        <v/>
      </c>
      <c r="Y55" s="5"/>
      <c r="Z55" s="5"/>
    </row>
    <row r="56" spans="1:26" ht="64" customHeight="1">
      <c r="A56" s="6" t="s">
        <v>1636</v>
      </c>
      <c r="B56" s="6" t="s">
        <v>807</v>
      </c>
      <c r="C56" s="6" t="s">
        <v>890</v>
      </c>
      <c r="D56" s="6" t="s">
        <v>888</v>
      </c>
      <c r="E56" s="6" t="s">
        <v>889</v>
      </c>
      <c r="F56" s="6" t="s">
        <v>34</v>
      </c>
      <c r="G56" s="5"/>
      <c r="H56" s="28"/>
      <c r="I56" s="28"/>
      <c r="J56" s="22">
        <f>IF(OR(H56="",I56=""),"",H56*I56)</f>
        <v/>
      </c>
      <c r="K56" s="21">
        <f>IF(J56="","",IF(J56&gt;=17,"Kritisch",IF(J56&gt;=10,"Hoch",IF(J56&gt;=5,"Mittel","Niedrig"))))</f>
        <v/>
      </c>
      <c r="L56" s="8"/>
      <c r="M56" s="8"/>
      <c r="N56" s="8"/>
      <c r="O56" s="6" t="s">
        <v>891</v>
      </c>
      <c r="P56" s="5"/>
      <c r="Q56" s="7"/>
      <c r="R56" s="6" t="s">
        <v>40</v>
      </c>
      <c r="S56" s="6" t="s">
        <v>69</v>
      </c>
      <c r="T56" s="6" t="s">
        <v>885</v>
      </c>
      <c r="U56" s="28"/>
      <c r="V56" s="28"/>
      <c r="W56" s="22">
        <f>IF(OR(U56="",V56=""),"",U56*V56)</f>
        <v/>
      </c>
      <c r="X56" s="21">
        <f>IF(W56="","",IF(W56&gt;=17,"Kritisch",IF(W56&gt;=10,"Hoch",IF(W56&gt;=5,"Mittel","Niedrig"))))</f>
        <v/>
      </c>
      <c r="Y56" s="5"/>
      <c r="Z56" s="5"/>
    </row>
    <row r="57" spans="1:26" ht="64" customHeight="1">
      <c r="A57" s="6" t="s">
        <v>1637</v>
      </c>
      <c r="B57" s="6" t="s">
        <v>807</v>
      </c>
      <c r="C57" s="6" t="s">
        <v>897</v>
      </c>
      <c r="D57" s="6" t="s">
        <v>895</v>
      </c>
      <c r="E57" s="6" t="s">
        <v>896</v>
      </c>
      <c r="F57" s="6" t="s">
        <v>34</v>
      </c>
      <c r="G57" s="5"/>
      <c r="H57" s="28"/>
      <c r="I57" s="28"/>
      <c r="J57" s="22">
        <f>IF(OR(H57="",I57=""),"",H57*I57)</f>
        <v/>
      </c>
      <c r="K57" s="21">
        <f>IF(J57="","",IF(J57&gt;=17,"Kritisch",IF(J57&gt;=10,"Hoch",IF(J57&gt;=5,"Mittel","Niedrig"))))</f>
        <v/>
      </c>
      <c r="L57" s="8"/>
      <c r="M57" s="8"/>
      <c r="N57" s="8"/>
      <c r="O57" s="6" t="s">
        <v>898</v>
      </c>
      <c r="P57" s="5"/>
      <c r="Q57" s="7"/>
      <c r="R57" s="6" t="s">
        <v>40</v>
      </c>
      <c r="S57" s="6" t="s">
        <v>67</v>
      </c>
      <c r="T57" s="6" t="s">
        <v>892</v>
      </c>
      <c r="U57" s="28"/>
      <c r="V57" s="28"/>
      <c r="W57" s="22">
        <f>IF(OR(U57="",V57=""),"",U57*V57)</f>
        <v/>
      </c>
      <c r="X57" s="21">
        <f>IF(W57="","",IF(W57&gt;=17,"Kritisch",IF(W57&gt;=10,"Hoch",IF(W57&gt;=5,"Mittel","Niedrig"))))</f>
        <v/>
      </c>
      <c r="Y57" s="5"/>
      <c r="Z57" s="5"/>
    </row>
    <row r="58" spans="1:26" ht="64" customHeight="1">
      <c r="A58" s="6" t="s">
        <v>1638</v>
      </c>
      <c r="B58" s="6" t="s">
        <v>901</v>
      </c>
      <c r="C58" s="6" t="s">
        <v>915</v>
      </c>
      <c r="D58" s="6" t="s">
        <v>913</v>
      </c>
      <c r="E58" s="6" t="s">
        <v>914</v>
      </c>
      <c r="F58" s="6" t="s">
        <v>34</v>
      </c>
      <c r="G58" s="5"/>
      <c r="H58" s="28"/>
      <c r="I58" s="28"/>
      <c r="J58" s="22">
        <f>IF(OR(H58="",I58=""),"",H58*I58)</f>
        <v/>
      </c>
      <c r="K58" s="21">
        <f>IF(J58="","",IF(J58&gt;=17,"Kritisch",IF(J58&gt;=10,"Hoch",IF(J58&gt;=5,"Mittel","Niedrig"))))</f>
        <v/>
      </c>
      <c r="L58" s="8"/>
      <c r="M58" s="8"/>
      <c r="N58" s="8"/>
      <c r="O58" s="6" t="s">
        <v>916</v>
      </c>
      <c r="P58" s="5"/>
      <c r="Q58" s="7"/>
      <c r="R58" s="6" t="s">
        <v>40</v>
      </c>
      <c r="S58" s="6" t="s">
        <v>66</v>
      </c>
      <c r="T58" s="6" t="s">
        <v>910</v>
      </c>
      <c r="U58" s="28"/>
      <c r="V58" s="28"/>
      <c r="W58" s="22">
        <f>IF(OR(U58="",V58=""),"",U58*V58)</f>
        <v/>
      </c>
      <c r="X58" s="21">
        <f>IF(W58="","",IF(W58&gt;=17,"Kritisch",IF(W58&gt;=10,"Hoch",IF(W58&gt;=5,"Mittel","Niedrig"))))</f>
        <v/>
      </c>
      <c r="Y58" s="5"/>
      <c r="Z58" s="5"/>
    </row>
    <row r="59" spans="1:26" ht="64" customHeight="1">
      <c r="A59" s="6" t="s">
        <v>1639</v>
      </c>
      <c r="B59" s="6" t="s">
        <v>901</v>
      </c>
      <c r="C59" s="6" t="s">
        <v>923</v>
      </c>
      <c r="D59" s="6" t="s">
        <v>921</v>
      </c>
      <c r="E59" s="6" t="s">
        <v>922</v>
      </c>
      <c r="F59" s="6" t="s">
        <v>34</v>
      </c>
      <c r="G59" s="5"/>
      <c r="H59" s="28"/>
      <c r="I59" s="28"/>
      <c r="J59" s="22">
        <f>IF(OR(H59="",I59=""),"",H59*I59)</f>
        <v/>
      </c>
      <c r="K59" s="21">
        <f>IF(J59="","",IF(J59&gt;=17,"Kritisch",IF(J59&gt;=10,"Hoch",IF(J59&gt;=5,"Mittel","Niedrig"))))</f>
        <v/>
      </c>
      <c r="L59" s="8"/>
      <c r="M59" s="8"/>
      <c r="N59" s="8"/>
      <c r="O59" s="6" t="s">
        <v>924</v>
      </c>
      <c r="P59" s="5"/>
      <c r="Q59" s="7"/>
      <c r="R59" s="6" t="s">
        <v>40</v>
      </c>
      <c r="S59" s="6" t="s">
        <v>66</v>
      </c>
      <c r="T59" s="6" t="s">
        <v>918</v>
      </c>
      <c r="U59" s="28"/>
      <c r="V59" s="28"/>
      <c r="W59" s="22">
        <f>IF(OR(U59="",V59=""),"",U59*V59)</f>
        <v/>
      </c>
      <c r="X59" s="21">
        <f>IF(W59="","",IF(W59&gt;=17,"Kritisch",IF(W59&gt;=10,"Hoch",IF(W59&gt;=5,"Mittel","Niedrig"))))</f>
        <v/>
      </c>
      <c r="Y59" s="5"/>
      <c r="Z59" s="5"/>
    </row>
    <row r="60" spans="1:26" ht="64" customHeight="1">
      <c r="A60" s="6" t="s">
        <v>1640</v>
      </c>
      <c r="B60" s="6" t="s">
        <v>901</v>
      </c>
      <c r="C60" s="6" t="s">
        <v>938</v>
      </c>
      <c r="D60" s="6" t="s">
        <v>936</v>
      </c>
      <c r="E60" s="6" t="s">
        <v>937</v>
      </c>
      <c r="F60" s="6" t="s">
        <v>34</v>
      </c>
      <c r="G60" s="5"/>
      <c r="H60" s="28"/>
      <c r="I60" s="28"/>
      <c r="J60" s="22">
        <f>IF(OR(H60="",I60=""),"",H60*I60)</f>
        <v/>
      </c>
      <c r="K60" s="21">
        <f>IF(J60="","",IF(J60&gt;=17,"Kritisch",IF(J60&gt;=10,"Hoch",IF(J60&gt;=5,"Mittel","Niedrig"))))</f>
        <v/>
      </c>
      <c r="L60" s="8"/>
      <c r="M60" s="8"/>
      <c r="N60" s="8"/>
      <c r="O60" s="6" t="s">
        <v>939</v>
      </c>
      <c r="P60" s="5"/>
      <c r="Q60" s="7"/>
      <c r="R60" s="6" t="s">
        <v>40</v>
      </c>
      <c r="S60" s="6" t="s">
        <v>66</v>
      </c>
      <c r="T60" s="6" t="s">
        <v>933</v>
      </c>
      <c r="U60" s="28"/>
      <c r="V60" s="28"/>
      <c r="W60" s="22">
        <f>IF(OR(U60="",V60=""),"",U60*V60)</f>
        <v/>
      </c>
      <c r="X60" s="21">
        <f>IF(W60="","",IF(W60&gt;=17,"Kritisch",IF(W60&gt;=10,"Hoch",IF(W60&gt;=5,"Mittel","Niedrig"))))</f>
        <v/>
      </c>
      <c r="Y60" s="5"/>
      <c r="Z60" s="5"/>
    </row>
    <row r="61" spans="1:26" ht="64" customHeight="1">
      <c r="A61" s="6" t="s">
        <v>1641</v>
      </c>
      <c r="B61" s="6" t="s">
        <v>901</v>
      </c>
      <c r="C61" s="6" t="s">
        <v>945</v>
      </c>
      <c r="D61" s="6" t="s">
        <v>943</v>
      </c>
      <c r="E61" s="6" t="s">
        <v>944</v>
      </c>
      <c r="F61" s="6" t="s">
        <v>34</v>
      </c>
      <c r="G61" s="5"/>
      <c r="H61" s="28"/>
      <c r="I61" s="28"/>
      <c r="J61" s="22">
        <f>IF(OR(H61="",I61=""),"",H61*I61)</f>
        <v/>
      </c>
      <c r="K61" s="21">
        <f>IF(J61="","",IF(J61&gt;=17,"Kritisch",IF(J61&gt;=10,"Hoch",IF(J61&gt;=5,"Mittel","Niedrig"))))</f>
        <v/>
      </c>
      <c r="L61" s="8"/>
      <c r="M61" s="8"/>
      <c r="N61" s="8"/>
      <c r="O61" s="6" t="s">
        <v>946</v>
      </c>
      <c r="P61" s="5"/>
      <c r="Q61" s="7"/>
      <c r="R61" s="6" t="s">
        <v>40</v>
      </c>
      <c r="S61" s="6" t="s">
        <v>67</v>
      </c>
      <c r="T61" s="6" t="s">
        <v>940</v>
      </c>
      <c r="U61" s="28"/>
      <c r="V61" s="28"/>
      <c r="W61" s="22">
        <f>IF(OR(U61="",V61=""),"",U61*V61)</f>
        <v/>
      </c>
      <c r="X61" s="21">
        <f>IF(W61="","",IF(W61&gt;=17,"Kritisch",IF(W61&gt;=10,"Hoch",IF(W61&gt;=5,"Mittel","Niedrig"))))</f>
        <v/>
      </c>
      <c r="Y61" s="5"/>
      <c r="Z61" s="5"/>
    </row>
    <row r="62" spans="1:26" ht="64" customHeight="1">
      <c r="A62" s="6" t="s">
        <v>1642</v>
      </c>
      <c r="B62" s="6" t="s">
        <v>955</v>
      </c>
      <c r="C62" s="6" t="s">
        <v>975</v>
      </c>
      <c r="D62" s="6" t="s">
        <v>973</v>
      </c>
      <c r="E62" s="6" t="s">
        <v>974</v>
      </c>
      <c r="F62" s="6" t="s">
        <v>34</v>
      </c>
      <c r="G62" s="5"/>
      <c r="H62" s="28"/>
      <c r="I62" s="28"/>
      <c r="J62" s="22">
        <f>IF(OR(H62="",I62=""),"",H62*I62)</f>
        <v/>
      </c>
      <c r="K62" s="21">
        <f>IF(J62="","",IF(J62&gt;=17,"Kritisch",IF(J62&gt;=10,"Hoch",IF(J62&gt;=5,"Mittel","Niedrig"))))</f>
        <v/>
      </c>
      <c r="L62" s="8"/>
      <c r="M62" s="8"/>
      <c r="N62" s="8"/>
      <c r="O62" s="6" t="s">
        <v>976</v>
      </c>
      <c r="P62" s="5"/>
      <c r="Q62" s="7"/>
      <c r="R62" s="6" t="s">
        <v>40</v>
      </c>
      <c r="S62" s="6" t="s">
        <v>65</v>
      </c>
      <c r="T62" s="6" t="s">
        <v>970</v>
      </c>
      <c r="U62" s="28"/>
      <c r="V62" s="28"/>
      <c r="W62" s="22">
        <f>IF(OR(U62="",V62=""),"",U62*V62)</f>
        <v/>
      </c>
      <c r="X62" s="21">
        <f>IF(W62="","",IF(W62&gt;=17,"Kritisch",IF(W62&gt;=10,"Hoch",IF(W62&gt;=5,"Mittel","Niedrig"))))</f>
        <v/>
      </c>
      <c r="Y62" s="5"/>
      <c r="Z62" s="5"/>
    </row>
    <row r="63" spans="1:26" ht="64" customHeight="1">
      <c r="A63" s="6" t="s">
        <v>1643</v>
      </c>
      <c r="B63" s="6" t="s">
        <v>955</v>
      </c>
      <c r="C63" s="6" t="s">
        <v>983</v>
      </c>
      <c r="D63" s="6" t="s">
        <v>981</v>
      </c>
      <c r="E63" s="6" t="s">
        <v>982</v>
      </c>
      <c r="F63" s="6" t="s">
        <v>34</v>
      </c>
      <c r="G63" s="5"/>
      <c r="H63" s="28"/>
      <c r="I63" s="28"/>
      <c r="J63" s="22">
        <f>IF(OR(H63="",I63=""),"",H63*I63)</f>
        <v/>
      </c>
      <c r="K63" s="21">
        <f>IF(J63="","",IF(J63&gt;=17,"Kritisch",IF(J63&gt;=10,"Hoch",IF(J63&gt;=5,"Mittel","Niedrig"))))</f>
        <v/>
      </c>
      <c r="L63" s="8"/>
      <c r="M63" s="8"/>
      <c r="N63" s="8"/>
      <c r="O63" s="6" t="s">
        <v>984</v>
      </c>
      <c r="P63" s="5"/>
      <c r="Q63" s="7"/>
      <c r="R63" s="6" t="s">
        <v>40</v>
      </c>
      <c r="S63" s="6" t="s">
        <v>67</v>
      </c>
      <c r="T63" s="6" t="s">
        <v>978</v>
      </c>
      <c r="U63" s="28"/>
      <c r="V63" s="28"/>
      <c r="W63" s="22">
        <f>IF(OR(U63="",V63=""),"",U63*V63)</f>
        <v/>
      </c>
      <c r="X63" s="21">
        <f>IF(W63="","",IF(W63&gt;=17,"Kritisch",IF(W63&gt;=10,"Hoch",IF(W63&gt;=5,"Mittel","Niedrig"))))</f>
        <v/>
      </c>
      <c r="Y63" s="5"/>
      <c r="Z63" s="5"/>
    </row>
    <row r="64" spans="1:26" ht="64" customHeight="1">
      <c r="A64" s="6" t="s">
        <v>1644</v>
      </c>
      <c r="B64" s="6" t="s">
        <v>955</v>
      </c>
      <c r="C64" s="6" t="s">
        <v>999</v>
      </c>
      <c r="D64" s="6" t="s">
        <v>997</v>
      </c>
      <c r="E64" s="6" t="s">
        <v>998</v>
      </c>
      <c r="F64" s="6" t="s">
        <v>34</v>
      </c>
      <c r="G64" s="5"/>
      <c r="H64" s="28"/>
      <c r="I64" s="28"/>
      <c r="J64" s="22">
        <f>IF(OR(H64="",I64=""),"",H64*I64)</f>
        <v/>
      </c>
      <c r="K64" s="21">
        <f>IF(J64="","",IF(J64&gt;=17,"Kritisch",IF(J64&gt;=10,"Hoch",IF(J64&gt;=5,"Mittel","Niedrig"))))</f>
        <v/>
      </c>
      <c r="L64" s="8"/>
      <c r="M64" s="8"/>
      <c r="N64" s="8"/>
      <c r="O64" s="6" t="s">
        <v>1000</v>
      </c>
      <c r="P64" s="5"/>
      <c r="Q64" s="7"/>
      <c r="R64" s="6" t="s">
        <v>40</v>
      </c>
      <c r="S64" s="6" t="s">
        <v>67</v>
      </c>
      <c r="T64" s="6" t="s">
        <v>994</v>
      </c>
      <c r="U64" s="28"/>
      <c r="V64" s="28"/>
      <c r="W64" s="22">
        <f>IF(OR(U64="",V64=""),"",U64*V64)</f>
        <v/>
      </c>
      <c r="X64" s="21">
        <f>IF(W64="","",IF(W64&gt;=17,"Kritisch",IF(W64&gt;=10,"Hoch",IF(W64&gt;=5,"Mittel","Niedrig"))))</f>
        <v/>
      </c>
      <c r="Y64" s="5"/>
      <c r="Z64" s="5"/>
    </row>
  </sheetData>
  <mergeCells count="2">
    <mergeCell ref="A1:Z1"/>
    <mergeCell ref="A2:Z2"/>
  </mergeCells>
  <conditionalFormatting sqref="F5:X64">
    <cfRule type="containsText" dxfId="0" priority="1" operator="containsText" text="Abgeschlossen">
      <formula>NOT(ISERROR(SEARCH("Abgeschlossen",F5)))</formula>
    </cfRule>
    <cfRule type="containsText" dxfId="0" priority="2" operator="containsText" text="Vollständig">
      <formula>NOT(ISERROR(SEARCH("Vollständig",F5)))</formula>
    </cfRule>
    <cfRule type="containsText" dxfId="0" priority="3" operator="containsText" text="Erledigt">
      <formula>NOT(ISERROR(SEARCH("Erledigt",F5)))</formula>
    </cfRule>
    <cfRule type="containsText" dxfId="1" priority="4" operator="containsText" text="Blockiert">
      <formula>NOT(ISERROR(SEARCH("Blockiert",F5)))</formula>
    </cfRule>
    <cfRule type="containsText" dxfId="1" priority="5" operator="containsText" text="Kritisch">
      <formula>NOT(ISERROR(SEARCH("Kritisch",F5)))</formula>
    </cfRule>
    <cfRule type="containsText" dxfId="1" priority="6" operator="containsText" text="Überfällig">
      <formula>NOT(ISERROR(SEARCH("Überfällig",F5)))</formula>
    </cfRule>
    <cfRule type="containsText" dxfId="2" priority="7" operator="containsText" text="In Prüfung">
      <formula>NOT(ISERROR(SEARCH("In Prüfung",F5)))</formula>
    </cfRule>
    <cfRule type="containsText" dxfId="2" priority="8" operator="containsText" text="In Arbeit">
      <formula>NOT(ISERROR(SEARCH("In Arbeit",F5)))</formula>
    </cfRule>
  </conditionalFormatting>
  <conditionalFormatting sqref="J5:J64">
    <cfRule type="colorScale" priority="9">
      <colorScale>
        <cfvo type="min" val="0"/>
        <cfvo type="percentile" val="50"/>
        <cfvo type="max" val="0"/>
        <color rgb="FFC6EFCE"/>
        <color rgb="FFFFEB9C"/>
        <color rgb="FFFFC7CE"/>
      </colorScale>
    </cfRule>
  </conditionalFormatting>
  <dataValidations count="12">
    <dataValidation type="whole" allowBlank="1" showInputMessage="1" showErrorMessage="1" errorTitle="Eingabe prüfen" error="Bitte die vorgegebene Auswahl bzw. das geforderte Format verwenden." promptTitle="Risikowert 1–5" prompt="Bruttorisiko bzw. Restrisiko getrennt und anhand der Skala auf 00_Start bewerten." sqref="H5:H64">
      <formula1>1</formula1>
      <formula2>5</formula2>
    </dataValidation>
    <dataValidation type="whole" allowBlank="1" showInputMessage="1" showErrorMessage="1" errorTitle="Eingabe prüfen" error="Bitte die vorgegebene Auswahl bzw. das geforderte Format verwenden." promptTitle="Risikowert 1–5" prompt="Bruttorisiko bzw. Restrisiko getrennt und anhand der Skala auf 00_Start bewerten." sqref="I5:I64">
      <formula1>1</formula1>
      <formula2>5</formula2>
    </dataValidation>
    <dataValidation type="whole" allowBlank="1" showInputMessage="1" showErrorMessage="1" errorTitle="Eingabe prüfen" error="Bitte die vorgegebene Auswahl bzw. das geforderte Format verwenden." promptTitle="Risikowert 1–5" prompt="Bruttorisiko bzw. Restrisiko getrennt und anhand der Skala auf 00_Start bewerten." sqref="U5:U64">
      <formula1>1</formula1>
      <formula2>5</formula2>
    </dataValidation>
    <dataValidation type="whole" allowBlank="1" showInputMessage="1" showErrorMessage="1" errorTitle="Eingabe prüfen" error="Bitte die vorgegebene Auswahl bzw. das geforderte Format verwenden." promptTitle="Risikowert 1–5" prompt="Bruttorisiko bzw. Restrisiko getrennt und anhand der Skala auf 00_Start bewerten." sqref="V5:V64">
      <formula1>1</formula1>
      <formula2>5</formula2>
    </dataValidation>
    <dataValidation type="list" allowBlank="1" showInputMessage="1" showErrorMessage="1" errorTitle="Eingabe prüfen" error="Bitte die vorgegebene Auswahl bzw. das geforderte Format verwenden." promptTitle="Bewertungsstatus" prompt="Hypothese erst nach Evidenz als bestätigt, entkräftet oder mitigiert markieren." sqref="F5:F64">
      <formula1>RisikoStatus</formula1>
    </dataValidation>
    <dataValidation allowBlank="1" showInputMessage="1" showErrorMessage="1" errorTitle="Eingabe prüfen" error="Bitte die vorgegebene Auswahl bzw. das geforderte Format verwenden." promptTitle="Feststellung / Evidenz" prompt="Fakten, Ursache, Umfang und konkrete Primärbelege dokumentieren." sqref="G5:G64"/>
    <dataValidation allowBlank="1" showInputMessage="1" showErrorMessage="1" errorTitle="Eingabe prüfen" error="Bitte die vorgegebene Auswahl bzw. das geforderte Format verwenden." promptTitle="Exposure" prompt="Low/Base/High als Bruttobeträge in Berichtswährung quantifizieren." sqref="L5:N64"/>
    <dataValidation allowBlank="1" showInputMessage="1" showErrorMessage="1" errorTitle="Eingabe prüfen" error="Bitte die vorgegebene Auswahl bzw. das geforderte Format verwenden." promptTitle="Risiko-Owner" prompt="Eine entscheidungsverantwortliche Person oder Rolle eintragen." sqref="P5:P64"/>
    <dataValidation type="date" allowBlank="1" showInputMessage="1" showErrorMessage="1" errorTitle="Eingabe prüfen" error="Bitte die vorgegebene Auswahl bzw. das geforderte Format verwenden." promptTitle="Fälligkeit" prompt="Verbindliches Abschlussdatum der Risikobehandlung." sqref="Q5:Q64">
      <formula1>36526</formula1>
      <formula2>73415</formula2>
    </dataValidation>
    <dataValidation type="list" allowBlank="1" showInputMessage="1" showErrorMessage="1" errorTitle="Eingabe prüfen" error="Bitte die vorgegebene Auswahl bzw. das geforderte Format verwenden." promptTitle="Maßnahmenstatus" prompt="Status nach tatsächlichem Umsetzungsstand auswählen." sqref="R5:R64">
      <formula1>MassStatus</formula1>
    </dataValidation>
    <dataValidation type="list" allowBlank="1" showInputMessage="1" showErrorMessage="1" errorTitle="Eingabe prüfen" error="Bitte die vorgegebene Auswahl bzw. das geforderte Format verwenden." promptTitle="Transaktionsfolge" prompt="Primäre Konsequenz für Deal-Struktur und Entscheidung auswählen." sqref="S5:S64">
      <formula1>DealImpact</formula1>
    </dataValidation>
    <dataValidation allowBlank="1" showInputMessage="1" showErrorMessage="1" errorTitle="Eingabe prüfen" error="Bitte die vorgegebene Auswahl bzw. das geforderte Format verwenden." promptTitle="Entscheidung / Review" prompt="Entscheidung, Bedingungen, Datum und fachlichen Reviewer dokumentieren." sqref="Y5:Z64"/>
  </dataValidations>
  <pageMargins left="0.7" right="0.7" top="0.75" bottom="0.75" header="0.3" footer="0.3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1F4E78"/>
  </sheetPr>
  <dimension ref="A1:U64"/>
  <sheetViews>
    <sheetView showGridLines="0" workbookViewId="0">
      <pane xSplit="5" ySplit="4" topLeftCell="F5" activePane="bottomRight" state="frozen"/>
      <selection pane="topRight" activeCell="F1" sqref="F1"/>
      <selection pane="bottomLeft" activeCell="A5" sqref="A5"/>
      <selection pane="bottomRight"/>
    </sheetView>
  </sheetViews>
  <sheetFormatPr defaultRowHeight="60" customHeight="1"/>
  <cols>
    <col min="1" max="1" width="14.7109375" customWidth="1"/>
    <col min="2" max="2" width="12.7109375" customWidth="1"/>
    <col min="3" max="3" width="20.7109375" customWidth="1"/>
    <col min="4" max="4" width="18.7109375" customWidth="1"/>
    <col min="5" max="5" width="24.7109375" customWidth="1"/>
    <col min="6" max="6" width="44.7109375" customWidth="1"/>
    <col min="7" max="7" width="38.7109375" customWidth="1"/>
    <col min="8" max="8" width="11.7109375" customWidth="1"/>
    <col min="9" max="10" width="18.7109375" customWidth="1"/>
    <col min="11" max="12" width="13.7109375" customWidth="1"/>
    <col min="13" max="13" width="18.7109375" customWidth="1"/>
    <col min="14" max="14" width="12.7109375" customWidth="1"/>
    <col min="15" max="15" width="28.7109375" customWidth="1"/>
    <col min="16" max="16" width="14.7109375" customWidth="1"/>
    <col min="17" max="17" width="25.7109375" customWidth="1"/>
    <col min="18" max="18" width="28.7109375" customWidth="1"/>
    <col min="19" max="19" width="26.7109375" customWidth="1"/>
    <col min="20" max="20" width="28.7109375" customWidth="1"/>
    <col min="21" max="21" width="30.7109375" customWidth="1"/>
  </cols>
  <sheetData>
    <row r="1" spans="1:21" ht="30" customHeight="1">
      <c r="A1" s="1" t="s">
        <v>1664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34" customHeight="1">
      <c r="A2" s="2" t="s">
        <v>1665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4" spans="1:21" ht="42" customHeight="1">
      <c r="A4" t="s">
        <v>1851</v>
      </c>
      <c r="B4" t="s">
        <v>1852</v>
      </c>
      <c r="C4" t="s">
        <v>1853</v>
      </c>
      <c r="D4" t="s">
        <v>12</v>
      </c>
      <c r="E4" t="s">
        <v>1371</v>
      </c>
      <c r="F4" t="s">
        <v>1386</v>
      </c>
      <c r="G4" t="s">
        <v>1854</v>
      </c>
      <c r="H4" t="s">
        <v>1377</v>
      </c>
      <c r="I4" t="s">
        <v>1656</v>
      </c>
      <c r="J4" t="s">
        <v>1855</v>
      </c>
      <c r="K4" t="s">
        <v>1856</v>
      </c>
      <c r="L4" t="s">
        <v>1857</v>
      </c>
      <c r="M4" t="s">
        <v>1378</v>
      </c>
      <c r="N4" t="s">
        <v>1858</v>
      </c>
      <c r="O4" t="s">
        <v>1859</v>
      </c>
      <c r="P4" t="s">
        <v>1860</v>
      </c>
      <c r="Q4" t="s">
        <v>1861</v>
      </c>
      <c r="R4" t="s">
        <v>1862</v>
      </c>
      <c r="S4" t="s">
        <v>1863</v>
      </c>
      <c r="T4" t="s">
        <v>1864</v>
      </c>
      <c r="U4" t="s">
        <v>1865</v>
      </c>
    </row>
    <row r="5" spans="1:21" ht="60" customHeight="1">
      <c r="A5" s="6" t="s">
        <v>1666</v>
      </c>
      <c r="B5" s="6" t="s">
        <v>21</v>
      </c>
      <c r="C5" s="6" t="s">
        <v>1667</v>
      </c>
      <c r="D5" s="6" t="s">
        <v>1668</v>
      </c>
      <c r="E5" s="6" t="s">
        <v>150</v>
      </c>
      <c r="F5" s="6" t="s">
        <v>156</v>
      </c>
      <c r="G5" s="6" t="s">
        <v>1669</v>
      </c>
      <c r="H5" s="6" t="s">
        <v>8</v>
      </c>
      <c r="I5" s="5"/>
      <c r="J5" s="5"/>
      <c r="K5" s="7"/>
      <c r="L5" s="7"/>
      <c r="M5" s="6" t="s">
        <v>40</v>
      </c>
      <c r="N5" s="29">
        <v>0</v>
      </c>
      <c r="O5" s="5"/>
      <c r="P5" s="8"/>
      <c r="Q5" s="6" t="s">
        <v>65</v>
      </c>
      <c r="R5" s="6" t="s">
        <v>1670</v>
      </c>
      <c r="S5" s="6" t="s">
        <v>1671</v>
      </c>
      <c r="T5" s="6" t="s">
        <v>157</v>
      </c>
      <c r="U5" s="5"/>
    </row>
    <row r="6" spans="1:21" ht="60" customHeight="1">
      <c r="A6" s="6" t="s">
        <v>1672</v>
      </c>
      <c r="B6" s="6" t="s">
        <v>21</v>
      </c>
      <c r="C6" s="6" t="s">
        <v>1673</v>
      </c>
      <c r="D6" s="6" t="s">
        <v>1674</v>
      </c>
      <c r="E6" s="6" t="s">
        <v>150</v>
      </c>
      <c r="F6" s="6" t="s">
        <v>165</v>
      </c>
      <c r="G6" s="6" t="s">
        <v>1675</v>
      </c>
      <c r="H6" s="6" t="s">
        <v>8</v>
      </c>
      <c r="I6" s="5"/>
      <c r="J6" s="5"/>
      <c r="K6" s="7"/>
      <c r="L6" s="7"/>
      <c r="M6" s="6" t="s">
        <v>40</v>
      </c>
      <c r="N6" s="29">
        <v>0</v>
      </c>
      <c r="O6" s="5"/>
      <c r="P6" s="8"/>
      <c r="Q6" s="6" t="s">
        <v>70</v>
      </c>
      <c r="R6" s="6" t="s">
        <v>1670</v>
      </c>
      <c r="S6" s="6" t="s">
        <v>1671</v>
      </c>
      <c r="T6" s="6" t="s">
        <v>166</v>
      </c>
      <c r="U6" s="5"/>
    </row>
    <row r="7" spans="1:21" ht="60" customHeight="1">
      <c r="A7" s="6" t="s">
        <v>1676</v>
      </c>
      <c r="B7" s="6" t="s">
        <v>21</v>
      </c>
      <c r="C7" s="6" t="s">
        <v>1677</v>
      </c>
      <c r="D7" s="6" t="s">
        <v>1668</v>
      </c>
      <c r="E7" s="6" t="s">
        <v>150</v>
      </c>
      <c r="F7" s="6" t="s">
        <v>191</v>
      </c>
      <c r="G7" s="6" t="s">
        <v>1678</v>
      </c>
      <c r="H7" s="6" t="s">
        <v>8</v>
      </c>
      <c r="I7" s="5"/>
      <c r="J7" s="5"/>
      <c r="K7" s="7"/>
      <c r="L7" s="7"/>
      <c r="M7" s="6" t="s">
        <v>40</v>
      </c>
      <c r="N7" s="29">
        <v>0</v>
      </c>
      <c r="O7" s="5"/>
      <c r="P7" s="8"/>
      <c r="Q7" s="6" t="s">
        <v>66</v>
      </c>
      <c r="R7" s="6" t="s">
        <v>1670</v>
      </c>
      <c r="S7" s="6" t="s">
        <v>1671</v>
      </c>
      <c r="T7" s="6" t="s">
        <v>192</v>
      </c>
      <c r="U7" s="5"/>
    </row>
    <row r="8" spans="1:21" ht="60" customHeight="1">
      <c r="A8" s="6" t="s">
        <v>1679</v>
      </c>
      <c r="B8" s="6" t="s">
        <v>21</v>
      </c>
      <c r="C8" s="6" t="s">
        <v>1680</v>
      </c>
      <c r="D8" s="6" t="s">
        <v>1674</v>
      </c>
      <c r="E8" s="6" t="s">
        <v>150</v>
      </c>
      <c r="F8" s="6" t="s">
        <v>216</v>
      </c>
      <c r="G8" s="6" t="s">
        <v>1681</v>
      </c>
      <c r="H8" s="6" t="s">
        <v>8</v>
      </c>
      <c r="I8" s="5"/>
      <c r="J8" s="5"/>
      <c r="K8" s="7"/>
      <c r="L8" s="7"/>
      <c r="M8" s="6" t="s">
        <v>40</v>
      </c>
      <c r="N8" s="29">
        <v>0</v>
      </c>
      <c r="O8" s="5"/>
      <c r="P8" s="8"/>
      <c r="Q8" s="6" t="s">
        <v>67</v>
      </c>
      <c r="R8" s="6" t="s">
        <v>1670</v>
      </c>
      <c r="S8" s="6" t="s">
        <v>1671</v>
      </c>
      <c r="T8" s="6" t="s">
        <v>217</v>
      </c>
      <c r="U8" s="5"/>
    </row>
    <row r="9" spans="1:21" ht="60" customHeight="1">
      <c r="A9" s="6" t="s">
        <v>1682</v>
      </c>
      <c r="B9" s="6" t="s">
        <v>21</v>
      </c>
      <c r="C9" s="6" t="s">
        <v>1683</v>
      </c>
      <c r="D9" s="6" t="s">
        <v>1674</v>
      </c>
      <c r="E9" s="6" t="s">
        <v>219</v>
      </c>
      <c r="F9" s="6" t="s">
        <v>225</v>
      </c>
      <c r="G9" s="6" t="s">
        <v>1684</v>
      </c>
      <c r="H9" s="6" t="s">
        <v>8</v>
      </c>
      <c r="I9" s="5"/>
      <c r="J9" s="5"/>
      <c r="K9" s="7"/>
      <c r="L9" s="7"/>
      <c r="M9" s="6" t="s">
        <v>40</v>
      </c>
      <c r="N9" s="29">
        <v>0</v>
      </c>
      <c r="O9" s="5"/>
      <c r="P9" s="8"/>
      <c r="Q9" s="6" t="s">
        <v>67</v>
      </c>
      <c r="R9" s="6" t="s">
        <v>1670</v>
      </c>
      <c r="S9" s="6" t="s">
        <v>1671</v>
      </c>
      <c r="T9" s="6" t="s">
        <v>226</v>
      </c>
      <c r="U9" s="5"/>
    </row>
    <row r="10" spans="1:21" ht="60" customHeight="1">
      <c r="A10" s="6" t="s">
        <v>1685</v>
      </c>
      <c r="B10" s="6" t="s">
        <v>21</v>
      </c>
      <c r="C10" s="6" t="s">
        <v>1686</v>
      </c>
      <c r="D10" s="6" t="s">
        <v>1668</v>
      </c>
      <c r="E10" s="6" t="s">
        <v>219</v>
      </c>
      <c r="F10" s="6" t="s">
        <v>233</v>
      </c>
      <c r="G10" s="6" t="s">
        <v>1687</v>
      </c>
      <c r="H10" s="6" t="s">
        <v>8</v>
      </c>
      <c r="I10" s="5"/>
      <c r="J10" s="5"/>
      <c r="K10" s="7"/>
      <c r="L10" s="7"/>
      <c r="M10" s="6" t="s">
        <v>40</v>
      </c>
      <c r="N10" s="29">
        <v>0</v>
      </c>
      <c r="O10" s="5"/>
      <c r="P10" s="8"/>
      <c r="Q10" s="6" t="s">
        <v>65</v>
      </c>
      <c r="R10" s="6" t="s">
        <v>1670</v>
      </c>
      <c r="S10" s="6" t="s">
        <v>1671</v>
      </c>
      <c r="T10" s="6" t="s">
        <v>234</v>
      </c>
      <c r="U10" s="5"/>
    </row>
    <row r="11" spans="1:21" ht="60" customHeight="1">
      <c r="A11" s="6" t="s">
        <v>1688</v>
      </c>
      <c r="B11" s="6" t="s">
        <v>21</v>
      </c>
      <c r="C11" s="6" t="s">
        <v>1689</v>
      </c>
      <c r="D11" s="6" t="s">
        <v>1668</v>
      </c>
      <c r="E11" s="6" t="s">
        <v>219</v>
      </c>
      <c r="F11" s="6" t="s">
        <v>241</v>
      </c>
      <c r="G11" s="6" t="s">
        <v>1690</v>
      </c>
      <c r="H11" s="6" t="s">
        <v>8</v>
      </c>
      <c r="I11" s="5"/>
      <c r="J11" s="5"/>
      <c r="K11" s="7"/>
      <c r="L11" s="7"/>
      <c r="M11" s="6" t="s">
        <v>40</v>
      </c>
      <c r="N11" s="29">
        <v>0</v>
      </c>
      <c r="O11" s="5"/>
      <c r="P11" s="8"/>
      <c r="Q11" s="6" t="s">
        <v>68</v>
      </c>
      <c r="R11" s="6" t="s">
        <v>1670</v>
      </c>
      <c r="S11" s="6" t="s">
        <v>1671</v>
      </c>
      <c r="T11" s="6" t="s">
        <v>242</v>
      </c>
      <c r="U11" s="5"/>
    </row>
    <row r="12" spans="1:21" ht="60" customHeight="1">
      <c r="A12" s="6" t="s">
        <v>1691</v>
      </c>
      <c r="B12" s="6" t="s">
        <v>21</v>
      </c>
      <c r="C12" s="6" t="s">
        <v>1692</v>
      </c>
      <c r="D12" s="6" t="s">
        <v>1674</v>
      </c>
      <c r="E12" s="6" t="s">
        <v>219</v>
      </c>
      <c r="F12" s="6" t="s">
        <v>257</v>
      </c>
      <c r="G12" s="6" t="s">
        <v>1693</v>
      </c>
      <c r="H12" s="6" t="s">
        <v>8</v>
      </c>
      <c r="I12" s="5"/>
      <c r="J12" s="5"/>
      <c r="K12" s="7"/>
      <c r="L12" s="7"/>
      <c r="M12" s="6" t="s">
        <v>40</v>
      </c>
      <c r="N12" s="29">
        <v>0</v>
      </c>
      <c r="O12" s="5"/>
      <c r="P12" s="8"/>
      <c r="Q12" s="6" t="s">
        <v>67</v>
      </c>
      <c r="R12" s="6" t="s">
        <v>1670</v>
      </c>
      <c r="S12" s="6" t="s">
        <v>1671</v>
      </c>
      <c r="T12" s="6" t="s">
        <v>258</v>
      </c>
      <c r="U12" s="5"/>
    </row>
    <row r="13" spans="1:21" ht="60" customHeight="1">
      <c r="A13" s="6" t="s">
        <v>1694</v>
      </c>
      <c r="B13" s="6" t="s">
        <v>21</v>
      </c>
      <c r="C13" s="6" t="s">
        <v>1695</v>
      </c>
      <c r="D13" s="6" t="s">
        <v>1696</v>
      </c>
      <c r="E13" s="6" t="s">
        <v>219</v>
      </c>
      <c r="F13" s="6" t="s">
        <v>273</v>
      </c>
      <c r="G13" s="6" t="s">
        <v>1697</v>
      </c>
      <c r="H13" s="6" t="s">
        <v>8</v>
      </c>
      <c r="I13" s="5"/>
      <c r="J13" s="5"/>
      <c r="K13" s="7"/>
      <c r="L13" s="7"/>
      <c r="M13" s="6" t="s">
        <v>40</v>
      </c>
      <c r="N13" s="29">
        <v>0</v>
      </c>
      <c r="O13" s="5"/>
      <c r="P13" s="8"/>
      <c r="Q13" s="6" t="s">
        <v>69</v>
      </c>
      <c r="R13" s="6" t="s">
        <v>1670</v>
      </c>
      <c r="S13" s="6" t="s">
        <v>1671</v>
      </c>
      <c r="T13" s="6" t="s">
        <v>274</v>
      </c>
      <c r="U13" s="5"/>
    </row>
    <row r="14" spans="1:21" ht="60" customHeight="1">
      <c r="A14" s="6" t="s">
        <v>1698</v>
      </c>
      <c r="B14" s="6" t="s">
        <v>21</v>
      </c>
      <c r="C14" s="6" t="s">
        <v>1699</v>
      </c>
      <c r="D14" s="6" t="s">
        <v>1668</v>
      </c>
      <c r="E14" s="6" t="s">
        <v>292</v>
      </c>
      <c r="F14" s="6" t="s">
        <v>298</v>
      </c>
      <c r="G14" s="6" t="s">
        <v>1700</v>
      </c>
      <c r="H14" s="6" t="s">
        <v>8</v>
      </c>
      <c r="I14" s="5"/>
      <c r="J14" s="5"/>
      <c r="K14" s="7"/>
      <c r="L14" s="7"/>
      <c r="M14" s="6" t="s">
        <v>40</v>
      </c>
      <c r="N14" s="29">
        <v>0</v>
      </c>
      <c r="O14" s="5"/>
      <c r="P14" s="8"/>
      <c r="Q14" s="6" t="s">
        <v>65</v>
      </c>
      <c r="R14" s="6" t="s">
        <v>1670</v>
      </c>
      <c r="S14" s="6" t="s">
        <v>1671</v>
      </c>
      <c r="T14" s="6" t="s">
        <v>299</v>
      </c>
      <c r="U14" s="5"/>
    </row>
    <row r="15" spans="1:21" ht="60" customHeight="1">
      <c r="A15" s="6" t="s">
        <v>1701</v>
      </c>
      <c r="B15" s="6" t="s">
        <v>21</v>
      </c>
      <c r="C15" s="6" t="s">
        <v>1702</v>
      </c>
      <c r="D15" s="6" t="s">
        <v>1668</v>
      </c>
      <c r="E15" s="6" t="s">
        <v>292</v>
      </c>
      <c r="F15" s="6" t="s">
        <v>314</v>
      </c>
      <c r="G15" s="6" t="s">
        <v>1703</v>
      </c>
      <c r="H15" s="6" t="s">
        <v>8</v>
      </c>
      <c r="I15" s="5"/>
      <c r="J15" s="5"/>
      <c r="K15" s="7"/>
      <c r="L15" s="7"/>
      <c r="M15" s="6" t="s">
        <v>40</v>
      </c>
      <c r="N15" s="29">
        <v>0</v>
      </c>
      <c r="O15" s="5"/>
      <c r="P15" s="8"/>
      <c r="Q15" s="6" t="s">
        <v>65</v>
      </c>
      <c r="R15" s="6" t="s">
        <v>1670</v>
      </c>
      <c r="S15" s="6" t="s">
        <v>1671</v>
      </c>
      <c r="T15" s="6" t="s">
        <v>315</v>
      </c>
      <c r="U15" s="5"/>
    </row>
    <row r="16" spans="1:21" ht="60" customHeight="1">
      <c r="A16" s="6" t="s">
        <v>1704</v>
      </c>
      <c r="B16" s="6" t="s">
        <v>21</v>
      </c>
      <c r="C16" s="6" t="s">
        <v>1705</v>
      </c>
      <c r="D16" s="6" t="s">
        <v>1668</v>
      </c>
      <c r="E16" s="6" t="s">
        <v>292</v>
      </c>
      <c r="F16" s="6" t="s">
        <v>322</v>
      </c>
      <c r="G16" s="6" t="s">
        <v>1706</v>
      </c>
      <c r="H16" s="6" t="s">
        <v>8</v>
      </c>
      <c r="I16" s="5"/>
      <c r="J16" s="5"/>
      <c r="K16" s="7"/>
      <c r="L16" s="7"/>
      <c r="M16" s="6" t="s">
        <v>40</v>
      </c>
      <c r="N16" s="29">
        <v>0</v>
      </c>
      <c r="O16" s="5"/>
      <c r="P16" s="8"/>
      <c r="Q16" s="6" t="s">
        <v>65</v>
      </c>
      <c r="R16" s="6" t="s">
        <v>1670</v>
      </c>
      <c r="S16" s="6" t="s">
        <v>1671</v>
      </c>
      <c r="T16" s="6" t="s">
        <v>323</v>
      </c>
      <c r="U16" s="5"/>
    </row>
    <row r="17" spans="1:21" ht="60" customHeight="1">
      <c r="A17" s="6" t="s">
        <v>1707</v>
      </c>
      <c r="B17" s="6" t="s">
        <v>21</v>
      </c>
      <c r="C17" s="6" t="s">
        <v>1708</v>
      </c>
      <c r="D17" s="6" t="s">
        <v>1668</v>
      </c>
      <c r="E17" s="6" t="s">
        <v>292</v>
      </c>
      <c r="F17" s="6" t="s">
        <v>330</v>
      </c>
      <c r="G17" s="6" t="s">
        <v>1709</v>
      </c>
      <c r="H17" s="6" t="s">
        <v>8</v>
      </c>
      <c r="I17" s="5"/>
      <c r="J17" s="5"/>
      <c r="K17" s="7"/>
      <c r="L17" s="7"/>
      <c r="M17" s="6" t="s">
        <v>40</v>
      </c>
      <c r="N17" s="29">
        <v>0</v>
      </c>
      <c r="O17" s="5"/>
      <c r="P17" s="8"/>
      <c r="Q17" s="6" t="s">
        <v>65</v>
      </c>
      <c r="R17" s="6" t="s">
        <v>1670</v>
      </c>
      <c r="S17" s="6" t="s">
        <v>1671</v>
      </c>
      <c r="T17" s="6" t="s">
        <v>331</v>
      </c>
      <c r="U17" s="5"/>
    </row>
    <row r="18" spans="1:21" ht="60" customHeight="1">
      <c r="A18" s="6" t="s">
        <v>1710</v>
      </c>
      <c r="B18" s="6" t="s">
        <v>21</v>
      </c>
      <c r="C18" s="6" t="s">
        <v>1711</v>
      </c>
      <c r="D18" s="6" t="s">
        <v>1668</v>
      </c>
      <c r="E18" s="6" t="s">
        <v>292</v>
      </c>
      <c r="F18" s="6" t="s">
        <v>346</v>
      </c>
      <c r="G18" s="6" t="s">
        <v>1712</v>
      </c>
      <c r="H18" s="6" t="s">
        <v>8</v>
      </c>
      <c r="I18" s="5"/>
      <c r="J18" s="5"/>
      <c r="K18" s="7"/>
      <c r="L18" s="7"/>
      <c r="M18" s="6" t="s">
        <v>40</v>
      </c>
      <c r="N18" s="29">
        <v>0</v>
      </c>
      <c r="O18" s="5"/>
      <c r="P18" s="8"/>
      <c r="Q18" s="6" t="s">
        <v>65</v>
      </c>
      <c r="R18" s="6" t="s">
        <v>1670</v>
      </c>
      <c r="S18" s="6" t="s">
        <v>1671</v>
      </c>
      <c r="T18" s="6" t="s">
        <v>347</v>
      </c>
      <c r="U18" s="5"/>
    </row>
    <row r="19" spans="1:21" ht="60" customHeight="1">
      <c r="A19" s="6" t="s">
        <v>1713</v>
      </c>
      <c r="B19" s="6" t="s">
        <v>21</v>
      </c>
      <c r="C19" s="6" t="s">
        <v>1714</v>
      </c>
      <c r="D19" s="6" t="s">
        <v>1668</v>
      </c>
      <c r="E19" s="6" t="s">
        <v>292</v>
      </c>
      <c r="F19" s="6" t="s">
        <v>354</v>
      </c>
      <c r="G19" s="6" t="s">
        <v>1715</v>
      </c>
      <c r="H19" s="6" t="s">
        <v>8</v>
      </c>
      <c r="I19" s="5"/>
      <c r="J19" s="5"/>
      <c r="K19" s="7"/>
      <c r="L19" s="7"/>
      <c r="M19" s="6" t="s">
        <v>40</v>
      </c>
      <c r="N19" s="29">
        <v>0</v>
      </c>
      <c r="O19" s="5"/>
      <c r="P19" s="8"/>
      <c r="Q19" s="6" t="s">
        <v>65</v>
      </c>
      <c r="R19" s="6" t="s">
        <v>1670</v>
      </c>
      <c r="S19" s="6" t="s">
        <v>1671</v>
      </c>
      <c r="T19" s="6" t="s">
        <v>355</v>
      </c>
      <c r="U19" s="5"/>
    </row>
    <row r="20" spans="1:21" ht="60" customHeight="1">
      <c r="A20" s="6" t="s">
        <v>1716</v>
      </c>
      <c r="B20" s="6" t="s">
        <v>21</v>
      </c>
      <c r="C20" s="6" t="s">
        <v>1717</v>
      </c>
      <c r="D20" s="6" t="s">
        <v>1668</v>
      </c>
      <c r="E20" s="6" t="s">
        <v>292</v>
      </c>
      <c r="F20" s="6" t="s">
        <v>362</v>
      </c>
      <c r="G20" s="6" t="s">
        <v>1718</v>
      </c>
      <c r="H20" s="6" t="s">
        <v>8</v>
      </c>
      <c r="I20" s="5"/>
      <c r="J20" s="5"/>
      <c r="K20" s="7"/>
      <c r="L20" s="7"/>
      <c r="M20" s="6" t="s">
        <v>40</v>
      </c>
      <c r="N20" s="29">
        <v>0</v>
      </c>
      <c r="O20" s="5"/>
      <c r="P20" s="8"/>
      <c r="Q20" s="6" t="s">
        <v>65</v>
      </c>
      <c r="R20" s="6" t="s">
        <v>1670</v>
      </c>
      <c r="S20" s="6" t="s">
        <v>1671</v>
      </c>
      <c r="T20" s="6" t="s">
        <v>363</v>
      </c>
      <c r="U20" s="5"/>
    </row>
    <row r="21" spans="1:21" ht="60" customHeight="1">
      <c r="A21" s="6" t="s">
        <v>1719</v>
      </c>
      <c r="B21" s="6" t="s">
        <v>21</v>
      </c>
      <c r="C21" s="6" t="s">
        <v>1720</v>
      </c>
      <c r="D21" s="6" t="s">
        <v>1668</v>
      </c>
      <c r="E21" s="6" t="s">
        <v>292</v>
      </c>
      <c r="F21" s="6" t="s">
        <v>378</v>
      </c>
      <c r="G21" s="6" t="s">
        <v>1721</v>
      </c>
      <c r="H21" s="6" t="s">
        <v>8</v>
      </c>
      <c r="I21" s="5"/>
      <c r="J21" s="5"/>
      <c r="K21" s="7"/>
      <c r="L21" s="7"/>
      <c r="M21" s="6" t="s">
        <v>40</v>
      </c>
      <c r="N21" s="29">
        <v>0</v>
      </c>
      <c r="O21" s="5"/>
      <c r="P21" s="8"/>
      <c r="Q21" s="6" t="s">
        <v>65</v>
      </c>
      <c r="R21" s="6" t="s">
        <v>1670</v>
      </c>
      <c r="S21" s="6" t="s">
        <v>1671</v>
      </c>
      <c r="T21" s="6" t="s">
        <v>379</v>
      </c>
      <c r="U21" s="5"/>
    </row>
    <row r="22" spans="1:21" ht="60" customHeight="1">
      <c r="A22" s="6" t="s">
        <v>1722</v>
      </c>
      <c r="B22" s="6" t="s">
        <v>21</v>
      </c>
      <c r="C22" s="6" t="s">
        <v>1723</v>
      </c>
      <c r="D22" s="6" t="s">
        <v>1668</v>
      </c>
      <c r="E22" s="6" t="s">
        <v>292</v>
      </c>
      <c r="F22" s="6" t="s">
        <v>394</v>
      </c>
      <c r="G22" s="6" t="s">
        <v>1724</v>
      </c>
      <c r="H22" s="6" t="s">
        <v>8</v>
      </c>
      <c r="I22" s="5"/>
      <c r="J22" s="5"/>
      <c r="K22" s="7"/>
      <c r="L22" s="7"/>
      <c r="M22" s="6" t="s">
        <v>40</v>
      </c>
      <c r="N22" s="29">
        <v>0</v>
      </c>
      <c r="O22" s="5"/>
      <c r="P22" s="8"/>
      <c r="Q22" s="6" t="s">
        <v>65</v>
      </c>
      <c r="R22" s="6" t="s">
        <v>1670</v>
      </c>
      <c r="S22" s="6" t="s">
        <v>1671</v>
      </c>
      <c r="T22" s="6" t="s">
        <v>395</v>
      </c>
      <c r="U22" s="5"/>
    </row>
    <row r="23" spans="1:21" ht="60" customHeight="1">
      <c r="A23" s="6" t="s">
        <v>1725</v>
      </c>
      <c r="B23" s="6" t="s">
        <v>21</v>
      </c>
      <c r="C23" s="6" t="s">
        <v>1726</v>
      </c>
      <c r="D23" s="6" t="s">
        <v>1668</v>
      </c>
      <c r="E23" s="6" t="s">
        <v>292</v>
      </c>
      <c r="F23" s="6" t="s">
        <v>410</v>
      </c>
      <c r="G23" s="6" t="s">
        <v>1727</v>
      </c>
      <c r="H23" s="6" t="s">
        <v>8</v>
      </c>
      <c r="I23" s="5"/>
      <c r="J23" s="5"/>
      <c r="K23" s="7"/>
      <c r="L23" s="7"/>
      <c r="M23" s="6" t="s">
        <v>40</v>
      </c>
      <c r="N23" s="29">
        <v>0</v>
      </c>
      <c r="O23" s="5"/>
      <c r="P23" s="8"/>
      <c r="Q23" s="6" t="s">
        <v>68</v>
      </c>
      <c r="R23" s="6" t="s">
        <v>1670</v>
      </c>
      <c r="S23" s="6" t="s">
        <v>1671</v>
      </c>
      <c r="T23" s="6" t="s">
        <v>411</v>
      </c>
      <c r="U23" s="5"/>
    </row>
    <row r="24" spans="1:21" ht="60" customHeight="1">
      <c r="A24" s="6" t="s">
        <v>1728</v>
      </c>
      <c r="B24" s="6" t="s">
        <v>21</v>
      </c>
      <c r="C24" s="6" t="s">
        <v>1729</v>
      </c>
      <c r="D24" s="6" t="s">
        <v>1668</v>
      </c>
      <c r="E24" s="6" t="s">
        <v>421</v>
      </c>
      <c r="F24" s="6" t="s">
        <v>442</v>
      </c>
      <c r="G24" s="6" t="s">
        <v>1730</v>
      </c>
      <c r="H24" s="6" t="s">
        <v>8</v>
      </c>
      <c r="I24" s="5"/>
      <c r="J24" s="5"/>
      <c r="K24" s="7"/>
      <c r="L24" s="7"/>
      <c r="M24" s="6" t="s">
        <v>40</v>
      </c>
      <c r="N24" s="29">
        <v>0</v>
      </c>
      <c r="O24" s="5"/>
      <c r="P24" s="8"/>
      <c r="Q24" s="6" t="s">
        <v>65</v>
      </c>
      <c r="R24" s="6" t="s">
        <v>1670</v>
      </c>
      <c r="S24" s="6" t="s">
        <v>1671</v>
      </c>
      <c r="T24" s="6" t="s">
        <v>443</v>
      </c>
      <c r="U24" s="5"/>
    </row>
    <row r="25" spans="1:21" ht="60" customHeight="1">
      <c r="A25" s="6" t="s">
        <v>1731</v>
      </c>
      <c r="B25" s="6" t="s">
        <v>21</v>
      </c>
      <c r="C25" s="6" t="s">
        <v>1732</v>
      </c>
      <c r="D25" s="6" t="s">
        <v>1668</v>
      </c>
      <c r="E25" s="6" t="s">
        <v>421</v>
      </c>
      <c r="F25" s="6" t="s">
        <v>458</v>
      </c>
      <c r="G25" s="6" t="s">
        <v>1733</v>
      </c>
      <c r="H25" s="6" t="s">
        <v>8</v>
      </c>
      <c r="I25" s="5"/>
      <c r="J25" s="5"/>
      <c r="K25" s="7"/>
      <c r="L25" s="7"/>
      <c r="M25" s="6" t="s">
        <v>40</v>
      </c>
      <c r="N25" s="29">
        <v>0</v>
      </c>
      <c r="O25" s="5"/>
      <c r="P25" s="8"/>
      <c r="Q25" s="6" t="s">
        <v>65</v>
      </c>
      <c r="R25" s="6" t="s">
        <v>1670</v>
      </c>
      <c r="S25" s="6" t="s">
        <v>1671</v>
      </c>
      <c r="T25" s="6" t="s">
        <v>428</v>
      </c>
      <c r="U25" s="5"/>
    </row>
    <row r="26" spans="1:21" ht="60" customHeight="1">
      <c r="A26" s="6" t="s">
        <v>1734</v>
      </c>
      <c r="B26" s="6" t="s">
        <v>21</v>
      </c>
      <c r="C26" s="6" t="s">
        <v>1735</v>
      </c>
      <c r="D26" s="6" t="s">
        <v>1668</v>
      </c>
      <c r="E26" s="6" t="s">
        <v>499</v>
      </c>
      <c r="F26" s="6" t="s">
        <v>505</v>
      </c>
      <c r="G26" s="6" t="s">
        <v>1736</v>
      </c>
      <c r="H26" s="6" t="s">
        <v>8</v>
      </c>
      <c r="I26" s="5"/>
      <c r="J26" s="5"/>
      <c r="K26" s="7"/>
      <c r="L26" s="7"/>
      <c r="M26" s="6" t="s">
        <v>40</v>
      </c>
      <c r="N26" s="29">
        <v>0</v>
      </c>
      <c r="O26" s="5"/>
      <c r="P26" s="8"/>
      <c r="Q26" s="6" t="s">
        <v>66</v>
      </c>
      <c r="R26" s="6" t="s">
        <v>1670</v>
      </c>
      <c r="S26" s="6" t="s">
        <v>1671</v>
      </c>
      <c r="T26" s="6" t="s">
        <v>506</v>
      </c>
      <c r="U26" s="5"/>
    </row>
    <row r="27" spans="1:21" ht="60" customHeight="1">
      <c r="A27" s="6" t="s">
        <v>1737</v>
      </c>
      <c r="B27" s="6" t="s">
        <v>21</v>
      </c>
      <c r="C27" s="6" t="s">
        <v>1738</v>
      </c>
      <c r="D27" s="6" t="s">
        <v>1668</v>
      </c>
      <c r="E27" s="6" t="s">
        <v>499</v>
      </c>
      <c r="F27" s="6" t="s">
        <v>513</v>
      </c>
      <c r="G27" s="6" t="s">
        <v>1739</v>
      </c>
      <c r="H27" s="6" t="s">
        <v>8</v>
      </c>
      <c r="I27" s="5"/>
      <c r="J27" s="5"/>
      <c r="K27" s="7"/>
      <c r="L27" s="7"/>
      <c r="M27" s="6" t="s">
        <v>40</v>
      </c>
      <c r="N27" s="29">
        <v>0</v>
      </c>
      <c r="O27" s="5"/>
      <c r="P27" s="8"/>
      <c r="Q27" s="6" t="s">
        <v>66</v>
      </c>
      <c r="R27" s="6" t="s">
        <v>1670</v>
      </c>
      <c r="S27" s="6" t="s">
        <v>1671</v>
      </c>
      <c r="T27" s="6" t="s">
        <v>514</v>
      </c>
      <c r="U27" s="5"/>
    </row>
    <row r="28" spans="1:21" ht="60" customHeight="1">
      <c r="A28" s="6" t="s">
        <v>1740</v>
      </c>
      <c r="B28" s="6" t="s">
        <v>21</v>
      </c>
      <c r="C28" s="6" t="s">
        <v>1741</v>
      </c>
      <c r="D28" s="6" t="s">
        <v>1668</v>
      </c>
      <c r="E28" s="6" t="s">
        <v>499</v>
      </c>
      <c r="F28" s="6" t="s">
        <v>529</v>
      </c>
      <c r="G28" s="6" t="s">
        <v>1742</v>
      </c>
      <c r="H28" s="6" t="s">
        <v>8</v>
      </c>
      <c r="I28" s="5"/>
      <c r="J28" s="5"/>
      <c r="K28" s="7"/>
      <c r="L28" s="7"/>
      <c r="M28" s="6" t="s">
        <v>40</v>
      </c>
      <c r="N28" s="29">
        <v>0</v>
      </c>
      <c r="O28" s="5"/>
      <c r="P28" s="8"/>
      <c r="Q28" s="6" t="s">
        <v>66</v>
      </c>
      <c r="R28" s="6" t="s">
        <v>1670</v>
      </c>
      <c r="S28" s="6" t="s">
        <v>1671</v>
      </c>
      <c r="T28" s="6" t="s">
        <v>530</v>
      </c>
      <c r="U28" s="5"/>
    </row>
    <row r="29" spans="1:21" ht="60" customHeight="1">
      <c r="A29" s="6" t="s">
        <v>1743</v>
      </c>
      <c r="B29" s="6" t="s">
        <v>21</v>
      </c>
      <c r="C29" s="6" t="s">
        <v>1744</v>
      </c>
      <c r="D29" s="6" t="s">
        <v>1668</v>
      </c>
      <c r="E29" s="6" t="s">
        <v>499</v>
      </c>
      <c r="F29" s="6" t="s">
        <v>537</v>
      </c>
      <c r="G29" s="6" t="s">
        <v>1745</v>
      </c>
      <c r="H29" s="6" t="s">
        <v>8</v>
      </c>
      <c r="I29" s="5"/>
      <c r="J29" s="5"/>
      <c r="K29" s="7"/>
      <c r="L29" s="7"/>
      <c r="M29" s="6" t="s">
        <v>40</v>
      </c>
      <c r="N29" s="29">
        <v>0</v>
      </c>
      <c r="O29" s="5"/>
      <c r="P29" s="8"/>
      <c r="Q29" s="6" t="s">
        <v>66</v>
      </c>
      <c r="R29" s="6" t="s">
        <v>1670</v>
      </c>
      <c r="S29" s="6" t="s">
        <v>1671</v>
      </c>
      <c r="T29" s="6" t="s">
        <v>387</v>
      </c>
      <c r="U29" s="5"/>
    </row>
    <row r="30" spans="1:21" ht="60" customHeight="1">
      <c r="A30" s="6" t="s">
        <v>1746</v>
      </c>
      <c r="B30" s="6" t="s">
        <v>21</v>
      </c>
      <c r="C30" s="6" t="s">
        <v>1747</v>
      </c>
      <c r="D30" s="6" t="s">
        <v>1668</v>
      </c>
      <c r="E30" s="6" t="s">
        <v>499</v>
      </c>
      <c r="F30" s="6" t="s">
        <v>544</v>
      </c>
      <c r="G30" s="6" t="s">
        <v>1748</v>
      </c>
      <c r="H30" s="6" t="s">
        <v>8</v>
      </c>
      <c r="I30" s="5"/>
      <c r="J30" s="5"/>
      <c r="K30" s="7"/>
      <c r="L30" s="7"/>
      <c r="M30" s="6" t="s">
        <v>40</v>
      </c>
      <c r="N30" s="29">
        <v>0</v>
      </c>
      <c r="O30" s="5"/>
      <c r="P30" s="8"/>
      <c r="Q30" s="6" t="s">
        <v>66</v>
      </c>
      <c r="R30" s="6" t="s">
        <v>1670</v>
      </c>
      <c r="S30" s="6" t="s">
        <v>1671</v>
      </c>
      <c r="T30" s="6" t="s">
        <v>530</v>
      </c>
      <c r="U30" s="5"/>
    </row>
    <row r="31" spans="1:21" ht="60" customHeight="1">
      <c r="A31" s="6" t="s">
        <v>1749</v>
      </c>
      <c r="B31" s="6" t="s">
        <v>21</v>
      </c>
      <c r="C31" s="6" t="s">
        <v>1750</v>
      </c>
      <c r="D31" s="6" t="s">
        <v>1674</v>
      </c>
      <c r="E31" s="6" t="s">
        <v>499</v>
      </c>
      <c r="F31" s="6" t="s">
        <v>567</v>
      </c>
      <c r="G31" s="6" t="s">
        <v>1751</v>
      </c>
      <c r="H31" s="6" t="s">
        <v>8</v>
      </c>
      <c r="I31" s="5"/>
      <c r="J31" s="5"/>
      <c r="K31" s="7"/>
      <c r="L31" s="7"/>
      <c r="M31" s="6" t="s">
        <v>40</v>
      </c>
      <c r="N31" s="29">
        <v>0</v>
      </c>
      <c r="O31" s="5"/>
      <c r="P31" s="8"/>
      <c r="Q31" s="6" t="s">
        <v>67</v>
      </c>
      <c r="R31" s="6" t="s">
        <v>1670</v>
      </c>
      <c r="S31" s="6" t="s">
        <v>1671</v>
      </c>
      <c r="T31" s="6" t="s">
        <v>568</v>
      </c>
      <c r="U31" s="5"/>
    </row>
    <row r="32" spans="1:21" ht="60" customHeight="1">
      <c r="A32" s="6" t="s">
        <v>1752</v>
      </c>
      <c r="B32" s="6" t="s">
        <v>21</v>
      </c>
      <c r="C32" s="6" t="s">
        <v>1753</v>
      </c>
      <c r="D32" s="6" t="s">
        <v>1668</v>
      </c>
      <c r="E32" s="6" t="s">
        <v>499</v>
      </c>
      <c r="F32" s="6" t="s">
        <v>582</v>
      </c>
      <c r="G32" s="6" t="s">
        <v>1754</v>
      </c>
      <c r="H32" s="6" t="s">
        <v>8</v>
      </c>
      <c r="I32" s="5"/>
      <c r="J32" s="5"/>
      <c r="K32" s="7"/>
      <c r="L32" s="7"/>
      <c r="M32" s="6" t="s">
        <v>40</v>
      </c>
      <c r="N32" s="29">
        <v>0</v>
      </c>
      <c r="O32" s="5"/>
      <c r="P32" s="8"/>
      <c r="Q32" s="6" t="s">
        <v>65</v>
      </c>
      <c r="R32" s="6" t="s">
        <v>1670</v>
      </c>
      <c r="S32" s="6" t="s">
        <v>1671</v>
      </c>
      <c r="T32" s="6" t="s">
        <v>583</v>
      </c>
      <c r="U32" s="5"/>
    </row>
    <row r="33" spans="1:21" ht="60" customHeight="1">
      <c r="A33" s="6" t="s">
        <v>1755</v>
      </c>
      <c r="B33" s="6" t="s">
        <v>21</v>
      </c>
      <c r="C33" s="6" t="s">
        <v>1756</v>
      </c>
      <c r="D33" s="6" t="s">
        <v>1674</v>
      </c>
      <c r="E33" s="6" t="s">
        <v>585</v>
      </c>
      <c r="F33" s="6" t="s">
        <v>591</v>
      </c>
      <c r="G33" s="6" t="s">
        <v>1757</v>
      </c>
      <c r="H33" s="6" t="s">
        <v>8</v>
      </c>
      <c r="I33" s="5"/>
      <c r="J33" s="5"/>
      <c r="K33" s="7"/>
      <c r="L33" s="7"/>
      <c r="M33" s="6" t="s">
        <v>40</v>
      </c>
      <c r="N33" s="29">
        <v>0</v>
      </c>
      <c r="O33" s="5"/>
      <c r="P33" s="8"/>
      <c r="Q33" s="6" t="s">
        <v>67</v>
      </c>
      <c r="R33" s="6" t="s">
        <v>1670</v>
      </c>
      <c r="S33" s="6" t="s">
        <v>1671</v>
      </c>
      <c r="T33" s="6" t="s">
        <v>592</v>
      </c>
      <c r="U33" s="5"/>
    </row>
    <row r="34" spans="1:21" ht="60" customHeight="1">
      <c r="A34" s="6" t="s">
        <v>1758</v>
      </c>
      <c r="B34" s="6" t="s">
        <v>21</v>
      </c>
      <c r="C34" s="6" t="s">
        <v>1759</v>
      </c>
      <c r="D34" s="6" t="s">
        <v>1674</v>
      </c>
      <c r="E34" s="6" t="s">
        <v>585</v>
      </c>
      <c r="F34" s="6" t="s">
        <v>607</v>
      </c>
      <c r="G34" s="6" t="s">
        <v>1760</v>
      </c>
      <c r="H34" s="6" t="s">
        <v>8</v>
      </c>
      <c r="I34" s="5"/>
      <c r="J34" s="5"/>
      <c r="K34" s="7"/>
      <c r="L34" s="7"/>
      <c r="M34" s="6" t="s">
        <v>40</v>
      </c>
      <c r="N34" s="29">
        <v>0</v>
      </c>
      <c r="O34" s="5"/>
      <c r="P34" s="8"/>
      <c r="Q34" s="6" t="s">
        <v>67</v>
      </c>
      <c r="R34" s="6" t="s">
        <v>1670</v>
      </c>
      <c r="S34" s="6" t="s">
        <v>1671</v>
      </c>
      <c r="T34" s="6" t="s">
        <v>608</v>
      </c>
      <c r="U34" s="5"/>
    </row>
    <row r="35" spans="1:21" ht="60" customHeight="1">
      <c r="A35" s="6" t="s">
        <v>1761</v>
      </c>
      <c r="B35" s="6" t="s">
        <v>21</v>
      </c>
      <c r="C35" s="6" t="s">
        <v>1762</v>
      </c>
      <c r="D35" s="6" t="s">
        <v>1668</v>
      </c>
      <c r="E35" s="6" t="s">
        <v>585</v>
      </c>
      <c r="F35" s="6" t="s">
        <v>615</v>
      </c>
      <c r="G35" s="6" t="s">
        <v>1763</v>
      </c>
      <c r="H35" s="6" t="s">
        <v>8</v>
      </c>
      <c r="I35" s="5"/>
      <c r="J35" s="5"/>
      <c r="K35" s="7"/>
      <c r="L35" s="7"/>
      <c r="M35" s="6" t="s">
        <v>40</v>
      </c>
      <c r="N35" s="29">
        <v>0</v>
      </c>
      <c r="O35" s="5"/>
      <c r="P35" s="8"/>
      <c r="Q35" s="6" t="s">
        <v>68</v>
      </c>
      <c r="R35" s="6" t="s">
        <v>1670</v>
      </c>
      <c r="S35" s="6" t="s">
        <v>1671</v>
      </c>
      <c r="T35" s="6" t="s">
        <v>616</v>
      </c>
      <c r="U35" s="5"/>
    </row>
    <row r="36" spans="1:21" ht="60" customHeight="1">
      <c r="A36" s="6" t="s">
        <v>1764</v>
      </c>
      <c r="B36" s="6" t="s">
        <v>21</v>
      </c>
      <c r="C36" s="6" t="s">
        <v>1765</v>
      </c>
      <c r="D36" s="6" t="s">
        <v>1668</v>
      </c>
      <c r="E36" s="6" t="s">
        <v>585</v>
      </c>
      <c r="F36" s="6" t="s">
        <v>623</v>
      </c>
      <c r="G36" s="6" t="s">
        <v>1766</v>
      </c>
      <c r="H36" s="6" t="s">
        <v>8</v>
      </c>
      <c r="I36" s="5"/>
      <c r="J36" s="5"/>
      <c r="K36" s="7"/>
      <c r="L36" s="7"/>
      <c r="M36" s="6" t="s">
        <v>40</v>
      </c>
      <c r="N36" s="29">
        <v>0</v>
      </c>
      <c r="O36" s="5"/>
      <c r="P36" s="8"/>
      <c r="Q36" s="6" t="s">
        <v>66</v>
      </c>
      <c r="R36" s="6" t="s">
        <v>1670</v>
      </c>
      <c r="S36" s="6" t="s">
        <v>1671</v>
      </c>
      <c r="T36" s="6" t="s">
        <v>387</v>
      </c>
      <c r="U36" s="5"/>
    </row>
    <row r="37" spans="1:21" ht="60" customHeight="1">
      <c r="A37" s="6" t="s">
        <v>1767</v>
      </c>
      <c r="B37" s="6" t="s">
        <v>21</v>
      </c>
      <c r="C37" s="6" t="s">
        <v>1768</v>
      </c>
      <c r="D37" s="6" t="s">
        <v>1668</v>
      </c>
      <c r="E37" s="6" t="s">
        <v>585</v>
      </c>
      <c r="F37" s="6" t="s">
        <v>630</v>
      </c>
      <c r="G37" s="6" t="s">
        <v>1769</v>
      </c>
      <c r="H37" s="6" t="s">
        <v>8</v>
      </c>
      <c r="I37" s="5"/>
      <c r="J37" s="5"/>
      <c r="K37" s="7"/>
      <c r="L37" s="7"/>
      <c r="M37" s="6" t="s">
        <v>40</v>
      </c>
      <c r="N37" s="29">
        <v>0</v>
      </c>
      <c r="O37" s="5"/>
      <c r="P37" s="8"/>
      <c r="Q37" s="6" t="s">
        <v>66</v>
      </c>
      <c r="R37" s="6" t="s">
        <v>1670</v>
      </c>
      <c r="S37" s="6" t="s">
        <v>1671</v>
      </c>
      <c r="T37" s="6" t="s">
        <v>631</v>
      </c>
      <c r="U37" s="5"/>
    </row>
    <row r="38" spans="1:21" ht="60" customHeight="1">
      <c r="A38" s="6" t="s">
        <v>1770</v>
      </c>
      <c r="B38" s="6" t="s">
        <v>21</v>
      </c>
      <c r="C38" s="6" t="s">
        <v>1771</v>
      </c>
      <c r="D38" s="6" t="s">
        <v>1674</v>
      </c>
      <c r="E38" s="6" t="s">
        <v>585</v>
      </c>
      <c r="F38" s="6" t="s">
        <v>638</v>
      </c>
      <c r="G38" s="6" t="s">
        <v>1772</v>
      </c>
      <c r="H38" s="6" t="s">
        <v>8</v>
      </c>
      <c r="I38" s="5"/>
      <c r="J38" s="5"/>
      <c r="K38" s="7"/>
      <c r="L38" s="7"/>
      <c r="M38" s="6" t="s">
        <v>40</v>
      </c>
      <c r="N38" s="29">
        <v>0</v>
      </c>
      <c r="O38" s="5"/>
      <c r="P38" s="8"/>
      <c r="Q38" s="6" t="s">
        <v>67</v>
      </c>
      <c r="R38" s="6" t="s">
        <v>1670</v>
      </c>
      <c r="S38" s="6" t="s">
        <v>1671</v>
      </c>
      <c r="T38" s="6" t="s">
        <v>639</v>
      </c>
      <c r="U38" s="5"/>
    </row>
    <row r="39" spans="1:21" ht="60" customHeight="1">
      <c r="A39" s="6" t="s">
        <v>1773</v>
      </c>
      <c r="B39" s="6" t="s">
        <v>21</v>
      </c>
      <c r="C39" s="6" t="s">
        <v>1774</v>
      </c>
      <c r="D39" s="6" t="s">
        <v>1674</v>
      </c>
      <c r="E39" s="6" t="s">
        <v>585</v>
      </c>
      <c r="F39" s="6" t="s">
        <v>646</v>
      </c>
      <c r="G39" s="6" t="s">
        <v>1775</v>
      </c>
      <c r="H39" s="6" t="s">
        <v>8</v>
      </c>
      <c r="I39" s="5"/>
      <c r="J39" s="5"/>
      <c r="K39" s="7"/>
      <c r="L39" s="7"/>
      <c r="M39" s="6" t="s">
        <v>40</v>
      </c>
      <c r="N39" s="29">
        <v>0</v>
      </c>
      <c r="O39" s="5"/>
      <c r="P39" s="8"/>
      <c r="Q39" s="6" t="s">
        <v>70</v>
      </c>
      <c r="R39" s="6" t="s">
        <v>1670</v>
      </c>
      <c r="S39" s="6" t="s">
        <v>1671</v>
      </c>
      <c r="T39" s="6" t="s">
        <v>647</v>
      </c>
      <c r="U39" s="5"/>
    </row>
    <row r="40" spans="1:21" ht="60" customHeight="1">
      <c r="A40" s="6" t="s">
        <v>1776</v>
      </c>
      <c r="B40" s="6" t="s">
        <v>21</v>
      </c>
      <c r="C40" s="6" t="s">
        <v>1777</v>
      </c>
      <c r="D40" s="6" t="s">
        <v>1668</v>
      </c>
      <c r="E40" s="6" t="s">
        <v>585</v>
      </c>
      <c r="F40" s="6" t="s">
        <v>670</v>
      </c>
      <c r="G40" s="6" t="s">
        <v>1778</v>
      </c>
      <c r="H40" s="6" t="s">
        <v>8</v>
      </c>
      <c r="I40" s="5"/>
      <c r="J40" s="5"/>
      <c r="K40" s="7"/>
      <c r="L40" s="7"/>
      <c r="M40" s="6" t="s">
        <v>40</v>
      </c>
      <c r="N40" s="29">
        <v>0</v>
      </c>
      <c r="O40" s="5"/>
      <c r="P40" s="8"/>
      <c r="Q40" s="6" t="s">
        <v>66</v>
      </c>
      <c r="R40" s="6" t="s">
        <v>1670</v>
      </c>
      <c r="S40" s="6" t="s">
        <v>1671</v>
      </c>
      <c r="T40" s="6" t="s">
        <v>671</v>
      </c>
      <c r="U40" s="5"/>
    </row>
    <row r="41" spans="1:21" ht="60" customHeight="1">
      <c r="A41" s="6" t="s">
        <v>1779</v>
      </c>
      <c r="B41" s="6" t="s">
        <v>21</v>
      </c>
      <c r="C41" s="6" t="s">
        <v>1780</v>
      </c>
      <c r="D41" s="6" t="s">
        <v>1668</v>
      </c>
      <c r="E41" s="6" t="s">
        <v>688</v>
      </c>
      <c r="F41" s="6" t="s">
        <v>701</v>
      </c>
      <c r="G41" s="6" t="s">
        <v>1781</v>
      </c>
      <c r="H41" s="6" t="s">
        <v>8</v>
      </c>
      <c r="I41" s="5"/>
      <c r="J41" s="5"/>
      <c r="K41" s="7"/>
      <c r="L41" s="7"/>
      <c r="M41" s="6" t="s">
        <v>40</v>
      </c>
      <c r="N41" s="29">
        <v>0</v>
      </c>
      <c r="O41" s="5"/>
      <c r="P41" s="8"/>
      <c r="Q41" s="6" t="s">
        <v>65</v>
      </c>
      <c r="R41" s="6" t="s">
        <v>1670</v>
      </c>
      <c r="S41" s="6" t="s">
        <v>1671</v>
      </c>
      <c r="T41" s="6" t="s">
        <v>702</v>
      </c>
      <c r="U41" s="5"/>
    </row>
    <row r="42" spans="1:21" ht="60" customHeight="1">
      <c r="A42" s="6" t="s">
        <v>1782</v>
      </c>
      <c r="B42" s="6" t="s">
        <v>21</v>
      </c>
      <c r="C42" s="6" t="s">
        <v>1783</v>
      </c>
      <c r="D42" s="6" t="s">
        <v>1668</v>
      </c>
      <c r="E42" s="6" t="s">
        <v>688</v>
      </c>
      <c r="F42" s="6" t="s">
        <v>709</v>
      </c>
      <c r="G42" s="6" t="s">
        <v>1784</v>
      </c>
      <c r="H42" s="6" t="s">
        <v>8</v>
      </c>
      <c r="I42" s="5"/>
      <c r="J42" s="5"/>
      <c r="K42" s="7"/>
      <c r="L42" s="7"/>
      <c r="M42" s="6" t="s">
        <v>40</v>
      </c>
      <c r="N42" s="29">
        <v>0</v>
      </c>
      <c r="O42" s="5"/>
      <c r="P42" s="8"/>
      <c r="Q42" s="6" t="s">
        <v>66</v>
      </c>
      <c r="R42" s="6" t="s">
        <v>1670</v>
      </c>
      <c r="S42" s="6" t="s">
        <v>1671</v>
      </c>
      <c r="T42" s="6" t="s">
        <v>631</v>
      </c>
      <c r="U42" s="5"/>
    </row>
    <row r="43" spans="1:21" ht="60" customHeight="1">
      <c r="A43" s="6" t="s">
        <v>1785</v>
      </c>
      <c r="B43" s="6" t="s">
        <v>21</v>
      </c>
      <c r="C43" s="6" t="s">
        <v>1786</v>
      </c>
      <c r="D43" s="6" t="s">
        <v>1696</v>
      </c>
      <c r="E43" s="6" t="s">
        <v>688</v>
      </c>
      <c r="F43" s="6" t="s">
        <v>724</v>
      </c>
      <c r="G43" s="6" t="s">
        <v>1787</v>
      </c>
      <c r="H43" s="6" t="s">
        <v>8</v>
      </c>
      <c r="I43" s="5"/>
      <c r="J43" s="5"/>
      <c r="K43" s="7"/>
      <c r="L43" s="7"/>
      <c r="M43" s="6" t="s">
        <v>40</v>
      </c>
      <c r="N43" s="29">
        <v>0</v>
      </c>
      <c r="O43" s="5"/>
      <c r="P43" s="8"/>
      <c r="Q43" s="6" t="s">
        <v>69</v>
      </c>
      <c r="R43" s="6" t="s">
        <v>1670</v>
      </c>
      <c r="S43" s="6" t="s">
        <v>1671</v>
      </c>
      <c r="T43" s="6" t="s">
        <v>616</v>
      </c>
      <c r="U43" s="5"/>
    </row>
    <row r="44" spans="1:21" ht="60" customHeight="1">
      <c r="A44" s="6" t="s">
        <v>1788</v>
      </c>
      <c r="B44" s="6" t="s">
        <v>21</v>
      </c>
      <c r="C44" s="6" t="s">
        <v>1789</v>
      </c>
      <c r="D44" s="6" t="s">
        <v>1668</v>
      </c>
      <c r="E44" s="6" t="s">
        <v>688</v>
      </c>
      <c r="F44" s="6" t="s">
        <v>731</v>
      </c>
      <c r="G44" s="6" t="s">
        <v>1790</v>
      </c>
      <c r="H44" s="6" t="s">
        <v>8</v>
      </c>
      <c r="I44" s="5"/>
      <c r="J44" s="5"/>
      <c r="K44" s="7"/>
      <c r="L44" s="7"/>
      <c r="M44" s="6" t="s">
        <v>40</v>
      </c>
      <c r="N44" s="29">
        <v>0</v>
      </c>
      <c r="O44" s="5"/>
      <c r="P44" s="8"/>
      <c r="Q44" s="6" t="s">
        <v>65</v>
      </c>
      <c r="R44" s="6" t="s">
        <v>1670</v>
      </c>
      <c r="S44" s="6" t="s">
        <v>1671</v>
      </c>
      <c r="T44" s="6" t="s">
        <v>355</v>
      </c>
      <c r="U44" s="5"/>
    </row>
    <row r="45" spans="1:21" ht="60" customHeight="1">
      <c r="A45" s="6" t="s">
        <v>1791</v>
      </c>
      <c r="B45" s="6" t="s">
        <v>21</v>
      </c>
      <c r="C45" s="6" t="s">
        <v>1792</v>
      </c>
      <c r="D45" s="6" t="s">
        <v>1696</v>
      </c>
      <c r="E45" s="6" t="s">
        <v>754</v>
      </c>
      <c r="F45" s="6" t="s">
        <v>760</v>
      </c>
      <c r="G45" s="6" t="s">
        <v>1793</v>
      </c>
      <c r="H45" s="6" t="s">
        <v>8</v>
      </c>
      <c r="I45" s="5"/>
      <c r="J45" s="5"/>
      <c r="K45" s="7"/>
      <c r="L45" s="7"/>
      <c r="M45" s="6" t="s">
        <v>40</v>
      </c>
      <c r="N45" s="29">
        <v>0</v>
      </c>
      <c r="O45" s="5"/>
      <c r="P45" s="8"/>
      <c r="Q45" s="6" t="s">
        <v>69</v>
      </c>
      <c r="R45" s="6" t="s">
        <v>1670</v>
      </c>
      <c r="S45" s="6" t="s">
        <v>1671</v>
      </c>
      <c r="T45" s="6" t="s">
        <v>466</v>
      </c>
      <c r="U45" s="5"/>
    </row>
    <row r="46" spans="1:21" ht="60" customHeight="1">
      <c r="A46" s="6" t="s">
        <v>1794</v>
      </c>
      <c r="B46" s="6" t="s">
        <v>21</v>
      </c>
      <c r="C46" s="6" t="s">
        <v>1795</v>
      </c>
      <c r="D46" s="6" t="s">
        <v>1696</v>
      </c>
      <c r="E46" s="6" t="s">
        <v>754</v>
      </c>
      <c r="F46" s="6" t="s">
        <v>782</v>
      </c>
      <c r="G46" s="6" t="s">
        <v>1796</v>
      </c>
      <c r="H46" s="6" t="s">
        <v>8</v>
      </c>
      <c r="I46" s="5"/>
      <c r="J46" s="5"/>
      <c r="K46" s="7"/>
      <c r="L46" s="7"/>
      <c r="M46" s="6" t="s">
        <v>40</v>
      </c>
      <c r="N46" s="29">
        <v>0</v>
      </c>
      <c r="O46" s="5"/>
      <c r="P46" s="8"/>
      <c r="Q46" s="6" t="s">
        <v>69</v>
      </c>
      <c r="R46" s="6" t="s">
        <v>1670</v>
      </c>
      <c r="S46" s="6" t="s">
        <v>1671</v>
      </c>
      <c r="T46" s="6" t="s">
        <v>616</v>
      </c>
      <c r="U46" s="5"/>
    </row>
    <row r="47" spans="1:21" ht="60" customHeight="1">
      <c r="A47" s="6" t="s">
        <v>1797</v>
      </c>
      <c r="B47" s="6" t="s">
        <v>21</v>
      </c>
      <c r="C47" s="6" t="s">
        <v>1798</v>
      </c>
      <c r="D47" s="6" t="s">
        <v>1668</v>
      </c>
      <c r="E47" s="6" t="s">
        <v>754</v>
      </c>
      <c r="F47" s="6" t="s">
        <v>796</v>
      </c>
      <c r="G47" s="6" t="s">
        <v>1799</v>
      </c>
      <c r="H47" s="6" t="s">
        <v>8</v>
      </c>
      <c r="I47" s="5"/>
      <c r="J47" s="5"/>
      <c r="K47" s="7"/>
      <c r="L47" s="7"/>
      <c r="M47" s="6" t="s">
        <v>40</v>
      </c>
      <c r="N47" s="29">
        <v>0</v>
      </c>
      <c r="O47" s="5"/>
      <c r="P47" s="8"/>
      <c r="Q47" s="6" t="s">
        <v>66</v>
      </c>
      <c r="R47" s="6" t="s">
        <v>1670</v>
      </c>
      <c r="S47" s="6" t="s">
        <v>1671</v>
      </c>
      <c r="T47" s="6" t="s">
        <v>797</v>
      </c>
      <c r="U47" s="5"/>
    </row>
    <row r="48" spans="1:21" ht="60" customHeight="1">
      <c r="A48" s="6" t="s">
        <v>1800</v>
      </c>
      <c r="B48" s="6" t="s">
        <v>21</v>
      </c>
      <c r="C48" s="6" t="s">
        <v>1801</v>
      </c>
      <c r="D48" s="6" t="s">
        <v>1696</v>
      </c>
      <c r="E48" s="6" t="s">
        <v>807</v>
      </c>
      <c r="F48" s="6" t="s">
        <v>821</v>
      </c>
      <c r="G48" s="6" t="s">
        <v>1802</v>
      </c>
      <c r="H48" s="6" t="s">
        <v>8</v>
      </c>
      <c r="I48" s="5"/>
      <c r="J48" s="5"/>
      <c r="K48" s="7"/>
      <c r="L48" s="7"/>
      <c r="M48" s="6" t="s">
        <v>40</v>
      </c>
      <c r="N48" s="29">
        <v>0</v>
      </c>
      <c r="O48" s="5"/>
      <c r="P48" s="8"/>
      <c r="Q48" s="6" t="s">
        <v>69</v>
      </c>
      <c r="R48" s="6" t="s">
        <v>1670</v>
      </c>
      <c r="S48" s="6" t="s">
        <v>1671</v>
      </c>
      <c r="T48" s="6" t="s">
        <v>616</v>
      </c>
      <c r="U48" s="5"/>
    </row>
    <row r="49" spans="1:21" ht="60" customHeight="1">
      <c r="A49" s="6" t="s">
        <v>1803</v>
      </c>
      <c r="B49" s="6" t="s">
        <v>21</v>
      </c>
      <c r="C49" s="6" t="s">
        <v>1804</v>
      </c>
      <c r="D49" s="6" t="s">
        <v>1668</v>
      </c>
      <c r="E49" s="6" t="s">
        <v>807</v>
      </c>
      <c r="F49" s="6" t="s">
        <v>828</v>
      </c>
      <c r="G49" s="6" t="s">
        <v>1805</v>
      </c>
      <c r="H49" s="6" t="s">
        <v>8</v>
      </c>
      <c r="I49" s="5"/>
      <c r="J49" s="5"/>
      <c r="K49" s="7"/>
      <c r="L49" s="7"/>
      <c r="M49" s="6" t="s">
        <v>40</v>
      </c>
      <c r="N49" s="29">
        <v>0</v>
      </c>
      <c r="O49" s="5"/>
      <c r="P49" s="8"/>
      <c r="Q49" s="6" t="s">
        <v>65</v>
      </c>
      <c r="R49" s="6" t="s">
        <v>1670</v>
      </c>
      <c r="S49" s="6" t="s">
        <v>1671</v>
      </c>
      <c r="T49" s="6" t="s">
        <v>829</v>
      </c>
      <c r="U49" s="5"/>
    </row>
    <row r="50" spans="1:21" ht="60" customHeight="1">
      <c r="A50" s="6" t="s">
        <v>1806</v>
      </c>
      <c r="B50" s="6" t="s">
        <v>21</v>
      </c>
      <c r="C50" s="6" t="s">
        <v>1807</v>
      </c>
      <c r="D50" s="6" t="s">
        <v>1674</v>
      </c>
      <c r="E50" s="6" t="s">
        <v>807</v>
      </c>
      <c r="F50" s="6" t="s">
        <v>836</v>
      </c>
      <c r="G50" s="6" t="s">
        <v>1808</v>
      </c>
      <c r="H50" s="6" t="s">
        <v>8</v>
      </c>
      <c r="I50" s="5"/>
      <c r="J50" s="5"/>
      <c r="K50" s="7"/>
      <c r="L50" s="7"/>
      <c r="M50" s="6" t="s">
        <v>40</v>
      </c>
      <c r="N50" s="29">
        <v>0</v>
      </c>
      <c r="O50" s="5"/>
      <c r="P50" s="8"/>
      <c r="Q50" s="6" t="s">
        <v>67</v>
      </c>
      <c r="R50" s="6" t="s">
        <v>1670</v>
      </c>
      <c r="S50" s="6" t="s">
        <v>1671</v>
      </c>
      <c r="T50" s="6" t="s">
        <v>837</v>
      </c>
      <c r="U50" s="5"/>
    </row>
    <row r="51" spans="1:21" ht="60" customHeight="1">
      <c r="A51" s="6" t="s">
        <v>1809</v>
      </c>
      <c r="B51" s="6" t="s">
        <v>21</v>
      </c>
      <c r="C51" s="6" t="s">
        <v>1810</v>
      </c>
      <c r="D51" s="6" t="s">
        <v>1674</v>
      </c>
      <c r="E51" s="6" t="s">
        <v>807</v>
      </c>
      <c r="F51" s="6" t="s">
        <v>845</v>
      </c>
      <c r="G51" s="6" t="s">
        <v>1811</v>
      </c>
      <c r="H51" s="6" t="s">
        <v>8</v>
      </c>
      <c r="I51" s="5"/>
      <c r="J51" s="5"/>
      <c r="K51" s="7"/>
      <c r="L51" s="7"/>
      <c r="M51" s="6" t="s">
        <v>40</v>
      </c>
      <c r="N51" s="29">
        <v>0</v>
      </c>
      <c r="O51" s="5"/>
      <c r="P51" s="8"/>
      <c r="Q51" s="6" t="s">
        <v>67</v>
      </c>
      <c r="R51" s="6" t="s">
        <v>1670</v>
      </c>
      <c r="S51" s="6" t="s">
        <v>1671</v>
      </c>
      <c r="T51" s="6" t="s">
        <v>846</v>
      </c>
      <c r="U51" s="5"/>
    </row>
    <row r="52" spans="1:21" ht="60" customHeight="1">
      <c r="A52" s="6" t="s">
        <v>1812</v>
      </c>
      <c r="B52" s="6" t="s">
        <v>21</v>
      </c>
      <c r="C52" s="6" t="s">
        <v>1813</v>
      </c>
      <c r="D52" s="6" t="s">
        <v>1674</v>
      </c>
      <c r="E52" s="6" t="s">
        <v>807</v>
      </c>
      <c r="F52" s="6" t="s">
        <v>853</v>
      </c>
      <c r="G52" s="6" t="s">
        <v>1814</v>
      </c>
      <c r="H52" s="6" t="s">
        <v>8</v>
      </c>
      <c r="I52" s="5"/>
      <c r="J52" s="5"/>
      <c r="K52" s="7"/>
      <c r="L52" s="7"/>
      <c r="M52" s="6" t="s">
        <v>40</v>
      </c>
      <c r="N52" s="29">
        <v>0</v>
      </c>
      <c r="O52" s="5"/>
      <c r="P52" s="8"/>
      <c r="Q52" s="6" t="s">
        <v>70</v>
      </c>
      <c r="R52" s="6" t="s">
        <v>1670</v>
      </c>
      <c r="S52" s="6" t="s">
        <v>1671</v>
      </c>
      <c r="T52" s="6" t="s">
        <v>854</v>
      </c>
      <c r="U52" s="5"/>
    </row>
    <row r="53" spans="1:21" ht="60" customHeight="1">
      <c r="A53" s="6" t="s">
        <v>1815</v>
      </c>
      <c r="B53" s="6" t="s">
        <v>21</v>
      </c>
      <c r="C53" s="6" t="s">
        <v>1816</v>
      </c>
      <c r="D53" s="6" t="s">
        <v>1674</v>
      </c>
      <c r="E53" s="6" t="s">
        <v>807</v>
      </c>
      <c r="F53" s="6" t="s">
        <v>861</v>
      </c>
      <c r="G53" s="6" t="s">
        <v>1817</v>
      </c>
      <c r="H53" s="6" t="s">
        <v>8</v>
      </c>
      <c r="I53" s="5"/>
      <c r="J53" s="5"/>
      <c r="K53" s="7"/>
      <c r="L53" s="7"/>
      <c r="M53" s="6" t="s">
        <v>40</v>
      </c>
      <c r="N53" s="29">
        <v>0</v>
      </c>
      <c r="O53" s="5"/>
      <c r="P53" s="8"/>
      <c r="Q53" s="6" t="s">
        <v>67</v>
      </c>
      <c r="R53" s="6" t="s">
        <v>1670</v>
      </c>
      <c r="S53" s="6" t="s">
        <v>1671</v>
      </c>
      <c r="T53" s="6" t="s">
        <v>466</v>
      </c>
      <c r="U53" s="5"/>
    </row>
    <row r="54" spans="1:21" ht="60" customHeight="1">
      <c r="A54" s="6" t="s">
        <v>1818</v>
      </c>
      <c r="B54" s="6" t="s">
        <v>21</v>
      </c>
      <c r="C54" s="6" t="s">
        <v>1819</v>
      </c>
      <c r="D54" s="6" t="s">
        <v>1696</v>
      </c>
      <c r="E54" s="6" t="s">
        <v>807</v>
      </c>
      <c r="F54" s="6" t="s">
        <v>875</v>
      </c>
      <c r="G54" s="6" t="s">
        <v>1820</v>
      </c>
      <c r="H54" s="6" t="s">
        <v>8</v>
      </c>
      <c r="I54" s="5"/>
      <c r="J54" s="5"/>
      <c r="K54" s="7"/>
      <c r="L54" s="7"/>
      <c r="M54" s="6" t="s">
        <v>40</v>
      </c>
      <c r="N54" s="29">
        <v>0</v>
      </c>
      <c r="O54" s="5"/>
      <c r="P54" s="8"/>
      <c r="Q54" s="6" t="s">
        <v>69</v>
      </c>
      <c r="R54" s="6" t="s">
        <v>1670</v>
      </c>
      <c r="S54" s="6" t="s">
        <v>1671</v>
      </c>
      <c r="T54" s="6" t="s">
        <v>876</v>
      </c>
      <c r="U54" s="5"/>
    </row>
    <row r="55" spans="1:21" ht="60" customHeight="1">
      <c r="A55" s="6" t="s">
        <v>1821</v>
      </c>
      <c r="B55" s="6" t="s">
        <v>21</v>
      </c>
      <c r="C55" s="6" t="s">
        <v>1822</v>
      </c>
      <c r="D55" s="6" t="s">
        <v>1668</v>
      </c>
      <c r="E55" s="6" t="s">
        <v>807</v>
      </c>
      <c r="F55" s="6" t="s">
        <v>883</v>
      </c>
      <c r="G55" s="6" t="s">
        <v>1823</v>
      </c>
      <c r="H55" s="6" t="s">
        <v>8</v>
      </c>
      <c r="I55" s="5"/>
      <c r="J55" s="5"/>
      <c r="K55" s="7"/>
      <c r="L55" s="7"/>
      <c r="M55" s="6" t="s">
        <v>40</v>
      </c>
      <c r="N55" s="29">
        <v>0</v>
      </c>
      <c r="O55" s="5"/>
      <c r="P55" s="8"/>
      <c r="Q55" s="6" t="s">
        <v>65</v>
      </c>
      <c r="R55" s="6" t="s">
        <v>1670</v>
      </c>
      <c r="S55" s="6" t="s">
        <v>1671</v>
      </c>
      <c r="T55" s="6" t="s">
        <v>884</v>
      </c>
      <c r="U55" s="5"/>
    </row>
    <row r="56" spans="1:21" ht="60" customHeight="1">
      <c r="A56" s="6" t="s">
        <v>1824</v>
      </c>
      <c r="B56" s="6" t="s">
        <v>21</v>
      </c>
      <c r="C56" s="6" t="s">
        <v>1825</v>
      </c>
      <c r="D56" s="6" t="s">
        <v>1696</v>
      </c>
      <c r="E56" s="6" t="s">
        <v>807</v>
      </c>
      <c r="F56" s="6" t="s">
        <v>891</v>
      </c>
      <c r="G56" s="6" t="s">
        <v>1826</v>
      </c>
      <c r="H56" s="6" t="s">
        <v>8</v>
      </c>
      <c r="I56" s="5"/>
      <c r="J56" s="5"/>
      <c r="K56" s="7"/>
      <c r="L56" s="7"/>
      <c r="M56" s="6" t="s">
        <v>40</v>
      </c>
      <c r="N56" s="29">
        <v>0</v>
      </c>
      <c r="O56" s="5"/>
      <c r="P56" s="8"/>
      <c r="Q56" s="6" t="s">
        <v>69</v>
      </c>
      <c r="R56" s="6" t="s">
        <v>1670</v>
      </c>
      <c r="S56" s="6" t="s">
        <v>1671</v>
      </c>
      <c r="T56" s="6" t="s">
        <v>837</v>
      </c>
      <c r="U56" s="5"/>
    </row>
    <row r="57" spans="1:21" ht="60" customHeight="1">
      <c r="A57" s="6" t="s">
        <v>1827</v>
      </c>
      <c r="B57" s="6" t="s">
        <v>21</v>
      </c>
      <c r="C57" s="6" t="s">
        <v>1828</v>
      </c>
      <c r="D57" s="6" t="s">
        <v>1674</v>
      </c>
      <c r="E57" s="6" t="s">
        <v>807</v>
      </c>
      <c r="F57" s="6" t="s">
        <v>898</v>
      </c>
      <c r="G57" s="6" t="s">
        <v>1829</v>
      </c>
      <c r="H57" s="6" t="s">
        <v>8</v>
      </c>
      <c r="I57" s="5"/>
      <c r="J57" s="5"/>
      <c r="K57" s="7"/>
      <c r="L57" s="7"/>
      <c r="M57" s="6" t="s">
        <v>40</v>
      </c>
      <c r="N57" s="29">
        <v>0</v>
      </c>
      <c r="O57" s="5"/>
      <c r="P57" s="8"/>
      <c r="Q57" s="6" t="s">
        <v>67</v>
      </c>
      <c r="R57" s="6" t="s">
        <v>1670</v>
      </c>
      <c r="S57" s="6" t="s">
        <v>1671</v>
      </c>
      <c r="T57" s="6" t="s">
        <v>899</v>
      </c>
      <c r="U57" s="5"/>
    </row>
    <row r="58" spans="1:21" ht="60" customHeight="1">
      <c r="A58" s="6" t="s">
        <v>1830</v>
      </c>
      <c r="B58" s="6" t="s">
        <v>21</v>
      </c>
      <c r="C58" s="6" t="s">
        <v>1831</v>
      </c>
      <c r="D58" s="6" t="s">
        <v>1668</v>
      </c>
      <c r="E58" s="6" t="s">
        <v>901</v>
      </c>
      <c r="F58" s="6" t="s">
        <v>916</v>
      </c>
      <c r="G58" s="6" t="s">
        <v>1832</v>
      </c>
      <c r="H58" s="6" t="s">
        <v>8</v>
      </c>
      <c r="I58" s="5"/>
      <c r="J58" s="5"/>
      <c r="K58" s="7"/>
      <c r="L58" s="7"/>
      <c r="M58" s="6" t="s">
        <v>40</v>
      </c>
      <c r="N58" s="29">
        <v>0</v>
      </c>
      <c r="O58" s="5"/>
      <c r="P58" s="8"/>
      <c r="Q58" s="6" t="s">
        <v>66</v>
      </c>
      <c r="R58" s="6" t="s">
        <v>1670</v>
      </c>
      <c r="S58" s="6" t="s">
        <v>1671</v>
      </c>
      <c r="T58" s="6" t="s">
        <v>917</v>
      </c>
      <c r="U58" s="5"/>
    </row>
    <row r="59" spans="1:21" ht="60" customHeight="1">
      <c r="A59" s="6" t="s">
        <v>1833</v>
      </c>
      <c r="B59" s="6" t="s">
        <v>21</v>
      </c>
      <c r="C59" s="6" t="s">
        <v>1834</v>
      </c>
      <c r="D59" s="6" t="s">
        <v>1668</v>
      </c>
      <c r="E59" s="6" t="s">
        <v>901</v>
      </c>
      <c r="F59" s="6" t="s">
        <v>924</v>
      </c>
      <c r="G59" s="6" t="s">
        <v>1835</v>
      </c>
      <c r="H59" s="6" t="s">
        <v>8</v>
      </c>
      <c r="I59" s="5"/>
      <c r="J59" s="5"/>
      <c r="K59" s="7"/>
      <c r="L59" s="7"/>
      <c r="M59" s="6" t="s">
        <v>40</v>
      </c>
      <c r="N59" s="29">
        <v>0</v>
      </c>
      <c r="O59" s="5"/>
      <c r="P59" s="8"/>
      <c r="Q59" s="6" t="s">
        <v>66</v>
      </c>
      <c r="R59" s="6" t="s">
        <v>1670</v>
      </c>
      <c r="S59" s="6" t="s">
        <v>1671</v>
      </c>
      <c r="T59" s="6" t="s">
        <v>925</v>
      </c>
      <c r="U59" s="5"/>
    </row>
    <row r="60" spans="1:21" ht="60" customHeight="1">
      <c r="A60" s="6" t="s">
        <v>1836</v>
      </c>
      <c r="B60" s="6" t="s">
        <v>21</v>
      </c>
      <c r="C60" s="6" t="s">
        <v>1837</v>
      </c>
      <c r="D60" s="6" t="s">
        <v>1668</v>
      </c>
      <c r="E60" s="6" t="s">
        <v>901</v>
      </c>
      <c r="F60" s="6" t="s">
        <v>939</v>
      </c>
      <c r="G60" s="6" t="s">
        <v>1838</v>
      </c>
      <c r="H60" s="6" t="s">
        <v>8</v>
      </c>
      <c r="I60" s="5"/>
      <c r="J60" s="5"/>
      <c r="K60" s="7"/>
      <c r="L60" s="7"/>
      <c r="M60" s="6" t="s">
        <v>40</v>
      </c>
      <c r="N60" s="29">
        <v>0</v>
      </c>
      <c r="O60" s="5"/>
      <c r="P60" s="8"/>
      <c r="Q60" s="6" t="s">
        <v>66</v>
      </c>
      <c r="R60" s="6" t="s">
        <v>1670</v>
      </c>
      <c r="S60" s="6" t="s">
        <v>1671</v>
      </c>
      <c r="T60" s="6" t="s">
        <v>631</v>
      </c>
      <c r="U60" s="5"/>
    </row>
    <row r="61" spans="1:21" ht="60" customHeight="1">
      <c r="A61" s="6" t="s">
        <v>1839</v>
      </c>
      <c r="B61" s="6" t="s">
        <v>21</v>
      </c>
      <c r="C61" s="6" t="s">
        <v>1840</v>
      </c>
      <c r="D61" s="6" t="s">
        <v>1674</v>
      </c>
      <c r="E61" s="6" t="s">
        <v>901</v>
      </c>
      <c r="F61" s="6" t="s">
        <v>946</v>
      </c>
      <c r="G61" s="6" t="s">
        <v>1841</v>
      </c>
      <c r="H61" s="6" t="s">
        <v>8</v>
      </c>
      <c r="I61" s="5"/>
      <c r="J61" s="5"/>
      <c r="K61" s="7"/>
      <c r="L61" s="7"/>
      <c r="M61" s="6" t="s">
        <v>40</v>
      </c>
      <c r="N61" s="29">
        <v>0</v>
      </c>
      <c r="O61" s="5"/>
      <c r="P61" s="8"/>
      <c r="Q61" s="6" t="s">
        <v>67</v>
      </c>
      <c r="R61" s="6" t="s">
        <v>1670</v>
      </c>
      <c r="S61" s="6" t="s">
        <v>1671</v>
      </c>
      <c r="T61" s="6" t="s">
        <v>466</v>
      </c>
      <c r="U61" s="5"/>
    </row>
    <row r="62" spans="1:21" ht="60" customHeight="1">
      <c r="A62" s="6" t="s">
        <v>1842</v>
      </c>
      <c r="B62" s="6" t="s">
        <v>21</v>
      </c>
      <c r="C62" s="6" t="s">
        <v>1843</v>
      </c>
      <c r="D62" s="6" t="s">
        <v>1668</v>
      </c>
      <c r="E62" s="6" t="s">
        <v>955</v>
      </c>
      <c r="F62" s="6" t="s">
        <v>976</v>
      </c>
      <c r="G62" s="6" t="s">
        <v>1844</v>
      </c>
      <c r="H62" s="6" t="s">
        <v>8</v>
      </c>
      <c r="I62" s="5"/>
      <c r="J62" s="5"/>
      <c r="K62" s="7"/>
      <c r="L62" s="7"/>
      <c r="M62" s="6" t="s">
        <v>40</v>
      </c>
      <c r="N62" s="29">
        <v>0</v>
      </c>
      <c r="O62" s="5"/>
      <c r="P62" s="8"/>
      <c r="Q62" s="6" t="s">
        <v>65</v>
      </c>
      <c r="R62" s="6" t="s">
        <v>1670</v>
      </c>
      <c r="S62" s="6" t="s">
        <v>1671</v>
      </c>
      <c r="T62" s="6" t="s">
        <v>977</v>
      </c>
      <c r="U62" s="5"/>
    </row>
    <row r="63" spans="1:21" ht="60" customHeight="1">
      <c r="A63" s="6" t="s">
        <v>1845</v>
      </c>
      <c r="B63" s="6" t="s">
        <v>21</v>
      </c>
      <c r="C63" s="6" t="s">
        <v>1846</v>
      </c>
      <c r="D63" s="6" t="s">
        <v>1674</v>
      </c>
      <c r="E63" s="6" t="s">
        <v>955</v>
      </c>
      <c r="F63" s="6" t="s">
        <v>984</v>
      </c>
      <c r="G63" s="6" t="s">
        <v>1847</v>
      </c>
      <c r="H63" s="6" t="s">
        <v>8</v>
      </c>
      <c r="I63" s="5"/>
      <c r="J63" s="5"/>
      <c r="K63" s="7"/>
      <c r="L63" s="7"/>
      <c r="M63" s="6" t="s">
        <v>40</v>
      </c>
      <c r="N63" s="29">
        <v>0</v>
      </c>
      <c r="O63" s="5"/>
      <c r="P63" s="8"/>
      <c r="Q63" s="6" t="s">
        <v>67</v>
      </c>
      <c r="R63" s="6" t="s">
        <v>1670</v>
      </c>
      <c r="S63" s="6" t="s">
        <v>1671</v>
      </c>
      <c r="T63" s="6" t="s">
        <v>985</v>
      </c>
      <c r="U63" s="5"/>
    </row>
    <row r="64" spans="1:21" ht="60" customHeight="1">
      <c r="A64" s="6" t="s">
        <v>1848</v>
      </c>
      <c r="B64" s="6" t="s">
        <v>21</v>
      </c>
      <c r="C64" s="6" t="s">
        <v>1849</v>
      </c>
      <c r="D64" s="6" t="s">
        <v>1674</v>
      </c>
      <c r="E64" s="6" t="s">
        <v>955</v>
      </c>
      <c r="F64" s="6" t="s">
        <v>1000</v>
      </c>
      <c r="G64" s="6" t="s">
        <v>1850</v>
      </c>
      <c r="H64" s="6" t="s">
        <v>8</v>
      </c>
      <c r="I64" s="5"/>
      <c r="J64" s="5"/>
      <c r="K64" s="7"/>
      <c r="L64" s="7"/>
      <c r="M64" s="6" t="s">
        <v>40</v>
      </c>
      <c r="N64" s="29">
        <v>0</v>
      </c>
      <c r="O64" s="5"/>
      <c r="P64" s="8"/>
      <c r="Q64" s="6" t="s">
        <v>67</v>
      </c>
      <c r="R64" s="6" t="s">
        <v>1670</v>
      </c>
      <c r="S64" s="6" t="s">
        <v>1671</v>
      </c>
      <c r="T64" s="6" t="s">
        <v>466</v>
      </c>
      <c r="U64" s="5"/>
    </row>
  </sheetData>
  <mergeCells count="2">
    <mergeCell ref="A1:U1"/>
    <mergeCell ref="A2:U2"/>
  </mergeCells>
  <conditionalFormatting sqref="H5:N64">
    <cfRule type="containsText" dxfId="0" priority="1" operator="containsText" text="Abgeschlossen">
      <formula>NOT(ISERROR(SEARCH("Abgeschlossen",H5)))</formula>
    </cfRule>
    <cfRule type="containsText" dxfId="0" priority="2" operator="containsText" text="Vollständig">
      <formula>NOT(ISERROR(SEARCH("Vollständig",H5)))</formula>
    </cfRule>
    <cfRule type="containsText" dxfId="0" priority="3" operator="containsText" text="Erledigt">
      <formula>NOT(ISERROR(SEARCH("Erledigt",H5)))</formula>
    </cfRule>
    <cfRule type="containsText" dxfId="1" priority="4" operator="containsText" text="Blockiert">
      <formula>NOT(ISERROR(SEARCH("Blockiert",H5)))</formula>
    </cfRule>
    <cfRule type="containsText" dxfId="1" priority="5" operator="containsText" text="Kritisch">
      <formula>NOT(ISERROR(SEARCH("Kritisch",H5)))</formula>
    </cfRule>
    <cfRule type="containsText" dxfId="1" priority="6" operator="containsText" text="Überfällig">
      <formula>NOT(ISERROR(SEARCH("Überfällig",H5)))</formula>
    </cfRule>
    <cfRule type="containsText" dxfId="2" priority="7" operator="containsText" text="In Prüfung">
      <formula>NOT(ISERROR(SEARCH("In Prüfung",H5)))</formula>
    </cfRule>
    <cfRule type="containsText" dxfId="2" priority="8" operator="containsText" text="In Arbeit">
      <formula>NOT(ISERROR(SEARCH("In Arbeit",H5)))</formula>
    </cfRule>
  </conditionalFormatting>
  <conditionalFormatting sqref="L5:L64">
    <cfRule type="expression" dxfId="1" priority="9">
      <formula>AND($L5&lt;TODAY(),$M5&lt;&gt;"Erledigt",$L5&lt;&gt;"")</formula>
    </cfRule>
  </conditionalFormatting>
  <dataValidations count="9">
    <dataValidation type="list" allowBlank="1" showInputMessage="1" showErrorMessage="1" errorTitle="Eingabe prüfen" error="Bitte die vorgegebene Auswahl bzw. das geforderte Format verwenden." promptTitle="Aktivieren?" prompt="Nur bei bestätigtem, relevantem Finding auf „Ja“ setzen." sqref="B5:B64">
      <formula1>JaNeinPruefen</formula1>
    </dataValidation>
    <dataValidation type="list" allowBlank="1" showInputMessage="1" showErrorMessage="1" errorTitle="Eingabe prüfen" error="Bitte die vorgegebene Auswahl bzw. das geforderte Format verwenden." promptTitle="Priorität" prompt="Dringlichkeit nach Risiko und kritischem Deal-Pfad wählen." sqref="H5:H64">
      <formula1>Prioritaet</formula1>
    </dataValidation>
    <dataValidation allowBlank="1" showInputMessage="1" showErrorMessage="1" errorTitle="Eingabe prüfen" error="Bitte die vorgegebene Auswahl bzw. das geforderte Format verwenden." promptTitle="Verantwortung" prompt="Genau einen Owner und bei Bedarf unterstützende Rollen eintragen." sqref="I5:J64"/>
    <dataValidation type="date" allowBlank="1" showInputMessage="1" showErrorMessage="1" errorTitle="Eingabe prüfen" error="Bitte die vorgegebene Auswahl bzw. das geforderte Format verwenden." promptTitle="Termin" prompt="Start und verbindliche Fälligkeit im Format TT.MM.JJJJ." sqref="K5:L64">
      <formula1>36526</formula1>
      <formula2>73415</formula2>
    </dataValidation>
    <dataValidation type="list" allowBlank="1" showInputMessage="1" showErrorMessage="1" errorTitle="Eingabe prüfen" error="Bitte die vorgegebene Auswahl bzw. das geforderte Format verwenden." promptTitle="Maßnahmenstatus" prompt="Status nur nach tatsächlichem Umsetzungsstand wählen." sqref="M5:M64">
      <formula1>MassStatus</formula1>
    </dataValidation>
    <dataValidation type="decimal" allowBlank="1" showInputMessage="1" showErrorMessage="1" errorTitle="Eingabe prüfen" error="Bitte die vorgegebene Auswahl bzw. das geforderte Format verwenden." promptTitle="Fortschritt" prompt="Tatsächlichen Fertigstellungsgrad 0–100 % eintragen." sqref="N5:N64">
      <formula1>0</formula1>
      <formula2>1</formula2>
    </dataValidation>
    <dataValidation allowBlank="1" showInputMessage="1" showErrorMessage="1" errorTitle="Eingabe prüfen" error="Bitte die vorgegebene Auswahl bzw. das geforderte Format verwenden." promptTitle="Abhängigkeit" prompt="Voraussetzungen, Consents oder vorgelagerte Maßnahmen mit ID nennen." sqref="O5:O64"/>
    <dataValidation allowBlank="1" showInputMessage="1" showErrorMessage="1" errorTitle="Eingabe prüfen" error="Bitte die vorgegebene Auswahl bzw. das geforderte Format verwenden." promptTitle="Budget" prompt="Genehmigten oder erwarteten Bruttobetrag ohne Währungstext eingeben." sqref="P5:P64"/>
    <dataValidation allowBlank="1" showInputMessage="1" showErrorMessage="1" errorTitle="Eingabe prüfen" error="Bitte die vorgegebene Auswahl bzw. das geforderte Format verwenden." promptTitle="Kommentar" prompt="Fortschritt, Entscheidung, Abweichung und nächste Eskalation dokumentieren." sqref="U5:U64"/>
  </dataValidations>
  <pageMargins left="0.7" right="0.7" top="0.75" bottom="0.75" header="0.3" footer="0.3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1F4E78"/>
  </sheetPr>
  <dimension ref="A1:R104"/>
  <sheetViews>
    <sheetView showGridLines="0"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defaultRowHeight="52" customHeight="1"/>
  <cols>
    <col min="1" max="1" width="11.7109375" customWidth="1"/>
    <col min="2" max="2" width="13.7109375" customWidth="1"/>
    <col min="3" max="3" width="23.7109375" customWidth="1"/>
    <col min="4" max="4" width="18.7109375" customWidth="1"/>
    <col min="5" max="5" width="44.7109375" customWidth="1"/>
    <col min="6" max="6" width="36.7109375" customWidth="1"/>
    <col min="7" max="7" width="11.7109375" customWidth="1"/>
    <col min="8" max="8" width="20.7109375" customWidth="1"/>
    <col min="9" max="9" width="18.7109375" customWidth="1"/>
    <col min="10" max="11" width="13.7109375" customWidth="1"/>
    <col min="12" max="12" width="17.7109375" customWidth="1"/>
    <col min="13" max="13" width="44.7109375" customWidth="1"/>
    <col min="14" max="14" width="26.7109375" customWidth="1"/>
    <col min="15" max="15" width="34.7109375" customWidth="1"/>
    <col min="16" max="17" width="12.7109375" customWidth="1"/>
    <col min="18" max="18" width="18.7109375" customWidth="1"/>
  </cols>
  <sheetData>
    <row r="1" spans="1:18" ht="30" customHeight="1">
      <c r="A1" s="1" t="s">
        <v>1866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34" customHeight="1">
      <c r="A2" s="2" t="s">
        <v>1867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spans="1:18" ht="42" customHeight="1">
      <c r="A4" t="s">
        <v>1968</v>
      </c>
      <c r="B4" t="s">
        <v>1969</v>
      </c>
      <c r="C4" t="s">
        <v>1371</v>
      </c>
      <c r="D4" t="s">
        <v>1970</v>
      </c>
      <c r="E4" t="s">
        <v>1971</v>
      </c>
      <c r="F4" t="s">
        <v>1972</v>
      </c>
      <c r="G4" t="s">
        <v>1377</v>
      </c>
      <c r="H4" t="s">
        <v>1973</v>
      </c>
      <c r="I4" t="s">
        <v>1974</v>
      </c>
      <c r="J4" t="s">
        <v>1857</v>
      </c>
      <c r="K4" t="s">
        <v>1975</v>
      </c>
      <c r="L4" t="s">
        <v>1378</v>
      </c>
      <c r="M4" t="s">
        <v>1976</v>
      </c>
      <c r="N4" t="s">
        <v>1977</v>
      </c>
      <c r="O4" t="s">
        <v>1978</v>
      </c>
      <c r="P4" t="s">
        <v>1979</v>
      </c>
      <c r="Q4" t="s">
        <v>1980</v>
      </c>
      <c r="R4" t="s">
        <v>1393</v>
      </c>
    </row>
    <row r="5" spans="1:18" ht="52" customHeight="1">
      <c r="A5" s="6" t="s">
        <v>1868</v>
      </c>
      <c r="B5" s="7"/>
      <c r="C5" s="5"/>
      <c r="D5" s="5"/>
      <c r="E5" s="5"/>
      <c r="F5" s="5"/>
      <c r="G5" s="5"/>
      <c r="H5" s="5"/>
      <c r="I5" s="5"/>
      <c r="J5" s="7"/>
      <c r="K5" s="7"/>
      <c r="L5" s="5" t="s">
        <v>45</v>
      </c>
      <c r="M5" s="5"/>
      <c r="N5" s="5"/>
      <c r="O5" s="5"/>
      <c r="P5" s="22">
        <f>IF(B5="","",IF(K5&lt;&gt;"",K5-B5,TODAY()-B5))</f>
        <v/>
      </c>
      <c r="Q5" s="21">
        <f>IF(OR(J5="",L5="Beantwortet",L5="Geschlossen"),"",IF(TODAY()&gt;J5,"Ja","Nein"))</f>
        <v/>
      </c>
      <c r="R5" s="5"/>
    </row>
    <row r="6" spans="1:18" ht="52" customHeight="1">
      <c r="A6" s="6" t="s">
        <v>1869</v>
      </c>
      <c r="B6" s="7"/>
      <c r="C6" s="5"/>
      <c r="D6" s="5"/>
      <c r="E6" s="5"/>
      <c r="F6" s="5"/>
      <c r="G6" s="5"/>
      <c r="H6" s="5"/>
      <c r="I6" s="5"/>
      <c r="J6" s="7"/>
      <c r="K6" s="7"/>
      <c r="L6" s="5" t="s">
        <v>45</v>
      </c>
      <c r="M6" s="5"/>
      <c r="N6" s="5"/>
      <c r="O6" s="5"/>
      <c r="P6" s="22">
        <f>IF(B6="","",IF(K6&lt;&gt;"",K6-B6,TODAY()-B6))</f>
        <v/>
      </c>
      <c r="Q6" s="21">
        <f>IF(OR(J6="",L6="Beantwortet",L6="Geschlossen"),"",IF(TODAY()&gt;J6,"Ja","Nein"))</f>
        <v/>
      </c>
      <c r="R6" s="5"/>
    </row>
    <row r="7" spans="1:18" ht="52" customHeight="1">
      <c r="A7" s="6" t="s">
        <v>1870</v>
      </c>
      <c r="B7" s="7"/>
      <c r="C7" s="5"/>
      <c r="D7" s="5"/>
      <c r="E7" s="5"/>
      <c r="F7" s="5"/>
      <c r="G7" s="5"/>
      <c r="H7" s="5"/>
      <c r="I7" s="5"/>
      <c r="J7" s="7"/>
      <c r="K7" s="7"/>
      <c r="L7" s="5" t="s">
        <v>45</v>
      </c>
      <c r="M7" s="5"/>
      <c r="N7" s="5"/>
      <c r="O7" s="5"/>
      <c r="P7" s="22">
        <f>IF(B7="","",IF(K7&lt;&gt;"",K7-B7,TODAY()-B7))</f>
        <v/>
      </c>
      <c r="Q7" s="21">
        <f>IF(OR(J7="",L7="Beantwortet",L7="Geschlossen"),"",IF(TODAY()&gt;J7,"Ja","Nein"))</f>
        <v/>
      </c>
      <c r="R7" s="5"/>
    </row>
    <row r="8" spans="1:18" ht="52" customHeight="1">
      <c r="A8" s="6" t="s">
        <v>1871</v>
      </c>
      <c r="B8" s="7"/>
      <c r="C8" s="5"/>
      <c r="D8" s="5"/>
      <c r="E8" s="5"/>
      <c r="F8" s="5"/>
      <c r="G8" s="5"/>
      <c r="H8" s="5"/>
      <c r="I8" s="5"/>
      <c r="J8" s="7"/>
      <c r="K8" s="7"/>
      <c r="L8" s="5" t="s">
        <v>45</v>
      </c>
      <c r="M8" s="5"/>
      <c r="N8" s="5"/>
      <c r="O8" s="5"/>
      <c r="P8" s="22">
        <f>IF(B8="","",IF(K8&lt;&gt;"",K8-B8,TODAY()-B8))</f>
        <v/>
      </c>
      <c r="Q8" s="21">
        <f>IF(OR(J8="",L8="Beantwortet",L8="Geschlossen"),"",IF(TODAY()&gt;J8,"Ja","Nein"))</f>
        <v/>
      </c>
      <c r="R8" s="5"/>
    </row>
    <row r="9" spans="1:18" ht="52" customHeight="1">
      <c r="A9" s="6" t="s">
        <v>1872</v>
      </c>
      <c r="B9" s="7"/>
      <c r="C9" s="5"/>
      <c r="D9" s="5"/>
      <c r="E9" s="5"/>
      <c r="F9" s="5"/>
      <c r="G9" s="5"/>
      <c r="H9" s="5"/>
      <c r="I9" s="5"/>
      <c r="J9" s="7"/>
      <c r="K9" s="7"/>
      <c r="L9" s="5" t="s">
        <v>45</v>
      </c>
      <c r="M9" s="5"/>
      <c r="N9" s="5"/>
      <c r="O9" s="5"/>
      <c r="P9" s="22">
        <f>IF(B9="","",IF(K9&lt;&gt;"",K9-B9,TODAY()-B9))</f>
        <v/>
      </c>
      <c r="Q9" s="21">
        <f>IF(OR(J9="",L9="Beantwortet",L9="Geschlossen"),"",IF(TODAY()&gt;J9,"Ja","Nein"))</f>
        <v/>
      </c>
      <c r="R9" s="5"/>
    </row>
    <row r="10" spans="1:18" ht="52" customHeight="1">
      <c r="A10" s="6" t="s">
        <v>1873</v>
      </c>
      <c r="B10" s="7"/>
      <c r="C10" s="5"/>
      <c r="D10" s="5"/>
      <c r="E10" s="5"/>
      <c r="F10" s="5"/>
      <c r="G10" s="5"/>
      <c r="H10" s="5"/>
      <c r="I10" s="5"/>
      <c r="J10" s="7"/>
      <c r="K10" s="7"/>
      <c r="L10" s="5" t="s">
        <v>45</v>
      </c>
      <c r="M10" s="5"/>
      <c r="N10" s="5"/>
      <c r="O10" s="5"/>
      <c r="P10" s="22">
        <f>IF(B10="","",IF(K10&lt;&gt;"",K10-B10,TODAY()-B10))</f>
        <v/>
      </c>
      <c r="Q10" s="21">
        <f>IF(OR(J10="",L10="Beantwortet",L10="Geschlossen"),"",IF(TODAY()&gt;J10,"Ja","Nein"))</f>
        <v/>
      </c>
      <c r="R10" s="5"/>
    </row>
    <row r="11" spans="1:18" ht="52" customHeight="1">
      <c r="A11" s="6" t="s">
        <v>1874</v>
      </c>
      <c r="B11" s="7"/>
      <c r="C11" s="5"/>
      <c r="D11" s="5"/>
      <c r="E11" s="5"/>
      <c r="F11" s="5"/>
      <c r="G11" s="5"/>
      <c r="H11" s="5"/>
      <c r="I11" s="5"/>
      <c r="J11" s="7"/>
      <c r="K11" s="7"/>
      <c r="L11" s="5" t="s">
        <v>45</v>
      </c>
      <c r="M11" s="5"/>
      <c r="N11" s="5"/>
      <c r="O11" s="5"/>
      <c r="P11" s="22">
        <f>IF(B11="","",IF(K11&lt;&gt;"",K11-B11,TODAY()-B11))</f>
        <v/>
      </c>
      <c r="Q11" s="21">
        <f>IF(OR(J11="",L11="Beantwortet",L11="Geschlossen"),"",IF(TODAY()&gt;J11,"Ja","Nein"))</f>
        <v/>
      </c>
      <c r="R11" s="5"/>
    </row>
    <row r="12" spans="1:18" ht="52" customHeight="1">
      <c r="A12" s="6" t="s">
        <v>1875</v>
      </c>
      <c r="B12" s="7"/>
      <c r="C12" s="5"/>
      <c r="D12" s="5"/>
      <c r="E12" s="5"/>
      <c r="F12" s="5"/>
      <c r="G12" s="5"/>
      <c r="H12" s="5"/>
      <c r="I12" s="5"/>
      <c r="J12" s="7"/>
      <c r="K12" s="7"/>
      <c r="L12" s="5" t="s">
        <v>45</v>
      </c>
      <c r="M12" s="5"/>
      <c r="N12" s="5"/>
      <c r="O12" s="5"/>
      <c r="P12" s="22">
        <f>IF(B12="","",IF(K12&lt;&gt;"",K12-B12,TODAY()-B12))</f>
        <v/>
      </c>
      <c r="Q12" s="21">
        <f>IF(OR(J12="",L12="Beantwortet",L12="Geschlossen"),"",IF(TODAY()&gt;J12,"Ja","Nein"))</f>
        <v/>
      </c>
      <c r="R12" s="5"/>
    </row>
    <row r="13" spans="1:18" ht="52" customHeight="1">
      <c r="A13" s="6" t="s">
        <v>1876</v>
      </c>
      <c r="B13" s="7"/>
      <c r="C13" s="5"/>
      <c r="D13" s="5"/>
      <c r="E13" s="5"/>
      <c r="F13" s="5"/>
      <c r="G13" s="5"/>
      <c r="H13" s="5"/>
      <c r="I13" s="5"/>
      <c r="J13" s="7"/>
      <c r="K13" s="7"/>
      <c r="L13" s="5" t="s">
        <v>45</v>
      </c>
      <c r="M13" s="5"/>
      <c r="N13" s="5"/>
      <c r="O13" s="5"/>
      <c r="P13" s="22">
        <f>IF(B13="","",IF(K13&lt;&gt;"",K13-B13,TODAY()-B13))</f>
        <v/>
      </c>
      <c r="Q13" s="21">
        <f>IF(OR(J13="",L13="Beantwortet",L13="Geschlossen"),"",IF(TODAY()&gt;J13,"Ja","Nein"))</f>
        <v/>
      </c>
      <c r="R13" s="5"/>
    </row>
    <row r="14" spans="1:18" ht="52" customHeight="1">
      <c r="A14" s="6" t="s">
        <v>1877</v>
      </c>
      <c r="B14" s="7"/>
      <c r="C14" s="5"/>
      <c r="D14" s="5"/>
      <c r="E14" s="5"/>
      <c r="F14" s="5"/>
      <c r="G14" s="5"/>
      <c r="H14" s="5"/>
      <c r="I14" s="5"/>
      <c r="J14" s="7"/>
      <c r="K14" s="7"/>
      <c r="L14" s="5" t="s">
        <v>45</v>
      </c>
      <c r="M14" s="5"/>
      <c r="N14" s="5"/>
      <c r="O14" s="5"/>
      <c r="P14" s="22">
        <f>IF(B14="","",IF(K14&lt;&gt;"",K14-B14,TODAY()-B14))</f>
        <v/>
      </c>
      <c r="Q14" s="21">
        <f>IF(OR(J14="",L14="Beantwortet",L14="Geschlossen"),"",IF(TODAY()&gt;J14,"Ja","Nein"))</f>
        <v/>
      </c>
      <c r="R14" s="5"/>
    </row>
    <row r="15" spans="1:18" ht="52" customHeight="1">
      <c r="A15" s="6" t="s">
        <v>1878</v>
      </c>
      <c r="B15" s="7"/>
      <c r="C15" s="5"/>
      <c r="D15" s="5"/>
      <c r="E15" s="5"/>
      <c r="F15" s="5"/>
      <c r="G15" s="5"/>
      <c r="H15" s="5"/>
      <c r="I15" s="5"/>
      <c r="J15" s="7"/>
      <c r="K15" s="7"/>
      <c r="L15" s="5" t="s">
        <v>45</v>
      </c>
      <c r="M15" s="5"/>
      <c r="N15" s="5"/>
      <c r="O15" s="5"/>
      <c r="P15" s="22">
        <f>IF(B15="","",IF(K15&lt;&gt;"",K15-B15,TODAY()-B15))</f>
        <v/>
      </c>
      <c r="Q15" s="21">
        <f>IF(OR(J15="",L15="Beantwortet",L15="Geschlossen"),"",IF(TODAY()&gt;J15,"Ja","Nein"))</f>
        <v/>
      </c>
      <c r="R15" s="5"/>
    </row>
    <row r="16" spans="1:18" ht="52" customHeight="1">
      <c r="A16" s="6" t="s">
        <v>1879</v>
      </c>
      <c r="B16" s="7"/>
      <c r="C16" s="5"/>
      <c r="D16" s="5"/>
      <c r="E16" s="5"/>
      <c r="F16" s="5"/>
      <c r="G16" s="5"/>
      <c r="H16" s="5"/>
      <c r="I16" s="5"/>
      <c r="J16" s="7"/>
      <c r="K16" s="7"/>
      <c r="L16" s="5" t="s">
        <v>45</v>
      </c>
      <c r="M16" s="5"/>
      <c r="N16" s="5"/>
      <c r="O16" s="5"/>
      <c r="P16" s="22">
        <f>IF(B16="","",IF(K16&lt;&gt;"",K16-B16,TODAY()-B16))</f>
        <v/>
      </c>
      <c r="Q16" s="21">
        <f>IF(OR(J16="",L16="Beantwortet",L16="Geschlossen"),"",IF(TODAY()&gt;J16,"Ja","Nein"))</f>
        <v/>
      </c>
      <c r="R16" s="5"/>
    </row>
    <row r="17" spans="1:18" ht="52" customHeight="1">
      <c r="A17" s="6" t="s">
        <v>1880</v>
      </c>
      <c r="B17" s="7"/>
      <c r="C17" s="5"/>
      <c r="D17" s="5"/>
      <c r="E17" s="5"/>
      <c r="F17" s="5"/>
      <c r="G17" s="5"/>
      <c r="H17" s="5"/>
      <c r="I17" s="5"/>
      <c r="J17" s="7"/>
      <c r="K17" s="7"/>
      <c r="L17" s="5" t="s">
        <v>45</v>
      </c>
      <c r="M17" s="5"/>
      <c r="N17" s="5"/>
      <c r="O17" s="5"/>
      <c r="P17" s="22">
        <f>IF(B17="","",IF(K17&lt;&gt;"",K17-B17,TODAY()-B17))</f>
        <v/>
      </c>
      <c r="Q17" s="21">
        <f>IF(OR(J17="",L17="Beantwortet",L17="Geschlossen"),"",IF(TODAY()&gt;J17,"Ja","Nein"))</f>
        <v/>
      </c>
      <c r="R17" s="5"/>
    </row>
    <row r="18" spans="1:18" ht="52" customHeight="1">
      <c r="A18" s="6" t="s">
        <v>1881</v>
      </c>
      <c r="B18" s="7"/>
      <c r="C18" s="5"/>
      <c r="D18" s="5"/>
      <c r="E18" s="5"/>
      <c r="F18" s="5"/>
      <c r="G18" s="5"/>
      <c r="H18" s="5"/>
      <c r="I18" s="5"/>
      <c r="J18" s="7"/>
      <c r="K18" s="7"/>
      <c r="L18" s="5" t="s">
        <v>45</v>
      </c>
      <c r="M18" s="5"/>
      <c r="N18" s="5"/>
      <c r="O18" s="5"/>
      <c r="P18" s="22">
        <f>IF(B18="","",IF(K18&lt;&gt;"",K18-B18,TODAY()-B18))</f>
        <v/>
      </c>
      <c r="Q18" s="21">
        <f>IF(OR(J18="",L18="Beantwortet",L18="Geschlossen"),"",IF(TODAY()&gt;J18,"Ja","Nein"))</f>
        <v/>
      </c>
      <c r="R18" s="5"/>
    </row>
    <row r="19" spans="1:18" ht="52" customHeight="1">
      <c r="A19" s="6" t="s">
        <v>1882</v>
      </c>
      <c r="B19" s="7"/>
      <c r="C19" s="5"/>
      <c r="D19" s="5"/>
      <c r="E19" s="5"/>
      <c r="F19" s="5"/>
      <c r="G19" s="5"/>
      <c r="H19" s="5"/>
      <c r="I19" s="5"/>
      <c r="J19" s="7"/>
      <c r="K19" s="7"/>
      <c r="L19" s="5" t="s">
        <v>45</v>
      </c>
      <c r="M19" s="5"/>
      <c r="N19" s="5"/>
      <c r="O19" s="5"/>
      <c r="P19" s="22">
        <f>IF(B19="","",IF(K19&lt;&gt;"",K19-B19,TODAY()-B19))</f>
        <v/>
      </c>
      <c r="Q19" s="21">
        <f>IF(OR(J19="",L19="Beantwortet",L19="Geschlossen"),"",IF(TODAY()&gt;J19,"Ja","Nein"))</f>
        <v/>
      </c>
      <c r="R19" s="5"/>
    </row>
    <row r="20" spans="1:18" ht="52" customHeight="1">
      <c r="A20" s="6" t="s">
        <v>1883</v>
      </c>
      <c r="B20" s="7"/>
      <c r="C20" s="5"/>
      <c r="D20" s="5"/>
      <c r="E20" s="5"/>
      <c r="F20" s="5"/>
      <c r="G20" s="5"/>
      <c r="H20" s="5"/>
      <c r="I20" s="5"/>
      <c r="J20" s="7"/>
      <c r="K20" s="7"/>
      <c r="L20" s="5" t="s">
        <v>45</v>
      </c>
      <c r="M20" s="5"/>
      <c r="N20" s="5"/>
      <c r="O20" s="5"/>
      <c r="P20" s="22">
        <f>IF(B20="","",IF(K20&lt;&gt;"",K20-B20,TODAY()-B20))</f>
        <v/>
      </c>
      <c r="Q20" s="21">
        <f>IF(OR(J20="",L20="Beantwortet",L20="Geschlossen"),"",IF(TODAY()&gt;J20,"Ja","Nein"))</f>
        <v/>
      </c>
      <c r="R20" s="5"/>
    </row>
    <row r="21" spans="1:18" ht="52" customHeight="1">
      <c r="A21" s="6" t="s">
        <v>1884</v>
      </c>
      <c r="B21" s="7"/>
      <c r="C21" s="5"/>
      <c r="D21" s="5"/>
      <c r="E21" s="5"/>
      <c r="F21" s="5"/>
      <c r="G21" s="5"/>
      <c r="H21" s="5"/>
      <c r="I21" s="5"/>
      <c r="J21" s="7"/>
      <c r="K21" s="7"/>
      <c r="L21" s="5" t="s">
        <v>45</v>
      </c>
      <c r="M21" s="5"/>
      <c r="N21" s="5"/>
      <c r="O21" s="5"/>
      <c r="P21" s="22">
        <f>IF(B21="","",IF(K21&lt;&gt;"",K21-B21,TODAY()-B21))</f>
        <v/>
      </c>
      <c r="Q21" s="21">
        <f>IF(OR(J21="",L21="Beantwortet",L21="Geschlossen"),"",IF(TODAY()&gt;J21,"Ja","Nein"))</f>
        <v/>
      </c>
      <c r="R21" s="5"/>
    </row>
    <row r="22" spans="1:18" ht="52" customHeight="1">
      <c r="A22" s="6" t="s">
        <v>1885</v>
      </c>
      <c r="B22" s="7"/>
      <c r="C22" s="5"/>
      <c r="D22" s="5"/>
      <c r="E22" s="5"/>
      <c r="F22" s="5"/>
      <c r="G22" s="5"/>
      <c r="H22" s="5"/>
      <c r="I22" s="5"/>
      <c r="J22" s="7"/>
      <c r="K22" s="7"/>
      <c r="L22" s="5" t="s">
        <v>45</v>
      </c>
      <c r="M22" s="5"/>
      <c r="N22" s="5"/>
      <c r="O22" s="5"/>
      <c r="P22" s="22">
        <f>IF(B22="","",IF(K22&lt;&gt;"",K22-B22,TODAY()-B22))</f>
        <v/>
      </c>
      <c r="Q22" s="21">
        <f>IF(OR(J22="",L22="Beantwortet",L22="Geschlossen"),"",IF(TODAY()&gt;J22,"Ja","Nein"))</f>
        <v/>
      </c>
      <c r="R22" s="5"/>
    </row>
    <row r="23" spans="1:18" ht="52" customHeight="1">
      <c r="A23" s="6" t="s">
        <v>1886</v>
      </c>
      <c r="B23" s="7"/>
      <c r="C23" s="5"/>
      <c r="D23" s="5"/>
      <c r="E23" s="5"/>
      <c r="F23" s="5"/>
      <c r="G23" s="5"/>
      <c r="H23" s="5"/>
      <c r="I23" s="5"/>
      <c r="J23" s="7"/>
      <c r="K23" s="7"/>
      <c r="L23" s="5" t="s">
        <v>45</v>
      </c>
      <c r="M23" s="5"/>
      <c r="N23" s="5"/>
      <c r="O23" s="5"/>
      <c r="P23" s="22">
        <f>IF(B23="","",IF(K23&lt;&gt;"",K23-B23,TODAY()-B23))</f>
        <v/>
      </c>
      <c r="Q23" s="21">
        <f>IF(OR(J23="",L23="Beantwortet",L23="Geschlossen"),"",IF(TODAY()&gt;J23,"Ja","Nein"))</f>
        <v/>
      </c>
      <c r="R23" s="5"/>
    </row>
    <row r="24" spans="1:18" ht="52" customHeight="1">
      <c r="A24" s="6" t="s">
        <v>1887</v>
      </c>
      <c r="B24" s="7"/>
      <c r="C24" s="5"/>
      <c r="D24" s="5"/>
      <c r="E24" s="5"/>
      <c r="F24" s="5"/>
      <c r="G24" s="5"/>
      <c r="H24" s="5"/>
      <c r="I24" s="5"/>
      <c r="J24" s="7"/>
      <c r="K24" s="7"/>
      <c r="L24" s="5" t="s">
        <v>45</v>
      </c>
      <c r="M24" s="5"/>
      <c r="N24" s="5"/>
      <c r="O24" s="5"/>
      <c r="P24" s="22">
        <f>IF(B24="","",IF(K24&lt;&gt;"",K24-B24,TODAY()-B24))</f>
        <v/>
      </c>
      <c r="Q24" s="21">
        <f>IF(OR(J24="",L24="Beantwortet",L24="Geschlossen"),"",IF(TODAY()&gt;J24,"Ja","Nein"))</f>
        <v/>
      </c>
      <c r="R24" s="5"/>
    </row>
    <row r="25" spans="1:18" ht="52" customHeight="1">
      <c r="A25" s="6" t="s">
        <v>1888</v>
      </c>
      <c r="B25" s="7"/>
      <c r="C25" s="5"/>
      <c r="D25" s="5"/>
      <c r="E25" s="5"/>
      <c r="F25" s="5"/>
      <c r="G25" s="5"/>
      <c r="H25" s="5"/>
      <c r="I25" s="5"/>
      <c r="J25" s="7"/>
      <c r="K25" s="7"/>
      <c r="L25" s="5" t="s">
        <v>45</v>
      </c>
      <c r="M25" s="5"/>
      <c r="N25" s="5"/>
      <c r="O25" s="5"/>
      <c r="P25" s="22">
        <f>IF(B25="","",IF(K25&lt;&gt;"",K25-B25,TODAY()-B25))</f>
        <v/>
      </c>
      <c r="Q25" s="21">
        <f>IF(OR(J25="",L25="Beantwortet",L25="Geschlossen"),"",IF(TODAY()&gt;J25,"Ja","Nein"))</f>
        <v/>
      </c>
      <c r="R25" s="5"/>
    </row>
    <row r="26" spans="1:18" ht="52" customHeight="1">
      <c r="A26" s="6" t="s">
        <v>1889</v>
      </c>
      <c r="B26" s="7"/>
      <c r="C26" s="5"/>
      <c r="D26" s="5"/>
      <c r="E26" s="5"/>
      <c r="F26" s="5"/>
      <c r="G26" s="5"/>
      <c r="H26" s="5"/>
      <c r="I26" s="5"/>
      <c r="J26" s="7"/>
      <c r="K26" s="7"/>
      <c r="L26" s="5" t="s">
        <v>45</v>
      </c>
      <c r="M26" s="5"/>
      <c r="N26" s="5"/>
      <c r="O26" s="5"/>
      <c r="P26" s="22">
        <f>IF(B26="","",IF(K26&lt;&gt;"",K26-B26,TODAY()-B26))</f>
        <v/>
      </c>
      <c r="Q26" s="21">
        <f>IF(OR(J26="",L26="Beantwortet",L26="Geschlossen"),"",IF(TODAY()&gt;J26,"Ja","Nein"))</f>
        <v/>
      </c>
      <c r="R26" s="5"/>
    </row>
    <row r="27" spans="1:18" ht="52" customHeight="1">
      <c r="A27" s="6" t="s">
        <v>1890</v>
      </c>
      <c r="B27" s="7"/>
      <c r="C27" s="5"/>
      <c r="D27" s="5"/>
      <c r="E27" s="5"/>
      <c r="F27" s="5"/>
      <c r="G27" s="5"/>
      <c r="H27" s="5"/>
      <c r="I27" s="5"/>
      <c r="J27" s="7"/>
      <c r="K27" s="7"/>
      <c r="L27" s="5" t="s">
        <v>45</v>
      </c>
      <c r="M27" s="5"/>
      <c r="N27" s="5"/>
      <c r="O27" s="5"/>
      <c r="P27" s="22">
        <f>IF(B27="","",IF(K27&lt;&gt;"",K27-B27,TODAY()-B27))</f>
        <v/>
      </c>
      <c r="Q27" s="21">
        <f>IF(OR(J27="",L27="Beantwortet",L27="Geschlossen"),"",IF(TODAY()&gt;J27,"Ja","Nein"))</f>
        <v/>
      </c>
      <c r="R27" s="5"/>
    </row>
    <row r="28" spans="1:18" ht="52" customHeight="1">
      <c r="A28" s="6" t="s">
        <v>1891</v>
      </c>
      <c r="B28" s="7"/>
      <c r="C28" s="5"/>
      <c r="D28" s="5"/>
      <c r="E28" s="5"/>
      <c r="F28" s="5"/>
      <c r="G28" s="5"/>
      <c r="H28" s="5"/>
      <c r="I28" s="5"/>
      <c r="J28" s="7"/>
      <c r="K28" s="7"/>
      <c r="L28" s="5" t="s">
        <v>45</v>
      </c>
      <c r="M28" s="5"/>
      <c r="N28" s="5"/>
      <c r="O28" s="5"/>
      <c r="P28" s="22">
        <f>IF(B28="","",IF(K28&lt;&gt;"",K28-B28,TODAY()-B28))</f>
        <v/>
      </c>
      <c r="Q28" s="21">
        <f>IF(OR(J28="",L28="Beantwortet",L28="Geschlossen"),"",IF(TODAY()&gt;J28,"Ja","Nein"))</f>
        <v/>
      </c>
      <c r="R28" s="5"/>
    </row>
    <row r="29" spans="1:18" ht="52" customHeight="1">
      <c r="A29" s="6" t="s">
        <v>1892</v>
      </c>
      <c r="B29" s="7"/>
      <c r="C29" s="5"/>
      <c r="D29" s="5"/>
      <c r="E29" s="5"/>
      <c r="F29" s="5"/>
      <c r="G29" s="5"/>
      <c r="H29" s="5"/>
      <c r="I29" s="5"/>
      <c r="J29" s="7"/>
      <c r="K29" s="7"/>
      <c r="L29" s="5" t="s">
        <v>45</v>
      </c>
      <c r="M29" s="5"/>
      <c r="N29" s="5"/>
      <c r="O29" s="5"/>
      <c r="P29" s="22">
        <f>IF(B29="","",IF(K29&lt;&gt;"",K29-B29,TODAY()-B29))</f>
        <v/>
      </c>
      <c r="Q29" s="21">
        <f>IF(OR(J29="",L29="Beantwortet",L29="Geschlossen"),"",IF(TODAY()&gt;J29,"Ja","Nein"))</f>
        <v/>
      </c>
      <c r="R29" s="5"/>
    </row>
    <row r="30" spans="1:18" ht="52" customHeight="1">
      <c r="A30" s="6" t="s">
        <v>1893</v>
      </c>
      <c r="B30" s="7"/>
      <c r="C30" s="5"/>
      <c r="D30" s="5"/>
      <c r="E30" s="5"/>
      <c r="F30" s="5"/>
      <c r="G30" s="5"/>
      <c r="H30" s="5"/>
      <c r="I30" s="5"/>
      <c r="J30" s="7"/>
      <c r="K30" s="7"/>
      <c r="L30" s="5" t="s">
        <v>45</v>
      </c>
      <c r="M30" s="5"/>
      <c r="N30" s="5"/>
      <c r="O30" s="5"/>
      <c r="P30" s="22">
        <f>IF(B30="","",IF(K30&lt;&gt;"",K30-B30,TODAY()-B30))</f>
        <v/>
      </c>
      <c r="Q30" s="21">
        <f>IF(OR(J30="",L30="Beantwortet",L30="Geschlossen"),"",IF(TODAY()&gt;J30,"Ja","Nein"))</f>
        <v/>
      </c>
      <c r="R30" s="5"/>
    </row>
    <row r="31" spans="1:18" ht="52" customHeight="1">
      <c r="A31" s="6" t="s">
        <v>1894</v>
      </c>
      <c r="B31" s="7"/>
      <c r="C31" s="5"/>
      <c r="D31" s="5"/>
      <c r="E31" s="5"/>
      <c r="F31" s="5"/>
      <c r="G31" s="5"/>
      <c r="H31" s="5"/>
      <c r="I31" s="5"/>
      <c r="J31" s="7"/>
      <c r="K31" s="7"/>
      <c r="L31" s="5" t="s">
        <v>45</v>
      </c>
      <c r="M31" s="5"/>
      <c r="N31" s="5"/>
      <c r="O31" s="5"/>
      <c r="P31" s="22">
        <f>IF(B31="","",IF(K31&lt;&gt;"",K31-B31,TODAY()-B31))</f>
        <v/>
      </c>
      <c r="Q31" s="21">
        <f>IF(OR(J31="",L31="Beantwortet",L31="Geschlossen"),"",IF(TODAY()&gt;J31,"Ja","Nein"))</f>
        <v/>
      </c>
      <c r="R31" s="5"/>
    </row>
    <row r="32" spans="1:18" ht="52" customHeight="1">
      <c r="A32" s="6" t="s">
        <v>1895</v>
      </c>
      <c r="B32" s="7"/>
      <c r="C32" s="5"/>
      <c r="D32" s="5"/>
      <c r="E32" s="5"/>
      <c r="F32" s="5"/>
      <c r="G32" s="5"/>
      <c r="H32" s="5"/>
      <c r="I32" s="5"/>
      <c r="J32" s="7"/>
      <c r="K32" s="7"/>
      <c r="L32" s="5" t="s">
        <v>45</v>
      </c>
      <c r="M32" s="5"/>
      <c r="N32" s="5"/>
      <c r="O32" s="5"/>
      <c r="P32" s="22">
        <f>IF(B32="","",IF(K32&lt;&gt;"",K32-B32,TODAY()-B32))</f>
        <v/>
      </c>
      <c r="Q32" s="21">
        <f>IF(OR(J32="",L32="Beantwortet",L32="Geschlossen"),"",IF(TODAY()&gt;J32,"Ja","Nein"))</f>
        <v/>
      </c>
      <c r="R32" s="5"/>
    </row>
    <row r="33" spans="1:18" ht="52" customHeight="1">
      <c r="A33" s="6" t="s">
        <v>1896</v>
      </c>
      <c r="B33" s="7"/>
      <c r="C33" s="5"/>
      <c r="D33" s="5"/>
      <c r="E33" s="5"/>
      <c r="F33" s="5"/>
      <c r="G33" s="5"/>
      <c r="H33" s="5"/>
      <c r="I33" s="5"/>
      <c r="J33" s="7"/>
      <c r="K33" s="7"/>
      <c r="L33" s="5" t="s">
        <v>45</v>
      </c>
      <c r="M33" s="5"/>
      <c r="N33" s="5"/>
      <c r="O33" s="5"/>
      <c r="P33" s="22">
        <f>IF(B33="","",IF(K33&lt;&gt;"",K33-B33,TODAY()-B33))</f>
        <v/>
      </c>
      <c r="Q33" s="21">
        <f>IF(OR(J33="",L33="Beantwortet",L33="Geschlossen"),"",IF(TODAY()&gt;J33,"Ja","Nein"))</f>
        <v/>
      </c>
      <c r="R33" s="5"/>
    </row>
    <row r="34" spans="1:18" ht="52" customHeight="1">
      <c r="A34" s="6" t="s">
        <v>1897</v>
      </c>
      <c r="B34" s="7"/>
      <c r="C34" s="5"/>
      <c r="D34" s="5"/>
      <c r="E34" s="5"/>
      <c r="F34" s="5"/>
      <c r="G34" s="5"/>
      <c r="H34" s="5"/>
      <c r="I34" s="5"/>
      <c r="J34" s="7"/>
      <c r="K34" s="7"/>
      <c r="L34" s="5" t="s">
        <v>45</v>
      </c>
      <c r="M34" s="5"/>
      <c r="N34" s="5"/>
      <c r="O34" s="5"/>
      <c r="P34" s="22">
        <f>IF(B34="","",IF(K34&lt;&gt;"",K34-B34,TODAY()-B34))</f>
        <v/>
      </c>
      <c r="Q34" s="21">
        <f>IF(OR(J34="",L34="Beantwortet",L34="Geschlossen"),"",IF(TODAY()&gt;J34,"Ja","Nein"))</f>
        <v/>
      </c>
      <c r="R34" s="5"/>
    </row>
    <row r="35" spans="1:18" ht="52" customHeight="1">
      <c r="A35" s="6" t="s">
        <v>1898</v>
      </c>
      <c r="B35" s="7"/>
      <c r="C35" s="5"/>
      <c r="D35" s="5"/>
      <c r="E35" s="5"/>
      <c r="F35" s="5"/>
      <c r="G35" s="5"/>
      <c r="H35" s="5"/>
      <c r="I35" s="5"/>
      <c r="J35" s="7"/>
      <c r="K35" s="7"/>
      <c r="L35" s="5" t="s">
        <v>45</v>
      </c>
      <c r="M35" s="5"/>
      <c r="N35" s="5"/>
      <c r="O35" s="5"/>
      <c r="P35" s="22">
        <f>IF(B35="","",IF(K35&lt;&gt;"",K35-B35,TODAY()-B35))</f>
        <v/>
      </c>
      <c r="Q35" s="21">
        <f>IF(OR(J35="",L35="Beantwortet",L35="Geschlossen"),"",IF(TODAY()&gt;J35,"Ja","Nein"))</f>
        <v/>
      </c>
      <c r="R35" s="5"/>
    </row>
    <row r="36" spans="1:18" ht="52" customHeight="1">
      <c r="A36" s="6" t="s">
        <v>1899</v>
      </c>
      <c r="B36" s="7"/>
      <c r="C36" s="5"/>
      <c r="D36" s="5"/>
      <c r="E36" s="5"/>
      <c r="F36" s="5"/>
      <c r="G36" s="5"/>
      <c r="H36" s="5"/>
      <c r="I36" s="5"/>
      <c r="J36" s="7"/>
      <c r="K36" s="7"/>
      <c r="L36" s="5" t="s">
        <v>45</v>
      </c>
      <c r="M36" s="5"/>
      <c r="N36" s="5"/>
      <c r="O36" s="5"/>
      <c r="P36" s="22">
        <f>IF(B36="","",IF(K36&lt;&gt;"",K36-B36,TODAY()-B36))</f>
        <v/>
      </c>
      <c r="Q36" s="21">
        <f>IF(OR(J36="",L36="Beantwortet",L36="Geschlossen"),"",IF(TODAY()&gt;J36,"Ja","Nein"))</f>
        <v/>
      </c>
      <c r="R36" s="5"/>
    </row>
    <row r="37" spans="1:18" ht="52" customHeight="1">
      <c r="A37" s="6" t="s">
        <v>1900</v>
      </c>
      <c r="B37" s="7"/>
      <c r="C37" s="5"/>
      <c r="D37" s="5"/>
      <c r="E37" s="5"/>
      <c r="F37" s="5"/>
      <c r="G37" s="5"/>
      <c r="H37" s="5"/>
      <c r="I37" s="5"/>
      <c r="J37" s="7"/>
      <c r="K37" s="7"/>
      <c r="L37" s="5" t="s">
        <v>45</v>
      </c>
      <c r="M37" s="5"/>
      <c r="N37" s="5"/>
      <c r="O37" s="5"/>
      <c r="P37" s="22">
        <f>IF(B37="","",IF(K37&lt;&gt;"",K37-B37,TODAY()-B37))</f>
        <v/>
      </c>
      <c r="Q37" s="21">
        <f>IF(OR(J37="",L37="Beantwortet",L37="Geschlossen"),"",IF(TODAY()&gt;J37,"Ja","Nein"))</f>
        <v/>
      </c>
      <c r="R37" s="5"/>
    </row>
    <row r="38" spans="1:18" ht="52" customHeight="1">
      <c r="A38" s="6" t="s">
        <v>1901</v>
      </c>
      <c r="B38" s="7"/>
      <c r="C38" s="5"/>
      <c r="D38" s="5"/>
      <c r="E38" s="5"/>
      <c r="F38" s="5"/>
      <c r="G38" s="5"/>
      <c r="H38" s="5"/>
      <c r="I38" s="5"/>
      <c r="J38" s="7"/>
      <c r="K38" s="7"/>
      <c r="L38" s="5" t="s">
        <v>45</v>
      </c>
      <c r="M38" s="5"/>
      <c r="N38" s="5"/>
      <c r="O38" s="5"/>
      <c r="P38" s="22">
        <f>IF(B38="","",IF(K38&lt;&gt;"",K38-B38,TODAY()-B38))</f>
        <v/>
      </c>
      <c r="Q38" s="21">
        <f>IF(OR(J38="",L38="Beantwortet",L38="Geschlossen"),"",IF(TODAY()&gt;J38,"Ja","Nein"))</f>
        <v/>
      </c>
      <c r="R38" s="5"/>
    </row>
    <row r="39" spans="1:18" ht="52" customHeight="1">
      <c r="A39" s="6" t="s">
        <v>1902</v>
      </c>
      <c r="B39" s="7"/>
      <c r="C39" s="5"/>
      <c r="D39" s="5"/>
      <c r="E39" s="5"/>
      <c r="F39" s="5"/>
      <c r="G39" s="5"/>
      <c r="H39" s="5"/>
      <c r="I39" s="5"/>
      <c r="J39" s="7"/>
      <c r="K39" s="7"/>
      <c r="L39" s="5" t="s">
        <v>45</v>
      </c>
      <c r="M39" s="5"/>
      <c r="N39" s="5"/>
      <c r="O39" s="5"/>
      <c r="P39" s="22">
        <f>IF(B39="","",IF(K39&lt;&gt;"",K39-B39,TODAY()-B39))</f>
        <v/>
      </c>
      <c r="Q39" s="21">
        <f>IF(OR(J39="",L39="Beantwortet",L39="Geschlossen"),"",IF(TODAY()&gt;J39,"Ja","Nein"))</f>
        <v/>
      </c>
      <c r="R39" s="5"/>
    </row>
    <row r="40" spans="1:18" ht="52" customHeight="1">
      <c r="A40" s="6" t="s">
        <v>1903</v>
      </c>
      <c r="B40" s="7"/>
      <c r="C40" s="5"/>
      <c r="D40" s="5"/>
      <c r="E40" s="5"/>
      <c r="F40" s="5"/>
      <c r="G40" s="5"/>
      <c r="H40" s="5"/>
      <c r="I40" s="5"/>
      <c r="J40" s="7"/>
      <c r="K40" s="7"/>
      <c r="L40" s="5" t="s">
        <v>45</v>
      </c>
      <c r="M40" s="5"/>
      <c r="N40" s="5"/>
      <c r="O40" s="5"/>
      <c r="P40" s="22">
        <f>IF(B40="","",IF(K40&lt;&gt;"",K40-B40,TODAY()-B40))</f>
        <v/>
      </c>
      <c r="Q40" s="21">
        <f>IF(OR(J40="",L40="Beantwortet",L40="Geschlossen"),"",IF(TODAY()&gt;J40,"Ja","Nein"))</f>
        <v/>
      </c>
      <c r="R40" s="5"/>
    </row>
    <row r="41" spans="1:18" ht="52" customHeight="1">
      <c r="A41" s="6" t="s">
        <v>1904</v>
      </c>
      <c r="B41" s="7"/>
      <c r="C41" s="5"/>
      <c r="D41" s="5"/>
      <c r="E41" s="5"/>
      <c r="F41" s="5"/>
      <c r="G41" s="5"/>
      <c r="H41" s="5"/>
      <c r="I41" s="5"/>
      <c r="J41" s="7"/>
      <c r="K41" s="7"/>
      <c r="L41" s="5" t="s">
        <v>45</v>
      </c>
      <c r="M41" s="5"/>
      <c r="N41" s="5"/>
      <c r="O41" s="5"/>
      <c r="P41" s="22">
        <f>IF(B41="","",IF(K41&lt;&gt;"",K41-B41,TODAY()-B41))</f>
        <v/>
      </c>
      <c r="Q41" s="21">
        <f>IF(OR(J41="",L41="Beantwortet",L41="Geschlossen"),"",IF(TODAY()&gt;J41,"Ja","Nein"))</f>
        <v/>
      </c>
      <c r="R41" s="5"/>
    </row>
    <row r="42" spans="1:18" ht="52" customHeight="1">
      <c r="A42" s="6" t="s">
        <v>1905</v>
      </c>
      <c r="B42" s="7"/>
      <c r="C42" s="5"/>
      <c r="D42" s="5"/>
      <c r="E42" s="5"/>
      <c r="F42" s="5"/>
      <c r="G42" s="5"/>
      <c r="H42" s="5"/>
      <c r="I42" s="5"/>
      <c r="J42" s="7"/>
      <c r="K42" s="7"/>
      <c r="L42" s="5" t="s">
        <v>45</v>
      </c>
      <c r="M42" s="5"/>
      <c r="N42" s="5"/>
      <c r="O42" s="5"/>
      <c r="P42" s="22">
        <f>IF(B42="","",IF(K42&lt;&gt;"",K42-B42,TODAY()-B42))</f>
        <v/>
      </c>
      <c r="Q42" s="21">
        <f>IF(OR(J42="",L42="Beantwortet",L42="Geschlossen"),"",IF(TODAY()&gt;J42,"Ja","Nein"))</f>
        <v/>
      </c>
      <c r="R42" s="5"/>
    </row>
    <row r="43" spans="1:18" ht="52" customHeight="1">
      <c r="A43" s="6" t="s">
        <v>1906</v>
      </c>
      <c r="B43" s="7"/>
      <c r="C43" s="5"/>
      <c r="D43" s="5"/>
      <c r="E43" s="5"/>
      <c r="F43" s="5"/>
      <c r="G43" s="5"/>
      <c r="H43" s="5"/>
      <c r="I43" s="5"/>
      <c r="J43" s="7"/>
      <c r="K43" s="7"/>
      <c r="L43" s="5" t="s">
        <v>45</v>
      </c>
      <c r="M43" s="5"/>
      <c r="N43" s="5"/>
      <c r="O43" s="5"/>
      <c r="P43" s="22">
        <f>IF(B43="","",IF(K43&lt;&gt;"",K43-B43,TODAY()-B43))</f>
        <v/>
      </c>
      <c r="Q43" s="21">
        <f>IF(OR(J43="",L43="Beantwortet",L43="Geschlossen"),"",IF(TODAY()&gt;J43,"Ja","Nein"))</f>
        <v/>
      </c>
      <c r="R43" s="5"/>
    </row>
    <row r="44" spans="1:18" ht="52" customHeight="1">
      <c r="A44" s="6" t="s">
        <v>1907</v>
      </c>
      <c r="B44" s="7"/>
      <c r="C44" s="5"/>
      <c r="D44" s="5"/>
      <c r="E44" s="5"/>
      <c r="F44" s="5"/>
      <c r="G44" s="5"/>
      <c r="H44" s="5"/>
      <c r="I44" s="5"/>
      <c r="J44" s="7"/>
      <c r="K44" s="7"/>
      <c r="L44" s="5" t="s">
        <v>45</v>
      </c>
      <c r="M44" s="5"/>
      <c r="N44" s="5"/>
      <c r="O44" s="5"/>
      <c r="P44" s="22">
        <f>IF(B44="","",IF(K44&lt;&gt;"",K44-B44,TODAY()-B44))</f>
        <v/>
      </c>
      <c r="Q44" s="21">
        <f>IF(OR(J44="",L44="Beantwortet",L44="Geschlossen"),"",IF(TODAY()&gt;J44,"Ja","Nein"))</f>
        <v/>
      </c>
      <c r="R44" s="5"/>
    </row>
    <row r="45" spans="1:18" ht="52" customHeight="1">
      <c r="A45" s="6" t="s">
        <v>1908</v>
      </c>
      <c r="B45" s="7"/>
      <c r="C45" s="5"/>
      <c r="D45" s="5"/>
      <c r="E45" s="5"/>
      <c r="F45" s="5"/>
      <c r="G45" s="5"/>
      <c r="H45" s="5"/>
      <c r="I45" s="5"/>
      <c r="J45" s="7"/>
      <c r="K45" s="7"/>
      <c r="L45" s="5" t="s">
        <v>45</v>
      </c>
      <c r="M45" s="5"/>
      <c r="N45" s="5"/>
      <c r="O45" s="5"/>
      <c r="P45" s="22">
        <f>IF(B45="","",IF(K45&lt;&gt;"",K45-B45,TODAY()-B45))</f>
        <v/>
      </c>
      <c r="Q45" s="21">
        <f>IF(OR(J45="",L45="Beantwortet",L45="Geschlossen"),"",IF(TODAY()&gt;J45,"Ja","Nein"))</f>
        <v/>
      </c>
      <c r="R45" s="5"/>
    </row>
    <row r="46" spans="1:18" ht="52" customHeight="1">
      <c r="A46" s="6" t="s">
        <v>1909</v>
      </c>
      <c r="B46" s="7"/>
      <c r="C46" s="5"/>
      <c r="D46" s="5"/>
      <c r="E46" s="5"/>
      <c r="F46" s="5"/>
      <c r="G46" s="5"/>
      <c r="H46" s="5"/>
      <c r="I46" s="5"/>
      <c r="J46" s="7"/>
      <c r="K46" s="7"/>
      <c r="L46" s="5" t="s">
        <v>45</v>
      </c>
      <c r="M46" s="5"/>
      <c r="N46" s="5"/>
      <c r="O46" s="5"/>
      <c r="P46" s="22">
        <f>IF(B46="","",IF(K46&lt;&gt;"",K46-B46,TODAY()-B46))</f>
        <v/>
      </c>
      <c r="Q46" s="21">
        <f>IF(OR(J46="",L46="Beantwortet",L46="Geschlossen"),"",IF(TODAY()&gt;J46,"Ja","Nein"))</f>
        <v/>
      </c>
      <c r="R46" s="5"/>
    </row>
    <row r="47" spans="1:18" ht="52" customHeight="1">
      <c r="A47" s="6" t="s">
        <v>1910</v>
      </c>
      <c r="B47" s="7"/>
      <c r="C47" s="5"/>
      <c r="D47" s="5"/>
      <c r="E47" s="5"/>
      <c r="F47" s="5"/>
      <c r="G47" s="5"/>
      <c r="H47" s="5"/>
      <c r="I47" s="5"/>
      <c r="J47" s="7"/>
      <c r="K47" s="7"/>
      <c r="L47" s="5" t="s">
        <v>45</v>
      </c>
      <c r="M47" s="5"/>
      <c r="N47" s="5"/>
      <c r="O47" s="5"/>
      <c r="P47" s="22">
        <f>IF(B47="","",IF(K47&lt;&gt;"",K47-B47,TODAY()-B47))</f>
        <v/>
      </c>
      <c r="Q47" s="21">
        <f>IF(OR(J47="",L47="Beantwortet",L47="Geschlossen"),"",IF(TODAY()&gt;J47,"Ja","Nein"))</f>
        <v/>
      </c>
      <c r="R47" s="5"/>
    </row>
    <row r="48" spans="1:18" ht="52" customHeight="1">
      <c r="A48" s="6" t="s">
        <v>1911</v>
      </c>
      <c r="B48" s="7"/>
      <c r="C48" s="5"/>
      <c r="D48" s="5"/>
      <c r="E48" s="5"/>
      <c r="F48" s="5"/>
      <c r="G48" s="5"/>
      <c r="H48" s="5"/>
      <c r="I48" s="5"/>
      <c r="J48" s="7"/>
      <c r="K48" s="7"/>
      <c r="L48" s="5" t="s">
        <v>45</v>
      </c>
      <c r="M48" s="5"/>
      <c r="N48" s="5"/>
      <c r="O48" s="5"/>
      <c r="P48" s="22">
        <f>IF(B48="","",IF(K48&lt;&gt;"",K48-B48,TODAY()-B48))</f>
        <v/>
      </c>
      <c r="Q48" s="21">
        <f>IF(OR(J48="",L48="Beantwortet",L48="Geschlossen"),"",IF(TODAY()&gt;J48,"Ja","Nein"))</f>
        <v/>
      </c>
      <c r="R48" s="5"/>
    </row>
    <row r="49" spans="1:18" ht="52" customHeight="1">
      <c r="A49" s="6" t="s">
        <v>1912</v>
      </c>
      <c r="B49" s="7"/>
      <c r="C49" s="5"/>
      <c r="D49" s="5"/>
      <c r="E49" s="5"/>
      <c r="F49" s="5"/>
      <c r="G49" s="5"/>
      <c r="H49" s="5"/>
      <c r="I49" s="5"/>
      <c r="J49" s="7"/>
      <c r="K49" s="7"/>
      <c r="L49" s="5" t="s">
        <v>45</v>
      </c>
      <c r="M49" s="5"/>
      <c r="N49" s="5"/>
      <c r="O49" s="5"/>
      <c r="P49" s="22">
        <f>IF(B49="","",IF(K49&lt;&gt;"",K49-B49,TODAY()-B49))</f>
        <v/>
      </c>
      <c r="Q49" s="21">
        <f>IF(OR(J49="",L49="Beantwortet",L49="Geschlossen"),"",IF(TODAY()&gt;J49,"Ja","Nein"))</f>
        <v/>
      </c>
      <c r="R49" s="5"/>
    </row>
    <row r="50" spans="1:18" ht="52" customHeight="1">
      <c r="A50" s="6" t="s">
        <v>1913</v>
      </c>
      <c r="B50" s="7"/>
      <c r="C50" s="5"/>
      <c r="D50" s="5"/>
      <c r="E50" s="5"/>
      <c r="F50" s="5"/>
      <c r="G50" s="5"/>
      <c r="H50" s="5"/>
      <c r="I50" s="5"/>
      <c r="J50" s="7"/>
      <c r="K50" s="7"/>
      <c r="L50" s="5" t="s">
        <v>45</v>
      </c>
      <c r="M50" s="5"/>
      <c r="N50" s="5"/>
      <c r="O50" s="5"/>
      <c r="P50" s="22">
        <f>IF(B50="","",IF(K50&lt;&gt;"",K50-B50,TODAY()-B50))</f>
        <v/>
      </c>
      <c r="Q50" s="21">
        <f>IF(OR(J50="",L50="Beantwortet",L50="Geschlossen"),"",IF(TODAY()&gt;J50,"Ja","Nein"))</f>
        <v/>
      </c>
      <c r="R50" s="5"/>
    </row>
    <row r="51" spans="1:18" ht="52" customHeight="1">
      <c r="A51" s="6" t="s">
        <v>1914</v>
      </c>
      <c r="B51" s="7"/>
      <c r="C51" s="5"/>
      <c r="D51" s="5"/>
      <c r="E51" s="5"/>
      <c r="F51" s="5"/>
      <c r="G51" s="5"/>
      <c r="H51" s="5"/>
      <c r="I51" s="5"/>
      <c r="J51" s="7"/>
      <c r="K51" s="7"/>
      <c r="L51" s="5" t="s">
        <v>45</v>
      </c>
      <c r="M51" s="5"/>
      <c r="N51" s="5"/>
      <c r="O51" s="5"/>
      <c r="P51" s="22">
        <f>IF(B51="","",IF(K51&lt;&gt;"",K51-B51,TODAY()-B51))</f>
        <v/>
      </c>
      <c r="Q51" s="21">
        <f>IF(OR(J51="",L51="Beantwortet",L51="Geschlossen"),"",IF(TODAY()&gt;J51,"Ja","Nein"))</f>
        <v/>
      </c>
      <c r="R51" s="5"/>
    </row>
    <row r="52" spans="1:18" ht="52" customHeight="1">
      <c r="A52" s="6" t="s">
        <v>1915</v>
      </c>
      <c r="B52" s="7"/>
      <c r="C52" s="5"/>
      <c r="D52" s="5"/>
      <c r="E52" s="5"/>
      <c r="F52" s="5"/>
      <c r="G52" s="5"/>
      <c r="H52" s="5"/>
      <c r="I52" s="5"/>
      <c r="J52" s="7"/>
      <c r="K52" s="7"/>
      <c r="L52" s="5" t="s">
        <v>45</v>
      </c>
      <c r="M52" s="5"/>
      <c r="N52" s="5"/>
      <c r="O52" s="5"/>
      <c r="P52" s="22">
        <f>IF(B52="","",IF(K52&lt;&gt;"",K52-B52,TODAY()-B52))</f>
        <v/>
      </c>
      <c r="Q52" s="21">
        <f>IF(OR(J52="",L52="Beantwortet",L52="Geschlossen"),"",IF(TODAY()&gt;J52,"Ja","Nein"))</f>
        <v/>
      </c>
      <c r="R52" s="5"/>
    </row>
    <row r="53" spans="1:18" ht="52" customHeight="1">
      <c r="A53" s="6" t="s">
        <v>1916</v>
      </c>
      <c r="B53" s="7"/>
      <c r="C53" s="5"/>
      <c r="D53" s="5"/>
      <c r="E53" s="5"/>
      <c r="F53" s="5"/>
      <c r="G53" s="5"/>
      <c r="H53" s="5"/>
      <c r="I53" s="5"/>
      <c r="J53" s="7"/>
      <c r="K53" s="7"/>
      <c r="L53" s="5" t="s">
        <v>45</v>
      </c>
      <c r="M53" s="5"/>
      <c r="N53" s="5"/>
      <c r="O53" s="5"/>
      <c r="P53" s="22">
        <f>IF(B53="","",IF(K53&lt;&gt;"",K53-B53,TODAY()-B53))</f>
        <v/>
      </c>
      <c r="Q53" s="21">
        <f>IF(OR(J53="",L53="Beantwortet",L53="Geschlossen"),"",IF(TODAY()&gt;J53,"Ja","Nein"))</f>
        <v/>
      </c>
      <c r="R53" s="5"/>
    </row>
    <row r="54" spans="1:18" ht="52" customHeight="1">
      <c r="A54" s="6" t="s">
        <v>1917</v>
      </c>
      <c r="B54" s="7"/>
      <c r="C54" s="5"/>
      <c r="D54" s="5"/>
      <c r="E54" s="5"/>
      <c r="F54" s="5"/>
      <c r="G54" s="5"/>
      <c r="H54" s="5"/>
      <c r="I54" s="5"/>
      <c r="J54" s="7"/>
      <c r="K54" s="7"/>
      <c r="L54" s="5" t="s">
        <v>45</v>
      </c>
      <c r="M54" s="5"/>
      <c r="N54" s="5"/>
      <c r="O54" s="5"/>
      <c r="P54" s="22">
        <f>IF(B54="","",IF(K54&lt;&gt;"",K54-B54,TODAY()-B54))</f>
        <v/>
      </c>
      <c r="Q54" s="21">
        <f>IF(OR(J54="",L54="Beantwortet",L54="Geschlossen"),"",IF(TODAY()&gt;J54,"Ja","Nein"))</f>
        <v/>
      </c>
      <c r="R54" s="5"/>
    </row>
    <row r="55" spans="1:18" ht="52" customHeight="1">
      <c r="A55" s="6" t="s">
        <v>1918</v>
      </c>
      <c r="B55" s="7"/>
      <c r="C55" s="5"/>
      <c r="D55" s="5"/>
      <c r="E55" s="5"/>
      <c r="F55" s="5"/>
      <c r="G55" s="5"/>
      <c r="H55" s="5"/>
      <c r="I55" s="5"/>
      <c r="J55" s="7"/>
      <c r="K55" s="7"/>
      <c r="L55" s="5" t="s">
        <v>45</v>
      </c>
      <c r="M55" s="5"/>
      <c r="N55" s="5"/>
      <c r="O55" s="5"/>
      <c r="P55" s="22">
        <f>IF(B55="","",IF(K55&lt;&gt;"",K55-B55,TODAY()-B55))</f>
        <v/>
      </c>
      <c r="Q55" s="21">
        <f>IF(OR(J55="",L55="Beantwortet",L55="Geschlossen"),"",IF(TODAY()&gt;J55,"Ja","Nein"))</f>
        <v/>
      </c>
      <c r="R55" s="5"/>
    </row>
    <row r="56" spans="1:18" ht="52" customHeight="1">
      <c r="A56" s="6" t="s">
        <v>1919</v>
      </c>
      <c r="B56" s="7"/>
      <c r="C56" s="5"/>
      <c r="D56" s="5"/>
      <c r="E56" s="5"/>
      <c r="F56" s="5"/>
      <c r="G56" s="5"/>
      <c r="H56" s="5"/>
      <c r="I56" s="5"/>
      <c r="J56" s="7"/>
      <c r="K56" s="7"/>
      <c r="L56" s="5" t="s">
        <v>45</v>
      </c>
      <c r="M56" s="5"/>
      <c r="N56" s="5"/>
      <c r="O56" s="5"/>
      <c r="P56" s="22">
        <f>IF(B56="","",IF(K56&lt;&gt;"",K56-B56,TODAY()-B56))</f>
        <v/>
      </c>
      <c r="Q56" s="21">
        <f>IF(OR(J56="",L56="Beantwortet",L56="Geschlossen"),"",IF(TODAY()&gt;J56,"Ja","Nein"))</f>
        <v/>
      </c>
      <c r="R56" s="5"/>
    </row>
    <row r="57" spans="1:18" ht="52" customHeight="1">
      <c r="A57" s="6" t="s">
        <v>1920</v>
      </c>
      <c r="B57" s="7"/>
      <c r="C57" s="5"/>
      <c r="D57" s="5"/>
      <c r="E57" s="5"/>
      <c r="F57" s="5"/>
      <c r="G57" s="5"/>
      <c r="H57" s="5"/>
      <c r="I57" s="5"/>
      <c r="J57" s="7"/>
      <c r="K57" s="7"/>
      <c r="L57" s="5" t="s">
        <v>45</v>
      </c>
      <c r="M57" s="5"/>
      <c r="N57" s="5"/>
      <c r="O57" s="5"/>
      <c r="P57" s="22">
        <f>IF(B57="","",IF(K57&lt;&gt;"",K57-B57,TODAY()-B57))</f>
        <v/>
      </c>
      <c r="Q57" s="21">
        <f>IF(OR(J57="",L57="Beantwortet",L57="Geschlossen"),"",IF(TODAY()&gt;J57,"Ja","Nein"))</f>
        <v/>
      </c>
      <c r="R57" s="5"/>
    </row>
    <row r="58" spans="1:18" ht="52" customHeight="1">
      <c r="A58" s="6" t="s">
        <v>1921</v>
      </c>
      <c r="B58" s="7"/>
      <c r="C58" s="5"/>
      <c r="D58" s="5"/>
      <c r="E58" s="5"/>
      <c r="F58" s="5"/>
      <c r="G58" s="5"/>
      <c r="H58" s="5"/>
      <c r="I58" s="5"/>
      <c r="J58" s="7"/>
      <c r="K58" s="7"/>
      <c r="L58" s="5" t="s">
        <v>45</v>
      </c>
      <c r="M58" s="5"/>
      <c r="N58" s="5"/>
      <c r="O58" s="5"/>
      <c r="P58" s="22">
        <f>IF(B58="","",IF(K58&lt;&gt;"",K58-B58,TODAY()-B58))</f>
        <v/>
      </c>
      <c r="Q58" s="21">
        <f>IF(OR(J58="",L58="Beantwortet",L58="Geschlossen"),"",IF(TODAY()&gt;J58,"Ja","Nein"))</f>
        <v/>
      </c>
      <c r="R58" s="5"/>
    </row>
    <row r="59" spans="1:18" ht="52" customHeight="1">
      <c r="A59" s="6" t="s">
        <v>1922</v>
      </c>
      <c r="B59" s="7"/>
      <c r="C59" s="5"/>
      <c r="D59" s="5"/>
      <c r="E59" s="5"/>
      <c r="F59" s="5"/>
      <c r="G59" s="5"/>
      <c r="H59" s="5"/>
      <c r="I59" s="5"/>
      <c r="J59" s="7"/>
      <c r="K59" s="7"/>
      <c r="L59" s="5" t="s">
        <v>45</v>
      </c>
      <c r="M59" s="5"/>
      <c r="N59" s="5"/>
      <c r="O59" s="5"/>
      <c r="P59" s="22">
        <f>IF(B59="","",IF(K59&lt;&gt;"",K59-B59,TODAY()-B59))</f>
        <v/>
      </c>
      <c r="Q59" s="21">
        <f>IF(OR(J59="",L59="Beantwortet",L59="Geschlossen"),"",IF(TODAY()&gt;J59,"Ja","Nein"))</f>
        <v/>
      </c>
      <c r="R59" s="5"/>
    </row>
    <row r="60" spans="1:18" ht="52" customHeight="1">
      <c r="A60" s="6" t="s">
        <v>1923</v>
      </c>
      <c r="B60" s="7"/>
      <c r="C60" s="5"/>
      <c r="D60" s="5"/>
      <c r="E60" s="5"/>
      <c r="F60" s="5"/>
      <c r="G60" s="5"/>
      <c r="H60" s="5"/>
      <c r="I60" s="5"/>
      <c r="J60" s="7"/>
      <c r="K60" s="7"/>
      <c r="L60" s="5" t="s">
        <v>45</v>
      </c>
      <c r="M60" s="5"/>
      <c r="N60" s="5"/>
      <c r="O60" s="5"/>
      <c r="P60" s="22">
        <f>IF(B60="","",IF(K60&lt;&gt;"",K60-B60,TODAY()-B60))</f>
        <v/>
      </c>
      <c r="Q60" s="21">
        <f>IF(OR(J60="",L60="Beantwortet",L60="Geschlossen"),"",IF(TODAY()&gt;J60,"Ja","Nein"))</f>
        <v/>
      </c>
      <c r="R60" s="5"/>
    </row>
    <row r="61" spans="1:18" ht="52" customHeight="1">
      <c r="A61" s="6" t="s">
        <v>1924</v>
      </c>
      <c r="B61" s="7"/>
      <c r="C61" s="5"/>
      <c r="D61" s="5"/>
      <c r="E61" s="5"/>
      <c r="F61" s="5"/>
      <c r="G61" s="5"/>
      <c r="H61" s="5"/>
      <c r="I61" s="5"/>
      <c r="J61" s="7"/>
      <c r="K61" s="7"/>
      <c r="L61" s="5" t="s">
        <v>45</v>
      </c>
      <c r="M61" s="5"/>
      <c r="N61" s="5"/>
      <c r="O61" s="5"/>
      <c r="P61" s="22">
        <f>IF(B61="","",IF(K61&lt;&gt;"",K61-B61,TODAY()-B61))</f>
        <v/>
      </c>
      <c r="Q61" s="21">
        <f>IF(OR(J61="",L61="Beantwortet",L61="Geschlossen"),"",IF(TODAY()&gt;J61,"Ja","Nein"))</f>
        <v/>
      </c>
      <c r="R61" s="5"/>
    </row>
    <row r="62" spans="1:18" ht="52" customHeight="1">
      <c r="A62" s="6" t="s">
        <v>1925</v>
      </c>
      <c r="B62" s="7"/>
      <c r="C62" s="5"/>
      <c r="D62" s="5"/>
      <c r="E62" s="5"/>
      <c r="F62" s="5"/>
      <c r="G62" s="5"/>
      <c r="H62" s="5"/>
      <c r="I62" s="5"/>
      <c r="J62" s="7"/>
      <c r="K62" s="7"/>
      <c r="L62" s="5" t="s">
        <v>45</v>
      </c>
      <c r="M62" s="5"/>
      <c r="N62" s="5"/>
      <c r="O62" s="5"/>
      <c r="P62" s="22">
        <f>IF(B62="","",IF(K62&lt;&gt;"",K62-B62,TODAY()-B62))</f>
        <v/>
      </c>
      <c r="Q62" s="21">
        <f>IF(OR(J62="",L62="Beantwortet",L62="Geschlossen"),"",IF(TODAY()&gt;J62,"Ja","Nein"))</f>
        <v/>
      </c>
      <c r="R62" s="5"/>
    </row>
    <row r="63" spans="1:18" ht="52" customHeight="1">
      <c r="A63" s="6" t="s">
        <v>1926</v>
      </c>
      <c r="B63" s="7"/>
      <c r="C63" s="5"/>
      <c r="D63" s="5"/>
      <c r="E63" s="5"/>
      <c r="F63" s="5"/>
      <c r="G63" s="5"/>
      <c r="H63" s="5"/>
      <c r="I63" s="5"/>
      <c r="J63" s="7"/>
      <c r="K63" s="7"/>
      <c r="L63" s="5" t="s">
        <v>45</v>
      </c>
      <c r="M63" s="5"/>
      <c r="N63" s="5"/>
      <c r="O63" s="5"/>
      <c r="P63" s="22">
        <f>IF(B63="","",IF(K63&lt;&gt;"",K63-B63,TODAY()-B63))</f>
        <v/>
      </c>
      <c r="Q63" s="21">
        <f>IF(OR(J63="",L63="Beantwortet",L63="Geschlossen"),"",IF(TODAY()&gt;J63,"Ja","Nein"))</f>
        <v/>
      </c>
      <c r="R63" s="5"/>
    </row>
    <row r="64" spans="1:18" ht="52" customHeight="1">
      <c r="A64" s="6" t="s">
        <v>1927</v>
      </c>
      <c r="B64" s="7"/>
      <c r="C64" s="5"/>
      <c r="D64" s="5"/>
      <c r="E64" s="5"/>
      <c r="F64" s="5"/>
      <c r="G64" s="5"/>
      <c r="H64" s="5"/>
      <c r="I64" s="5"/>
      <c r="J64" s="7"/>
      <c r="K64" s="7"/>
      <c r="L64" s="5" t="s">
        <v>45</v>
      </c>
      <c r="M64" s="5"/>
      <c r="N64" s="5"/>
      <c r="O64" s="5"/>
      <c r="P64" s="22">
        <f>IF(B64="","",IF(K64&lt;&gt;"",K64-B64,TODAY()-B64))</f>
        <v/>
      </c>
      <c r="Q64" s="21">
        <f>IF(OR(J64="",L64="Beantwortet",L64="Geschlossen"),"",IF(TODAY()&gt;J64,"Ja","Nein"))</f>
        <v/>
      </c>
      <c r="R64" s="5"/>
    </row>
    <row r="65" spans="1:18" ht="52" customHeight="1">
      <c r="A65" s="6" t="s">
        <v>1928</v>
      </c>
      <c r="B65" s="7"/>
      <c r="C65" s="5"/>
      <c r="D65" s="5"/>
      <c r="E65" s="5"/>
      <c r="F65" s="5"/>
      <c r="G65" s="5"/>
      <c r="H65" s="5"/>
      <c r="I65" s="5"/>
      <c r="J65" s="7"/>
      <c r="K65" s="7"/>
      <c r="L65" s="5" t="s">
        <v>45</v>
      </c>
      <c r="M65" s="5"/>
      <c r="N65" s="5"/>
      <c r="O65" s="5"/>
      <c r="P65" s="22">
        <f>IF(B65="","",IF(K65&lt;&gt;"",K65-B65,TODAY()-B65))</f>
        <v/>
      </c>
      <c r="Q65" s="21">
        <f>IF(OR(J65="",L65="Beantwortet",L65="Geschlossen"),"",IF(TODAY()&gt;J65,"Ja","Nein"))</f>
        <v/>
      </c>
      <c r="R65" s="5"/>
    </row>
    <row r="66" spans="1:18" ht="52" customHeight="1">
      <c r="A66" s="6" t="s">
        <v>1929</v>
      </c>
      <c r="B66" s="7"/>
      <c r="C66" s="5"/>
      <c r="D66" s="5"/>
      <c r="E66" s="5"/>
      <c r="F66" s="5"/>
      <c r="G66" s="5"/>
      <c r="H66" s="5"/>
      <c r="I66" s="5"/>
      <c r="J66" s="7"/>
      <c r="K66" s="7"/>
      <c r="L66" s="5" t="s">
        <v>45</v>
      </c>
      <c r="M66" s="5"/>
      <c r="N66" s="5"/>
      <c r="O66" s="5"/>
      <c r="P66" s="22">
        <f>IF(B66="","",IF(K66&lt;&gt;"",K66-B66,TODAY()-B66))</f>
        <v/>
      </c>
      <c r="Q66" s="21">
        <f>IF(OR(J66="",L66="Beantwortet",L66="Geschlossen"),"",IF(TODAY()&gt;J66,"Ja","Nein"))</f>
        <v/>
      </c>
      <c r="R66" s="5"/>
    </row>
    <row r="67" spans="1:18" ht="52" customHeight="1">
      <c r="A67" s="6" t="s">
        <v>1930</v>
      </c>
      <c r="B67" s="7"/>
      <c r="C67" s="5"/>
      <c r="D67" s="5"/>
      <c r="E67" s="5"/>
      <c r="F67" s="5"/>
      <c r="G67" s="5"/>
      <c r="H67" s="5"/>
      <c r="I67" s="5"/>
      <c r="J67" s="7"/>
      <c r="K67" s="7"/>
      <c r="L67" s="5" t="s">
        <v>45</v>
      </c>
      <c r="M67" s="5"/>
      <c r="N67" s="5"/>
      <c r="O67" s="5"/>
      <c r="P67" s="22">
        <f>IF(B67="","",IF(K67&lt;&gt;"",K67-B67,TODAY()-B67))</f>
        <v/>
      </c>
      <c r="Q67" s="21">
        <f>IF(OR(J67="",L67="Beantwortet",L67="Geschlossen"),"",IF(TODAY()&gt;J67,"Ja","Nein"))</f>
        <v/>
      </c>
      <c r="R67" s="5"/>
    </row>
    <row r="68" spans="1:18" ht="52" customHeight="1">
      <c r="A68" s="6" t="s">
        <v>1931</v>
      </c>
      <c r="B68" s="7"/>
      <c r="C68" s="5"/>
      <c r="D68" s="5"/>
      <c r="E68" s="5"/>
      <c r="F68" s="5"/>
      <c r="G68" s="5"/>
      <c r="H68" s="5"/>
      <c r="I68" s="5"/>
      <c r="J68" s="7"/>
      <c r="K68" s="7"/>
      <c r="L68" s="5" t="s">
        <v>45</v>
      </c>
      <c r="M68" s="5"/>
      <c r="N68" s="5"/>
      <c r="O68" s="5"/>
      <c r="P68" s="22">
        <f>IF(B68="","",IF(K68&lt;&gt;"",K68-B68,TODAY()-B68))</f>
        <v/>
      </c>
      <c r="Q68" s="21">
        <f>IF(OR(J68="",L68="Beantwortet",L68="Geschlossen"),"",IF(TODAY()&gt;J68,"Ja","Nein"))</f>
        <v/>
      </c>
      <c r="R68" s="5"/>
    </row>
    <row r="69" spans="1:18" ht="52" customHeight="1">
      <c r="A69" s="6" t="s">
        <v>1932</v>
      </c>
      <c r="B69" s="7"/>
      <c r="C69" s="5"/>
      <c r="D69" s="5"/>
      <c r="E69" s="5"/>
      <c r="F69" s="5"/>
      <c r="G69" s="5"/>
      <c r="H69" s="5"/>
      <c r="I69" s="5"/>
      <c r="J69" s="7"/>
      <c r="K69" s="7"/>
      <c r="L69" s="5" t="s">
        <v>45</v>
      </c>
      <c r="M69" s="5"/>
      <c r="N69" s="5"/>
      <c r="O69" s="5"/>
      <c r="P69" s="22">
        <f>IF(B69="","",IF(K69&lt;&gt;"",K69-B69,TODAY()-B69))</f>
        <v/>
      </c>
      <c r="Q69" s="21">
        <f>IF(OR(J69="",L69="Beantwortet",L69="Geschlossen"),"",IF(TODAY()&gt;J69,"Ja","Nein"))</f>
        <v/>
      </c>
      <c r="R69" s="5"/>
    </row>
    <row r="70" spans="1:18" ht="52" customHeight="1">
      <c r="A70" s="6" t="s">
        <v>1933</v>
      </c>
      <c r="B70" s="7"/>
      <c r="C70" s="5"/>
      <c r="D70" s="5"/>
      <c r="E70" s="5"/>
      <c r="F70" s="5"/>
      <c r="G70" s="5"/>
      <c r="H70" s="5"/>
      <c r="I70" s="5"/>
      <c r="J70" s="7"/>
      <c r="K70" s="7"/>
      <c r="L70" s="5" t="s">
        <v>45</v>
      </c>
      <c r="M70" s="5"/>
      <c r="N70" s="5"/>
      <c r="O70" s="5"/>
      <c r="P70" s="22">
        <f>IF(B70="","",IF(K70&lt;&gt;"",K70-B70,TODAY()-B70))</f>
        <v/>
      </c>
      <c r="Q70" s="21">
        <f>IF(OR(J70="",L70="Beantwortet",L70="Geschlossen"),"",IF(TODAY()&gt;J70,"Ja","Nein"))</f>
        <v/>
      </c>
      <c r="R70" s="5"/>
    </row>
    <row r="71" spans="1:18" ht="52" customHeight="1">
      <c r="A71" s="6" t="s">
        <v>1934</v>
      </c>
      <c r="B71" s="7"/>
      <c r="C71" s="5"/>
      <c r="D71" s="5"/>
      <c r="E71" s="5"/>
      <c r="F71" s="5"/>
      <c r="G71" s="5"/>
      <c r="H71" s="5"/>
      <c r="I71" s="5"/>
      <c r="J71" s="7"/>
      <c r="K71" s="7"/>
      <c r="L71" s="5" t="s">
        <v>45</v>
      </c>
      <c r="M71" s="5"/>
      <c r="N71" s="5"/>
      <c r="O71" s="5"/>
      <c r="P71" s="22">
        <f>IF(B71="","",IF(K71&lt;&gt;"",K71-B71,TODAY()-B71))</f>
        <v/>
      </c>
      <c r="Q71" s="21">
        <f>IF(OR(J71="",L71="Beantwortet",L71="Geschlossen"),"",IF(TODAY()&gt;J71,"Ja","Nein"))</f>
        <v/>
      </c>
      <c r="R71" s="5"/>
    </row>
    <row r="72" spans="1:18" ht="52" customHeight="1">
      <c r="A72" s="6" t="s">
        <v>1935</v>
      </c>
      <c r="B72" s="7"/>
      <c r="C72" s="5"/>
      <c r="D72" s="5"/>
      <c r="E72" s="5"/>
      <c r="F72" s="5"/>
      <c r="G72" s="5"/>
      <c r="H72" s="5"/>
      <c r="I72" s="5"/>
      <c r="J72" s="7"/>
      <c r="K72" s="7"/>
      <c r="L72" s="5" t="s">
        <v>45</v>
      </c>
      <c r="M72" s="5"/>
      <c r="N72" s="5"/>
      <c r="O72" s="5"/>
      <c r="P72" s="22">
        <f>IF(B72="","",IF(K72&lt;&gt;"",K72-B72,TODAY()-B72))</f>
        <v/>
      </c>
      <c r="Q72" s="21">
        <f>IF(OR(J72="",L72="Beantwortet",L72="Geschlossen"),"",IF(TODAY()&gt;J72,"Ja","Nein"))</f>
        <v/>
      </c>
      <c r="R72" s="5"/>
    </row>
    <row r="73" spans="1:18" ht="52" customHeight="1">
      <c r="A73" s="6" t="s">
        <v>1936</v>
      </c>
      <c r="B73" s="7"/>
      <c r="C73" s="5"/>
      <c r="D73" s="5"/>
      <c r="E73" s="5"/>
      <c r="F73" s="5"/>
      <c r="G73" s="5"/>
      <c r="H73" s="5"/>
      <c r="I73" s="5"/>
      <c r="J73" s="7"/>
      <c r="K73" s="7"/>
      <c r="L73" s="5" t="s">
        <v>45</v>
      </c>
      <c r="M73" s="5"/>
      <c r="N73" s="5"/>
      <c r="O73" s="5"/>
      <c r="P73" s="22">
        <f>IF(B73="","",IF(K73&lt;&gt;"",K73-B73,TODAY()-B73))</f>
        <v/>
      </c>
      <c r="Q73" s="21">
        <f>IF(OR(J73="",L73="Beantwortet",L73="Geschlossen"),"",IF(TODAY()&gt;J73,"Ja","Nein"))</f>
        <v/>
      </c>
      <c r="R73" s="5"/>
    </row>
    <row r="74" spans="1:18" ht="52" customHeight="1">
      <c r="A74" s="6" t="s">
        <v>1937</v>
      </c>
      <c r="B74" s="7"/>
      <c r="C74" s="5"/>
      <c r="D74" s="5"/>
      <c r="E74" s="5"/>
      <c r="F74" s="5"/>
      <c r="G74" s="5"/>
      <c r="H74" s="5"/>
      <c r="I74" s="5"/>
      <c r="J74" s="7"/>
      <c r="K74" s="7"/>
      <c r="L74" s="5" t="s">
        <v>45</v>
      </c>
      <c r="M74" s="5"/>
      <c r="N74" s="5"/>
      <c r="O74" s="5"/>
      <c r="P74" s="22">
        <f>IF(B74="","",IF(K74&lt;&gt;"",K74-B74,TODAY()-B74))</f>
        <v/>
      </c>
      <c r="Q74" s="21">
        <f>IF(OR(J74="",L74="Beantwortet",L74="Geschlossen"),"",IF(TODAY()&gt;J74,"Ja","Nein"))</f>
        <v/>
      </c>
      <c r="R74" s="5"/>
    </row>
    <row r="75" spans="1:18" ht="52" customHeight="1">
      <c r="A75" s="6" t="s">
        <v>1938</v>
      </c>
      <c r="B75" s="7"/>
      <c r="C75" s="5"/>
      <c r="D75" s="5"/>
      <c r="E75" s="5"/>
      <c r="F75" s="5"/>
      <c r="G75" s="5"/>
      <c r="H75" s="5"/>
      <c r="I75" s="5"/>
      <c r="J75" s="7"/>
      <c r="K75" s="7"/>
      <c r="L75" s="5" t="s">
        <v>45</v>
      </c>
      <c r="M75" s="5"/>
      <c r="N75" s="5"/>
      <c r="O75" s="5"/>
      <c r="P75" s="22">
        <f>IF(B75="","",IF(K75&lt;&gt;"",K75-B75,TODAY()-B75))</f>
        <v/>
      </c>
      <c r="Q75" s="21">
        <f>IF(OR(J75="",L75="Beantwortet",L75="Geschlossen"),"",IF(TODAY()&gt;J75,"Ja","Nein"))</f>
        <v/>
      </c>
      <c r="R75" s="5"/>
    </row>
    <row r="76" spans="1:18" ht="52" customHeight="1">
      <c r="A76" s="6" t="s">
        <v>1939</v>
      </c>
      <c r="B76" s="7"/>
      <c r="C76" s="5"/>
      <c r="D76" s="5"/>
      <c r="E76" s="5"/>
      <c r="F76" s="5"/>
      <c r="G76" s="5"/>
      <c r="H76" s="5"/>
      <c r="I76" s="5"/>
      <c r="J76" s="7"/>
      <c r="K76" s="7"/>
      <c r="L76" s="5" t="s">
        <v>45</v>
      </c>
      <c r="M76" s="5"/>
      <c r="N76" s="5"/>
      <c r="O76" s="5"/>
      <c r="P76" s="22">
        <f>IF(B76="","",IF(K76&lt;&gt;"",K76-B76,TODAY()-B76))</f>
        <v/>
      </c>
      <c r="Q76" s="21">
        <f>IF(OR(J76="",L76="Beantwortet",L76="Geschlossen"),"",IF(TODAY()&gt;J76,"Ja","Nein"))</f>
        <v/>
      </c>
      <c r="R76" s="5"/>
    </row>
    <row r="77" spans="1:18" ht="52" customHeight="1">
      <c r="A77" s="6" t="s">
        <v>1940</v>
      </c>
      <c r="B77" s="7"/>
      <c r="C77" s="5"/>
      <c r="D77" s="5"/>
      <c r="E77" s="5"/>
      <c r="F77" s="5"/>
      <c r="G77" s="5"/>
      <c r="H77" s="5"/>
      <c r="I77" s="5"/>
      <c r="J77" s="7"/>
      <c r="K77" s="7"/>
      <c r="L77" s="5" t="s">
        <v>45</v>
      </c>
      <c r="M77" s="5"/>
      <c r="N77" s="5"/>
      <c r="O77" s="5"/>
      <c r="P77" s="22">
        <f>IF(B77="","",IF(K77&lt;&gt;"",K77-B77,TODAY()-B77))</f>
        <v/>
      </c>
      <c r="Q77" s="21">
        <f>IF(OR(J77="",L77="Beantwortet",L77="Geschlossen"),"",IF(TODAY()&gt;J77,"Ja","Nein"))</f>
        <v/>
      </c>
      <c r="R77" s="5"/>
    </row>
    <row r="78" spans="1:18" ht="52" customHeight="1">
      <c r="A78" s="6" t="s">
        <v>1941</v>
      </c>
      <c r="B78" s="7"/>
      <c r="C78" s="5"/>
      <c r="D78" s="5"/>
      <c r="E78" s="5"/>
      <c r="F78" s="5"/>
      <c r="G78" s="5"/>
      <c r="H78" s="5"/>
      <c r="I78" s="5"/>
      <c r="J78" s="7"/>
      <c r="K78" s="7"/>
      <c r="L78" s="5" t="s">
        <v>45</v>
      </c>
      <c r="M78" s="5"/>
      <c r="N78" s="5"/>
      <c r="O78" s="5"/>
      <c r="P78" s="22">
        <f>IF(B78="","",IF(K78&lt;&gt;"",K78-B78,TODAY()-B78))</f>
        <v/>
      </c>
      <c r="Q78" s="21">
        <f>IF(OR(J78="",L78="Beantwortet",L78="Geschlossen"),"",IF(TODAY()&gt;J78,"Ja","Nein"))</f>
        <v/>
      </c>
      <c r="R78" s="5"/>
    </row>
    <row r="79" spans="1:18" ht="52" customHeight="1">
      <c r="A79" s="6" t="s">
        <v>1942</v>
      </c>
      <c r="B79" s="7"/>
      <c r="C79" s="5"/>
      <c r="D79" s="5"/>
      <c r="E79" s="5"/>
      <c r="F79" s="5"/>
      <c r="G79" s="5"/>
      <c r="H79" s="5"/>
      <c r="I79" s="5"/>
      <c r="J79" s="7"/>
      <c r="K79" s="7"/>
      <c r="L79" s="5" t="s">
        <v>45</v>
      </c>
      <c r="M79" s="5"/>
      <c r="N79" s="5"/>
      <c r="O79" s="5"/>
      <c r="P79" s="22">
        <f>IF(B79="","",IF(K79&lt;&gt;"",K79-B79,TODAY()-B79))</f>
        <v/>
      </c>
      <c r="Q79" s="21">
        <f>IF(OR(J79="",L79="Beantwortet",L79="Geschlossen"),"",IF(TODAY()&gt;J79,"Ja","Nein"))</f>
        <v/>
      </c>
      <c r="R79" s="5"/>
    </row>
    <row r="80" spans="1:18" ht="52" customHeight="1">
      <c r="A80" s="6" t="s">
        <v>1943</v>
      </c>
      <c r="B80" s="7"/>
      <c r="C80" s="5"/>
      <c r="D80" s="5"/>
      <c r="E80" s="5"/>
      <c r="F80" s="5"/>
      <c r="G80" s="5"/>
      <c r="H80" s="5"/>
      <c r="I80" s="5"/>
      <c r="J80" s="7"/>
      <c r="K80" s="7"/>
      <c r="L80" s="5" t="s">
        <v>45</v>
      </c>
      <c r="M80" s="5"/>
      <c r="N80" s="5"/>
      <c r="O80" s="5"/>
      <c r="P80" s="22">
        <f>IF(B80="","",IF(K80&lt;&gt;"",K80-B80,TODAY()-B80))</f>
        <v/>
      </c>
      <c r="Q80" s="21">
        <f>IF(OR(J80="",L80="Beantwortet",L80="Geschlossen"),"",IF(TODAY()&gt;J80,"Ja","Nein"))</f>
        <v/>
      </c>
      <c r="R80" s="5"/>
    </row>
    <row r="81" spans="1:18" ht="52" customHeight="1">
      <c r="A81" s="6" t="s">
        <v>1944</v>
      </c>
      <c r="B81" s="7"/>
      <c r="C81" s="5"/>
      <c r="D81" s="5"/>
      <c r="E81" s="5"/>
      <c r="F81" s="5"/>
      <c r="G81" s="5"/>
      <c r="H81" s="5"/>
      <c r="I81" s="5"/>
      <c r="J81" s="7"/>
      <c r="K81" s="7"/>
      <c r="L81" s="5" t="s">
        <v>45</v>
      </c>
      <c r="M81" s="5"/>
      <c r="N81" s="5"/>
      <c r="O81" s="5"/>
      <c r="P81" s="22">
        <f>IF(B81="","",IF(K81&lt;&gt;"",K81-B81,TODAY()-B81))</f>
        <v/>
      </c>
      <c r="Q81" s="21">
        <f>IF(OR(J81="",L81="Beantwortet",L81="Geschlossen"),"",IF(TODAY()&gt;J81,"Ja","Nein"))</f>
        <v/>
      </c>
      <c r="R81" s="5"/>
    </row>
    <row r="82" spans="1:18" ht="52" customHeight="1">
      <c r="A82" s="6" t="s">
        <v>1945</v>
      </c>
      <c r="B82" s="7"/>
      <c r="C82" s="5"/>
      <c r="D82" s="5"/>
      <c r="E82" s="5"/>
      <c r="F82" s="5"/>
      <c r="G82" s="5"/>
      <c r="H82" s="5"/>
      <c r="I82" s="5"/>
      <c r="J82" s="7"/>
      <c r="K82" s="7"/>
      <c r="L82" s="5" t="s">
        <v>45</v>
      </c>
      <c r="M82" s="5"/>
      <c r="N82" s="5"/>
      <c r="O82" s="5"/>
      <c r="P82" s="22">
        <f>IF(B82="","",IF(K82&lt;&gt;"",K82-B82,TODAY()-B82))</f>
        <v/>
      </c>
      <c r="Q82" s="21">
        <f>IF(OR(J82="",L82="Beantwortet",L82="Geschlossen"),"",IF(TODAY()&gt;J82,"Ja","Nein"))</f>
        <v/>
      </c>
      <c r="R82" s="5"/>
    </row>
    <row r="83" spans="1:18" ht="52" customHeight="1">
      <c r="A83" s="6" t="s">
        <v>1946</v>
      </c>
      <c r="B83" s="7"/>
      <c r="C83" s="5"/>
      <c r="D83" s="5"/>
      <c r="E83" s="5"/>
      <c r="F83" s="5"/>
      <c r="G83" s="5"/>
      <c r="H83" s="5"/>
      <c r="I83" s="5"/>
      <c r="J83" s="7"/>
      <c r="K83" s="7"/>
      <c r="L83" s="5" t="s">
        <v>45</v>
      </c>
      <c r="M83" s="5"/>
      <c r="N83" s="5"/>
      <c r="O83" s="5"/>
      <c r="P83" s="22">
        <f>IF(B83="","",IF(K83&lt;&gt;"",K83-B83,TODAY()-B83))</f>
        <v/>
      </c>
      <c r="Q83" s="21">
        <f>IF(OR(J83="",L83="Beantwortet",L83="Geschlossen"),"",IF(TODAY()&gt;J83,"Ja","Nein"))</f>
        <v/>
      </c>
      <c r="R83" s="5"/>
    </row>
    <row r="84" spans="1:18" ht="52" customHeight="1">
      <c r="A84" s="6" t="s">
        <v>1947</v>
      </c>
      <c r="B84" s="7"/>
      <c r="C84" s="5"/>
      <c r="D84" s="5"/>
      <c r="E84" s="5"/>
      <c r="F84" s="5"/>
      <c r="G84" s="5"/>
      <c r="H84" s="5"/>
      <c r="I84" s="5"/>
      <c r="J84" s="7"/>
      <c r="K84" s="7"/>
      <c r="L84" s="5" t="s">
        <v>45</v>
      </c>
      <c r="M84" s="5"/>
      <c r="N84" s="5"/>
      <c r="O84" s="5"/>
      <c r="P84" s="22">
        <f>IF(B84="","",IF(K84&lt;&gt;"",K84-B84,TODAY()-B84))</f>
        <v/>
      </c>
      <c r="Q84" s="21">
        <f>IF(OR(J84="",L84="Beantwortet",L84="Geschlossen"),"",IF(TODAY()&gt;J84,"Ja","Nein"))</f>
        <v/>
      </c>
      <c r="R84" s="5"/>
    </row>
    <row r="85" spans="1:18" ht="52" customHeight="1">
      <c r="A85" s="6" t="s">
        <v>1948</v>
      </c>
      <c r="B85" s="7"/>
      <c r="C85" s="5"/>
      <c r="D85" s="5"/>
      <c r="E85" s="5"/>
      <c r="F85" s="5"/>
      <c r="G85" s="5"/>
      <c r="H85" s="5"/>
      <c r="I85" s="5"/>
      <c r="J85" s="7"/>
      <c r="K85" s="7"/>
      <c r="L85" s="5" t="s">
        <v>45</v>
      </c>
      <c r="M85" s="5"/>
      <c r="N85" s="5"/>
      <c r="O85" s="5"/>
      <c r="P85" s="22">
        <f>IF(B85="","",IF(K85&lt;&gt;"",K85-B85,TODAY()-B85))</f>
        <v/>
      </c>
      <c r="Q85" s="21">
        <f>IF(OR(J85="",L85="Beantwortet",L85="Geschlossen"),"",IF(TODAY()&gt;J85,"Ja","Nein"))</f>
        <v/>
      </c>
      <c r="R85" s="5"/>
    </row>
    <row r="86" spans="1:18" ht="52" customHeight="1">
      <c r="A86" s="6" t="s">
        <v>1949</v>
      </c>
      <c r="B86" s="7"/>
      <c r="C86" s="5"/>
      <c r="D86" s="5"/>
      <c r="E86" s="5"/>
      <c r="F86" s="5"/>
      <c r="G86" s="5"/>
      <c r="H86" s="5"/>
      <c r="I86" s="5"/>
      <c r="J86" s="7"/>
      <c r="K86" s="7"/>
      <c r="L86" s="5" t="s">
        <v>45</v>
      </c>
      <c r="M86" s="5"/>
      <c r="N86" s="5"/>
      <c r="O86" s="5"/>
      <c r="P86" s="22">
        <f>IF(B86="","",IF(K86&lt;&gt;"",K86-B86,TODAY()-B86))</f>
        <v/>
      </c>
      <c r="Q86" s="21">
        <f>IF(OR(J86="",L86="Beantwortet",L86="Geschlossen"),"",IF(TODAY()&gt;J86,"Ja","Nein"))</f>
        <v/>
      </c>
      <c r="R86" s="5"/>
    </row>
    <row r="87" spans="1:18" ht="52" customHeight="1">
      <c r="A87" s="6" t="s">
        <v>1950</v>
      </c>
      <c r="B87" s="7"/>
      <c r="C87" s="5"/>
      <c r="D87" s="5"/>
      <c r="E87" s="5"/>
      <c r="F87" s="5"/>
      <c r="G87" s="5"/>
      <c r="H87" s="5"/>
      <c r="I87" s="5"/>
      <c r="J87" s="7"/>
      <c r="K87" s="7"/>
      <c r="L87" s="5" t="s">
        <v>45</v>
      </c>
      <c r="M87" s="5"/>
      <c r="N87" s="5"/>
      <c r="O87" s="5"/>
      <c r="P87" s="22">
        <f>IF(B87="","",IF(K87&lt;&gt;"",K87-B87,TODAY()-B87))</f>
        <v/>
      </c>
      <c r="Q87" s="21">
        <f>IF(OR(J87="",L87="Beantwortet",L87="Geschlossen"),"",IF(TODAY()&gt;J87,"Ja","Nein"))</f>
        <v/>
      </c>
      <c r="R87" s="5"/>
    </row>
    <row r="88" spans="1:18" ht="52" customHeight="1">
      <c r="A88" s="6" t="s">
        <v>1951</v>
      </c>
      <c r="B88" s="7"/>
      <c r="C88" s="5"/>
      <c r="D88" s="5"/>
      <c r="E88" s="5"/>
      <c r="F88" s="5"/>
      <c r="G88" s="5"/>
      <c r="H88" s="5"/>
      <c r="I88" s="5"/>
      <c r="J88" s="7"/>
      <c r="K88" s="7"/>
      <c r="L88" s="5" t="s">
        <v>45</v>
      </c>
      <c r="M88" s="5"/>
      <c r="N88" s="5"/>
      <c r="O88" s="5"/>
      <c r="P88" s="22">
        <f>IF(B88="","",IF(K88&lt;&gt;"",K88-B88,TODAY()-B88))</f>
        <v/>
      </c>
      <c r="Q88" s="21">
        <f>IF(OR(J88="",L88="Beantwortet",L88="Geschlossen"),"",IF(TODAY()&gt;J88,"Ja","Nein"))</f>
        <v/>
      </c>
      <c r="R88" s="5"/>
    </row>
    <row r="89" spans="1:18" ht="52" customHeight="1">
      <c r="A89" s="6" t="s">
        <v>1952</v>
      </c>
      <c r="B89" s="7"/>
      <c r="C89" s="5"/>
      <c r="D89" s="5"/>
      <c r="E89" s="5"/>
      <c r="F89" s="5"/>
      <c r="G89" s="5"/>
      <c r="H89" s="5"/>
      <c r="I89" s="5"/>
      <c r="J89" s="7"/>
      <c r="K89" s="7"/>
      <c r="L89" s="5" t="s">
        <v>45</v>
      </c>
      <c r="M89" s="5"/>
      <c r="N89" s="5"/>
      <c r="O89" s="5"/>
      <c r="P89" s="22">
        <f>IF(B89="","",IF(K89&lt;&gt;"",K89-B89,TODAY()-B89))</f>
        <v/>
      </c>
      <c r="Q89" s="21">
        <f>IF(OR(J89="",L89="Beantwortet",L89="Geschlossen"),"",IF(TODAY()&gt;J89,"Ja","Nein"))</f>
        <v/>
      </c>
      <c r="R89" s="5"/>
    </row>
    <row r="90" spans="1:18" ht="52" customHeight="1">
      <c r="A90" s="6" t="s">
        <v>1953</v>
      </c>
      <c r="B90" s="7"/>
      <c r="C90" s="5"/>
      <c r="D90" s="5"/>
      <c r="E90" s="5"/>
      <c r="F90" s="5"/>
      <c r="G90" s="5"/>
      <c r="H90" s="5"/>
      <c r="I90" s="5"/>
      <c r="J90" s="7"/>
      <c r="K90" s="7"/>
      <c r="L90" s="5" t="s">
        <v>45</v>
      </c>
      <c r="M90" s="5"/>
      <c r="N90" s="5"/>
      <c r="O90" s="5"/>
      <c r="P90" s="22">
        <f>IF(B90="","",IF(K90&lt;&gt;"",K90-B90,TODAY()-B90))</f>
        <v/>
      </c>
      <c r="Q90" s="21">
        <f>IF(OR(J90="",L90="Beantwortet",L90="Geschlossen"),"",IF(TODAY()&gt;J90,"Ja","Nein"))</f>
        <v/>
      </c>
      <c r="R90" s="5"/>
    </row>
    <row r="91" spans="1:18" ht="52" customHeight="1">
      <c r="A91" s="6" t="s">
        <v>1954</v>
      </c>
      <c r="B91" s="7"/>
      <c r="C91" s="5"/>
      <c r="D91" s="5"/>
      <c r="E91" s="5"/>
      <c r="F91" s="5"/>
      <c r="G91" s="5"/>
      <c r="H91" s="5"/>
      <c r="I91" s="5"/>
      <c r="J91" s="7"/>
      <c r="K91" s="7"/>
      <c r="L91" s="5" t="s">
        <v>45</v>
      </c>
      <c r="M91" s="5"/>
      <c r="N91" s="5"/>
      <c r="O91" s="5"/>
      <c r="P91" s="22">
        <f>IF(B91="","",IF(K91&lt;&gt;"",K91-B91,TODAY()-B91))</f>
        <v/>
      </c>
      <c r="Q91" s="21">
        <f>IF(OR(J91="",L91="Beantwortet",L91="Geschlossen"),"",IF(TODAY()&gt;J91,"Ja","Nein"))</f>
        <v/>
      </c>
      <c r="R91" s="5"/>
    </row>
    <row r="92" spans="1:18" ht="52" customHeight="1">
      <c r="A92" s="6" t="s">
        <v>1955</v>
      </c>
      <c r="B92" s="7"/>
      <c r="C92" s="5"/>
      <c r="D92" s="5"/>
      <c r="E92" s="5"/>
      <c r="F92" s="5"/>
      <c r="G92" s="5"/>
      <c r="H92" s="5"/>
      <c r="I92" s="5"/>
      <c r="J92" s="7"/>
      <c r="K92" s="7"/>
      <c r="L92" s="5" t="s">
        <v>45</v>
      </c>
      <c r="M92" s="5"/>
      <c r="N92" s="5"/>
      <c r="O92" s="5"/>
      <c r="P92" s="22">
        <f>IF(B92="","",IF(K92&lt;&gt;"",K92-B92,TODAY()-B92))</f>
        <v/>
      </c>
      <c r="Q92" s="21">
        <f>IF(OR(J92="",L92="Beantwortet",L92="Geschlossen"),"",IF(TODAY()&gt;J92,"Ja","Nein"))</f>
        <v/>
      </c>
      <c r="R92" s="5"/>
    </row>
    <row r="93" spans="1:18" ht="52" customHeight="1">
      <c r="A93" s="6" t="s">
        <v>1956</v>
      </c>
      <c r="B93" s="7"/>
      <c r="C93" s="5"/>
      <c r="D93" s="5"/>
      <c r="E93" s="5"/>
      <c r="F93" s="5"/>
      <c r="G93" s="5"/>
      <c r="H93" s="5"/>
      <c r="I93" s="5"/>
      <c r="J93" s="7"/>
      <c r="K93" s="7"/>
      <c r="L93" s="5" t="s">
        <v>45</v>
      </c>
      <c r="M93" s="5"/>
      <c r="N93" s="5"/>
      <c r="O93" s="5"/>
      <c r="P93" s="22">
        <f>IF(B93="","",IF(K93&lt;&gt;"",K93-B93,TODAY()-B93))</f>
        <v/>
      </c>
      <c r="Q93" s="21">
        <f>IF(OR(J93="",L93="Beantwortet",L93="Geschlossen"),"",IF(TODAY()&gt;J93,"Ja","Nein"))</f>
        <v/>
      </c>
      <c r="R93" s="5"/>
    </row>
    <row r="94" spans="1:18" ht="52" customHeight="1">
      <c r="A94" s="6" t="s">
        <v>1957</v>
      </c>
      <c r="B94" s="7"/>
      <c r="C94" s="5"/>
      <c r="D94" s="5"/>
      <c r="E94" s="5"/>
      <c r="F94" s="5"/>
      <c r="G94" s="5"/>
      <c r="H94" s="5"/>
      <c r="I94" s="5"/>
      <c r="J94" s="7"/>
      <c r="K94" s="7"/>
      <c r="L94" s="5" t="s">
        <v>45</v>
      </c>
      <c r="M94" s="5"/>
      <c r="N94" s="5"/>
      <c r="O94" s="5"/>
      <c r="P94" s="22">
        <f>IF(B94="","",IF(K94&lt;&gt;"",K94-B94,TODAY()-B94))</f>
        <v/>
      </c>
      <c r="Q94" s="21">
        <f>IF(OR(J94="",L94="Beantwortet",L94="Geschlossen"),"",IF(TODAY()&gt;J94,"Ja","Nein"))</f>
        <v/>
      </c>
      <c r="R94" s="5"/>
    </row>
    <row r="95" spans="1:18" ht="52" customHeight="1">
      <c r="A95" s="6" t="s">
        <v>1958</v>
      </c>
      <c r="B95" s="7"/>
      <c r="C95" s="5"/>
      <c r="D95" s="5"/>
      <c r="E95" s="5"/>
      <c r="F95" s="5"/>
      <c r="G95" s="5"/>
      <c r="H95" s="5"/>
      <c r="I95" s="5"/>
      <c r="J95" s="7"/>
      <c r="K95" s="7"/>
      <c r="L95" s="5" t="s">
        <v>45</v>
      </c>
      <c r="M95" s="5"/>
      <c r="N95" s="5"/>
      <c r="O95" s="5"/>
      <c r="P95" s="22">
        <f>IF(B95="","",IF(K95&lt;&gt;"",K95-B95,TODAY()-B95))</f>
        <v/>
      </c>
      <c r="Q95" s="21">
        <f>IF(OR(J95="",L95="Beantwortet",L95="Geschlossen"),"",IF(TODAY()&gt;J95,"Ja","Nein"))</f>
        <v/>
      </c>
      <c r="R95" s="5"/>
    </row>
    <row r="96" spans="1:18" ht="52" customHeight="1">
      <c r="A96" s="6" t="s">
        <v>1959</v>
      </c>
      <c r="B96" s="7"/>
      <c r="C96" s="5"/>
      <c r="D96" s="5"/>
      <c r="E96" s="5"/>
      <c r="F96" s="5"/>
      <c r="G96" s="5"/>
      <c r="H96" s="5"/>
      <c r="I96" s="5"/>
      <c r="J96" s="7"/>
      <c r="K96" s="7"/>
      <c r="L96" s="5" t="s">
        <v>45</v>
      </c>
      <c r="M96" s="5"/>
      <c r="N96" s="5"/>
      <c r="O96" s="5"/>
      <c r="P96" s="22">
        <f>IF(B96="","",IF(K96&lt;&gt;"",K96-B96,TODAY()-B96))</f>
        <v/>
      </c>
      <c r="Q96" s="21">
        <f>IF(OR(J96="",L96="Beantwortet",L96="Geschlossen"),"",IF(TODAY()&gt;J96,"Ja","Nein"))</f>
        <v/>
      </c>
      <c r="R96" s="5"/>
    </row>
    <row r="97" spans="1:18" ht="52" customHeight="1">
      <c r="A97" s="6" t="s">
        <v>1960</v>
      </c>
      <c r="B97" s="7"/>
      <c r="C97" s="5"/>
      <c r="D97" s="5"/>
      <c r="E97" s="5"/>
      <c r="F97" s="5"/>
      <c r="G97" s="5"/>
      <c r="H97" s="5"/>
      <c r="I97" s="5"/>
      <c r="J97" s="7"/>
      <c r="K97" s="7"/>
      <c r="L97" s="5" t="s">
        <v>45</v>
      </c>
      <c r="M97" s="5"/>
      <c r="N97" s="5"/>
      <c r="O97" s="5"/>
      <c r="P97" s="22">
        <f>IF(B97="","",IF(K97&lt;&gt;"",K97-B97,TODAY()-B97))</f>
        <v/>
      </c>
      <c r="Q97" s="21">
        <f>IF(OR(J97="",L97="Beantwortet",L97="Geschlossen"),"",IF(TODAY()&gt;J97,"Ja","Nein"))</f>
        <v/>
      </c>
      <c r="R97" s="5"/>
    </row>
    <row r="98" spans="1:18" ht="52" customHeight="1">
      <c r="A98" s="6" t="s">
        <v>1961</v>
      </c>
      <c r="B98" s="7"/>
      <c r="C98" s="5"/>
      <c r="D98" s="5"/>
      <c r="E98" s="5"/>
      <c r="F98" s="5"/>
      <c r="G98" s="5"/>
      <c r="H98" s="5"/>
      <c r="I98" s="5"/>
      <c r="J98" s="7"/>
      <c r="K98" s="7"/>
      <c r="L98" s="5" t="s">
        <v>45</v>
      </c>
      <c r="M98" s="5"/>
      <c r="N98" s="5"/>
      <c r="O98" s="5"/>
      <c r="P98" s="22">
        <f>IF(B98="","",IF(K98&lt;&gt;"",K98-B98,TODAY()-B98))</f>
        <v/>
      </c>
      <c r="Q98" s="21">
        <f>IF(OR(J98="",L98="Beantwortet",L98="Geschlossen"),"",IF(TODAY()&gt;J98,"Ja","Nein"))</f>
        <v/>
      </c>
      <c r="R98" s="5"/>
    </row>
    <row r="99" spans="1:18" ht="52" customHeight="1">
      <c r="A99" s="6" t="s">
        <v>1962</v>
      </c>
      <c r="B99" s="7"/>
      <c r="C99" s="5"/>
      <c r="D99" s="5"/>
      <c r="E99" s="5"/>
      <c r="F99" s="5"/>
      <c r="G99" s="5"/>
      <c r="H99" s="5"/>
      <c r="I99" s="5"/>
      <c r="J99" s="7"/>
      <c r="K99" s="7"/>
      <c r="L99" s="5" t="s">
        <v>45</v>
      </c>
      <c r="M99" s="5"/>
      <c r="N99" s="5"/>
      <c r="O99" s="5"/>
      <c r="P99" s="22">
        <f>IF(B99="","",IF(K99&lt;&gt;"",K99-B99,TODAY()-B99))</f>
        <v/>
      </c>
      <c r="Q99" s="21">
        <f>IF(OR(J99="",L99="Beantwortet",L99="Geschlossen"),"",IF(TODAY()&gt;J99,"Ja","Nein"))</f>
        <v/>
      </c>
      <c r="R99" s="5"/>
    </row>
    <row r="100" spans="1:18" ht="52" customHeight="1">
      <c r="A100" s="6" t="s">
        <v>1963</v>
      </c>
      <c r="B100" s="7"/>
      <c r="C100" s="5"/>
      <c r="D100" s="5"/>
      <c r="E100" s="5"/>
      <c r="F100" s="5"/>
      <c r="G100" s="5"/>
      <c r="H100" s="5"/>
      <c r="I100" s="5"/>
      <c r="J100" s="7"/>
      <c r="K100" s="7"/>
      <c r="L100" s="5" t="s">
        <v>45</v>
      </c>
      <c r="M100" s="5"/>
      <c r="N100" s="5"/>
      <c r="O100" s="5"/>
      <c r="P100" s="22">
        <f>IF(B100="","",IF(K100&lt;&gt;"",K100-B100,TODAY()-B100))</f>
        <v/>
      </c>
      <c r="Q100" s="21">
        <f>IF(OR(J100="",L100="Beantwortet",L100="Geschlossen"),"",IF(TODAY()&gt;J100,"Ja","Nein"))</f>
        <v/>
      </c>
      <c r="R100" s="5"/>
    </row>
    <row r="101" spans="1:18" ht="52" customHeight="1">
      <c r="A101" s="6" t="s">
        <v>1964</v>
      </c>
      <c r="B101" s="7"/>
      <c r="C101" s="5"/>
      <c r="D101" s="5"/>
      <c r="E101" s="5"/>
      <c r="F101" s="5"/>
      <c r="G101" s="5"/>
      <c r="H101" s="5"/>
      <c r="I101" s="5"/>
      <c r="J101" s="7"/>
      <c r="K101" s="7"/>
      <c r="L101" s="5" t="s">
        <v>45</v>
      </c>
      <c r="M101" s="5"/>
      <c r="N101" s="5"/>
      <c r="O101" s="5"/>
      <c r="P101" s="22">
        <f>IF(B101="","",IF(K101&lt;&gt;"",K101-B101,TODAY()-B101))</f>
        <v/>
      </c>
      <c r="Q101" s="21">
        <f>IF(OR(J101="",L101="Beantwortet",L101="Geschlossen"),"",IF(TODAY()&gt;J101,"Ja","Nein"))</f>
        <v/>
      </c>
      <c r="R101" s="5"/>
    </row>
    <row r="102" spans="1:18" ht="52" customHeight="1">
      <c r="A102" s="6" t="s">
        <v>1965</v>
      </c>
      <c r="B102" s="7"/>
      <c r="C102" s="5"/>
      <c r="D102" s="5"/>
      <c r="E102" s="5"/>
      <c r="F102" s="5"/>
      <c r="G102" s="5"/>
      <c r="H102" s="5"/>
      <c r="I102" s="5"/>
      <c r="J102" s="7"/>
      <c r="K102" s="7"/>
      <c r="L102" s="5" t="s">
        <v>45</v>
      </c>
      <c r="M102" s="5"/>
      <c r="N102" s="5"/>
      <c r="O102" s="5"/>
      <c r="P102" s="22">
        <f>IF(B102="","",IF(K102&lt;&gt;"",K102-B102,TODAY()-B102))</f>
        <v/>
      </c>
      <c r="Q102" s="21">
        <f>IF(OR(J102="",L102="Beantwortet",L102="Geschlossen"),"",IF(TODAY()&gt;J102,"Ja","Nein"))</f>
        <v/>
      </c>
      <c r="R102" s="5"/>
    </row>
    <row r="103" spans="1:18" ht="52" customHeight="1">
      <c r="A103" s="6" t="s">
        <v>1966</v>
      </c>
      <c r="B103" s="7"/>
      <c r="C103" s="5"/>
      <c r="D103" s="5"/>
      <c r="E103" s="5"/>
      <c r="F103" s="5"/>
      <c r="G103" s="5"/>
      <c r="H103" s="5"/>
      <c r="I103" s="5"/>
      <c r="J103" s="7"/>
      <c r="K103" s="7"/>
      <c r="L103" s="5" t="s">
        <v>45</v>
      </c>
      <c r="M103" s="5"/>
      <c r="N103" s="5"/>
      <c r="O103" s="5"/>
      <c r="P103" s="22">
        <f>IF(B103="","",IF(K103&lt;&gt;"",K103-B103,TODAY()-B103))</f>
        <v/>
      </c>
      <c r="Q103" s="21">
        <f>IF(OR(J103="",L103="Beantwortet",L103="Geschlossen"),"",IF(TODAY()&gt;J103,"Ja","Nein"))</f>
        <v/>
      </c>
      <c r="R103" s="5"/>
    </row>
    <row r="104" spans="1:18" ht="52" customHeight="1">
      <c r="A104" s="6" t="s">
        <v>1967</v>
      </c>
      <c r="B104" s="7"/>
      <c r="C104" s="5"/>
      <c r="D104" s="5"/>
      <c r="E104" s="5"/>
      <c r="F104" s="5"/>
      <c r="G104" s="5"/>
      <c r="H104" s="5"/>
      <c r="I104" s="5"/>
      <c r="J104" s="7"/>
      <c r="K104" s="7"/>
      <c r="L104" s="5" t="s">
        <v>45</v>
      </c>
      <c r="M104" s="5"/>
      <c r="N104" s="5"/>
      <c r="O104" s="5"/>
      <c r="P104" s="22">
        <f>IF(B104="","",IF(K104&lt;&gt;"",K104-B104,TODAY()-B104))</f>
        <v/>
      </c>
      <c r="Q104" s="21">
        <f>IF(OR(J104="",L104="Beantwortet",L104="Geschlossen"),"",IF(TODAY()&gt;J104,"Ja","Nein"))</f>
        <v/>
      </c>
      <c r="R104" s="5"/>
    </row>
  </sheetData>
  <mergeCells count="2">
    <mergeCell ref="A1:R1"/>
    <mergeCell ref="A2:R2"/>
  </mergeCells>
  <conditionalFormatting sqref="G5:Q104">
    <cfRule type="containsText" dxfId="0" priority="1" operator="containsText" text="Abgeschlossen">
      <formula>NOT(ISERROR(SEARCH("Abgeschlossen",G5)))</formula>
    </cfRule>
    <cfRule type="containsText" dxfId="0" priority="2" operator="containsText" text="Vollständig">
      <formula>NOT(ISERROR(SEARCH("Vollständig",G5)))</formula>
    </cfRule>
    <cfRule type="containsText" dxfId="0" priority="3" operator="containsText" text="Erledigt">
      <formula>NOT(ISERROR(SEARCH("Erledigt",G5)))</formula>
    </cfRule>
    <cfRule type="containsText" dxfId="1" priority="4" operator="containsText" text="Blockiert">
      <formula>NOT(ISERROR(SEARCH("Blockiert",G5)))</formula>
    </cfRule>
    <cfRule type="containsText" dxfId="1" priority="5" operator="containsText" text="Kritisch">
      <formula>NOT(ISERROR(SEARCH("Kritisch",G5)))</formula>
    </cfRule>
    <cfRule type="containsText" dxfId="1" priority="6" operator="containsText" text="Überfällig">
      <formula>NOT(ISERROR(SEARCH("Überfällig",G5)))</formula>
    </cfRule>
    <cfRule type="containsText" dxfId="2" priority="7" operator="containsText" text="In Prüfung">
      <formula>NOT(ISERROR(SEARCH("In Prüfung",G5)))</formula>
    </cfRule>
    <cfRule type="containsText" dxfId="2" priority="8" operator="containsText" text="In Arbeit">
      <formula>NOT(ISERROR(SEARCH("In Arbeit",G5)))</formula>
    </cfRule>
  </conditionalFormatting>
  <dataValidations count="8">
    <dataValidation type="date" allowBlank="1" showInputMessage="1" showErrorMessage="1" errorTitle="Eingabe prüfen" error="Bitte die vorgegebene Auswahl bzw. das geforderte Format verwenden." promptTitle="Erstellt am" prompt="Datum der erstmaligen Erfassung." sqref="B5:B104">
      <formula1>36526</formula1>
      <formula2>73415</formula2>
    </dataValidation>
    <dataValidation allowBlank="1" showInputMessage="1" showErrorMessage="1" errorTitle="Eingabe prüfen" error="Bitte die vorgegebene Auswahl bzw. das geforderte Format verwenden." promptTitle="Q&amp;A-Inhalt" prompt="Bereich, Referenz, eine klare Frage und ihren Entscheidungskontext erfassen." sqref="C5:F104"/>
    <dataValidation type="list" allowBlank="1" showInputMessage="1" showErrorMessage="1" errorTitle="Eingabe prüfen" error="Bitte die vorgegebene Auswahl bzw. das geforderte Format verwenden." promptTitle="Priorität" prompt="Dringlichkeit nach Deal-Entscheidung und kritischem Pfad wählen." sqref="G5:G104">
      <formula1>Prioritaet</formula1>
    </dataValidation>
    <dataValidation allowBlank="1" showInputMessage="1" showErrorMessage="1" errorTitle="Eingabe prüfen" error="Bitte die vorgegebene Auswahl bzw. das geforderte Format verwenden." promptTitle="Q&amp;A-Verantwortung" prompt="Empfänger und Fragesteller jeweils namentlich oder als eindeutige Rolle erfassen." sqref="H5:I104"/>
    <dataValidation type="date" allowBlank="1" showInputMessage="1" showErrorMessage="1" errorTitle="Eingabe prüfen" error="Bitte die vorgegebene Auswahl bzw. das geforderte Format verwenden." promptTitle="Q&amp;A-Termin" prompt="Fälligkeit bzw. Antwortdatum im Format TT.MM.JJJJ." sqref="J5:K104">
      <formula1>36526</formula1>
      <formula2>73415</formula2>
    </dataValidation>
    <dataValidation type="list" allowBlank="1" showInputMessage="1" showErrorMessage="1" errorTitle="Eingabe prüfen" error="Bitte die vorgegebene Auswahl bzw. das geforderte Format verwenden." promptTitle="Q&amp;A-Status" prompt="„Beantwortet“ erst bei vollständiger, evidenzbasierter Antwort wählen." sqref="L5:L104">
      <formula1>QAStatus</formula1>
    </dataValidation>
    <dataValidation allowBlank="1" showInputMessage="1" showErrorMessage="1" errorTitle="Eingabe prüfen" error="Bitte die vorgegebene Auswahl bzw. das geforderte Format verwenden." promptTitle="Antwort / Nachweis" prompt="Antwort, konkrete VDR-Evidenz und ggf. nächste Nachfrage dokumentieren." sqref="M5:O104"/>
    <dataValidation allowBlank="1" showInputMessage="1" showErrorMessage="1" errorTitle="Eingabe prüfen" error="Bitte die vorgegebene Auswahl bzw. das geforderte Format verwenden." promptTitle="Reviewer" prompt="Fachlichen Prüfer der Antwort eintragen." sqref="R5:R104"/>
  </dataValidations>
  <pageMargins left="0.7" right="0.7" top="0.75" bottom="0.75" header="0.3" footer="0.3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1F4E78"/>
  </sheetPr>
  <dimension ref="A1:I42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0.7109375" customWidth="1"/>
    <col min="2" max="6" width="15.7109375" customWidth="1"/>
    <col min="7" max="8" width="18.7109375" customWidth="1"/>
    <col min="9" max="9" width="38.7109375" customWidth="1"/>
  </cols>
  <sheetData>
    <row r="1" spans="1:9" ht="30" customHeight="1">
      <c r="A1" s="1" t="s">
        <v>1981</v>
      </c>
      <c r="B1" s="1"/>
      <c r="C1" s="1"/>
      <c r="D1" s="1"/>
      <c r="E1" s="1"/>
      <c r="F1" s="1"/>
      <c r="G1" s="1"/>
      <c r="H1" s="1"/>
      <c r="I1" s="1"/>
    </row>
    <row r="2" spans="1:9" ht="34" customHeight="1">
      <c r="A2" s="2" t="s">
        <v>1982</v>
      </c>
      <c r="B2" s="2"/>
      <c r="C2" s="2"/>
      <c r="D2" s="2"/>
      <c r="E2" s="2"/>
      <c r="F2" s="2"/>
      <c r="G2" s="2"/>
      <c r="H2" s="2"/>
      <c r="I2" s="2"/>
    </row>
    <row r="4" spans="1:9">
      <c r="A4" s="9" t="s">
        <v>1983</v>
      </c>
      <c r="B4" s="5" t="s">
        <v>1984</v>
      </c>
      <c r="C4" s="5" t="s">
        <v>1985</v>
      </c>
      <c r="D4" s="5" t="s">
        <v>1986</v>
      </c>
      <c r="E4" s="5" t="s">
        <v>1987</v>
      </c>
      <c r="F4" s="5" t="s">
        <v>1988</v>
      </c>
      <c r="G4" s="9" t="s">
        <v>1989</v>
      </c>
      <c r="H4" s="9" t="s">
        <v>1990</v>
      </c>
      <c r="I4" s="9" t="s">
        <v>1991</v>
      </c>
    </row>
    <row r="5" spans="1:9">
      <c r="A5" s="6" t="s">
        <v>1992</v>
      </c>
      <c r="B5" s="8"/>
      <c r="C5" s="8"/>
      <c r="D5" s="8"/>
      <c r="E5" s="8"/>
      <c r="F5" s="8"/>
      <c r="G5" s="27">
        <f>IFERROR(E5/D5-1,"")</f>
        <v/>
      </c>
      <c r="H5" s="27">
        <f>IFERROR(E5/F5-1,"")</f>
        <v/>
      </c>
      <c r="I5" s="5"/>
    </row>
    <row r="6" spans="1:9">
      <c r="A6" s="6" t="s">
        <v>1993</v>
      </c>
      <c r="B6" s="8"/>
      <c r="C6" s="8"/>
      <c r="D6" s="8"/>
      <c r="E6" s="8"/>
      <c r="F6" s="8"/>
      <c r="G6" s="27">
        <f>IFERROR(E6/D6-1,"")</f>
        <v/>
      </c>
      <c r="H6" s="27">
        <f>IFERROR(E6/F6-1,"")</f>
        <v/>
      </c>
      <c r="I6" s="5"/>
    </row>
    <row r="7" spans="1:9">
      <c r="A7" s="4" t="s">
        <v>1994</v>
      </c>
      <c r="B7" s="21">
        <f>B5-B6</f>
        <v>0</v>
      </c>
      <c r="C7" s="21">
        <f>C5-C6</f>
        <v>0</v>
      </c>
      <c r="D7" s="21">
        <f>D5-D6</f>
        <v>0</v>
      </c>
      <c r="E7" s="21">
        <f>E5-E6</f>
        <v>0</v>
      </c>
      <c r="F7" s="21">
        <f>F5-F6</f>
        <v>0</v>
      </c>
      <c r="G7" s="27">
        <f>IFERROR(E7/D7-1,"")</f>
        <v/>
      </c>
      <c r="H7" s="27">
        <f>IFERROR(E7/F7-1,"")</f>
        <v/>
      </c>
      <c r="I7" s="5"/>
    </row>
    <row r="8" spans="1:9">
      <c r="A8" s="4" t="s">
        <v>333</v>
      </c>
      <c r="B8" s="27">
        <f>IFERROR(B7/B5,"")</f>
        <v/>
      </c>
      <c r="C8" s="27">
        <f>IFERROR(C7/C5,"")</f>
        <v/>
      </c>
      <c r="D8" s="27">
        <f>IFERROR(D7/D5,"")</f>
        <v/>
      </c>
      <c r="E8" s="27">
        <f>IFERROR(E7/E5,"")</f>
        <v/>
      </c>
      <c r="F8" s="27">
        <f>IFERROR(F7/F5,"")</f>
        <v/>
      </c>
      <c r="G8" s="27">
        <f>IFERROR(E8/D8-1,"")</f>
        <v/>
      </c>
      <c r="H8" s="27">
        <f>IFERROR(E8/F8-1,"")</f>
        <v/>
      </c>
      <c r="I8" s="5"/>
    </row>
    <row r="9" spans="1:9">
      <c r="A9" s="6" t="s">
        <v>1995</v>
      </c>
      <c r="B9" s="8"/>
      <c r="C9" s="8"/>
      <c r="D9" s="8"/>
      <c r="E9" s="8"/>
      <c r="F9" s="8"/>
      <c r="G9" s="27">
        <f>IFERROR(E9/D9-1,"")</f>
        <v/>
      </c>
      <c r="H9" s="27">
        <f>IFERROR(E9/F9-1,"")</f>
        <v/>
      </c>
      <c r="I9" s="5"/>
    </row>
    <row r="10" spans="1:9">
      <c r="A10" s="6" t="s">
        <v>1996</v>
      </c>
      <c r="B10" s="8"/>
      <c r="C10" s="8"/>
      <c r="D10" s="8"/>
      <c r="E10" s="8"/>
      <c r="F10" s="8"/>
      <c r="G10" s="27">
        <f>IFERROR(E10/D10-1,"")</f>
        <v/>
      </c>
      <c r="H10" s="27">
        <f>IFERROR(E10/F10-1,"")</f>
        <v/>
      </c>
      <c r="I10" s="5"/>
    </row>
    <row r="11" spans="1:9">
      <c r="A11" s="6" t="s">
        <v>1997</v>
      </c>
      <c r="B11" s="8"/>
      <c r="C11" s="8"/>
      <c r="D11" s="8"/>
      <c r="E11" s="8"/>
      <c r="F11" s="8"/>
      <c r="G11" s="27">
        <f>IFERROR(E11/D11-1,"")</f>
        <v/>
      </c>
      <c r="H11" s="27">
        <f>IFERROR(E11/F11-1,"")</f>
        <v/>
      </c>
      <c r="I11" s="5"/>
    </row>
    <row r="12" spans="1:9">
      <c r="A12" s="6" t="s">
        <v>1998</v>
      </c>
      <c r="B12" s="8"/>
      <c r="C12" s="8"/>
      <c r="D12" s="8"/>
      <c r="E12" s="8"/>
      <c r="F12" s="8"/>
      <c r="G12" s="27">
        <f>IFERROR(E12/D12-1,"")</f>
        <v/>
      </c>
      <c r="H12" s="27">
        <f>IFERROR(E12/F12-1,"")</f>
        <v/>
      </c>
      <c r="I12" s="5"/>
    </row>
    <row r="13" spans="1:9">
      <c r="A13" s="4" t="s">
        <v>1999</v>
      </c>
      <c r="B13" s="21">
        <f>B11+B12</f>
        <v>0</v>
      </c>
      <c r="C13" s="21">
        <f>C11+C12</f>
        <v>0</v>
      </c>
      <c r="D13" s="21">
        <f>D11+D12</f>
        <v>0</v>
      </c>
      <c r="E13" s="21">
        <f>E11+E12</f>
        <v>0</v>
      </c>
      <c r="F13" s="21">
        <f>F11+F12</f>
        <v>0</v>
      </c>
      <c r="G13" s="27">
        <f>IFERROR(E13/D13-1,"")</f>
        <v/>
      </c>
      <c r="H13" s="27">
        <f>IFERROR(E13/F13-1,"")</f>
        <v/>
      </c>
      <c r="I13" s="5"/>
    </row>
    <row r="14" spans="1:9">
      <c r="A14" s="4" t="s">
        <v>2000</v>
      </c>
      <c r="B14" s="27">
        <f>IFERROR(B13/B5,"")</f>
        <v/>
      </c>
      <c r="C14" s="27">
        <f>IFERROR(C13/C5,"")</f>
        <v/>
      </c>
      <c r="D14" s="27">
        <f>IFERROR(D13/D5,"")</f>
        <v/>
      </c>
      <c r="E14" s="27">
        <f>IFERROR(E13/E5,"")</f>
        <v/>
      </c>
      <c r="F14" s="27">
        <f>IFERROR(F13/F5,"")</f>
        <v/>
      </c>
      <c r="G14" s="27">
        <f>IFERROR(E14/D14-1,"")</f>
        <v/>
      </c>
      <c r="H14" s="27">
        <f>IFERROR(E14/F14-1,"")</f>
        <v/>
      </c>
      <c r="I14" s="5"/>
    </row>
    <row r="15" spans="1:9">
      <c r="A15" s="6" t="s">
        <v>2001</v>
      </c>
      <c r="B15" s="8"/>
      <c r="C15" s="8"/>
      <c r="D15" s="8"/>
      <c r="E15" s="8"/>
      <c r="F15" s="8"/>
      <c r="G15" s="27">
        <f>IFERROR(E15/D15-1,"")</f>
        <v/>
      </c>
      <c r="H15" s="27">
        <f>IFERROR(E15/F15-1,"")</f>
        <v/>
      </c>
      <c r="I15" s="5"/>
    </row>
    <row r="16" spans="1:9">
      <c r="A16" s="4" t="s">
        <v>2002</v>
      </c>
      <c r="B16" s="21">
        <f>B13-B15</f>
        <v>0</v>
      </c>
      <c r="C16" s="21">
        <f>C13-C15</f>
        <v>0</v>
      </c>
      <c r="D16" s="21">
        <f>D13-D15</f>
        <v>0</v>
      </c>
      <c r="E16" s="21">
        <f>E13-E15</f>
        <v>0</v>
      </c>
      <c r="F16" s="21">
        <f>F13-F15</f>
        <v>0</v>
      </c>
      <c r="G16" s="27">
        <f>IFERROR(E16/D16-1,"")</f>
        <v/>
      </c>
      <c r="H16" s="27">
        <f>IFERROR(E16/F16-1,"")</f>
        <v/>
      </c>
      <c r="I16" s="5"/>
    </row>
    <row r="17" spans="1:9">
      <c r="A17" s="6" t="s">
        <v>2003</v>
      </c>
      <c r="B17" s="8"/>
      <c r="C17" s="8"/>
      <c r="D17" s="8"/>
      <c r="E17" s="8"/>
      <c r="F17" s="8"/>
      <c r="G17" s="27">
        <f>IFERROR(E17/D17-1,"")</f>
        <v/>
      </c>
      <c r="H17" s="27">
        <f>IFERROR(E17/F17-1,"")</f>
        <v/>
      </c>
      <c r="I17" s="5"/>
    </row>
    <row r="18" spans="1:9">
      <c r="A18" s="6" t="s">
        <v>500</v>
      </c>
      <c r="B18" s="8"/>
      <c r="C18" s="8"/>
      <c r="D18" s="8"/>
      <c r="E18" s="8"/>
      <c r="F18" s="8"/>
      <c r="G18" s="27">
        <f>IFERROR(E18/D18-1,"")</f>
        <v/>
      </c>
      <c r="H18" s="27">
        <f>IFERROR(E18/F18-1,"")</f>
        <v/>
      </c>
      <c r="I18" s="5"/>
    </row>
    <row r="19" spans="1:9">
      <c r="A19" s="4" t="s">
        <v>2004</v>
      </c>
      <c r="B19" s="21">
        <f>B16-B17-B18</f>
        <v>0</v>
      </c>
      <c r="C19" s="21">
        <f>C16-C17-C18</f>
        <v>0</v>
      </c>
      <c r="D19" s="21">
        <f>D16-D17-D18</f>
        <v>0</v>
      </c>
      <c r="E19" s="21">
        <f>E16-E17-E18</f>
        <v>0</v>
      </c>
      <c r="F19" s="21">
        <f>F16-F17-F18</f>
        <v>0</v>
      </c>
      <c r="G19" s="27">
        <f>IFERROR(E19/D19-1,"")</f>
        <v/>
      </c>
      <c r="H19" s="27">
        <f>IFERROR(E19/F19-1,"")</f>
        <v/>
      </c>
      <c r="I19" s="5"/>
    </row>
    <row r="20" spans="1:9">
      <c r="A20" s="6" t="s">
        <v>2005</v>
      </c>
      <c r="B20" s="8"/>
      <c r="C20" s="8"/>
      <c r="D20" s="8"/>
      <c r="E20" s="8"/>
      <c r="F20" s="8"/>
      <c r="G20" s="27">
        <f>IFERROR(E20/D20-1,"")</f>
        <v/>
      </c>
      <c r="H20" s="27">
        <f>IFERROR(E20/F20-1,"")</f>
        <v/>
      </c>
      <c r="I20" s="5"/>
    </row>
    <row r="21" spans="1:9">
      <c r="A21" s="6" t="s">
        <v>373</v>
      </c>
      <c r="B21" s="8"/>
      <c r="C21" s="8"/>
      <c r="D21" s="8"/>
      <c r="E21" s="8"/>
      <c r="F21" s="8"/>
      <c r="G21" s="27">
        <f>IFERROR(E21/D21-1,"")</f>
        <v/>
      </c>
      <c r="H21" s="27">
        <f>IFERROR(E21/F21-1,"")</f>
        <v/>
      </c>
      <c r="I21" s="5"/>
    </row>
    <row r="22" spans="1:9">
      <c r="A22" s="4" t="s">
        <v>2006</v>
      </c>
      <c r="B22" s="21">
        <f>B20-B21</f>
        <v>0</v>
      </c>
      <c r="C22" s="21">
        <f>C20-C21</f>
        <v>0</v>
      </c>
      <c r="D22" s="21">
        <f>D20-D21</f>
        <v>0</v>
      </c>
      <c r="E22" s="21">
        <f>E20-E21</f>
        <v>0</v>
      </c>
      <c r="F22" s="21">
        <f>F20-F21</f>
        <v>0</v>
      </c>
      <c r="G22" s="27">
        <f>IFERROR(E22/D22-1,"")</f>
        <v/>
      </c>
      <c r="H22" s="27">
        <f>IFERROR(E22/F22-1,"")</f>
        <v/>
      </c>
      <c r="I22" s="5"/>
    </row>
    <row r="23" spans="1:9">
      <c r="A23" s="6" t="s">
        <v>2007</v>
      </c>
      <c r="B23" s="8"/>
      <c r="C23" s="8"/>
      <c r="D23" s="8"/>
      <c r="E23" s="8"/>
      <c r="F23" s="8"/>
      <c r="G23" s="27">
        <f>IFERROR(E23/D23-1,"")</f>
        <v/>
      </c>
      <c r="H23" s="27">
        <f>IFERROR(E23/F23-1,"")</f>
        <v/>
      </c>
      <c r="I23" s="5"/>
    </row>
    <row r="24" spans="1:9">
      <c r="A24" s="6" t="s">
        <v>2008</v>
      </c>
      <c r="B24" s="8"/>
      <c r="C24" s="8"/>
      <c r="D24" s="8"/>
      <c r="E24" s="8"/>
      <c r="F24" s="8"/>
      <c r="G24" s="27">
        <f>IFERROR(E24/D24-1,"")</f>
        <v/>
      </c>
      <c r="H24" s="27">
        <f>IFERROR(E24/F24-1,"")</f>
        <v/>
      </c>
      <c r="I24" s="5"/>
    </row>
    <row r="25" spans="1:9">
      <c r="A25" s="6" t="s">
        <v>2009</v>
      </c>
      <c r="B25" s="8"/>
      <c r="C25" s="8"/>
      <c r="D25" s="8"/>
      <c r="E25" s="8"/>
      <c r="F25" s="8"/>
      <c r="G25" s="27">
        <f>IFERROR(E25/D25-1,"")</f>
        <v/>
      </c>
      <c r="H25" s="27">
        <f>IFERROR(E25/F25-1,"")</f>
        <v/>
      </c>
      <c r="I25" s="5"/>
    </row>
    <row r="26" spans="1:9">
      <c r="A26" s="6" t="s">
        <v>2010</v>
      </c>
      <c r="B26" s="8"/>
      <c r="C26" s="8"/>
      <c r="D26" s="8"/>
      <c r="E26" s="8"/>
      <c r="F26" s="8"/>
      <c r="G26" s="27">
        <f>IFERROR(E26/D26-1,"")</f>
        <v/>
      </c>
      <c r="H26" s="27">
        <f>IFERROR(E26/F26-1,"")</f>
        <v/>
      </c>
      <c r="I26" s="5"/>
    </row>
    <row r="27" spans="1:9">
      <c r="A27" s="4" t="s">
        <v>357</v>
      </c>
      <c r="B27" s="21">
        <f>B24+B25+B26-B23</f>
        <v>0</v>
      </c>
      <c r="C27" s="21">
        <f>C24+C25+C26-C23</f>
        <v>0</v>
      </c>
      <c r="D27" s="21">
        <f>D24+D25+D26-D23</f>
        <v>0</v>
      </c>
      <c r="E27" s="21">
        <f>E24+E25+E26-E23</f>
        <v>0</v>
      </c>
      <c r="F27" s="21">
        <f>F24+F25+F26-F23</f>
        <v>0</v>
      </c>
      <c r="G27" s="27">
        <f>IFERROR(E27/D27-1,"")</f>
        <v/>
      </c>
      <c r="H27" s="27">
        <f>IFERROR(E27/F27-1,"")</f>
        <v/>
      </c>
      <c r="I27" s="5"/>
    </row>
    <row r="28" spans="1:9">
      <c r="A28" s="6" t="s">
        <v>2011</v>
      </c>
      <c r="B28" s="8"/>
      <c r="C28" s="8"/>
      <c r="D28" s="8"/>
      <c r="E28" s="8"/>
      <c r="F28" s="8"/>
      <c r="G28" s="27">
        <f>IFERROR(E28/D28-1,"")</f>
        <v/>
      </c>
      <c r="H28" s="27">
        <f>IFERROR(E28/F28-1,"")</f>
        <v/>
      </c>
      <c r="I28" s="5"/>
    </row>
    <row r="29" spans="1:9">
      <c r="A29" s="6" t="s">
        <v>2012</v>
      </c>
      <c r="B29" s="8"/>
      <c r="C29" s="8"/>
      <c r="D29" s="8"/>
      <c r="E29" s="8"/>
      <c r="F29" s="8"/>
      <c r="G29" s="27">
        <f>IFERROR(E29/D29-1,"")</f>
        <v/>
      </c>
      <c r="H29" s="27">
        <f>IFERROR(E29/F29-1,"")</f>
        <v/>
      </c>
      <c r="I29" s="5"/>
    </row>
    <row r="30" spans="1:9">
      <c r="A30" s="6" t="s">
        <v>2013</v>
      </c>
      <c r="B30" s="8"/>
      <c r="C30" s="8"/>
      <c r="D30" s="8"/>
      <c r="E30" s="8"/>
      <c r="F30" s="8"/>
      <c r="G30" s="27">
        <f>IFERROR(E30/D30-1,"")</f>
        <v/>
      </c>
      <c r="H30" s="27">
        <f>IFERROR(E30/F30-1,"")</f>
        <v/>
      </c>
      <c r="I30" s="5"/>
    </row>
    <row r="31" spans="1:9">
      <c r="A31" s="6" t="s">
        <v>2014</v>
      </c>
      <c r="B31" s="8"/>
      <c r="C31" s="8"/>
      <c r="D31" s="8"/>
      <c r="E31" s="8"/>
      <c r="F31" s="8"/>
      <c r="G31" s="27">
        <f>IFERROR(E31/D31-1,"")</f>
        <v/>
      </c>
      <c r="H31" s="27">
        <f>IFERROR(E31/F31-1,"")</f>
        <v/>
      </c>
      <c r="I31" s="5"/>
    </row>
    <row r="32" spans="1:9">
      <c r="A32" s="6" t="s">
        <v>2015</v>
      </c>
      <c r="B32" s="8"/>
      <c r="C32" s="8"/>
      <c r="D32" s="8"/>
      <c r="E32" s="8"/>
      <c r="F32" s="8"/>
      <c r="G32" s="27">
        <f>IFERROR(E32/D32-1,"")</f>
        <v/>
      </c>
      <c r="H32" s="27">
        <f>IFERROR(E32/F32-1,"")</f>
        <v/>
      </c>
      <c r="I32" s="5"/>
    </row>
    <row r="33" spans="1:9">
      <c r="A33" s="6" t="s">
        <v>2016</v>
      </c>
      <c r="B33" s="8"/>
      <c r="C33" s="8"/>
      <c r="D33" s="8"/>
      <c r="E33" s="8"/>
      <c r="F33" s="8"/>
      <c r="G33" s="27">
        <f>IFERROR(E33/D33-1,"")</f>
        <v/>
      </c>
      <c r="H33" s="27">
        <f>IFERROR(E33/F33-1,"")</f>
        <v/>
      </c>
      <c r="I33" s="5"/>
    </row>
    <row r="34" spans="1:9">
      <c r="A34" s="6" t="s">
        <v>2017</v>
      </c>
      <c r="B34" s="8"/>
      <c r="C34" s="8"/>
      <c r="D34" s="8"/>
      <c r="E34" s="8"/>
      <c r="F34" s="8"/>
      <c r="G34" s="27">
        <f>IFERROR(E34/D34-1,"")</f>
        <v/>
      </c>
      <c r="H34" s="27">
        <f>IFERROR(E34/F34-1,"")</f>
        <v/>
      </c>
      <c r="I34" s="5"/>
    </row>
    <row r="35" spans="1:9">
      <c r="A35" s="4" t="s">
        <v>2018</v>
      </c>
      <c r="B35" s="21">
        <f>B28+B29+B30+B31-B32-B33-B34</f>
        <v>0</v>
      </c>
      <c r="C35" s="21">
        <f>C28+C29+C30+C31-C32-C33-C34</f>
        <v>0</v>
      </c>
      <c r="D35" s="21">
        <f>D28+D29+D30+D31-D32-D33-D34</f>
        <v>0</v>
      </c>
      <c r="E35" s="21">
        <f>E28+E29+E30+E31-E32-E33-E34</f>
        <v>0</v>
      </c>
      <c r="F35" s="21">
        <f>F28+F29+F30+F31-F32-F33-F34</f>
        <v>0</v>
      </c>
      <c r="G35" s="27">
        <f>IFERROR(E35/D35-1,"")</f>
        <v/>
      </c>
      <c r="H35" s="27">
        <f>IFERROR(E35/F35-1,"")</f>
        <v/>
      </c>
      <c r="I35" s="5"/>
    </row>
    <row r="36" spans="1:9">
      <c r="A36" s="4" t="s">
        <v>2019</v>
      </c>
      <c r="B36" s="27">
        <f>IFERROR(B35/B5,"")</f>
        <v/>
      </c>
      <c r="C36" s="27">
        <f>IFERROR(C35/C5,"")</f>
        <v/>
      </c>
      <c r="D36" s="27">
        <f>IFERROR(D35/D5,"")</f>
        <v/>
      </c>
      <c r="E36" s="27">
        <f>IFERROR(E35/E5,"")</f>
        <v/>
      </c>
      <c r="F36" s="27">
        <f>IFERROR(F35/F5,"")</f>
        <v/>
      </c>
      <c r="G36" s="27">
        <f>IFERROR(E36/D36-1,"")</f>
        <v/>
      </c>
      <c r="H36" s="27">
        <f>IFERROR(E36/F36-1,"")</f>
        <v/>
      </c>
      <c r="I36" s="5"/>
    </row>
    <row r="37" spans="1:9">
      <c r="A37" s="4" t="s">
        <v>2020</v>
      </c>
      <c r="B37" s="21">
        <f>IFERROR(B29/B5*365,"")</f>
        <v/>
      </c>
      <c r="C37" s="21">
        <f>IFERROR(C29/C5*365,"")</f>
        <v/>
      </c>
      <c r="D37" s="21">
        <f>IFERROR(D29/D5*365,"")</f>
        <v/>
      </c>
      <c r="E37" s="21">
        <f>IFERROR(E29/E5*365,"")</f>
        <v/>
      </c>
      <c r="F37" s="21">
        <f>IFERROR(F29/F5*365,"")</f>
        <v/>
      </c>
      <c r="G37" s="27">
        <f>IFERROR(E37/D37-1,"")</f>
        <v/>
      </c>
      <c r="H37" s="27">
        <f>IFERROR(E37/F37-1,"")</f>
        <v/>
      </c>
      <c r="I37" s="5"/>
    </row>
    <row r="38" spans="1:9">
      <c r="A38" s="4" t="s">
        <v>2021</v>
      </c>
      <c r="B38" s="21">
        <f>IFERROR(B28/B6*365,"")</f>
        <v/>
      </c>
      <c r="C38" s="21">
        <f>IFERROR(C28/C6*365,"")</f>
        <v/>
      </c>
      <c r="D38" s="21">
        <f>IFERROR(D28/D6*365,"")</f>
        <v/>
      </c>
      <c r="E38" s="21">
        <f>IFERROR(E28/E6*365,"")</f>
        <v/>
      </c>
      <c r="F38" s="21">
        <f>IFERROR(F28/F6*365,"")</f>
        <v/>
      </c>
      <c r="G38" s="27">
        <f>IFERROR(E38/D38-1,"")</f>
        <v/>
      </c>
      <c r="H38" s="27">
        <f>IFERROR(E38/F38-1,"")</f>
        <v/>
      </c>
      <c r="I38" s="5"/>
    </row>
    <row r="39" spans="1:9">
      <c r="A39" s="4" t="s">
        <v>2022</v>
      </c>
      <c r="B39" s="21">
        <f>IFERROR(B32/B6*365,"")</f>
        <v/>
      </c>
      <c r="C39" s="21">
        <f>IFERROR(C32/C6*365,"")</f>
        <v/>
      </c>
      <c r="D39" s="21">
        <f>IFERROR(D32/D6*365,"")</f>
        <v/>
      </c>
      <c r="E39" s="21">
        <f>IFERROR(E32/E6*365,"")</f>
        <v/>
      </c>
      <c r="F39" s="21">
        <f>IFERROR(F32/F6*365,"")</f>
        <v/>
      </c>
      <c r="G39" s="27">
        <f>IFERROR(E39/D39-1,"")</f>
        <v/>
      </c>
      <c r="H39" s="27">
        <f>IFERROR(E39/F39-1,"")</f>
        <v/>
      </c>
      <c r="I39" s="5"/>
    </row>
    <row r="40" spans="1:9">
      <c r="A40" s="6" t="s">
        <v>2023</v>
      </c>
      <c r="B40" s="28"/>
      <c r="C40" s="28"/>
      <c r="D40" s="28"/>
      <c r="E40" s="28"/>
      <c r="F40" s="28"/>
      <c r="G40" s="27">
        <f>IFERROR(E40/D40-1,"")</f>
        <v/>
      </c>
      <c r="H40" s="27">
        <f>IFERROR(E40/F40-1,"")</f>
        <v/>
      </c>
      <c r="I40" s="5"/>
    </row>
    <row r="41" spans="1:9">
      <c r="A41" s="4" t="s">
        <v>2024</v>
      </c>
      <c r="B41" s="21">
        <f>IFERROR(B5/B40,"")</f>
        <v/>
      </c>
      <c r="C41" s="21">
        <f>IFERROR(C5/C40,"")</f>
        <v/>
      </c>
      <c r="D41" s="21">
        <f>IFERROR(D5/D40,"")</f>
        <v/>
      </c>
      <c r="E41" s="21">
        <f>IFERROR(E5/E40,"")</f>
        <v/>
      </c>
      <c r="F41" s="21">
        <f>IFERROR(F5/F40,"")</f>
        <v/>
      </c>
      <c r="G41" s="27">
        <f>IFERROR(E41/D41-1,"")</f>
        <v/>
      </c>
      <c r="H41" s="27">
        <f>IFERROR(E41/F41-1,"")</f>
        <v/>
      </c>
      <c r="I41" s="5"/>
    </row>
    <row r="42" spans="1:9">
      <c r="A42" s="4" t="s">
        <v>2025</v>
      </c>
      <c r="B42" s="21">
        <f>IFERROR(B13/B40,"")</f>
        <v/>
      </c>
      <c r="C42" s="21">
        <f>IFERROR(C13/C40,"")</f>
        <v/>
      </c>
      <c r="D42" s="21">
        <f>IFERROR(D13/D40,"")</f>
        <v/>
      </c>
      <c r="E42" s="21">
        <f>IFERROR(E13/E40,"")</f>
        <v/>
      </c>
      <c r="F42" s="21">
        <f>IFERROR(F13/F40,"")</f>
        <v/>
      </c>
      <c r="G42" s="27">
        <f>IFERROR(E42/D42-1,"")</f>
        <v/>
      </c>
      <c r="H42" s="27">
        <f>IFERROR(E42/F42-1,"")</f>
        <v/>
      </c>
      <c r="I42" s="5"/>
    </row>
  </sheetData>
  <mergeCells count="2">
    <mergeCell ref="A1:I1"/>
    <mergeCell ref="A2:I2"/>
  </mergeCells>
  <conditionalFormatting sqref="G5:H42">
    <cfRule type="colorScale" priority="1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dataValidations count="62">
    <dataValidation allowBlank="1" showInputMessage="1" showErrorMessage="1" errorTitle="Eingabe prüfen" error="Bitte die vorgegebene Auswahl bzw. das geforderte Format verwenden." promptTitle="Periodenbezeichnung" prompt="Bezeichnungen an die gelieferten Ist-, LTM- und Budgetperioden anpassen." sqref="B4:F4"/>
    <dataValidation allowBlank="1" showInputMessage="1" showErrorMessage="1" errorTitle="Eingabe prüfen" error="Bitte die vorgegebene Auswahl bzw. das geforderte Format verwenden." promptTitle="Umsatz" prompt="Periodenwert eingeben; Beträge grundsätzlich positiv, QoE-Anpassungen mit wirtschaftlichem Vorzeichen." sqref="B5:F5"/>
    <dataValidation allowBlank="1" showInputMessage="1" showErrorMessage="1" errorTitle="Eingabe prüfen" error="Bitte die vorgegebene Auswahl bzw. das geforderte Format verwenden." promptTitle="Kommentar / Quelle" prompt="Quelle und wesentliche Treiber oder Abweichungen dokumentieren." sqref="I5"/>
    <dataValidation allowBlank="1" showInputMessage="1" showErrorMessage="1" errorTitle="Eingabe prüfen" error="Bitte die vorgegebene Auswahl bzw. das geforderte Format verwenden." promptTitle="Umsatzkosten (COGS)" prompt="Periodenwert eingeben; Beträge grundsätzlich positiv, QoE-Anpassungen mit wirtschaftlichem Vorzeichen." sqref="B6:F6"/>
    <dataValidation allowBlank="1" showInputMessage="1" showErrorMessage="1" errorTitle="Eingabe prüfen" error="Bitte die vorgegebene Auswahl bzw. das geforderte Format verwenden." promptTitle="Kommentar / Quelle" prompt="Quelle und wesentliche Treiber oder Abweichungen dokumentieren." sqref="I6"/>
    <dataValidation allowBlank="1" showInputMessage="1" showErrorMessage="1" errorTitle="Eingabe prüfen" error="Bitte die vorgegebene Auswahl bzw. das geforderte Format verwenden." promptTitle="Kommentar / Quelle" prompt="Quelle und wesentliche Treiber oder Abweichungen dokumentieren." sqref="I7"/>
    <dataValidation allowBlank="1" showInputMessage="1" showErrorMessage="1" errorTitle="Eingabe prüfen" error="Bitte die vorgegebene Auswahl bzw. das geforderte Format verwenden." promptTitle="Kommentar / Quelle" prompt="Quelle und wesentliche Treiber oder Abweichungen dokumentieren." sqref="I8"/>
    <dataValidation allowBlank="1" showInputMessage="1" showErrorMessage="1" errorTitle="Eingabe prüfen" error="Bitte die vorgegebene Auswahl bzw. das geforderte Format verwenden." promptTitle="Personalaufwand" prompt="Periodenwert eingeben; Beträge grundsätzlich positiv, QoE-Anpassungen mit wirtschaftlichem Vorzeichen." sqref="B9:F9"/>
    <dataValidation allowBlank="1" showInputMessage="1" showErrorMessage="1" errorTitle="Eingabe prüfen" error="Bitte die vorgegebene Auswahl bzw. das geforderte Format verwenden." promptTitle="Kommentar / Quelle" prompt="Quelle und wesentliche Treiber oder Abweichungen dokumentieren." sqref="I9"/>
    <dataValidation allowBlank="1" showInputMessage="1" showErrorMessage="1" errorTitle="Eingabe prüfen" error="Bitte die vorgegebene Auswahl bzw. das geforderte Format verwenden." promptTitle="Sonstige Opex" prompt="Periodenwert eingeben; Beträge grundsätzlich positiv, QoE-Anpassungen mit wirtschaftlichem Vorzeichen." sqref="B10:F10"/>
    <dataValidation allowBlank="1" showInputMessage="1" showErrorMessage="1" errorTitle="Eingabe prüfen" error="Bitte die vorgegebene Auswahl bzw. das geforderte Format verwenden." promptTitle="Kommentar / Quelle" prompt="Quelle und wesentliche Treiber oder Abweichungen dokumentieren." sqref="I10"/>
    <dataValidation allowBlank="1" showInputMessage="1" showErrorMessage="1" errorTitle="Eingabe prüfen" error="Bitte die vorgegebene Auswahl bzw. das geforderte Format verwenden." promptTitle="EBITDA berichtet" prompt="Periodenwert eingeben; Beträge grundsätzlich positiv, QoE-Anpassungen mit wirtschaftlichem Vorzeichen." sqref="B11:F11"/>
    <dataValidation allowBlank="1" showInputMessage="1" showErrorMessage="1" errorTitle="Eingabe prüfen" error="Bitte die vorgegebene Auswahl bzw. das geforderte Format verwenden." promptTitle="Kommentar / Quelle" prompt="Quelle und wesentliche Treiber oder Abweichungen dokumentieren." sqref="I11"/>
    <dataValidation allowBlank="1" showInputMessage="1" showErrorMessage="1" errorTitle="Eingabe prüfen" error="Bitte die vorgegebene Auswahl bzw. das geforderte Format verwenden." promptTitle="QoE-Anpassungen (netto)" prompt="Periodenwert eingeben; Beträge grundsätzlich positiv, QoE-Anpassungen mit wirtschaftlichem Vorzeichen." sqref="B12:F12"/>
    <dataValidation allowBlank="1" showInputMessage="1" showErrorMessage="1" errorTitle="Eingabe prüfen" error="Bitte die vorgegebene Auswahl bzw. das geforderte Format verwenden." promptTitle="Kommentar / Quelle" prompt="Quelle und wesentliche Treiber oder Abweichungen dokumentieren." sqref="I12"/>
    <dataValidation allowBlank="1" showInputMessage="1" showErrorMessage="1" errorTitle="Eingabe prüfen" error="Bitte die vorgegebene Auswahl bzw. das geforderte Format verwenden." promptTitle="Kommentar / Quelle" prompt="Quelle und wesentliche Treiber oder Abweichungen dokumentieren." sqref="I13"/>
    <dataValidation allowBlank="1" showInputMessage="1" showErrorMessage="1" errorTitle="Eingabe prüfen" error="Bitte die vorgegebene Auswahl bzw. das geforderte Format verwenden." promptTitle="Kommentar / Quelle" prompt="Quelle und wesentliche Treiber oder Abweichungen dokumentieren." sqref="I14"/>
    <dataValidation allowBlank="1" showInputMessage="1" showErrorMessage="1" errorTitle="Eingabe prüfen" error="Bitte die vorgegebene Auswahl bzw. das geforderte Format verwenden." promptTitle="Abschreibungen" prompt="Periodenwert eingeben; Beträge grundsätzlich positiv, QoE-Anpassungen mit wirtschaftlichem Vorzeichen." sqref="B15:F15"/>
    <dataValidation allowBlank="1" showInputMessage="1" showErrorMessage="1" errorTitle="Eingabe prüfen" error="Bitte die vorgegebene Auswahl bzw. das geforderte Format verwenden." promptTitle="Kommentar / Quelle" prompt="Quelle und wesentliche Treiber oder Abweichungen dokumentieren." sqref="I15"/>
    <dataValidation allowBlank="1" showInputMessage="1" showErrorMessage="1" errorTitle="Eingabe prüfen" error="Bitte die vorgegebene Auswahl bzw. das geforderte Format verwenden." promptTitle="Kommentar / Quelle" prompt="Quelle und wesentliche Treiber oder Abweichungen dokumentieren." sqref="I16"/>
    <dataValidation allowBlank="1" showInputMessage="1" showErrorMessage="1" errorTitle="Eingabe prüfen" error="Bitte die vorgegebene Auswahl bzw. das geforderte Format verwenden." promptTitle="Nettozinsaufwand" prompt="Periodenwert eingeben; Beträge grundsätzlich positiv, QoE-Anpassungen mit wirtschaftlichem Vorzeichen." sqref="B17:F17"/>
    <dataValidation allowBlank="1" showInputMessage="1" showErrorMessage="1" errorTitle="Eingabe prüfen" error="Bitte die vorgegebene Auswahl bzw. das geforderte Format verwenden." promptTitle="Kommentar / Quelle" prompt="Quelle und wesentliche Treiber oder Abweichungen dokumentieren." sqref="I17"/>
    <dataValidation allowBlank="1" showInputMessage="1" showErrorMessage="1" errorTitle="Eingabe prüfen" error="Bitte die vorgegebene Auswahl bzw. das geforderte Format verwenden." promptTitle="Ertragsteuern" prompt="Periodenwert eingeben; Beträge grundsätzlich positiv, QoE-Anpassungen mit wirtschaftlichem Vorzeichen." sqref="B18:F18"/>
    <dataValidation allowBlank="1" showInputMessage="1" showErrorMessage="1" errorTitle="Eingabe prüfen" error="Bitte die vorgegebene Auswahl bzw. das geforderte Format verwenden." promptTitle="Kommentar / Quelle" prompt="Quelle und wesentliche Treiber oder Abweichungen dokumentieren." sqref="I18"/>
    <dataValidation allowBlank="1" showInputMessage="1" showErrorMessage="1" errorTitle="Eingabe prüfen" error="Bitte die vorgegebene Auswahl bzw. das geforderte Format verwenden." promptTitle="Kommentar / Quelle" prompt="Quelle und wesentliche Treiber oder Abweichungen dokumentieren." sqref="I19"/>
    <dataValidation allowBlank="1" showInputMessage="1" showErrorMessage="1" errorTitle="Eingabe prüfen" error="Bitte die vorgegebene Auswahl bzw. das geforderte Format verwenden." promptTitle="Operativer Cashflow" prompt="Periodenwert eingeben; Beträge grundsätzlich positiv, QoE-Anpassungen mit wirtschaftlichem Vorzeichen." sqref="B20:F20"/>
    <dataValidation allowBlank="1" showInputMessage="1" showErrorMessage="1" errorTitle="Eingabe prüfen" error="Bitte die vorgegebene Auswahl bzw. das geforderte Format verwenden." promptTitle="Kommentar / Quelle" prompt="Quelle und wesentliche Treiber oder Abweichungen dokumentieren." sqref="I20"/>
    <dataValidation allowBlank="1" showInputMessage="1" showErrorMessage="1" errorTitle="Eingabe prüfen" error="Bitte die vorgegebene Auswahl bzw. das geforderte Format verwenden." promptTitle="Capex" prompt="Periodenwert eingeben; Beträge grundsätzlich positiv, QoE-Anpassungen mit wirtschaftlichem Vorzeichen." sqref="B21:F21"/>
    <dataValidation allowBlank="1" showInputMessage="1" showErrorMessage="1" errorTitle="Eingabe prüfen" error="Bitte die vorgegebene Auswahl bzw. das geforderte Format verwenden." promptTitle="Kommentar / Quelle" prompt="Quelle und wesentliche Treiber oder Abweichungen dokumentieren." sqref="I21"/>
    <dataValidation allowBlank="1" showInputMessage="1" showErrorMessage="1" errorTitle="Eingabe prüfen" error="Bitte die vorgegebene Auswahl bzw. das geforderte Format verwenden." promptTitle="Kommentar / Quelle" prompt="Quelle und wesentliche Treiber oder Abweichungen dokumentieren." sqref="I22"/>
    <dataValidation allowBlank="1" showInputMessage="1" showErrorMessage="1" errorTitle="Eingabe prüfen" error="Bitte die vorgegebene Auswahl bzw. das geforderte Format verwenden." promptTitle="Cash" prompt="Periodenwert eingeben; Beträge grundsätzlich positiv, QoE-Anpassungen mit wirtschaftlichem Vorzeichen." sqref="B23:F23"/>
    <dataValidation allowBlank="1" showInputMessage="1" showErrorMessage="1" errorTitle="Eingabe prüfen" error="Bitte die vorgegebene Auswahl bzw. das geforderte Format verwenden." promptTitle="Kommentar / Quelle" prompt="Quelle und wesentliche Treiber oder Abweichungen dokumentieren." sqref="I23"/>
    <dataValidation allowBlank="1" showInputMessage="1" showErrorMessage="1" errorTitle="Eingabe prüfen" error="Bitte die vorgegebene Auswahl bzw. das geforderte Format verwenden." promptTitle="Finanzschulden" prompt="Periodenwert eingeben; Beträge grundsätzlich positiv, QoE-Anpassungen mit wirtschaftlichem Vorzeichen." sqref="B24:F24"/>
    <dataValidation allowBlank="1" showInputMessage="1" showErrorMessage="1" errorTitle="Eingabe prüfen" error="Bitte die vorgegebene Auswahl bzw. das geforderte Format verwenden." promptTitle="Kommentar / Quelle" prompt="Quelle und wesentliche Treiber oder Abweichungen dokumentieren." sqref="I24"/>
    <dataValidation allowBlank="1" showInputMessage="1" showErrorMessage="1" errorTitle="Eingabe prüfen" error="Bitte die vorgegebene Auswahl bzw. das geforderte Format verwenden." promptTitle="Leasingverbindlichkeiten" prompt="Periodenwert eingeben; Beträge grundsätzlich positiv, QoE-Anpassungen mit wirtschaftlichem Vorzeichen." sqref="B25:F25"/>
    <dataValidation allowBlank="1" showInputMessage="1" showErrorMessage="1" errorTitle="Eingabe prüfen" error="Bitte die vorgegebene Auswahl bzw. das geforderte Format verwenden." promptTitle="Kommentar / Quelle" prompt="Quelle und wesentliche Treiber oder Abweichungen dokumentieren." sqref="I25"/>
    <dataValidation allowBlank="1" showInputMessage="1" showErrorMessage="1" errorTitle="Eingabe prüfen" error="Bitte die vorgegebene Auswahl bzw. das geforderte Format verwenden." promptTitle="Sonstige debt-like Positionen" prompt="Periodenwert eingeben; Beträge grundsätzlich positiv, QoE-Anpassungen mit wirtschaftlichem Vorzeichen." sqref="B26:F26"/>
    <dataValidation allowBlank="1" showInputMessage="1" showErrorMessage="1" errorTitle="Eingabe prüfen" error="Bitte die vorgegebene Auswahl bzw. das geforderte Format verwenden." promptTitle="Kommentar / Quelle" prompt="Quelle und wesentliche Treiber oder Abweichungen dokumentieren." sqref="I26"/>
    <dataValidation allowBlank="1" showInputMessage="1" showErrorMessage="1" errorTitle="Eingabe prüfen" error="Bitte die vorgegebene Auswahl bzw. das geforderte Format verwenden." promptTitle="Kommentar / Quelle" prompt="Quelle und wesentliche Treiber oder Abweichungen dokumentieren." sqref="I27"/>
    <dataValidation allowBlank="1" showInputMessage="1" showErrorMessage="1" errorTitle="Eingabe prüfen" error="Bitte die vorgegebene Auswahl bzw. das geforderte Format verwenden." promptTitle="Vorräte" prompt="Periodenwert eingeben; Beträge grundsätzlich positiv, QoE-Anpassungen mit wirtschaftlichem Vorzeichen." sqref="B28:F28"/>
    <dataValidation allowBlank="1" showInputMessage="1" showErrorMessage="1" errorTitle="Eingabe prüfen" error="Bitte die vorgegebene Auswahl bzw. das geforderte Format verwenden." promptTitle="Kommentar / Quelle" prompt="Quelle und wesentliche Treiber oder Abweichungen dokumentieren." sqref="I28"/>
    <dataValidation allowBlank="1" showInputMessage="1" showErrorMessage="1" errorTitle="Eingabe prüfen" error="Bitte die vorgegebene Auswahl bzw. das geforderte Format verwenden." promptTitle="Forderungen L&amp;L" prompt="Periodenwert eingeben; Beträge grundsätzlich positiv, QoE-Anpassungen mit wirtschaftlichem Vorzeichen." sqref="B29:F29"/>
    <dataValidation allowBlank="1" showInputMessage="1" showErrorMessage="1" errorTitle="Eingabe prüfen" error="Bitte die vorgegebene Auswahl bzw. das geforderte Format verwenden." promptTitle="Kommentar / Quelle" prompt="Quelle und wesentliche Treiber oder Abweichungen dokumentieren." sqref="I29"/>
    <dataValidation allowBlank="1" showInputMessage="1" showErrorMessage="1" errorTitle="Eingabe prüfen" error="Bitte die vorgegebene Auswahl bzw. das geforderte Format verwenden." promptTitle="Vertragsvermögenswerte" prompt="Periodenwert eingeben; Beträge grundsätzlich positiv, QoE-Anpassungen mit wirtschaftlichem Vorzeichen." sqref="B30:F30"/>
    <dataValidation allowBlank="1" showInputMessage="1" showErrorMessage="1" errorTitle="Eingabe prüfen" error="Bitte die vorgegebene Auswahl bzw. das geforderte Format verwenden." promptTitle="Kommentar / Quelle" prompt="Quelle und wesentliche Treiber oder Abweichungen dokumentieren." sqref="I30"/>
    <dataValidation allowBlank="1" showInputMessage="1" showErrorMessage="1" errorTitle="Eingabe prüfen" error="Bitte die vorgegebene Auswahl bzw. das geforderte Format verwenden." promptTitle="Sonstige operative kurzfristige " prompt="Periodenwert eingeben; Beträge grundsätzlich positiv, QoE-Anpassungen mit wirtschaftlichem Vorzeichen." sqref="B31:F31"/>
    <dataValidation allowBlank="1" showInputMessage="1" showErrorMessage="1" errorTitle="Eingabe prüfen" error="Bitte die vorgegebene Auswahl bzw. das geforderte Format verwenden." promptTitle="Kommentar / Quelle" prompt="Quelle und wesentliche Treiber oder Abweichungen dokumentieren." sqref="I31"/>
    <dataValidation allowBlank="1" showInputMessage="1" showErrorMessage="1" errorTitle="Eingabe prüfen" error="Bitte die vorgegebene Auswahl bzw. das geforderte Format verwenden." promptTitle="Verbindlichkeiten L&amp;L" prompt="Periodenwert eingeben; Beträge grundsätzlich positiv, QoE-Anpassungen mit wirtschaftlichem Vorzeichen." sqref="B32:F32"/>
    <dataValidation allowBlank="1" showInputMessage="1" showErrorMessage="1" errorTitle="Eingabe prüfen" error="Bitte die vorgegebene Auswahl bzw. das geforderte Format verwenden." promptTitle="Kommentar / Quelle" prompt="Quelle und wesentliche Treiber oder Abweichungen dokumentieren." sqref="I32"/>
    <dataValidation allowBlank="1" showInputMessage="1" showErrorMessage="1" errorTitle="Eingabe prüfen" error="Bitte die vorgegebene Auswahl bzw. das geforderte Format verwenden." promptTitle="Deferred Revenue / Vertragsverbi" prompt="Periodenwert eingeben; Beträge grundsätzlich positiv, QoE-Anpassungen mit wirtschaftlichem Vorzeichen." sqref="B33:F33"/>
    <dataValidation allowBlank="1" showInputMessage="1" showErrorMessage="1" errorTitle="Eingabe prüfen" error="Bitte die vorgegebene Auswahl bzw. das geforderte Format verwenden." promptTitle="Kommentar / Quelle" prompt="Quelle und wesentliche Treiber oder Abweichungen dokumentieren." sqref="I33"/>
    <dataValidation allowBlank="1" showInputMessage="1" showErrorMessage="1" errorTitle="Eingabe prüfen" error="Bitte die vorgegebene Auswahl bzw. das geforderte Format verwenden." promptTitle="Sonstige operative kurzfristige " prompt="Periodenwert eingeben; Beträge grundsätzlich positiv, QoE-Anpassungen mit wirtschaftlichem Vorzeichen." sqref="B34:F34"/>
    <dataValidation allowBlank="1" showInputMessage="1" showErrorMessage="1" errorTitle="Eingabe prüfen" error="Bitte die vorgegebene Auswahl bzw. das geforderte Format verwenden." promptTitle="Kommentar / Quelle" prompt="Quelle und wesentliche Treiber oder Abweichungen dokumentieren." sqref="I34"/>
    <dataValidation allowBlank="1" showInputMessage="1" showErrorMessage="1" errorTitle="Eingabe prüfen" error="Bitte die vorgegebene Auswahl bzw. das geforderte Format verwenden." promptTitle="Kommentar / Quelle" prompt="Quelle und wesentliche Treiber oder Abweichungen dokumentieren." sqref="I35"/>
    <dataValidation allowBlank="1" showInputMessage="1" showErrorMessage="1" errorTitle="Eingabe prüfen" error="Bitte die vorgegebene Auswahl bzw. das geforderte Format verwenden." promptTitle="Kommentar / Quelle" prompt="Quelle und wesentliche Treiber oder Abweichungen dokumentieren." sqref="I36"/>
    <dataValidation allowBlank="1" showInputMessage="1" showErrorMessage="1" errorTitle="Eingabe prüfen" error="Bitte die vorgegebene Auswahl bzw. das geforderte Format verwenden." promptTitle="Kommentar / Quelle" prompt="Quelle und wesentliche Treiber oder Abweichungen dokumentieren." sqref="I37"/>
    <dataValidation allowBlank="1" showInputMessage="1" showErrorMessage="1" errorTitle="Eingabe prüfen" error="Bitte die vorgegebene Auswahl bzw. das geforderte Format verwenden." promptTitle="Kommentar / Quelle" prompt="Quelle und wesentliche Treiber oder Abweichungen dokumentieren." sqref="I38"/>
    <dataValidation allowBlank="1" showInputMessage="1" showErrorMessage="1" errorTitle="Eingabe prüfen" error="Bitte die vorgegebene Auswahl bzw. das geforderte Format verwenden." promptTitle="Kommentar / Quelle" prompt="Quelle und wesentliche Treiber oder Abweichungen dokumentieren." sqref="I39"/>
    <dataValidation allowBlank="1" showInputMessage="1" showErrorMessage="1" errorTitle="Eingabe prüfen" error="Bitte die vorgegebene Auswahl bzw. das geforderte Format verwenden." promptTitle="Headcount (FTE)" prompt="Periodenwert eingeben; Beträge grundsätzlich positiv, QoE-Anpassungen mit wirtschaftlichem Vorzeichen." sqref="B40:F40"/>
    <dataValidation allowBlank="1" showInputMessage="1" showErrorMessage="1" errorTitle="Eingabe prüfen" error="Bitte die vorgegebene Auswahl bzw. das geforderte Format verwenden." promptTitle="Kommentar / Quelle" prompt="Quelle und wesentliche Treiber oder Abweichungen dokumentieren." sqref="I40"/>
    <dataValidation allowBlank="1" showInputMessage="1" showErrorMessage="1" errorTitle="Eingabe prüfen" error="Bitte die vorgegebene Auswahl bzw. das geforderte Format verwenden." promptTitle="Kommentar / Quelle" prompt="Quelle und wesentliche Treiber oder Abweichungen dokumentieren." sqref="I41"/>
    <dataValidation allowBlank="1" showInputMessage="1" showErrorMessage="1" errorTitle="Eingabe prüfen" error="Bitte die vorgegebene Auswahl bzw. das geforderte Format verwenden." promptTitle="Kommentar / Quelle" prompt="Quelle und wesentliche Treiber oder Abweichungen dokumentieren." sqref="I42"/>
  </dataValidation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1F4E78"/>
  </sheetPr>
  <dimension ref="A1:P49"/>
  <sheetViews>
    <sheetView showGridLines="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46" customHeight="1"/>
  <cols>
    <col min="1" max="1" width="13.7109375" customWidth="1"/>
    <col min="2" max="2" width="22.7109375" customWidth="1"/>
    <col min="3" max="3" width="42.7109375" customWidth="1"/>
    <col min="4" max="5" width="15.7109375" customWidth="1"/>
    <col min="6" max="8" width="16.7109375" customWidth="1"/>
    <col min="9" max="16" width="22.7109375" customWidth="1"/>
  </cols>
  <sheetData>
    <row r="1" spans="1:16" ht="30" customHeight="1">
      <c r="A1" s="1" t="s">
        <v>2026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34" customHeight="1">
      <c r="A2" s="2" t="s">
        <v>2027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ht="46" customHeight="1">
      <c r="A4" s="4" t="s">
        <v>2028</v>
      </c>
      <c r="B4" s="8"/>
    </row>
    <row r="5" spans="1:16" ht="46" customHeight="1">
      <c r="A5" s="4" t="s">
        <v>2029</v>
      </c>
      <c r="B5" s="21">
        <f>SUM(H10:H49)</f>
        <v>0</v>
      </c>
    </row>
    <row r="6" spans="1:16" ht="46" customHeight="1">
      <c r="A6" s="4" t="s">
        <v>1999</v>
      </c>
      <c r="B6" s="21">
        <f>B4+B5</f>
        <v>0</v>
      </c>
    </row>
    <row r="7" spans="1:16" ht="46" customHeight="1">
      <c r="A7" s="4" t="s">
        <v>2030</v>
      </c>
      <c r="B7" s="27">
        <f>IFERROR(B5/B4,"")</f>
        <v/>
      </c>
    </row>
    <row r="9" spans="1:16" ht="42" customHeight="1">
      <c r="A9" t="s">
        <v>2100</v>
      </c>
      <c r="B9" t="s">
        <v>2101</v>
      </c>
      <c r="C9" t="s">
        <v>2102</v>
      </c>
      <c r="D9" t="s">
        <v>2103</v>
      </c>
      <c r="E9" t="s">
        <v>2104</v>
      </c>
      <c r="F9" t="s">
        <v>2105</v>
      </c>
      <c r="G9" t="s">
        <v>2106</v>
      </c>
      <c r="H9" t="s">
        <v>2107</v>
      </c>
      <c r="I9" t="s">
        <v>2108</v>
      </c>
      <c r="J9" t="s">
        <v>2109</v>
      </c>
      <c r="K9" t="s">
        <v>2110</v>
      </c>
      <c r="L9" t="s">
        <v>2111</v>
      </c>
      <c r="M9" t="s">
        <v>1378</v>
      </c>
      <c r="N9" t="s">
        <v>1656</v>
      </c>
      <c r="O9" t="s">
        <v>2112</v>
      </c>
      <c r="P9" t="s">
        <v>1865</v>
      </c>
    </row>
    <row r="10" spans="1:16" ht="46" customHeight="1">
      <c r="A10" s="6" t="s">
        <v>2031</v>
      </c>
      <c r="B10" s="6" t="s">
        <v>2032</v>
      </c>
      <c r="C10" s="6" t="s">
        <v>2033</v>
      </c>
      <c r="D10" s="6" t="s">
        <v>2034</v>
      </c>
      <c r="E10" s="6" t="s">
        <v>2035</v>
      </c>
      <c r="F10" s="8"/>
      <c r="G10" s="8"/>
      <c r="H10" s="8"/>
      <c r="I10" s="5"/>
      <c r="J10" s="6" t="s">
        <v>21</v>
      </c>
      <c r="K10" s="6"/>
      <c r="L10" s="6"/>
      <c r="M10" s="6" t="s">
        <v>2036</v>
      </c>
      <c r="N10" s="5"/>
      <c r="O10" s="5"/>
      <c r="P10" s="5"/>
    </row>
    <row r="11" spans="1:16" ht="46" customHeight="1">
      <c r="A11" s="6" t="s">
        <v>2037</v>
      </c>
      <c r="B11" s="6" t="s">
        <v>2038</v>
      </c>
      <c r="C11" s="6" t="s">
        <v>2039</v>
      </c>
      <c r="D11" s="6" t="s">
        <v>2040</v>
      </c>
      <c r="E11" s="6" t="s">
        <v>2035</v>
      </c>
      <c r="F11" s="8"/>
      <c r="G11" s="8"/>
      <c r="H11" s="8"/>
      <c r="I11" s="5"/>
      <c r="J11" s="6" t="s">
        <v>21</v>
      </c>
      <c r="K11" s="6"/>
      <c r="L11" s="6"/>
      <c r="M11" s="6" t="s">
        <v>2036</v>
      </c>
      <c r="N11" s="5"/>
      <c r="O11" s="5"/>
      <c r="P11" s="5"/>
    </row>
    <row r="12" spans="1:16" ht="46" customHeight="1">
      <c r="A12" s="6" t="s">
        <v>2041</v>
      </c>
      <c r="B12" s="6" t="s">
        <v>2042</v>
      </c>
      <c r="C12" s="6" t="s">
        <v>2043</v>
      </c>
      <c r="D12" s="6" t="s">
        <v>2044</v>
      </c>
      <c r="E12" s="6" t="s">
        <v>2035</v>
      </c>
      <c r="F12" s="8"/>
      <c r="G12" s="8"/>
      <c r="H12" s="8"/>
      <c r="I12" s="5"/>
      <c r="J12" s="6" t="s">
        <v>21</v>
      </c>
      <c r="K12" s="6"/>
      <c r="L12" s="6"/>
      <c r="M12" s="6" t="s">
        <v>2036</v>
      </c>
      <c r="N12" s="5"/>
      <c r="O12" s="5"/>
      <c r="P12" s="5"/>
    </row>
    <row r="13" spans="1:16" ht="46" customHeight="1">
      <c r="A13" s="6" t="s">
        <v>2045</v>
      </c>
      <c r="B13" s="6" t="s">
        <v>2046</v>
      </c>
      <c r="C13" s="6" t="s">
        <v>2047</v>
      </c>
      <c r="D13" s="6" t="s">
        <v>2044</v>
      </c>
      <c r="E13" s="6" t="s">
        <v>2035</v>
      </c>
      <c r="F13" s="8"/>
      <c r="G13" s="8"/>
      <c r="H13" s="8"/>
      <c r="I13" s="5"/>
      <c r="J13" s="6" t="s">
        <v>21</v>
      </c>
      <c r="K13" s="6"/>
      <c r="L13" s="6"/>
      <c r="M13" s="6" t="s">
        <v>2036</v>
      </c>
      <c r="N13" s="5"/>
      <c r="O13" s="5"/>
      <c r="P13" s="5"/>
    </row>
    <row r="14" spans="1:16" ht="46" customHeight="1">
      <c r="A14" s="6" t="s">
        <v>2048</v>
      </c>
      <c r="B14" s="6" t="s">
        <v>2049</v>
      </c>
      <c r="C14" s="6" t="s">
        <v>2050</v>
      </c>
      <c r="D14" s="6" t="s">
        <v>2044</v>
      </c>
      <c r="E14" s="6" t="s">
        <v>2035</v>
      </c>
      <c r="F14" s="8"/>
      <c r="G14" s="8"/>
      <c r="H14" s="8"/>
      <c r="I14" s="5"/>
      <c r="J14" s="6" t="s">
        <v>21</v>
      </c>
      <c r="K14" s="6"/>
      <c r="L14" s="6"/>
      <c r="M14" s="6" t="s">
        <v>2036</v>
      </c>
      <c r="N14" s="5"/>
      <c r="O14" s="5"/>
      <c r="P14" s="5"/>
    </row>
    <row r="15" spans="1:16" ht="46" customHeight="1">
      <c r="A15" s="6" t="s">
        <v>2051</v>
      </c>
      <c r="B15" s="6" t="s">
        <v>2052</v>
      </c>
      <c r="C15" s="6" t="s">
        <v>2053</v>
      </c>
      <c r="D15" s="6" t="s">
        <v>2040</v>
      </c>
      <c r="E15" s="6" t="s">
        <v>2035</v>
      </c>
      <c r="F15" s="8"/>
      <c r="G15" s="8"/>
      <c r="H15" s="8"/>
      <c r="I15" s="5"/>
      <c r="J15" s="6" t="s">
        <v>21</v>
      </c>
      <c r="K15" s="6"/>
      <c r="L15" s="6"/>
      <c r="M15" s="6" t="s">
        <v>2036</v>
      </c>
      <c r="N15" s="5"/>
      <c r="O15" s="5"/>
      <c r="P15" s="5"/>
    </row>
    <row r="16" spans="1:16" ht="46" customHeight="1">
      <c r="A16" s="6" t="s">
        <v>2054</v>
      </c>
      <c r="B16" s="6" t="s">
        <v>2055</v>
      </c>
      <c r="C16" s="6" t="s">
        <v>2056</v>
      </c>
      <c r="D16" s="6" t="s">
        <v>2040</v>
      </c>
      <c r="E16" s="6" t="s">
        <v>2035</v>
      </c>
      <c r="F16" s="8"/>
      <c r="G16" s="8"/>
      <c r="H16" s="8"/>
      <c r="I16" s="5"/>
      <c r="J16" s="6" t="s">
        <v>21</v>
      </c>
      <c r="K16" s="6"/>
      <c r="L16" s="6"/>
      <c r="M16" s="6" t="s">
        <v>2036</v>
      </c>
      <c r="N16" s="5"/>
      <c r="O16" s="5"/>
      <c r="P16" s="5"/>
    </row>
    <row r="17" spans="1:16" ht="46" customHeight="1">
      <c r="A17" s="6" t="s">
        <v>2057</v>
      </c>
      <c r="B17" s="6" t="s">
        <v>2058</v>
      </c>
      <c r="C17" s="6" t="s">
        <v>2059</v>
      </c>
      <c r="D17" s="6" t="s">
        <v>2060</v>
      </c>
      <c r="E17" s="6" t="s">
        <v>2035</v>
      </c>
      <c r="F17" s="8"/>
      <c r="G17" s="8"/>
      <c r="H17" s="8"/>
      <c r="I17" s="5"/>
      <c r="J17" s="6" t="s">
        <v>21</v>
      </c>
      <c r="K17" s="6"/>
      <c r="L17" s="6"/>
      <c r="M17" s="6" t="s">
        <v>2036</v>
      </c>
      <c r="N17" s="5"/>
      <c r="O17" s="5"/>
      <c r="P17" s="5"/>
    </row>
    <row r="18" spans="1:16" ht="46" customHeight="1">
      <c r="A18" s="6" t="s">
        <v>2061</v>
      </c>
      <c r="B18" s="6" t="s">
        <v>2062</v>
      </c>
      <c r="C18" s="6" t="s">
        <v>2063</v>
      </c>
      <c r="D18" s="6" t="s">
        <v>2044</v>
      </c>
      <c r="E18" s="6" t="s">
        <v>2035</v>
      </c>
      <c r="F18" s="8"/>
      <c r="G18" s="8"/>
      <c r="H18" s="8"/>
      <c r="I18" s="5"/>
      <c r="J18" s="6" t="s">
        <v>21</v>
      </c>
      <c r="K18" s="6"/>
      <c r="L18" s="6"/>
      <c r="M18" s="6" t="s">
        <v>2036</v>
      </c>
      <c r="N18" s="5"/>
      <c r="O18" s="5"/>
      <c r="P18" s="5"/>
    </row>
    <row r="19" spans="1:16" ht="46" customHeight="1">
      <c r="A19" s="6" t="s">
        <v>2064</v>
      </c>
      <c r="B19" s="6" t="s">
        <v>2065</v>
      </c>
      <c r="C19" s="6" t="s">
        <v>2066</v>
      </c>
      <c r="D19" s="6" t="s">
        <v>2044</v>
      </c>
      <c r="E19" s="6" t="s">
        <v>2035</v>
      </c>
      <c r="F19" s="8"/>
      <c r="G19" s="8"/>
      <c r="H19" s="8"/>
      <c r="I19" s="5"/>
      <c r="J19" s="6" t="s">
        <v>21</v>
      </c>
      <c r="K19" s="6"/>
      <c r="L19" s="6"/>
      <c r="M19" s="6" t="s">
        <v>2036</v>
      </c>
      <c r="N19" s="5"/>
      <c r="O19" s="5"/>
      <c r="P19" s="5"/>
    </row>
    <row r="20" spans="1:16" ht="46" customHeight="1">
      <c r="A20" s="6" t="s">
        <v>2067</v>
      </c>
      <c r="B20" s="6" t="s">
        <v>2068</v>
      </c>
      <c r="C20" s="6" t="s">
        <v>2069</v>
      </c>
      <c r="D20" s="6" t="s">
        <v>2040</v>
      </c>
      <c r="E20" s="6" t="s">
        <v>2035</v>
      </c>
      <c r="F20" s="8"/>
      <c r="G20" s="8"/>
      <c r="H20" s="8"/>
      <c r="I20" s="5"/>
      <c r="J20" s="6" t="s">
        <v>21</v>
      </c>
      <c r="K20" s="6"/>
      <c r="L20" s="6"/>
      <c r="M20" s="6" t="s">
        <v>2036</v>
      </c>
      <c r="N20" s="5"/>
      <c r="O20" s="5"/>
      <c r="P20" s="5"/>
    </row>
    <row r="21" spans="1:16" ht="46" customHeight="1">
      <c r="A21" s="6" t="s">
        <v>2070</v>
      </c>
      <c r="B21" s="6" t="s">
        <v>63</v>
      </c>
      <c r="C21" s="6" t="s">
        <v>2071</v>
      </c>
      <c r="D21" s="6" t="s">
        <v>2044</v>
      </c>
      <c r="E21" s="6" t="s">
        <v>2035</v>
      </c>
      <c r="F21" s="8"/>
      <c r="G21" s="8"/>
      <c r="H21" s="8"/>
      <c r="I21" s="5"/>
      <c r="J21" s="6" t="s">
        <v>21</v>
      </c>
      <c r="K21" s="6"/>
      <c r="L21" s="6"/>
      <c r="M21" s="6" t="s">
        <v>2036</v>
      </c>
      <c r="N21" s="5"/>
      <c r="O21" s="5"/>
      <c r="P21" s="5"/>
    </row>
    <row r="22" spans="1:16" ht="46" customHeight="1">
      <c r="A22" s="6" t="s">
        <v>2072</v>
      </c>
      <c r="B22" s="6"/>
      <c r="C22" s="6"/>
      <c r="D22" s="6"/>
      <c r="E22" s="6" t="s">
        <v>2035</v>
      </c>
      <c r="F22" s="8"/>
      <c r="G22" s="8"/>
      <c r="H22" s="8"/>
      <c r="I22" s="5"/>
      <c r="J22" s="6" t="s">
        <v>21</v>
      </c>
      <c r="K22" s="6"/>
      <c r="L22" s="6"/>
      <c r="M22" s="6" t="s">
        <v>2036</v>
      </c>
      <c r="N22" s="5"/>
      <c r="O22" s="5"/>
      <c r="P22" s="5"/>
    </row>
    <row r="23" spans="1:16" ht="46" customHeight="1">
      <c r="A23" s="6" t="s">
        <v>2073</v>
      </c>
      <c r="B23" s="6"/>
      <c r="C23" s="6"/>
      <c r="D23" s="6"/>
      <c r="E23" s="6" t="s">
        <v>2035</v>
      </c>
      <c r="F23" s="8"/>
      <c r="G23" s="8"/>
      <c r="H23" s="8"/>
      <c r="I23" s="5"/>
      <c r="J23" s="6" t="s">
        <v>21</v>
      </c>
      <c r="K23" s="6"/>
      <c r="L23" s="6"/>
      <c r="M23" s="6" t="s">
        <v>2036</v>
      </c>
      <c r="N23" s="5"/>
      <c r="O23" s="5"/>
      <c r="P23" s="5"/>
    </row>
    <row r="24" spans="1:16" ht="46" customHeight="1">
      <c r="A24" s="6" t="s">
        <v>2074</v>
      </c>
      <c r="B24" s="6"/>
      <c r="C24" s="6"/>
      <c r="D24" s="6"/>
      <c r="E24" s="6" t="s">
        <v>2035</v>
      </c>
      <c r="F24" s="8"/>
      <c r="G24" s="8"/>
      <c r="H24" s="8"/>
      <c r="I24" s="5"/>
      <c r="J24" s="6" t="s">
        <v>21</v>
      </c>
      <c r="K24" s="6"/>
      <c r="L24" s="6"/>
      <c r="M24" s="6" t="s">
        <v>2036</v>
      </c>
      <c r="N24" s="5"/>
      <c r="O24" s="5"/>
      <c r="P24" s="5"/>
    </row>
    <row r="25" spans="1:16" ht="46" customHeight="1">
      <c r="A25" s="6" t="s">
        <v>2075</v>
      </c>
      <c r="B25" s="6"/>
      <c r="C25" s="6"/>
      <c r="D25" s="6"/>
      <c r="E25" s="6" t="s">
        <v>2035</v>
      </c>
      <c r="F25" s="8"/>
      <c r="G25" s="8"/>
      <c r="H25" s="8"/>
      <c r="I25" s="5"/>
      <c r="J25" s="6" t="s">
        <v>21</v>
      </c>
      <c r="K25" s="6"/>
      <c r="L25" s="6"/>
      <c r="M25" s="6" t="s">
        <v>2036</v>
      </c>
      <c r="N25" s="5"/>
      <c r="O25" s="5"/>
      <c r="P25" s="5"/>
    </row>
    <row r="26" spans="1:16" ht="46" customHeight="1">
      <c r="A26" s="6" t="s">
        <v>2076</v>
      </c>
      <c r="B26" s="6"/>
      <c r="C26" s="6"/>
      <c r="D26" s="6"/>
      <c r="E26" s="6" t="s">
        <v>2035</v>
      </c>
      <c r="F26" s="8"/>
      <c r="G26" s="8"/>
      <c r="H26" s="8"/>
      <c r="I26" s="5"/>
      <c r="J26" s="6" t="s">
        <v>21</v>
      </c>
      <c r="K26" s="6"/>
      <c r="L26" s="6"/>
      <c r="M26" s="6" t="s">
        <v>2036</v>
      </c>
      <c r="N26" s="5"/>
      <c r="O26" s="5"/>
      <c r="P26" s="5"/>
    </row>
    <row r="27" spans="1:16" ht="46" customHeight="1">
      <c r="A27" s="6" t="s">
        <v>2077</v>
      </c>
      <c r="B27" s="6"/>
      <c r="C27" s="6"/>
      <c r="D27" s="6"/>
      <c r="E27" s="6" t="s">
        <v>2035</v>
      </c>
      <c r="F27" s="8"/>
      <c r="G27" s="8"/>
      <c r="H27" s="8"/>
      <c r="I27" s="5"/>
      <c r="J27" s="6" t="s">
        <v>21</v>
      </c>
      <c r="K27" s="6"/>
      <c r="L27" s="6"/>
      <c r="M27" s="6" t="s">
        <v>2036</v>
      </c>
      <c r="N27" s="5"/>
      <c r="O27" s="5"/>
      <c r="P27" s="5"/>
    </row>
    <row r="28" spans="1:16" ht="46" customHeight="1">
      <c r="A28" s="6" t="s">
        <v>2078</v>
      </c>
      <c r="B28" s="6"/>
      <c r="C28" s="6"/>
      <c r="D28" s="6"/>
      <c r="E28" s="6" t="s">
        <v>2035</v>
      </c>
      <c r="F28" s="8"/>
      <c r="G28" s="8"/>
      <c r="H28" s="8"/>
      <c r="I28" s="5"/>
      <c r="J28" s="6" t="s">
        <v>21</v>
      </c>
      <c r="K28" s="6"/>
      <c r="L28" s="6"/>
      <c r="M28" s="6" t="s">
        <v>2036</v>
      </c>
      <c r="N28" s="5"/>
      <c r="O28" s="5"/>
      <c r="P28" s="5"/>
    </row>
    <row r="29" spans="1:16" ht="46" customHeight="1">
      <c r="A29" s="6" t="s">
        <v>2079</v>
      </c>
      <c r="B29" s="6"/>
      <c r="C29" s="6"/>
      <c r="D29" s="6"/>
      <c r="E29" s="6" t="s">
        <v>2035</v>
      </c>
      <c r="F29" s="8"/>
      <c r="G29" s="8"/>
      <c r="H29" s="8"/>
      <c r="I29" s="5"/>
      <c r="J29" s="6" t="s">
        <v>21</v>
      </c>
      <c r="K29" s="6"/>
      <c r="L29" s="6"/>
      <c r="M29" s="6" t="s">
        <v>2036</v>
      </c>
      <c r="N29" s="5"/>
      <c r="O29" s="5"/>
      <c r="P29" s="5"/>
    </row>
    <row r="30" spans="1:16" ht="46" customHeight="1">
      <c r="A30" s="6" t="s">
        <v>2080</v>
      </c>
      <c r="B30" s="6"/>
      <c r="C30" s="6"/>
      <c r="D30" s="6"/>
      <c r="E30" s="6" t="s">
        <v>2035</v>
      </c>
      <c r="F30" s="8"/>
      <c r="G30" s="8"/>
      <c r="H30" s="8"/>
      <c r="I30" s="5"/>
      <c r="J30" s="6" t="s">
        <v>21</v>
      </c>
      <c r="K30" s="6"/>
      <c r="L30" s="6"/>
      <c r="M30" s="6" t="s">
        <v>2036</v>
      </c>
      <c r="N30" s="5"/>
      <c r="O30" s="5"/>
      <c r="P30" s="5"/>
    </row>
    <row r="31" spans="1:16" ht="46" customHeight="1">
      <c r="A31" s="6" t="s">
        <v>2081</v>
      </c>
      <c r="B31" s="6"/>
      <c r="C31" s="6"/>
      <c r="D31" s="6"/>
      <c r="E31" s="6" t="s">
        <v>2035</v>
      </c>
      <c r="F31" s="8"/>
      <c r="G31" s="8"/>
      <c r="H31" s="8"/>
      <c r="I31" s="5"/>
      <c r="J31" s="6" t="s">
        <v>21</v>
      </c>
      <c r="K31" s="6"/>
      <c r="L31" s="6"/>
      <c r="M31" s="6" t="s">
        <v>2036</v>
      </c>
      <c r="N31" s="5"/>
      <c r="O31" s="5"/>
      <c r="P31" s="5"/>
    </row>
    <row r="32" spans="1:16" ht="46" customHeight="1">
      <c r="A32" s="6" t="s">
        <v>2082</v>
      </c>
      <c r="B32" s="6"/>
      <c r="C32" s="6"/>
      <c r="D32" s="6"/>
      <c r="E32" s="6" t="s">
        <v>2035</v>
      </c>
      <c r="F32" s="8"/>
      <c r="G32" s="8"/>
      <c r="H32" s="8"/>
      <c r="I32" s="5"/>
      <c r="J32" s="6" t="s">
        <v>21</v>
      </c>
      <c r="K32" s="6"/>
      <c r="L32" s="6"/>
      <c r="M32" s="6" t="s">
        <v>2036</v>
      </c>
      <c r="N32" s="5"/>
      <c r="O32" s="5"/>
      <c r="P32" s="5"/>
    </row>
    <row r="33" spans="1:16" ht="46" customHeight="1">
      <c r="A33" s="6" t="s">
        <v>2083</v>
      </c>
      <c r="B33" s="6"/>
      <c r="C33" s="6"/>
      <c r="D33" s="6"/>
      <c r="E33" s="6" t="s">
        <v>2035</v>
      </c>
      <c r="F33" s="8"/>
      <c r="G33" s="8"/>
      <c r="H33" s="8"/>
      <c r="I33" s="5"/>
      <c r="J33" s="6" t="s">
        <v>21</v>
      </c>
      <c r="K33" s="6"/>
      <c r="L33" s="6"/>
      <c r="M33" s="6" t="s">
        <v>2036</v>
      </c>
      <c r="N33" s="5"/>
      <c r="O33" s="5"/>
      <c r="P33" s="5"/>
    </row>
    <row r="34" spans="1:16" ht="46" customHeight="1">
      <c r="A34" s="6" t="s">
        <v>2084</v>
      </c>
      <c r="B34" s="6"/>
      <c r="C34" s="6"/>
      <c r="D34" s="6"/>
      <c r="E34" s="6" t="s">
        <v>2035</v>
      </c>
      <c r="F34" s="8"/>
      <c r="G34" s="8"/>
      <c r="H34" s="8"/>
      <c r="I34" s="5"/>
      <c r="J34" s="6" t="s">
        <v>21</v>
      </c>
      <c r="K34" s="6"/>
      <c r="L34" s="6"/>
      <c r="M34" s="6" t="s">
        <v>2036</v>
      </c>
      <c r="N34" s="5"/>
      <c r="O34" s="5"/>
      <c r="P34" s="5"/>
    </row>
    <row r="35" spans="1:16" ht="46" customHeight="1">
      <c r="A35" s="6" t="s">
        <v>2085</v>
      </c>
      <c r="B35" s="6"/>
      <c r="C35" s="6"/>
      <c r="D35" s="6"/>
      <c r="E35" s="6" t="s">
        <v>2035</v>
      </c>
      <c r="F35" s="8"/>
      <c r="G35" s="8"/>
      <c r="H35" s="8"/>
      <c r="I35" s="5"/>
      <c r="J35" s="6" t="s">
        <v>21</v>
      </c>
      <c r="K35" s="6"/>
      <c r="L35" s="6"/>
      <c r="M35" s="6" t="s">
        <v>2036</v>
      </c>
      <c r="N35" s="5"/>
      <c r="O35" s="5"/>
      <c r="P35" s="5"/>
    </row>
    <row r="36" spans="1:16" ht="46" customHeight="1">
      <c r="A36" s="6" t="s">
        <v>2086</v>
      </c>
      <c r="B36" s="6"/>
      <c r="C36" s="6"/>
      <c r="D36" s="6"/>
      <c r="E36" s="6" t="s">
        <v>2035</v>
      </c>
      <c r="F36" s="8"/>
      <c r="G36" s="8"/>
      <c r="H36" s="8"/>
      <c r="I36" s="5"/>
      <c r="J36" s="6" t="s">
        <v>21</v>
      </c>
      <c r="K36" s="6"/>
      <c r="L36" s="6"/>
      <c r="M36" s="6" t="s">
        <v>2036</v>
      </c>
      <c r="N36" s="5"/>
      <c r="O36" s="5"/>
      <c r="P36" s="5"/>
    </row>
    <row r="37" spans="1:16" ht="46" customHeight="1">
      <c r="A37" s="6" t="s">
        <v>2087</v>
      </c>
      <c r="B37" s="6"/>
      <c r="C37" s="6"/>
      <c r="D37" s="6"/>
      <c r="E37" s="6" t="s">
        <v>2035</v>
      </c>
      <c r="F37" s="8"/>
      <c r="G37" s="8"/>
      <c r="H37" s="8"/>
      <c r="I37" s="5"/>
      <c r="J37" s="6" t="s">
        <v>21</v>
      </c>
      <c r="K37" s="6"/>
      <c r="L37" s="6"/>
      <c r="M37" s="6" t="s">
        <v>2036</v>
      </c>
      <c r="N37" s="5"/>
      <c r="O37" s="5"/>
      <c r="P37" s="5"/>
    </row>
    <row r="38" spans="1:16" ht="46" customHeight="1">
      <c r="A38" s="6" t="s">
        <v>2088</v>
      </c>
      <c r="B38" s="6"/>
      <c r="C38" s="6"/>
      <c r="D38" s="6"/>
      <c r="E38" s="6" t="s">
        <v>2035</v>
      </c>
      <c r="F38" s="8"/>
      <c r="G38" s="8"/>
      <c r="H38" s="8"/>
      <c r="I38" s="5"/>
      <c r="J38" s="6" t="s">
        <v>21</v>
      </c>
      <c r="K38" s="6"/>
      <c r="L38" s="6"/>
      <c r="M38" s="6" t="s">
        <v>2036</v>
      </c>
      <c r="N38" s="5"/>
      <c r="O38" s="5"/>
      <c r="P38" s="5"/>
    </row>
    <row r="39" spans="1:16" ht="46" customHeight="1">
      <c r="A39" s="6" t="s">
        <v>2089</v>
      </c>
      <c r="B39" s="6"/>
      <c r="C39" s="6"/>
      <c r="D39" s="6"/>
      <c r="E39" s="6" t="s">
        <v>2035</v>
      </c>
      <c r="F39" s="8"/>
      <c r="G39" s="8"/>
      <c r="H39" s="8"/>
      <c r="I39" s="5"/>
      <c r="J39" s="6" t="s">
        <v>21</v>
      </c>
      <c r="K39" s="6"/>
      <c r="L39" s="6"/>
      <c r="M39" s="6" t="s">
        <v>2036</v>
      </c>
      <c r="N39" s="5"/>
      <c r="O39" s="5"/>
      <c r="P39" s="5"/>
    </row>
    <row r="40" spans="1:16" ht="46" customHeight="1">
      <c r="A40" s="6" t="s">
        <v>2090</v>
      </c>
      <c r="B40" s="6"/>
      <c r="C40" s="6"/>
      <c r="D40" s="6"/>
      <c r="E40" s="6" t="s">
        <v>2035</v>
      </c>
      <c r="F40" s="8"/>
      <c r="G40" s="8"/>
      <c r="H40" s="8"/>
      <c r="I40" s="5"/>
      <c r="J40" s="6" t="s">
        <v>21</v>
      </c>
      <c r="K40" s="6"/>
      <c r="L40" s="6"/>
      <c r="M40" s="6" t="s">
        <v>2036</v>
      </c>
      <c r="N40" s="5"/>
      <c r="O40" s="5"/>
      <c r="P40" s="5"/>
    </row>
    <row r="41" spans="1:16" ht="46" customHeight="1">
      <c r="A41" s="6" t="s">
        <v>2091</v>
      </c>
      <c r="B41" s="6"/>
      <c r="C41" s="6"/>
      <c r="D41" s="6"/>
      <c r="E41" s="6" t="s">
        <v>2035</v>
      </c>
      <c r="F41" s="8"/>
      <c r="G41" s="8"/>
      <c r="H41" s="8"/>
      <c r="I41" s="5"/>
      <c r="J41" s="6" t="s">
        <v>21</v>
      </c>
      <c r="K41" s="6"/>
      <c r="L41" s="6"/>
      <c r="M41" s="6" t="s">
        <v>2036</v>
      </c>
      <c r="N41" s="5"/>
      <c r="O41" s="5"/>
      <c r="P41" s="5"/>
    </row>
    <row r="42" spans="1:16" ht="46" customHeight="1">
      <c r="A42" s="6" t="s">
        <v>2092</v>
      </c>
      <c r="B42" s="6"/>
      <c r="C42" s="6"/>
      <c r="D42" s="6"/>
      <c r="E42" s="6" t="s">
        <v>2035</v>
      </c>
      <c r="F42" s="8"/>
      <c r="G42" s="8"/>
      <c r="H42" s="8"/>
      <c r="I42" s="5"/>
      <c r="J42" s="6" t="s">
        <v>21</v>
      </c>
      <c r="K42" s="6"/>
      <c r="L42" s="6"/>
      <c r="M42" s="6" t="s">
        <v>2036</v>
      </c>
      <c r="N42" s="5"/>
      <c r="O42" s="5"/>
      <c r="P42" s="5"/>
    </row>
    <row r="43" spans="1:16" ht="46" customHeight="1">
      <c r="A43" s="6" t="s">
        <v>2093</v>
      </c>
      <c r="B43" s="6"/>
      <c r="C43" s="6"/>
      <c r="D43" s="6"/>
      <c r="E43" s="6" t="s">
        <v>2035</v>
      </c>
      <c r="F43" s="8"/>
      <c r="G43" s="8"/>
      <c r="H43" s="8"/>
      <c r="I43" s="5"/>
      <c r="J43" s="6" t="s">
        <v>21</v>
      </c>
      <c r="K43" s="6"/>
      <c r="L43" s="6"/>
      <c r="M43" s="6" t="s">
        <v>2036</v>
      </c>
      <c r="N43" s="5"/>
      <c r="O43" s="5"/>
      <c r="P43" s="5"/>
    </row>
    <row r="44" spans="1:16" ht="46" customHeight="1">
      <c r="A44" s="6" t="s">
        <v>2094</v>
      </c>
      <c r="B44" s="6"/>
      <c r="C44" s="6"/>
      <c r="D44" s="6"/>
      <c r="E44" s="6" t="s">
        <v>2035</v>
      </c>
      <c r="F44" s="8"/>
      <c r="G44" s="8"/>
      <c r="H44" s="8"/>
      <c r="I44" s="5"/>
      <c r="J44" s="6" t="s">
        <v>21</v>
      </c>
      <c r="K44" s="6"/>
      <c r="L44" s="6"/>
      <c r="M44" s="6" t="s">
        <v>2036</v>
      </c>
      <c r="N44" s="5"/>
      <c r="O44" s="5"/>
      <c r="P44" s="5"/>
    </row>
    <row r="45" spans="1:16" ht="46" customHeight="1">
      <c r="A45" s="6" t="s">
        <v>2095</v>
      </c>
      <c r="B45" s="6"/>
      <c r="C45" s="6"/>
      <c r="D45" s="6"/>
      <c r="E45" s="6" t="s">
        <v>2035</v>
      </c>
      <c r="F45" s="8"/>
      <c r="G45" s="8"/>
      <c r="H45" s="8"/>
      <c r="I45" s="5"/>
      <c r="J45" s="6" t="s">
        <v>21</v>
      </c>
      <c r="K45" s="6"/>
      <c r="L45" s="6"/>
      <c r="M45" s="6" t="s">
        <v>2036</v>
      </c>
      <c r="N45" s="5"/>
      <c r="O45" s="5"/>
      <c r="P45" s="5"/>
    </row>
    <row r="46" spans="1:16" ht="46" customHeight="1">
      <c r="A46" s="6" t="s">
        <v>2096</v>
      </c>
      <c r="B46" s="6"/>
      <c r="C46" s="6"/>
      <c r="D46" s="6"/>
      <c r="E46" s="6" t="s">
        <v>2035</v>
      </c>
      <c r="F46" s="8"/>
      <c r="G46" s="8"/>
      <c r="H46" s="8"/>
      <c r="I46" s="5"/>
      <c r="J46" s="6" t="s">
        <v>21</v>
      </c>
      <c r="K46" s="6"/>
      <c r="L46" s="6"/>
      <c r="M46" s="6" t="s">
        <v>2036</v>
      </c>
      <c r="N46" s="5"/>
      <c r="O46" s="5"/>
      <c r="P46" s="5"/>
    </row>
    <row r="47" spans="1:16" ht="46" customHeight="1">
      <c r="A47" s="6" t="s">
        <v>2097</v>
      </c>
      <c r="B47" s="6"/>
      <c r="C47" s="6"/>
      <c r="D47" s="6"/>
      <c r="E47" s="6" t="s">
        <v>2035</v>
      </c>
      <c r="F47" s="8"/>
      <c r="G47" s="8"/>
      <c r="H47" s="8"/>
      <c r="I47" s="5"/>
      <c r="J47" s="6" t="s">
        <v>21</v>
      </c>
      <c r="K47" s="6"/>
      <c r="L47" s="6"/>
      <c r="M47" s="6" t="s">
        <v>2036</v>
      </c>
      <c r="N47" s="5"/>
      <c r="O47" s="5"/>
      <c r="P47" s="5"/>
    </row>
    <row r="48" spans="1:16" ht="46" customHeight="1">
      <c r="A48" s="6" t="s">
        <v>2098</v>
      </c>
      <c r="B48" s="6"/>
      <c r="C48" s="6"/>
      <c r="D48" s="6"/>
      <c r="E48" s="6" t="s">
        <v>2035</v>
      </c>
      <c r="F48" s="8"/>
      <c r="G48" s="8"/>
      <c r="H48" s="8"/>
      <c r="I48" s="5"/>
      <c r="J48" s="6" t="s">
        <v>21</v>
      </c>
      <c r="K48" s="6"/>
      <c r="L48" s="6"/>
      <c r="M48" s="6" t="s">
        <v>2036</v>
      </c>
      <c r="N48" s="5"/>
      <c r="O48" s="5"/>
      <c r="P48" s="5"/>
    </row>
    <row r="49" spans="1:16" ht="46" customHeight="1">
      <c r="A49" s="6" t="s">
        <v>2099</v>
      </c>
      <c r="B49" s="6"/>
      <c r="C49" s="6"/>
      <c r="D49" s="6"/>
      <c r="E49" s="6" t="s">
        <v>2035</v>
      </c>
      <c r="F49" s="8"/>
      <c r="G49" s="8"/>
      <c r="H49" s="8"/>
      <c r="I49" s="5"/>
      <c r="J49" s="6" t="s">
        <v>21</v>
      </c>
      <c r="K49" s="6"/>
      <c r="L49" s="6"/>
      <c r="M49" s="6" t="s">
        <v>2036</v>
      </c>
      <c r="N49" s="5"/>
      <c r="O49" s="5"/>
      <c r="P49" s="5"/>
    </row>
  </sheetData>
  <mergeCells count="2">
    <mergeCell ref="A1:P1"/>
    <mergeCell ref="A2:P2"/>
  </mergeCells>
  <dataValidations count="10">
    <dataValidation allowBlank="1" showInputMessage="1" showErrorMessage="1" errorTitle="Eingabe prüfen" error="Bitte die vorgegebene Auswahl bzw. das geforderte Format verwenden." promptTitle="EBITDA berichtet" prompt="Berichtetes EBITDA für exakt dieselbe LTM-Periode wie die Anpassungen eingeben." sqref="B4"/>
    <dataValidation type="list" allowBlank="1" showInputMessage="1" showErrorMessage="1" errorTitle="Eingabe prüfen" error="Bitte die vorgegebene Auswahl bzw. das geforderte Format verwenden." promptTitle="Richtung" prompt="+ erhöht, − reduziert, +/− noch offen; Synergien separat kennzeichnen." sqref="D10:D49">
      <formula1>"+,−,+/−,separat"</formula1>
    </dataValidation>
    <dataValidation allowBlank="1" showInputMessage="1" showErrorMessage="1" errorTitle="Eingabe prüfen" error="Bitte die vorgegebene Auswahl bzw. das geforderte Format verwenden." promptTitle="Periode" prompt="Betroffene Periode, z. B. LTM Sep-26 oder 2025A." sqref="E10:E49"/>
    <dataValidation allowBlank="1" showInputMessage="1" showErrorMessage="1" errorTitle="Eingabe prüfen" error="Bitte die vorgegebene Auswahl bzw. das geforderte Format verwenden." promptTitle="QoE-Betrag" prompt="Betrag mit wirtschaftlichem Vorzeichen und ohne Währungstext eingeben." sqref="F10:H49"/>
    <dataValidation allowBlank="1" showInputMessage="1" showErrorMessage="1" errorTitle="Eingabe prüfen" error="Bitte die vorgegebene Auswahl bzw. das geforderte Format verwenden." promptTitle="Evidenz" prompt="Konten, Belege und Berechnung mit VDR-/Arbeitspapier-Referenz nennen." sqref="I10:I49"/>
    <dataValidation type="list" allowBlank="1" showInputMessage="1" showErrorMessage="1" errorTitle="Eingabe prüfen" error="Bitte die vorgegebene Auswahl bzw. das geforderte Format verwenden." promptTitle="Wiederkehrend?" prompt="Wiederkehr des Effekts anhand der Analyse auswählen." sqref="J10:J49">
      <formula1>"Ja,Nein,Teilweise,Zu prüfen"</formula1>
    </dataValidation>
    <dataValidation type="list" allowBlank="1" showInputMessage="1" showErrorMessage="1" errorTitle="Eingabe prüfen" error="Bitte die vorgegebene Auswahl bzw. das geforderte Format verwenden." promptTitle="Cash / Non-Cash" prompt="Zahlungswirkung des Effekts klassifizieren." sqref="K10:K49">
      <formula1>"Cash,Non-Cash,Gemischt,Zu prüfen"</formula1>
    </dataValidation>
    <dataValidation type="list" allowBlank="1" showInputMessage="1" showErrorMessage="1" errorTitle="Eingabe prüfen" error="Bitte die vorgegebene Auswahl bzw. das geforderte Format verwenden." promptTitle="Konfidenz" prompt="Belegqualität der Anpassung einstufen." sqref="L10:L49">
      <formula1>"Hoch,Mittel,Niedrig"</formula1>
    </dataValidation>
    <dataValidation type="list" allowBlank="1" showInputMessage="1" showErrorMessage="1" errorTitle="Eingabe prüfen" error="Bitte die vorgegebene Auswahl bzw. das geforderte Format verwenden." promptTitle="Status" prompt="Bearbeitungs- bzw. Entscheidungsstand auswählen." sqref="M10:M49">
      <formula1>"Offen,In Prüfung,Akzeptiert,Abgelehnt,Teilweise akzeptiert"</formula1>
    </dataValidation>
    <dataValidation allowBlank="1" showInputMessage="1" showErrorMessage="1" errorTitle="Eingabe prüfen" error="Bitte die vorgegebene Auswahl bzw. das geforderte Format verwenden." promptTitle="QoE-Dokumentation" prompt="Owner, Referenz und entscheidungsrelevanten Kommentar ergänzen." sqref="N10:P49"/>
  </dataValidations>
  <pageMargins left="0.7" right="0.7" top="0.75" bottom="0.75" header="0.3" footer="0.3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1F4E78"/>
  </sheetPr>
  <dimension ref="A1:S37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34.7109375" customWidth="1"/>
    <col min="2" max="2" width="10.7109375" customWidth="1"/>
    <col min="3" max="14" width="13.7109375" customWidth="1"/>
    <col min="15" max="18" width="14.7109375" customWidth="1"/>
    <col min="19" max="19" width="34.7109375" customWidth="1"/>
  </cols>
  <sheetData>
    <row r="1" spans="1:19" ht="30" customHeight="1">
      <c r="A1" s="1" t="s">
        <v>2113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34" customHeight="1">
      <c r="A2" s="2" t="s">
        <v>2114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19">
      <c r="A4" s="3" t="s">
        <v>2115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>
      <c r="A5" s="9" t="s">
        <v>2116</v>
      </c>
      <c r="B5" s="9" t="s">
        <v>2117</v>
      </c>
      <c r="C5" s="9" t="s">
        <v>2118</v>
      </c>
      <c r="D5" s="9" t="s">
        <v>2119</v>
      </c>
      <c r="E5" s="9" t="s">
        <v>2120</v>
      </c>
      <c r="F5" s="9" t="s">
        <v>2121</v>
      </c>
      <c r="G5" s="9" t="s">
        <v>2122</v>
      </c>
      <c r="H5" s="9" t="s">
        <v>2123</v>
      </c>
      <c r="I5" s="9" t="s">
        <v>2124</v>
      </c>
      <c r="J5" s="9" t="s">
        <v>2125</v>
      </c>
      <c r="K5" s="9" t="s">
        <v>2126</v>
      </c>
      <c r="L5" s="9" t="s">
        <v>2127</v>
      </c>
      <c r="M5" s="9" t="s">
        <v>2128</v>
      </c>
      <c r="N5" s="9" t="s">
        <v>2129</v>
      </c>
      <c r="O5" s="9" t="s">
        <v>2130</v>
      </c>
      <c r="P5" s="9" t="s">
        <v>2131</v>
      </c>
      <c r="Q5" s="9" t="s">
        <v>2132</v>
      </c>
      <c r="R5" s="9" t="s">
        <v>2133</v>
      </c>
      <c r="S5" s="9" t="s">
        <v>2134</v>
      </c>
    </row>
    <row r="6" spans="1:19">
      <c r="A6" s="6" t="s">
        <v>2011</v>
      </c>
      <c r="B6" s="28">
        <v>1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21">
        <f>IF(COUNTA(C6:N6)=0,"",AVERAGE(C6:N6))</f>
        <v/>
      </c>
      <c r="P6" s="21">
        <f>IF(COUNTA(C6:N6)=0,"",MEDIAN(C6:N6))</f>
        <v/>
      </c>
      <c r="Q6" s="21">
        <f>IF(COUNTA(C6:N6)=0,"",MIN(C6:N6))</f>
        <v/>
      </c>
      <c r="R6" s="21">
        <f>IF(COUNTA(C6:N6)=0,"",MAX(C6:N6))</f>
        <v/>
      </c>
      <c r="S6" s="5"/>
    </row>
    <row r="7" spans="1:19">
      <c r="A7" s="6" t="s">
        <v>2012</v>
      </c>
      <c r="B7" s="28">
        <v>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21">
        <f>IF(COUNTA(C7:N7)=0,"",AVERAGE(C7:N7))</f>
        <v/>
      </c>
      <c r="P7" s="21">
        <f>IF(COUNTA(C7:N7)=0,"",MEDIAN(C7:N7))</f>
        <v/>
      </c>
      <c r="Q7" s="21">
        <f>IF(COUNTA(C7:N7)=0,"",MIN(C7:N7))</f>
        <v/>
      </c>
      <c r="R7" s="21">
        <f>IF(COUNTA(C7:N7)=0,"",MAX(C7:N7))</f>
        <v/>
      </c>
      <c r="S7" s="5"/>
    </row>
    <row r="8" spans="1:19">
      <c r="A8" s="6" t="s">
        <v>2013</v>
      </c>
      <c r="B8" s="28">
        <v>1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21">
        <f>IF(COUNTA(C8:N8)=0,"",AVERAGE(C8:N8))</f>
        <v/>
      </c>
      <c r="P8" s="21">
        <f>IF(COUNTA(C8:N8)=0,"",MEDIAN(C8:N8))</f>
        <v/>
      </c>
      <c r="Q8" s="21">
        <f>IF(COUNTA(C8:N8)=0,"",MIN(C8:N8))</f>
        <v/>
      </c>
      <c r="R8" s="21">
        <f>IF(COUNTA(C8:N8)=0,"",MAX(C8:N8))</f>
        <v/>
      </c>
      <c r="S8" s="5"/>
    </row>
    <row r="9" spans="1:19">
      <c r="A9" s="6" t="s">
        <v>2014</v>
      </c>
      <c r="B9" s="28">
        <v>1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21">
        <f>IF(COUNTA(C9:N9)=0,"",AVERAGE(C9:N9))</f>
        <v/>
      </c>
      <c r="P9" s="21">
        <f>IF(COUNTA(C9:N9)=0,"",MEDIAN(C9:N9))</f>
        <v/>
      </c>
      <c r="Q9" s="21">
        <f>IF(COUNTA(C9:N9)=0,"",MIN(C9:N9))</f>
        <v/>
      </c>
      <c r="R9" s="21">
        <f>IF(COUNTA(C9:N9)=0,"",MAX(C9:N9))</f>
        <v/>
      </c>
      <c r="S9" s="5"/>
    </row>
    <row r="10" spans="1:19">
      <c r="A10" s="6" t="s">
        <v>2015</v>
      </c>
      <c r="B10" s="28">
        <v>-1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21">
        <f>IF(COUNTA(C10:N10)=0,"",AVERAGE(C10:N10))</f>
        <v/>
      </c>
      <c r="P10" s="21">
        <f>IF(COUNTA(C10:N10)=0,"",MEDIAN(C10:N10))</f>
        <v/>
      </c>
      <c r="Q10" s="21">
        <f>IF(COUNTA(C10:N10)=0,"",MIN(C10:N10))</f>
        <v/>
      </c>
      <c r="R10" s="21">
        <f>IF(COUNTA(C10:N10)=0,"",MAX(C10:N10))</f>
        <v/>
      </c>
      <c r="S10" s="5"/>
    </row>
    <row r="11" spans="1:19">
      <c r="A11" s="6" t="s">
        <v>2016</v>
      </c>
      <c r="B11" s="28">
        <v>-1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21">
        <f>IF(COUNTA(C11:N11)=0,"",AVERAGE(C11:N11))</f>
        <v/>
      </c>
      <c r="P11" s="21">
        <f>IF(COUNTA(C11:N11)=0,"",MEDIAN(C11:N11))</f>
        <v/>
      </c>
      <c r="Q11" s="21">
        <f>IF(COUNTA(C11:N11)=0,"",MIN(C11:N11))</f>
        <v/>
      </c>
      <c r="R11" s="21">
        <f>IF(COUNTA(C11:N11)=0,"",MAX(C11:N11))</f>
        <v/>
      </c>
      <c r="S11" s="5"/>
    </row>
    <row r="12" spans="1:19">
      <c r="A12" s="6" t="s">
        <v>2017</v>
      </c>
      <c r="B12" s="28">
        <v>-1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21">
        <f>IF(COUNTA(C12:N12)=0,"",AVERAGE(C12:N12))</f>
        <v/>
      </c>
      <c r="P12" s="21">
        <f>IF(COUNTA(C12:N12)=0,"",MEDIAN(C12:N12))</f>
        <v/>
      </c>
      <c r="Q12" s="21">
        <f>IF(COUNTA(C12:N12)=0,"",MIN(C12:N12))</f>
        <v/>
      </c>
      <c r="R12" s="21">
        <f>IF(COUNTA(C12:N12)=0,"",MAX(C12:N12))</f>
        <v/>
      </c>
      <c r="S12" s="5"/>
    </row>
    <row r="13" spans="1:19">
      <c r="A13" s="4" t="s">
        <v>2018</v>
      </c>
      <c r="C13" s="21">
        <f>SUMPRODUCT($B$6:$B$12,C$6:C$12)</f>
        <v>0</v>
      </c>
      <c r="D13" s="21">
        <f>SUMPRODUCT($B$6:$B$12,D$6:D$12)</f>
        <v>0</v>
      </c>
      <c r="E13" s="21">
        <f>SUMPRODUCT($B$6:$B$12,E$6:E$12)</f>
        <v>0</v>
      </c>
      <c r="F13" s="21">
        <f>SUMPRODUCT($B$6:$B$12,F$6:F$12)</f>
        <v>0</v>
      </c>
      <c r="G13" s="21">
        <f>SUMPRODUCT($B$6:$B$12,G$6:G$12)</f>
        <v>0</v>
      </c>
      <c r="H13" s="21">
        <f>SUMPRODUCT($B$6:$B$12,H$6:H$12)</f>
        <v>0</v>
      </c>
      <c r="I13" s="21">
        <f>SUMPRODUCT($B$6:$B$12,I$6:I$12)</f>
        <v>0</v>
      </c>
      <c r="J13" s="21">
        <f>SUMPRODUCT($B$6:$B$12,J$6:J$12)</f>
        <v>0</v>
      </c>
      <c r="K13" s="21">
        <f>SUMPRODUCT($B$6:$B$12,K$6:K$12)</f>
        <v>0</v>
      </c>
      <c r="L13" s="21">
        <f>SUMPRODUCT($B$6:$B$12,L$6:L$12)</f>
        <v>0</v>
      </c>
      <c r="M13" s="21">
        <f>SUMPRODUCT($B$6:$B$12,M$6:M$12)</f>
        <v>0</v>
      </c>
      <c r="N13" s="21">
        <f>SUMPRODUCT($B$6:$B$12,N$6:N$12)</f>
        <v>0</v>
      </c>
      <c r="O13" s="21">
        <f>AVERAGE(C13:N13)</f>
        <v>0</v>
      </c>
      <c r="P13" s="21">
        <f>MEDIAN(C13:N13)</f>
        <v>0</v>
      </c>
      <c r="Q13" s="21">
        <f>MIN(C13:N13)</f>
        <v>0</v>
      </c>
      <c r="R13" s="21">
        <f>MAX(C13:N13)</f>
        <v>0</v>
      </c>
    </row>
    <row r="14" spans="1:19">
      <c r="A14" s="4" t="s">
        <v>2135</v>
      </c>
      <c r="C14" s="21">
        <f>P13</f>
        <v>0</v>
      </c>
      <c r="S14" s="30" t="s">
        <v>2136</v>
      </c>
    </row>
    <row r="17" spans="1:10">
      <c r="A17" s="3" t="s">
        <v>2137</v>
      </c>
      <c r="B17" s="3"/>
      <c r="C17" s="3"/>
      <c r="D17" s="3"/>
      <c r="E17" s="3"/>
      <c r="F17" s="3"/>
      <c r="G17" s="3"/>
      <c r="H17" s="3"/>
      <c r="I17" s="3"/>
      <c r="J17" s="3"/>
    </row>
    <row r="18" spans="1:10" ht="42" customHeight="1">
      <c r="A18" t="s">
        <v>2161</v>
      </c>
      <c r="B18" t="s">
        <v>2101</v>
      </c>
      <c r="C18" t="s">
        <v>2162</v>
      </c>
      <c r="D18" t="s">
        <v>2163</v>
      </c>
      <c r="E18" t="s">
        <v>2164</v>
      </c>
      <c r="F18" t="s">
        <v>2165</v>
      </c>
      <c r="G18" t="s">
        <v>2166</v>
      </c>
      <c r="H18" t="s">
        <v>2108</v>
      </c>
      <c r="I18" t="s">
        <v>2167</v>
      </c>
      <c r="J18" t="s">
        <v>1656</v>
      </c>
    </row>
    <row r="19" spans="1:10">
      <c r="A19" s="6" t="s">
        <v>2138</v>
      </c>
      <c r="B19" s="6" t="s">
        <v>2139</v>
      </c>
      <c r="C19" s="8"/>
      <c r="D19" s="6" t="s">
        <v>21</v>
      </c>
      <c r="E19" s="6">
        <v>-1</v>
      </c>
      <c r="F19" s="21">
        <f>IF(D19="Ja",C19*E19,0)</f>
        <v>0</v>
      </c>
      <c r="G19" s="5"/>
      <c r="H19" s="5"/>
      <c r="I19" s="5"/>
      <c r="J19" s="5"/>
    </row>
    <row r="20" spans="1:10">
      <c r="A20" s="6" t="s">
        <v>2140</v>
      </c>
      <c r="B20" s="6" t="s">
        <v>2141</v>
      </c>
      <c r="C20" s="8"/>
      <c r="D20" s="6" t="s">
        <v>21</v>
      </c>
      <c r="E20" s="6">
        <v>0</v>
      </c>
      <c r="F20" s="21">
        <f>IF(D20="Ja",C20*E20,0)</f>
        <v>0</v>
      </c>
      <c r="G20" s="5"/>
      <c r="H20" s="5"/>
      <c r="I20" s="5"/>
      <c r="J20" s="5"/>
    </row>
    <row r="21" spans="1:10">
      <c r="A21" s="6" t="s">
        <v>2142</v>
      </c>
      <c r="B21" s="6" t="s">
        <v>2143</v>
      </c>
      <c r="C21" s="8"/>
      <c r="D21" s="6" t="s">
        <v>21</v>
      </c>
      <c r="E21" s="6">
        <v>1</v>
      </c>
      <c r="F21" s="21">
        <f>IF(D21="Ja",C21*E21,0)</f>
        <v>0</v>
      </c>
      <c r="G21" s="5"/>
      <c r="H21" s="5"/>
      <c r="I21" s="5"/>
      <c r="J21" s="5"/>
    </row>
    <row r="22" spans="1:10">
      <c r="A22" s="6" t="s">
        <v>2144</v>
      </c>
      <c r="B22" s="6" t="s">
        <v>2145</v>
      </c>
      <c r="C22" s="8"/>
      <c r="D22" s="6" t="s">
        <v>21</v>
      </c>
      <c r="E22" s="6">
        <v>1</v>
      </c>
      <c r="F22" s="21">
        <f>IF(D22="Ja",C22*E22,0)</f>
        <v>0</v>
      </c>
      <c r="G22" s="5"/>
      <c r="H22" s="5"/>
      <c r="I22" s="5"/>
      <c r="J22" s="5"/>
    </row>
    <row r="23" spans="1:10">
      <c r="A23" s="6" t="s">
        <v>2146</v>
      </c>
      <c r="B23" s="6" t="s">
        <v>2143</v>
      </c>
      <c r="C23" s="8"/>
      <c r="D23" s="6" t="s">
        <v>21</v>
      </c>
      <c r="E23" s="6">
        <v>1</v>
      </c>
      <c r="F23" s="21">
        <f>IF(D23="Ja",C23*E23,0)</f>
        <v>0</v>
      </c>
      <c r="G23" s="5"/>
      <c r="H23" s="5"/>
      <c r="I23" s="5"/>
      <c r="J23" s="5"/>
    </row>
    <row r="24" spans="1:10">
      <c r="A24" s="6" t="s">
        <v>2009</v>
      </c>
      <c r="B24" s="6" t="s">
        <v>2145</v>
      </c>
      <c r="C24" s="8"/>
      <c r="D24" s="6" t="s">
        <v>21</v>
      </c>
      <c r="E24" s="6">
        <v>1</v>
      </c>
      <c r="F24" s="21">
        <f>IF(D24="Ja",C24*E24,0)</f>
        <v>0</v>
      </c>
      <c r="G24" s="5"/>
      <c r="H24" s="5"/>
      <c r="I24" s="5"/>
      <c r="J24" s="5"/>
    </row>
    <row r="25" spans="1:10">
      <c r="A25" s="6" t="s">
        <v>2147</v>
      </c>
      <c r="B25" s="6" t="s">
        <v>2145</v>
      </c>
      <c r="C25" s="8"/>
      <c r="D25" s="6" t="s">
        <v>21</v>
      </c>
      <c r="E25" s="6">
        <v>1</v>
      </c>
      <c r="F25" s="21">
        <f>IF(D25="Ja",C25*E25,0)</f>
        <v>0</v>
      </c>
      <c r="G25" s="5"/>
      <c r="H25" s="5"/>
      <c r="I25" s="5"/>
      <c r="J25" s="5"/>
    </row>
    <row r="26" spans="1:10">
      <c r="A26" s="6" t="s">
        <v>2148</v>
      </c>
      <c r="B26" s="6" t="s">
        <v>2149</v>
      </c>
      <c r="C26" s="8"/>
      <c r="D26" s="6" t="s">
        <v>21</v>
      </c>
      <c r="E26" s="6">
        <v>1</v>
      </c>
      <c r="F26" s="21">
        <f>IF(D26="Ja",C26*E26,0)</f>
        <v>0</v>
      </c>
      <c r="G26" s="5"/>
      <c r="H26" s="5"/>
      <c r="I26" s="5"/>
      <c r="J26" s="5"/>
    </row>
    <row r="27" spans="1:10">
      <c r="A27" s="6" t="s">
        <v>2150</v>
      </c>
      <c r="B27" s="6" t="s">
        <v>2145</v>
      </c>
      <c r="C27" s="8"/>
      <c r="D27" s="6" t="s">
        <v>21</v>
      </c>
      <c r="E27" s="6">
        <v>1</v>
      </c>
      <c r="F27" s="21">
        <f>IF(D27="Ja",C27*E27,0)</f>
        <v>0</v>
      </c>
      <c r="G27" s="5"/>
      <c r="H27" s="5"/>
      <c r="I27" s="5"/>
      <c r="J27" s="5"/>
    </row>
    <row r="28" spans="1:10">
      <c r="A28" s="6" t="s">
        <v>2151</v>
      </c>
      <c r="B28" s="6" t="s">
        <v>2145</v>
      </c>
      <c r="C28" s="8"/>
      <c r="D28" s="6" t="s">
        <v>21</v>
      </c>
      <c r="E28" s="6">
        <v>1</v>
      </c>
      <c r="F28" s="21">
        <f>IF(D28="Ja",C28*E28,0)</f>
        <v>0</v>
      </c>
      <c r="G28" s="5"/>
      <c r="H28" s="5"/>
      <c r="I28" s="5"/>
      <c r="J28" s="5"/>
    </row>
    <row r="29" spans="1:10">
      <c r="A29" s="6" t="s">
        <v>2152</v>
      </c>
      <c r="B29" s="6" t="s">
        <v>2145</v>
      </c>
      <c r="C29" s="8"/>
      <c r="D29" s="6" t="s">
        <v>21</v>
      </c>
      <c r="E29" s="6">
        <v>1</v>
      </c>
      <c r="F29" s="21">
        <f>IF(D29="Ja",C29*E29,0)</f>
        <v>0</v>
      </c>
      <c r="G29" s="5"/>
      <c r="H29" s="5"/>
      <c r="I29" s="5"/>
      <c r="J29" s="5"/>
    </row>
    <row r="30" spans="1:10">
      <c r="A30" s="6" t="s">
        <v>2153</v>
      </c>
      <c r="B30" s="6" t="s">
        <v>2145</v>
      </c>
      <c r="C30" s="8"/>
      <c r="D30" s="6" t="s">
        <v>21</v>
      </c>
      <c r="E30" s="6">
        <v>1</v>
      </c>
      <c r="F30" s="21">
        <f>IF(D30="Ja",C30*E30,0)</f>
        <v>0</v>
      </c>
      <c r="G30" s="5"/>
      <c r="H30" s="5"/>
      <c r="I30" s="5"/>
      <c r="J30" s="5"/>
    </row>
    <row r="31" spans="1:10">
      <c r="A31" s="6" t="s">
        <v>2154</v>
      </c>
      <c r="B31" s="6" t="s">
        <v>2145</v>
      </c>
      <c r="C31" s="8"/>
      <c r="D31" s="6" t="s">
        <v>21</v>
      </c>
      <c r="E31" s="6">
        <v>1</v>
      </c>
      <c r="F31" s="21">
        <f>IF(D31="Ja",C31*E31,0)</f>
        <v>0</v>
      </c>
      <c r="G31" s="5"/>
      <c r="H31" s="5"/>
      <c r="I31" s="5"/>
      <c r="J31" s="5"/>
    </row>
    <row r="32" spans="1:10">
      <c r="A32" s="6" t="s">
        <v>2155</v>
      </c>
      <c r="B32" s="6" t="s">
        <v>2156</v>
      </c>
      <c r="C32" s="8"/>
      <c r="D32" s="6" t="s">
        <v>21</v>
      </c>
      <c r="E32" s="6">
        <v>1</v>
      </c>
      <c r="F32" s="21">
        <f>IF(D32="Ja",C32*E32,0)</f>
        <v>0</v>
      </c>
      <c r="G32" s="5"/>
      <c r="H32" s="5"/>
      <c r="I32" s="5"/>
      <c r="J32" s="5"/>
    </row>
    <row r="33" spans="1:10">
      <c r="A33" s="6" t="s">
        <v>2157</v>
      </c>
      <c r="B33" s="6" t="s">
        <v>2158</v>
      </c>
      <c r="C33" s="8"/>
      <c r="D33" s="6" t="s">
        <v>21</v>
      </c>
      <c r="E33" s="6">
        <v>0</v>
      </c>
      <c r="F33" s="21">
        <f>IF(D33="Ja",C33*E33,0)</f>
        <v>0</v>
      </c>
      <c r="G33" s="5"/>
      <c r="H33" s="5"/>
      <c r="I33" s="5"/>
      <c r="J33" s="5"/>
    </row>
    <row r="34" spans="1:10">
      <c r="A34" s="6" t="s">
        <v>2159</v>
      </c>
      <c r="B34" s="6" t="s">
        <v>2160</v>
      </c>
      <c r="C34" s="8"/>
      <c r="D34" s="6" t="s">
        <v>21</v>
      </c>
      <c r="E34" s="6">
        <v>0</v>
      </c>
      <c r="F34" s="21">
        <f>IF(D34="Ja",C34*E34,0)</f>
        <v>0</v>
      </c>
      <c r="G34" s="5"/>
      <c r="H34" s="5"/>
      <c r="I34" s="5"/>
      <c r="J34" s="5"/>
    </row>
    <row r="35" spans="1:10">
      <c r="A35" s="6" t="s">
        <v>63</v>
      </c>
      <c r="B35" s="6" t="s">
        <v>2156</v>
      </c>
      <c r="C35" s="8"/>
      <c r="D35" s="6" t="s">
        <v>21</v>
      </c>
      <c r="E35" s="6">
        <v>1</v>
      </c>
      <c r="F35" s="21">
        <f>IF(D35="Ja",C35*E35,0)</f>
        <v>0</v>
      </c>
      <c r="G35" s="5"/>
      <c r="H35" s="5"/>
      <c r="I35" s="5"/>
      <c r="J35" s="5"/>
    </row>
    <row r="37" spans="1:10">
      <c r="E37" s="4" t="s">
        <v>2168</v>
      </c>
      <c r="F37" s="21">
        <f>SUM(F19:F35)</f>
        <v>0</v>
      </c>
    </row>
  </sheetData>
  <mergeCells count="4">
    <mergeCell ref="A1:S1"/>
    <mergeCell ref="A2:S2"/>
    <mergeCell ref="A4:S4"/>
    <mergeCell ref="A17:J17"/>
  </mergeCells>
  <dataValidations count="7">
    <dataValidation type="list" allowBlank="1" showInputMessage="1" showErrorMessage="1" errorTitle="Eingabe prüfen" error="Bitte die vorgegebene Auswahl bzw. das geforderte Format verwenden." promptTitle="NWC-Faktor" prompt="+1 für Aktiva, −1 für Passiva." sqref="B6:B12">
      <formula1>"1,-1"</formula1>
    </dataValidation>
    <dataValidation type="decimal" operator="greaterThanOrEqual" allowBlank="1" showInputMessage="1" showErrorMessage="1" errorTitle="Eingabe prüfen" error="Bitte die vorgegebene Auswahl bzw. das geforderte Format verwenden." promptTitle="Monatsbestand" prompt="Positiven Monatsendbestand ohne Währungstext eingeben." sqref="C6:N12">
      <formula1>0</formula1>
    </dataValidation>
    <dataValidation allowBlank="1" showInputMessage="1" showErrorMessage="1" errorTitle="Eingabe prüfen" error="Bitte die vorgegebene Auswahl bzw. das geforderte Format verwenden." promptTitle="NWC-Kommentar" prompt="Definition, Ausschlüsse, Saisonalität und Datenauffälligkeiten erläutern." sqref="S6:S12"/>
    <dataValidation allowBlank="1" showInputMessage="1" showErrorMessage="1" errorTitle="Eingabe prüfen" error="Bitte die vorgegebene Auswahl bzw. das geforderte Format verwenden." promptTitle="Net-Debt-Betrag" prompt="Betrag gemäß Stichtagsdaten ohne Währungstext eingeben." sqref="C19:C35"/>
    <dataValidation type="list" allowBlank="1" showInputMessage="1" showErrorMessage="1" errorTitle="Eingabe prüfen" error="Bitte die vorgegebene Auswahl bzw. das geforderte Format verwenden." promptTitle="Einbeziehen?" prompt="Wirtschaftliche Einbeziehung in Net Debt auswählen und begründen." sqref="D19:D35">
      <formula1>JaNeinPruefen</formula1>
    </dataValidation>
    <dataValidation type="list" allowBlank="1" showInputMessage="1" showErrorMessage="1" errorTitle="Eingabe prüfen" error="Bitte die vorgegebene Auswahl bzw. das geforderte Format verwenden." promptTitle="Vorzeichen" prompt="+1 erhöht Net Debt, −1 reduziert Net Debt, 0 schließt aus." sqref="E19:E35">
      <formula1>"-1,0,1"</formula1>
    </dataValidation>
    <dataValidation allowBlank="1" showInputMessage="1" showErrorMessage="1" errorTitle="Eingabe prüfen" error="Bitte die vorgegebene Auswahl bzw. das geforderte Format verwenden." promptTitle="Net-Debt-Dokumentation" prompt="Begründung, Evidenz, SPA-Behandlung und Owner vollständig dokumentieren." sqref="G19:J35"/>
  </dataValidations>
  <pageMargins left="0.7" right="0.7" top="0.75" bottom="0.75" header="0.3" footer="0.3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1F4E78"/>
  </sheetPr>
  <dimension ref="A1:AB64"/>
  <sheetViews>
    <sheetView showGridLines="0"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defaultRowHeight="46" customHeight="1"/>
  <cols>
    <col min="1" max="1" width="12.7109375" customWidth="1"/>
    <col min="2" max="2" width="16.7109375" customWidth="1"/>
    <col min="3" max="3" width="24.7109375" customWidth="1"/>
    <col min="4" max="4" width="20.7109375" customWidth="1"/>
    <col min="5" max="5" width="34.7109375" customWidth="1"/>
    <col min="6" max="6" width="15.7109375" customWidth="1"/>
    <col min="7" max="7" width="20.7109375" customWidth="1"/>
    <col min="8" max="9" width="12.7109375" customWidth="1"/>
    <col min="10" max="11" width="18.7109375" customWidth="1"/>
    <col min="12" max="12" width="20.7109375" customWidth="1"/>
    <col min="13" max="13" width="16.7109375" customWidth="1"/>
    <col min="14" max="14" width="22.7109375" customWidth="1"/>
    <col min="15" max="15" width="18.7109375" customWidth="1"/>
    <col min="16" max="19" width="24.7109375" customWidth="1"/>
    <col min="20" max="20" width="22.7109375" customWidth="1"/>
    <col min="21" max="21" width="24.7109375" customWidth="1"/>
    <col min="22" max="22" width="14.7109375" customWidth="1"/>
    <col min="23" max="23" width="30.7109375" customWidth="1"/>
    <col min="24" max="24" width="34.7109375" customWidth="1"/>
    <col min="25" max="25" width="18.7109375" customWidth="1"/>
    <col min="26" max="26" width="16.7109375" customWidth="1"/>
    <col min="27" max="27" width="26.7109375" customWidth="1"/>
    <col min="28" max="28" width="18.7109375" customWidth="1"/>
  </cols>
  <sheetData>
    <row r="1" spans="1:28" ht="30" customHeight="1">
      <c r="A1" s="1" t="s">
        <v>2169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34" customHeight="1">
      <c r="A2" s="2" t="s">
        <v>2170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4" spans="1:28" ht="42" customHeight="1">
      <c r="A4" t="s">
        <v>2231</v>
      </c>
      <c r="B4" t="s">
        <v>78</v>
      </c>
      <c r="C4" t="s">
        <v>2232</v>
      </c>
      <c r="D4" t="s">
        <v>2233</v>
      </c>
      <c r="E4" t="s">
        <v>2234</v>
      </c>
      <c r="F4" t="s">
        <v>2235</v>
      </c>
      <c r="G4" t="s">
        <v>2236</v>
      </c>
      <c r="H4" t="s">
        <v>2237</v>
      </c>
      <c r="I4" t="s">
        <v>2238</v>
      </c>
      <c r="J4" t="s">
        <v>2239</v>
      </c>
      <c r="K4" t="s">
        <v>2240</v>
      </c>
      <c r="L4" t="s">
        <v>602</v>
      </c>
      <c r="M4" t="s">
        <v>2241</v>
      </c>
      <c r="N4" t="s">
        <v>2242</v>
      </c>
      <c r="O4" t="s">
        <v>2243</v>
      </c>
      <c r="P4" t="s">
        <v>2244</v>
      </c>
      <c r="Q4" t="s">
        <v>2245</v>
      </c>
      <c r="R4" t="s">
        <v>2246</v>
      </c>
      <c r="S4" t="s">
        <v>2247</v>
      </c>
      <c r="T4" t="s">
        <v>2248</v>
      </c>
      <c r="U4" t="s">
        <v>2249</v>
      </c>
      <c r="V4" t="s">
        <v>2250</v>
      </c>
      <c r="W4" t="s">
        <v>2251</v>
      </c>
      <c r="X4" t="s">
        <v>2252</v>
      </c>
      <c r="Y4" t="s">
        <v>1656</v>
      </c>
      <c r="Z4" t="s">
        <v>1378</v>
      </c>
      <c r="AA4" t="s">
        <v>2253</v>
      </c>
      <c r="AB4" t="s">
        <v>1580</v>
      </c>
    </row>
    <row r="5" spans="1:28" ht="46" customHeight="1">
      <c r="A5" s="6" t="s">
        <v>2171</v>
      </c>
      <c r="B5" s="5"/>
      <c r="C5" s="5"/>
      <c r="D5" s="5"/>
      <c r="E5" s="5"/>
      <c r="F5" s="8"/>
      <c r="G5" s="5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46" customHeight="1">
      <c r="A6" s="6" t="s">
        <v>2172</v>
      </c>
      <c r="B6" s="5"/>
      <c r="C6" s="5"/>
      <c r="D6" s="5"/>
      <c r="E6" s="5"/>
      <c r="F6" s="8"/>
      <c r="G6" s="5"/>
      <c r="H6" s="7"/>
      <c r="I6" s="7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46" customHeight="1">
      <c r="A7" s="6" t="s">
        <v>2173</v>
      </c>
      <c r="B7" s="5"/>
      <c r="C7" s="5"/>
      <c r="D7" s="5"/>
      <c r="E7" s="5"/>
      <c r="F7" s="8"/>
      <c r="G7" s="5"/>
      <c r="H7" s="7"/>
      <c r="I7" s="7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46" customHeight="1">
      <c r="A8" s="6" t="s">
        <v>2174</v>
      </c>
      <c r="B8" s="5"/>
      <c r="C8" s="5"/>
      <c r="D8" s="5"/>
      <c r="E8" s="5"/>
      <c r="F8" s="8"/>
      <c r="G8" s="5"/>
      <c r="H8" s="7"/>
      <c r="I8" s="7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46" customHeight="1">
      <c r="A9" s="6" t="s">
        <v>2175</v>
      </c>
      <c r="B9" s="5"/>
      <c r="C9" s="5"/>
      <c r="D9" s="5"/>
      <c r="E9" s="5"/>
      <c r="F9" s="8"/>
      <c r="G9" s="5"/>
      <c r="H9" s="7"/>
      <c r="I9" s="7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46" customHeight="1">
      <c r="A10" s="6" t="s">
        <v>2176</v>
      </c>
      <c r="B10" s="5"/>
      <c r="C10" s="5"/>
      <c r="D10" s="5"/>
      <c r="E10" s="5"/>
      <c r="F10" s="8"/>
      <c r="G10" s="5"/>
      <c r="H10" s="7"/>
      <c r="I10" s="7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ht="46" customHeight="1">
      <c r="A11" s="6" t="s">
        <v>2177</v>
      </c>
      <c r="B11" s="5"/>
      <c r="C11" s="5"/>
      <c r="D11" s="5"/>
      <c r="E11" s="5"/>
      <c r="F11" s="8"/>
      <c r="G11" s="5"/>
      <c r="H11" s="7"/>
      <c r="I11" s="7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46" customHeight="1">
      <c r="A12" s="6" t="s">
        <v>2178</v>
      </c>
      <c r="B12" s="5"/>
      <c r="C12" s="5"/>
      <c r="D12" s="5"/>
      <c r="E12" s="5"/>
      <c r="F12" s="8"/>
      <c r="G12" s="5"/>
      <c r="H12" s="7"/>
      <c r="I12" s="7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46" customHeight="1">
      <c r="A13" s="6" t="s">
        <v>2179</v>
      </c>
      <c r="B13" s="5"/>
      <c r="C13" s="5"/>
      <c r="D13" s="5"/>
      <c r="E13" s="5"/>
      <c r="F13" s="8"/>
      <c r="G13" s="5"/>
      <c r="H13" s="7"/>
      <c r="I13" s="7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46" customHeight="1">
      <c r="A14" s="6" t="s">
        <v>2180</v>
      </c>
      <c r="B14" s="5"/>
      <c r="C14" s="5"/>
      <c r="D14" s="5"/>
      <c r="E14" s="5"/>
      <c r="F14" s="8"/>
      <c r="G14" s="5"/>
      <c r="H14" s="7"/>
      <c r="I14" s="7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46" customHeight="1">
      <c r="A15" s="6" t="s">
        <v>2181</v>
      </c>
      <c r="B15" s="5"/>
      <c r="C15" s="5"/>
      <c r="D15" s="5"/>
      <c r="E15" s="5"/>
      <c r="F15" s="8"/>
      <c r="G15" s="5"/>
      <c r="H15" s="7"/>
      <c r="I15" s="7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46" customHeight="1">
      <c r="A16" s="6" t="s">
        <v>2182</v>
      </c>
      <c r="B16" s="5"/>
      <c r="C16" s="5"/>
      <c r="D16" s="5"/>
      <c r="E16" s="5"/>
      <c r="F16" s="8"/>
      <c r="G16" s="5"/>
      <c r="H16" s="7"/>
      <c r="I16" s="7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46" customHeight="1">
      <c r="A17" s="6" t="s">
        <v>2183</v>
      </c>
      <c r="B17" s="5"/>
      <c r="C17" s="5"/>
      <c r="D17" s="5"/>
      <c r="E17" s="5"/>
      <c r="F17" s="8"/>
      <c r="G17" s="5"/>
      <c r="H17" s="7"/>
      <c r="I17" s="7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ht="46" customHeight="1">
      <c r="A18" s="6" t="s">
        <v>2184</v>
      </c>
      <c r="B18" s="5"/>
      <c r="C18" s="5"/>
      <c r="D18" s="5"/>
      <c r="E18" s="5"/>
      <c r="F18" s="8"/>
      <c r="G18" s="5"/>
      <c r="H18" s="7"/>
      <c r="I18" s="7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ht="46" customHeight="1">
      <c r="A19" s="6" t="s">
        <v>2185</v>
      </c>
      <c r="B19" s="5"/>
      <c r="C19" s="5"/>
      <c r="D19" s="5"/>
      <c r="E19" s="5"/>
      <c r="F19" s="8"/>
      <c r="G19" s="5"/>
      <c r="H19" s="7"/>
      <c r="I19" s="7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ht="46" customHeight="1">
      <c r="A20" s="6" t="s">
        <v>2186</v>
      </c>
      <c r="B20" s="5"/>
      <c r="C20" s="5"/>
      <c r="D20" s="5"/>
      <c r="E20" s="5"/>
      <c r="F20" s="8"/>
      <c r="G20" s="5"/>
      <c r="H20" s="7"/>
      <c r="I20" s="7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ht="46" customHeight="1">
      <c r="A21" s="6" t="s">
        <v>2187</v>
      </c>
      <c r="B21" s="5"/>
      <c r="C21" s="5"/>
      <c r="D21" s="5"/>
      <c r="E21" s="5"/>
      <c r="F21" s="8"/>
      <c r="G21" s="5"/>
      <c r="H21" s="7"/>
      <c r="I21" s="7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ht="46" customHeight="1">
      <c r="A22" s="6" t="s">
        <v>2188</v>
      </c>
      <c r="B22" s="5"/>
      <c r="C22" s="5"/>
      <c r="D22" s="5"/>
      <c r="E22" s="5"/>
      <c r="F22" s="8"/>
      <c r="G22" s="5"/>
      <c r="H22" s="7"/>
      <c r="I22" s="7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ht="46" customHeight="1">
      <c r="A23" s="6" t="s">
        <v>2189</v>
      </c>
      <c r="B23" s="5"/>
      <c r="C23" s="5"/>
      <c r="D23" s="5"/>
      <c r="E23" s="5"/>
      <c r="F23" s="8"/>
      <c r="G23" s="5"/>
      <c r="H23" s="7"/>
      <c r="I23" s="7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ht="46" customHeight="1">
      <c r="A24" s="6" t="s">
        <v>2190</v>
      </c>
      <c r="B24" s="5"/>
      <c r="C24" s="5"/>
      <c r="D24" s="5"/>
      <c r="E24" s="5"/>
      <c r="F24" s="8"/>
      <c r="G24" s="5"/>
      <c r="H24" s="7"/>
      <c r="I24" s="7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ht="46" customHeight="1">
      <c r="A25" s="6" t="s">
        <v>2191</v>
      </c>
      <c r="B25" s="5"/>
      <c r="C25" s="5"/>
      <c r="D25" s="5"/>
      <c r="E25" s="5"/>
      <c r="F25" s="8"/>
      <c r="G25" s="5"/>
      <c r="H25" s="7"/>
      <c r="I25" s="7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46" customHeight="1">
      <c r="A26" s="6" t="s">
        <v>2192</v>
      </c>
      <c r="B26" s="5"/>
      <c r="C26" s="5"/>
      <c r="D26" s="5"/>
      <c r="E26" s="5"/>
      <c r="F26" s="8"/>
      <c r="G26" s="5"/>
      <c r="H26" s="7"/>
      <c r="I26" s="7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46" customHeight="1">
      <c r="A27" s="6" t="s">
        <v>2193</v>
      </c>
      <c r="B27" s="5"/>
      <c r="C27" s="5"/>
      <c r="D27" s="5"/>
      <c r="E27" s="5"/>
      <c r="F27" s="8"/>
      <c r="G27" s="5"/>
      <c r="H27" s="7"/>
      <c r="I27" s="7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46" customHeight="1">
      <c r="A28" s="6" t="s">
        <v>2194</v>
      </c>
      <c r="B28" s="5"/>
      <c r="C28" s="5"/>
      <c r="D28" s="5"/>
      <c r="E28" s="5"/>
      <c r="F28" s="8"/>
      <c r="G28" s="5"/>
      <c r="H28" s="7"/>
      <c r="I28" s="7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46" customHeight="1">
      <c r="A29" s="6" t="s">
        <v>2195</v>
      </c>
      <c r="B29" s="5"/>
      <c r="C29" s="5"/>
      <c r="D29" s="5"/>
      <c r="E29" s="5"/>
      <c r="F29" s="8"/>
      <c r="G29" s="5"/>
      <c r="H29" s="7"/>
      <c r="I29" s="7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46" customHeight="1">
      <c r="A30" s="6" t="s">
        <v>2196</v>
      </c>
      <c r="B30" s="5"/>
      <c r="C30" s="5"/>
      <c r="D30" s="5"/>
      <c r="E30" s="5"/>
      <c r="F30" s="8"/>
      <c r="G30" s="5"/>
      <c r="H30" s="7"/>
      <c r="I30" s="7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46" customHeight="1">
      <c r="A31" s="6" t="s">
        <v>2197</v>
      </c>
      <c r="B31" s="5"/>
      <c r="C31" s="5"/>
      <c r="D31" s="5"/>
      <c r="E31" s="5"/>
      <c r="F31" s="8"/>
      <c r="G31" s="5"/>
      <c r="H31" s="7"/>
      <c r="I31" s="7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46" customHeight="1">
      <c r="A32" s="6" t="s">
        <v>2198</v>
      </c>
      <c r="B32" s="5"/>
      <c r="C32" s="5"/>
      <c r="D32" s="5"/>
      <c r="E32" s="5"/>
      <c r="F32" s="8"/>
      <c r="G32" s="5"/>
      <c r="H32" s="7"/>
      <c r="I32" s="7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46" customHeight="1">
      <c r="A33" s="6" t="s">
        <v>2199</v>
      </c>
      <c r="B33" s="5"/>
      <c r="C33" s="5"/>
      <c r="D33" s="5"/>
      <c r="E33" s="5"/>
      <c r="F33" s="8"/>
      <c r="G33" s="5"/>
      <c r="H33" s="7"/>
      <c r="I33" s="7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46" customHeight="1">
      <c r="A34" s="6" t="s">
        <v>2200</v>
      </c>
      <c r="B34" s="5"/>
      <c r="C34" s="5"/>
      <c r="D34" s="5"/>
      <c r="E34" s="5"/>
      <c r="F34" s="8"/>
      <c r="G34" s="5"/>
      <c r="H34" s="7"/>
      <c r="I34" s="7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46" customHeight="1">
      <c r="A35" s="6" t="s">
        <v>2201</v>
      </c>
      <c r="B35" s="5"/>
      <c r="C35" s="5"/>
      <c r="D35" s="5"/>
      <c r="E35" s="5"/>
      <c r="F35" s="8"/>
      <c r="G35" s="5"/>
      <c r="H35" s="7"/>
      <c r="I35" s="7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46" customHeight="1">
      <c r="A36" s="6" t="s">
        <v>2202</v>
      </c>
      <c r="B36" s="5"/>
      <c r="C36" s="5"/>
      <c r="D36" s="5"/>
      <c r="E36" s="5"/>
      <c r="F36" s="8"/>
      <c r="G36" s="5"/>
      <c r="H36" s="7"/>
      <c r="I36" s="7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46" customHeight="1">
      <c r="A37" s="6" t="s">
        <v>2203</v>
      </c>
      <c r="B37" s="5"/>
      <c r="C37" s="5"/>
      <c r="D37" s="5"/>
      <c r="E37" s="5"/>
      <c r="F37" s="8"/>
      <c r="G37" s="5"/>
      <c r="H37" s="7"/>
      <c r="I37" s="7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46" customHeight="1">
      <c r="A38" s="6" t="s">
        <v>2204</v>
      </c>
      <c r="B38" s="5"/>
      <c r="C38" s="5"/>
      <c r="D38" s="5"/>
      <c r="E38" s="5"/>
      <c r="F38" s="8"/>
      <c r="G38" s="5"/>
      <c r="H38" s="7"/>
      <c r="I38" s="7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46" customHeight="1">
      <c r="A39" s="6" t="s">
        <v>2205</v>
      </c>
      <c r="B39" s="5"/>
      <c r="C39" s="5"/>
      <c r="D39" s="5"/>
      <c r="E39" s="5"/>
      <c r="F39" s="8"/>
      <c r="G39" s="5"/>
      <c r="H39" s="7"/>
      <c r="I39" s="7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46" customHeight="1">
      <c r="A40" s="6" t="s">
        <v>2206</v>
      </c>
      <c r="B40" s="5"/>
      <c r="C40" s="5"/>
      <c r="D40" s="5"/>
      <c r="E40" s="5"/>
      <c r="F40" s="8"/>
      <c r="G40" s="5"/>
      <c r="H40" s="7"/>
      <c r="I40" s="7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46" customHeight="1">
      <c r="A41" s="6" t="s">
        <v>2207</v>
      </c>
      <c r="B41" s="5"/>
      <c r="C41" s="5"/>
      <c r="D41" s="5"/>
      <c r="E41" s="5"/>
      <c r="F41" s="8"/>
      <c r="G41" s="5"/>
      <c r="H41" s="7"/>
      <c r="I41" s="7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46" customHeight="1">
      <c r="A42" s="6" t="s">
        <v>2208</v>
      </c>
      <c r="B42" s="5"/>
      <c r="C42" s="5"/>
      <c r="D42" s="5"/>
      <c r="E42" s="5"/>
      <c r="F42" s="8"/>
      <c r="G42" s="5"/>
      <c r="H42" s="7"/>
      <c r="I42" s="7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46" customHeight="1">
      <c r="A43" s="6" t="s">
        <v>2209</v>
      </c>
      <c r="B43" s="5"/>
      <c r="C43" s="5"/>
      <c r="D43" s="5"/>
      <c r="E43" s="5"/>
      <c r="F43" s="8"/>
      <c r="G43" s="5"/>
      <c r="H43" s="7"/>
      <c r="I43" s="7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46" customHeight="1">
      <c r="A44" s="6" t="s">
        <v>2210</v>
      </c>
      <c r="B44" s="5"/>
      <c r="C44" s="5"/>
      <c r="D44" s="5"/>
      <c r="E44" s="5"/>
      <c r="F44" s="8"/>
      <c r="G44" s="5"/>
      <c r="H44" s="7"/>
      <c r="I44" s="7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46" customHeight="1">
      <c r="A45" s="6" t="s">
        <v>2211</v>
      </c>
      <c r="B45" s="5"/>
      <c r="C45" s="5"/>
      <c r="D45" s="5"/>
      <c r="E45" s="5"/>
      <c r="F45" s="8"/>
      <c r="G45" s="5"/>
      <c r="H45" s="7"/>
      <c r="I45" s="7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46" customHeight="1">
      <c r="A46" s="6" t="s">
        <v>2212</v>
      </c>
      <c r="B46" s="5"/>
      <c r="C46" s="5"/>
      <c r="D46" s="5"/>
      <c r="E46" s="5"/>
      <c r="F46" s="8"/>
      <c r="G46" s="5"/>
      <c r="H46" s="7"/>
      <c r="I46" s="7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46" customHeight="1">
      <c r="A47" s="6" t="s">
        <v>2213</v>
      </c>
      <c r="B47" s="5"/>
      <c r="C47" s="5"/>
      <c r="D47" s="5"/>
      <c r="E47" s="5"/>
      <c r="F47" s="8"/>
      <c r="G47" s="5"/>
      <c r="H47" s="7"/>
      <c r="I47" s="7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46" customHeight="1">
      <c r="A48" s="6" t="s">
        <v>2214</v>
      </c>
      <c r="B48" s="5"/>
      <c r="C48" s="5"/>
      <c r="D48" s="5"/>
      <c r="E48" s="5"/>
      <c r="F48" s="8"/>
      <c r="G48" s="5"/>
      <c r="H48" s="7"/>
      <c r="I48" s="7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46" customHeight="1">
      <c r="A49" s="6" t="s">
        <v>2215</v>
      </c>
      <c r="B49" s="5"/>
      <c r="C49" s="5"/>
      <c r="D49" s="5"/>
      <c r="E49" s="5"/>
      <c r="F49" s="8"/>
      <c r="G49" s="5"/>
      <c r="H49" s="7"/>
      <c r="I49" s="7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46" customHeight="1">
      <c r="A50" s="6" t="s">
        <v>2216</v>
      </c>
      <c r="B50" s="5"/>
      <c r="C50" s="5"/>
      <c r="D50" s="5"/>
      <c r="E50" s="5"/>
      <c r="F50" s="8"/>
      <c r="G50" s="5"/>
      <c r="H50" s="7"/>
      <c r="I50" s="7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46" customHeight="1">
      <c r="A51" s="6" t="s">
        <v>2217</v>
      </c>
      <c r="B51" s="5"/>
      <c r="C51" s="5"/>
      <c r="D51" s="5"/>
      <c r="E51" s="5"/>
      <c r="F51" s="8"/>
      <c r="G51" s="5"/>
      <c r="H51" s="7"/>
      <c r="I51" s="7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46" customHeight="1">
      <c r="A52" s="6" t="s">
        <v>2218</v>
      </c>
      <c r="B52" s="5"/>
      <c r="C52" s="5"/>
      <c r="D52" s="5"/>
      <c r="E52" s="5"/>
      <c r="F52" s="8"/>
      <c r="G52" s="5"/>
      <c r="H52" s="7"/>
      <c r="I52" s="7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46" customHeight="1">
      <c r="A53" s="6" t="s">
        <v>2219</v>
      </c>
      <c r="B53" s="5"/>
      <c r="C53" s="5"/>
      <c r="D53" s="5"/>
      <c r="E53" s="5"/>
      <c r="F53" s="8"/>
      <c r="G53" s="5"/>
      <c r="H53" s="7"/>
      <c r="I53" s="7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46" customHeight="1">
      <c r="A54" s="6" t="s">
        <v>2220</v>
      </c>
      <c r="B54" s="5"/>
      <c r="C54" s="5"/>
      <c r="D54" s="5"/>
      <c r="E54" s="5"/>
      <c r="F54" s="8"/>
      <c r="G54" s="5"/>
      <c r="H54" s="7"/>
      <c r="I54" s="7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46" customHeight="1">
      <c r="A55" s="6" t="s">
        <v>2221</v>
      </c>
      <c r="B55" s="5"/>
      <c r="C55" s="5"/>
      <c r="D55" s="5"/>
      <c r="E55" s="5"/>
      <c r="F55" s="8"/>
      <c r="G55" s="5"/>
      <c r="H55" s="7"/>
      <c r="I55" s="7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46" customHeight="1">
      <c r="A56" s="6" t="s">
        <v>2222</v>
      </c>
      <c r="B56" s="5"/>
      <c r="C56" s="5"/>
      <c r="D56" s="5"/>
      <c r="E56" s="5"/>
      <c r="F56" s="8"/>
      <c r="G56" s="5"/>
      <c r="H56" s="7"/>
      <c r="I56" s="7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46" customHeight="1">
      <c r="A57" s="6" t="s">
        <v>2223</v>
      </c>
      <c r="B57" s="5"/>
      <c r="C57" s="5"/>
      <c r="D57" s="5"/>
      <c r="E57" s="5"/>
      <c r="F57" s="8"/>
      <c r="G57" s="5"/>
      <c r="H57" s="7"/>
      <c r="I57" s="7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46" customHeight="1">
      <c r="A58" s="6" t="s">
        <v>2224</v>
      </c>
      <c r="B58" s="5"/>
      <c r="C58" s="5"/>
      <c r="D58" s="5"/>
      <c r="E58" s="5"/>
      <c r="F58" s="8"/>
      <c r="G58" s="5"/>
      <c r="H58" s="7"/>
      <c r="I58" s="7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46" customHeight="1">
      <c r="A59" s="6" t="s">
        <v>2225</v>
      </c>
      <c r="B59" s="5"/>
      <c r="C59" s="5"/>
      <c r="D59" s="5"/>
      <c r="E59" s="5"/>
      <c r="F59" s="8"/>
      <c r="G59" s="5"/>
      <c r="H59" s="7"/>
      <c r="I59" s="7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46" customHeight="1">
      <c r="A60" s="6" t="s">
        <v>2226</v>
      </c>
      <c r="B60" s="5"/>
      <c r="C60" s="5"/>
      <c r="D60" s="5"/>
      <c r="E60" s="5"/>
      <c r="F60" s="8"/>
      <c r="G60" s="5"/>
      <c r="H60" s="7"/>
      <c r="I60" s="7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46" customHeight="1">
      <c r="A61" s="6" t="s">
        <v>2227</v>
      </c>
      <c r="B61" s="5"/>
      <c r="C61" s="5"/>
      <c r="D61" s="5"/>
      <c r="E61" s="5"/>
      <c r="F61" s="8"/>
      <c r="G61" s="5"/>
      <c r="H61" s="7"/>
      <c r="I61" s="7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46" customHeight="1">
      <c r="A62" s="6" t="s">
        <v>2228</v>
      </c>
      <c r="B62" s="5"/>
      <c r="C62" s="5"/>
      <c r="D62" s="5"/>
      <c r="E62" s="5"/>
      <c r="F62" s="8"/>
      <c r="G62" s="5"/>
      <c r="H62" s="7"/>
      <c r="I62" s="7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46" customHeight="1">
      <c r="A63" s="6" t="s">
        <v>2229</v>
      </c>
      <c r="B63" s="5"/>
      <c r="C63" s="5"/>
      <c r="D63" s="5"/>
      <c r="E63" s="5"/>
      <c r="F63" s="8"/>
      <c r="G63" s="5"/>
      <c r="H63" s="7"/>
      <c r="I63" s="7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46" customHeight="1">
      <c r="A64" s="6" t="s">
        <v>2230</v>
      </c>
      <c r="B64" s="5"/>
      <c r="C64" s="5"/>
      <c r="D64" s="5"/>
      <c r="E64" s="5"/>
      <c r="F64" s="8"/>
      <c r="G64" s="5"/>
      <c r="H64" s="7"/>
      <c r="I64" s="7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</sheetData>
  <mergeCells count="2">
    <mergeCell ref="A1:AB1"/>
    <mergeCell ref="A2:AB2"/>
  </mergeCells>
  <dataValidations count="8">
    <dataValidation type="list" allowBlank="1" showInputMessage="1" showErrorMessage="1" errorTitle="Eingabe prüfen" error="Bitte die vorgegebene Auswahl bzw. das geforderte Format verwenden." promptTitle="Vertragstyp" prompt="Vertrag nach seinem wirtschaftlichen Hauptzweck klassifizieren." sqref="B5:B64">
      <formula1>Vertragstyp</formula1>
    </dataValidation>
    <dataValidation allowBlank="1" showInputMessage="1" showErrorMessage="1" errorTitle="Eingabe prüfen" error="Bitte die vorgegebene Auswahl bzw. das geforderte Format verwenden." promptTitle="Vertragsstammdaten" prompt="Gegenpartei, Konzernbezug, Leistung, Jahreswert und Kritikalität vollständig erfassen." sqref="C5:G64"/>
    <dataValidation type="date" allowBlank="1" showInputMessage="1" showErrorMessage="1" errorTitle="Eingabe prüfen" error="Bitte die vorgegebene Auswahl bzw. das geforderte Format verwenden." promptTitle="Vertragsdatum" prompt="Beginn und Ende gemäß unterzeichnetem Vertrag im Format TT.MM.JJJJ." sqref="H5:I64">
      <formula1>1</formula1>
      <formula2>73415</formula2>
    </dataValidation>
    <dataValidation allowBlank="1" showInputMessage="1" showErrorMessage="1" errorTitle="Eingabe prüfen" error="Bitte die vorgegebene Auswahl bzw. das geforderte Format verwenden." promptTitle="Klauselprüfung" prompt="Klauselinhalt, Schwellen, Fristen und Fundstelle knapp, aber eindeutig extrahieren." sqref="J5:U64"/>
    <dataValidation type="list" allowBlank="1" showInputMessage="1" showErrorMessage="1" errorTitle="Eingabe prüfen" error="Bitte die vorgegebene Auswahl bzw. das geforderte Format verwenden." promptTitle="Consent nötig?" prompt="Zustimmungsbedarf juristisch beurteilen; bei Unsicherheit „Zu prüfen“." sqref="V5:V64">
      <formula1>JaNeinPruefen</formula1>
    </dataValidation>
    <dataValidation allowBlank="1" showInputMessage="1" showErrorMessage="1" errorTitle="Eingabe prüfen" error="Bitte die vorgegebene Auswahl bzw. das geforderte Format verwenden." promptTitle="Risiko / Maßnahme" prompt="Risiko, konkrete Behandlung und einen Owner dokumentieren." sqref="W5:Y64"/>
    <dataValidation type="list" allowBlank="1" showInputMessage="1" showErrorMessage="1" errorTitle="Eingabe prüfen" error="Bitte die vorgegebene Auswahl bzw. das geforderte Format verwenden." promptTitle="Prüfstatus" prompt="Abgeschlossen erst nach Review des vollständigen Vertrags samt Nachträgen." sqref="Z5:Z64">
      <formula1>Pruefstatus</formula1>
    </dataValidation>
    <dataValidation allowBlank="1" showInputMessage="1" showErrorMessage="1" errorTitle="Eingabe prüfen" error="Bitte die vorgegebene Auswahl bzw. das geforderte Format verwenden." promptTitle="Vertragsreferenz" prompt="VDR-Pfad und zugehörige Checklisten-ID eintragen." sqref="AA5:AB64"/>
  </dataValidations>
  <pageMargins left="0.7" right="0.7" top="0.75" bottom="0.75" header="0.3" footer="0.3"/>
  <legacy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1F4E78"/>
  </sheetPr>
  <dimension ref="A1:M16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62" customHeight="1"/>
  <cols>
    <col min="1" max="1" width="11.7109375" customWidth="1"/>
    <col min="2" max="2" width="24.7109375" customWidth="1"/>
    <col min="3" max="3" width="40.7109375" customWidth="1"/>
    <col min="4" max="4" width="38.7109375" customWidth="1"/>
    <col min="5" max="5" width="40.7109375" customWidth="1"/>
    <col min="6" max="6" width="36.7109375" customWidth="1"/>
    <col min="7" max="7" width="22.7109375" customWidth="1"/>
    <col min="8" max="8" width="28.7109375" customWidth="1"/>
    <col min="9" max="9" width="42.7109375" customWidth="1"/>
    <col min="10" max="10" width="18.7109375" customWidth="1"/>
    <col min="11" max="11" width="13.7109375" customWidth="1"/>
    <col min="12" max="12" width="17.7109375" customWidth="1"/>
    <col min="13" max="13" width="15.7109375" customWidth="1"/>
  </cols>
  <sheetData>
    <row r="1" spans="1:13" ht="30" customHeight="1">
      <c r="A1" s="1" t="s">
        <v>2254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4" customHeight="1">
      <c r="A2" s="2" t="s">
        <v>2255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1:13" ht="42" customHeight="1">
      <c r="A4" t="s">
        <v>1370</v>
      </c>
      <c r="B4" t="s">
        <v>2268</v>
      </c>
      <c r="C4" t="s">
        <v>2269</v>
      </c>
      <c r="D4" t="s">
        <v>2108</v>
      </c>
      <c r="E4" t="s">
        <v>2270</v>
      </c>
      <c r="F4" t="s">
        <v>2271</v>
      </c>
      <c r="G4" t="s">
        <v>2272</v>
      </c>
      <c r="H4" t="s">
        <v>2251</v>
      </c>
      <c r="I4" t="s">
        <v>2273</v>
      </c>
      <c r="J4" t="s">
        <v>1656</v>
      </c>
      <c r="K4" t="s">
        <v>1857</v>
      </c>
      <c r="L4" t="s">
        <v>1378</v>
      </c>
      <c r="M4" t="s">
        <v>2274</v>
      </c>
    </row>
    <row r="5" spans="1:13" ht="62" customHeight="1">
      <c r="A5" s="6" t="s">
        <v>2256</v>
      </c>
      <c r="B5" s="6" t="s">
        <v>808</v>
      </c>
      <c r="C5" s="6" t="s">
        <v>809</v>
      </c>
      <c r="D5" s="6" t="s">
        <v>810</v>
      </c>
      <c r="E5" s="6" t="s">
        <v>811</v>
      </c>
      <c r="F5" s="6" t="s">
        <v>812</v>
      </c>
      <c r="G5" s="5"/>
      <c r="H5" s="5"/>
      <c r="I5" s="6" t="s">
        <v>813</v>
      </c>
      <c r="J5" s="5" t="s">
        <v>1488</v>
      </c>
      <c r="K5" s="7"/>
      <c r="L5" s="6" t="s">
        <v>1</v>
      </c>
      <c r="M5" s="6" t="s">
        <v>806</v>
      </c>
    </row>
    <row r="6" spans="1:13" ht="62" customHeight="1">
      <c r="A6" s="6" t="s">
        <v>2257</v>
      </c>
      <c r="B6" s="6" t="s">
        <v>816</v>
      </c>
      <c r="C6" s="6" t="s">
        <v>817</v>
      </c>
      <c r="D6" s="6" t="s">
        <v>818</v>
      </c>
      <c r="E6" s="6" t="s">
        <v>819</v>
      </c>
      <c r="F6" s="6" t="s">
        <v>820</v>
      </c>
      <c r="G6" s="5"/>
      <c r="H6" s="5"/>
      <c r="I6" s="6" t="s">
        <v>821</v>
      </c>
      <c r="J6" s="5" t="s">
        <v>1488</v>
      </c>
      <c r="K6" s="7"/>
      <c r="L6" s="6" t="s">
        <v>1</v>
      </c>
      <c r="M6" s="6" t="s">
        <v>815</v>
      </c>
    </row>
    <row r="7" spans="1:13" ht="62" customHeight="1">
      <c r="A7" s="6" t="s">
        <v>2258</v>
      </c>
      <c r="B7" s="6" t="s">
        <v>823</v>
      </c>
      <c r="C7" s="6" t="s">
        <v>824</v>
      </c>
      <c r="D7" s="6" t="s">
        <v>825</v>
      </c>
      <c r="E7" s="6" t="s">
        <v>826</v>
      </c>
      <c r="F7" s="6" t="s">
        <v>827</v>
      </c>
      <c r="G7" s="5"/>
      <c r="H7" s="5"/>
      <c r="I7" s="6" t="s">
        <v>828</v>
      </c>
      <c r="J7" s="5" t="s">
        <v>1488</v>
      </c>
      <c r="K7" s="7"/>
      <c r="L7" s="6" t="s">
        <v>1</v>
      </c>
      <c r="M7" s="6" t="s">
        <v>822</v>
      </c>
    </row>
    <row r="8" spans="1:13" ht="62" customHeight="1">
      <c r="A8" s="6" t="s">
        <v>2259</v>
      </c>
      <c r="B8" s="6" t="s">
        <v>831</v>
      </c>
      <c r="C8" s="6" t="s">
        <v>832</v>
      </c>
      <c r="D8" s="6" t="s">
        <v>833</v>
      </c>
      <c r="E8" s="6" t="s">
        <v>834</v>
      </c>
      <c r="F8" s="6" t="s">
        <v>835</v>
      </c>
      <c r="G8" s="5"/>
      <c r="H8" s="5"/>
      <c r="I8" s="6" t="s">
        <v>836</v>
      </c>
      <c r="J8" s="5" t="s">
        <v>1488</v>
      </c>
      <c r="K8" s="7"/>
      <c r="L8" s="6" t="s">
        <v>1</v>
      </c>
      <c r="M8" s="6" t="s">
        <v>830</v>
      </c>
    </row>
    <row r="9" spans="1:13" ht="62" customHeight="1">
      <c r="A9" s="6" t="s">
        <v>2260</v>
      </c>
      <c r="B9" s="6" t="s">
        <v>840</v>
      </c>
      <c r="C9" s="6" t="s">
        <v>841</v>
      </c>
      <c r="D9" s="6" t="s">
        <v>842</v>
      </c>
      <c r="E9" s="6" t="s">
        <v>843</v>
      </c>
      <c r="F9" s="6" t="s">
        <v>844</v>
      </c>
      <c r="G9" s="5"/>
      <c r="H9" s="5"/>
      <c r="I9" s="6" t="s">
        <v>845</v>
      </c>
      <c r="J9" s="5" t="s">
        <v>1488</v>
      </c>
      <c r="K9" s="7"/>
      <c r="L9" s="6" t="s">
        <v>1</v>
      </c>
      <c r="M9" s="6" t="s">
        <v>839</v>
      </c>
    </row>
    <row r="10" spans="1:13" ht="62" customHeight="1">
      <c r="A10" s="6" t="s">
        <v>2261</v>
      </c>
      <c r="B10" s="6" t="s">
        <v>848</v>
      </c>
      <c r="C10" s="6" t="s">
        <v>849</v>
      </c>
      <c r="D10" s="6" t="s">
        <v>850</v>
      </c>
      <c r="E10" s="6" t="s">
        <v>851</v>
      </c>
      <c r="F10" s="6" t="s">
        <v>852</v>
      </c>
      <c r="G10" s="5"/>
      <c r="H10" s="5"/>
      <c r="I10" s="6" t="s">
        <v>853</v>
      </c>
      <c r="J10" s="5" t="s">
        <v>1488</v>
      </c>
      <c r="K10" s="7"/>
      <c r="L10" s="6" t="s">
        <v>1</v>
      </c>
      <c r="M10" s="6" t="s">
        <v>847</v>
      </c>
    </row>
    <row r="11" spans="1:13" ht="62" customHeight="1">
      <c r="A11" s="6" t="s">
        <v>2262</v>
      </c>
      <c r="B11" s="6" t="s">
        <v>856</v>
      </c>
      <c r="C11" s="6" t="s">
        <v>857</v>
      </c>
      <c r="D11" s="6" t="s">
        <v>858</v>
      </c>
      <c r="E11" s="6" t="s">
        <v>859</v>
      </c>
      <c r="F11" s="6" t="s">
        <v>860</v>
      </c>
      <c r="G11" s="5"/>
      <c r="H11" s="5"/>
      <c r="I11" s="6" t="s">
        <v>861</v>
      </c>
      <c r="J11" s="5" t="s">
        <v>1488</v>
      </c>
      <c r="K11" s="7"/>
      <c r="L11" s="6" t="s">
        <v>1</v>
      </c>
      <c r="M11" s="6" t="s">
        <v>855</v>
      </c>
    </row>
    <row r="12" spans="1:13" ht="62" customHeight="1">
      <c r="A12" s="6" t="s">
        <v>2263</v>
      </c>
      <c r="B12" s="6" t="s">
        <v>863</v>
      </c>
      <c r="C12" s="6" t="s">
        <v>864</v>
      </c>
      <c r="D12" s="6" t="s">
        <v>865</v>
      </c>
      <c r="E12" s="6" t="s">
        <v>866</v>
      </c>
      <c r="F12" s="6" t="s">
        <v>867</v>
      </c>
      <c r="G12" s="5"/>
      <c r="H12" s="5"/>
      <c r="I12" s="6" t="s">
        <v>868</v>
      </c>
      <c r="J12" s="5" t="s">
        <v>1488</v>
      </c>
      <c r="K12" s="7"/>
      <c r="L12" s="6" t="s">
        <v>1</v>
      </c>
      <c r="M12" s="6" t="s">
        <v>862</v>
      </c>
    </row>
    <row r="13" spans="1:13" ht="62" customHeight="1">
      <c r="A13" s="6" t="s">
        <v>2264</v>
      </c>
      <c r="B13" s="6" t="s">
        <v>870</v>
      </c>
      <c r="C13" s="6" t="s">
        <v>871</v>
      </c>
      <c r="D13" s="6" t="s">
        <v>872</v>
      </c>
      <c r="E13" s="6" t="s">
        <v>873</v>
      </c>
      <c r="F13" s="6" t="s">
        <v>874</v>
      </c>
      <c r="G13" s="5"/>
      <c r="H13" s="5"/>
      <c r="I13" s="6" t="s">
        <v>875</v>
      </c>
      <c r="J13" s="5" t="s">
        <v>1488</v>
      </c>
      <c r="K13" s="7"/>
      <c r="L13" s="6" t="s">
        <v>1</v>
      </c>
      <c r="M13" s="6" t="s">
        <v>869</v>
      </c>
    </row>
    <row r="14" spans="1:13" ht="62" customHeight="1">
      <c r="A14" s="6" t="s">
        <v>2265</v>
      </c>
      <c r="B14" s="6" t="s">
        <v>878</v>
      </c>
      <c r="C14" s="6" t="s">
        <v>879</v>
      </c>
      <c r="D14" s="6" t="s">
        <v>880</v>
      </c>
      <c r="E14" s="6" t="s">
        <v>881</v>
      </c>
      <c r="F14" s="6" t="s">
        <v>882</v>
      </c>
      <c r="G14" s="5"/>
      <c r="H14" s="5"/>
      <c r="I14" s="6" t="s">
        <v>883</v>
      </c>
      <c r="J14" s="5" t="s">
        <v>1488</v>
      </c>
      <c r="K14" s="7"/>
      <c r="L14" s="6" t="s">
        <v>1</v>
      </c>
      <c r="M14" s="6" t="s">
        <v>877</v>
      </c>
    </row>
    <row r="15" spans="1:13" ht="62" customHeight="1">
      <c r="A15" s="6" t="s">
        <v>2266</v>
      </c>
      <c r="B15" s="6" t="s">
        <v>886</v>
      </c>
      <c r="C15" s="6" t="s">
        <v>887</v>
      </c>
      <c r="D15" s="6" t="s">
        <v>888</v>
      </c>
      <c r="E15" s="6" t="s">
        <v>889</v>
      </c>
      <c r="F15" s="6" t="s">
        <v>890</v>
      </c>
      <c r="G15" s="5"/>
      <c r="H15" s="5"/>
      <c r="I15" s="6" t="s">
        <v>891</v>
      </c>
      <c r="J15" s="5" t="s">
        <v>1488</v>
      </c>
      <c r="K15" s="7"/>
      <c r="L15" s="6" t="s">
        <v>1</v>
      </c>
      <c r="M15" s="6" t="s">
        <v>885</v>
      </c>
    </row>
    <row r="16" spans="1:13" ht="62" customHeight="1">
      <c r="A16" s="6" t="s">
        <v>2267</v>
      </c>
      <c r="B16" s="6" t="s">
        <v>893</v>
      </c>
      <c r="C16" s="6" t="s">
        <v>894</v>
      </c>
      <c r="D16" s="6" t="s">
        <v>895</v>
      </c>
      <c r="E16" s="6" t="s">
        <v>896</v>
      </c>
      <c r="F16" s="6" t="s">
        <v>897</v>
      </c>
      <c r="G16" s="5"/>
      <c r="H16" s="5"/>
      <c r="I16" s="6" t="s">
        <v>898</v>
      </c>
      <c r="J16" s="5" t="s">
        <v>1488</v>
      </c>
      <c r="K16" s="7"/>
      <c r="L16" s="6" t="s">
        <v>1</v>
      </c>
      <c r="M16" s="6" t="s">
        <v>892</v>
      </c>
    </row>
  </sheetData>
  <mergeCells count="2">
    <mergeCell ref="A1:M1"/>
    <mergeCell ref="A2:M2"/>
  </mergeCells>
  <conditionalFormatting sqref="G5:L16">
    <cfRule type="containsText" dxfId="0" priority="1" operator="containsText" text="Abgeschlossen">
      <formula>NOT(ISERROR(SEARCH("Abgeschlossen",G5)))</formula>
    </cfRule>
    <cfRule type="containsText" dxfId="0" priority="2" operator="containsText" text="Vollständig">
      <formula>NOT(ISERROR(SEARCH("Vollständig",G5)))</formula>
    </cfRule>
    <cfRule type="containsText" dxfId="0" priority="3" operator="containsText" text="Erledigt">
      <formula>NOT(ISERROR(SEARCH("Erledigt",G5)))</formula>
    </cfRule>
    <cfRule type="containsText" dxfId="1" priority="4" operator="containsText" text="Blockiert">
      <formula>NOT(ISERROR(SEARCH("Blockiert",G5)))</formula>
    </cfRule>
    <cfRule type="containsText" dxfId="1" priority="5" operator="containsText" text="Kritisch">
      <formula>NOT(ISERROR(SEARCH("Kritisch",G5)))</formula>
    </cfRule>
    <cfRule type="containsText" dxfId="1" priority="6" operator="containsText" text="Überfällig">
      <formula>NOT(ISERROR(SEARCH("Überfällig",G5)))</formula>
    </cfRule>
    <cfRule type="containsText" dxfId="2" priority="7" operator="containsText" text="In Prüfung">
      <formula>NOT(ISERROR(SEARCH("In Prüfung",G5)))</formula>
    </cfRule>
    <cfRule type="containsText" dxfId="2" priority="8" operator="containsText" text="In Arbeit">
      <formula>NOT(ISERROR(SEARCH("In Arbeit",G5)))</formula>
    </cfRule>
  </conditionalFormatting>
  <dataValidations count="6">
    <dataValidation allowBlank="1" showInputMessage="1" showErrorMessage="1" errorTitle="Eingabe prüfen" error="Bitte die vorgegebene Auswahl bzw. das geforderte Format verwenden." promptTitle="Vertiefungsnachweis" prompt="Konkrete Evidenz, ausgeführten Test und beobachtete Red Flags dokumentieren." sqref="D5:F16"/>
    <dataValidation type="list" allowBlank="1" showInputMessage="1" showErrorMessage="1" errorTitle="Eingabe prüfen" error="Bitte die vorgegebene Auswahl bzw. das geforderte Format verwenden." promptTitle="Reifegrad" prompt="Nur anhand getesteter Gestaltung und Wirksamkeit einstufen." sqref="G5:G16">
      <formula1>Reifegrad</formula1>
    </dataValidation>
    <dataValidation allowBlank="1" showInputMessage="1" showErrorMessage="1" errorTitle="Eingabe prüfen" error="Bitte die vorgegebene Auswahl bzw. das geforderte Format verwenden." promptTitle="Risiko" prompt="Bestätigtes Risiko mit Ursache, Umfang und Auswirkung beschreiben." sqref="H5:H16"/>
    <dataValidation allowBlank="1" showInputMessage="1" showErrorMessage="1" errorTitle="Eingabe prüfen" error="Bitte die vorgegebene Auswahl bzw. das geforderte Format verwenden." promptTitle="Owner" prompt="Eine fachlich verantwortliche Person oder Rolle eintragen." sqref="J5:J16"/>
    <dataValidation type="date" allowBlank="1" showInputMessage="1" showErrorMessage="1" errorTitle="Eingabe prüfen" error="Bitte die vorgegebene Auswahl bzw. das geforderte Format verwenden." promptTitle="Fälligkeit" prompt="Verbindliches Datum im Format TT.MM.JJJJ." sqref="K5:K16">
      <formula1>36526</formula1>
      <formula2>73415</formula2>
    </dataValidation>
    <dataValidation type="list" allowBlank="1" showInputMessage="1" showErrorMessage="1" errorTitle="Eingabe prüfen" error="Bitte die vorgegebene Auswahl bzw. das geforderte Format verwenden." promptTitle="Prüfstatus" prompt="Abgeschlossen erst nach Evidenz und Review." sqref="L5:L16">
      <formula1>Pruefstatus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1F4E78"/>
  </sheetPr>
  <dimension ref="A1:M14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62" customHeight="1"/>
  <cols>
    <col min="1" max="1" width="11.7109375" customWidth="1"/>
    <col min="2" max="2" width="24.7109375" customWidth="1"/>
    <col min="3" max="3" width="40.7109375" customWidth="1"/>
    <col min="4" max="4" width="38.7109375" customWidth="1"/>
    <col min="5" max="5" width="40.7109375" customWidth="1"/>
    <col min="6" max="6" width="36.7109375" customWidth="1"/>
    <col min="7" max="7" width="22.7109375" customWidth="1"/>
    <col min="8" max="8" width="28.7109375" customWidth="1"/>
    <col min="9" max="9" width="42.7109375" customWidth="1"/>
    <col min="10" max="10" width="18.7109375" customWidth="1"/>
    <col min="11" max="11" width="13.7109375" customWidth="1"/>
    <col min="12" max="12" width="17.7109375" customWidth="1"/>
    <col min="13" max="13" width="15.7109375" customWidth="1"/>
  </cols>
  <sheetData>
    <row r="1" spans="1:13" ht="30" customHeight="1">
      <c r="A1" s="1" t="s">
        <v>2275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4" customHeight="1">
      <c r="A2" s="2" t="s">
        <v>2276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1:13" ht="42" customHeight="1">
      <c r="A4" t="s">
        <v>1370</v>
      </c>
      <c r="B4" t="s">
        <v>2268</v>
      </c>
      <c r="C4" t="s">
        <v>2269</v>
      </c>
      <c r="D4" t="s">
        <v>2108</v>
      </c>
      <c r="E4" t="s">
        <v>2270</v>
      </c>
      <c r="F4" t="s">
        <v>2271</v>
      </c>
      <c r="G4" t="s">
        <v>2272</v>
      </c>
      <c r="H4" t="s">
        <v>2251</v>
      </c>
      <c r="I4" t="s">
        <v>2273</v>
      </c>
      <c r="J4" t="s">
        <v>1656</v>
      </c>
      <c r="K4" t="s">
        <v>1857</v>
      </c>
      <c r="L4" t="s">
        <v>1378</v>
      </c>
      <c r="M4" t="s">
        <v>2274</v>
      </c>
    </row>
    <row r="5" spans="1:13" ht="62" customHeight="1">
      <c r="A5" s="6" t="s">
        <v>2277</v>
      </c>
      <c r="B5" s="6" t="s">
        <v>956</v>
      </c>
      <c r="C5" s="6" t="s">
        <v>957</v>
      </c>
      <c r="D5" s="6" t="s">
        <v>958</v>
      </c>
      <c r="E5" s="6" t="s">
        <v>959</v>
      </c>
      <c r="F5" s="6" t="s">
        <v>960</v>
      </c>
      <c r="G5" s="5"/>
      <c r="H5" s="5"/>
      <c r="I5" s="6" t="s">
        <v>961</v>
      </c>
      <c r="J5" s="5" t="s">
        <v>2278</v>
      </c>
      <c r="K5" s="7"/>
      <c r="L5" s="6" t="s">
        <v>1</v>
      </c>
      <c r="M5" s="6" t="s">
        <v>954</v>
      </c>
    </row>
    <row r="6" spans="1:13" ht="62" customHeight="1">
      <c r="A6" s="6" t="s">
        <v>2279</v>
      </c>
      <c r="B6" s="6" t="s">
        <v>963</v>
      </c>
      <c r="C6" s="6" t="s">
        <v>964</v>
      </c>
      <c r="D6" s="6" t="s">
        <v>965</v>
      </c>
      <c r="E6" s="6" t="s">
        <v>966</v>
      </c>
      <c r="F6" s="6" t="s">
        <v>967</v>
      </c>
      <c r="G6" s="5"/>
      <c r="H6" s="5"/>
      <c r="I6" s="6" t="s">
        <v>968</v>
      </c>
      <c r="J6" s="5" t="s">
        <v>2278</v>
      </c>
      <c r="K6" s="7"/>
      <c r="L6" s="6" t="s">
        <v>1</v>
      </c>
      <c r="M6" s="6" t="s">
        <v>962</v>
      </c>
    </row>
    <row r="7" spans="1:13" ht="62" customHeight="1">
      <c r="A7" s="6" t="s">
        <v>2280</v>
      </c>
      <c r="B7" s="6" t="s">
        <v>971</v>
      </c>
      <c r="C7" s="6" t="s">
        <v>972</v>
      </c>
      <c r="D7" s="6" t="s">
        <v>973</v>
      </c>
      <c r="E7" s="6" t="s">
        <v>974</v>
      </c>
      <c r="F7" s="6" t="s">
        <v>975</v>
      </c>
      <c r="G7" s="5"/>
      <c r="H7" s="5"/>
      <c r="I7" s="6" t="s">
        <v>976</v>
      </c>
      <c r="J7" s="5" t="s">
        <v>2278</v>
      </c>
      <c r="K7" s="7"/>
      <c r="L7" s="6" t="s">
        <v>1</v>
      </c>
      <c r="M7" s="6" t="s">
        <v>970</v>
      </c>
    </row>
    <row r="8" spans="1:13" ht="62" customHeight="1">
      <c r="A8" s="6" t="s">
        <v>2281</v>
      </c>
      <c r="B8" s="6" t="s">
        <v>979</v>
      </c>
      <c r="C8" s="6" t="s">
        <v>980</v>
      </c>
      <c r="D8" s="6" t="s">
        <v>981</v>
      </c>
      <c r="E8" s="6" t="s">
        <v>982</v>
      </c>
      <c r="F8" s="6" t="s">
        <v>983</v>
      </c>
      <c r="G8" s="5"/>
      <c r="H8" s="5"/>
      <c r="I8" s="6" t="s">
        <v>984</v>
      </c>
      <c r="J8" s="5" t="s">
        <v>2278</v>
      </c>
      <c r="K8" s="7"/>
      <c r="L8" s="6" t="s">
        <v>1</v>
      </c>
      <c r="M8" s="6" t="s">
        <v>978</v>
      </c>
    </row>
    <row r="9" spans="1:13" ht="62" customHeight="1">
      <c r="A9" s="6" t="s">
        <v>2282</v>
      </c>
      <c r="B9" s="6" t="s">
        <v>987</v>
      </c>
      <c r="C9" s="6" t="s">
        <v>988</v>
      </c>
      <c r="D9" s="6" t="s">
        <v>989</v>
      </c>
      <c r="E9" s="6" t="s">
        <v>990</v>
      </c>
      <c r="F9" s="6" t="s">
        <v>991</v>
      </c>
      <c r="G9" s="5"/>
      <c r="H9" s="5"/>
      <c r="I9" s="6" t="s">
        <v>992</v>
      </c>
      <c r="J9" s="5" t="s">
        <v>2278</v>
      </c>
      <c r="K9" s="7"/>
      <c r="L9" s="6" t="s">
        <v>1</v>
      </c>
      <c r="M9" s="6" t="s">
        <v>986</v>
      </c>
    </row>
    <row r="10" spans="1:13" ht="62" customHeight="1">
      <c r="A10" s="6" t="s">
        <v>2283</v>
      </c>
      <c r="B10" s="6" t="s">
        <v>995</v>
      </c>
      <c r="C10" s="6" t="s">
        <v>996</v>
      </c>
      <c r="D10" s="6" t="s">
        <v>997</v>
      </c>
      <c r="E10" s="6" t="s">
        <v>998</v>
      </c>
      <c r="F10" s="6" t="s">
        <v>999</v>
      </c>
      <c r="G10" s="5"/>
      <c r="H10" s="5"/>
      <c r="I10" s="6" t="s">
        <v>1000</v>
      </c>
      <c r="J10" s="5" t="s">
        <v>2278</v>
      </c>
      <c r="K10" s="7"/>
      <c r="L10" s="6" t="s">
        <v>1</v>
      </c>
      <c r="M10" s="6" t="s">
        <v>994</v>
      </c>
    </row>
    <row r="11" spans="1:13" ht="62" customHeight="1">
      <c r="A11" s="6" t="s">
        <v>2284</v>
      </c>
      <c r="B11" s="6" t="s">
        <v>1002</v>
      </c>
      <c r="C11" s="6" t="s">
        <v>1003</v>
      </c>
      <c r="D11" s="6" t="s">
        <v>1004</v>
      </c>
      <c r="E11" s="6" t="s">
        <v>1005</v>
      </c>
      <c r="F11" s="6" t="s">
        <v>1006</v>
      </c>
      <c r="G11" s="5"/>
      <c r="H11" s="5"/>
      <c r="I11" s="6" t="s">
        <v>1007</v>
      </c>
      <c r="J11" s="5" t="s">
        <v>2278</v>
      </c>
      <c r="K11" s="7"/>
      <c r="L11" s="6" t="s">
        <v>1</v>
      </c>
      <c r="M11" s="6" t="s">
        <v>1001</v>
      </c>
    </row>
    <row r="12" spans="1:13" ht="62" customHeight="1">
      <c r="A12" s="6" t="s">
        <v>2285</v>
      </c>
      <c r="B12" s="6" t="s">
        <v>1010</v>
      </c>
      <c r="C12" s="6" t="s">
        <v>1011</v>
      </c>
      <c r="D12" s="6" t="s">
        <v>1012</v>
      </c>
      <c r="E12" s="6" t="s">
        <v>1013</v>
      </c>
      <c r="F12" s="6" t="s">
        <v>1014</v>
      </c>
      <c r="G12" s="5"/>
      <c r="H12" s="5"/>
      <c r="I12" s="6" t="s">
        <v>1015</v>
      </c>
      <c r="J12" s="5" t="s">
        <v>2278</v>
      </c>
      <c r="K12" s="7"/>
      <c r="L12" s="6" t="s">
        <v>1</v>
      </c>
      <c r="M12" s="6" t="s">
        <v>1009</v>
      </c>
    </row>
    <row r="13" spans="1:13" ht="62" customHeight="1">
      <c r="A13" s="6" t="s">
        <v>2286</v>
      </c>
      <c r="B13" s="6" t="s">
        <v>1017</v>
      </c>
      <c r="C13" s="6" t="s">
        <v>1018</v>
      </c>
      <c r="D13" s="6" t="s">
        <v>1019</v>
      </c>
      <c r="E13" s="6" t="s">
        <v>1020</v>
      </c>
      <c r="F13" s="6" t="s">
        <v>1021</v>
      </c>
      <c r="G13" s="5"/>
      <c r="H13" s="5"/>
      <c r="I13" s="6" t="s">
        <v>1022</v>
      </c>
      <c r="J13" s="5" t="s">
        <v>2278</v>
      </c>
      <c r="K13" s="7"/>
      <c r="L13" s="6" t="s">
        <v>1</v>
      </c>
      <c r="M13" s="6" t="s">
        <v>1016</v>
      </c>
    </row>
    <row r="14" spans="1:13" ht="62" customHeight="1">
      <c r="A14" s="6" t="s">
        <v>2287</v>
      </c>
      <c r="B14" s="6" t="s">
        <v>1024</v>
      </c>
      <c r="C14" s="6" t="s">
        <v>1025</v>
      </c>
      <c r="D14" s="6" t="s">
        <v>1026</v>
      </c>
      <c r="E14" s="6" t="s">
        <v>1027</v>
      </c>
      <c r="F14" s="6" t="s">
        <v>1028</v>
      </c>
      <c r="G14" s="5"/>
      <c r="H14" s="5"/>
      <c r="I14" s="6" t="s">
        <v>1029</v>
      </c>
      <c r="J14" s="5" t="s">
        <v>2278</v>
      </c>
      <c r="K14" s="7"/>
      <c r="L14" s="6" t="s">
        <v>1</v>
      </c>
      <c r="M14" s="6" t="s">
        <v>1023</v>
      </c>
    </row>
  </sheetData>
  <mergeCells count="2">
    <mergeCell ref="A1:M1"/>
    <mergeCell ref="A2:M2"/>
  </mergeCells>
  <conditionalFormatting sqref="G5:L14">
    <cfRule type="containsText" dxfId="0" priority="1" operator="containsText" text="Abgeschlossen">
      <formula>NOT(ISERROR(SEARCH("Abgeschlossen",G5)))</formula>
    </cfRule>
    <cfRule type="containsText" dxfId="0" priority="2" operator="containsText" text="Vollständig">
      <formula>NOT(ISERROR(SEARCH("Vollständig",G5)))</formula>
    </cfRule>
    <cfRule type="containsText" dxfId="0" priority="3" operator="containsText" text="Erledigt">
      <formula>NOT(ISERROR(SEARCH("Erledigt",G5)))</formula>
    </cfRule>
    <cfRule type="containsText" dxfId="1" priority="4" operator="containsText" text="Blockiert">
      <formula>NOT(ISERROR(SEARCH("Blockiert",G5)))</formula>
    </cfRule>
    <cfRule type="containsText" dxfId="1" priority="5" operator="containsText" text="Kritisch">
      <formula>NOT(ISERROR(SEARCH("Kritisch",G5)))</formula>
    </cfRule>
    <cfRule type="containsText" dxfId="1" priority="6" operator="containsText" text="Überfällig">
      <formula>NOT(ISERROR(SEARCH("Überfällig",G5)))</formula>
    </cfRule>
    <cfRule type="containsText" dxfId="2" priority="7" operator="containsText" text="In Prüfung">
      <formula>NOT(ISERROR(SEARCH("In Prüfung",G5)))</formula>
    </cfRule>
    <cfRule type="containsText" dxfId="2" priority="8" operator="containsText" text="In Arbeit">
      <formula>NOT(ISERROR(SEARCH("In Arbeit",G5)))</formula>
    </cfRule>
  </conditionalFormatting>
  <dataValidations count="6">
    <dataValidation allowBlank="1" showInputMessage="1" showErrorMessage="1" errorTitle="Eingabe prüfen" error="Bitte die vorgegebene Auswahl bzw. das geforderte Format verwenden." promptTitle="Vertiefungsnachweis" prompt="Konkrete Evidenz, ausgeführten Test und beobachtete Red Flags dokumentieren." sqref="D5:F14"/>
    <dataValidation type="list" allowBlank="1" showInputMessage="1" showErrorMessage="1" errorTitle="Eingabe prüfen" error="Bitte die vorgegebene Auswahl bzw. das geforderte Format verwenden." promptTitle="Reifegrad" prompt="Nur anhand getesteter Gestaltung und Wirksamkeit einstufen." sqref="G5:G14">
      <formula1>Reifegrad</formula1>
    </dataValidation>
    <dataValidation allowBlank="1" showInputMessage="1" showErrorMessage="1" errorTitle="Eingabe prüfen" error="Bitte die vorgegebene Auswahl bzw. das geforderte Format verwenden." promptTitle="Risiko" prompt="Bestätigtes Risiko mit Ursache, Umfang und Auswirkung beschreiben." sqref="H5:H14"/>
    <dataValidation allowBlank="1" showInputMessage="1" showErrorMessage="1" errorTitle="Eingabe prüfen" error="Bitte die vorgegebene Auswahl bzw. das geforderte Format verwenden." promptTitle="Owner" prompt="Eine fachlich verantwortliche Person oder Rolle eintragen." sqref="J5:J14"/>
    <dataValidation type="date" allowBlank="1" showInputMessage="1" showErrorMessage="1" errorTitle="Eingabe prüfen" error="Bitte die vorgegebene Auswahl bzw. das geforderte Format verwenden." promptTitle="Fälligkeit" prompt="Verbindliches Datum im Format TT.MM.JJJJ." sqref="K5:K14">
      <formula1>36526</formula1>
      <formula2>73415</formula2>
    </dataValidation>
    <dataValidation type="list" allowBlank="1" showInputMessage="1" showErrorMessage="1" errorTitle="Eingabe prüfen" error="Bitte die vorgegebene Auswahl bzw. das geforderte Format verwenden." promptTitle="Prüfstatus" prompt="Abgeschlossen erst nach Evidenz und Review." sqref="L5:L14">
      <formula1>Pruefstatus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1F4E78"/>
  </sheetPr>
  <dimension ref="A1:M15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62" customHeight="1"/>
  <cols>
    <col min="1" max="1" width="11.7109375" customWidth="1"/>
    <col min="2" max="2" width="24.7109375" customWidth="1"/>
    <col min="3" max="3" width="40.7109375" customWidth="1"/>
    <col min="4" max="4" width="38.7109375" customWidth="1"/>
    <col min="5" max="5" width="40.7109375" customWidth="1"/>
    <col min="6" max="6" width="36.7109375" customWidth="1"/>
    <col min="7" max="7" width="22.7109375" customWidth="1"/>
    <col min="8" max="8" width="28.7109375" customWidth="1"/>
    <col min="9" max="9" width="42.7109375" customWidth="1"/>
    <col min="10" max="10" width="18.7109375" customWidth="1"/>
    <col min="11" max="11" width="13.7109375" customWidth="1"/>
    <col min="12" max="12" width="17.7109375" customWidth="1"/>
    <col min="13" max="13" width="15.7109375" customWidth="1"/>
  </cols>
  <sheetData>
    <row r="1" spans="1:13" ht="30" customHeight="1">
      <c r="A1" s="1" t="s">
        <v>2288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4" customHeight="1">
      <c r="A2" s="2" t="s">
        <v>2289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1:13" ht="42" customHeight="1">
      <c r="A4" t="s">
        <v>1370</v>
      </c>
      <c r="B4" t="s">
        <v>2268</v>
      </c>
      <c r="C4" t="s">
        <v>2269</v>
      </c>
      <c r="D4" t="s">
        <v>2108</v>
      </c>
      <c r="E4" t="s">
        <v>2270</v>
      </c>
      <c r="F4" t="s">
        <v>2271</v>
      </c>
      <c r="G4" t="s">
        <v>2272</v>
      </c>
      <c r="H4" t="s">
        <v>2251</v>
      </c>
      <c r="I4" t="s">
        <v>2273</v>
      </c>
      <c r="J4" t="s">
        <v>1656</v>
      </c>
      <c r="K4" t="s">
        <v>1857</v>
      </c>
      <c r="L4" t="s">
        <v>1378</v>
      </c>
      <c r="M4" t="s">
        <v>2274</v>
      </c>
    </row>
    <row r="5" spans="1:13" ht="62" customHeight="1">
      <c r="A5" s="6" t="s">
        <v>2290</v>
      </c>
      <c r="B5" s="6" t="s">
        <v>500</v>
      </c>
      <c r="C5" s="6" t="s">
        <v>501</v>
      </c>
      <c r="D5" s="6" t="s">
        <v>502</v>
      </c>
      <c r="E5" s="6" t="s">
        <v>503</v>
      </c>
      <c r="F5" s="6" t="s">
        <v>504</v>
      </c>
      <c r="G5" s="5"/>
      <c r="H5" s="5"/>
      <c r="I5" s="6" t="s">
        <v>505</v>
      </c>
      <c r="J5" s="5" t="s">
        <v>2291</v>
      </c>
      <c r="K5" s="7"/>
      <c r="L5" s="6" t="s">
        <v>1</v>
      </c>
      <c r="M5" s="6" t="s">
        <v>498</v>
      </c>
    </row>
    <row r="6" spans="1:13" ht="62" customHeight="1">
      <c r="A6" s="6" t="s">
        <v>2292</v>
      </c>
      <c r="B6" s="6" t="s">
        <v>508</v>
      </c>
      <c r="C6" s="6" t="s">
        <v>509</v>
      </c>
      <c r="D6" s="6" t="s">
        <v>510</v>
      </c>
      <c r="E6" s="6" t="s">
        <v>511</v>
      </c>
      <c r="F6" s="6" t="s">
        <v>512</v>
      </c>
      <c r="G6" s="5"/>
      <c r="H6" s="5"/>
      <c r="I6" s="6" t="s">
        <v>513</v>
      </c>
      <c r="J6" s="5" t="s">
        <v>2291</v>
      </c>
      <c r="K6" s="7"/>
      <c r="L6" s="6" t="s">
        <v>1</v>
      </c>
      <c r="M6" s="6" t="s">
        <v>507</v>
      </c>
    </row>
    <row r="7" spans="1:13" ht="62" customHeight="1">
      <c r="A7" s="6" t="s">
        <v>2293</v>
      </c>
      <c r="B7" s="6" t="s">
        <v>516</v>
      </c>
      <c r="C7" s="6" t="s">
        <v>517</v>
      </c>
      <c r="D7" s="6" t="s">
        <v>518</v>
      </c>
      <c r="E7" s="6" t="s">
        <v>519</v>
      </c>
      <c r="F7" s="6" t="s">
        <v>520</v>
      </c>
      <c r="G7" s="5"/>
      <c r="H7" s="5"/>
      <c r="I7" s="6" t="s">
        <v>521</v>
      </c>
      <c r="J7" s="5" t="s">
        <v>2291</v>
      </c>
      <c r="K7" s="7"/>
      <c r="L7" s="6" t="s">
        <v>1</v>
      </c>
      <c r="M7" s="6" t="s">
        <v>515</v>
      </c>
    </row>
    <row r="8" spans="1:13" ht="62" customHeight="1">
      <c r="A8" s="6" t="s">
        <v>2294</v>
      </c>
      <c r="B8" s="6" t="s">
        <v>524</v>
      </c>
      <c r="C8" s="6" t="s">
        <v>525</v>
      </c>
      <c r="D8" s="6" t="s">
        <v>526</v>
      </c>
      <c r="E8" s="6" t="s">
        <v>527</v>
      </c>
      <c r="F8" s="6" t="s">
        <v>528</v>
      </c>
      <c r="G8" s="5"/>
      <c r="H8" s="5"/>
      <c r="I8" s="6" t="s">
        <v>529</v>
      </c>
      <c r="J8" s="5" t="s">
        <v>2291</v>
      </c>
      <c r="K8" s="7"/>
      <c r="L8" s="6" t="s">
        <v>1</v>
      </c>
      <c r="M8" s="6" t="s">
        <v>523</v>
      </c>
    </row>
    <row r="9" spans="1:13" ht="62" customHeight="1">
      <c r="A9" s="6" t="s">
        <v>2295</v>
      </c>
      <c r="B9" s="6" t="s">
        <v>532</v>
      </c>
      <c r="C9" s="6" t="s">
        <v>533</v>
      </c>
      <c r="D9" s="6" t="s">
        <v>534</v>
      </c>
      <c r="E9" s="6" t="s">
        <v>535</v>
      </c>
      <c r="F9" s="6" t="s">
        <v>536</v>
      </c>
      <c r="G9" s="5"/>
      <c r="H9" s="5"/>
      <c r="I9" s="6" t="s">
        <v>537</v>
      </c>
      <c r="J9" s="5" t="s">
        <v>2291</v>
      </c>
      <c r="K9" s="7"/>
      <c r="L9" s="6" t="s">
        <v>1</v>
      </c>
      <c r="M9" s="6" t="s">
        <v>531</v>
      </c>
    </row>
    <row r="10" spans="1:13" ht="62" customHeight="1">
      <c r="A10" s="6" t="s">
        <v>2296</v>
      </c>
      <c r="B10" s="6" t="s">
        <v>539</v>
      </c>
      <c r="C10" s="6" t="s">
        <v>540</v>
      </c>
      <c r="D10" s="6" t="s">
        <v>541</v>
      </c>
      <c r="E10" s="6" t="s">
        <v>542</v>
      </c>
      <c r="F10" s="6" t="s">
        <v>543</v>
      </c>
      <c r="G10" s="5"/>
      <c r="H10" s="5"/>
      <c r="I10" s="6" t="s">
        <v>544</v>
      </c>
      <c r="J10" s="5" t="s">
        <v>2291</v>
      </c>
      <c r="K10" s="7"/>
      <c r="L10" s="6" t="s">
        <v>1</v>
      </c>
      <c r="M10" s="6" t="s">
        <v>538</v>
      </c>
    </row>
    <row r="11" spans="1:13" ht="62" customHeight="1">
      <c r="A11" s="6" t="s">
        <v>2297</v>
      </c>
      <c r="B11" s="6" t="s">
        <v>547</v>
      </c>
      <c r="C11" s="6" t="s">
        <v>548</v>
      </c>
      <c r="D11" s="6" t="s">
        <v>549</v>
      </c>
      <c r="E11" s="6" t="s">
        <v>550</v>
      </c>
      <c r="F11" s="6" t="s">
        <v>551</v>
      </c>
      <c r="G11" s="5"/>
      <c r="H11" s="5"/>
      <c r="I11" s="6" t="s">
        <v>552</v>
      </c>
      <c r="J11" s="5" t="s">
        <v>2291</v>
      </c>
      <c r="K11" s="7"/>
      <c r="L11" s="6" t="s">
        <v>1</v>
      </c>
      <c r="M11" s="6" t="s">
        <v>546</v>
      </c>
    </row>
    <row r="12" spans="1:13" ht="62" customHeight="1">
      <c r="A12" s="6" t="s">
        <v>2298</v>
      </c>
      <c r="B12" s="6" t="s">
        <v>555</v>
      </c>
      <c r="C12" s="6" t="s">
        <v>556</v>
      </c>
      <c r="D12" s="6" t="s">
        <v>557</v>
      </c>
      <c r="E12" s="6" t="s">
        <v>558</v>
      </c>
      <c r="F12" s="6" t="s">
        <v>559</v>
      </c>
      <c r="G12" s="5"/>
      <c r="H12" s="5"/>
      <c r="I12" s="6" t="s">
        <v>560</v>
      </c>
      <c r="J12" s="5" t="s">
        <v>2291</v>
      </c>
      <c r="K12" s="7"/>
      <c r="L12" s="6" t="s">
        <v>1</v>
      </c>
      <c r="M12" s="6" t="s">
        <v>554</v>
      </c>
    </row>
    <row r="13" spans="1:13" ht="62" customHeight="1">
      <c r="A13" s="6" t="s">
        <v>2299</v>
      </c>
      <c r="B13" s="6" t="s">
        <v>562</v>
      </c>
      <c r="C13" s="6" t="s">
        <v>563</v>
      </c>
      <c r="D13" s="6" t="s">
        <v>564</v>
      </c>
      <c r="E13" s="6" t="s">
        <v>565</v>
      </c>
      <c r="F13" s="6" t="s">
        <v>566</v>
      </c>
      <c r="G13" s="5"/>
      <c r="H13" s="5"/>
      <c r="I13" s="6" t="s">
        <v>567</v>
      </c>
      <c r="J13" s="5" t="s">
        <v>2291</v>
      </c>
      <c r="K13" s="7"/>
      <c r="L13" s="6" t="s">
        <v>1</v>
      </c>
      <c r="M13" s="6" t="s">
        <v>561</v>
      </c>
    </row>
    <row r="14" spans="1:13" ht="62" customHeight="1">
      <c r="A14" s="6" t="s">
        <v>2300</v>
      </c>
      <c r="B14" s="6" t="s">
        <v>570</v>
      </c>
      <c r="C14" s="6" t="s">
        <v>571</v>
      </c>
      <c r="D14" s="6" t="s">
        <v>572</v>
      </c>
      <c r="E14" s="6" t="s">
        <v>573</v>
      </c>
      <c r="F14" s="6" t="s">
        <v>574</v>
      </c>
      <c r="G14" s="5"/>
      <c r="H14" s="5"/>
      <c r="I14" s="6" t="s">
        <v>575</v>
      </c>
      <c r="J14" s="5" t="s">
        <v>2291</v>
      </c>
      <c r="K14" s="7"/>
      <c r="L14" s="6" t="s">
        <v>1</v>
      </c>
      <c r="M14" s="6" t="s">
        <v>569</v>
      </c>
    </row>
    <row r="15" spans="1:13" ht="62" customHeight="1">
      <c r="A15" s="6" t="s">
        <v>2301</v>
      </c>
      <c r="B15" s="6" t="s">
        <v>577</v>
      </c>
      <c r="C15" s="6" t="s">
        <v>578</v>
      </c>
      <c r="D15" s="6" t="s">
        <v>579</v>
      </c>
      <c r="E15" s="6" t="s">
        <v>580</v>
      </c>
      <c r="F15" s="6" t="s">
        <v>581</v>
      </c>
      <c r="G15" s="5"/>
      <c r="H15" s="5"/>
      <c r="I15" s="6" t="s">
        <v>582</v>
      </c>
      <c r="J15" s="5" t="s">
        <v>2291</v>
      </c>
      <c r="K15" s="7"/>
      <c r="L15" s="6" t="s">
        <v>1</v>
      </c>
      <c r="M15" s="6" t="s">
        <v>576</v>
      </c>
    </row>
  </sheetData>
  <mergeCells count="2">
    <mergeCell ref="A1:M1"/>
    <mergeCell ref="A2:M2"/>
  </mergeCells>
  <conditionalFormatting sqref="G5:L15">
    <cfRule type="containsText" dxfId="0" priority="1" operator="containsText" text="Abgeschlossen">
      <formula>NOT(ISERROR(SEARCH("Abgeschlossen",G5)))</formula>
    </cfRule>
    <cfRule type="containsText" dxfId="0" priority="2" operator="containsText" text="Vollständig">
      <formula>NOT(ISERROR(SEARCH("Vollständig",G5)))</formula>
    </cfRule>
    <cfRule type="containsText" dxfId="0" priority="3" operator="containsText" text="Erledigt">
      <formula>NOT(ISERROR(SEARCH("Erledigt",G5)))</formula>
    </cfRule>
    <cfRule type="containsText" dxfId="1" priority="4" operator="containsText" text="Blockiert">
      <formula>NOT(ISERROR(SEARCH("Blockiert",G5)))</formula>
    </cfRule>
    <cfRule type="containsText" dxfId="1" priority="5" operator="containsText" text="Kritisch">
      <formula>NOT(ISERROR(SEARCH("Kritisch",G5)))</formula>
    </cfRule>
    <cfRule type="containsText" dxfId="1" priority="6" operator="containsText" text="Überfällig">
      <formula>NOT(ISERROR(SEARCH("Überfällig",G5)))</formula>
    </cfRule>
    <cfRule type="containsText" dxfId="2" priority="7" operator="containsText" text="In Prüfung">
      <formula>NOT(ISERROR(SEARCH("In Prüfung",G5)))</formula>
    </cfRule>
    <cfRule type="containsText" dxfId="2" priority="8" operator="containsText" text="In Arbeit">
      <formula>NOT(ISERROR(SEARCH("In Arbeit",G5)))</formula>
    </cfRule>
  </conditionalFormatting>
  <dataValidations count="6">
    <dataValidation allowBlank="1" showInputMessage="1" showErrorMessage="1" errorTitle="Eingabe prüfen" error="Bitte die vorgegebene Auswahl bzw. das geforderte Format verwenden." promptTitle="Vertiefungsnachweis" prompt="Konkrete Evidenz, ausgeführten Test und beobachtete Red Flags dokumentieren." sqref="D5:F15"/>
    <dataValidation type="list" allowBlank="1" showInputMessage="1" showErrorMessage="1" errorTitle="Eingabe prüfen" error="Bitte die vorgegebene Auswahl bzw. das geforderte Format verwenden." promptTitle="Reifegrad" prompt="Nur anhand getesteter Gestaltung und Wirksamkeit einstufen." sqref="G5:G15">
      <formula1>Reifegrad</formula1>
    </dataValidation>
    <dataValidation allowBlank="1" showInputMessage="1" showErrorMessage="1" errorTitle="Eingabe prüfen" error="Bitte die vorgegebene Auswahl bzw. das geforderte Format verwenden." promptTitle="Risiko" prompt="Bestätigtes Risiko mit Ursache, Umfang und Auswirkung beschreiben." sqref="H5:H15"/>
    <dataValidation allowBlank="1" showInputMessage="1" showErrorMessage="1" errorTitle="Eingabe prüfen" error="Bitte die vorgegebene Auswahl bzw. das geforderte Format verwenden." promptTitle="Owner" prompt="Eine fachlich verantwortliche Person oder Rolle eintragen." sqref="J5:J15"/>
    <dataValidation type="date" allowBlank="1" showInputMessage="1" showErrorMessage="1" errorTitle="Eingabe prüfen" error="Bitte die vorgegebene Auswahl bzw. das geforderte Format verwenden." promptTitle="Fälligkeit" prompt="Verbindliches Datum im Format TT.MM.JJJJ." sqref="K5:K15">
      <formula1>36526</formula1>
      <formula2>73415</formula2>
    </dataValidation>
    <dataValidation type="list" allowBlank="1" showInputMessage="1" showErrorMessage="1" errorTitle="Eingabe prüfen" error="Bitte die vorgegebene Auswahl bzw. das geforderte Format verwenden." promptTitle="Prüfstatus" prompt="Abgeschlossen erst nach Evidenz und Review." sqref="L5:L15">
      <formula1>Pruefstatus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1F4E78"/>
  </sheetPr>
  <dimension ref="A1:H19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60" customHeight="1"/>
  <cols>
    <col min="1" max="1" width="24.7109375" customWidth="1"/>
    <col min="2" max="2" width="28.7109375" customWidth="1"/>
    <col min="3" max="3" width="40.7109375" customWidth="1"/>
    <col min="4" max="4" width="45.7109375" customWidth="1"/>
    <col min="5" max="5" width="30.7109375" customWidth="1"/>
    <col min="6" max="6" width="20.7109375" customWidth="1"/>
    <col min="7" max="7" width="38.7109375" customWidth="1"/>
    <col min="8" max="8" width="16.7109375" customWidth="1"/>
  </cols>
  <sheetData>
    <row r="1" spans="1:8" ht="30" customHeight="1">
      <c r="A1" s="1" t="s">
        <v>2302</v>
      </c>
      <c r="B1" s="1"/>
      <c r="C1" s="1"/>
      <c r="D1" s="1"/>
      <c r="E1" s="1"/>
      <c r="F1" s="1"/>
      <c r="G1" s="1"/>
      <c r="H1" s="1"/>
    </row>
    <row r="2" spans="1:8" ht="34" customHeight="1">
      <c r="A2" s="2" t="s">
        <v>2303</v>
      </c>
      <c r="B2" s="2"/>
      <c r="C2" s="2"/>
      <c r="D2" s="2"/>
      <c r="E2" s="2"/>
      <c r="F2" s="2"/>
      <c r="G2" s="2"/>
      <c r="H2" s="2"/>
    </row>
    <row r="4" spans="1:8" ht="42" customHeight="1">
      <c r="A4" t="s">
        <v>2386</v>
      </c>
      <c r="B4" t="s">
        <v>2387</v>
      </c>
      <c r="C4" t="s">
        <v>2388</v>
      </c>
      <c r="D4" t="s">
        <v>2389</v>
      </c>
      <c r="E4" t="s">
        <v>2390</v>
      </c>
      <c r="F4" t="s">
        <v>2391</v>
      </c>
      <c r="G4" t="s">
        <v>2392</v>
      </c>
      <c r="H4" t="s">
        <v>1378</v>
      </c>
    </row>
    <row r="5" spans="1:8" ht="60" customHeight="1">
      <c r="A5" s="6" t="s">
        <v>2304</v>
      </c>
      <c r="B5" s="6" t="s">
        <v>2305</v>
      </c>
      <c r="C5" s="6" t="s">
        <v>2306</v>
      </c>
      <c r="D5" s="6" t="s">
        <v>2307</v>
      </c>
      <c r="E5" s="6" t="s">
        <v>2308</v>
      </c>
      <c r="F5" s="6" t="s">
        <v>2309</v>
      </c>
      <c r="G5" s="5"/>
      <c r="H5" s="5" t="s">
        <v>21</v>
      </c>
    </row>
    <row r="6" spans="1:8" ht="60" customHeight="1">
      <c r="A6" s="6" t="s">
        <v>2310</v>
      </c>
      <c r="B6" s="6" t="s">
        <v>2311</v>
      </c>
      <c r="C6" s="6" t="s">
        <v>2312</v>
      </c>
      <c r="D6" s="6" t="s">
        <v>2313</v>
      </c>
      <c r="E6" s="6" t="s">
        <v>2314</v>
      </c>
      <c r="F6" s="6" t="s">
        <v>2315</v>
      </c>
      <c r="G6" s="5"/>
      <c r="H6" s="5" t="s">
        <v>21</v>
      </c>
    </row>
    <row r="7" spans="1:8" ht="60" customHeight="1">
      <c r="A7" s="6" t="s">
        <v>2316</v>
      </c>
      <c r="B7" s="6" t="s">
        <v>2317</v>
      </c>
      <c r="C7" s="6" t="s">
        <v>2318</v>
      </c>
      <c r="D7" s="6" t="s">
        <v>2319</v>
      </c>
      <c r="E7" s="6" t="s">
        <v>2320</v>
      </c>
      <c r="F7" s="6" t="s">
        <v>2321</v>
      </c>
      <c r="G7" s="5"/>
      <c r="H7" s="5" t="s">
        <v>21</v>
      </c>
    </row>
    <row r="8" spans="1:8" ht="60" customHeight="1">
      <c r="A8" s="6" t="s">
        <v>282</v>
      </c>
      <c r="B8" s="6" t="s">
        <v>2322</v>
      </c>
      <c r="C8" s="6" t="s">
        <v>2323</v>
      </c>
      <c r="D8" s="6" t="s">
        <v>2324</v>
      </c>
      <c r="E8" s="6" t="s">
        <v>2325</v>
      </c>
      <c r="F8" s="6" t="s">
        <v>2326</v>
      </c>
      <c r="G8" s="5"/>
      <c r="H8" s="5" t="s">
        <v>21</v>
      </c>
    </row>
    <row r="9" spans="1:8" ht="60" customHeight="1">
      <c r="A9" s="6" t="s">
        <v>2327</v>
      </c>
      <c r="B9" s="6" t="s">
        <v>2328</v>
      </c>
      <c r="C9" s="6" t="s">
        <v>2329</v>
      </c>
      <c r="D9" s="6" t="s">
        <v>2330</v>
      </c>
      <c r="E9" s="6" t="s">
        <v>2331</v>
      </c>
      <c r="F9" s="6" t="s">
        <v>2332</v>
      </c>
      <c r="G9" s="5"/>
      <c r="H9" s="5" t="s">
        <v>21</v>
      </c>
    </row>
    <row r="10" spans="1:8" ht="60" customHeight="1">
      <c r="A10" s="6" t="s">
        <v>2333</v>
      </c>
      <c r="B10" s="6" t="s">
        <v>2334</v>
      </c>
      <c r="C10" s="6" t="s">
        <v>2335</v>
      </c>
      <c r="D10" s="6" t="s">
        <v>2336</v>
      </c>
      <c r="E10" s="6" t="s">
        <v>2337</v>
      </c>
      <c r="F10" s="6" t="s">
        <v>585</v>
      </c>
      <c r="G10" s="5"/>
      <c r="H10" s="5" t="s">
        <v>21</v>
      </c>
    </row>
    <row r="11" spans="1:8" ht="60" customHeight="1">
      <c r="A11" s="6" t="s">
        <v>67</v>
      </c>
      <c r="B11" s="6" t="s">
        <v>2338</v>
      </c>
      <c r="C11" s="6" t="s">
        <v>2339</v>
      </c>
      <c r="D11" s="6" t="s">
        <v>2340</v>
      </c>
      <c r="E11" s="6" t="s">
        <v>2341</v>
      </c>
      <c r="F11" s="6" t="s">
        <v>2342</v>
      </c>
      <c r="G11" s="5"/>
      <c r="H11" s="5" t="s">
        <v>21</v>
      </c>
    </row>
    <row r="12" spans="1:8" ht="60" customHeight="1">
      <c r="A12" s="6" t="s">
        <v>466</v>
      </c>
      <c r="B12" s="6" t="s">
        <v>2343</v>
      </c>
      <c r="C12" s="6" t="s">
        <v>2344</v>
      </c>
      <c r="D12" s="6" t="s">
        <v>2345</v>
      </c>
      <c r="E12" s="6" t="s">
        <v>2346</v>
      </c>
      <c r="F12" s="6" t="s">
        <v>2347</v>
      </c>
      <c r="G12" s="5"/>
      <c r="H12" s="5" t="s">
        <v>21</v>
      </c>
    </row>
    <row r="13" spans="1:8" ht="60" customHeight="1">
      <c r="A13" s="6" t="s">
        <v>428</v>
      </c>
      <c r="B13" s="6" t="s">
        <v>2348</v>
      </c>
      <c r="C13" s="6" t="s">
        <v>2349</v>
      </c>
      <c r="D13" s="6" t="s">
        <v>2350</v>
      </c>
      <c r="E13" s="6" t="s">
        <v>2351</v>
      </c>
      <c r="F13" s="6" t="s">
        <v>2352</v>
      </c>
      <c r="G13" s="5"/>
      <c r="H13" s="5" t="s">
        <v>21</v>
      </c>
    </row>
    <row r="14" spans="1:8" ht="60" customHeight="1">
      <c r="A14" s="6" t="s">
        <v>2353</v>
      </c>
      <c r="B14" s="6" t="s">
        <v>2354</v>
      </c>
      <c r="C14" s="6" t="s">
        <v>2355</v>
      </c>
      <c r="D14" s="6" t="s">
        <v>2356</v>
      </c>
      <c r="E14" s="6" t="s">
        <v>2357</v>
      </c>
      <c r="F14" s="6" t="s">
        <v>2358</v>
      </c>
      <c r="G14" s="5"/>
      <c r="H14" s="5" t="s">
        <v>21</v>
      </c>
    </row>
    <row r="15" spans="1:8" ht="60" customHeight="1">
      <c r="A15" s="6" t="s">
        <v>1315</v>
      </c>
      <c r="B15" s="6" t="s">
        <v>2359</v>
      </c>
      <c r="C15" s="6" t="s">
        <v>2360</v>
      </c>
      <c r="D15" s="6" t="s">
        <v>2361</v>
      </c>
      <c r="E15" s="6" t="s">
        <v>2362</v>
      </c>
      <c r="F15" s="6" t="s">
        <v>2363</v>
      </c>
      <c r="G15" s="5"/>
      <c r="H15" s="5" t="s">
        <v>21</v>
      </c>
    </row>
    <row r="16" spans="1:8" ht="60" customHeight="1">
      <c r="A16" s="6" t="s">
        <v>2364</v>
      </c>
      <c r="B16" s="6" t="s">
        <v>2365</v>
      </c>
      <c r="C16" s="6" t="s">
        <v>2366</v>
      </c>
      <c r="D16" s="6" t="s">
        <v>2367</v>
      </c>
      <c r="E16" s="6" t="s">
        <v>2368</v>
      </c>
      <c r="F16" s="6" t="s">
        <v>2369</v>
      </c>
      <c r="G16" s="5"/>
      <c r="H16" s="5" t="s">
        <v>21</v>
      </c>
    </row>
    <row r="17" spans="1:8" ht="60" customHeight="1">
      <c r="A17" s="6" t="s">
        <v>985</v>
      </c>
      <c r="B17" s="6" t="s">
        <v>2370</v>
      </c>
      <c r="C17" s="6" t="s">
        <v>2371</v>
      </c>
      <c r="D17" s="6" t="s">
        <v>2372</v>
      </c>
      <c r="E17" s="6" t="s">
        <v>2373</v>
      </c>
      <c r="F17" s="6" t="s">
        <v>2374</v>
      </c>
      <c r="G17" s="5"/>
      <c r="H17" s="5" t="s">
        <v>21</v>
      </c>
    </row>
    <row r="18" spans="1:8" ht="60" customHeight="1">
      <c r="A18" s="6" t="s">
        <v>2375</v>
      </c>
      <c r="B18" s="6" t="s">
        <v>2376</v>
      </c>
      <c r="C18" s="6" t="s">
        <v>2377</v>
      </c>
      <c r="D18" s="6" t="s">
        <v>2378</v>
      </c>
      <c r="E18" s="6" t="s">
        <v>2379</v>
      </c>
      <c r="F18" s="6" t="s">
        <v>2352</v>
      </c>
      <c r="G18" s="5"/>
      <c r="H18" s="5" t="s">
        <v>21</v>
      </c>
    </row>
    <row r="19" spans="1:8" ht="60" customHeight="1">
      <c r="A19" s="6" t="s">
        <v>2380</v>
      </c>
      <c r="B19" s="6" t="s">
        <v>2381</v>
      </c>
      <c r="C19" s="6" t="s">
        <v>2382</v>
      </c>
      <c r="D19" s="6" t="s">
        <v>2383</v>
      </c>
      <c r="E19" s="6" t="s">
        <v>2384</v>
      </c>
      <c r="F19" s="6" t="s">
        <v>2385</v>
      </c>
      <c r="G19" s="5"/>
      <c r="H19" s="5" t="s">
        <v>21</v>
      </c>
    </row>
  </sheetData>
  <mergeCells count="2">
    <mergeCell ref="A1:H1"/>
    <mergeCell ref="A2:H2"/>
  </mergeCells>
  <dataValidations count="2">
    <dataValidation allowBlank="1" showInputMessage="1" showErrorMessage="1" errorTitle="Eingabe prüfen" error="Bitte die vorgegebene Auswahl bzw. das geforderte Format verwenden." promptTitle="Konkrete Entscheidung" prompt="Finding-/Risiko-ID, beschlossenen Mechanismus und wesentliche Eckpunkte dokumentieren." sqref="G5:G19"/>
    <dataValidation type="list" allowBlank="1" showInputMessage="1" showErrorMessage="1" errorTitle="Eingabe prüfen" error="Bitte die vorgegebene Auswahl bzw. das geforderte Format verwenden." promptTitle="Entscheidungsstatus" prompt="Aktuellen Abstimmungsstand auswählen." sqref="H5:H19">
      <formula1>"Zu prüfen,In Verhandlung,Beschlossen,Verworfen,Umgesetzt"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1F4E78"/>
  </sheetPr>
  <dimension ref="A1:G19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44" customHeight="1"/>
  <cols>
    <col min="1" max="1" width="12.7109375" customWidth="1"/>
    <col min="2" max="2" width="36.7109375" customWidth="1"/>
    <col min="3" max="3" width="24.7109375" customWidth="1"/>
    <col min="4" max="4" width="70.7109375" customWidth="1"/>
    <col min="5" max="5" width="32.7109375" customWidth="1"/>
    <col min="6" max="6" width="34.7109375" customWidth="1"/>
    <col min="7" max="7" width="13.7109375" customWidth="1"/>
  </cols>
  <sheetData>
    <row r="1" spans="1:7" ht="30" customHeight="1">
      <c r="A1" s="1" t="s">
        <v>2393</v>
      </c>
      <c r="B1" s="1"/>
      <c r="C1" s="1"/>
      <c r="D1" s="1"/>
      <c r="E1" s="1"/>
      <c r="F1" s="1"/>
      <c r="G1" s="1"/>
    </row>
    <row r="2" spans="1:7" ht="34" customHeight="1">
      <c r="A2" s="2" t="s">
        <v>2394</v>
      </c>
      <c r="B2" s="2"/>
      <c r="C2" s="2"/>
      <c r="D2" s="2"/>
      <c r="E2" s="2"/>
      <c r="F2" s="2"/>
      <c r="G2" s="2"/>
    </row>
    <row r="4" spans="1:7" ht="42" customHeight="1">
      <c r="A4" t="s">
        <v>2463</v>
      </c>
      <c r="B4" t="s">
        <v>2464</v>
      </c>
      <c r="C4" t="s">
        <v>2465</v>
      </c>
      <c r="D4" t="s">
        <v>2466</v>
      </c>
      <c r="E4" t="s">
        <v>2467</v>
      </c>
      <c r="F4" t="s">
        <v>2468</v>
      </c>
      <c r="G4" t="s">
        <v>2469</v>
      </c>
    </row>
    <row r="5" spans="1:7" ht="44" customHeight="1">
      <c r="A5" s="6" t="s">
        <v>175</v>
      </c>
      <c r="B5" s="6" t="s">
        <v>2395</v>
      </c>
      <c r="C5" s="6" t="s">
        <v>2396</v>
      </c>
      <c r="D5" s="20" t="s">
        <v>2397</v>
      </c>
      <c r="E5" s="6" t="s">
        <v>2398</v>
      </c>
      <c r="F5" s="6" t="s">
        <v>2399</v>
      </c>
      <c r="G5" s="31">
        <v>46301</v>
      </c>
    </row>
    <row r="6" spans="1:7" ht="44" customHeight="1">
      <c r="A6" s="6" t="s">
        <v>193</v>
      </c>
      <c r="B6" s="6" t="s">
        <v>2400</v>
      </c>
      <c r="C6" s="6" t="s">
        <v>2401</v>
      </c>
      <c r="D6" s="20" t="s">
        <v>2402</v>
      </c>
      <c r="E6" s="6" t="s">
        <v>2403</v>
      </c>
      <c r="F6" s="6" t="s">
        <v>2404</v>
      </c>
      <c r="G6" s="31">
        <v>46301</v>
      </c>
    </row>
    <row r="7" spans="1:7" ht="44" customHeight="1">
      <c r="A7" s="6" t="s">
        <v>158</v>
      </c>
      <c r="B7" s="6" t="s">
        <v>2405</v>
      </c>
      <c r="C7" s="6" t="s">
        <v>2406</v>
      </c>
      <c r="D7" s="20" t="s">
        <v>2407</v>
      </c>
      <c r="E7" s="6" t="s">
        <v>2408</v>
      </c>
      <c r="F7" s="6" t="s">
        <v>2404</v>
      </c>
      <c r="G7" s="31">
        <v>46301</v>
      </c>
    </row>
    <row r="8" spans="1:7" ht="44" customHeight="1">
      <c r="A8" s="6" t="s">
        <v>2409</v>
      </c>
      <c r="B8" s="6" t="s">
        <v>2410</v>
      </c>
      <c r="C8" s="6" t="s">
        <v>2411</v>
      </c>
      <c r="D8" s="20" t="s">
        <v>2412</v>
      </c>
      <c r="E8" s="6" t="s">
        <v>2413</v>
      </c>
      <c r="F8" s="6" t="s">
        <v>2404</v>
      </c>
      <c r="G8" s="31">
        <v>46301</v>
      </c>
    </row>
    <row r="9" spans="1:7" ht="44" customHeight="1">
      <c r="A9" s="6" t="s">
        <v>184</v>
      </c>
      <c r="B9" s="6" t="s">
        <v>2414</v>
      </c>
      <c r="C9" s="6" t="s">
        <v>2415</v>
      </c>
      <c r="D9" s="20" t="s">
        <v>2416</v>
      </c>
      <c r="E9" s="6" t="s">
        <v>2417</v>
      </c>
      <c r="F9" s="6" t="s">
        <v>2404</v>
      </c>
      <c r="G9" s="31">
        <v>46301</v>
      </c>
    </row>
    <row r="10" spans="1:7" ht="44" customHeight="1">
      <c r="A10" s="6" t="s">
        <v>909</v>
      </c>
      <c r="B10" s="6" t="s">
        <v>2418</v>
      </c>
      <c r="C10" s="6" t="s">
        <v>2419</v>
      </c>
      <c r="D10" s="20" t="s">
        <v>2420</v>
      </c>
      <c r="E10" s="6" t="s">
        <v>2421</v>
      </c>
      <c r="F10" s="6" t="s">
        <v>2422</v>
      </c>
      <c r="G10" s="31">
        <v>46301</v>
      </c>
    </row>
    <row r="11" spans="1:7" ht="44" customHeight="1">
      <c r="A11" s="6" t="s">
        <v>838</v>
      </c>
      <c r="B11" s="6" t="s">
        <v>2423</v>
      </c>
      <c r="C11" s="6" t="s">
        <v>2424</v>
      </c>
      <c r="D11" s="20" t="s">
        <v>2425</v>
      </c>
      <c r="E11" s="6" t="s">
        <v>2426</v>
      </c>
      <c r="F11" s="6" t="s">
        <v>2427</v>
      </c>
      <c r="G11" s="31">
        <v>46301</v>
      </c>
    </row>
    <row r="12" spans="1:7" ht="44" customHeight="1">
      <c r="A12" s="6" t="s">
        <v>814</v>
      </c>
      <c r="B12" s="6" t="s">
        <v>2428</v>
      </c>
      <c r="C12" s="6" t="s">
        <v>2429</v>
      </c>
      <c r="D12" s="20" t="s">
        <v>2430</v>
      </c>
      <c r="E12" s="6" t="s">
        <v>2431</v>
      </c>
      <c r="F12" s="6" t="s">
        <v>2432</v>
      </c>
      <c r="G12" s="31">
        <v>46301</v>
      </c>
    </row>
    <row r="13" spans="1:7" ht="44" customHeight="1">
      <c r="A13" s="6" t="s">
        <v>1254</v>
      </c>
      <c r="B13" s="6" t="s">
        <v>2433</v>
      </c>
      <c r="C13" s="6" t="s">
        <v>2434</v>
      </c>
      <c r="D13" s="20" t="s">
        <v>2435</v>
      </c>
      <c r="E13" s="6" t="s">
        <v>1247</v>
      </c>
      <c r="F13" s="6" t="s">
        <v>2436</v>
      </c>
      <c r="G13" s="31">
        <v>46301</v>
      </c>
    </row>
    <row r="14" spans="1:7" ht="44" customHeight="1">
      <c r="A14" s="6" t="s">
        <v>545</v>
      </c>
      <c r="B14" s="6" t="s">
        <v>2437</v>
      </c>
      <c r="C14" s="6" t="s">
        <v>2438</v>
      </c>
      <c r="D14" s="20" t="s">
        <v>2439</v>
      </c>
      <c r="E14" s="6" t="s">
        <v>539</v>
      </c>
      <c r="F14" s="6" t="s">
        <v>2440</v>
      </c>
      <c r="G14" s="31">
        <v>46301</v>
      </c>
    </row>
    <row r="15" spans="1:7" ht="44" customHeight="1">
      <c r="A15" s="6" t="s">
        <v>2441</v>
      </c>
      <c r="B15" s="6" t="s">
        <v>2442</v>
      </c>
      <c r="C15" s="6" t="s">
        <v>2443</v>
      </c>
      <c r="D15" s="20" t="s">
        <v>2444</v>
      </c>
      <c r="E15" s="6" t="s">
        <v>2445</v>
      </c>
      <c r="F15" s="6" t="s">
        <v>2446</v>
      </c>
      <c r="G15" s="31">
        <v>46301</v>
      </c>
    </row>
    <row r="16" spans="1:7" ht="44" customHeight="1">
      <c r="A16" s="6" t="s">
        <v>1278</v>
      </c>
      <c r="B16" s="6" t="s">
        <v>2447</v>
      </c>
      <c r="C16" s="6" t="s">
        <v>2434</v>
      </c>
      <c r="D16" s="20" t="s">
        <v>2448</v>
      </c>
      <c r="E16" s="6" t="s">
        <v>1272</v>
      </c>
      <c r="F16" s="6" t="s">
        <v>2436</v>
      </c>
      <c r="G16" s="31">
        <v>46301</v>
      </c>
    </row>
    <row r="17" spans="1:7" ht="44" customHeight="1">
      <c r="A17" s="6" t="s">
        <v>798</v>
      </c>
      <c r="B17" s="6" t="s">
        <v>2449</v>
      </c>
      <c r="C17" s="6" t="s">
        <v>2438</v>
      </c>
      <c r="D17" s="20" t="s">
        <v>2450</v>
      </c>
      <c r="E17" s="6" t="s">
        <v>2451</v>
      </c>
      <c r="F17" s="6" t="s">
        <v>2440</v>
      </c>
      <c r="G17" s="31">
        <v>46301</v>
      </c>
    </row>
    <row r="18" spans="1:7" ht="44" customHeight="1">
      <c r="A18" s="6" t="s">
        <v>1123</v>
      </c>
      <c r="B18" s="6" t="s">
        <v>2452</v>
      </c>
      <c r="C18" s="6" t="s">
        <v>2453</v>
      </c>
      <c r="D18" s="20" t="s">
        <v>2454</v>
      </c>
      <c r="E18" s="6" t="s">
        <v>2455</v>
      </c>
      <c r="F18" s="6" t="s">
        <v>2456</v>
      </c>
      <c r="G18" s="31">
        <v>46301</v>
      </c>
    </row>
    <row r="19" spans="1:7" ht="44" customHeight="1">
      <c r="A19" s="6" t="s">
        <v>2457</v>
      </c>
      <c r="B19" s="6" t="s">
        <v>2458</v>
      </c>
      <c r="C19" s="6" t="s">
        <v>2459</v>
      </c>
      <c r="D19" s="20" t="s">
        <v>2460</v>
      </c>
      <c r="E19" s="6" t="s">
        <v>2461</v>
      </c>
      <c r="F19" s="6" t="s">
        <v>2462</v>
      </c>
      <c r="G19" s="31">
        <v>46301</v>
      </c>
    </row>
  </sheetData>
  <mergeCells count="2">
    <mergeCell ref="A1:G1"/>
    <mergeCell ref="A2:G2"/>
  </mergeCells>
  <hyperlinks>
    <hyperlink ref="D5" r:id="rId1"/>
    <hyperlink ref="D6" r:id="rId2"/>
    <hyperlink ref="D7" r:id="rId3"/>
    <hyperlink ref="D8" r:id="rId4"/>
    <hyperlink ref="D9" r:id="rId5"/>
    <hyperlink ref="D10" r:id="rId6"/>
    <hyperlink ref="D11" r:id="rId7"/>
    <hyperlink ref="D12" r:id="rId8"/>
    <hyperlink ref="D13" r:id="rId9"/>
    <hyperlink ref="D14" r:id="rId10"/>
    <hyperlink ref="D15" r:id="rId11"/>
    <hyperlink ref="D16" r:id="rId12"/>
    <hyperlink ref="D17" r:id="rId13"/>
    <hyperlink ref="D18" r:id="rId14"/>
    <hyperlink ref="D19" r:id="rId15"/>
  </hyperlinks>
  <pageMargins left="0.7" right="0.7" top="0.75" bottom="0.75" header="0.3" footer="0.3"/>
  <legacyDrawing r:id="rId16"/>
  <tableParts count="1">
    <tablePart r:id="rId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18</vt:i4>
      </vt:variant>
    </vt:vector>
  </HeadingPairs>
  <TitlesOfParts>
    <vt:vector size="36" baseType="lpstr">
      <vt:lpstr>_Listen</vt:lpstr>
      <vt:lpstr>00_Start</vt:lpstr>
      <vt:lpstr>00_Ausfüllhilfe</vt:lpstr>
      <vt:lpstr>01_Dashboard</vt:lpstr>
      <vt:lpstr>02_Checkliste</vt:lpstr>
      <vt:lpstr>03_Dokumente</vt:lpstr>
      <vt:lpstr>04_Risiken</vt:lpstr>
      <vt:lpstr>05_Maßnahmen</vt:lpstr>
      <vt:lpstr>06_Q&amp;A</vt:lpstr>
      <vt:lpstr>07_Finanzanalyse</vt:lpstr>
      <vt:lpstr>08_QoE</vt:lpstr>
      <vt:lpstr>09_NWC_NetDebt</vt:lpstr>
      <vt:lpstr>10_Verträge</vt:lpstr>
      <vt:lpstr>11_IT_Cyber</vt:lpstr>
      <vt:lpstr>12_HR</vt:lpstr>
      <vt:lpstr>13_Steuern</vt:lpstr>
      <vt:lpstr>14_Deal_Mechanismen</vt:lpstr>
      <vt:lpstr>15_Quellen</vt:lpstr>
      <vt:lpstr>Berichtswahrung</vt:lpstr>
      <vt:lpstr>DD_Stichtag</vt:lpstr>
      <vt:lpstr>DealImpact</vt:lpstr>
      <vt:lpstr>DokStatus</vt:lpstr>
      <vt:lpstr>JaNeinPruefen</vt:lpstr>
      <vt:lpstr>MassStatus</vt:lpstr>
      <vt:lpstr>Phase</vt:lpstr>
      <vt:lpstr>Prioritaet</vt:lpstr>
      <vt:lpstr>Pruefstatus</vt:lpstr>
      <vt:lpstr>QAStatus</vt:lpstr>
      <vt:lpstr>Reifegrad</vt:lpstr>
      <vt:lpstr>RisikoStatus</vt:lpstr>
      <vt:lpstr>Transaktionstyp</vt:lpstr>
      <vt:lpstr>Transaktionstyp_Auswahl</vt:lpstr>
      <vt:lpstr>Vertragstyp</vt:lpstr>
      <vt:lpstr>Vertraulichkeit</vt:lpstr>
      <vt:lpstr>Vollstaendigkeit</vt:lpstr>
      <vt:lpstr>Zielunternehmen</vt:lpstr>
    </vt:vector>
  </TitlesOfParts>
  <Company>Vertraulich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Due-Diligence-Arbeitsmappe</dc:title>
  <dc:subject>Risikoorientierte Unternehmensprüfung vor Transaktionen</dc:subject>
  <dc:creator>Erstellt als anpassbare Due-Diligence-Vorlage</dc:creator>
  <dc:description>Die Inhalte sind eine Arbeitsvorlage und ersetzen keine Rechts-, Steuer- oder Prüfungsberatung.</dc:description>
  <cp:lastModifiedBy>Erstellt als anpassbare Due-Diligence-Vorlage</cp:lastModifiedBy>
  <dcterms:created xsi:type="dcterms:W3CDTF">2026-10-06T21:41:26Z</dcterms:created>
  <dcterms:modified xsi:type="dcterms:W3CDTF">2026-10-06T21:41:26Z</dcterms:modified>
</cp:coreProperties>
</file>