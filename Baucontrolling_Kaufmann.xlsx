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tables/table7.xml" ContentType="application/vnd.openxmlformats-officedocument.spreadsheetml.table+xml"/>
  <Override PartName="/xl/worksheets/sheet16.xml" ContentType="application/vnd.openxmlformats-officedocument.spreadsheetml.worksheet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tables/table9.xml" ContentType="application/vnd.openxmlformats-officedocument.spreadsheetml.table+xml"/>
  <Override PartName="/xl/worksheets/sheet18.xml" ContentType="application/vnd.openxmlformats-officedocument.spreadsheetml.worksheet+xml"/>
  <Override PartName="/xl/tables/table10.xml" ContentType="application/vnd.openxmlformats-officedocument.spreadsheetml.table+xml"/>
  <Override PartName="/xl/worksheets/sheet19.xml" ContentType="application/vnd.openxmlformats-officedocument.spreadsheetml.worksheet+xml"/>
  <Override PartName="/xl/tables/table11.xml" ContentType="application/vnd.openxmlformats-officedocument.spreadsheetml.table+xml"/>
  <Override PartName="/xl/worksheets/sheet20.xml" ContentType="application/vnd.openxmlformats-officedocument.spreadsheetml.worksheet+xml"/>
  <Override PartName="/xl/tables/table12.xml" ContentType="application/vnd.openxmlformats-officedocument.spreadsheetml.table+xml"/>
  <Override PartName="/xl/worksheets/sheet21.xml" ContentType="application/vnd.openxmlformats-officedocument.spreadsheetml.worksheet+xml"/>
  <Override PartName="/xl/tables/table13.xml" ContentType="application/vnd.openxmlformats-officedocument.spreadsheetml.table+xml"/>
  <Override PartName="/xl/worksheets/sheet22.xml" ContentType="application/vnd.openxmlformats-officedocument.spreadsheetml.worksheet+xml"/>
  <Override PartName="/xl/tables/table14.xml" ContentType="application/vnd.openxmlformats-officedocument.spreadsheetml.table+xml"/>
  <Override PartName="/xl/worksheets/sheet23.xml" ContentType="application/vnd.openxmlformats-officedocument.spreadsheetml.worksheet+xml"/>
  <Override PartName="/xl/tables/table15.xml" ContentType="application/vnd.openxmlformats-officedocument.spreadsheetml.table+xml"/>
  <Override PartName="/xl/worksheets/sheet24.xml" ContentType="application/vnd.openxmlformats-officedocument.spreadsheetml.worksheet+xml"/>
  <Override PartName="/xl/tables/table16.xml" ContentType="application/vnd.openxmlformats-officedocument.spreadsheetml.table+xml"/>
  <Override PartName="/xl/worksheets/sheet25.xml" ContentType="application/vnd.openxmlformats-officedocument.spreadsheetml.worksheet+xml"/>
  <Override PartName="/xl/tables/table17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_Dashboard" sheetId="1" state="visible" r:id="rId1"/>
    <sheet name="00_Navi" sheetId="2" state="visible" r:id="rId2"/>
    <sheet name="01_Stammdaten" sheetId="3" state="visible" r:id="rId3"/>
    <sheet name="05_Projekte" sheetId="4" state="visible" r:id="rId4"/>
    <sheet name="23_SollIst" sheetId="5" state="visible" r:id="rId5"/>
    <sheet name="20_Liquiditaet" sheetId="6" state="visible" r:id="rId6"/>
    <sheet name="19_Cashflow" sheetId="7" state="visible" r:id="rId7"/>
    <sheet name="21_Forecast" sheetId="8" state="visible" r:id="rId8"/>
    <sheet name="22_BWA" sheetId="9" state="visible" r:id="rId9"/>
    <sheet name="16_OPOS" sheetId="10" state="visible" r:id="rId10"/>
    <sheet name="13_Ausgangsrechnungen" sheetId="11" state="visible" r:id="rId11"/>
    <sheet name="14_Eingangsrechnungen" sheetId="12" state="visible" r:id="rId12"/>
    <sheet name="15_Zahlungen" sheetId="13" state="visible" r:id="rId13"/>
    <sheet name="17_Mahnwesen" sheetId="14" state="visible" r:id="rId14"/>
    <sheet name="18_Gewaehrleistung" sheetId="15" state="visible" r:id="rId15"/>
    <sheet name="08_Angebote" sheetId="16" state="visible" r:id="rId16"/>
    <sheet name="09_Auftraege" sheetId="17" state="visible" r:id="rId17"/>
    <sheet name="07_Nachtraege" sheetId="18" state="visible" r:id="rId18"/>
    <sheet name="06_LV" sheetId="19" state="visible" r:id="rId19"/>
    <sheet name="10_Stunden" sheetId="20" state="visible" r:id="rId20"/>
    <sheet name="11_Material" sheetId="21" state="visible" r:id="rId21"/>
    <sheet name="12_Geraete" sheetId="22" state="visible" r:id="rId22"/>
    <sheet name="02_Kunden" sheetId="23" state="visible" r:id="rId23"/>
    <sheet name="03_Lieferanten" sheetId="24" state="visible" r:id="rId24"/>
    <sheet name="04_Personal" sheetId="25" state="visible" r:id="rId25"/>
    <sheet name="25_Form_Angebot" sheetId="26" state="visible" r:id="rId26"/>
    <sheet name="26_Form_Rechnung" sheetId="27" state="visible" r:id="rId27"/>
    <sheet name="27_Form_Abnahme" sheetId="28" state="visible" r:id="rId28"/>
    <sheet name="28_Form_Bautage" sheetId="29" state="visible" r:id="rId29"/>
    <sheet name="29_Form_Mahnung" sheetId="30" state="visible" r:id="rId30"/>
    <sheet name="30_Import" sheetId="31" state="visible" r:id="rId31"/>
    <sheet name="31_Anleitung" sheetId="32" state="visible" r:id="rId32"/>
  </sheets>
  <definedNames>
    <definedName name="FirmaName">'01_Stammdaten'!$B$5</definedName>
    <definedName name="FirmaStrasse">'01_Stammdaten'!$B$6</definedName>
    <definedName name="FirmaPLZ">'01_Stammdaten'!$B$7</definedName>
    <definedName name="FirmaOrt">'01_Stammdaten'!$B$8</definedName>
    <definedName name="FirmaTel">'01_Stammdaten'!$B$9</definedName>
    <definedName name="FirmaMail">'01_Stammdaten'!$B$10</definedName>
    <definedName name="FirmaUStId">'01_Stammdaten'!$B$11</definedName>
    <definedName name="FirmaStNr">'01_Stammdaten'!$B$12</definedName>
    <definedName name="FirmaHRB">'01_Stammdaten'!$B$13</definedName>
    <definedName name="FirmaGF">'01_Stammdaten'!$B$14</definedName>
    <definedName name="FirmaIBAN">'01_Stammdaten'!$B$15</definedName>
    <definedName name="FirmaBIC">'01_Stammdaten'!$B$16</definedName>
    <definedName name="FirmaBank">'01_Stammdaten'!$B$17</definedName>
    <definedName name="GJ">'01_Stammdaten'!$F$5</definedName>
    <definedName name="UStSatz">'01_Stammdaten'!$F$6</definedName>
    <definedName name="SkontoPct">'01_Stammdaten'!$F$7</definedName>
    <definedName name="SkontoTage">'01_Stammdaten'!$F$8</definedName>
    <definedName name="Zahlungsziel">'01_Stammdaten'!$F$9</definedName>
    <definedName name="EinbehaltPct">'01_Stammdaten'!$F$10</definedName>
    <definedName name="GewaehrJahre">'01_Stammdaten'!$F$11</definedName>
    <definedName name="MindestLiq">'01_Stammdaten'!$F$12</definedName>
    <definedName name="AnfangsBank">'01_Stammdaten'!$F$13</definedName>
    <definedName name="Kreditlinie">'01_Stammdaten'!$F$14</definedName>
    <definedName name="SollStunden">'01_Stammdaten'!$F$15</definedName>
    <definedName name="VSSatz">'01_Stammdaten'!$F$16</definedName>
    <definedName name="AGKPct">'01_Stammdaten'!$F$17</definedName>
    <definedName name="WuGPct">'01_Stammdaten'!$F$18</definedName>
    <definedName name="BuHaName">'01_Stammdaten'!$F$19</definedName>
    <definedName name="lstProjektStatus">'01_Stammdaten'!$A$22:$A$28</definedName>
    <definedName name="lstBelegStatus">'01_Stammdaten'!$B$22:$B$27</definedName>
    <definedName name="lstAngebotStatus">'01_Stammdaten'!$C$22:$C$26</definedName>
    <definedName name="lstProjektArt">'01_Stammdaten'!$D$22:$D$27</definedName>
    <definedName name="lstVertrag">'01_Stammdaten'!$E$22:$E$26</definedName>
    <definedName name="lstARTyp">'01_Stammdaten'!$F$22:$F$26</definedName>
    <definedName name="lstERTyp">'01_Stammdaten'!$G$22:$G$26</definedName>
    <definedName name="lstZahlungArt">'01_Stammdaten'!$H$22:$H$23</definedName>
    <definedName name="KostenartenGruppe">'01_Stammdaten'!$C$34:$C$43</definedName>
    <definedName name="KundenNr">'02_Kunden'!$A$4:$A$400</definedName>
    <definedName name="KundenName">'02_Kunden'!$B$4:$B$400</definedName>
    <definedName name="LiefNr">'03_Lieferanten'!$A$4:$A$400</definedName>
    <definedName name="LiefName">'03_Lieferanten'!$B$4:$B$400</definedName>
    <definedName name="PersNr">'04_Personal'!$A$4:$A$400</definedName>
    <definedName name="PersName">'04_Personal'!$B$4:$B$400</definedName>
    <definedName name="ProjektNr">'05_Projekte'!$A$4:$A$400</definedName>
    <definedName name="ProjektName">'05_Projekte'!$B$4:$B$400</definedName>
    <definedName name="AngebotNr">'08_Angebote'!$A$4:$A$400</definedName>
    <definedName name="StundenKosten">'10_Stunden'!$K$4:$K$400</definedName>
    <definedName name="ARNr">'13_Ausgangsrechnungen'!$A$4:$A$400</definedName>
    <definedName name="ERNr">'14_Eingangsrechnungen'!$A$4:$A$400</definedName>
    <definedName name="MahnungNr">'17_Mahnwesen'!$A$4:$A$400</definedName>
    <definedName name="_xlnm.Print_Area" localSheetId="25">'25_Form_Angebot'!$A$1:$F$52</definedName>
    <definedName name="_xlnm.Print_Area" localSheetId="26">'26_Form_Rechnung'!$A$1:$F$52</definedName>
    <definedName name="_xlnm.Print_Area" localSheetId="27">'27_Form_Abnahme'!$A$1:$F$52</definedName>
    <definedName name="_xlnm.Print_Area" localSheetId="28">'28_Form_Bautage'!$A$1:$F$52</definedName>
    <definedName name="_xlnm.Print_Area" localSheetId="29">'29_Form_Mahnung'!$A$1:$F$52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0 &quot;€&quot;"/>
    <numFmt numFmtId="166" formatCode="yyyy-mm-dd"/>
    <numFmt numFmtId="167" formatCode="DD.MM.YYYY"/>
    <numFmt numFmtId="168" formatCode="#,##0.00 &quot;h&quot;"/>
    <numFmt numFmtId="169" formatCode="DD.MM."/>
    <numFmt numFmtId="170" formatCode="#,##0 &quot;€&quot;"/>
  </numFmts>
  <fonts count="16">
    <font>
      <name val="Calibri"/>
      <family val="2"/>
      <color theme="1"/>
      <sz val="11"/>
      <scheme val="minor"/>
    </font>
    <font>
      <name val="Calibri"/>
      <color rgb="001A1A1A"/>
      <sz val="10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b val="1"/>
      <color rgb="001B365D"/>
      <sz val="14"/>
    </font>
    <font>
      <name val="Calibri"/>
      <b val="1"/>
      <color rgb="00FFFFFF"/>
      <sz val="10"/>
    </font>
    <font>
      <name val="Calibri"/>
      <color rgb="001B365D"/>
      <sz val="10"/>
      <u val="single"/>
    </font>
    <font>
      <name val="Calibri"/>
      <color rgb="00FFFFFF"/>
      <sz val="10"/>
      <u val="single"/>
    </font>
    <font>
      <name val="Calibri"/>
      <b val="1"/>
      <color rgb="00FFFFFF"/>
      <sz val="9"/>
    </font>
    <font>
      <name val="Calibri"/>
      <color rgb="002C5282"/>
      <sz val="10"/>
    </font>
    <font>
      <name val="Calibri"/>
      <b val="1"/>
      <color rgb="002C5282"/>
      <sz val="11"/>
    </font>
    <font>
      <name val="Calibri"/>
      <b val="1"/>
      <color rgb="00FFFFFF"/>
      <sz val="8"/>
    </font>
    <font>
      <name val="Calibri"/>
      <b val="1"/>
      <color rgb="001B365D"/>
      <sz val="18"/>
    </font>
    <font>
      <name val="Calibri"/>
      <b val="1"/>
      <color rgb="00FFFFFF"/>
      <sz val="16"/>
    </font>
    <font>
      <name val="Calibri"/>
      <color rgb="005C5C5C"/>
      <sz val="8"/>
    </font>
    <font>
      <name val="Calibri"/>
      <color rgb="00FFFFFF"/>
      <sz val="8"/>
    </font>
  </fonts>
  <fills count="9">
    <fill>
      <patternFill/>
    </fill>
    <fill>
      <patternFill patternType="gray125"/>
    </fill>
    <fill>
      <patternFill patternType="solid">
        <fgColor rgb="00F7F4EE"/>
      </patternFill>
    </fill>
    <fill>
      <patternFill patternType="solid">
        <fgColor rgb="001B365D"/>
      </patternFill>
    </fill>
    <fill>
      <patternFill patternType="solid">
        <fgColor rgb="002C5282"/>
      </patternFill>
    </fill>
    <fill>
      <patternFill patternType="solid">
        <fgColor rgb="00FFFFFF"/>
      </patternFill>
    </fill>
    <fill>
      <patternFill patternType="solid">
        <fgColor rgb="00EFEBE3"/>
      </patternFill>
    </fill>
    <fill>
      <patternFill patternType="solid">
        <fgColor rgb="00E4EAF2"/>
      </patternFill>
    </fill>
    <fill>
      <patternFill patternType="solid">
        <fgColor rgb="00F6EED8"/>
      </patternFill>
    </fill>
  </fills>
  <borders count="7">
    <border>
      <left/>
      <right/>
      <top/>
      <bottom/>
      <diagonal/>
    </border>
    <border>
      <left style="thin">
        <color rgb="00D4CFC4"/>
      </left>
      <right style="thin">
        <color rgb="00D4CFC4"/>
      </right>
      <top style="thin">
        <color rgb="00D4CFC4"/>
      </top>
      <bottom style="thin">
        <color rgb="00D4CFC4"/>
      </bottom>
    </border>
    <border>
      <left/>
      <right/>
      <top style="thin">
        <color rgb="00D4CFC4"/>
      </top>
      <bottom/>
      <diagonal/>
    </border>
    <border>
      <left/>
      <right style="thin">
        <color rgb="00D4CFC4"/>
      </right>
      <top style="thin">
        <color rgb="00D4CFC4"/>
      </top>
      <bottom/>
      <diagonal/>
    </border>
    <border>
      <left/>
      <right style="thin">
        <color rgb="00D4CFC4"/>
      </right>
      <top style="thin">
        <color rgb="00D4CFC4"/>
      </top>
      <bottom style="thin">
        <color rgb="00D4CFC4"/>
      </bottom>
      <diagonal/>
    </border>
    <border>
      <left style="thin">
        <color rgb="001B365D"/>
      </left>
      <right style="thin">
        <color rgb="001B365D"/>
      </right>
      <top style="thin">
        <color rgb="001B365D"/>
      </top>
      <bottom style="thin">
        <color rgb="001B365D"/>
      </bottom>
    </border>
    <border>
      <left/>
      <right/>
      <top style="thin">
        <color rgb="00D4CFC4"/>
      </top>
      <bottom style="thin">
        <color rgb="00D4CFC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" fillId="2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11" fillId="4" borderId="0" applyAlignment="1" pivotButton="0" quotePrefix="0" xfId="0">
      <alignment horizontal="center" vertical="center" wrapText="1"/>
    </xf>
    <xf numFmtId="170" fontId="12" fillId="5" borderId="5" applyAlignment="1" pivotButton="0" quotePrefix="0" xfId="0">
      <alignment horizontal="center" vertical="center"/>
    </xf>
    <xf numFmtId="0" fontId="0" fillId="0" borderId="5" pivotButton="0" quotePrefix="0" xfId="0"/>
    <xf numFmtId="164" fontId="12" fillId="5" borderId="5" applyAlignment="1" pivotButton="0" quotePrefix="0" xfId="0">
      <alignment horizontal="center" vertical="center"/>
    </xf>
    <xf numFmtId="0" fontId="0" fillId="5" borderId="5" pivotButton="0" quotePrefix="0" xfId="0"/>
    <xf numFmtId="1" fontId="12" fillId="5" borderId="5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165" fontId="9" fillId="7" borderId="1" applyAlignment="1" pivotButton="0" quotePrefix="0" xfId="0">
      <alignment horizontal="right" vertical="center"/>
    </xf>
    <xf numFmtId="0" fontId="10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9" fillId="7" borderId="1" applyAlignment="1" pivotButton="0" quotePrefix="0" xfId="0">
      <alignment horizontal="right" vertical="center"/>
    </xf>
    <xf numFmtId="0" fontId="4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5" fillId="3" borderId="1" pivotButton="0" quotePrefix="0" xfId="0"/>
    <xf numFmtId="0" fontId="5" fillId="4" borderId="0" pivotButton="0" quotePrefix="0" xfId="0"/>
    <xf numFmtId="0" fontId="6" fillId="5" borderId="1" pivotButton="0" quotePrefix="0" xfId="0"/>
    <xf numFmtId="0" fontId="1" fillId="5" borderId="1" pivotButton="0" quotePrefix="0" xfId="0"/>
    <xf numFmtId="0" fontId="7" fillId="4" borderId="1" pivotButton="0" quotePrefix="0" xfId="0"/>
    <xf numFmtId="0" fontId="6" fillId="6" borderId="1" pivotButton="0" quotePrefix="0" xfId="0"/>
    <xf numFmtId="0" fontId="1" fillId="6" borderId="1" pivotButton="0" quotePrefix="0" xfId="0"/>
    <xf numFmtId="0" fontId="1" fillId="5" borderId="1" applyAlignment="1" pivotButton="0" quotePrefix="0" xfId="0">
      <alignment horizontal="left" vertical="center" wrapText="1"/>
    </xf>
    <xf numFmtId="1" fontId="1" fillId="5" borderId="1" applyAlignment="1" pivotButton="0" quotePrefix="0" xfId="0">
      <alignment horizontal="center" vertical="center" wrapText="1"/>
    </xf>
    <xf numFmtId="164" fontId="1" fillId="5" borderId="1" applyAlignment="1" pivotButton="0" quotePrefix="0" xfId="0">
      <alignment horizontal="right" vertical="center"/>
    </xf>
    <xf numFmtId="0" fontId="1" fillId="0" borderId="0" pivotButton="0" quotePrefix="0" xfId="0"/>
    <xf numFmtId="165" fontId="1" fillId="5" borderId="1" applyAlignment="1" pivotButton="0" quotePrefix="0" xfId="0">
      <alignment horizontal="right" vertical="center"/>
    </xf>
    <xf numFmtId="4" fontId="1" fillId="5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3" borderId="0" pivotButton="0" quotePrefix="0" xfId="0"/>
    <xf numFmtId="167" fontId="1" fillId="5" borderId="1" applyAlignment="1" pivotButton="0" quotePrefix="0" xfId="0">
      <alignment horizontal="center" vertical="center" wrapText="1"/>
    </xf>
    <xf numFmtId="169" fontId="8" fillId="3" borderId="0" applyAlignment="1" pivotButton="0" quotePrefix="0" xfId="0">
      <alignment horizontal="center" vertical="center" wrapText="1"/>
    </xf>
    <xf numFmtId="0" fontId="10" fillId="0" borderId="0" pivotButton="0" quotePrefix="0" xfId="0"/>
    <xf numFmtId="165" fontId="9" fillId="8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center" vertical="center" wrapText="1"/>
    </xf>
    <xf numFmtId="0" fontId="8" fillId="3" borderId="0" pivotButton="0" quotePrefix="0" xfId="0"/>
    <xf numFmtId="167" fontId="9" fillId="7" borderId="1" applyAlignment="1" pivotButton="0" quotePrefix="0" xfId="0">
      <alignment horizontal="center" vertical="center" wrapText="1"/>
    </xf>
    <xf numFmtId="4" fontId="9" fillId="7" borderId="1" applyAlignment="1" pivotButton="0" quotePrefix="0" xfId="0">
      <alignment horizontal="right" vertical="center"/>
    </xf>
    <xf numFmtId="168" fontId="1" fillId="5" borderId="1" applyAlignment="1" pivotButton="0" quotePrefix="0" xfId="0">
      <alignment horizontal="right" vertical="center"/>
    </xf>
    <xf numFmtId="0" fontId="13" fillId="3" borderId="0" applyAlignment="1" pivotButton="0" quotePrefix="0" xfId="0">
      <alignment horizontal="left" vertical="center" indent="1"/>
    </xf>
    <xf numFmtId="0" fontId="15" fillId="4" borderId="0" pivotButton="0" quotePrefix="0" xfId="0"/>
    <xf numFmtId="0" fontId="14" fillId="2" borderId="0" pivotButton="0" quotePrefix="0" xfId="0"/>
    <xf numFmtId="0" fontId="0" fillId="0" borderId="6" pivotButton="0" quotePrefix="0" xfId="0"/>
    <xf numFmtId="0" fontId="1" fillId="5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5" fontId="9" fillId="6" borderId="1" applyAlignment="1" pivotButton="0" quotePrefix="0" xfId="0">
      <alignment horizontal="right" vertical="center"/>
    </xf>
    <xf numFmtId="165" fontId="9" fillId="7" borderId="5" applyAlignment="1" pivotButton="0" quotePrefix="0" xfId="0">
      <alignment horizontal="right" vertical="center"/>
    </xf>
    <xf numFmtId="0" fontId="1" fillId="2" borderId="0" applyAlignment="1" pivotButton="0" quotePrefix="0" xfId="0">
      <alignment wrapText="1"/>
    </xf>
    <xf numFmtId="168" fontId="9" fillId="7" borderId="1" applyAlignment="1" pivotButton="0" quotePrefix="0" xfId="0">
      <alignment horizontal="right" vertical="center"/>
    </xf>
    <xf numFmtId="0" fontId="1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E4F0E8"/>
        </patternFill>
      </fill>
    </dxf>
    <dxf>
      <fill>
        <patternFill patternType="solid">
          <fgColor rgb="00F6E4E4"/>
        </patternFill>
      </fill>
    </dxf>
    <dxf>
      <fill>
        <patternFill patternType="solid">
          <fgColor rgb="00F6EE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Forecast Umsatz und EBIT je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'24_Dashboard'!A21</f>
            </strRef>
          </tx>
          <spPr>
            <a:ln>
              <a:prstDash val="solid"/>
            </a:ln>
          </spPr>
          <cat>
            <numRef>
              <f>'24_Dashboard'!$B$20:$M$20</f>
            </numRef>
          </cat>
          <val>
            <numRef>
              <f>'24_Dashboard'!$B$21:$M$21</f>
            </numRef>
          </val>
        </ser>
        <ser>
          <idx val="1"/>
          <order val="1"/>
          <tx>
            <strRef>
              <f>'24_Dashboard'!A22</f>
            </strRef>
          </tx>
          <spPr>
            <a:ln>
              <a:prstDash val="solid"/>
            </a:ln>
          </spPr>
          <cat>
            <numRef>
              <f>'24_Dashboard'!$B$20:$M$20</f>
            </numRef>
          </cat>
          <val>
            <numRef>
              <f>'24_Dashboard'!$B$22:$M$22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 2026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Deckungsbeitrag Ist je Projekt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'23_SollIst'!I3</f>
            </strRef>
          </tx>
          <spPr>
            <a:ln>
              <a:prstDash val="solid"/>
            </a:ln>
          </spPr>
          <cat>
            <numRef>
              <f>'23_SollIst'!$B$4:$B$9</f>
            </numRef>
          </cat>
          <val>
            <numRef>
              <f>'23_SollIst'!$I$4:$I$9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Projekt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13-Wochen-Endbestand vs. Mindestliquidität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'20_Liquiditaet'!$B$5:$N$5</f>
            </numRef>
          </cat>
          <val>
            <numRef>
              <f>'20_Liquiditaet'!$B$14:$N$14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Woche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Umsatz Plan vs. Forecast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'21_Forecast'!A4</f>
            </strRef>
          </tx>
          <spPr>
            <a:ln>
              <a:prstDash val="solid"/>
            </a:ln>
          </spPr>
          <cat>
            <numRef>
              <f>'21_Forecast'!$B$3:$M$3</f>
            </numRef>
          </cat>
          <val>
            <numRef>
              <f>'21_Forecast'!$B$4:$M$4</f>
            </numRef>
          </val>
        </ser>
        <ser>
          <idx val="1"/>
          <order val="1"/>
          <tx>
            <strRef>
              <f>'21_Forecast'!A20</f>
            </strRef>
          </tx>
          <spPr>
            <a:ln>
              <a:prstDash val="solid"/>
            </a:ln>
          </spPr>
          <cat>
            <numRef>
              <f>'21_Forecast'!$B$3:$M$3</f>
            </numRef>
          </cat>
          <val>
            <numRef>
              <f>'21_Forecast'!$B$20:$M$20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 netto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55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Kostenarten" displayName="tblKostenarten" ref="A33:D43" headerRowCount="1">
  <autoFilter ref="A33:D43"/>
  <tableColumns count="4">
    <tableColumn id="1" name="Nr"/>
    <tableColumn id="2" name="Bezeichnung"/>
    <tableColumn id="3" name="Gruppe"/>
    <tableColumn id="4" name="SKR-Ko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ojekte" displayName="tblProjekte" ref="A3:AF400" headerRowCount="1">
  <autoFilter ref="A3:AF400"/>
  <tableColumns count="32">
    <tableColumn id="1" name="Nr"/>
    <tableColumn id="2" name="Name"/>
    <tableColumn id="3" name="Kunde"/>
    <tableColumn id="4" name="Art"/>
    <tableColumn id="5" name="Vertrag"/>
    <tableColumn id="6" name="Status"/>
    <tableColumn id="7" name="Start"/>
    <tableColumn id="8" name="Ende Plan"/>
    <tableColumn id="9" name="Ende Ist"/>
    <tableColumn id="10" name="Auftrag netto"/>
    <tableColumn id="11" name="Budget Material"/>
    <tableColumn id="12" name="Budget NU"/>
    <tableColumn id="13" name="Budget Lohn"/>
    <tableColumn id="14" name="Budget Gerät"/>
    <tableColumn id="15" name="Budget GK"/>
    <tableColumn id="16" name="Einbehalt %"/>
    <tableColumn id="17" name="Bauleiter"/>
    <tableColumn id="18" name="Polier"/>
    <tableColumn id="19" name="Ort"/>
    <tableColumn id="20" name="Notiz"/>
    <tableColumn id="21" name="Nachträge beauftr."/>
    <tableColumn id="22" name="Auftrag aktuell"/>
    <tableColumn id="23" name="Ist Leistung"/>
    <tableColumn id="24" name="Ist Material"/>
    <tableColumn id="25" name="Ist NU"/>
    <tableColumn id="26" name="Ist Lohn"/>
    <tableColumn id="27" name="Ist Kosten"/>
    <tableColumn id="28" name="DB Ist"/>
    <tableColumn id="29" name="Marge %"/>
    <tableColumn id="30" name="Fertigstellung"/>
    <tableColumn id="31" name="Restumsatz"/>
    <tableColumn id="32" name="OP Debi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R" displayName="tblAR" ref="A3:T400" headerRowCount="1">
  <autoFilter ref="A3:T400"/>
  <tableColumns count="20">
    <tableColumn id="1" name="Nr"/>
    <tableColumn id="2" name="Datum"/>
    <tableColumn id="3" name="Projekt"/>
    <tableColumn id="4" name="Kunde"/>
    <tableColumn id="5" name="Typ"/>
    <tableColumn id="6" name="Abschlag-Nr"/>
    <tableColumn id="7" name="Netto"/>
    <tableColumn id="8" name="Einbehalt %"/>
    <tableColumn id="9" name="USt %"/>
    <tableColumn id="10" name="Fällig"/>
    <tableColumn id="11" name="Bezahlt am"/>
    <tableColumn id="12" name="Status"/>
    <tableColumn id="13" name="Text"/>
    <tableColumn id="14" name="Einbehalt EUR"/>
    <tableColumn id="15" name="Netto fällig"/>
    <tableColumn id="16" name="USt EUR"/>
    <tableColumn id="17" name="Brutto"/>
    <tableColumn id="18" name="Bezahlt"/>
    <tableColumn id="19" name="Offen"/>
    <tableColumn id="20" name="Tage überfälli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ER" displayName="tblER" ref="A3:P400" headerRowCount="1">
  <autoFilter ref="A3:P400"/>
  <tableColumns count="16">
    <tableColumn id="1" name="Nr"/>
    <tableColumn id="2" name="Datum"/>
    <tableColumn id="3" name="Projekt"/>
    <tableColumn id="4" name="Lieferant"/>
    <tableColumn id="5" name="Typ"/>
    <tableColumn id="6" name="Netto"/>
    <tableColumn id="7" name="USt %"/>
    <tableColumn id="8" name="Fällig"/>
    <tableColumn id="9" name="Bezahlt am"/>
    <tableColumn id="10" name="Status"/>
    <tableColumn id="11" name="Text"/>
    <tableColumn id="12" name="USt EUR"/>
    <tableColumn id="13" name="Brutto"/>
    <tableColumn id="14" name="Bezahlt"/>
    <tableColumn id="15" name="Offen"/>
    <tableColumn id="16" name="Tage überfälli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Zahlungen" displayName="tblZahlungen" ref="A3:J400" headerRowCount="1">
  <autoFilter ref="A3:J400"/>
  <tableColumns count="10">
    <tableColumn id="1" name="Nr"/>
    <tableColumn id="2" name="Datum"/>
    <tableColumn id="3" name="Art"/>
    <tableColumn id="4" name="Beleg"/>
    <tableColumn id="5" name="Partner"/>
    <tableColumn id="6" name="Betrag"/>
    <tableColumn id="7" name="Weg"/>
    <tableColumn id="8" name="Text"/>
    <tableColumn id="9" name="Monat"/>
    <tableColumn id="10" name="Jah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Mahnungen" displayName="tblMahnungen" ref="A3:K400" headerRowCount="1">
  <autoFilter ref="A3:K400"/>
  <tableColumns count="11">
    <tableColumn id="1" name="Nr"/>
    <tableColumn id="2" name="Rechnung"/>
    <tableColumn id="3" name="Kunde"/>
    <tableColumn id="4" name="Datum"/>
    <tableColumn id="5" name="Stufe"/>
    <tableColumn id="6" name="Frist Tage"/>
    <tableColumn id="7" name="Art"/>
    <tableColumn id="8" name="Status"/>
    <tableColumn id="9" name="Text"/>
    <tableColumn id="10" name="Fällig Mahnung"/>
    <tableColumn id="11" name="Rechnungs-Offe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Gewaehr" displayName="tblGewaehr" ref="A3:J400" headerRowCount="1">
  <autoFilter ref="A3:J400"/>
  <tableColumns count="10">
    <tableColumn id="1" name="Nr"/>
    <tableColumn id="2" name="Projekt"/>
    <tableColumn id="3" name="Beleg"/>
    <tableColumn id="4" name="Beginn"/>
    <tableColumn id="5" name="Ende"/>
    <tableColumn id="6" name="Betrag"/>
    <tableColumn id="7" name="Art"/>
    <tableColumn id="8" name="Status"/>
    <tableColumn id="9" name="Text"/>
    <tableColumn id="10" name="Restlaufzeit Jah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Angebote" displayName="tblAngebote" ref="A3:M400" headerRowCount="1">
  <autoFilter ref="A3:M400"/>
  <tableColumns count="13">
    <tableColumn id="1" name="Nr"/>
    <tableColumn id="2" name="Datum"/>
    <tableColumn id="3" name="Kunde"/>
    <tableColumn id="4" name="Projekt"/>
    <tableColumn id="5" name="Bezeichnung"/>
    <tableColumn id="6" name="Netto"/>
    <tableColumn id="7" name="AGK %"/>
    <tableColumn id="8" name="W+G %"/>
    <tableColumn id="9" name="Status"/>
    <tableColumn id="10" name="Entscheidung"/>
    <tableColumn id="11" name="Bindefrist Tage"/>
    <tableColumn id="12" name="Angebotssumme inkl. Zuschlag"/>
    <tableColumn id="13" name="Hit-Rate-Hilf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Auftraege" displayName="tblAuftraege" ref="A3:L400" headerRowCount="1">
  <autoFilter ref="A3:L400"/>
  <tableColumns count="12">
    <tableColumn id="1" name="Nr"/>
    <tableColumn id="2" name="Angebot"/>
    <tableColumn id="3" name="Projekt"/>
    <tableColumn id="4" name="Kunde"/>
    <tableColumn id="5" name="Datum"/>
    <tableColumn id="6" name="Auftrag netto"/>
    <tableColumn id="7" name="Vertragsart"/>
    <tableColumn id="8" name="Einbehalt %"/>
    <tableColumn id="9" name="Status"/>
    <tableColumn id="10" name="Notiz"/>
    <tableColumn id="11" name="Nachträge"/>
    <tableColumn id="12" name="Auftrag aktu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Nachtraege" displayName="tblNachtraege" ref="A3:I400" headerRowCount="1">
  <autoFilter ref="A3:I400"/>
  <tableColumns count="9">
    <tableColumn id="1" name="Nr"/>
    <tableColumn id="2" name="Projekt"/>
    <tableColumn id="3" name="Datum"/>
    <tableColumn id="4" name="Bezeichnung"/>
    <tableColumn id="5" name="Betrag netto"/>
    <tableColumn id="6" name="Status"/>
    <tableColumn id="7" name="Kunde"/>
    <tableColumn id="8" name="Begründung"/>
    <tableColumn id="9" name="Auftragswirksa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LV" displayName="tblLV" ref="A3:K400" headerRowCount="1">
  <autoFilter ref="A3:K400"/>
  <tableColumns count="11">
    <tableColumn id="1" name="Pos-Nr"/>
    <tableColumn id="2" name="Projekt"/>
    <tableColumn id="3" name="OZ"/>
    <tableColumn id="4" name="Bezeichnung"/>
    <tableColumn id="5" name="ME"/>
    <tableColumn id="6" name="Menge"/>
    <tableColumn id="7" name="EP netto"/>
    <tableColumn id="8" name="Faktor"/>
    <tableColumn id="9" name="Gewerk"/>
    <tableColumn id="10" name="Status"/>
    <tableColumn id="11" name="Gesamt nett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Stunden" displayName="tblStunden" ref="A3:M400" headerRowCount="1">
  <autoFilter ref="A3:M400"/>
  <tableColumns count="13">
    <tableColumn id="1" name="Nr"/>
    <tableColumn id="2" name="Datum"/>
    <tableColumn id="3" name="Projekt"/>
    <tableColumn id="4" name="Mitarbeiter"/>
    <tableColumn id="5" name="Stunden"/>
    <tableColumn id="6" name="Gewerk"/>
    <tableColumn id="7" name="Tätigkeit"/>
    <tableColumn id="8" name="Verrechenbar"/>
    <tableColumn id="9" name="Kostensatz"/>
    <tableColumn id="10" name="Verrechnung"/>
    <tableColumn id="11" name="Kosten"/>
    <tableColumn id="12" name="Leistungswert"/>
    <tableColumn id="13" name="Deckungsbeitrag Std.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Material" displayName="tblMaterial" ref="A3:L400" headerRowCount="1">
  <autoFilter ref="A3:L400"/>
  <tableColumns count="12">
    <tableColumn id="1" name="Nr"/>
    <tableColumn id="2" name="Datum"/>
    <tableColumn id="3" name="Projekt"/>
    <tableColumn id="4" name="Lieferant"/>
    <tableColumn id="5" name="ER-Nr"/>
    <tableColumn id="6" name="Bezeichnung"/>
    <tableColumn id="7" name="ME"/>
    <tableColumn id="8" name="Menge"/>
    <tableColumn id="9" name="EP netto"/>
    <tableColumn id="10" name="Kategorie"/>
    <tableColumn id="11" name="Status"/>
    <tableColumn id="12" name="Summe nett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Geraete" displayName="tblGeraete" ref="A3:L400" headerRowCount="1">
  <autoFilter ref="A3:L400"/>
  <tableColumns count="12">
    <tableColumn id="1" name="Nr"/>
    <tableColumn id="2" name="Bezeichnung"/>
    <tableColumn id="3" name="Typ"/>
    <tableColumn id="4" name="Eigentum"/>
    <tableColumn id="5" name="Anschaffung"/>
    <tableColumn id="6" name="Inbetrieb"/>
    <tableColumn id="7" name="ND Jahre"/>
    <tableColumn id="8" name="Satz/h"/>
    <tableColumn id="9" name="Einsatz"/>
    <tableColumn id="10" name="Status"/>
    <tableColumn id="11" name="AfA p.a."/>
    <tableColumn id="12" name="Restbuchwert 202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Kunden" displayName="tblKunden" ref="A3:N400" headerRowCount="1">
  <autoFilter ref="A3:N400"/>
  <tableColumns count="14">
    <tableColumn id="1" name="Nr"/>
    <tableColumn id="2" name="Name"/>
    <tableColumn id="3" name="Typ"/>
    <tableColumn id="4" name="Ansprechpartner"/>
    <tableColumn id="5" name="Straße"/>
    <tableColumn id="6" name="PLZ"/>
    <tableColumn id="7" name="Ort"/>
    <tableColumn id="8" name="Telefon"/>
    <tableColumn id="9" name="E-Mail"/>
    <tableColumn id="10" name="Zahlungsziel"/>
    <tableColumn id="11" name="Skonto"/>
    <tableColumn id="12" name="ABC"/>
    <tableColumn id="13" name="Status"/>
    <tableColumn id="14" name="Notiz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Lieferanten" displayName="tblLieferanten" ref="A3:K400" headerRowCount="1">
  <autoFilter ref="A3:K400"/>
  <tableColumns count="11">
    <tableColumn id="1" name="Nr"/>
    <tableColumn id="2" name="Name"/>
    <tableColumn id="3" name="Art"/>
    <tableColumn id="4" name="Ansprechpartner"/>
    <tableColumn id="5" name="IBAN"/>
    <tableColumn id="6" name="Skonto Tage"/>
    <tableColumn id="7" name="Skonto %"/>
    <tableColumn id="8" name="Zahlungsziel"/>
    <tableColumn id="9" name="E-Mail"/>
    <tableColumn id="10" name="Status"/>
    <tableColumn id="11" name="Notiz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Personal" displayName="tblPersonal" ref="A3:J400" headerRowCount="1">
  <autoFilter ref="A3:J400"/>
  <tableColumns count="10">
    <tableColumn id="1" name="Nr"/>
    <tableColumn id="2" name="Name"/>
    <tableColumn id="3" name="Funktion"/>
    <tableColumn id="4" name="Kolonne"/>
    <tableColumn id="5" name="Soll-h/Monat"/>
    <tableColumn id="6" name="Verrechnung"/>
    <tableColumn id="7" name="Kosten/h"/>
    <tableColumn id="8" name="Eintritt"/>
    <tableColumn id="9" name="Status"/>
    <tableColumn id="10" name="Noti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#00_Navi!A1" TargetMode="External" Id="rId1" /><Relationship Type="http://schemas.openxmlformats.org/officeDocument/2006/relationships/hyperlink" Target="#24_Dashboard!A1" TargetMode="External" Id="rId2" /><Relationship Type="http://schemas.openxmlformats.org/officeDocument/2006/relationships/hyperlink" Target="#01_Stammdaten!A1" TargetMode="External" Id="rId3" /><Relationship Type="http://schemas.openxmlformats.org/officeDocument/2006/relationships/hyperlink" Target="#20_Liquiditaet!A1" TargetMode="External" Id="rId4" /><Relationship Type="http://schemas.openxmlformats.org/officeDocument/2006/relationships/hyperlink" Target="#02_Kunden!A1" TargetMode="External" Id="rId5" /><Relationship Type="http://schemas.openxmlformats.org/officeDocument/2006/relationships/hyperlink" Target="#19_Cashflow!A1" TargetMode="External" Id="rId6" /><Relationship Type="http://schemas.openxmlformats.org/officeDocument/2006/relationships/hyperlink" Target="#03_Lieferanten!A1" TargetMode="External" Id="rId7" /><Relationship Type="http://schemas.openxmlformats.org/officeDocument/2006/relationships/hyperlink" Target="#21_Forecast!A1" TargetMode="External" Id="rId8" /><Relationship Type="http://schemas.openxmlformats.org/officeDocument/2006/relationships/hyperlink" Target="#04_Personal!A1" TargetMode="External" Id="rId9" /><Relationship Type="http://schemas.openxmlformats.org/officeDocument/2006/relationships/hyperlink" Target="#16_OPOS!A1" TargetMode="External" Id="rId10" /><Relationship Type="http://schemas.openxmlformats.org/officeDocument/2006/relationships/hyperlink" Target="#05_Projekte!A1" TargetMode="External" Id="rId11" /><Relationship Type="http://schemas.openxmlformats.org/officeDocument/2006/relationships/hyperlink" Target="#23_SollIst!A1" TargetMode="External" Id="rId12" /><Relationship Type="http://schemas.openxmlformats.org/officeDocument/2006/relationships/hyperlink" Target="#06_LV!A1" TargetMode="External" Id="rId13" /><Relationship Type="http://schemas.openxmlformats.org/officeDocument/2006/relationships/hyperlink" Target="#07_Nachtraege!A1" TargetMode="External" Id="rId14" /><Relationship Type="http://schemas.openxmlformats.org/officeDocument/2006/relationships/hyperlink" Target="#08_Angebote!A1" TargetMode="External" Id="rId15" /><Relationship Type="http://schemas.openxmlformats.org/officeDocument/2006/relationships/hyperlink" Target="#09_Auftraege!A1" TargetMode="External" Id="rId16" /><Relationship Type="http://schemas.openxmlformats.org/officeDocument/2006/relationships/hyperlink" Target="#10_Stunden!A1" TargetMode="External" Id="rId17" /><Relationship Type="http://schemas.openxmlformats.org/officeDocument/2006/relationships/hyperlink" Target="#11_Material!A1" TargetMode="External" Id="rId18" /><Relationship Type="http://schemas.openxmlformats.org/officeDocument/2006/relationships/hyperlink" Target="#12_Geraete!A1" TargetMode="External" Id="rId19" /><Relationship Type="http://schemas.openxmlformats.org/officeDocument/2006/relationships/hyperlink" Target="#13_Ausgangsrechnungen!A1" TargetMode="External" Id="rId20" /><Relationship Type="http://schemas.openxmlformats.org/officeDocument/2006/relationships/hyperlink" Target="#14_Eingangsrechnungen!A1" TargetMode="External" Id="rId21" /><Relationship Type="http://schemas.openxmlformats.org/officeDocument/2006/relationships/hyperlink" Target="#15_Zahlungen!A1" TargetMode="External" Id="rId22" /><Relationship Type="http://schemas.openxmlformats.org/officeDocument/2006/relationships/hyperlink" Target="#16_OPOS!A1" TargetMode="External" Id="rId23" /><Relationship Type="http://schemas.openxmlformats.org/officeDocument/2006/relationships/hyperlink" Target="#17_Mahnwesen!A1" TargetMode="External" Id="rId24" /><Relationship Type="http://schemas.openxmlformats.org/officeDocument/2006/relationships/hyperlink" Target="#18_Gewaehrleistung!A1" TargetMode="External" Id="rId25" /><Relationship Type="http://schemas.openxmlformats.org/officeDocument/2006/relationships/hyperlink" Target="#19_Cashflow!A1" TargetMode="External" Id="rId26" /><Relationship Type="http://schemas.openxmlformats.org/officeDocument/2006/relationships/hyperlink" Target="#20_Liquiditaet!A1" TargetMode="External" Id="rId27" /><Relationship Type="http://schemas.openxmlformats.org/officeDocument/2006/relationships/hyperlink" Target="#21_Forecast!A1" TargetMode="External" Id="rId28" /><Relationship Type="http://schemas.openxmlformats.org/officeDocument/2006/relationships/hyperlink" Target="#22_BWA!A1" TargetMode="External" Id="rId29" /><Relationship Type="http://schemas.openxmlformats.org/officeDocument/2006/relationships/hyperlink" Target="#23_SollIst!A1" TargetMode="External" Id="rId30" /><Relationship Type="http://schemas.openxmlformats.org/officeDocument/2006/relationships/hyperlink" Target="#24_Dashboard!A1" TargetMode="External" Id="rId31" /><Relationship Type="http://schemas.openxmlformats.org/officeDocument/2006/relationships/hyperlink" Target="#25_Form_Angebot!A1" TargetMode="External" Id="rId32" /><Relationship Type="http://schemas.openxmlformats.org/officeDocument/2006/relationships/hyperlink" Target="#26_Form_Rechnung!A1" TargetMode="External" Id="rId33" /><Relationship Type="http://schemas.openxmlformats.org/officeDocument/2006/relationships/hyperlink" Target="#27_Form_Abnahme!A1" TargetMode="External" Id="rId34" /><Relationship Type="http://schemas.openxmlformats.org/officeDocument/2006/relationships/hyperlink" Target="#28_Form_Bautage!A1" TargetMode="External" Id="rId35" /><Relationship Type="http://schemas.openxmlformats.org/officeDocument/2006/relationships/hyperlink" Target="#29_Form_Mahnung!A1" TargetMode="External" Id="rId36" /><Relationship Type="http://schemas.openxmlformats.org/officeDocument/2006/relationships/hyperlink" Target="#30_Import!A1" TargetMode="External" Id="rId37" /><Relationship Type="http://schemas.openxmlformats.org/officeDocument/2006/relationships/hyperlink" Target="#31_Anleitung!A1" TargetMode="External" Id="rId38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P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KPI-Dashboard Bau · Geschäftsleitung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P1" s="3" t="n"/>
    </row>
    <row r="2" ht="18" customHeight="1">
      <c r="A2" s="4" t="inlineStr">
        <is>
          <t>Live aus Bewegungsdaten · Bergmann Hoch- und Tiefbau GmbH · GJ 2026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3" t="n"/>
      <c r="P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6" t="inlineStr">
        <is>
          <t>Umsatz Ist GJ</t>
        </is>
      </c>
      <c r="B4" s="5" t="n"/>
      <c r="C4" s="6" t="inlineStr">
        <is>
          <t>Forecast Umsatz</t>
        </is>
      </c>
      <c r="D4" s="5" t="n"/>
      <c r="E4" s="6" t="inlineStr">
        <is>
          <t>Auftragsbestand</t>
        </is>
      </c>
      <c r="F4" s="5" t="n"/>
      <c r="G4" s="6" t="inlineStr">
        <is>
          <t>EBIT Forecast</t>
        </is>
      </c>
      <c r="H4" s="5" t="n"/>
      <c r="I4" s="6" t="inlineStr">
        <is>
          <t>Rohertragsmarge</t>
        </is>
      </c>
      <c r="J4" s="5" t="n"/>
      <c r="K4" s="6" t="inlineStr">
        <is>
          <t>EBIT-Marge Ist</t>
        </is>
      </c>
      <c r="L4" s="5" t="n"/>
      <c r="M4" s="3" t="n"/>
      <c r="N4" s="3" t="n"/>
      <c r="O4" s="3" t="n"/>
      <c r="P4" s="3" t="n"/>
    </row>
    <row r="5" ht="22" customHeight="1">
      <c r="A5" s="7">
        <f>'22_BWA'!B4</f>
        <v/>
      </c>
      <c r="B5" s="8" t="n"/>
      <c r="C5" s="7">
        <f>'21_Forecast'!N20</f>
        <v/>
      </c>
      <c r="D5" s="8" t="n"/>
      <c r="E5" s="7">
        <f>SUMIF('05_Projekte'!F:F,"in Bau",'05_Projekte'!AF:AF)+SUMIF('05_Projekte'!F:F,"beauftragt",'05_Projekte'!AF:AF)+SUMIF('05_Projekte'!F:F,"geplant",'05_Projekte'!AF:AF)</f>
        <v/>
      </c>
      <c r="F5" s="8" t="n"/>
      <c r="G5" s="7">
        <f>'22_BWA'!C11</f>
        <v/>
      </c>
      <c r="H5" s="8" t="n"/>
      <c r="I5" s="9">
        <f>'22_BWA'!B12</f>
        <v/>
      </c>
      <c r="J5" s="8" t="n"/>
      <c r="K5" s="9">
        <f>'22_BWA'!B13</f>
        <v/>
      </c>
      <c r="L5" s="8" t="n"/>
      <c r="M5" s="3" t="n"/>
      <c r="N5" s="3" t="n"/>
      <c r="O5" s="3" t="n"/>
      <c r="P5" s="3" t="n"/>
    </row>
    <row r="6" ht="10" customHeight="1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6" t="inlineStr">
        <is>
          <t>OP Debitoren</t>
        </is>
      </c>
      <c r="B8" s="5" t="n"/>
      <c r="C8" s="6" t="inlineStr">
        <is>
          <t>OP Kreditoren</t>
        </is>
      </c>
      <c r="D8" s="5" t="n"/>
      <c r="E8" s="6" t="inlineStr">
        <is>
          <t>Einbehalte</t>
        </is>
      </c>
      <c r="F8" s="5" t="n"/>
      <c r="G8" s="6" t="inlineStr">
        <is>
          <t>Liquidität 13W</t>
        </is>
      </c>
      <c r="H8" s="5" t="n"/>
      <c r="I8" s="6" t="inlineStr">
        <is>
          <t>Überfällige AR</t>
        </is>
      </c>
      <c r="J8" s="5" t="n"/>
      <c r="K8" s="6" t="inlineStr">
        <is>
          <t>Hit-Rate Angebote</t>
        </is>
      </c>
      <c r="L8" s="5" t="n"/>
      <c r="M8" s="3" t="n"/>
      <c r="N8" s="3" t="n"/>
      <c r="O8" s="3" t="n"/>
      <c r="P8" s="3" t="n"/>
    </row>
    <row r="9" ht="22" customHeight="1">
      <c r="A9" s="7">
        <f>'22_BWA'!B14</f>
        <v/>
      </c>
      <c r="B9" s="8" t="n"/>
      <c r="C9" s="7">
        <f>'22_BWA'!B15</f>
        <v/>
      </c>
      <c r="D9" s="8" t="n"/>
      <c r="E9" s="7">
        <f>'22_BWA'!B16</f>
        <v/>
      </c>
      <c r="F9" s="8" t="n"/>
      <c r="G9" s="7">
        <f>'20_Liquiditaet'!B14</f>
        <v/>
      </c>
      <c r="H9" s="8" t="n"/>
      <c r="I9" s="11">
        <f>COUNTIFS('13_Ausgangsrechnungen'!T:T,"&gt;0",'13_Ausgangsrechnungen'!S:S,"&gt;0")</f>
        <v/>
      </c>
      <c r="J9" s="8" t="n"/>
      <c r="K9" s="9">
        <f>IF(COUNTA('08_Angebote'!A4:A400)=0,0,COUNTIF('08_Angebote'!I:I,"angenommen")/COUNTA('08_Angebote'!A4:A400))</f>
        <v/>
      </c>
      <c r="L9" s="8" t="n"/>
      <c r="M9" s="3" t="n"/>
      <c r="N9" s="3" t="n"/>
      <c r="O9" s="3" t="n"/>
      <c r="P9" s="3" t="n"/>
    </row>
    <row r="10" ht="10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12" t="inlineStr">
        <is>
          <t>Frühwarnung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3" t="n"/>
      <c r="N12" s="3" t="n"/>
      <c r="O12" s="3" t="n"/>
      <c r="P12" s="3" t="n"/>
    </row>
    <row r="13">
      <c r="A13" s="3" t="inlineStr">
        <is>
          <t>Liquiditätsengpass in 13 Wochen</t>
        </is>
      </c>
      <c r="B13" s="13">
        <f>IF(COUNTIF('20_Liquiditaet'!B16:N16,"ENGPASS")&gt;0,"JA — Disposition prüfen","nein")</f>
        <v/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inlineStr">
        <is>
          <t>Mahnungen offen</t>
        </is>
      </c>
      <c r="B14" s="13">
        <f>COUNTIF('17_Mahnwesen'!H:H,"offen")&amp;" offene Mahnfälle"</f>
        <v/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inlineStr">
        <is>
          <t>Nachträge in Prüfung</t>
        </is>
      </c>
      <c r="B15" s="13">
        <f>COUNTIF('07_Nachtraege'!F:F,"in Prüfung")&amp;" Claims ohne Freigabe"</f>
        <v/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inlineStr">
        <is>
          <t>Projekte Ampel PRÜFEN</t>
        </is>
      </c>
      <c r="B16" s="13">
        <f>COUNTIF('23_SollIst'!N:N,"PRÜFEN")&amp;" Projekte unter Marge / über Budget / hohe OP"</f>
        <v/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inlineStr">
        <is>
          <t>Bindefrist Angebote</t>
        </is>
      </c>
      <c r="B17" s="13">
        <f>COUNTIF('08_Angebote'!M:M,"Bindefrist!")&amp;" Angebote über Bindefrist"</f>
        <v/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12" t="inlineStr">
        <is>
          <t>Monatswerte Umsatz / EBIT Forecast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3" t="n"/>
      <c r="N19" s="3" t="n"/>
      <c r="O19" s="3" t="n"/>
      <c r="P19" s="3" t="n"/>
    </row>
    <row r="20">
      <c r="A20" s="3" t="inlineStr">
        <is>
          <t>Monat</t>
        </is>
      </c>
      <c r="B20" s="14">
        <f>'21_Forecast'!B3</f>
        <v/>
      </c>
      <c r="C20" s="14">
        <f>'21_Forecast'!C3</f>
        <v/>
      </c>
      <c r="D20" s="14">
        <f>'21_Forecast'!D3</f>
        <v/>
      </c>
      <c r="E20" s="14">
        <f>'21_Forecast'!E3</f>
        <v/>
      </c>
      <c r="F20" s="14">
        <f>'21_Forecast'!F3</f>
        <v/>
      </c>
      <c r="G20" s="14">
        <f>'21_Forecast'!G3</f>
        <v/>
      </c>
      <c r="H20" s="14">
        <f>'21_Forecast'!H3</f>
        <v/>
      </c>
      <c r="I20" s="14">
        <f>'21_Forecast'!I3</f>
        <v/>
      </c>
      <c r="J20" s="14">
        <f>'21_Forecast'!J3</f>
        <v/>
      </c>
      <c r="K20" s="14">
        <f>'21_Forecast'!K3</f>
        <v/>
      </c>
      <c r="L20" s="14">
        <f>'21_Forecast'!L3</f>
        <v/>
      </c>
      <c r="M20" s="14">
        <f>'21_Forecast'!M3</f>
        <v/>
      </c>
      <c r="N20" s="3" t="n"/>
      <c r="O20" s="3" t="n"/>
      <c r="P20" s="3" t="n"/>
    </row>
    <row r="21">
      <c r="A21" s="3" t="inlineStr">
        <is>
          <t>Umsatz FC</t>
        </is>
      </c>
      <c r="B21" s="15">
        <f>'21_Forecast'!B20</f>
        <v/>
      </c>
      <c r="C21" s="15">
        <f>'21_Forecast'!C20</f>
        <v/>
      </c>
      <c r="D21" s="15">
        <f>'21_Forecast'!D20</f>
        <v/>
      </c>
      <c r="E21" s="15">
        <f>'21_Forecast'!E20</f>
        <v/>
      </c>
      <c r="F21" s="15">
        <f>'21_Forecast'!F20</f>
        <v/>
      </c>
      <c r="G21" s="15">
        <f>'21_Forecast'!G20</f>
        <v/>
      </c>
      <c r="H21" s="15">
        <f>'21_Forecast'!H20</f>
        <v/>
      </c>
      <c r="I21" s="15">
        <f>'21_Forecast'!I20</f>
        <v/>
      </c>
      <c r="J21" s="15">
        <f>'21_Forecast'!J20</f>
        <v/>
      </c>
      <c r="K21" s="15">
        <f>'21_Forecast'!K20</f>
        <v/>
      </c>
      <c r="L21" s="15">
        <f>'21_Forecast'!L20</f>
        <v/>
      </c>
      <c r="M21" s="15">
        <f>'21_Forecast'!M20</f>
        <v/>
      </c>
      <c r="N21" s="3" t="n"/>
      <c r="O21" s="3" t="n"/>
      <c r="P21" s="3" t="n"/>
    </row>
    <row r="22">
      <c r="A22" s="3" t="inlineStr">
        <is>
          <t>EBIT FC</t>
        </is>
      </c>
      <c r="B22" s="15">
        <f>'21_Forecast'!B26</f>
        <v/>
      </c>
      <c r="C22" s="15">
        <f>'21_Forecast'!C26</f>
        <v/>
      </c>
      <c r="D22" s="15">
        <f>'21_Forecast'!D26</f>
        <v/>
      </c>
      <c r="E22" s="15">
        <f>'21_Forecast'!E26</f>
        <v/>
      </c>
      <c r="F22" s="15">
        <f>'21_Forecast'!F26</f>
        <v/>
      </c>
      <c r="G22" s="15">
        <f>'21_Forecast'!G26</f>
        <v/>
      </c>
      <c r="H22" s="15">
        <f>'21_Forecast'!H26</f>
        <v/>
      </c>
      <c r="I22" s="15">
        <f>'21_Forecast'!I26</f>
        <v/>
      </c>
      <c r="J22" s="15">
        <f>'21_Forecast'!J26</f>
        <v/>
      </c>
      <c r="K22" s="15">
        <f>'21_Forecast'!K26</f>
        <v/>
      </c>
      <c r="L22" s="15">
        <f>'21_Forecast'!L26</f>
        <v/>
      </c>
      <c r="M22" s="15">
        <f>'21_Forecast'!M26</f>
        <v/>
      </c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12" t="inlineStr">
        <is>
          <t>Top-Projekte nach Auftragswert</t>
        </is>
      </c>
      <c r="B40" s="5" t="n"/>
      <c r="C40" s="5" t="n"/>
      <c r="D40" s="5" t="n"/>
      <c r="E40" s="5" t="n"/>
      <c r="F40" s="5" t="n"/>
      <c r="G40" s="5" t="n"/>
      <c r="H40" s="5" t="n"/>
      <c r="I40" s="3" t="n"/>
      <c r="J40" s="16" t="inlineStr">
        <is>
          <t>Liquiditätsstatus</t>
        </is>
      </c>
      <c r="K40" s="3" t="n"/>
      <c r="L40" s="3" t="n"/>
      <c r="M40" s="3" t="n"/>
      <c r="N40" s="3" t="n"/>
      <c r="O40" s="3" t="n"/>
      <c r="P40" s="3" t="n"/>
    </row>
    <row r="41" ht="28" customHeight="1">
      <c r="A41" s="17" t="inlineStr">
        <is>
          <t>Projekt</t>
        </is>
      </c>
      <c r="B41" s="17" t="inlineStr">
        <is>
          <t>Name</t>
        </is>
      </c>
      <c r="C41" s="17" t="inlineStr">
        <is>
          <t>Auftrag aktuell</t>
        </is>
      </c>
      <c r="D41" s="17" t="inlineStr">
        <is>
          <t>Fertigstellung</t>
        </is>
      </c>
      <c r="E41" s="17" t="inlineStr">
        <is>
          <t>Marge</t>
        </is>
      </c>
      <c r="F41" s="17" t="inlineStr">
        <is>
          <t>OP</t>
        </is>
      </c>
      <c r="G41" s="3" t="n"/>
      <c r="H41" s="3" t="n"/>
      <c r="I41" s="3" t="n"/>
      <c r="J41" s="13">
        <f>'20_Liquiditaet'!B16</f>
        <v/>
      </c>
      <c r="K41" s="18" t="n"/>
      <c r="L41" s="3" t="n"/>
      <c r="M41" s="3" t="n"/>
      <c r="N41" s="3" t="n"/>
      <c r="O41" s="3" t="n"/>
      <c r="P41" s="3" t="n"/>
    </row>
    <row r="42">
      <c r="A42" s="13">
        <f>IF('05_Projekte'!A4="","",'05_Projekte'!A4)</f>
        <v/>
      </c>
      <c r="B42" s="13">
        <f>IF(A42="","",'05_Projekte'!B4)</f>
        <v/>
      </c>
      <c r="C42" s="15">
        <f>IF(A42="","",'05_Projekte'!V4)</f>
        <v/>
      </c>
      <c r="D42" s="19">
        <f>IF(A42="","",'05_Projekte'!AE4)</f>
        <v/>
      </c>
      <c r="E42" s="19">
        <f>IF(A42="","",'05_Projekte'!AD4)</f>
        <v/>
      </c>
      <c r="F42" s="15">
        <f>IF(A42="","",'05_Projekte'!AG4)</f>
        <v/>
      </c>
      <c r="G42" s="3" t="n"/>
      <c r="H42" s="3" t="n"/>
      <c r="I42" s="3" t="n"/>
      <c r="J42" s="3" t="inlineStr">
        <is>
          <t>Kreditlinie</t>
        </is>
      </c>
      <c r="K42" s="15">
        <f>Kreditlinie</f>
        <v/>
      </c>
      <c r="L42" s="3" t="n"/>
      <c r="M42" s="3" t="n"/>
      <c r="N42" s="3" t="n"/>
      <c r="O42" s="3" t="n"/>
      <c r="P42" s="3" t="n"/>
    </row>
    <row r="43">
      <c r="A43" s="13">
        <f>IF('05_Projekte'!A5="","",'05_Projekte'!A5)</f>
        <v/>
      </c>
      <c r="B43" s="13">
        <f>IF(A43="","",'05_Projekte'!B5)</f>
        <v/>
      </c>
      <c r="C43" s="15">
        <f>IF(A43="","",'05_Projekte'!V5)</f>
        <v/>
      </c>
      <c r="D43" s="19">
        <f>IF(A43="","",'05_Projekte'!AE5)</f>
        <v/>
      </c>
      <c r="E43" s="19">
        <f>IF(A43="","",'05_Projekte'!AD5)</f>
        <v/>
      </c>
      <c r="F43" s="15">
        <f>IF(A43="","",'05_Projekte'!AG5)</f>
        <v/>
      </c>
      <c r="G43" s="3" t="n"/>
      <c r="H43" s="3" t="n"/>
      <c r="I43" s="3" t="n"/>
      <c r="J43" s="3" t="inlineStr">
        <is>
          <t>Mindestliquidität</t>
        </is>
      </c>
      <c r="K43" s="15">
        <f>MindestLiq</f>
        <v/>
      </c>
      <c r="L43" s="3" t="n"/>
      <c r="M43" s="3" t="n"/>
      <c r="N43" s="3" t="n"/>
      <c r="O43" s="3" t="n"/>
      <c r="P43" s="3" t="n"/>
    </row>
    <row r="44">
      <c r="A44" s="13">
        <f>IF('05_Projekte'!A6="","",'05_Projekte'!A6)</f>
        <v/>
      </c>
      <c r="B44" s="13">
        <f>IF(A44="","",'05_Projekte'!B6)</f>
        <v/>
      </c>
      <c r="C44" s="15">
        <f>IF(A44="","",'05_Projekte'!V6)</f>
        <v/>
      </c>
      <c r="D44" s="19">
        <f>IF(A44="","",'05_Projekte'!AE6)</f>
        <v/>
      </c>
      <c r="E44" s="19">
        <f>IF(A44="","",'05_Projekte'!AD6)</f>
        <v/>
      </c>
      <c r="F44" s="15">
        <f>IF(A44="","",'05_Projekte'!AG6)</f>
        <v/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13">
        <f>IF('05_Projekte'!A7="","",'05_Projekte'!A7)</f>
        <v/>
      </c>
      <c r="B45" s="13">
        <f>IF(A45="","",'05_Projekte'!B7)</f>
        <v/>
      </c>
      <c r="C45" s="15">
        <f>IF(A45="","",'05_Projekte'!V7)</f>
        <v/>
      </c>
      <c r="D45" s="19">
        <f>IF(A45="","",'05_Projekte'!AE7)</f>
        <v/>
      </c>
      <c r="E45" s="19">
        <f>IF(A45="","",'05_Projekte'!AD7)</f>
        <v/>
      </c>
      <c r="F45" s="15">
        <f>IF(A45="","",'05_Projekte'!AG7)</f>
        <v/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13">
        <f>IF('05_Projekte'!A8="","",'05_Projekte'!A8)</f>
        <v/>
      </c>
      <c r="B46" s="13">
        <f>IF(A46="","",'05_Projekte'!B8)</f>
        <v/>
      </c>
      <c r="C46" s="15">
        <f>IF(A46="","",'05_Projekte'!V8)</f>
        <v/>
      </c>
      <c r="D46" s="19">
        <f>IF(A46="","",'05_Projekte'!AE8)</f>
        <v/>
      </c>
      <c r="E46" s="19">
        <f>IF(A46="","",'05_Projekte'!AD8)</f>
        <v/>
      </c>
      <c r="F46" s="15">
        <f>IF(A46="","",'05_Projekte'!AG8)</f>
        <v/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13">
        <f>IF('05_Projekte'!A9="","",'05_Projekte'!A9)</f>
        <v/>
      </c>
      <c r="B47" s="13">
        <f>IF(A47="","",'05_Projekte'!B9)</f>
        <v/>
      </c>
      <c r="C47" s="15">
        <f>IF(A47="","",'05_Projekte'!V9)</f>
        <v/>
      </c>
      <c r="D47" s="19">
        <f>IF(A47="","",'05_Projekte'!AE9)</f>
        <v/>
      </c>
      <c r="E47" s="19">
        <f>IF(A47="","",'05_Projekte'!AD9)</f>
        <v/>
      </c>
      <c r="F47" s="15">
        <f>IF(A47="","",'05_Projekte'!AG9)</f>
        <v/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</sheetData>
  <mergeCells count="35">
    <mergeCell ref="B16:F16"/>
    <mergeCell ref="A5:B6"/>
    <mergeCell ref="G5:H6"/>
    <mergeCell ref="I5:J6"/>
    <mergeCell ref="G8:H8"/>
    <mergeCell ref="E8:F8"/>
    <mergeCell ref="A12:L12"/>
    <mergeCell ref="A1:N1"/>
    <mergeCell ref="C4:D4"/>
    <mergeCell ref="E4:F4"/>
    <mergeCell ref="B14:F14"/>
    <mergeCell ref="A9:B10"/>
    <mergeCell ref="G9:H10"/>
    <mergeCell ref="B13:F13"/>
    <mergeCell ref="B17:F17"/>
    <mergeCell ref="I9:J10"/>
    <mergeCell ref="K9:L10"/>
    <mergeCell ref="K8:L8"/>
    <mergeCell ref="A19:L19"/>
    <mergeCell ref="A2:N2"/>
    <mergeCell ref="C5:D6"/>
    <mergeCell ref="J41:K41"/>
    <mergeCell ref="E5:F6"/>
    <mergeCell ref="K5:L6"/>
    <mergeCell ref="I8:J8"/>
    <mergeCell ref="A8:B8"/>
    <mergeCell ref="C8:D8"/>
    <mergeCell ref="A4:B4"/>
    <mergeCell ref="G4:H4"/>
    <mergeCell ref="I4:J4"/>
    <mergeCell ref="B15:F15"/>
    <mergeCell ref="K4:L4"/>
    <mergeCell ref="C9:D10"/>
    <mergeCell ref="E9:F10"/>
    <mergeCell ref="A40:H40"/>
  </mergeCells>
  <pageMargins left="0.75" right="0.75" top="1" bottom="1" header="0.5" footer="0.5"/>
  <pageSetup orientation="landscape" paperSize="9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B365D"/>
    <outlinePr summaryBelow="1" summaryRight="1"/>
    <pageSetUpPr/>
  </sheetPr>
  <dimension ref="A1:P4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Bergmann Bau · Kaufmannsmappe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J1" s="3" t="n"/>
      <c r="K1" s="3" t="n"/>
      <c r="L1" s="3" t="n"/>
      <c r="M1" s="3" t="n"/>
      <c r="N1" s="3" t="n"/>
      <c r="O1" s="3" t="n"/>
      <c r="P1" s="3" t="n"/>
    </row>
    <row r="2" ht="18" customHeight="1">
      <c r="A2" s="4" t="inlineStr">
        <is>
          <t>Alle kaufmännischen Steuerungsblätter für das Baugewerbe · Geschäftsjahr 2026</t>
        </is>
      </c>
      <c r="B2" s="5" t="n"/>
      <c r="C2" s="5" t="n"/>
      <c r="D2" s="5" t="n"/>
      <c r="E2" s="5" t="n"/>
      <c r="F2" s="5" t="n"/>
      <c r="G2" s="5" t="n"/>
      <c r="H2" s="5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20" t="inlineStr">
        <is>
          <t>So arbeiten Sie mit der Mappe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21" t="inlineStr">
        <is>
          <t>1. Gelbe bzw. weiße Zellen sind Eingaben. Blaue Zellen sind Formeln — nicht überschreiben.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21" t="inlineStr">
        <is>
          <t>2. Neue Zeilen immer innerhalb der Tabelle einfügen (Tab-Taste am Tabellenende), dann bleiben SUMIFS erhalten.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22" t="inlineStr">
        <is>
          <t>3. Formulare: oben die Beleg- oder Projektnummer wählen, der Druckbereich füllt sich automatisch.</t>
        </is>
      </c>
    </row>
    <row r="8">
      <c r="A8" s="22" t="inlineStr">
        <is>
          <t>4. Importe: Blatt 30_Import und Skript scripts/import_csv.py. DATEV-, Bank- und Stunden-CSV möglich.</t>
        </is>
      </c>
    </row>
    <row r="9">
      <c r="A9" s="22" t="inlineStr">
        <is>
          <t>5. Dashboard, Liquidität, Cashflow, Forecast und BWA rechnen aus den Bewegungsdaten — keine Doppelpflege.</t>
        </is>
      </c>
    </row>
    <row r="11">
      <c r="A11" s="23" t="inlineStr">
        <is>
          <t>Blatt</t>
        </is>
      </c>
      <c r="B11" s="23" t="inlineStr">
        <is>
          <t>Inhalt</t>
        </is>
      </c>
      <c r="D11" s="24" t="inlineStr">
        <is>
          <t>Kennzahlen-Sprung</t>
        </is>
      </c>
    </row>
    <row r="12">
      <c r="A12" s="25" t="inlineStr">
        <is>
          <t>00_Navi</t>
        </is>
      </c>
      <c r="B12" s="26" t="inlineStr">
        <is>
          <t>Start und Blattübersicht</t>
        </is>
      </c>
      <c r="D12" s="27" t="inlineStr">
        <is>
          <t>KPI-Dashboard</t>
        </is>
      </c>
    </row>
    <row r="13">
      <c r="A13" s="28" t="inlineStr">
        <is>
          <t>01_Stammdaten</t>
        </is>
      </c>
      <c r="B13" s="29" t="inlineStr">
        <is>
          <t>Firma, Steuern, Parameter</t>
        </is>
      </c>
      <c r="D13" s="27" t="inlineStr">
        <is>
          <t>Liquidität 13 Wochen</t>
        </is>
      </c>
    </row>
    <row r="14">
      <c r="A14" s="25" t="inlineStr">
        <is>
          <t>02_Kunden</t>
        </is>
      </c>
      <c r="B14" s="26" t="inlineStr">
        <is>
          <t>Auftraggeber</t>
        </is>
      </c>
      <c r="D14" s="27" t="inlineStr">
        <is>
          <t>Cashflow</t>
        </is>
      </c>
    </row>
    <row r="15">
      <c r="A15" s="28" t="inlineStr">
        <is>
          <t>03_Lieferanten</t>
        </is>
      </c>
      <c r="B15" s="29" t="inlineStr">
        <is>
          <t>Lieferanten und Nachunternehmer</t>
        </is>
      </c>
      <c r="D15" s="27" t="inlineStr">
        <is>
          <t>Forecast / Plan</t>
        </is>
      </c>
    </row>
    <row r="16">
      <c r="A16" s="25" t="inlineStr">
        <is>
          <t>04_Personal</t>
        </is>
      </c>
      <c r="B16" s="26" t="inlineStr">
        <is>
          <t>Mitarbeiter und Stundensätze</t>
        </is>
      </c>
      <c r="D16" s="27" t="inlineStr">
        <is>
          <t>Offene Posten</t>
        </is>
      </c>
    </row>
    <row r="17">
      <c r="A17" s="28" t="inlineStr">
        <is>
          <t>05_Projekte</t>
        </is>
      </c>
      <c r="B17" s="29" t="inlineStr">
        <is>
          <t>Bauvorhaben und Deckungsbeitrag</t>
        </is>
      </c>
      <c r="D17" s="27" t="inlineStr">
        <is>
          <t>Projekt-Soll-Ist</t>
        </is>
      </c>
    </row>
    <row r="18">
      <c r="A18" s="25" t="inlineStr">
        <is>
          <t>06_LV</t>
        </is>
      </c>
      <c r="B18" s="26" t="inlineStr">
        <is>
          <t>Leistungsverzeichnis</t>
        </is>
      </c>
    </row>
    <row r="19">
      <c r="A19" s="28" t="inlineStr">
        <is>
          <t>07_Nachtraege</t>
        </is>
      </c>
      <c r="B19" s="29" t="inlineStr">
        <is>
          <t>Nachträge / Claim</t>
        </is>
      </c>
    </row>
    <row r="20">
      <c r="A20" s="25" t="inlineStr">
        <is>
          <t>08_Angebote</t>
        </is>
      </c>
      <c r="B20" s="26" t="inlineStr">
        <is>
          <t>Angebotsverfolgung</t>
        </is>
      </c>
    </row>
    <row r="21">
      <c r="A21" s="28" t="inlineStr">
        <is>
          <t>09_Auftraege</t>
        </is>
      </c>
      <c r="B21" s="29" t="inlineStr">
        <is>
          <t>Beauftragte Verträge</t>
        </is>
      </c>
    </row>
    <row r="22">
      <c r="A22" s="25" t="inlineStr">
        <is>
          <t>10_Stunden</t>
        </is>
      </c>
      <c r="B22" s="26" t="inlineStr">
        <is>
          <t>Zeiterfassung</t>
        </is>
      </c>
    </row>
    <row r="23">
      <c r="A23" s="28" t="inlineStr">
        <is>
          <t>11_Material</t>
        </is>
      </c>
      <c r="B23" s="29" t="inlineStr">
        <is>
          <t>Material und Baustoffe</t>
        </is>
      </c>
    </row>
    <row r="24">
      <c r="A24" s="25" t="inlineStr">
        <is>
          <t>12_Geraete</t>
        </is>
      </c>
      <c r="B24" s="26" t="inlineStr">
        <is>
          <t>Geräte und Fuhrpark</t>
        </is>
      </c>
    </row>
    <row r="25">
      <c r="A25" s="28" t="inlineStr">
        <is>
          <t>13_Ausgangsrechnungen</t>
        </is>
      </c>
      <c r="B25" s="29" t="inlineStr">
        <is>
          <t>Abschlag, Schluss, Anzahlung</t>
        </is>
      </c>
    </row>
    <row r="26">
      <c r="A26" s="25" t="inlineStr">
        <is>
          <t>14_Eingangsrechnungen</t>
        </is>
      </c>
      <c r="B26" s="26" t="inlineStr">
        <is>
          <t>Kreditoren</t>
        </is>
      </c>
    </row>
    <row r="27">
      <c r="A27" s="28" t="inlineStr">
        <is>
          <t>15_Zahlungen</t>
        </is>
      </c>
      <c r="B27" s="29" t="inlineStr">
        <is>
          <t>Bank- und Kassenbewegungen</t>
        </is>
      </c>
    </row>
    <row r="28">
      <c r="A28" s="25" t="inlineStr">
        <is>
          <t>16_OPOS</t>
        </is>
      </c>
      <c r="B28" s="26" t="inlineStr">
        <is>
          <t>Offene Posten Debitor / Kreditor</t>
        </is>
      </c>
    </row>
    <row r="29">
      <c r="A29" s="28" t="inlineStr">
        <is>
          <t>17_Mahnwesen</t>
        </is>
      </c>
      <c r="B29" s="29" t="inlineStr">
        <is>
          <t>Mahnstufen und Fristen</t>
        </is>
      </c>
    </row>
    <row r="30">
      <c r="A30" s="25" t="inlineStr">
        <is>
          <t>18_Gewaehrleistung</t>
        </is>
      </c>
      <c r="B30" s="26" t="inlineStr">
        <is>
          <t>Einbehalte und Avale</t>
        </is>
      </c>
    </row>
    <row r="31">
      <c r="A31" s="28" t="inlineStr">
        <is>
          <t>19_Cashflow</t>
        </is>
      </c>
      <c r="B31" s="29" t="inlineStr">
        <is>
          <t>Cashflow nach Herkunft</t>
        </is>
      </c>
    </row>
    <row r="32">
      <c r="A32" s="25" t="inlineStr">
        <is>
          <t>20_Liquiditaet</t>
        </is>
      </c>
      <c r="B32" s="26" t="inlineStr">
        <is>
          <t>13-Wochen- und 12-Monatsplan</t>
        </is>
      </c>
    </row>
    <row r="33">
      <c r="A33" s="28" t="inlineStr">
        <is>
          <t>21_Forecast</t>
        </is>
      </c>
      <c r="B33" s="29" t="inlineStr">
        <is>
          <t>Umsatz- und Ergebnisforecast</t>
        </is>
      </c>
    </row>
    <row r="34">
      <c r="A34" s="25" t="inlineStr">
        <is>
          <t>22_BWA</t>
        </is>
      </c>
      <c r="B34" s="26" t="inlineStr">
        <is>
          <t>Kurz-BWA / GuV</t>
        </is>
      </c>
    </row>
    <row r="35">
      <c r="A35" s="28" t="inlineStr">
        <is>
          <t>23_SollIst</t>
        </is>
      </c>
      <c r="B35" s="29" t="inlineStr">
        <is>
          <t>Projekt-Soll-Ist</t>
        </is>
      </c>
    </row>
    <row r="36">
      <c r="A36" s="25" t="inlineStr">
        <is>
          <t>24_Dashboard</t>
        </is>
      </c>
      <c r="B36" s="26" t="inlineStr">
        <is>
          <t>KPI-Cockpit</t>
        </is>
      </c>
    </row>
    <row r="37">
      <c r="A37" s="28" t="inlineStr">
        <is>
          <t>25_Form_Angebot</t>
        </is>
      </c>
      <c r="B37" s="29" t="inlineStr">
        <is>
          <t>Formular Angebot</t>
        </is>
      </c>
    </row>
    <row r="38">
      <c r="A38" s="25" t="inlineStr">
        <is>
          <t>26_Form_Rechnung</t>
        </is>
      </c>
      <c r="B38" s="26" t="inlineStr">
        <is>
          <t>Formular Rechnung</t>
        </is>
      </c>
    </row>
    <row r="39">
      <c r="A39" s="28" t="inlineStr">
        <is>
          <t>27_Form_Abnahme</t>
        </is>
      </c>
      <c r="B39" s="29" t="inlineStr">
        <is>
          <t>Formular Abnahme</t>
        </is>
      </c>
    </row>
    <row r="40">
      <c r="A40" s="25" t="inlineStr">
        <is>
          <t>28_Form_Bautage</t>
        </is>
      </c>
      <c r="B40" s="26" t="inlineStr">
        <is>
          <t>Bautagesbericht</t>
        </is>
      </c>
    </row>
    <row r="41">
      <c r="A41" s="28" t="inlineStr">
        <is>
          <t>29_Form_Mahnung</t>
        </is>
      </c>
      <c r="B41" s="29" t="inlineStr">
        <is>
          <t>Formular Mahnung</t>
        </is>
      </c>
    </row>
    <row r="42">
      <c r="A42" s="25" t="inlineStr">
        <is>
          <t>30_Import</t>
        </is>
      </c>
      <c r="B42" s="26" t="inlineStr">
        <is>
          <t>CSV- und DATEV-Import</t>
        </is>
      </c>
    </row>
    <row r="43">
      <c r="A43" s="28" t="inlineStr">
        <is>
          <t>31_Anleitung</t>
        </is>
      </c>
      <c r="B43" s="29" t="inlineStr">
        <is>
          <t>Bedienung für die Buchhaltung</t>
        </is>
      </c>
    </row>
  </sheetData>
  <mergeCells count="7">
    <mergeCell ref="A2:H2"/>
    <mergeCell ref="A5:F5"/>
    <mergeCell ref="A9:F9"/>
    <mergeCell ref="A8:F8"/>
    <mergeCell ref="A6:F6"/>
    <mergeCell ref="A1:H1"/>
    <mergeCell ref="A7:F7"/>
  </mergeCells>
  <hyperlinks>
    <hyperlink xmlns:r="http://schemas.openxmlformats.org/officeDocument/2006/relationships" ref="A12" r:id="rId1"/>
    <hyperlink xmlns:r="http://schemas.openxmlformats.org/officeDocument/2006/relationships" ref="D12" r:id="rId2"/>
    <hyperlink xmlns:r="http://schemas.openxmlformats.org/officeDocument/2006/relationships" ref="A13" r:id="rId3"/>
    <hyperlink xmlns:r="http://schemas.openxmlformats.org/officeDocument/2006/relationships" ref="D13" r:id="rId4"/>
    <hyperlink xmlns:r="http://schemas.openxmlformats.org/officeDocument/2006/relationships" ref="A14" r:id="rId5"/>
    <hyperlink xmlns:r="http://schemas.openxmlformats.org/officeDocument/2006/relationships" ref="D14" r:id="rId6"/>
    <hyperlink xmlns:r="http://schemas.openxmlformats.org/officeDocument/2006/relationships" ref="A15" r:id="rId7"/>
    <hyperlink xmlns:r="http://schemas.openxmlformats.org/officeDocument/2006/relationships" ref="D15" r:id="rId8"/>
    <hyperlink xmlns:r="http://schemas.openxmlformats.org/officeDocument/2006/relationships" ref="A16" r:id="rId9"/>
    <hyperlink xmlns:r="http://schemas.openxmlformats.org/officeDocument/2006/relationships" ref="D16" r:id="rId10"/>
    <hyperlink xmlns:r="http://schemas.openxmlformats.org/officeDocument/2006/relationships" ref="A17" r:id="rId11"/>
    <hyperlink xmlns:r="http://schemas.openxmlformats.org/officeDocument/2006/relationships" ref="D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  <hyperlink xmlns:r="http://schemas.openxmlformats.org/officeDocument/2006/relationships" ref="A31" r:id="rId26"/>
    <hyperlink xmlns:r="http://schemas.openxmlformats.org/officeDocument/2006/relationships" ref="A32" r:id="rId27"/>
    <hyperlink xmlns:r="http://schemas.openxmlformats.org/officeDocument/2006/relationships" ref="A33" r:id="rId28"/>
    <hyperlink xmlns:r="http://schemas.openxmlformats.org/officeDocument/2006/relationships" ref="A34" r:id="rId29"/>
    <hyperlink xmlns:r="http://schemas.openxmlformats.org/officeDocument/2006/relationships" ref="A35" r:id="rId30"/>
    <hyperlink xmlns:r="http://schemas.openxmlformats.org/officeDocument/2006/relationships" ref="A36" r:id="rId31"/>
    <hyperlink xmlns:r="http://schemas.openxmlformats.org/officeDocument/2006/relationships" ref="A37" r:id="rId32"/>
    <hyperlink xmlns:r="http://schemas.openxmlformats.org/officeDocument/2006/relationships" ref="A38" r:id="rId33"/>
    <hyperlink xmlns:r="http://schemas.openxmlformats.org/officeDocument/2006/relationships" ref="A39" r:id="rId34"/>
    <hyperlink xmlns:r="http://schemas.openxmlformats.org/officeDocument/2006/relationships" ref="A40" r:id="rId35"/>
    <hyperlink xmlns:r="http://schemas.openxmlformats.org/officeDocument/2006/relationships" ref="A41" r:id="rId36"/>
    <hyperlink xmlns:r="http://schemas.openxmlformats.org/officeDocument/2006/relationships" ref="A42" r:id="rId37"/>
    <hyperlink xmlns:r="http://schemas.openxmlformats.org/officeDocument/2006/relationships" ref="A43" r:id="rId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365D"/>
    <outlinePr summaryBelow="1" summaryRight="1"/>
    <pageSetUpPr/>
  </sheetPr>
  <dimension ref="A1:P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18" customWidth="1" min="4" max="4"/>
    <col width="22" customWidth="1" min="5" max="5"/>
    <col width="18" customWidth="1" min="6" max="6"/>
    <col width="22" customWidth="1" min="7" max="7"/>
    <col width="16" customWidth="1" min="8" max="8"/>
  </cols>
  <sheetData>
    <row r="1" ht="28" customHeight="1">
      <c r="A1" s="1" t="inlineStr">
        <is>
          <t>Stammdaten und Steuerungsparameter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J1" s="3" t="n"/>
      <c r="K1" s="3" t="n"/>
      <c r="L1" s="3" t="n"/>
      <c r="M1" s="3" t="n"/>
      <c r="N1" s="3" t="n"/>
      <c r="O1" s="3" t="n"/>
      <c r="P1" s="3" t="n"/>
    </row>
    <row r="2" ht="18" customHeight="1">
      <c r="A2" s="4" t="inlineStr">
        <is>
          <t>Einmal pflegen — alle Formulare, USt-Berechnungen und Liquiditätsgrenzen greifen hierauf zu</t>
        </is>
      </c>
      <c r="B2" s="5" t="n"/>
      <c r="C2" s="5" t="n"/>
      <c r="D2" s="5" t="n"/>
      <c r="E2" s="5" t="n"/>
      <c r="F2" s="5" t="n"/>
      <c r="G2" s="5" t="n"/>
      <c r="H2" s="5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20" t="inlineStr">
        <is>
          <t>Firma</t>
        </is>
      </c>
      <c r="B4" s="3" t="n"/>
      <c r="C4" s="3" t="n"/>
      <c r="D4" s="3" t="n"/>
      <c r="E4" s="20" t="inlineStr">
        <is>
          <t>Parameter (wirken auf alle Blätter)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inlineStr">
        <is>
          <t>Firmenname</t>
        </is>
      </c>
      <c r="B5" s="30" t="inlineStr">
        <is>
          <t>Bergmann Hoch- und Tiefbau GmbH</t>
        </is>
      </c>
      <c r="C5" s="18" t="n"/>
      <c r="D5" s="3" t="n"/>
      <c r="E5" s="3" t="inlineStr">
        <is>
          <t>Geschäftsjahr</t>
        </is>
      </c>
      <c r="F5" s="31" t="n">
        <v>2026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inlineStr">
        <is>
          <t>Straße</t>
        </is>
      </c>
      <c r="B6" s="30" t="inlineStr">
        <is>
          <t>Industriestraße 18</t>
        </is>
      </c>
      <c r="C6" s="18" t="n"/>
      <c r="D6" s="3" t="n"/>
      <c r="E6" s="3" t="inlineStr">
        <is>
          <t>USt-Satz</t>
        </is>
      </c>
      <c r="F6" s="32" t="n">
        <v>0.19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3" t="inlineStr">
        <is>
          <t>PLZ</t>
        </is>
      </c>
      <c r="B7" s="30" t="inlineStr">
        <is>
          <t>85356</t>
        </is>
      </c>
      <c r="C7" s="18" t="n"/>
      <c r="E7" s="33" t="inlineStr">
        <is>
          <t>Skonto %</t>
        </is>
      </c>
      <c r="F7" s="32" t="n">
        <v>0.02</v>
      </c>
    </row>
    <row r="8">
      <c r="A8" s="33" t="inlineStr">
        <is>
          <t>Ort</t>
        </is>
      </c>
      <c r="B8" s="30" t="inlineStr">
        <is>
          <t>Freising</t>
        </is>
      </c>
      <c r="C8" s="18" t="n"/>
      <c r="E8" s="33" t="inlineStr">
        <is>
          <t>Skonto Tage</t>
        </is>
      </c>
      <c r="F8" s="31" t="n">
        <v>10</v>
      </c>
    </row>
    <row r="9">
      <c r="A9" s="33" t="inlineStr">
        <is>
          <t>Telefon</t>
        </is>
      </c>
      <c r="B9" s="30" t="inlineStr">
        <is>
          <t>+49 8161 4900-0</t>
        </is>
      </c>
      <c r="C9" s="18" t="n"/>
      <c r="E9" s="33" t="inlineStr">
        <is>
          <t>Zahlungsziel Kunden (Tage)</t>
        </is>
      </c>
      <c r="F9" s="31" t="n">
        <v>30</v>
      </c>
    </row>
    <row r="10">
      <c r="A10" s="33" t="inlineStr">
        <is>
          <t>E-Mail</t>
        </is>
      </c>
      <c r="B10" s="30" t="inlineStr">
        <is>
          <t>buchhaltung@bergmann-bau.de</t>
        </is>
      </c>
      <c r="C10" s="18" t="n"/>
      <c r="E10" s="33" t="inlineStr">
        <is>
          <t>Sicherheitseinbehalt %</t>
        </is>
      </c>
      <c r="F10" s="32" t="n">
        <v>0.05</v>
      </c>
    </row>
    <row r="11">
      <c r="A11" s="33" t="inlineStr">
        <is>
          <t>USt-IdNr.</t>
        </is>
      </c>
      <c r="B11" s="30" t="inlineStr">
        <is>
          <t>DE129847331</t>
        </is>
      </c>
      <c r="C11" s="18" t="n"/>
      <c r="E11" s="33" t="inlineStr">
        <is>
          <t>Gewährleistung Jahre</t>
        </is>
      </c>
      <c r="F11" s="31" t="n">
        <v>5</v>
      </c>
    </row>
    <row r="12">
      <c r="A12" s="33" t="inlineStr">
        <is>
          <t>Steuernummer</t>
        </is>
      </c>
      <c r="B12" s="30" t="inlineStr">
        <is>
          <t>115/215/30817</t>
        </is>
      </c>
      <c r="C12" s="18" t="n"/>
      <c r="E12" s="33" t="inlineStr">
        <is>
          <t>Mindestliquidität</t>
        </is>
      </c>
      <c r="F12" s="34" t="n">
        <v>180000</v>
      </c>
    </row>
    <row r="13">
      <c r="A13" s="33" t="inlineStr">
        <is>
          <t>Handelsregister</t>
        </is>
      </c>
      <c r="B13" s="30" t="inlineStr">
        <is>
          <t>HRB 18442 Amtsgericht München</t>
        </is>
      </c>
      <c r="C13" s="18" t="n"/>
      <c r="E13" s="33" t="inlineStr">
        <is>
          <t>Anfangsbestand Bank 01.01.</t>
        </is>
      </c>
      <c r="F13" s="34" t="n">
        <v>285400</v>
      </c>
    </row>
    <row r="14">
      <c r="A14" s="33" t="inlineStr">
        <is>
          <t>Geschäftsführer</t>
        </is>
      </c>
      <c r="B14" s="30" t="inlineStr">
        <is>
          <t>Andreas Bergmann</t>
        </is>
      </c>
      <c r="C14" s="18" t="n"/>
      <c r="E14" s="33" t="inlineStr">
        <is>
          <t>Kreditlinie</t>
        </is>
      </c>
      <c r="F14" s="34" t="n">
        <v>250000</v>
      </c>
    </row>
    <row r="15">
      <c r="A15" s="33" t="inlineStr">
        <is>
          <t>IBAN</t>
        </is>
      </c>
      <c r="B15" s="30" t="inlineStr">
        <is>
          <t>DE89 7005 0000 0000 1844 21</t>
        </is>
      </c>
      <c r="C15" s="18" t="n"/>
      <c r="E15" s="33" t="inlineStr">
        <is>
          <t>Sollstunden / Monat</t>
        </is>
      </c>
      <c r="F15" s="35" t="n">
        <v>160</v>
      </c>
    </row>
    <row r="16">
      <c r="A16" s="33" t="inlineStr">
        <is>
          <t>BIC</t>
        </is>
      </c>
      <c r="B16" s="30" t="inlineStr">
        <is>
          <t>BYLADEM1FSI</t>
        </is>
      </c>
      <c r="C16" s="18" t="n"/>
      <c r="E16" s="33" t="inlineStr">
        <is>
          <t>Mittl. Verrechnungssatz</t>
        </is>
      </c>
      <c r="F16" s="34" t="n">
        <v>68.5</v>
      </c>
    </row>
    <row r="17">
      <c r="A17" s="33" t="inlineStr">
        <is>
          <t>Bank</t>
        </is>
      </c>
      <c r="B17" s="30" t="inlineStr">
        <is>
          <t>Sparkasse Freising</t>
        </is>
      </c>
      <c r="C17" s="18" t="n"/>
      <c r="E17" s="33" t="inlineStr">
        <is>
          <t>AGK-Zuschlag Angebot</t>
        </is>
      </c>
      <c r="F17" s="32" t="n">
        <v>0.12</v>
      </c>
    </row>
    <row r="18">
      <c r="E18" s="33" t="inlineStr">
        <is>
          <t>Wagnis + Gewinn</t>
        </is>
      </c>
      <c r="F18" s="32" t="n">
        <v>0.05</v>
      </c>
    </row>
    <row r="19">
      <c r="E19" s="33" t="inlineStr">
        <is>
          <t>Buchhaltung</t>
        </is>
      </c>
      <c r="F19" s="30" t="inlineStr">
        <is>
          <t>Claudia Meier</t>
        </is>
      </c>
    </row>
    <row r="20">
      <c r="A20" s="36" t="inlineStr">
        <is>
          <t>Auswahl-Listen (Dropdown-Quellen)</t>
        </is>
      </c>
    </row>
    <row r="21">
      <c r="A21" s="37" t="inlineStr">
        <is>
          <t>status_projekt</t>
        </is>
      </c>
      <c r="B21" s="37" t="inlineStr">
        <is>
          <t>status_beleg</t>
        </is>
      </c>
      <c r="C21" s="37" t="inlineStr">
        <is>
          <t>status_angebot</t>
        </is>
      </c>
      <c r="D21" s="37" t="inlineStr">
        <is>
          <t>art_projekt</t>
        </is>
      </c>
      <c r="E21" s="37" t="inlineStr">
        <is>
          <t>vertrag</t>
        </is>
      </c>
      <c r="F21" s="37" t="inlineStr">
        <is>
          <t>ar_typ</t>
        </is>
      </c>
      <c r="G21" s="37" t="inlineStr">
        <is>
          <t>er_typ</t>
        </is>
      </c>
      <c r="H21" s="37" t="inlineStr">
        <is>
          <t>zahlung_art</t>
        </is>
      </c>
    </row>
    <row r="22">
      <c r="A22" s="30" t="inlineStr">
        <is>
          <t>geplant</t>
        </is>
      </c>
      <c r="B22" s="30" t="inlineStr">
        <is>
          <t>offen</t>
        </is>
      </c>
      <c r="C22" s="30" t="inlineStr">
        <is>
          <t>offen</t>
        </is>
      </c>
      <c r="D22" s="30" t="inlineStr">
        <is>
          <t>Hochbau</t>
        </is>
      </c>
      <c r="E22" s="30" t="inlineStr">
        <is>
          <t>VOB/B</t>
        </is>
      </c>
      <c r="F22" s="30" t="inlineStr">
        <is>
          <t>Abschlag</t>
        </is>
      </c>
      <c r="G22" s="30" t="inlineStr">
        <is>
          <t>Material</t>
        </is>
      </c>
      <c r="H22" s="30" t="inlineStr">
        <is>
          <t>Eingang</t>
        </is>
      </c>
    </row>
    <row r="23">
      <c r="A23" s="30" t="inlineStr">
        <is>
          <t>beauftragt</t>
        </is>
      </c>
      <c r="B23" s="30" t="inlineStr">
        <is>
          <t>teilbezahlt</t>
        </is>
      </c>
      <c r="C23" s="30" t="inlineStr">
        <is>
          <t>verhandelt</t>
        </is>
      </c>
      <c r="D23" s="30" t="inlineStr">
        <is>
          <t>Tiefbau</t>
        </is>
      </c>
      <c r="E23" s="30" t="inlineStr">
        <is>
          <t>BGB</t>
        </is>
      </c>
      <c r="F23" s="30" t="inlineStr">
        <is>
          <t>Anzahlung</t>
        </is>
      </c>
      <c r="G23" s="30" t="inlineStr">
        <is>
          <t>Nachunternehmer</t>
        </is>
      </c>
      <c r="H23" s="30" t="inlineStr">
        <is>
          <t>Ausgang</t>
        </is>
      </c>
    </row>
    <row r="24">
      <c r="A24" s="30" t="inlineStr">
        <is>
          <t>in Bau</t>
        </is>
      </c>
      <c r="B24" s="30" t="inlineStr">
        <is>
          <t>bezahlt</t>
        </is>
      </c>
      <c r="C24" s="30" t="inlineStr">
        <is>
          <t>angenommen</t>
        </is>
      </c>
      <c r="D24" s="30" t="inlineStr">
        <is>
          <t>Sanierung</t>
        </is>
      </c>
      <c r="E24" s="30" t="inlineStr">
        <is>
          <t>Einheitspreis</t>
        </is>
      </c>
      <c r="F24" s="30" t="inlineStr">
        <is>
          <t>Schluss</t>
        </is>
      </c>
      <c r="G24" s="30" t="inlineStr">
        <is>
          <t>Gerät</t>
        </is>
      </c>
    </row>
    <row r="25">
      <c r="A25" s="30" t="inlineStr">
        <is>
          <t>abgenommen</t>
        </is>
      </c>
      <c r="B25" s="30" t="inlineStr">
        <is>
          <t>gemahnt</t>
        </is>
      </c>
      <c r="C25" s="30" t="inlineStr">
        <is>
          <t>abgelehnt</t>
        </is>
      </c>
      <c r="D25" s="30" t="inlineStr">
        <is>
          <t>Industrie</t>
        </is>
      </c>
      <c r="E25" s="30" t="inlineStr">
        <is>
          <t>Pauschal</t>
        </is>
      </c>
      <c r="F25" s="30" t="inlineStr">
        <is>
          <t>Gutschrift</t>
        </is>
      </c>
      <c r="G25" s="30" t="inlineStr">
        <is>
          <t>Dienstleistung</t>
        </is>
      </c>
    </row>
    <row r="26">
      <c r="A26" s="30" t="inlineStr">
        <is>
          <t>abgeschlossen</t>
        </is>
      </c>
      <c r="B26" s="30" t="inlineStr">
        <is>
          <t>überfällig</t>
        </is>
      </c>
      <c r="C26" s="30" t="inlineStr">
        <is>
          <t>zurückgezogen</t>
        </is>
      </c>
      <c r="D26" s="30" t="inlineStr">
        <is>
          <t>Wohnungsbau</t>
        </is>
      </c>
      <c r="E26" s="30" t="inlineStr">
        <is>
          <t>GMP</t>
        </is>
      </c>
      <c r="F26" s="30" t="inlineStr">
        <is>
          <t>Nachtrag</t>
        </is>
      </c>
      <c r="G26" s="30" t="inlineStr">
        <is>
          <t>Allgemein</t>
        </is>
      </c>
    </row>
    <row r="27">
      <c r="A27" s="30" t="inlineStr">
        <is>
          <t>stopp</t>
        </is>
      </c>
      <c r="B27" s="30" t="inlineStr">
        <is>
          <t>storniert</t>
        </is>
      </c>
      <c r="D27" s="30" t="inlineStr">
        <is>
          <t>Schlüsselfertig</t>
        </is>
      </c>
    </row>
    <row r="28">
      <c r="A28" s="30" t="inlineStr">
        <is>
          <t>Gewährleistung</t>
        </is>
      </c>
    </row>
    <row r="32">
      <c r="A32" s="36" t="inlineStr">
        <is>
          <t>Kostenarten (BWA / Soll-Ist)</t>
        </is>
      </c>
    </row>
    <row r="33" ht="28" customHeight="1">
      <c r="A33" s="17" t="inlineStr">
        <is>
          <t>Nr</t>
        </is>
      </c>
      <c r="B33" s="17" t="inlineStr">
        <is>
          <t>Bezeichnung</t>
        </is>
      </c>
      <c r="C33" s="17" t="inlineStr">
        <is>
          <t>Gruppe</t>
        </is>
      </c>
      <c r="D33" s="17" t="inlineStr">
        <is>
          <t>SKR-Konto</t>
        </is>
      </c>
    </row>
    <row r="34">
      <c r="A34" s="30" t="inlineStr">
        <is>
          <t>KA-10</t>
        </is>
      </c>
      <c r="B34" s="30" t="inlineStr">
        <is>
          <t>Fertigungslöhne</t>
        </is>
      </c>
      <c r="C34" s="30" t="inlineStr">
        <is>
          <t>Personal</t>
        </is>
      </c>
      <c r="D34" s="31" t="n">
        <v>4100</v>
      </c>
    </row>
    <row r="35">
      <c r="A35" s="30" t="inlineStr">
        <is>
          <t>KA-11</t>
        </is>
      </c>
      <c r="B35" s="30" t="inlineStr">
        <is>
          <t>Gehältersatz</t>
        </is>
      </c>
      <c r="C35" s="30" t="inlineStr">
        <is>
          <t>Personal</t>
        </is>
      </c>
      <c r="D35" s="31" t="n">
        <v>4120</v>
      </c>
    </row>
    <row r="36">
      <c r="A36" s="30" t="inlineStr">
        <is>
          <t>KA-20</t>
        </is>
      </c>
      <c r="B36" s="30" t="inlineStr">
        <is>
          <t>Baustoffe</t>
        </is>
      </c>
      <c r="C36" s="30" t="inlineStr">
        <is>
          <t>Material</t>
        </is>
      </c>
      <c r="D36" s="31" t="n">
        <v>5000</v>
      </c>
    </row>
    <row r="37">
      <c r="A37" s="30" t="inlineStr">
        <is>
          <t>KA-21</t>
        </is>
      </c>
      <c r="B37" s="30" t="inlineStr">
        <is>
          <t>Hilfsstoffe</t>
        </is>
      </c>
      <c r="C37" s="30" t="inlineStr">
        <is>
          <t>Material</t>
        </is>
      </c>
      <c r="D37" s="31" t="n">
        <v>5010</v>
      </c>
    </row>
    <row r="38">
      <c r="A38" s="30" t="inlineStr">
        <is>
          <t>KA-30</t>
        </is>
      </c>
      <c r="B38" s="30" t="inlineStr">
        <is>
          <t>Nachunternehmer</t>
        </is>
      </c>
      <c r="C38" s="30" t="inlineStr">
        <is>
          <t>Fremdleistung</t>
        </is>
      </c>
      <c r="D38" s="31" t="n">
        <v>5900</v>
      </c>
    </row>
    <row r="39">
      <c r="A39" s="30" t="inlineStr">
        <is>
          <t>KA-40</t>
        </is>
      </c>
      <c r="B39" s="30" t="inlineStr">
        <is>
          <t>Gerätemiete</t>
        </is>
      </c>
      <c r="C39" s="30" t="inlineStr">
        <is>
          <t>Gerät</t>
        </is>
      </c>
      <c r="D39" s="31" t="n">
        <v>5700</v>
      </c>
    </row>
    <row r="40">
      <c r="A40" s="30" t="inlineStr">
        <is>
          <t>KA-41</t>
        </is>
      </c>
      <c r="B40" s="30" t="inlineStr">
        <is>
          <t>Abschreibung Geräte</t>
        </is>
      </c>
      <c r="C40" s="30" t="inlineStr">
        <is>
          <t>Gerät</t>
        </is>
      </c>
      <c r="D40" s="31" t="n">
        <v>4830</v>
      </c>
    </row>
    <row r="41">
      <c r="A41" s="30" t="inlineStr">
        <is>
          <t>KA-50</t>
        </is>
      </c>
      <c r="B41" s="30" t="inlineStr">
        <is>
          <t>Baustellengemeinkosten</t>
        </is>
      </c>
      <c r="C41" s="30" t="inlineStr">
        <is>
          <t>Gemeinkosten</t>
        </is>
      </c>
      <c r="D41" s="31" t="n">
        <v>4760</v>
      </c>
    </row>
    <row r="42">
      <c r="A42" s="30" t="inlineStr">
        <is>
          <t>KA-60</t>
        </is>
      </c>
      <c r="B42" s="30" t="inlineStr">
        <is>
          <t>Verwaltungsgemeinkosten</t>
        </is>
      </c>
      <c r="C42" s="30" t="inlineStr">
        <is>
          <t>Gemeinkosten</t>
        </is>
      </c>
      <c r="D42" s="31" t="n">
        <v>4900</v>
      </c>
    </row>
    <row r="43">
      <c r="A43" s="30" t="inlineStr">
        <is>
          <t>KA-70</t>
        </is>
      </c>
      <c r="B43" s="30" t="inlineStr">
        <is>
          <t>Zinsen / Aval</t>
        </is>
      </c>
      <c r="C43" s="30" t="inlineStr">
        <is>
          <t>Finanz</t>
        </is>
      </c>
      <c r="D43" s="31" t="n">
        <v>7300</v>
      </c>
    </row>
  </sheetData>
  <mergeCells count="15">
    <mergeCell ref="B13:C13"/>
    <mergeCell ref="B6:C6"/>
    <mergeCell ref="B16:C16"/>
    <mergeCell ref="B15:C15"/>
    <mergeCell ref="B7:C7"/>
    <mergeCell ref="B11:C11"/>
    <mergeCell ref="B5:C5"/>
    <mergeCell ref="A2:H2"/>
    <mergeCell ref="B10:C10"/>
    <mergeCell ref="B14:C14"/>
    <mergeCell ref="A1:H1"/>
    <mergeCell ref="B9:C9"/>
    <mergeCell ref="B8:C8"/>
    <mergeCell ref="B17:C17"/>
    <mergeCell ref="B12:C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B8860B"/>
    <outlinePr summaryBelow="1" summaryRight="1"/>
    <pageSetUpPr/>
  </sheetPr>
  <dimension ref="A1:AF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8" customHeight="1">
      <c r="A1" s="1" t="inlineStr">
        <is>
          <t>Projektstamm und Deckungsbeitrag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18" customHeight="1">
      <c r="A2" s="4" t="inlineStr">
        <is>
          <t>Auftrag, Nachträge, Ist-Leistung und Kosten werden automatisch verdichtet — Ampel über Marge und OP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</row>
    <row r="3" ht="28" customHeight="1">
      <c r="A3" s="17" t="inlineStr">
        <is>
          <t>Nr</t>
        </is>
      </c>
      <c r="B3" s="17" t="inlineStr">
        <is>
          <t>Name</t>
        </is>
      </c>
      <c r="C3" s="17" t="inlineStr">
        <is>
          <t>Kunde</t>
        </is>
      </c>
      <c r="D3" s="17" t="inlineStr">
        <is>
          <t>Art</t>
        </is>
      </c>
      <c r="E3" s="17" t="inlineStr">
        <is>
          <t>Vertrag</t>
        </is>
      </c>
      <c r="F3" s="17" t="inlineStr">
        <is>
          <t>Status</t>
        </is>
      </c>
      <c r="G3" s="17" t="inlineStr">
        <is>
          <t>Start</t>
        </is>
      </c>
      <c r="H3" s="17" t="inlineStr">
        <is>
          <t>Ende Plan</t>
        </is>
      </c>
      <c r="I3" s="17" t="inlineStr">
        <is>
          <t>Ende Ist</t>
        </is>
      </c>
      <c r="J3" s="17" t="inlineStr">
        <is>
          <t>Auftrag netto</t>
        </is>
      </c>
      <c r="K3" s="17" t="inlineStr">
        <is>
          <t>Budget Material</t>
        </is>
      </c>
      <c r="L3" s="17" t="inlineStr">
        <is>
          <t>Budget NU</t>
        </is>
      </c>
      <c r="M3" s="17" t="inlineStr">
        <is>
          <t>Budget Lohn</t>
        </is>
      </c>
      <c r="N3" s="17" t="inlineStr">
        <is>
          <t>Budget Gerät</t>
        </is>
      </c>
      <c r="O3" s="17" t="inlineStr">
        <is>
          <t>Budget GK</t>
        </is>
      </c>
      <c r="P3" s="17" t="inlineStr">
        <is>
          <t>Einbehalt %</t>
        </is>
      </c>
      <c r="Q3" s="17" t="inlineStr">
        <is>
          <t>Bauleiter</t>
        </is>
      </c>
      <c r="R3" s="17" t="inlineStr">
        <is>
          <t>Polier</t>
        </is>
      </c>
      <c r="S3" s="17" t="inlineStr">
        <is>
          <t>Ort</t>
        </is>
      </c>
      <c r="T3" s="17" t="inlineStr">
        <is>
          <t>Notiz</t>
        </is>
      </c>
      <c r="U3" s="17" t="inlineStr">
        <is>
          <t>Nachträge beauftr.</t>
        </is>
      </c>
      <c r="V3" s="17" t="inlineStr">
        <is>
          <t>Auftrag aktuell</t>
        </is>
      </c>
      <c r="W3" s="17" t="inlineStr">
        <is>
          <t>Ist Leistung</t>
        </is>
      </c>
      <c r="X3" s="17" t="inlineStr">
        <is>
          <t>Ist Material</t>
        </is>
      </c>
      <c r="Y3" s="17" t="inlineStr">
        <is>
          <t>Ist NU</t>
        </is>
      </c>
      <c r="Z3" s="17" t="inlineStr">
        <is>
          <t>Ist Lohn</t>
        </is>
      </c>
      <c r="AA3" s="17" t="inlineStr">
        <is>
          <t>Ist Kosten</t>
        </is>
      </c>
      <c r="AB3" s="17" t="inlineStr">
        <is>
          <t>DB Ist</t>
        </is>
      </c>
      <c r="AC3" s="17" t="inlineStr">
        <is>
          <t>Marge %</t>
        </is>
      </c>
      <c r="AD3" s="17" t="inlineStr">
        <is>
          <t>Fertigstellung</t>
        </is>
      </c>
      <c r="AE3" s="17" t="inlineStr">
        <is>
          <t>Restumsatz</t>
        </is>
      </c>
      <c r="AF3" s="17" t="inlineStr">
        <is>
          <t>OP Debitor</t>
        </is>
      </c>
    </row>
    <row r="4">
      <c r="A4" s="30" t="inlineStr">
        <is>
          <t>P-2026-001</t>
        </is>
      </c>
      <c r="B4" s="30" t="inlineStr">
        <is>
          <t>Wohnquartier Am Park</t>
        </is>
      </c>
      <c r="C4" s="30" t="inlineStr">
        <is>
          <t>K-1001</t>
        </is>
      </c>
      <c r="D4" s="30" t="inlineStr">
        <is>
          <t>Hochbau</t>
        </is>
      </c>
      <c r="E4" s="30" t="inlineStr">
        <is>
          <t>VOB/B</t>
        </is>
      </c>
      <c r="F4" s="30" t="inlineStr">
        <is>
          <t>in Bau</t>
        </is>
      </c>
      <c r="G4" s="38" t="n">
        <v>46035</v>
      </c>
      <c r="H4" s="38" t="n">
        <v>46356</v>
      </c>
      <c r="I4" s="38" t="n"/>
      <c r="J4" s="34" t="n">
        <v>2400000</v>
      </c>
      <c r="K4" s="34" t="n">
        <v>720000</v>
      </c>
      <c r="L4" s="34" t="n">
        <v>380000</v>
      </c>
      <c r="M4" s="34" t="n">
        <v>510000</v>
      </c>
      <c r="N4" s="34" t="n">
        <v>95000</v>
      </c>
      <c r="O4" s="34" t="n">
        <v>145000</v>
      </c>
      <c r="P4" s="32" t="n">
        <v>0.05</v>
      </c>
      <c r="Q4" s="30" t="inlineStr">
        <is>
          <t>MA-07</t>
        </is>
      </c>
      <c r="R4" s="30" t="inlineStr">
        <is>
          <t>MA-03</t>
        </is>
      </c>
      <c r="S4" s="30" t="inlineStr">
        <is>
          <t>München</t>
        </is>
      </c>
      <c r="T4" s="30" t="inlineStr">
        <is>
          <t>6 Mehrfamilienhäuser, 48 WE</t>
        </is>
      </c>
      <c r="U4" s="15">
        <f>IF(A4="","",SUMIFS('07_Nachtraege'!$E:$E,'07_Nachtraege'!$B:$B,A4,'07_Nachtraege'!$F:$F,"beauftragt"))</f>
        <v/>
      </c>
      <c r="V4" s="15">
        <f>IF(A4="","",J4+U4)</f>
        <v/>
      </c>
      <c r="W4" s="15">
        <f>IF(A4="","",SUMIFS('13_Ausgangsrechnungen'!$G:$G,'13_Ausgangsrechnungen'!$C:$C,A4))</f>
        <v/>
      </c>
      <c r="X4" s="15">
        <f>IF(A4="","",SUMIFS('11_Material'!$L:$L,'11_Material'!$C:$C,A4))</f>
        <v/>
      </c>
      <c r="Y4" s="15">
        <f>IF(A4="","",SUMIFS('14_Eingangsrechnungen'!$F:$F,'14_Eingangsrechnungen'!$C:$C,A4,'14_Eingangsrechnungen'!$E:$E,"Nachunternehmer"))</f>
        <v/>
      </c>
      <c r="Z4" s="15">
        <f>IF(A4="","",SUMIFS('10_Stunden'!$K:$K,'10_Stunden'!$C:$C,A4))</f>
        <v/>
      </c>
      <c r="AA4" s="15">
        <f>IF(A4="","",X4+Y4+Z4+SUMIFS('14_Eingangsrechnungen'!$F:$F,'14_Eingangsrechnungen'!$C:$C,A4,'14_Eingangsrechnungen'!$E:$E,"Gerät")+SUMIFS('14_Eingangsrechnungen'!$F:$F,'14_Eingangsrechnungen'!$C:$C,A4,'14_Eingangsrechnungen'!$E:$E,"Dienstleistung"))</f>
        <v/>
      </c>
      <c r="AB4" s="15">
        <f>IF(A4="","",W4-AA4)</f>
        <v/>
      </c>
      <c r="AC4" s="19">
        <f>IF(OR(A4="",W4=0),"",AB4/W4)</f>
        <v/>
      </c>
      <c r="AD4" s="19">
        <f>IF(OR(A4="",V4=0),"",W4/V4)</f>
        <v/>
      </c>
      <c r="AE4" s="15">
        <f>IF(A4="","",MAX(0,V4-W4))</f>
        <v/>
      </c>
      <c r="AF4" s="15">
        <f>IF(A4="","",SUMIFS('13_Ausgangsrechnungen'!$R:$R,'13_Ausgangsrechnungen'!$C:$C,A4))</f>
        <v/>
      </c>
    </row>
    <row r="5">
      <c r="A5" s="30" t="inlineStr">
        <is>
          <t>P-2026-002</t>
        </is>
      </c>
      <c r="B5" s="30" t="inlineStr">
        <is>
          <t>Kita Sonnenweg</t>
        </is>
      </c>
      <c r="C5" s="30" t="inlineStr">
        <is>
          <t>K-1003</t>
        </is>
      </c>
      <c r="D5" s="30" t="inlineStr">
        <is>
          <t>Hochbau</t>
        </is>
      </c>
      <c r="E5" s="30" t="inlineStr">
        <is>
          <t>VOB/B</t>
        </is>
      </c>
      <c r="F5" s="30" t="inlineStr">
        <is>
          <t>in Bau</t>
        </is>
      </c>
      <c r="G5" s="38" t="n">
        <v>46083</v>
      </c>
      <c r="H5" s="38" t="n">
        <v>46310</v>
      </c>
      <c r="I5" s="38" t="n"/>
      <c r="J5" s="34" t="n">
        <v>890000</v>
      </c>
      <c r="K5" s="34" t="n">
        <v>250000</v>
      </c>
      <c r="L5" s="34" t="n">
        <v>145000</v>
      </c>
      <c r="M5" s="34" t="n">
        <v>210000</v>
      </c>
      <c r="N5" s="34" t="n">
        <v>38000</v>
      </c>
      <c r="O5" s="34" t="n">
        <v>52000</v>
      </c>
      <c r="P5" s="32" t="n">
        <v>0.05</v>
      </c>
      <c r="Q5" s="30" t="inlineStr">
        <is>
          <t>MA-07</t>
        </is>
      </c>
      <c r="R5" s="30" t="inlineStr">
        <is>
          <t>MA-03</t>
        </is>
      </c>
      <c r="S5" s="30" t="inlineStr">
        <is>
          <t>Freising</t>
        </is>
      </c>
      <c r="T5" s="30" t="inlineStr">
        <is>
          <t>Neubau 4-gruppige Kita</t>
        </is>
      </c>
      <c r="U5" s="15">
        <f>IF(A5="","",SUMIFS('07_Nachtraege'!$E:$E,'07_Nachtraege'!$B:$B,A5,'07_Nachtraege'!$F:$F,"beauftragt"))</f>
        <v/>
      </c>
      <c r="V5" s="15">
        <f>IF(A5="","",J5+U5)</f>
        <v/>
      </c>
      <c r="W5" s="15">
        <f>IF(A5="","",SUMIFS('13_Ausgangsrechnungen'!$G:$G,'13_Ausgangsrechnungen'!$C:$C,A5))</f>
        <v/>
      </c>
      <c r="X5" s="15">
        <f>IF(A5="","",SUMIFS('11_Material'!$L:$L,'11_Material'!$C:$C,A5))</f>
        <v/>
      </c>
      <c r="Y5" s="15">
        <f>IF(A5="","",SUMIFS('14_Eingangsrechnungen'!$F:$F,'14_Eingangsrechnungen'!$C:$C,A5,'14_Eingangsrechnungen'!$E:$E,"Nachunternehmer"))</f>
        <v/>
      </c>
      <c r="Z5" s="15">
        <f>IF(A5="","",SUMIFS('10_Stunden'!$K:$K,'10_Stunden'!$C:$C,A5))</f>
        <v/>
      </c>
      <c r="AA5" s="15">
        <f>IF(A5="","",X5+Y5+Z5+SUMIFS('14_Eingangsrechnungen'!$F:$F,'14_Eingangsrechnungen'!$C:$C,A5,'14_Eingangsrechnungen'!$E:$E,"Gerät")+SUMIFS('14_Eingangsrechnungen'!$F:$F,'14_Eingangsrechnungen'!$C:$C,A5,'14_Eingangsrechnungen'!$E:$E,"Dienstleistung"))</f>
        <v/>
      </c>
      <c r="AB5" s="15">
        <f>IF(A5="","",W5-AA5)</f>
        <v/>
      </c>
      <c r="AC5" s="19">
        <f>IF(OR(A5="",W5=0),"",AB5/W5)</f>
        <v/>
      </c>
      <c r="AD5" s="19">
        <f>IF(OR(A5="",V5=0),"",W5/V5)</f>
        <v/>
      </c>
      <c r="AE5" s="15">
        <f>IF(A5="","",MAX(0,V5-W5))</f>
        <v/>
      </c>
      <c r="AF5" s="15">
        <f>IF(A5="","",SUMIFS('13_Ausgangsrechnungen'!$R:$R,'13_Ausgangsrechnungen'!$C:$C,A5))</f>
        <v/>
      </c>
    </row>
    <row r="6">
      <c r="A6" s="30" t="inlineStr">
        <is>
          <t>P-2026-003</t>
        </is>
      </c>
      <c r="B6" s="30" t="inlineStr">
        <is>
          <t>Sanierung Rathaus</t>
        </is>
      </c>
      <c r="C6" s="30" t="inlineStr">
        <is>
          <t>K-1002</t>
        </is>
      </c>
      <c r="D6" s="30" t="inlineStr">
        <is>
          <t>Sanierung</t>
        </is>
      </c>
      <c r="E6" s="30" t="inlineStr">
        <is>
          <t>VOB/B</t>
        </is>
      </c>
      <c r="F6" s="30" t="inlineStr">
        <is>
          <t>in Bau</t>
        </is>
      </c>
      <c r="G6" s="38" t="n">
        <v>46069</v>
      </c>
      <c r="H6" s="38" t="n">
        <v>46374</v>
      </c>
      <c r="I6" s="38" t="n"/>
      <c r="J6" s="34" t="n">
        <v>1100000</v>
      </c>
      <c r="K6" s="34" t="n">
        <v>210000</v>
      </c>
      <c r="L6" s="34" t="n">
        <v>320000</v>
      </c>
      <c r="M6" s="34" t="n">
        <v>245000</v>
      </c>
      <c r="N6" s="34" t="n">
        <v>42000</v>
      </c>
      <c r="O6" s="34" t="n">
        <v>68000</v>
      </c>
      <c r="P6" s="32" t="n">
        <v>0.05</v>
      </c>
      <c r="Q6" s="30" t="inlineStr">
        <is>
          <t>MA-07</t>
        </is>
      </c>
      <c r="R6" s="30" t="inlineStr">
        <is>
          <t>MA-04</t>
        </is>
      </c>
      <c r="S6" s="30" t="inlineStr">
        <is>
          <t>Freising</t>
        </is>
      </c>
      <c r="T6" s="30" t="inlineStr">
        <is>
          <t>Denkmalschutz, Nachträge wahrscheinlich</t>
        </is>
      </c>
      <c r="U6" s="15">
        <f>IF(A6="","",SUMIFS('07_Nachtraege'!$E:$E,'07_Nachtraege'!$B:$B,A6,'07_Nachtraege'!$F:$F,"beauftragt"))</f>
        <v/>
      </c>
      <c r="V6" s="15">
        <f>IF(A6="","",J6+U6)</f>
        <v/>
      </c>
      <c r="W6" s="15">
        <f>IF(A6="","",SUMIFS('13_Ausgangsrechnungen'!$G:$G,'13_Ausgangsrechnungen'!$C:$C,A6))</f>
        <v/>
      </c>
      <c r="X6" s="15">
        <f>IF(A6="","",SUMIFS('11_Material'!$L:$L,'11_Material'!$C:$C,A6))</f>
        <v/>
      </c>
      <c r="Y6" s="15">
        <f>IF(A6="","",SUMIFS('14_Eingangsrechnungen'!$F:$F,'14_Eingangsrechnungen'!$C:$C,A6,'14_Eingangsrechnungen'!$E:$E,"Nachunternehmer"))</f>
        <v/>
      </c>
      <c r="Z6" s="15">
        <f>IF(A6="","",SUMIFS('10_Stunden'!$K:$K,'10_Stunden'!$C:$C,A6))</f>
        <v/>
      </c>
      <c r="AA6" s="15">
        <f>IF(A6="","",X6+Y6+Z6+SUMIFS('14_Eingangsrechnungen'!$F:$F,'14_Eingangsrechnungen'!$C:$C,A6,'14_Eingangsrechnungen'!$E:$E,"Gerät")+SUMIFS('14_Eingangsrechnungen'!$F:$F,'14_Eingangsrechnungen'!$C:$C,A6,'14_Eingangsrechnungen'!$E:$E,"Dienstleistung"))</f>
        <v/>
      </c>
      <c r="AB6" s="15">
        <f>IF(A6="","",W6-AA6)</f>
        <v/>
      </c>
      <c r="AC6" s="19">
        <f>IF(OR(A6="",W6=0),"",AB6/W6)</f>
        <v/>
      </c>
      <c r="AD6" s="19">
        <f>IF(OR(A6="",V6=0),"",W6/V6)</f>
        <v/>
      </c>
      <c r="AE6" s="15">
        <f>IF(A6="","",MAX(0,V6-W6))</f>
        <v/>
      </c>
      <c r="AF6" s="15">
        <f>IF(A6="","",SUMIFS('13_Ausgangsrechnungen'!$R:$R,'13_Ausgangsrechnungen'!$C:$C,A6))</f>
        <v/>
      </c>
    </row>
    <row r="7">
      <c r="A7" s="30" t="inlineStr">
        <is>
          <t>P-2026-004</t>
        </is>
      </c>
      <c r="B7" s="30" t="inlineStr">
        <is>
          <t>Gewerbehalle Nord</t>
        </is>
      </c>
      <c r="C7" s="30" t="inlineStr">
        <is>
          <t>K-1004</t>
        </is>
      </c>
      <c r="D7" s="30" t="inlineStr">
        <is>
          <t>Industrie</t>
        </is>
      </c>
      <c r="E7" s="30" t="inlineStr">
        <is>
          <t>BGB</t>
        </is>
      </c>
      <c r="F7" s="30" t="inlineStr">
        <is>
          <t>in Bau</t>
        </is>
      </c>
      <c r="G7" s="38" t="n">
        <v>46118</v>
      </c>
      <c r="H7" s="38" t="n">
        <v>46444</v>
      </c>
      <c r="I7" s="38" t="n"/>
      <c r="J7" s="34" t="n">
        <v>3200000</v>
      </c>
      <c r="K7" s="34" t="n">
        <v>980000</v>
      </c>
      <c r="L7" s="34" t="n">
        <v>540000</v>
      </c>
      <c r="M7" s="34" t="n">
        <v>610000</v>
      </c>
      <c r="N7" s="34" t="n">
        <v>145000</v>
      </c>
      <c r="O7" s="34" t="n">
        <v>190000</v>
      </c>
      <c r="P7" s="32" t="n">
        <v>0.05</v>
      </c>
      <c r="Q7" s="30" t="inlineStr">
        <is>
          <t>MA-07</t>
        </is>
      </c>
      <c r="R7" s="30" t="inlineStr">
        <is>
          <t>MA-03</t>
        </is>
      </c>
      <c r="S7" s="30" t="inlineStr">
        <is>
          <t>Dachau</t>
        </is>
      </c>
      <c r="T7" s="30" t="inlineStr">
        <is>
          <t>Stahlhalle 4.200 m² + Büro</t>
        </is>
      </c>
      <c r="U7" s="15">
        <f>IF(A7="","",SUMIFS('07_Nachtraege'!$E:$E,'07_Nachtraege'!$B:$B,A7,'07_Nachtraege'!$F:$F,"beauftragt"))</f>
        <v/>
      </c>
      <c r="V7" s="15">
        <f>IF(A7="","",J7+U7)</f>
        <v/>
      </c>
      <c r="W7" s="15">
        <f>IF(A7="","",SUMIFS('13_Ausgangsrechnungen'!$G:$G,'13_Ausgangsrechnungen'!$C:$C,A7))</f>
        <v/>
      </c>
      <c r="X7" s="15">
        <f>IF(A7="","",SUMIFS('11_Material'!$L:$L,'11_Material'!$C:$C,A7))</f>
        <v/>
      </c>
      <c r="Y7" s="15">
        <f>IF(A7="","",SUMIFS('14_Eingangsrechnungen'!$F:$F,'14_Eingangsrechnungen'!$C:$C,A7,'14_Eingangsrechnungen'!$E:$E,"Nachunternehmer"))</f>
        <v/>
      </c>
      <c r="Z7" s="15">
        <f>IF(A7="","",SUMIFS('10_Stunden'!$K:$K,'10_Stunden'!$C:$C,A7))</f>
        <v/>
      </c>
      <c r="AA7" s="15">
        <f>IF(A7="","",X7+Y7+Z7+SUMIFS('14_Eingangsrechnungen'!$F:$F,'14_Eingangsrechnungen'!$C:$C,A7,'14_Eingangsrechnungen'!$E:$E,"Gerät")+SUMIFS('14_Eingangsrechnungen'!$F:$F,'14_Eingangsrechnungen'!$C:$C,A7,'14_Eingangsrechnungen'!$E:$E,"Dienstleistung"))</f>
        <v/>
      </c>
      <c r="AB7" s="15">
        <f>IF(A7="","",W7-AA7)</f>
        <v/>
      </c>
      <c r="AC7" s="19">
        <f>IF(OR(A7="",W7=0),"",AB7/W7)</f>
        <v/>
      </c>
      <c r="AD7" s="19">
        <f>IF(OR(A7="",V7=0),"",W7/V7)</f>
        <v/>
      </c>
      <c r="AE7" s="15">
        <f>IF(A7="","",MAX(0,V7-W7))</f>
        <v/>
      </c>
      <c r="AF7" s="15">
        <f>IF(A7="","",SUMIFS('13_Ausgangsrechnungen'!$R:$R,'13_Ausgangsrechnungen'!$C:$C,A7))</f>
        <v/>
      </c>
    </row>
    <row r="8">
      <c r="A8" s="30" t="inlineStr">
        <is>
          <t>P-2026-005</t>
        </is>
      </c>
      <c r="B8" s="30" t="inlineStr">
        <is>
          <t>EFH Familie Huber</t>
        </is>
      </c>
      <c r="C8" s="30" t="inlineStr">
        <is>
          <t>K-1005</t>
        </is>
      </c>
      <c r="D8" s="30" t="inlineStr">
        <is>
          <t>Wohnungsbau</t>
        </is>
      </c>
      <c r="E8" s="30" t="inlineStr">
        <is>
          <t>BGB</t>
        </is>
      </c>
      <c r="F8" s="30" t="inlineStr">
        <is>
          <t>abgeschlossen</t>
        </is>
      </c>
      <c r="G8" s="38" t="n">
        <v>45908</v>
      </c>
      <c r="H8" s="38" t="n">
        <v>46142</v>
      </c>
      <c r="I8" s="38" t="n">
        <v>46134</v>
      </c>
      <c r="J8" s="34" t="n">
        <v>420000</v>
      </c>
      <c r="K8" s="34" t="n">
        <v>145000</v>
      </c>
      <c r="L8" s="34" t="n">
        <v>38000</v>
      </c>
      <c r="M8" s="34" t="n">
        <v>98000</v>
      </c>
      <c r="N8" s="34" t="n">
        <v>18000</v>
      </c>
      <c r="O8" s="34" t="n">
        <v>24000</v>
      </c>
      <c r="P8" s="32" t="n">
        <v>0.05</v>
      </c>
      <c r="Q8" s="30" t="inlineStr">
        <is>
          <t>MA-07</t>
        </is>
      </c>
      <c r="R8" s="30" t="inlineStr">
        <is>
          <t>MA-04</t>
        </is>
      </c>
      <c r="S8" s="30" t="inlineStr">
        <is>
          <t>Erding</t>
        </is>
      </c>
      <c r="T8" s="30" t="inlineStr">
        <is>
          <t>Schlussrechnung gestellt</t>
        </is>
      </c>
      <c r="U8" s="15">
        <f>IF(A8="","",SUMIFS('07_Nachtraege'!$E:$E,'07_Nachtraege'!$B:$B,A8,'07_Nachtraege'!$F:$F,"beauftragt"))</f>
        <v/>
      </c>
      <c r="V8" s="15">
        <f>IF(A8="","",J8+U8)</f>
        <v/>
      </c>
      <c r="W8" s="15">
        <f>IF(A8="","",SUMIFS('13_Ausgangsrechnungen'!$G:$G,'13_Ausgangsrechnungen'!$C:$C,A8))</f>
        <v/>
      </c>
      <c r="X8" s="15">
        <f>IF(A8="","",SUMIFS('11_Material'!$L:$L,'11_Material'!$C:$C,A8))</f>
        <v/>
      </c>
      <c r="Y8" s="15">
        <f>IF(A8="","",SUMIFS('14_Eingangsrechnungen'!$F:$F,'14_Eingangsrechnungen'!$C:$C,A8,'14_Eingangsrechnungen'!$E:$E,"Nachunternehmer"))</f>
        <v/>
      </c>
      <c r="Z8" s="15">
        <f>IF(A8="","",SUMIFS('10_Stunden'!$K:$K,'10_Stunden'!$C:$C,A8))</f>
        <v/>
      </c>
      <c r="AA8" s="15">
        <f>IF(A8="","",X8+Y8+Z8+SUMIFS('14_Eingangsrechnungen'!$F:$F,'14_Eingangsrechnungen'!$C:$C,A8,'14_Eingangsrechnungen'!$E:$E,"Gerät")+SUMIFS('14_Eingangsrechnungen'!$F:$F,'14_Eingangsrechnungen'!$C:$C,A8,'14_Eingangsrechnungen'!$E:$E,"Dienstleistung"))</f>
        <v/>
      </c>
      <c r="AB8" s="15">
        <f>IF(A8="","",W8-AA8)</f>
        <v/>
      </c>
      <c r="AC8" s="19">
        <f>IF(OR(A8="",W8=0),"",AB8/W8)</f>
        <v/>
      </c>
      <c r="AD8" s="19">
        <f>IF(OR(A8="",V8=0),"",W8/V8)</f>
        <v/>
      </c>
      <c r="AE8" s="15">
        <f>IF(A8="","",MAX(0,V8-W8))</f>
        <v/>
      </c>
      <c r="AF8" s="15">
        <f>IF(A8="","",SUMIFS('13_Ausgangsrechnungen'!$R:$R,'13_Ausgangsrechnungen'!$C:$C,A8))</f>
        <v/>
      </c>
    </row>
    <row r="9">
      <c r="A9" s="30" t="inlineStr">
        <is>
          <t>P-2026-006</t>
        </is>
      </c>
      <c r="B9" s="30" t="inlineStr">
        <is>
          <t>Straßenbau B13 Abschnitt</t>
        </is>
      </c>
      <c r="C9" s="30" t="inlineStr">
        <is>
          <t>K-1006</t>
        </is>
      </c>
      <c r="D9" s="30" t="inlineStr">
        <is>
          <t>Tiefbau</t>
        </is>
      </c>
      <c r="E9" s="30" t="inlineStr">
        <is>
          <t>VOB/B</t>
        </is>
      </c>
      <c r="F9" s="30" t="inlineStr">
        <is>
          <t>geplant</t>
        </is>
      </c>
      <c r="G9" s="38" t="n">
        <v>46266</v>
      </c>
      <c r="H9" s="38" t="n">
        <v>46568</v>
      </c>
      <c r="I9" s="38" t="n"/>
      <c r="J9" s="34" t="n">
        <v>1800000</v>
      </c>
      <c r="K9" s="34" t="n">
        <v>620000</v>
      </c>
      <c r="L9" s="34" t="n">
        <v>210000</v>
      </c>
      <c r="M9" s="34" t="n">
        <v>430000</v>
      </c>
      <c r="N9" s="34" t="n">
        <v>165000</v>
      </c>
      <c r="O9" s="34" t="n">
        <v>98000</v>
      </c>
      <c r="P9" s="32" t="n">
        <v>0.05</v>
      </c>
      <c r="Q9" s="30" t="inlineStr">
        <is>
          <t>MA-07</t>
        </is>
      </c>
      <c r="R9" s="30" t="inlineStr">
        <is>
          <t>MA-06</t>
        </is>
      </c>
      <c r="S9" s="30" t="inlineStr">
        <is>
          <t>Freising Land</t>
        </is>
      </c>
      <c r="T9" s="30" t="inlineStr">
        <is>
          <t>Zuschlag 12.08.2026, Baubeginn Sept.</t>
        </is>
      </c>
      <c r="U9" s="15">
        <f>IF(A9="","",SUMIFS('07_Nachtraege'!$E:$E,'07_Nachtraege'!$B:$B,A9,'07_Nachtraege'!$F:$F,"beauftragt"))</f>
        <v/>
      </c>
      <c r="V9" s="15">
        <f>IF(A9="","",J9+U9)</f>
        <v/>
      </c>
      <c r="W9" s="15">
        <f>IF(A9="","",SUMIFS('13_Ausgangsrechnungen'!$G:$G,'13_Ausgangsrechnungen'!$C:$C,A9))</f>
        <v/>
      </c>
      <c r="X9" s="15">
        <f>IF(A9="","",SUMIFS('11_Material'!$L:$L,'11_Material'!$C:$C,A9))</f>
        <v/>
      </c>
      <c r="Y9" s="15">
        <f>IF(A9="","",SUMIFS('14_Eingangsrechnungen'!$F:$F,'14_Eingangsrechnungen'!$C:$C,A9,'14_Eingangsrechnungen'!$E:$E,"Nachunternehmer"))</f>
        <v/>
      </c>
      <c r="Z9" s="15">
        <f>IF(A9="","",SUMIFS('10_Stunden'!$K:$K,'10_Stunden'!$C:$C,A9))</f>
        <v/>
      </c>
      <c r="AA9" s="15">
        <f>IF(A9="","",X9+Y9+Z9+SUMIFS('14_Eingangsrechnungen'!$F:$F,'14_Eingangsrechnungen'!$C:$C,A9,'14_Eingangsrechnungen'!$E:$E,"Gerät")+SUMIFS('14_Eingangsrechnungen'!$F:$F,'14_Eingangsrechnungen'!$C:$C,A9,'14_Eingangsrechnungen'!$E:$E,"Dienstleistung"))</f>
        <v/>
      </c>
      <c r="AB9" s="15">
        <f>IF(A9="","",W9-AA9)</f>
        <v/>
      </c>
      <c r="AC9" s="19">
        <f>IF(OR(A9="",W9=0),"",AB9/W9)</f>
        <v/>
      </c>
      <c r="AD9" s="19">
        <f>IF(OR(A9="",V9=0),"",W9/V9)</f>
        <v/>
      </c>
      <c r="AE9" s="15">
        <f>IF(A9="","",MAX(0,V9-W9))</f>
        <v/>
      </c>
      <c r="AF9" s="15">
        <f>IF(A9="","",SUMIFS('13_Ausgangsrechnungen'!$R:$R,'13_Ausgangsrechnungen'!$C:$C,A9))</f>
        <v/>
      </c>
    </row>
    <row r="10">
      <c r="A10" s="30" t="inlineStr"/>
      <c r="B10" s="30" t="inlineStr"/>
      <c r="C10" s="30" t="inlineStr"/>
      <c r="D10" s="30" t="inlineStr"/>
      <c r="E10" s="30" t="inlineStr"/>
      <c r="F10" s="30" t="inlineStr"/>
      <c r="G10" s="38" t="inlineStr"/>
      <c r="H10" s="38" t="inlineStr"/>
      <c r="I10" s="38" t="inlineStr"/>
      <c r="J10" s="34" t="inlineStr"/>
      <c r="K10" s="34" t="inlineStr"/>
      <c r="L10" s="34" t="inlineStr"/>
      <c r="M10" s="34" t="inlineStr"/>
      <c r="N10" s="34" t="inlineStr"/>
      <c r="O10" s="34" t="inlineStr"/>
      <c r="P10" s="32" t="inlineStr"/>
      <c r="Q10" s="30" t="inlineStr"/>
      <c r="R10" s="30" t="inlineStr"/>
      <c r="S10" s="30" t="inlineStr"/>
      <c r="T10" s="30" t="inlineStr"/>
      <c r="U10" s="15">
        <f>IF(A10="","",SUMIFS('07_Nachtraege'!$E:$E,'07_Nachtraege'!$B:$B,A10,'07_Nachtraege'!$F:$F,"beauftragt"))</f>
        <v/>
      </c>
      <c r="V10" s="15">
        <f>IF(A10="","",J10+U10)</f>
        <v/>
      </c>
      <c r="W10" s="15">
        <f>IF(A10="","",SUMIFS('13_Ausgangsrechnungen'!$G:$G,'13_Ausgangsrechnungen'!$C:$C,A10))</f>
        <v/>
      </c>
      <c r="X10" s="15">
        <f>IF(A10="","",SUMIFS('11_Material'!$L:$L,'11_Material'!$C:$C,A10))</f>
        <v/>
      </c>
      <c r="Y10" s="15">
        <f>IF(A10="","",SUMIFS('14_Eingangsrechnungen'!$F:$F,'14_Eingangsrechnungen'!$C:$C,A10,'14_Eingangsrechnungen'!$E:$E,"Nachunternehmer"))</f>
        <v/>
      </c>
      <c r="Z10" s="15">
        <f>IF(A10="","",SUMIFS('10_Stunden'!$K:$K,'10_Stunden'!$C:$C,A10))</f>
        <v/>
      </c>
      <c r="AA10" s="15">
        <f>IF(A10="","",X10+Y10+Z10+SUMIFS('14_Eingangsrechnungen'!$F:$F,'14_Eingangsrechnungen'!$C:$C,A10,'14_Eingangsrechnungen'!$E:$E,"Gerät")+SUMIFS('14_Eingangsrechnungen'!$F:$F,'14_Eingangsrechnungen'!$C:$C,A10,'14_Eingangsrechnungen'!$E:$E,"Dienstleistung"))</f>
        <v/>
      </c>
      <c r="AB10" s="15">
        <f>IF(A10="","",W10-AA10)</f>
        <v/>
      </c>
      <c r="AC10" s="19">
        <f>IF(OR(A10="",W10=0),"",AB10/W10)</f>
        <v/>
      </c>
      <c r="AD10" s="19">
        <f>IF(OR(A10="",V10=0),"",W10/V10)</f>
        <v/>
      </c>
      <c r="AE10" s="15">
        <f>IF(A10="","",MAX(0,V10-W10))</f>
        <v/>
      </c>
      <c r="AF10" s="15">
        <f>IF(A10="","",SUMIFS('13_Ausgangsrechnungen'!$R:$R,'13_Ausgangsrechnungen'!$C:$C,A10))</f>
        <v/>
      </c>
    </row>
    <row r="11">
      <c r="A11" s="30" t="inlineStr"/>
      <c r="B11" s="30" t="inlineStr"/>
      <c r="C11" s="30" t="inlineStr"/>
      <c r="D11" s="30" t="inlineStr"/>
      <c r="E11" s="30" t="inlineStr"/>
      <c r="F11" s="30" t="inlineStr"/>
      <c r="G11" s="38" t="inlineStr"/>
      <c r="H11" s="38" t="inlineStr"/>
      <c r="I11" s="38" t="inlineStr"/>
      <c r="J11" s="34" t="inlineStr"/>
      <c r="K11" s="34" t="inlineStr"/>
      <c r="L11" s="34" t="inlineStr"/>
      <c r="M11" s="34" t="inlineStr"/>
      <c r="N11" s="34" t="inlineStr"/>
      <c r="O11" s="34" t="inlineStr"/>
      <c r="P11" s="32" t="inlineStr"/>
      <c r="Q11" s="30" t="inlineStr"/>
      <c r="R11" s="30" t="inlineStr"/>
      <c r="S11" s="30" t="inlineStr"/>
      <c r="T11" s="30" t="inlineStr"/>
      <c r="U11" s="15">
        <f>IF(A11="","",SUMIFS('07_Nachtraege'!$E:$E,'07_Nachtraege'!$B:$B,A11,'07_Nachtraege'!$F:$F,"beauftragt"))</f>
        <v/>
      </c>
      <c r="V11" s="15">
        <f>IF(A11="","",J11+U11)</f>
        <v/>
      </c>
      <c r="W11" s="15">
        <f>IF(A11="","",SUMIFS('13_Ausgangsrechnungen'!$G:$G,'13_Ausgangsrechnungen'!$C:$C,A11))</f>
        <v/>
      </c>
      <c r="X11" s="15">
        <f>IF(A11="","",SUMIFS('11_Material'!$L:$L,'11_Material'!$C:$C,A11))</f>
        <v/>
      </c>
      <c r="Y11" s="15">
        <f>IF(A11="","",SUMIFS('14_Eingangsrechnungen'!$F:$F,'14_Eingangsrechnungen'!$C:$C,A11,'14_Eingangsrechnungen'!$E:$E,"Nachunternehmer"))</f>
        <v/>
      </c>
      <c r="Z11" s="15">
        <f>IF(A11="","",SUMIFS('10_Stunden'!$K:$K,'10_Stunden'!$C:$C,A11))</f>
        <v/>
      </c>
      <c r="AA11" s="15">
        <f>IF(A11="","",X11+Y11+Z11+SUMIFS('14_Eingangsrechnungen'!$F:$F,'14_Eingangsrechnungen'!$C:$C,A11,'14_Eingangsrechnungen'!$E:$E,"Gerät")+SUMIFS('14_Eingangsrechnungen'!$F:$F,'14_Eingangsrechnungen'!$C:$C,A11,'14_Eingangsrechnungen'!$E:$E,"Dienstleistung"))</f>
        <v/>
      </c>
      <c r="AB11" s="15">
        <f>IF(A11="","",W11-AA11)</f>
        <v/>
      </c>
      <c r="AC11" s="19">
        <f>IF(OR(A11="",W11=0),"",AB11/W11)</f>
        <v/>
      </c>
      <c r="AD11" s="19">
        <f>IF(OR(A11="",V11=0),"",W11/V11)</f>
        <v/>
      </c>
      <c r="AE11" s="15">
        <f>IF(A11="","",MAX(0,V11-W11))</f>
        <v/>
      </c>
      <c r="AF11" s="15">
        <f>IF(A11="","",SUMIFS('13_Ausgangsrechnungen'!$R:$R,'13_Ausgangsrechnungen'!$C:$C,A11))</f>
        <v/>
      </c>
    </row>
    <row r="12">
      <c r="A12" s="30" t="inlineStr"/>
      <c r="B12" s="30" t="inlineStr"/>
      <c r="C12" s="30" t="inlineStr"/>
      <c r="D12" s="30" t="inlineStr"/>
      <c r="E12" s="30" t="inlineStr"/>
      <c r="F12" s="30" t="inlineStr"/>
      <c r="G12" s="38" t="inlineStr"/>
      <c r="H12" s="38" t="inlineStr"/>
      <c r="I12" s="38" t="inlineStr"/>
      <c r="J12" s="34" t="inlineStr"/>
      <c r="K12" s="34" t="inlineStr"/>
      <c r="L12" s="34" t="inlineStr"/>
      <c r="M12" s="34" t="inlineStr"/>
      <c r="N12" s="34" t="inlineStr"/>
      <c r="O12" s="34" t="inlineStr"/>
      <c r="P12" s="32" t="inlineStr"/>
      <c r="Q12" s="30" t="inlineStr"/>
      <c r="R12" s="30" t="inlineStr"/>
      <c r="S12" s="30" t="inlineStr"/>
      <c r="T12" s="30" t="inlineStr"/>
      <c r="U12" s="15">
        <f>IF(A12="","",SUMIFS('07_Nachtraege'!$E:$E,'07_Nachtraege'!$B:$B,A12,'07_Nachtraege'!$F:$F,"beauftragt"))</f>
        <v/>
      </c>
      <c r="V12" s="15">
        <f>IF(A12="","",J12+U12)</f>
        <v/>
      </c>
      <c r="W12" s="15">
        <f>IF(A12="","",SUMIFS('13_Ausgangsrechnungen'!$G:$G,'13_Ausgangsrechnungen'!$C:$C,A12))</f>
        <v/>
      </c>
      <c r="X12" s="15">
        <f>IF(A12="","",SUMIFS('11_Material'!$L:$L,'11_Material'!$C:$C,A12))</f>
        <v/>
      </c>
      <c r="Y12" s="15">
        <f>IF(A12="","",SUMIFS('14_Eingangsrechnungen'!$F:$F,'14_Eingangsrechnungen'!$C:$C,A12,'14_Eingangsrechnungen'!$E:$E,"Nachunternehmer"))</f>
        <v/>
      </c>
      <c r="Z12" s="15">
        <f>IF(A12="","",SUMIFS('10_Stunden'!$K:$K,'10_Stunden'!$C:$C,A12))</f>
        <v/>
      </c>
      <c r="AA12" s="15">
        <f>IF(A12="","",X12+Y12+Z12+SUMIFS('14_Eingangsrechnungen'!$F:$F,'14_Eingangsrechnungen'!$C:$C,A12,'14_Eingangsrechnungen'!$E:$E,"Gerät")+SUMIFS('14_Eingangsrechnungen'!$F:$F,'14_Eingangsrechnungen'!$C:$C,A12,'14_Eingangsrechnungen'!$E:$E,"Dienstleistung"))</f>
        <v/>
      </c>
      <c r="AB12" s="15">
        <f>IF(A12="","",W12-AA12)</f>
        <v/>
      </c>
      <c r="AC12" s="19">
        <f>IF(OR(A12="",W12=0),"",AB12/W12)</f>
        <v/>
      </c>
      <c r="AD12" s="19">
        <f>IF(OR(A12="",V12=0),"",W12/V12)</f>
        <v/>
      </c>
      <c r="AE12" s="15">
        <f>IF(A12="","",MAX(0,V12-W12))</f>
        <v/>
      </c>
      <c r="AF12" s="15">
        <f>IF(A12="","",SUMIFS('13_Ausgangsrechnungen'!$R:$R,'13_Ausgangsrechnungen'!$C:$C,A12))</f>
        <v/>
      </c>
    </row>
    <row r="13">
      <c r="A13" s="30" t="inlineStr"/>
      <c r="B13" s="30" t="inlineStr"/>
      <c r="C13" s="30" t="inlineStr"/>
      <c r="D13" s="30" t="inlineStr"/>
      <c r="E13" s="30" t="inlineStr"/>
      <c r="F13" s="30" t="inlineStr"/>
      <c r="G13" s="38" t="inlineStr"/>
      <c r="H13" s="38" t="inlineStr"/>
      <c r="I13" s="38" t="inlineStr"/>
      <c r="J13" s="34" t="inlineStr"/>
      <c r="K13" s="34" t="inlineStr"/>
      <c r="L13" s="34" t="inlineStr"/>
      <c r="M13" s="34" t="inlineStr"/>
      <c r="N13" s="34" t="inlineStr"/>
      <c r="O13" s="34" t="inlineStr"/>
      <c r="P13" s="32" t="inlineStr"/>
      <c r="Q13" s="30" t="inlineStr"/>
      <c r="R13" s="30" t="inlineStr"/>
      <c r="S13" s="30" t="inlineStr"/>
      <c r="T13" s="30" t="inlineStr"/>
      <c r="U13" s="15">
        <f>IF(A13="","",SUMIFS('07_Nachtraege'!$E:$E,'07_Nachtraege'!$B:$B,A13,'07_Nachtraege'!$F:$F,"beauftragt"))</f>
        <v/>
      </c>
      <c r="V13" s="15">
        <f>IF(A13="","",J13+U13)</f>
        <v/>
      </c>
      <c r="W13" s="15">
        <f>IF(A13="","",SUMIFS('13_Ausgangsrechnungen'!$G:$G,'13_Ausgangsrechnungen'!$C:$C,A13))</f>
        <v/>
      </c>
      <c r="X13" s="15">
        <f>IF(A13="","",SUMIFS('11_Material'!$L:$L,'11_Material'!$C:$C,A13))</f>
        <v/>
      </c>
      <c r="Y13" s="15">
        <f>IF(A13="","",SUMIFS('14_Eingangsrechnungen'!$F:$F,'14_Eingangsrechnungen'!$C:$C,A13,'14_Eingangsrechnungen'!$E:$E,"Nachunternehmer"))</f>
        <v/>
      </c>
      <c r="Z13" s="15">
        <f>IF(A13="","",SUMIFS('10_Stunden'!$K:$K,'10_Stunden'!$C:$C,A13))</f>
        <v/>
      </c>
      <c r="AA13" s="15">
        <f>IF(A13="","",X13+Y13+Z13+SUMIFS('14_Eingangsrechnungen'!$F:$F,'14_Eingangsrechnungen'!$C:$C,A13,'14_Eingangsrechnungen'!$E:$E,"Gerät")+SUMIFS('14_Eingangsrechnungen'!$F:$F,'14_Eingangsrechnungen'!$C:$C,A13,'14_Eingangsrechnungen'!$E:$E,"Dienstleistung"))</f>
        <v/>
      </c>
      <c r="AB13" s="15">
        <f>IF(A13="","",W13-AA13)</f>
        <v/>
      </c>
      <c r="AC13" s="19">
        <f>IF(OR(A13="",W13=0),"",AB13/W13)</f>
        <v/>
      </c>
      <c r="AD13" s="19">
        <f>IF(OR(A13="",V13=0),"",W13/V13)</f>
        <v/>
      </c>
      <c r="AE13" s="15">
        <f>IF(A13="","",MAX(0,V13-W13))</f>
        <v/>
      </c>
      <c r="AF13" s="15">
        <f>IF(A13="","",SUMIFS('13_Ausgangsrechnungen'!$R:$R,'13_Ausgangsrechnungen'!$C:$C,A13))</f>
        <v/>
      </c>
    </row>
    <row r="14">
      <c r="A14" s="30" t="inlineStr"/>
      <c r="B14" s="30" t="inlineStr"/>
      <c r="C14" s="30" t="inlineStr"/>
      <c r="D14" s="30" t="inlineStr"/>
      <c r="E14" s="30" t="inlineStr"/>
      <c r="F14" s="30" t="inlineStr"/>
      <c r="G14" s="38" t="inlineStr"/>
      <c r="H14" s="38" t="inlineStr"/>
      <c r="I14" s="38" t="inlineStr"/>
      <c r="J14" s="34" t="inlineStr"/>
      <c r="K14" s="34" t="inlineStr"/>
      <c r="L14" s="34" t="inlineStr"/>
      <c r="M14" s="34" t="inlineStr"/>
      <c r="N14" s="34" t="inlineStr"/>
      <c r="O14" s="34" t="inlineStr"/>
      <c r="P14" s="32" t="inlineStr"/>
      <c r="Q14" s="30" t="inlineStr"/>
      <c r="R14" s="30" t="inlineStr"/>
      <c r="S14" s="30" t="inlineStr"/>
      <c r="T14" s="30" t="inlineStr"/>
      <c r="U14" s="15">
        <f>IF(A14="","",SUMIFS('07_Nachtraege'!$E:$E,'07_Nachtraege'!$B:$B,A14,'07_Nachtraege'!$F:$F,"beauftragt"))</f>
        <v/>
      </c>
      <c r="V14" s="15">
        <f>IF(A14="","",J14+U14)</f>
        <v/>
      </c>
      <c r="W14" s="15">
        <f>IF(A14="","",SUMIFS('13_Ausgangsrechnungen'!$G:$G,'13_Ausgangsrechnungen'!$C:$C,A14))</f>
        <v/>
      </c>
      <c r="X14" s="15">
        <f>IF(A14="","",SUMIFS('11_Material'!$L:$L,'11_Material'!$C:$C,A14))</f>
        <v/>
      </c>
      <c r="Y14" s="15">
        <f>IF(A14="","",SUMIFS('14_Eingangsrechnungen'!$F:$F,'14_Eingangsrechnungen'!$C:$C,A14,'14_Eingangsrechnungen'!$E:$E,"Nachunternehmer"))</f>
        <v/>
      </c>
      <c r="Z14" s="15">
        <f>IF(A14="","",SUMIFS('10_Stunden'!$K:$K,'10_Stunden'!$C:$C,A14))</f>
        <v/>
      </c>
      <c r="AA14" s="15">
        <f>IF(A14="","",X14+Y14+Z14+SUMIFS('14_Eingangsrechnungen'!$F:$F,'14_Eingangsrechnungen'!$C:$C,A14,'14_Eingangsrechnungen'!$E:$E,"Gerät")+SUMIFS('14_Eingangsrechnungen'!$F:$F,'14_Eingangsrechnungen'!$C:$C,A14,'14_Eingangsrechnungen'!$E:$E,"Dienstleistung"))</f>
        <v/>
      </c>
      <c r="AB14" s="15">
        <f>IF(A14="","",W14-AA14)</f>
        <v/>
      </c>
      <c r="AC14" s="19">
        <f>IF(OR(A14="",W14=0),"",AB14/W14)</f>
        <v/>
      </c>
      <c r="AD14" s="19">
        <f>IF(OR(A14="",V14=0),"",W14/V14)</f>
        <v/>
      </c>
      <c r="AE14" s="15">
        <f>IF(A14="","",MAX(0,V14-W14))</f>
        <v/>
      </c>
      <c r="AF14" s="15">
        <f>IF(A14="","",SUMIFS('13_Ausgangsrechnungen'!$R:$R,'13_Ausgangsrechnungen'!$C:$C,A14))</f>
        <v/>
      </c>
    </row>
    <row r="15">
      <c r="A15" s="30" t="inlineStr"/>
      <c r="B15" s="30" t="inlineStr"/>
      <c r="C15" s="30" t="inlineStr"/>
      <c r="D15" s="30" t="inlineStr"/>
      <c r="E15" s="30" t="inlineStr"/>
      <c r="F15" s="30" t="inlineStr"/>
      <c r="G15" s="38" t="inlineStr"/>
      <c r="H15" s="38" t="inlineStr"/>
      <c r="I15" s="38" t="inlineStr"/>
      <c r="J15" s="34" t="inlineStr"/>
      <c r="K15" s="34" t="inlineStr"/>
      <c r="L15" s="34" t="inlineStr"/>
      <c r="M15" s="34" t="inlineStr"/>
      <c r="N15" s="34" t="inlineStr"/>
      <c r="O15" s="34" t="inlineStr"/>
      <c r="P15" s="32" t="inlineStr"/>
      <c r="Q15" s="30" t="inlineStr"/>
      <c r="R15" s="30" t="inlineStr"/>
      <c r="S15" s="30" t="inlineStr"/>
      <c r="T15" s="30" t="inlineStr"/>
      <c r="U15" s="15">
        <f>IF(A15="","",SUMIFS('07_Nachtraege'!$E:$E,'07_Nachtraege'!$B:$B,A15,'07_Nachtraege'!$F:$F,"beauftragt"))</f>
        <v/>
      </c>
      <c r="V15" s="15">
        <f>IF(A15="","",J15+U15)</f>
        <v/>
      </c>
      <c r="W15" s="15">
        <f>IF(A15="","",SUMIFS('13_Ausgangsrechnungen'!$G:$G,'13_Ausgangsrechnungen'!$C:$C,A15))</f>
        <v/>
      </c>
      <c r="X15" s="15">
        <f>IF(A15="","",SUMIFS('11_Material'!$L:$L,'11_Material'!$C:$C,A15))</f>
        <v/>
      </c>
      <c r="Y15" s="15">
        <f>IF(A15="","",SUMIFS('14_Eingangsrechnungen'!$F:$F,'14_Eingangsrechnungen'!$C:$C,A15,'14_Eingangsrechnungen'!$E:$E,"Nachunternehmer"))</f>
        <v/>
      </c>
      <c r="Z15" s="15">
        <f>IF(A15="","",SUMIFS('10_Stunden'!$K:$K,'10_Stunden'!$C:$C,A15))</f>
        <v/>
      </c>
      <c r="AA15" s="15">
        <f>IF(A15="","",X15+Y15+Z15+SUMIFS('14_Eingangsrechnungen'!$F:$F,'14_Eingangsrechnungen'!$C:$C,A15,'14_Eingangsrechnungen'!$E:$E,"Gerät")+SUMIFS('14_Eingangsrechnungen'!$F:$F,'14_Eingangsrechnungen'!$C:$C,A15,'14_Eingangsrechnungen'!$E:$E,"Dienstleistung"))</f>
        <v/>
      </c>
      <c r="AB15" s="15">
        <f>IF(A15="","",W15-AA15)</f>
        <v/>
      </c>
      <c r="AC15" s="19">
        <f>IF(OR(A15="",W15=0),"",AB15/W15)</f>
        <v/>
      </c>
      <c r="AD15" s="19">
        <f>IF(OR(A15="",V15=0),"",W15/V15)</f>
        <v/>
      </c>
      <c r="AE15" s="15">
        <f>IF(A15="","",MAX(0,V15-W15))</f>
        <v/>
      </c>
      <c r="AF15" s="15">
        <f>IF(A15="","",SUMIFS('13_Ausgangsrechnungen'!$R:$R,'13_Ausgangsrechnungen'!$C:$C,A15))</f>
        <v/>
      </c>
    </row>
    <row r="16">
      <c r="A16" s="30" t="inlineStr"/>
      <c r="B16" s="30" t="inlineStr"/>
      <c r="C16" s="30" t="inlineStr"/>
      <c r="D16" s="30" t="inlineStr"/>
      <c r="E16" s="30" t="inlineStr"/>
      <c r="F16" s="30" t="inlineStr"/>
      <c r="G16" s="38" t="inlineStr"/>
      <c r="H16" s="38" t="inlineStr"/>
      <c r="I16" s="38" t="inlineStr"/>
      <c r="J16" s="34" t="inlineStr"/>
      <c r="K16" s="34" t="inlineStr"/>
      <c r="L16" s="34" t="inlineStr"/>
      <c r="M16" s="34" t="inlineStr"/>
      <c r="N16" s="34" t="inlineStr"/>
      <c r="O16" s="34" t="inlineStr"/>
      <c r="P16" s="32" t="inlineStr"/>
      <c r="Q16" s="30" t="inlineStr"/>
      <c r="R16" s="30" t="inlineStr"/>
      <c r="S16" s="30" t="inlineStr"/>
      <c r="T16" s="30" t="inlineStr"/>
      <c r="U16" s="15">
        <f>IF(A16="","",SUMIFS('07_Nachtraege'!$E:$E,'07_Nachtraege'!$B:$B,A16,'07_Nachtraege'!$F:$F,"beauftragt"))</f>
        <v/>
      </c>
      <c r="V16" s="15">
        <f>IF(A16="","",J16+U16)</f>
        <v/>
      </c>
      <c r="W16" s="15">
        <f>IF(A16="","",SUMIFS('13_Ausgangsrechnungen'!$G:$G,'13_Ausgangsrechnungen'!$C:$C,A16))</f>
        <v/>
      </c>
      <c r="X16" s="15">
        <f>IF(A16="","",SUMIFS('11_Material'!$L:$L,'11_Material'!$C:$C,A16))</f>
        <v/>
      </c>
      <c r="Y16" s="15">
        <f>IF(A16="","",SUMIFS('14_Eingangsrechnungen'!$F:$F,'14_Eingangsrechnungen'!$C:$C,A16,'14_Eingangsrechnungen'!$E:$E,"Nachunternehmer"))</f>
        <v/>
      </c>
      <c r="Z16" s="15">
        <f>IF(A16="","",SUMIFS('10_Stunden'!$K:$K,'10_Stunden'!$C:$C,A16))</f>
        <v/>
      </c>
      <c r="AA16" s="15">
        <f>IF(A16="","",X16+Y16+Z16+SUMIFS('14_Eingangsrechnungen'!$F:$F,'14_Eingangsrechnungen'!$C:$C,A16,'14_Eingangsrechnungen'!$E:$E,"Gerät")+SUMIFS('14_Eingangsrechnungen'!$F:$F,'14_Eingangsrechnungen'!$C:$C,A16,'14_Eingangsrechnungen'!$E:$E,"Dienstleistung"))</f>
        <v/>
      </c>
      <c r="AB16" s="15">
        <f>IF(A16="","",W16-AA16)</f>
        <v/>
      </c>
      <c r="AC16" s="19">
        <f>IF(OR(A16="",W16=0),"",AB16/W16)</f>
        <v/>
      </c>
      <c r="AD16" s="19">
        <f>IF(OR(A16="",V16=0),"",W16/V16)</f>
        <v/>
      </c>
      <c r="AE16" s="15">
        <f>IF(A16="","",MAX(0,V16-W16))</f>
        <v/>
      </c>
      <c r="AF16" s="15">
        <f>IF(A16="","",SUMIFS('13_Ausgangsrechnungen'!$R:$R,'13_Ausgangsrechnungen'!$C:$C,A16))</f>
        <v/>
      </c>
    </row>
    <row r="17">
      <c r="A17" s="30" t="inlineStr"/>
      <c r="B17" s="30" t="inlineStr"/>
      <c r="C17" s="30" t="inlineStr"/>
      <c r="D17" s="30" t="inlineStr"/>
      <c r="E17" s="30" t="inlineStr"/>
      <c r="F17" s="30" t="inlineStr"/>
      <c r="G17" s="38" t="inlineStr"/>
      <c r="H17" s="38" t="inlineStr"/>
      <c r="I17" s="38" t="inlineStr"/>
      <c r="J17" s="34" t="inlineStr"/>
      <c r="K17" s="34" t="inlineStr"/>
      <c r="L17" s="34" t="inlineStr"/>
      <c r="M17" s="34" t="inlineStr"/>
      <c r="N17" s="34" t="inlineStr"/>
      <c r="O17" s="34" t="inlineStr"/>
      <c r="P17" s="32" t="inlineStr"/>
      <c r="Q17" s="30" t="inlineStr"/>
      <c r="R17" s="30" t="inlineStr"/>
      <c r="S17" s="30" t="inlineStr"/>
      <c r="T17" s="30" t="inlineStr"/>
      <c r="U17" s="15">
        <f>IF(A17="","",SUMIFS('07_Nachtraege'!$E:$E,'07_Nachtraege'!$B:$B,A17,'07_Nachtraege'!$F:$F,"beauftragt"))</f>
        <v/>
      </c>
      <c r="V17" s="15">
        <f>IF(A17="","",J17+U17)</f>
        <v/>
      </c>
      <c r="W17" s="15">
        <f>IF(A17="","",SUMIFS('13_Ausgangsrechnungen'!$G:$G,'13_Ausgangsrechnungen'!$C:$C,A17))</f>
        <v/>
      </c>
      <c r="X17" s="15">
        <f>IF(A17="","",SUMIFS('11_Material'!$L:$L,'11_Material'!$C:$C,A17))</f>
        <v/>
      </c>
      <c r="Y17" s="15">
        <f>IF(A17="","",SUMIFS('14_Eingangsrechnungen'!$F:$F,'14_Eingangsrechnungen'!$C:$C,A17,'14_Eingangsrechnungen'!$E:$E,"Nachunternehmer"))</f>
        <v/>
      </c>
      <c r="Z17" s="15">
        <f>IF(A17="","",SUMIFS('10_Stunden'!$K:$K,'10_Stunden'!$C:$C,A17))</f>
        <v/>
      </c>
      <c r="AA17" s="15">
        <f>IF(A17="","",X17+Y17+Z17+SUMIFS('14_Eingangsrechnungen'!$F:$F,'14_Eingangsrechnungen'!$C:$C,A17,'14_Eingangsrechnungen'!$E:$E,"Gerät")+SUMIFS('14_Eingangsrechnungen'!$F:$F,'14_Eingangsrechnungen'!$C:$C,A17,'14_Eingangsrechnungen'!$E:$E,"Dienstleistung"))</f>
        <v/>
      </c>
      <c r="AB17" s="15">
        <f>IF(A17="","",W17-AA17)</f>
        <v/>
      </c>
      <c r="AC17" s="19">
        <f>IF(OR(A17="",W17=0),"",AB17/W17)</f>
        <v/>
      </c>
      <c r="AD17" s="19">
        <f>IF(OR(A17="",V17=0),"",W17/V17)</f>
        <v/>
      </c>
      <c r="AE17" s="15">
        <f>IF(A17="","",MAX(0,V17-W17))</f>
        <v/>
      </c>
      <c r="AF17" s="15">
        <f>IF(A17="","",SUMIFS('13_Ausgangsrechnungen'!$R:$R,'13_Ausgangsrechnungen'!$C:$C,A17))</f>
        <v/>
      </c>
    </row>
    <row r="18">
      <c r="A18" s="30" t="inlineStr"/>
      <c r="B18" s="30" t="inlineStr"/>
      <c r="C18" s="30" t="inlineStr"/>
      <c r="D18" s="30" t="inlineStr"/>
      <c r="E18" s="30" t="inlineStr"/>
      <c r="F18" s="30" t="inlineStr"/>
      <c r="G18" s="38" t="inlineStr"/>
      <c r="H18" s="38" t="inlineStr"/>
      <c r="I18" s="38" t="inlineStr"/>
      <c r="J18" s="34" t="inlineStr"/>
      <c r="K18" s="34" t="inlineStr"/>
      <c r="L18" s="34" t="inlineStr"/>
      <c r="M18" s="34" t="inlineStr"/>
      <c r="N18" s="34" t="inlineStr"/>
      <c r="O18" s="34" t="inlineStr"/>
      <c r="P18" s="32" t="inlineStr"/>
      <c r="Q18" s="30" t="inlineStr"/>
      <c r="R18" s="30" t="inlineStr"/>
      <c r="S18" s="30" t="inlineStr"/>
      <c r="T18" s="30" t="inlineStr"/>
      <c r="U18" s="15">
        <f>IF(A18="","",SUMIFS('07_Nachtraege'!$E:$E,'07_Nachtraege'!$B:$B,A18,'07_Nachtraege'!$F:$F,"beauftragt"))</f>
        <v/>
      </c>
      <c r="V18" s="15">
        <f>IF(A18="","",J18+U18)</f>
        <v/>
      </c>
      <c r="W18" s="15">
        <f>IF(A18="","",SUMIFS('13_Ausgangsrechnungen'!$G:$G,'13_Ausgangsrechnungen'!$C:$C,A18))</f>
        <v/>
      </c>
      <c r="X18" s="15">
        <f>IF(A18="","",SUMIFS('11_Material'!$L:$L,'11_Material'!$C:$C,A18))</f>
        <v/>
      </c>
      <c r="Y18" s="15">
        <f>IF(A18="","",SUMIFS('14_Eingangsrechnungen'!$F:$F,'14_Eingangsrechnungen'!$C:$C,A18,'14_Eingangsrechnungen'!$E:$E,"Nachunternehmer"))</f>
        <v/>
      </c>
      <c r="Z18" s="15">
        <f>IF(A18="","",SUMIFS('10_Stunden'!$K:$K,'10_Stunden'!$C:$C,A18))</f>
        <v/>
      </c>
      <c r="AA18" s="15">
        <f>IF(A18="","",X18+Y18+Z18+SUMIFS('14_Eingangsrechnungen'!$F:$F,'14_Eingangsrechnungen'!$C:$C,A18,'14_Eingangsrechnungen'!$E:$E,"Gerät")+SUMIFS('14_Eingangsrechnungen'!$F:$F,'14_Eingangsrechnungen'!$C:$C,A18,'14_Eingangsrechnungen'!$E:$E,"Dienstleistung"))</f>
        <v/>
      </c>
      <c r="AB18" s="15">
        <f>IF(A18="","",W18-AA18)</f>
        <v/>
      </c>
      <c r="AC18" s="19">
        <f>IF(OR(A18="",W18=0),"",AB18/W18)</f>
        <v/>
      </c>
      <c r="AD18" s="19">
        <f>IF(OR(A18="",V18=0),"",W18/V18)</f>
        <v/>
      </c>
      <c r="AE18" s="15">
        <f>IF(A18="","",MAX(0,V18-W18))</f>
        <v/>
      </c>
      <c r="AF18" s="15">
        <f>IF(A18="","",SUMIFS('13_Ausgangsrechnungen'!$R:$R,'13_Ausgangsrechnungen'!$C:$C,A18))</f>
        <v/>
      </c>
    </row>
    <row r="19">
      <c r="A19" s="30" t="inlineStr"/>
      <c r="B19" s="30" t="inlineStr"/>
      <c r="C19" s="30" t="inlineStr"/>
      <c r="D19" s="30" t="inlineStr"/>
      <c r="E19" s="30" t="inlineStr"/>
      <c r="F19" s="30" t="inlineStr"/>
      <c r="G19" s="38" t="inlineStr"/>
      <c r="H19" s="38" t="inlineStr"/>
      <c r="I19" s="38" t="inlineStr"/>
      <c r="J19" s="34" t="inlineStr"/>
      <c r="K19" s="34" t="inlineStr"/>
      <c r="L19" s="34" t="inlineStr"/>
      <c r="M19" s="34" t="inlineStr"/>
      <c r="N19" s="34" t="inlineStr"/>
      <c r="O19" s="34" t="inlineStr"/>
      <c r="P19" s="32" t="inlineStr"/>
      <c r="Q19" s="30" t="inlineStr"/>
      <c r="R19" s="30" t="inlineStr"/>
      <c r="S19" s="30" t="inlineStr"/>
      <c r="T19" s="30" t="inlineStr"/>
      <c r="U19" s="15">
        <f>IF(A19="","",SUMIFS('07_Nachtraege'!$E:$E,'07_Nachtraege'!$B:$B,A19,'07_Nachtraege'!$F:$F,"beauftragt"))</f>
        <v/>
      </c>
      <c r="V19" s="15">
        <f>IF(A19="","",J19+U19)</f>
        <v/>
      </c>
      <c r="W19" s="15">
        <f>IF(A19="","",SUMIFS('13_Ausgangsrechnungen'!$G:$G,'13_Ausgangsrechnungen'!$C:$C,A19))</f>
        <v/>
      </c>
      <c r="X19" s="15">
        <f>IF(A19="","",SUMIFS('11_Material'!$L:$L,'11_Material'!$C:$C,A19))</f>
        <v/>
      </c>
      <c r="Y19" s="15">
        <f>IF(A19="","",SUMIFS('14_Eingangsrechnungen'!$F:$F,'14_Eingangsrechnungen'!$C:$C,A19,'14_Eingangsrechnungen'!$E:$E,"Nachunternehmer"))</f>
        <v/>
      </c>
      <c r="Z19" s="15">
        <f>IF(A19="","",SUMIFS('10_Stunden'!$K:$K,'10_Stunden'!$C:$C,A19))</f>
        <v/>
      </c>
      <c r="AA19" s="15">
        <f>IF(A19="","",X19+Y19+Z19+SUMIFS('14_Eingangsrechnungen'!$F:$F,'14_Eingangsrechnungen'!$C:$C,A19,'14_Eingangsrechnungen'!$E:$E,"Gerät")+SUMIFS('14_Eingangsrechnungen'!$F:$F,'14_Eingangsrechnungen'!$C:$C,A19,'14_Eingangsrechnungen'!$E:$E,"Dienstleistung"))</f>
        <v/>
      </c>
      <c r="AB19" s="15">
        <f>IF(A19="","",W19-AA19)</f>
        <v/>
      </c>
      <c r="AC19" s="19">
        <f>IF(OR(A19="",W19=0),"",AB19/W19)</f>
        <v/>
      </c>
      <c r="AD19" s="19">
        <f>IF(OR(A19="",V19=0),"",W19/V19)</f>
        <v/>
      </c>
      <c r="AE19" s="15">
        <f>IF(A19="","",MAX(0,V19-W19))</f>
        <v/>
      </c>
      <c r="AF19" s="15">
        <f>IF(A19="","",SUMIFS('13_Ausgangsrechnungen'!$R:$R,'13_Ausgangsrechnungen'!$C:$C,A19))</f>
        <v/>
      </c>
    </row>
    <row r="20">
      <c r="A20" s="30" t="inlineStr"/>
      <c r="B20" s="30" t="inlineStr"/>
      <c r="C20" s="30" t="inlineStr"/>
      <c r="D20" s="30" t="inlineStr"/>
      <c r="E20" s="30" t="inlineStr"/>
      <c r="F20" s="30" t="inlineStr"/>
      <c r="G20" s="38" t="inlineStr"/>
      <c r="H20" s="38" t="inlineStr"/>
      <c r="I20" s="38" t="inlineStr"/>
      <c r="J20" s="34" t="inlineStr"/>
      <c r="K20" s="34" t="inlineStr"/>
      <c r="L20" s="34" t="inlineStr"/>
      <c r="M20" s="34" t="inlineStr"/>
      <c r="N20" s="34" t="inlineStr"/>
      <c r="O20" s="34" t="inlineStr"/>
      <c r="P20" s="32" t="inlineStr"/>
      <c r="Q20" s="30" t="inlineStr"/>
      <c r="R20" s="30" t="inlineStr"/>
      <c r="S20" s="30" t="inlineStr"/>
      <c r="T20" s="30" t="inlineStr"/>
      <c r="U20" s="15">
        <f>IF(A20="","",SUMIFS('07_Nachtraege'!$E:$E,'07_Nachtraege'!$B:$B,A20,'07_Nachtraege'!$F:$F,"beauftragt"))</f>
        <v/>
      </c>
      <c r="V20" s="15">
        <f>IF(A20="","",J20+U20)</f>
        <v/>
      </c>
      <c r="W20" s="15">
        <f>IF(A20="","",SUMIFS('13_Ausgangsrechnungen'!$G:$G,'13_Ausgangsrechnungen'!$C:$C,A20))</f>
        <v/>
      </c>
      <c r="X20" s="15">
        <f>IF(A20="","",SUMIFS('11_Material'!$L:$L,'11_Material'!$C:$C,A20))</f>
        <v/>
      </c>
      <c r="Y20" s="15">
        <f>IF(A20="","",SUMIFS('14_Eingangsrechnungen'!$F:$F,'14_Eingangsrechnungen'!$C:$C,A20,'14_Eingangsrechnungen'!$E:$E,"Nachunternehmer"))</f>
        <v/>
      </c>
      <c r="Z20" s="15">
        <f>IF(A20="","",SUMIFS('10_Stunden'!$K:$K,'10_Stunden'!$C:$C,A20))</f>
        <v/>
      </c>
      <c r="AA20" s="15">
        <f>IF(A20="","",X20+Y20+Z20+SUMIFS('14_Eingangsrechnungen'!$F:$F,'14_Eingangsrechnungen'!$C:$C,A20,'14_Eingangsrechnungen'!$E:$E,"Gerät")+SUMIFS('14_Eingangsrechnungen'!$F:$F,'14_Eingangsrechnungen'!$C:$C,A20,'14_Eingangsrechnungen'!$E:$E,"Dienstleistung"))</f>
        <v/>
      </c>
      <c r="AB20" s="15">
        <f>IF(A20="","",W20-AA20)</f>
        <v/>
      </c>
      <c r="AC20" s="19">
        <f>IF(OR(A20="",W20=0),"",AB20/W20)</f>
        <v/>
      </c>
      <c r="AD20" s="19">
        <f>IF(OR(A20="",V20=0),"",W20/V20)</f>
        <v/>
      </c>
      <c r="AE20" s="15">
        <f>IF(A20="","",MAX(0,V20-W20))</f>
        <v/>
      </c>
      <c r="AF20" s="15">
        <f>IF(A20="","",SUMIFS('13_Ausgangsrechnungen'!$R:$R,'13_Ausgangsrechnungen'!$C:$C,A20))</f>
        <v/>
      </c>
    </row>
    <row r="21">
      <c r="A21" s="30" t="inlineStr"/>
      <c r="B21" s="30" t="inlineStr"/>
      <c r="C21" s="30" t="inlineStr"/>
      <c r="D21" s="30" t="inlineStr"/>
      <c r="E21" s="30" t="inlineStr"/>
      <c r="F21" s="30" t="inlineStr"/>
      <c r="G21" s="38" t="inlineStr"/>
      <c r="H21" s="38" t="inlineStr"/>
      <c r="I21" s="38" t="inlineStr"/>
      <c r="J21" s="34" t="inlineStr"/>
      <c r="K21" s="34" t="inlineStr"/>
      <c r="L21" s="34" t="inlineStr"/>
      <c r="M21" s="34" t="inlineStr"/>
      <c r="N21" s="34" t="inlineStr"/>
      <c r="O21" s="34" t="inlineStr"/>
      <c r="P21" s="32" t="inlineStr"/>
      <c r="Q21" s="30" t="inlineStr"/>
      <c r="R21" s="30" t="inlineStr"/>
      <c r="S21" s="30" t="inlineStr"/>
      <c r="T21" s="30" t="inlineStr"/>
      <c r="U21" s="15">
        <f>IF(A21="","",SUMIFS('07_Nachtraege'!$E:$E,'07_Nachtraege'!$B:$B,A21,'07_Nachtraege'!$F:$F,"beauftragt"))</f>
        <v/>
      </c>
      <c r="V21" s="15">
        <f>IF(A21="","",J21+U21)</f>
        <v/>
      </c>
      <c r="W21" s="15">
        <f>IF(A21="","",SUMIFS('13_Ausgangsrechnungen'!$G:$G,'13_Ausgangsrechnungen'!$C:$C,A21))</f>
        <v/>
      </c>
      <c r="X21" s="15">
        <f>IF(A21="","",SUMIFS('11_Material'!$L:$L,'11_Material'!$C:$C,A21))</f>
        <v/>
      </c>
      <c r="Y21" s="15">
        <f>IF(A21="","",SUMIFS('14_Eingangsrechnungen'!$F:$F,'14_Eingangsrechnungen'!$C:$C,A21,'14_Eingangsrechnungen'!$E:$E,"Nachunternehmer"))</f>
        <v/>
      </c>
      <c r="Z21" s="15">
        <f>IF(A21="","",SUMIFS('10_Stunden'!$K:$K,'10_Stunden'!$C:$C,A21))</f>
        <v/>
      </c>
      <c r="AA21" s="15">
        <f>IF(A21="","",X21+Y21+Z21+SUMIFS('14_Eingangsrechnungen'!$F:$F,'14_Eingangsrechnungen'!$C:$C,A21,'14_Eingangsrechnungen'!$E:$E,"Gerät")+SUMIFS('14_Eingangsrechnungen'!$F:$F,'14_Eingangsrechnungen'!$C:$C,A21,'14_Eingangsrechnungen'!$E:$E,"Dienstleistung"))</f>
        <v/>
      </c>
      <c r="AB21" s="15">
        <f>IF(A21="","",W21-AA21)</f>
        <v/>
      </c>
      <c r="AC21" s="19">
        <f>IF(OR(A21="",W21=0),"",AB21/W21)</f>
        <v/>
      </c>
      <c r="AD21" s="19">
        <f>IF(OR(A21="",V21=0),"",W21/V21)</f>
        <v/>
      </c>
      <c r="AE21" s="15">
        <f>IF(A21="","",MAX(0,V21-W21))</f>
        <v/>
      </c>
      <c r="AF21" s="15">
        <f>IF(A21="","",SUMIFS('13_Ausgangsrechnungen'!$R:$R,'13_Ausgangsrechnungen'!$C:$C,A21))</f>
        <v/>
      </c>
    </row>
    <row r="22">
      <c r="A22" s="30" t="inlineStr"/>
      <c r="B22" s="30" t="inlineStr"/>
      <c r="C22" s="30" t="inlineStr"/>
      <c r="D22" s="30" t="inlineStr"/>
      <c r="E22" s="30" t="inlineStr"/>
      <c r="F22" s="30" t="inlineStr"/>
      <c r="G22" s="38" t="inlineStr"/>
      <c r="H22" s="38" t="inlineStr"/>
      <c r="I22" s="38" t="inlineStr"/>
      <c r="J22" s="34" t="inlineStr"/>
      <c r="K22" s="34" t="inlineStr"/>
      <c r="L22" s="34" t="inlineStr"/>
      <c r="M22" s="34" t="inlineStr"/>
      <c r="N22" s="34" t="inlineStr"/>
      <c r="O22" s="34" t="inlineStr"/>
      <c r="P22" s="32" t="inlineStr"/>
      <c r="Q22" s="30" t="inlineStr"/>
      <c r="R22" s="30" t="inlineStr"/>
      <c r="S22" s="30" t="inlineStr"/>
      <c r="T22" s="30" t="inlineStr"/>
      <c r="U22" s="15">
        <f>IF(A22="","",SUMIFS('07_Nachtraege'!$E:$E,'07_Nachtraege'!$B:$B,A22,'07_Nachtraege'!$F:$F,"beauftragt"))</f>
        <v/>
      </c>
      <c r="V22" s="15">
        <f>IF(A22="","",J22+U22)</f>
        <v/>
      </c>
      <c r="W22" s="15">
        <f>IF(A22="","",SUMIFS('13_Ausgangsrechnungen'!$G:$G,'13_Ausgangsrechnungen'!$C:$C,A22))</f>
        <v/>
      </c>
      <c r="X22" s="15">
        <f>IF(A22="","",SUMIFS('11_Material'!$L:$L,'11_Material'!$C:$C,A22))</f>
        <v/>
      </c>
      <c r="Y22" s="15">
        <f>IF(A22="","",SUMIFS('14_Eingangsrechnungen'!$F:$F,'14_Eingangsrechnungen'!$C:$C,A22,'14_Eingangsrechnungen'!$E:$E,"Nachunternehmer"))</f>
        <v/>
      </c>
      <c r="Z22" s="15">
        <f>IF(A22="","",SUMIFS('10_Stunden'!$K:$K,'10_Stunden'!$C:$C,A22))</f>
        <v/>
      </c>
      <c r="AA22" s="15">
        <f>IF(A22="","",X22+Y22+Z22+SUMIFS('14_Eingangsrechnungen'!$F:$F,'14_Eingangsrechnungen'!$C:$C,A22,'14_Eingangsrechnungen'!$E:$E,"Gerät")+SUMIFS('14_Eingangsrechnungen'!$F:$F,'14_Eingangsrechnungen'!$C:$C,A22,'14_Eingangsrechnungen'!$E:$E,"Dienstleistung"))</f>
        <v/>
      </c>
      <c r="AB22" s="15">
        <f>IF(A22="","",W22-AA22)</f>
        <v/>
      </c>
      <c r="AC22" s="19">
        <f>IF(OR(A22="",W22=0),"",AB22/W22)</f>
        <v/>
      </c>
      <c r="AD22" s="19">
        <f>IF(OR(A22="",V22=0),"",W22/V22)</f>
        <v/>
      </c>
      <c r="AE22" s="15">
        <f>IF(A22="","",MAX(0,V22-W22))</f>
        <v/>
      </c>
      <c r="AF22" s="15">
        <f>IF(A22="","",SUMIFS('13_Ausgangsrechnungen'!$R:$R,'13_Ausgangsrechnungen'!$C:$C,A22))</f>
        <v/>
      </c>
    </row>
    <row r="23">
      <c r="A23" s="30" t="inlineStr"/>
      <c r="B23" s="30" t="inlineStr"/>
      <c r="C23" s="30" t="inlineStr"/>
      <c r="D23" s="30" t="inlineStr"/>
      <c r="E23" s="30" t="inlineStr"/>
      <c r="F23" s="30" t="inlineStr"/>
      <c r="G23" s="38" t="inlineStr"/>
      <c r="H23" s="38" t="inlineStr"/>
      <c r="I23" s="38" t="inlineStr"/>
      <c r="J23" s="34" t="inlineStr"/>
      <c r="K23" s="34" t="inlineStr"/>
      <c r="L23" s="34" t="inlineStr"/>
      <c r="M23" s="34" t="inlineStr"/>
      <c r="N23" s="34" t="inlineStr"/>
      <c r="O23" s="34" t="inlineStr"/>
      <c r="P23" s="32" t="inlineStr"/>
      <c r="Q23" s="30" t="inlineStr"/>
      <c r="R23" s="30" t="inlineStr"/>
      <c r="S23" s="30" t="inlineStr"/>
      <c r="T23" s="30" t="inlineStr"/>
      <c r="U23" s="15">
        <f>IF(A23="","",SUMIFS('07_Nachtraege'!$E:$E,'07_Nachtraege'!$B:$B,A23,'07_Nachtraege'!$F:$F,"beauftragt"))</f>
        <v/>
      </c>
      <c r="V23" s="15">
        <f>IF(A23="","",J23+U23)</f>
        <v/>
      </c>
      <c r="W23" s="15">
        <f>IF(A23="","",SUMIFS('13_Ausgangsrechnungen'!$G:$G,'13_Ausgangsrechnungen'!$C:$C,A23))</f>
        <v/>
      </c>
      <c r="X23" s="15">
        <f>IF(A23="","",SUMIFS('11_Material'!$L:$L,'11_Material'!$C:$C,A23))</f>
        <v/>
      </c>
      <c r="Y23" s="15">
        <f>IF(A23="","",SUMIFS('14_Eingangsrechnungen'!$F:$F,'14_Eingangsrechnungen'!$C:$C,A23,'14_Eingangsrechnungen'!$E:$E,"Nachunternehmer"))</f>
        <v/>
      </c>
      <c r="Z23" s="15">
        <f>IF(A23="","",SUMIFS('10_Stunden'!$K:$K,'10_Stunden'!$C:$C,A23))</f>
        <v/>
      </c>
      <c r="AA23" s="15">
        <f>IF(A23="","",X23+Y23+Z23+SUMIFS('14_Eingangsrechnungen'!$F:$F,'14_Eingangsrechnungen'!$C:$C,A23,'14_Eingangsrechnungen'!$E:$E,"Gerät")+SUMIFS('14_Eingangsrechnungen'!$F:$F,'14_Eingangsrechnungen'!$C:$C,A23,'14_Eingangsrechnungen'!$E:$E,"Dienstleistung"))</f>
        <v/>
      </c>
      <c r="AB23" s="15">
        <f>IF(A23="","",W23-AA23)</f>
        <v/>
      </c>
      <c r="AC23" s="19">
        <f>IF(OR(A23="",W23=0),"",AB23/W23)</f>
        <v/>
      </c>
      <c r="AD23" s="19">
        <f>IF(OR(A23="",V23=0),"",W23/V23)</f>
        <v/>
      </c>
      <c r="AE23" s="15">
        <f>IF(A23="","",MAX(0,V23-W23))</f>
        <v/>
      </c>
      <c r="AF23" s="15">
        <f>IF(A23="","",SUMIFS('13_Ausgangsrechnungen'!$R:$R,'13_Ausgangsrechnungen'!$C:$C,A23))</f>
        <v/>
      </c>
    </row>
    <row r="24">
      <c r="A24" s="30" t="inlineStr"/>
      <c r="B24" s="30" t="inlineStr"/>
      <c r="C24" s="30" t="inlineStr"/>
      <c r="D24" s="30" t="inlineStr"/>
      <c r="E24" s="30" t="inlineStr"/>
      <c r="F24" s="30" t="inlineStr"/>
      <c r="G24" s="38" t="inlineStr"/>
      <c r="H24" s="38" t="inlineStr"/>
      <c r="I24" s="38" t="inlineStr"/>
      <c r="J24" s="34" t="inlineStr"/>
      <c r="K24" s="34" t="inlineStr"/>
      <c r="L24" s="34" t="inlineStr"/>
      <c r="M24" s="34" t="inlineStr"/>
      <c r="N24" s="34" t="inlineStr"/>
      <c r="O24" s="34" t="inlineStr"/>
      <c r="P24" s="32" t="inlineStr"/>
      <c r="Q24" s="30" t="inlineStr"/>
      <c r="R24" s="30" t="inlineStr"/>
      <c r="S24" s="30" t="inlineStr"/>
      <c r="T24" s="30" t="inlineStr"/>
      <c r="U24" s="15">
        <f>IF(A24="","",SUMIFS('07_Nachtraege'!$E:$E,'07_Nachtraege'!$B:$B,A24,'07_Nachtraege'!$F:$F,"beauftragt"))</f>
        <v/>
      </c>
      <c r="V24" s="15">
        <f>IF(A24="","",J24+U24)</f>
        <v/>
      </c>
      <c r="W24" s="15">
        <f>IF(A24="","",SUMIFS('13_Ausgangsrechnungen'!$G:$G,'13_Ausgangsrechnungen'!$C:$C,A24))</f>
        <v/>
      </c>
      <c r="X24" s="15">
        <f>IF(A24="","",SUMIFS('11_Material'!$L:$L,'11_Material'!$C:$C,A24))</f>
        <v/>
      </c>
      <c r="Y24" s="15">
        <f>IF(A24="","",SUMIFS('14_Eingangsrechnungen'!$F:$F,'14_Eingangsrechnungen'!$C:$C,A24,'14_Eingangsrechnungen'!$E:$E,"Nachunternehmer"))</f>
        <v/>
      </c>
      <c r="Z24" s="15">
        <f>IF(A24="","",SUMIFS('10_Stunden'!$K:$K,'10_Stunden'!$C:$C,A24))</f>
        <v/>
      </c>
      <c r="AA24" s="15">
        <f>IF(A24="","",X24+Y24+Z24+SUMIFS('14_Eingangsrechnungen'!$F:$F,'14_Eingangsrechnungen'!$C:$C,A24,'14_Eingangsrechnungen'!$E:$E,"Gerät")+SUMIFS('14_Eingangsrechnungen'!$F:$F,'14_Eingangsrechnungen'!$C:$C,A24,'14_Eingangsrechnungen'!$E:$E,"Dienstleistung"))</f>
        <v/>
      </c>
      <c r="AB24" s="15">
        <f>IF(A24="","",W24-AA24)</f>
        <v/>
      </c>
      <c r="AC24" s="19">
        <f>IF(OR(A24="",W24=0),"",AB24/W24)</f>
        <v/>
      </c>
      <c r="AD24" s="19">
        <f>IF(OR(A24="",V24=0),"",W24/V24)</f>
        <v/>
      </c>
      <c r="AE24" s="15">
        <f>IF(A24="","",MAX(0,V24-W24))</f>
        <v/>
      </c>
      <c r="AF24" s="15">
        <f>IF(A24="","",SUMIFS('13_Ausgangsrechnungen'!$R:$R,'13_Ausgangsrechnungen'!$C:$C,A24))</f>
        <v/>
      </c>
    </row>
    <row r="25">
      <c r="A25" s="30" t="inlineStr"/>
      <c r="B25" s="30" t="inlineStr"/>
      <c r="C25" s="30" t="inlineStr"/>
      <c r="D25" s="30" t="inlineStr"/>
      <c r="E25" s="30" t="inlineStr"/>
      <c r="F25" s="30" t="inlineStr"/>
      <c r="G25" s="38" t="inlineStr"/>
      <c r="H25" s="38" t="inlineStr"/>
      <c r="I25" s="38" t="inlineStr"/>
      <c r="J25" s="34" t="inlineStr"/>
      <c r="K25" s="34" t="inlineStr"/>
      <c r="L25" s="34" t="inlineStr"/>
      <c r="M25" s="34" t="inlineStr"/>
      <c r="N25" s="34" t="inlineStr"/>
      <c r="O25" s="34" t="inlineStr"/>
      <c r="P25" s="32" t="inlineStr"/>
      <c r="Q25" s="30" t="inlineStr"/>
      <c r="R25" s="30" t="inlineStr"/>
      <c r="S25" s="30" t="inlineStr"/>
      <c r="T25" s="30" t="inlineStr"/>
      <c r="U25" s="15">
        <f>IF(A25="","",SUMIFS('07_Nachtraege'!$E:$E,'07_Nachtraege'!$B:$B,A25,'07_Nachtraege'!$F:$F,"beauftragt"))</f>
        <v/>
      </c>
      <c r="V25" s="15">
        <f>IF(A25="","",J25+U25)</f>
        <v/>
      </c>
      <c r="W25" s="15">
        <f>IF(A25="","",SUMIFS('13_Ausgangsrechnungen'!$G:$G,'13_Ausgangsrechnungen'!$C:$C,A25))</f>
        <v/>
      </c>
      <c r="X25" s="15">
        <f>IF(A25="","",SUMIFS('11_Material'!$L:$L,'11_Material'!$C:$C,A25))</f>
        <v/>
      </c>
      <c r="Y25" s="15">
        <f>IF(A25="","",SUMIFS('14_Eingangsrechnungen'!$F:$F,'14_Eingangsrechnungen'!$C:$C,A25,'14_Eingangsrechnungen'!$E:$E,"Nachunternehmer"))</f>
        <v/>
      </c>
      <c r="Z25" s="15">
        <f>IF(A25="","",SUMIFS('10_Stunden'!$K:$K,'10_Stunden'!$C:$C,A25))</f>
        <v/>
      </c>
      <c r="AA25" s="15">
        <f>IF(A25="","",X25+Y25+Z25+SUMIFS('14_Eingangsrechnungen'!$F:$F,'14_Eingangsrechnungen'!$C:$C,A25,'14_Eingangsrechnungen'!$E:$E,"Gerät")+SUMIFS('14_Eingangsrechnungen'!$F:$F,'14_Eingangsrechnungen'!$C:$C,A25,'14_Eingangsrechnungen'!$E:$E,"Dienstleistung"))</f>
        <v/>
      </c>
      <c r="AB25" s="15">
        <f>IF(A25="","",W25-AA25)</f>
        <v/>
      </c>
      <c r="AC25" s="19">
        <f>IF(OR(A25="",W25=0),"",AB25/W25)</f>
        <v/>
      </c>
      <c r="AD25" s="19">
        <f>IF(OR(A25="",V25=0),"",W25/V25)</f>
        <v/>
      </c>
      <c r="AE25" s="15">
        <f>IF(A25="","",MAX(0,V25-W25))</f>
        <v/>
      </c>
      <c r="AF25" s="15">
        <f>IF(A25="","",SUMIFS('13_Ausgangsrechnungen'!$R:$R,'13_Ausgangsrechnungen'!$C:$C,A25))</f>
        <v/>
      </c>
    </row>
    <row r="26">
      <c r="A26" s="30" t="inlineStr"/>
      <c r="B26" s="30" t="inlineStr"/>
      <c r="C26" s="30" t="inlineStr"/>
      <c r="D26" s="30" t="inlineStr"/>
      <c r="E26" s="30" t="inlineStr"/>
      <c r="F26" s="30" t="inlineStr"/>
      <c r="G26" s="38" t="inlineStr"/>
      <c r="H26" s="38" t="inlineStr"/>
      <c r="I26" s="38" t="inlineStr"/>
      <c r="J26" s="34" t="inlineStr"/>
      <c r="K26" s="34" t="inlineStr"/>
      <c r="L26" s="34" t="inlineStr"/>
      <c r="M26" s="34" t="inlineStr"/>
      <c r="N26" s="34" t="inlineStr"/>
      <c r="O26" s="34" t="inlineStr"/>
      <c r="P26" s="32" t="inlineStr"/>
      <c r="Q26" s="30" t="inlineStr"/>
      <c r="R26" s="30" t="inlineStr"/>
      <c r="S26" s="30" t="inlineStr"/>
      <c r="T26" s="30" t="inlineStr"/>
      <c r="U26" s="15">
        <f>IF(A26="","",SUMIFS('07_Nachtraege'!$E:$E,'07_Nachtraege'!$B:$B,A26,'07_Nachtraege'!$F:$F,"beauftragt"))</f>
        <v/>
      </c>
      <c r="V26" s="15">
        <f>IF(A26="","",J26+U26)</f>
        <v/>
      </c>
      <c r="W26" s="15">
        <f>IF(A26="","",SUMIFS('13_Ausgangsrechnungen'!$G:$G,'13_Ausgangsrechnungen'!$C:$C,A26))</f>
        <v/>
      </c>
      <c r="X26" s="15">
        <f>IF(A26="","",SUMIFS('11_Material'!$L:$L,'11_Material'!$C:$C,A26))</f>
        <v/>
      </c>
      <c r="Y26" s="15">
        <f>IF(A26="","",SUMIFS('14_Eingangsrechnungen'!$F:$F,'14_Eingangsrechnungen'!$C:$C,A26,'14_Eingangsrechnungen'!$E:$E,"Nachunternehmer"))</f>
        <v/>
      </c>
      <c r="Z26" s="15">
        <f>IF(A26="","",SUMIFS('10_Stunden'!$K:$K,'10_Stunden'!$C:$C,A26))</f>
        <v/>
      </c>
      <c r="AA26" s="15">
        <f>IF(A26="","",X26+Y26+Z26+SUMIFS('14_Eingangsrechnungen'!$F:$F,'14_Eingangsrechnungen'!$C:$C,A26,'14_Eingangsrechnungen'!$E:$E,"Gerät")+SUMIFS('14_Eingangsrechnungen'!$F:$F,'14_Eingangsrechnungen'!$C:$C,A26,'14_Eingangsrechnungen'!$E:$E,"Dienstleistung"))</f>
        <v/>
      </c>
      <c r="AB26" s="15">
        <f>IF(A26="","",W26-AA26)</f>
        <v/>
      </c>
      <c r="AC26" s="19">
        <f>IF(OR(A26="",W26=0),"",AB26/W26)</f>
        <v/>
      </c>
      <c r="AD26" s="19">
        <f>IF(OR(A26="",V26=0),"",W26/V26)</f>
        <v/>
      </c>
      <c r="AE26" s="15">
        <f>IF(A26="","",MAX(0,V26-W26))</f>
        <v/>
      </c>
      <c r="AF26" s="15">
        <f>IF(A26="","",SUMIFS('13_Ausgangsrechnungen'!$R:$R,'13_Ausgangsrechnungen'!$C:$C,A26))</f>
        <v/>
      </c>
    </row>
    <row r="27">
      <c r="A27" s="30" t="inlineStr"/>
      <c r="B27" s="30" t="inlineStr"/>
      <c r="C27" s="30" t="inlineStr"/>
      <c r="D27" s="30" t="inlineStr"/>
      <c r="E27" s="30" t="inlineStr"/>
      <c r="F27" s="30" t="inlineStr"/>
      <c r="G27" s="38" t="inlineStr"/>
      <c r="H27" s="38" t="inlineStr"/>
      <c r="I27" s="38" t="inlineStr"/>
      <c r="J27" s="34" t="inlineStr"/>
      <c r="K27" s="34" t="inlineStr"/>
      <c r="L27" s="34" t="inlineStr"/>
      <c r="M27" s="34" t="inlineStr"/>
      <c r="N27" s="34" t="inlineStr"/>
      <c r="O27" s="34" t="inlineStr"/>
      <c r="P27" s="32" t="inlineStr"/>
      <c r="Q27" s="30" t="inlineStr"/>
      <c r="R27" s="30" t="inlineStr"/>
      <c r="S27" s="30" t="inlineStr"/>
      <c r="T27" s="30" t="inlineStr"/>
      <c r="U27" s="15">
        <f>IF(A27="","",SUMIFS('07_Nachtraege'!$E:$E,'07_Nachtraege'!$B:$B,A27,'07_Nachtraege'!$F:$F,"beauftragt"))</f>
        <v/>
      </c>
      <c r="V27" s="15">
        <f>IF(A27="","",J27+U27)</f>
        <v/>
      </c>
      <c r="W27" s="15">
        <f>IF(A27="","",SUMIFS('13_Ausgangsrechnungen'!$G:$G,'13_Ausgangsrechnungen'!$C:$C,A27))</f>
        <v/>
      </c>
      <c r="X27" s="15">
        <f>IF(A27="","",SUMIFS('11_Material'!$L:$L,'11_Material'!$C:$C,A27))</f>
        <v/>
      </c>
      <c r="Y27" s="15">
        <f>IF(A27="","",SUMIFS('14_Eingangsrechnungen'!$F:$F,'14_Eingangsrechnungen'!$C:$C,A27,'14_Eingangsrechnungen'!$E:$E,"Nachunternehmer"))</f>
        <v/>
      </c>
      <c r="Z27" s="15">
        <f>IF(A27="","",SUMIFS('10_Stunden'!$K:$K,'10_Stunden'!$C:$C,A27))</f>
        <v/>
      </c>
      <c r="AA27" s="15">
        <f>IF(A27="","",X27+Y27+Z27+SUMIFS('14_Eingangsrechnungen'!$F:$F,'14_Eingangsrechnungen'!$C:$C,A27,'14_Eingangsrechnungen'!$E:$E,"Gerät")+SUMIFS('14_Eingangsrechnungen'!$F:$F,'14_Eingangsrechnungen'!$C:$C,A27,'14_Eingangsrechnungen'!$E:$E,"Dienstleistung"))</f>
        <v/>
      </c>
      <c r="AB27" s="15">
        <f>IF(A27="","",W27-AA27)</f>
        <v/>
      </c>
      <c r="AC27" s="19">
        <f>IF(OR(A27="",W27=0),"",AB27/W27)</f>
        <v/>
      </c>
      <c r="AD27" s="19">
        <f>IF(OR(A27="",V27=0),"",W27/V27)</f>
        <v/>
      </c>
      <c r="AE27" s="15">
        <f>IF(A27="","",MAX(0,V27-W27))</f>
        <v/>
      </c>
      <c r="AF27" s="15">
        <f>IF(A27="","",SUMIFS('13_Ausgangsrechnungen'!$R:$R,'13_Ausgangsrechnungen'!$C:$C,A27))</f>
        <v/>
      </c>
    </row>
    <row r="28">
      <c r="A28" s="30" t="inlineStr"/>
      <c r="B28" s="30" t="inlineStr"/>
      <c r="C28" s="30" t="inlineStr"/>
      <c r="D28" s="30" t="inlineStr"/>
      <c r="E28" s="30" t="inlineStr"/>
      <c r="F28" s="30" t="inlineStr"/>
      <c r="G28" s="38" t="inlineStr"/>
      <c r="H28" s="38" t="inlineStr"/>
      <c r="I28" s="38" t="inlineStr"/>
      <c r="J28" s="34" t="inlineStr"/>
      <c r="K28" s="34" t="inlineStr"/>
      <c r="L28" s="34" t="inlineStr"/>
      <c r="M28" s="34" t="inlineStr"/>
      <c r="N28" s="34" t="inlineStr"/>
      <c r="O28" s="34" t="inlineStr"/>
      <c r="P28" s="32" t="inlineStr"/>
      <c r="Q28" s="30" t="inlineStr"/>
      <c r="R28" s="30" t="inlineStr"/>
      <c r="S28" s="30" t="inlineStr"/>
      <c r="T28" s="30" t="inlineStr"/>
      <c r="U28" s="15">
        <f>IF(A28="","",SUMIFS('07_Nachtraege'!$E:$E,'07_Nachtraege'!$B:$B,A28,'07_Nachtraege'!$F:$F,"beauftragt"))</f>
        <v/>
      </c>
      <c r="V28" s="15">
        <f>IF(A28="","",J28+U28)</f>
        <v/>
      </c>
      <c r="W28" s="15">
        <f>IF(A28="","",SUMIFS('13_Ausgangsrechnungen'!$G:$G,'13_Ausgangsrechnungen'!$C:$C,A28))</f>
        <v/>
      </c>
      <c r="X28" s="15">
        <f>IF(A28="","",SUMIFS('11_Material'!$L:$L,'11_Material'!$C:$C,A28))</f>
        <v/>
      </c>
      <c r="Y28" s="15">
        <f>IF(A28="","",SUMIFS('14_Eingangsrechnungen'!$F:$F,'14_Eingangsrechnungen'!$C:$C,A28,'14_Eingangsrechnungen'!$E:$E,"Nachunternehmer"))</f>
        <v/>
      </c>
      <c r="Z28" s="15">
        <f>IF(A28="","",SUMIFS('10_Stunden'!$K:$K,'10_Stunden'!$C:$C,A28))</f>
        <v/>
      </c>
      <c r="AA28" s="15">
        <f>IF(A28="","",X28+Y28+Z28+SUMIFS('14_Eingangsrechnungen'!$F:$F,'14_Eingangsrechnungen'!$C:$C,A28,'14_Eingangsrechnungen'!$E:$E,"Gerät")+SUMIFS('14_Eingangsrechnungen'!$F:$F,'14_Eingangsrechnungen'!$C:$C,A28,'14_Eingangsrechnungen'!$E:$E,"Dienstleistung"))</f>
        <v/>
      </c>
      <c r="AB28" s="15">
        <f>IF(A28="","",W28-AA28)</f>
        <v/>
      </c>
      <c r="AC28" s="19">
        <f>IF(OR(A28="",W28=0),"",AB28/W28)</f>
        <v/>
      </c>
      <c r="AD28" s="19">
        <f>IF(OR(A28="",V28=0),"",W28/V28)</f>
        <v/>
      </c>
      <c r="AE28" s="15">
        <f>IF(A28="","",MAX(0,V28-W28))</f>
        <v/>
      </c>
      <c r="AF28" s="15">
        <f>IF(A28="","",SUMIFS('13_Ausgangsrechnungen'!$R:$R,'13_Ausgangsrechnungen'!$C:$C,A28))</f>
        <v/>
      </c>
    </row>
    <row r="29">
      <c r="A29" s="30" t="inlineStr"/>
      <c r="B29" s="30" t="inlineStr"/>
      <c r="C29" s="30" t="inlineStr"/>
      <c r="D29" s="30" t="inlineStr"/>
      <c r="E29" s="30" t="inlineStr"/>
      <c r="F29" s="30" t="inlineStr"/>
      <c r="G29" s="38" t="inlineStr"/>
      <c r="H29" s="38" t="inlineStr"/>
      <c r="I29" s="38" t="inlineStr"/>
      <c r="J29" s="34" t="inlineStr"/>
      <c r="K29" s="34" t="inlineStr"/>
      <c r="L29" s="34" t="inlineStr"/>
      <c r="M29" s="34" t="inlineStr"/>
      <c r="N29" s="34" t="inlineStr"/>
      <c r="O29" s="34" t="inlineStr"/>
      <c r="P29" s="32" t="inlineStr"/>
      <c r="Q29" s="30" t="inlineStr"/>
      <c r="R29" s="30" t="inlineStr"/>
      <c r="S29" s="30" t="inlineStr"/>
      <c r="T29" s="30" t="inlineStr"/>
      <c r="U29" s="15">
        <f>IF(A29="","",SUMIFS('07_Nachtraege'!$E:$E,'07_Nachtraege'!$B:$B,A29,'07_Nachtraege'!$F:$F,"beauftragt"))</f>
        <v/>
      </c>
      <c r="V29" s="15">
        <f>IF(A29="","",J29+U29)</f>
        <v/>
      </c>
      <c r="W29" s="15">
        <f>IF(A29="","",SUMIFS('13_Ausgangsrechnungen'!$G:$G,'13_Ausgangsrechnungen'!$C:$C,A29))</f>
        <v/>
      </c>
      <c r="X29" s="15">
        <f>IF(A29="","",SUMIFS('11_Material'!$L:$L,'11_Material'!$C:$C,A29))</f>
        <v/>
      </c>
      <c r="Y29" s="15">
        <f>IF(A29="","",SUMIFS('14_Eingangsrechnungen'!$F:$F,'14_Eingangsrechnungen'!$C:$C,A29,'14_Eingangsrechnungen'!$E:$E,"Nachunternehmer"))</f>
        <v/>
      </c>
      <c r="Z29" s="15">
        <f>IF(A29="","",SUMIFS('10_Stunden'!$K:$K,'10_Stunden'!$C:$C,A29))</f>
        <v/>
      </c>
      <c r="AA29" s="15">
        <f>IF(A29="","",X29+Y29+Z29+SUMIFS('14_Eingangsrechnungen'!$F:$F,'14_Eingangsrechnungen'!$C:$C,A29,'14_Eingangsrechnungen'!$E:$E,"Gerät")+SUMIFS('14_Eingangsrechnungen'!$F:$F,'14_Eingangsrechnungen'!$C:$C,A29,'14_Eingangsrechnungen'!$E:$E,"Dienstleistung"))</f>
        <v/>
      </c>
      <c r="AB29" s="15">
        <f>IF(A29="","",W29-AA29)</f>
        <v/>
      </c>
      <c r="AC29" s="19">
        <f>IF(OR(A29="",W29=0),"",AB29/W29)</f>
        <v/>
      </c>
      <c r="AD29" s="19">
        <f>IF(OR(A29="",V29=0),"",W29/V29)</f>
        <v/>
      </c>
      <c r="AE29" s="15">
        <f>IF(A29="","",MAX(0,V29-W29))</f>
        <v/>
      </c>
      <c r="AF29" s="15">
        <f>IF(A29="","",SUMIFS('13_Ausgangsrechnungen'!$R:$R,'13_Ausgangsrechnungen'!$C:$C,A29))</f>
        <v/>
      </c>
    </row>
    <row r="30">
      <c r="A30" s="30" t="inlineStr"/>
      <c r="B30" s="30" t="inlineStr"/>
      <c r="C30" s="30" t="inlineStr"/>
      <c r="D30" s="30" t="inlineStr"/>
      <c r="E30" s="30" t="inlineStr"/>
      <c r="F30" s="30" t="inlineStr"/>
      <c r="G30" s="38" t="inlineStr"/>
      <c r="H30" s="38" t="inlineStr"/>
      <c r="I30" s="38" t="inlineStr"/>
      <c r="J30" s="34" t="inlineStr"/>
      <c r="K30" s="34" t="inlineStr"/>
      <c r="L30" s="34" t="inlineStr"/>
      <c r="M30" s="34" t="inlineStr"/>
      <c r="N30" s="34" t="inlineStr"/>
      <c r="O30" s="34" t="inlineStr"/>
      <c r="P30" s="32" t="inlineStr"/>
      <c r="Q30" s="30" t="inlineStr"/>
      <c r="R30" s="30" t="inlineStr"/>
      <c r="S30" s="30" t="inlineStr"/>
      <c r="T30" s="30" t="inlineStr"/>
      <c r="U30" s="15">
        <f>IF(A30="","",SUMIFS('07_Nachtraege'!$E:$E,'07_Nachtraege'!$B:$B,A30,'07_Nachtraege'!$F:$F,"beauftragt"))</f>
        <v/>
      </c>
      <c r="V30" s="15">
        <f>IF(A30="","",J30+U30)</f>
        <v/>
      </c>
      <c r="W30" s="15">
        <f>IF(A30="","",SUMIFS('13_Ausgangsrechnungen'!$G:$G,'13_Ausgangsrechnungen'!$C:$C,A30))</f>
        <v/>
      </c>
      <c r="X30" s="15">
        <f>IF(A30="","",SUMIFS('11_Material'!$L:$L,'11_Material'!$C:$C,A30))</f>
        <v/>
      </c>
      <c r="Y30" s="15">
        <f>IF(A30="","",SUMIFS('14_Eingangsrechnungen'!$F:$F,'14_Eingangsrechnungen'!$C:$C,A30,'14_Eingangsrechnungen'!$E:$E,"Nachunternehmer"))</f>
        <v/>
      </c>
      <c r="Z30" s="15">
        <f>IF(A30="","",SUMIFS('10_Stunden'!$K:$K,'10_Stunden'!$C:$C,A30))</f>
        <v/>
      </c>
      <c r="AA30" s="15">
        <f>IF(A30="","",X30+Y30+Z30+SUMIFS('14_Eingangsrechnungen'!$F:$F,'14_Eingangsrechnungen'!$C:$C,A30,'14_Eingangsrechnungen'!$E:$E,"Gerät")+SUMIFS('14_Eingangsrechnungen'!$F:$F,'14_Eingangsrechnungen'!$C:$C,A30,'14_Eingangsrechnungen'!$E:$E,"Dienstleistung"))</f>
        <v/>
      </c>
      <c r="AB30" s="15">
        <f>IF(A30="","",W30-AA30)</f>
        <v/>
      </c>
      <c r="AC30" s="19">
        <f>IF(OR(A30="",W30=0),"",AB30/W30)</f>
        <v/>
      </c>
      <c r="AD30" s="19">
        <f>IF(OR(A30="",V30=0),"",W30/V30)</f>
        <v/>
      </c>
      <c r="AE30" s="15">
        <f>IF(A30="","",MAX(0,V30-W30))</f>
        <v/>
      </c>
      <c r="AF30" s="15">
        <f>IF(A30="","",SUMIFS('13_Ausgangsrechnungen'!$R:$R,'13_Ausgangsrechnungen'!$C:$C,A30))</f>
        <v/>
      </c>
    </row>
    <row r="31">
      <c r="A31" s="30" t="inlineStr"/>
      <c r="B31" s="30" t="inlineStr"/>
      <c r="C31" s="30" t="inlineStr"/>
      <c r="D31" s="30" t="inlineStr"/>
      <c r="E31" s="30" t="inlineStr"/>
      <c r="F31" s="30" t="inlineStr"/>
      <c r="G31" s="38" t="inlineStr"/>
      <c r="H31" s="38" t="inlineStr"/>
      <c r="I31" s="38" t="inlineStr"/>
      <c r="J31" s="34" t="inlineStr"/>
      <c r="K31" s="34" t="inlineStr"/>
      <c r="L31" s="34" t="inlineStr"/>
      <c r="M31" s="34" t="inlineStr"/>
      <c r="N31" s="34" t="inlineStr"/>
      <c r="O31" s="34" t="inlineStr"/>
      <c r="P31" s="32" t="inlineStr"/>
      <c r="Q31" s="30" t="inlineStr"/>
      <c r="R31" s="30" t="inlineStr"/>
      <c r="S31" s="30" t="inlineStr"/>
      <c r="T31" s="30" t="inlineStr"/>
      <c r="U31" s="15">
        <f>IF(A31="","",SUMIFS('07_Nachtraege'!$E:$E,'07_Nachtraege'!$B:$B,A31,'07_Nachtraege'!$F:$F,"beauftragt"))</f>
        <v/>
      </c>
      <c r="V31" s="15">
        <f>IF(A31="","",J31+U31)</f>
        <v/>
      </c>
      <c r="W31" s="15">
        <f>IF(A31="","",SUMIFS('13_Ausgangsrechnungen'!$G:$G,'13_Ausgangsrechnungen'!$C:$C,A31))</f>
        <v/>
      </c>
      <c r="X31" s="15">
        <f>IF(A31="","",SUMIFS('11_Material'!$L:$L,'11_Material'!$C:$C,A31))</f>
        <v/>
      </c>
      <c r="Y31" s="15">
        <f>IF(A31="","",SUMIFS('14_Eingangsrechnungen'!$F:$F,'14_Eingangsrechnungen'!$C:$C,A31,'14_Eingangsrechnungen'!$E:$E,"Nachunternehmer"))</f>
        <v/>
      </c>
      <c r="Z31" s="15">
        <f>IF(A31="","",SUMIFS('10_Stunden'!$K:$K,'10_Stunden'!$C:$C,A31))</f>
        <v/>
      </c>
      <c r="AA31" s="15">
        <f>IF(A31="","",X31+Y31+Z31+SUMIFS('14_Eingangsrechnungen'!$F:$F,'14_Eingangsrechnungen'!$C:$C,A31,'14_Eingangsrechnungen'!$E:$E,"Gerät")+SUMIFS('14_Eingangsrechnungen'!$F:$F,'14_Eingangsrechnungen'!$C:$C,A31,'14_Eingangsrechnungen'!$E:$E,"Dienstleistung"))</f>
        <v/>
      </c>
      <c r="AB31" s="15">
        <f>IF(A31="","",W31-AA31)</f>
        <v/>
      </c>
      <c r="AC31" s="19">
        <f>IF(OR(A31="",W31=0),"",AB31/W31)</f>
        <v/>
      </c>
      <c r="AD31" s="19">
        <f>IF(OR(A31="",V31=0),"",W31/V31)</f>
        <v/>
      </c>
      <c r="AE31" s="15">
        <f>IF(A31="","",MAX(0,V31-W31))</f>
        <v/>
      </c>
      <c r="AF31" s="15">
        <f>IF(A31="","",SUMIFS('13_Ausgangsrechnungen'!$R:$R,'13_Ausgangsrechnungen'!$C:$C,A31))</f>
        <v/>
      </c>
    </row>
    <row r="32">
      <c r="A32" s="30" t="inlineStr"/>
      <c r="B32" s="30" t="inlineStr"/>
      <c r="C32" s="30" t="inlineStr"/>
      <c r="D32" s="30" t="inlineStr"/>
      <c r="E32" s="30" t="inlineStr"/>
      <c r="F32" s="30" t="inlineStr"/>
      <c r="G32" s="38" t="inlineStr"/>
      <c r="H32" s="38" t="inlineStr"/>
      <c r="I32" s="38" t="inlineStr"/>
      <c r="J32" s="34" t="inlineStr"/>
      <c r="K32" s="34" t="inlineStr"/>
      <c r="L32" s="34" t="inlineStr"/>
      <c r="M32" s="34" t="inlineStr"/>
      <c r="N32" s="34" t="inlineStr"/>
      <c r="O32" s="34" t="inlineStr"/>
      <c r="P32" s="32" t="inlineStr"/>
      <c r="Q32" s="30" t="inlineStr"/>
      <c r="R32" s="30" t="inlineStr"/>
      <c r="S32" s="30" t="inlineStr"/>
      <c r="T32" s="30" t="inlineStr"/>
      <c r="U32" s="15">
        <f>IF(A32="","",SUMIFS('07_Nachtraege'!$E:$E,'07_Nachtraege'!$B:$B,A32,'07_Nachtraege'!$F:$F,"beauftragt"))</f>
        <v/>
      </c>
      <c r="V32" s="15">
        <f>IF(A32="","",J32+U32)</f>
        <v/>
      </c>
      <c r="W32" s="15">
        <f>IF(A32="","",SUMIFS('13_Ausgangsrechnungen'!$G:$G,'13_Ausgangsrechnungen'!$C:$C,A32))</f>
        <v/>
      </c>
      <c r="X32" s="15">
        <f>IF(A32="","",SUMIFS('11_Material'!$L:$L,'11_Material'!$C:$C,A32))</f>
        <v/>
      </c>
      <c r="Y32" s="15">
        <f>IF(A32="","",SUMIFS('14_Eingangsrechnungen'!$F:$F,'14_Eingangsrechnungen'!$C:$C,A32,'14_Eingangsrechnungen'!$E:$E,"Nachunternehmer"))</f>
        <v/>
      </c>
      <c r="Z32" s="15">
        <f>IF(A32="","",SUMIFS('10_Stunden'!$K:$K,'10_Stunden'!$C:$C,A32))</f>
        <v/>
      </c>
      <c r="AA32" s="15">
        <f>IF(A32="","",X32+Y32+Z32+SUMIFS('14_Eingangsrechnungen'!$F:$F,'14_Eingangsrechnungen'!$C:$C,A32,'14_Eingangsrechnungen'!$E:$E,"Gerät")+SUMIFS('14_Eingangsrechnungen'!$F:$F,'14_Eingangsrechnungen'!$C:$C,A32,'14_Eingangsrechnungen'!$E:$E,"Dienstleistung"))</f>
        <v/>
      </c>
      <c r="AB32" s="15">
        <f>IF(A32="","",W32-AA32)</f>
        <v/>
      </c>
      <c r="AC32" s="19">
        <f>IF(OR(A32="",W32=0),"",AB32/W32)</f>
        <v/>
      </c>
      <c r="AD32" s="19">
        <f>IF(OR(A32="",V32=0),"",W32/V32)</f>
        <v/>
      </c>
      <c r="AE32" s="15">
        <f>IF(A32="","",MAX(0,V32-W32))</f>
        <v/>
      </c>
      <c r="AF32" s="15">
        <f>IF(A32="","",SUMIFS('13_Ausgangsrechnungen'!$R:$R,'13_Ausgangsrechnungen'!$C:$C,A32))</f>
        <v/>
      </c>
    </row>
    <row r="33">
      <c r="A33" s="30" t="inlineStr"/>
      <c r="B33" s="30" t="inlineStr"/>
      <c r="C33" s="30" t="inlineStr"/>
      <c r="D33" s="30" t="inlineStr"/>
      <c r="E33" s="30" t="inlineStr"/>
      <c r="F33" s="30" t="inlineStr"/>
      <c r="G33" s="38" t="inlineStr"/>
      <c r="H33" s="38" t="inlineStr"/>
      <c r="I33" s="38" t="inlineStr"/>
      <c r="J33" s="34" t="inlineStr"/>
      <c r="K33" s="34" t="inlineStr"/>
      <c r="L33" s="34" t="inlineStr"/>
      <c r="M33" s="34" t="inlineStr"/>
      <c r="N33" s="34" t="inlineStr"/>
      <c r="O33" s="34" t="inlineStr"/>
      <c r="P33" s="32" t="inlineStr"/>
      <c r="Q33" s="30" t="inlineStr"/>
      <c r="R33" s="30" t="inlineStr"/>
      <c r="S33" s="30" t="inlineStr"/>
      <c r="T33" s="30" t="inlineStr"/>
      <c r="U33" s="15">
        <f>IF(A33="","",SUMIFS('07_Nachtraege'!$E:$E,'07_Nachtraege'!$B:$B,A33,'07_Nachtraege'!$F:$F,"beauftragt"))</f>
        <v/>
      </c>
      <c r="V33" s="15">
        <f>IF(A33="","",J33+U33)</f>
        <v/>
      </c>
      <c r="W33" s="15">
        <f>IF(A33="","",SUMIFS('13_Ausgangsrechnungen'!$G:$G,'13_Ausgangsrechnungen'!$C:$C,A33))</f>
        <v/>
      </c>
      <c r="X33" s="15">
        <f>IF(A33="","",SUMIFS('11_Material'!$L:$L,'11_Material'!$C:$C,A33))</f>
        <v/>
      </c>
      <c r="Y33" s="15">
        <f>IF(A33="","",SUMIFS('14_Eingangsrechnungen'!$F:$F,'14_Eingangsrechnungen'!$C:$C,A33,'14_Eingangsrechnungen'!$E:$E,"Nachunternehmer"))</f>
        <v/>
      </c>
      <c r="Z33" s="15">
        <f>IF(A33="","",SUMIFS('10_Stunden'!$K:$K,'10_Stunden'!$C:$C,A33))</f>
        <v/>
      </c>
      <c r="AA33" s="15">
        <f>IF(A33="","",X33+Y33+Z33+SUMIFS('14_Eingangsrechnungen'!$F:$F,'14_Eingangsrechnungen'!$C:$C,A33,'14_Eingangsrechnungen'!$E:$E,"Gerät")+SUMIFS('14_Eingangsrechnungen'!$F:$F,'14_Eingangsrechnungen'!$C:$C,A33,'14_Eingangsrechnungen'!$E:$E,"Dienstleistung"))</f>
        <v/>
      </c>
      <c r="AB33" s="15">
        <f>IF(A33="","",W33-AA33)</f>
        <v/>
      </c>
      <c r="AC33" s="19">
        <f>IF(OR(A33="",W33=0),"",AB33/W33)</f>
        <v/>
      </c>
      <c r="AD33" s="19">
        <f>IF(OR(A33="",V33=0),"",W33/V33)</f>
        <v/>
      </c>
      <c r="AE33" s="15">
        <f>IF(A33="","",MAX(0,V33-W33))</f>
        <v/>
      </c>
      <c r="AF33" s="15">
        <f>IF(A33="","",SUMIFS('13_Ausgangsrechnungen'!$R:$R,'13_Ausgangsrechnungen'!$C:$C,A33))</f>
        <v/>
      </c>
    </row>
    <row r="34">
      <c r="A34" s="30" t="inlineStr"/>
      <c r="B34" s="30" t="inlineStr"/>
      <c r="C34" s="30" t="inlineStr"/>
      <c r="D34" s="30" t="inlineStr"/>
      <c r="E34" s="30" t="inlineStr"/>
      <c r="F34" s="30" t="inlineStr"/>
      <c r="G34" s="38" t="inlineStr"/>
      <c r="H34" s="38" t="inlineStr"/>
      <c r="I34" s="38" t="inlineStr"/>
      <c r="J34" s="34" t="inlineStr"/>
      <c r="K34" s="34" t="inlineStr"/>
      <c r="L34" s="34" t="inlineStr"/>
      <c r="M34" s="34" t="inlineStr"/>
      <c r="N34" s="34" t="inlineStr"/>
      <c r="O34" s="34" t="inlineStr"/>
      <c r="P34" s="32" t="inlineStr"/>
      <c r="Q34" s="30" t="inlineStr"/>
      <c r="R34" s="30" t="inlineStr"/>
      <c r="S34" s="30" t="inlineStr"/>
      <c r="T34" s="30" t="inlineStr"/>
      <c r="U34" s="15">
        <f>IF(A34="","",SUMIFS('07_Nachtraege'!$E:$E,'07_Nachtraege'!$B:$B,A34,'07_Nachtraege'!$F:$F,"beauftragt"))</f>
        <v/>
      </c>
      <c r="V34" s="15">
        <f>IF(A34="","",J34+U34)</f>
        <v/>
      </c>
      <c r="W34" s="15">
        <f>IF(A34="","",SUMIFS('13_Ausgangsrechnungen'!$G:$G,'13_Ausgangsrechnungen'!$C:$C,A34))</f>
        <v/>
      </c>
      <c r="X34" s="15">
        <f>IF(A34="","",SUMIFS('11_Material'!$L:$L,'11_Material'!$C:$C,A34))</f>
        <v/>
      </c>
      <c r="Y34" s="15">
        <f>IF(A34="","",SUMIFS('14_Eingangsrechnungen'!$F:$F,'14_Eingangsrechnungen'!$C:$C,A34,'14_Eingangsrechnungen'!$E:$E,"Nachunternehmer"))</f>
        <v/>
      </c>
      <c r="Z34" s="15">
        <f>IF(A34="","",SUMIFS('10_Stunden'!$K:$K,'10_Stunden'!$C:$C,A34))</f>
        <v/>
      </c>
      <c r="AA34" s="15">
        <f>IF(A34="","",X34+Y34+Z34+SUMIFS('14_Eingangsrechnungen'!$F:$F,'14_Eingangsrechnungen'!$C:$C,A34,'14_Eingangsrechnungen'!$E:$E,"Gerät")+SUMIFS('14_Eingangsrechnungen'!$F:$F,'14_Eingangsrechnungen'!$C:$C,A34,'14_Eingangsrechnungen'!$E:$E,"Dienstleistung"))</f>
        <v/>
      </c>
      <c r="AB34" s="15">
        <f>IF(A34="","",W34-AA34)</f>
        <v/>
      </c>
      <c r="AC34" s="19">
        <f>IF(OR(A34="",W34=0),"",AB34/W34)</f>
        <v/>
      </c>
      <c r="AD34" s="19">
        <f>IF(OR(A34="",V34=0),"",W34/V34)</f>
        <v/>
      </c>
      <c r="AE34" s="15">
        <f>IF(A34="","",MAX(0,V34-W34))</f>
        <v/>
      </c>
      <c r="AF34" s="15">
        <f>IF(A34="","",SUMIFS('13_Ausgangsrechnungen'!$R:$R,'13_Ausgangsrechnungen'!$C:$C,A34))</f>
        <v/>
      </c>
    </row>
    <row r="35">
      <c r="A35" s="30" t="inlineStr"/>
      <c r="B35" s="30" t="inlineStr"/>
      <c r="C35" s="30" t="inlineStr"/>
      <c r="D35" s="30" t="inlineStr"/>
      <c r="E35" s="30" t="inlineStr"/>
      <c r="F35" s="30" t="inlineStr"/>
      <c r="G35" s="38" t="inlineStr"/>
      <c r="H35" s="38" t="inlineStr"/>
      <c r="I35" s="38" t="inlineStr"/>
      <c r="J35" s="34" t="inlineStr"/>
      <c r="K35" s="34" t="inlineStr"/>
      <c r="L35" s="34" t="inlineStr"/>
      <c r="M35" s="34" t="inlineStr"/>
      <c r="N35" s="34" t="inlineStr"/>
      <c r="O35" s="34" t="inlineStr"/>
      <c r="P35" s="32" t="inlineStr"/>
      <c r="Q35" s="30" t="inlineStr"/>
      <c r="R35" s="30" t="inlineStr"/>
      <c r="S35" s="30" t="inlineStr"/>
      <c r="T35" s="30" t="inlineStr"/>
      <c r="U35" s="15">
        <f>IF(A35="","",SUMIFS('07_Nachtraege'!$E:$E,'07_Nachtraege'!$B:$B,A35,'07_Nachtraege'!$F:$F,"beauftragt"))</f>
        <v/>
      </c>
      <c r="V35" s="15">
        <f>IF(A35="","",J35+U35)</f>
        <v/>
      </c>
      <c r="W35" s="15">
        <f>IF(A35="","",SUMIFS('13_Ausgangsrechnungen'!$G:$G,'13_Ausgangsrechnungen'!$C:$C,A35))</f>
        <v/>
      </c>
      <c r="X35" s="15">
        <f>IF(A35="","",SUMIFS('11_Material'!$L:$L,'11_Material'!$C:$C,A35))</f>
        <v/>
      </c>
      <c r="Y35" s="15">
        <f>IF(A35="","",SUMIFS('14_Eingangsrechnungen'!$F:$F,'14_Eingangsrechnungen'!$C:$C,A35,'14_Eingangsrechnungen'!$E:$E,"Nachunternehmer"))</f>
        <v/>
      </c>
      <c r="Z35" s="15">
        <f>IF(A35="","",SUMIFS('10_Stunden'!$K:$K,'10_Stunden'!$C:$C,A35))</f>
        <v/>
      </c>
      <c r="AA35" s="15">
        <f>IF(A35="","",X35+Y35+Z35+SUMIFS('14_Eingangsrechnungen'!$F:$F,'14_Eingangsrechnungen'!$C:$C,A35,'14_Eingangsrechnungen'!$E:$E,"Gerät")+SUMIFS('14_Eingangsrechnungen'!$F:$F,'14_Eingangsrechnungen'!$C:$C,A35,'14_Eingangsrechnungen'!$E:$E,"Dienstleistung"))</f>
        <v/>
      </c>
      <c r="AB35" s="15">
        <f>IF(A35="","",W35-AA35)</f>
        <v/>
      </c>
      <c r="AC35" s="19">
        <f>IF(OR(A35="",W35=0),"",AB35/W35)</f>
        <v/>
      </c>
      <c r="AD35" s="19">
        <f>IF(OR(A35="",V35=0),"",W35/V35)</f>
        <v/>
      </c>
      <c r="AE35" s="15">
        <f>IF(A35="","",MAX(0,V35-W35))</f>
        <v/>
      </c>
      <c r="AF35" s="15">
        <f>IF(A35="","",SUMIFS('13_Ausgangsrechnungen'!$R:$R,'13_Ausgangsrechnungen'!$C:$C,A35))</f>
        <v/>
      </c>
    </row>
    <row r="36">
      <c r="A36" s="30" t="inlineStr"/>
      <c r="B36" s="30" t="inlineStr"/>
      <c r="C36" s="30" t="inlineStr"/>
      <c r="D36" s="30" t="inlineStr"/>
      <c r="E36" s="30" t="inlineStr"/>
      <c r="F36" s="30" t="inlineStr"/>
      <c r="G36" s="38" t="inlineStr"/>
      <c r="H36" s="38" t="inlineStr"/>
      <c r="I36" s="38" t="inlineStr"/>
      <c r="J36" s="34" t="inlineStr"/>
      <c r="K36" s="34" t="inlineStr"/>
      <c r="L36" s="34" t="inlineStr"/>
      <c r="M36" s="34" t="inlineStr"/>
      <c r="N36" s="34" t="inlineStr"/>
      <c r="O36" s="34" t="inlineStr"/>
      <c r="P36" s="32" t="inlineStr"/>
      <c r="Q36" s="30" t="inlineStr"/>
      <c r="R36" s="30" t="inlineStr"/>
      <c r="S36" s="30" t="inlineStr"/>
      <c r="T36" s="30" t="inlineStr"/>
      <c r="U36" s="15">
        <f>IF(A36="","",SUMIFS('07_Nachtraege'!$E:$E,'07_Nachtraege'!$B:$B,A36,'07_Nachtraege'!$F:$F,"beauftragt"))</f>
        <v/>
      </c>
      <c r="V36" s="15">
        <f>IF(A36="","",J36+U36)</f>
        <v/>
      </c>
      <c r="W36" s="15">
        <f>IF(A36="","",SUMIFS('13_Ausgangsrechnungen'!$G:$G,'13_Ausgangsrechnungen'!$C:$C,A36))</f>
        <v/>
      </c>
      <c r="X36" s="15">
        <f>IF(A36="","",SUMIFS('11_Material'!$L:$L,'11_Material'!$C:$C,A36))</f>
        <v/>
      </c>
      <c r="Y36" s="15">
        <f>IF(A36="","",SUMIFS('14_Eingangsrechnungen'!$F:$F,'14_Eingangsrechnungen'!$C:$C,A36,'14_Eingangsrechnungen'!$E:$E,"Nachunternehmer"))</f>
        <v/>
      </c>
      <c r="Z36" s="15">
        <f>IF(A36="","",SUMIFS('10_Stunden'!$K:$K,'10_Stunden'!$C:$C,A36))</f>
        <v/>
      </c>
      <c r="AA36" s="15">
        <f>IF(A36="","",X36+Y36+Z36+SUMIFS('14_Eingangsrechnungen'!$F:$F,'14_Eingangsrechnungen'!$C:$C,A36,'14_Eingangsrechnungen'!$E:$E,"Gerät")+SUMIFS('14_Eingangsrechnungen'!$F:$F,'14_Eingangsrechnungen'!$C:$C,A36,'14_Eingangsrechnungen'!$E:$E,"Dienstleistung"))</f>
        <v/>
      </c>
      <c r="AB36" s="15">
        <f>IF(A36="","",W36-AA36)</f>
        <v/>
      </c>
      <c r="AC36" s="19">
        <f>IF(OR(A36="",W36=0),"",AB36/W36)</f>
        <v/>
      </c>
      <c r="AD36" s="19">
        <f>IF(OR(A36="",V36=0),"",W36/V36)</f>
        <v/>
      </c>
      <c r="AE36" s="15">
        <f>IF(A36="","",MAX(0,V36-W36))</f>
        <v/>
      </c>
      <c r="AF36" s="15">
        <f>IF(A36="","",SUMIFS('13_Ausgangsrechnungen'!$R:$R,'13_Ausgangsrechnungen'!$C:$C,A36))</f>
        <v/>
      </c>
    </row>
    <row r="37">
      <c r="A37" s="30" t="inlineStr"/>
      <c r="B37" s="30" t="inlineStr"/>
      <c r="C37" s="30" t="inlineStr"/>
      <c r="D37" s="30" t="inlineStr"/>
      <c r="E37" s="30" t="inlineStr"/>
      <c r="F37" s="30" t="inlineStr"/>
      <c r="G37" s="38" t="inlineStr"/>
      <c r="H37" s="38" t="inlineStr"/>
      <c r="I37" s="38" t="inlineStr"/>
      <c r="J37" s="34" t="inlineStr"/>
      <c r="K37" s="34" t="inlineStr"/>
      <c r="L37" s="34" t="inlineStr"/>
      <c r="M37" s="34" t="inlineStr"/>
      <c r="N37" s="34" t="inlineStr"/>
      <c r="O37" s="34" t="inlineStr"/>
      <c r="P37" s="32" t="inlineStr"/>
      <c r="Q37" s="30" t="inlineStr"/>
      <c r="R37" s="30" t="inlineStr"/>
      <c r="S37" s="30" t="inlineStr"/>
      <c r="T37" s="30" t="inlineStr"/>
      <c r="U37" s="15">
        <f>IF(A37="","",SUMIFS('07_Nachtraege'!$E:$E,'07_Nachtraege'!$B:$B,A37,'07_Nachtraege'!$F:$F,"beauftragt"))</f>
        <v/>
      </c>
      <c r="V37" s="15">
        <f>IF(A37="","",J37+U37)</f>
        <v/>
      </c>
      <c r="W37" s="15">
        <f>IF(A37="","",SUMIFS('13_Ausgangsrechnungen'!$G:$G,'13_Ausgangsrechnungen'!$C:$C,A37))</f>
        <v/>
      </c>
      <c r="X37" s="15">
        <f>IF(A37="","",SUMIFS('11_Material'!$L:$L,'11_Material'!$C:$C,A37))</f>
        <v/>
      </c>
      <c r="Y37" s="15">
        <f>IF(A37="","",SUMIFS('14_Eingangsrechnungen'!$F:$F,'14_Eingangsrechnungen'!$C:$C,A37,'14_Eingangsrechnungen'!$E:$E,"Nachunternehmer"))</f>
        <v/>
      </c>
      <c r="Z37" s="15">
        <f>IF(A37="","",SUMIFS('10_Stunden'!$K:$K,'10_Stunden'!$C:$C,A37))</f>
        <v/>
      </c>
      <c r="AA37" s="15">
        <f>IF(A37="","",X37+Y37+Z37+SUMIFS('14_Eingangsrechnungen'!$F:$F,'14_Eingangsrechnungen'!$C:$C,A37,'14_Eingangsrechnungen'!$E:$E,"Gerät")+SUMIFS('14_Eingangsrechnungen'!$F:$F,'14_Eingangsrechnungen'!$C:$C,A37,'14_Eingangsrechnungen'!$E:$E,"Dienstleistung"))</f>
        <v/>
      </c>
      <c r="AB37" s="15">
        <f>IF(A37="","",W37-AA37)</f>
        <v/>
      </c>
      <c r="AC37" s="19">
        <f>IF(OR(A37="",W37=0),"",AB37/W37)</f>
        <v/>
      </c>
      <c r="AD37" s="19">
        <f>IF(OR(A37="",V37=0),"",W37/V37)</f>
        <v/>
      </c>
      <c r="AE37" s="15">
        <f>IF(A37="","",MAX(0,V37-W37))</f>
        <v/>
      </c>
      <c r="AF37" s="15">
        <f>IF(A37="","",SUMIFS('13_Ausgangsrechnungen'!$R:$R,'13_Ausgangsrechnungen'!$C:$C,A37))</f>
        <v/>
      </c>
    </row>
    <row r="38">
      <c r="A38" s="30" t="inlineStr"/>
      <c r="B38" s="30" t="inlineStr"/>
      <c r="C38" s="30" t="inlineStr"/>
      <c r="D38" s="30" t="inlineStr"/>
      <c r="E38" s="30" t="inlineStr"/>
      <c r="F38" s="30" t="inlineStr"/>
      <c r="G38" s="38" t="inlineStr"/>
      <c r="H38" s="38" t="inlineStr"/>
      <c r="I38" s="38" t="inlineStr"/>
      <c r="J38" s="34" t="inlineStr"/>
      <c r="K38" s="34" t="inlineStr"/>
      <c r="L38" s="34" t="inlineStr"/>
      <c r="M38" s="34" t="inlineStr"/>
      <c r="N38" s="34" t="inlineStr"/>
      <c r="O38" s="34" t="inlineStr"/>
      <c r="P38" s="32" t="inlineStr"/>
      <c r="Q38" s="30" t="inlineStr"/>
      <c r="R38" s="30" t="inlineStr"/>
      <c r="S38" s="30" t="inlineStr"/>
      <c r="T38" s="30" t="inlineStr"/>
      <c r="U38" s="15">
        <f>IF(A38="","",SUMIFS('07_Nachtraege'!$E:$E,'07_Nachtraege'!$B:$B,A38,'07_Nachtraege'!$F:$F,"beauftragt"))</f>
        <v/>
      </c>
      <c r="V38" s="15">
        <f>IF(A38="","",J38+U38)</f>
        <v/>
      </c>
      <c r="W38" s="15">
        <f>IF(A38="","",SUMIFS('13_Ausgangsrechnungen'!$G:$G,'13_Ausgangsrechnungen'!$C:$C,A38))</f>
        <v/>
      </c>
      <c r="X38" s="15">
        <f>IF(A38="","",SUMIFS('11_Material'!$L:$L,'11_Material'!$C:$C,A38))</f>
        <v/>
      </c>
      <c r="Y38" s="15">
        <f>IF(A38="","",SUMIFS('14_Eingangsrechnungen'!$F:$F,'14_Eingangsrechnungen'!$C:$C,A38,'14_Eingangsrechnungen'!$E:$E,"Nachunternehmer"))</f>
        <v/>
      </c>
      <c r="Z38" s="15">
        <f>IF(A38="","",SUMIFS('10_Stunden'!$K:$K,'10_Stunden'!$C:$C,A38))</f>
        <v/>
      </c>
      <c r="AA38" s="15">
        <f>IF(A38="","",X38+Y38+Z38+SUMIFS('14_Eingangsrechnungen'!$F:$F,'14_Eingangsrechnungen'!$C:$C,A38,'14_Eingangsrechnungen'!$E:$E,"Gerät")+SUMIFS('14_Eingangsrechnungen'!$F:$F,'14_Eingangsrechnungen'!$C:$C,A38,'14_Eingangsrechnungen'!$E:$E,"Dienstleistung"))</f>
        <v/>
      </c>
      <c r="AB38" s="15">
        <f>IF(A38="","",W38-AA38)</f>
        <v/>
      </c>
      <c r="AC38" s="19">
        <f>IF(OR(A38="",W38=0),"",AB38/W38)</f>
        <v/>
      </c>
      <c r="AD38" s="19">
        <f>IF(OR(A38="",V38=0),"",W38/V38)</f>
        <v/>
      </c>
      <c r="AE38" s="15">
        <f>IF(A38="","",MAX(0,V38-W38))</f>
        <v/>
      </c>
      <c r="AF38" s="15">
        <f>IF(A38="","",SUMIFS('13_Ausgangsrechnungen'!$R:$R,'13_Ausgangsrechnungen'!$C:$C,A38))</f>
        <v/>
      </c>
    </row>
    <row r="39">
      <c r="A39" s="30" t="inlineStr"/>
      <c r="B39" s="30" t="inlineStr"/>
      <c r="C39" s="30" t="inlineStr"/>
      <c r="D39" s="30" t="inlineStr"/>
      <c r="E39" s="30" t="inlineStr"/>
      <c r="F39" s="30" t="inlineStr"/>
      <c r="G39" s="38" t="inlineStr"/>
      <c r="H39" s="38" t="inlineStr"/>
      <c r="I39" s="38" t="inlineStr"/>
      <c r="J39" s="34" t="inlineStr"/>
      <c r="K39" s="34" t="inlineStr"/>
      <c r="L39" s="34" t="inlineStr"/>
      <c r="M39" s="34" t="inlineStr"/>
      <c r="N39" s="34" t="inlineStr"/>
      <c r="O39" s="34" t="inlineStr"/>
      <c r="P39" s="32" t="inlineStr"/>
      <c r="Q39" s="30" t="inlineStr"/>
      <c r="R39" s="30" t="inlineStr"/>
      <c r="S39" s="30" t="inlineStr"/>
      <c r="T39" s="30" t="inlineStr"/>
      <c r="U39" s="15">
        <f>IF(A39="","",SUMIFS('07_Nachtraege'!$E:$E,'07_Nachtraege'!$B:$B,A39,'07_Nachtraege'!$F:$F,"beauftragt"))</f>
        <v/>
      </c>
      <c r="V39" s="15">
        <f>IF(A39="","",J39+U39)</f>
        <v/>
      </c>
      <c r="W39" s="15">
        <f>IF(A39="","",SUMIFS('13_Ausgangsrechnungen'!$G:$G,'13_Ausgangsrechnungen'!$C:$C,A39))</f>
        <v/>
      </c>
      <c r="X39" s="15">
        <f>IF(A39="","",SUMIFS('11_Material'!$L:$L,'11_Material'!$C:$C,A39))</f>
        <v/>
      </c>
      <c r="Y39" s="15">
        <f>IF(A39="","",SUMIFS('14_Eingangsrechnungen'!$F:$F,'14_Eingangsrechnungen'!$C:$C,A39,'14_Eingangsrechnungen'!$E:$E,"Nachunternehmer"))</f>
        <v/>
      </c>
      <c r="Z39" s="15">
        <f>IF(A39="","",SUMIFS('10_Stunden'!$K:$K,'10_Stunden'!$C:$C,A39))</f>
        <v/>
      </c>
      <c r="AA39" s="15">
        <f>IF(A39="","",X39+Y39+Z39+SUMIFS('14_Eingangsrechnungen'!$F:$F,'14_Eingangsrechnungen'!$C:$C,A39,'14_Eingangsrechnungen'!$E:$E,"Gerät")+SUMIFS('14_Eingangsrechnungen'!$F:$F,'14_Eingangsrechnungen'!$C:$C,A39,'14_Eingangsrechnungen'!$E:$E,"Dienstleistung"))</f>
        <v/>
      </c>
      <c r="AB39" s="15">
        <f>IF(A39="","",W39-AA39)</f>
        <v/>
      </c>
      <c r="AC39" s="19">
        <f>IF(OR(A39="",W39=0),"",AB39/W39)</f>
        <v/>
      </c>
      <c r="AD39" s="19">
        <f>IF(OR(A39="",V39=0),"",W39/V39)</f>
        <v/>
      </c>
      <c r="AE39" s="15">
        <f>IF(A39="","",MAX(0,V39-W39))</f>
        <v/>
      </c>
      <c r="AF39" s="15">
        <f>IF(A39="","",SUMIFS('13_Ausgangsrechnungen'!$R:$R,'13_Ausgangsrechnungen'!$C:$C,A39))</f>
        <v/>
      </c>
    </row>
    <row r="40">
      <c r="A40" s="30" t="inlineStr"/>
      <c r="B40" s="30" t="inlineStr"/>
      <c r="C40" s="30" t="inlineStr"/>
      <c r="D40" s="30" t="inlineStr"/>
      <c r="E40" s="30" t="inlineStr"/>
      <c r="F40" s="30" t="inlineStr"/>
      <c r="G40" s="38" t="inlineStr"/>
      <c r="H40" s="38" t="inlineStr"/>
      <c r="I40" s="38" t="inlineStr"/>
      <c r="J40" s="34" t="inlineStr"/>
      <c r="K40" s="34" t="inlineStr"/>
      <c r="L40" s="34" t="inlineStr"/>
      <c r="M40" s="34" t="inlineStr"/>
      <c r="N40" s="34" t="inlineStr"/>
      <c r="O40" s="34" t="inlineStr"/>
      <c r="P40" s="32" t="inlineStr"/>
      <c r="Q40" s="30" t="inlineStr"/>
      <c r="R40" s="30" t="inlineStr"/>
      <c r="S40" s="30" t="inlineStr"/>
      <c r="T40" s="30" t="inlineStr"/>
      <c r="U40" s="15">
        <f>IF(A40="","",SUMIFS('07_Nachtraege'!$E:$E,'07_Nachtraege'!$B:$B,A40,'07_Nachtraege'!$F:$F,"beauftragt"))</f>
        <v/>
      </c>
      <c r="V40" s="15">
        <f>IF(A40="","",J40+U40)</f>
        <v/>
      </c>
      <c r="W40" s="15">
        <f>IF(A40="","",SUMIFS('13_Ausgangsrechnungen'!$G:$G,'13_Ausgangsrechnungen'!$C:$C,A40))</f>
        <v/>
      </c>
      <c r="X40" s="15">
        <f>IF(A40="","",SUMIFS('11_Material'!$L:$L,'11_Material'!$C:$C,A40))</f>
        <v/>
      </c>
      <c r="Y40" s="15">
        <f>IF(A40="","",SUMIFS('14_Eingangsrechnungen'!$F:$F,'14_Eingangsrechnungen'!$C:$C,A40,'14_Eingangsrechnungen'!$E:$E,"Nachunternehmer"))</f>
        <v/>
      </c>
      <c r="Z40" s="15">
        <f>IF(A40="","",SUMIFS('10_Stunden'!$K:$K,'10_Stunden'!$C:$C,A40))</f>
        <v/>
      </c>
      <c r="AA40" s="15">
        <f>IF(A40="","",X40+Y40+Z40+SUMIFS('14_Eingangsrechnungen'!$F:$F,'14_Eingangsrechnungen'!$C:$C,A40,'14_Eingangsrechnungen'!$E:$E,"Gerät")+SUMIFS('14_Eingangsrechnungen'!$F:$F,'14_Eingangsrechnungen'!$C:$C,A40,'14_Eingangsrechnungen'!$E:$E,"Dienstleistung"))</f>
        <v/>
      </c>
      <c r="AB40" s="15">
        <f>IF(A40="","",W40-AA40)</f>
        <v/>
      </c>
      <c r="AC40" s="19">
        <f>IF(OR(A40="",W40=0),"",AB40/W40)</f>
        <v/>
      </c>
      <c r="AD40" s="19">
        <f>IF(OR(A40="",V40=0),"",W40/V40)</f>
        <v/>
      </c>
      <c r="AE40" s="15">
        <f>IF(A40="","",MAX(0,V40-W40))</f>
        <v/>
      </c>
      <c r="AF40" s="15">
        <f>IF(A40="","",SUMIFS('13_Ausgangsrechnungen'!$R:$R,'13_Ausgangsrechnungen'!$C:$C,A40))</f>
        <v/>
      </c>
    </row>
    <row r="41">
      <c r="A41" s="30" t="inlineStr"/>
      <c r="B41" s="30" t="inlineStr"/>
      <c r="C41" s="30" t="inlineStr"/>
      <c r="D41" s="30" t="inlineStr"/>
      <c r="E41" s="30" t="inlineStr"/>
      <c r="F41" s="30" t="inlineStr"/>
      <c r="G41" s="38" t="inlineStr"/>
      <c r="H41" s="38" t="inlineStr"/>
      <c r="I41" s="38" t="inlineStr"/>
      <c r="J41" s="34" t="inlineStr"/>
      <c r="K41" s="34" t="inlineStr"/>
      <c r="L41" s="34" t="inlineStr"/>
      <c r="M41" s="34" t="inlineStr"/>
      <c r="N41" s="34" t="inlineStr"/>
      <c r="O41" s="34" t="inlineStr"/>
      <c r="P41" s="32" t="inlineStr"/>
      <c r="Q41" s="30" t="inlineStr"/>
      <c r="R41" s="30" t="inlineStr"/>
      <c r="S41" s="30" t="inlineStr"/>
      <c r="T41" s="30" t="inlineStr"/>
      <c r="U41" s="15">
        <f>IF(A41="","",SUMIFS('07_Nachtraege'!$E:$E,'07_Nachtraege'!$B:$B,A41,'07_Nachtraege'!$F:$F,"beauftragt"))</f>
        <v/>
      </c>
      <c r="V41" s="15">
        <f>IF(A41="","",J41+U41)</f>
        <v/>
      </c>
      <c r="W41" s="15">
        <f>IF(A41="","",SUMIFS('13_Ausgangsrechnungen'!$G:$G,'13_Ausgangsrechnungen'!$C:$C,A41))</f>
        <v/>
      </c>
      <c r="X41" s="15">
        <f>IF(A41="","",SUMIFS('11_Material'!$L:$L,'11_Material'!$C:$C,A41))</f>
        <v/>
      </c>
      <c r="Y41" s="15">
        <f>IF(A41="","",SUMIFS('14_Eingangsrechnungen'!$F:$F,'14_Eingangsrechnungen'!$C:$C,A41,'14_Eingangsrechnungen'!$E:$E,"Nachunternehmer"))</f>
        <v/>
      </c>
      <c r="Z41" s="15">
        <f>IF(A41="","",SUMIFS('10_Stunden'!$K:$K,'10_Stunden'!$C:$C,A41))</f>
        <v/>
      </c>
      <c r="AA41" s="15">
        <f>IF(A41="","",X41+Y41+Z41+SUMIFS('14_Eingangsrechnungen'!$F:$F,'14_Eingangsrechnungen'!$C:$C,A41,'14_Eingangsrechnungen'!$E:$E,"Gerät")+SUMIFS('14_Eingangsrechnungen'!$F:$F,'14_Eingangsrechnungen'!$C:$C,A41,'14_Eingangsrechnungen'!$E:$E,"Dienstleistung"))</f>
        <v/>
      </c>
      <c r="AB41" s="15">
        <f>IF(A41="","",W41-AA41)</f>
        <v/>
      </c>
      <c r="AC41" s="19">
        <f>IF(OR(A41="",W41=0),"",AB41/W41)</f>
        <v/>
      </c>
      <c r="AD41" s="19">
        <f>IF(OR(A41="",V41=0),"",W41/V41)</f>
        <v/>
      </c>
      <c r="AE41" s="15">
        <f>IF(A41="","",MAX(0,V41-W41))</f>
        <v/>
      </c>
      <c r="AF41" s="15">
        <f>IF(A41="","",SUMIFS('13_Ausgangsrechnungen'!$R:$R,'13_Ausgangsrechnungen'!$C:$C,A41))</f>
        <v/>
      </c>
    </row>
    <row r="42">
      <c r="A42" s="30" t="inlineStr"/>
      <c r="B42" s="30" t="inlineStr"/>
      <c r="C42" s="30" t="inlineStr"/>
      <c r="D42" s="30" t="inlineStr"/>
      <c r="E42" s="30" t="inlineStr"/>
      <c r="F42" s="30" t="inlineStr"/>
      <c r="G42" s="38" t="inlineStr"/>
      <c r="H42" s="38" t="inlineStr"/>
      <c r="I42" s="38" t="inlineStr"/>
      <c r="J42" s="34" t="inlineStr"/>
      <c r="K42" s="34" t="inlineStr"/>
      <c r="L42" s="34" t="inlineStr"/>
      <c r="M42" s="34" t="inlineStr"/>
      <c r="N42" s="34" t="inlineStr"/>
      <c r="O42" s="34" t="inlineStr"/>
      <c r="P42" s="32" t="inlineStr"/>
      <c r="Q42" s="30" t="inlineStr"/>
      <c r="R42" s="30" t="inlineStr"/>
      <c r="S42" s="30" t="inlineStr"/>
      <c r="T42" s="30" t="inlineStr"/>
      <c r="U42" s="15">
        <f>IF(A42="","",SUMIFS('07_Nachtraege'!$E:$E,'07_Nachtraege'!$B:$B,A42,'07_Nachtraege'!$F:$F,"beauftragt"))</f>
        <v/>
      </c>
      <c r="V42" s="15">
        <f>IF(A42="","",J42+U42)</f>
        <v/>
      </c>
      <c r="W42" s="15">
        <f>IF(A42="","",SUMIFS('13_Ausgangsrechnungen'!$G:$G,'13_Ausgangsrechnungen'!$C:$C,A42))</f>
        <v/>
      </c>
      <c r="X42" s="15">
        <f>IF(A42="","",SUMIFS('11_Material'!$L:$L,'11_Material'!$C:$C,A42))</f>
        <v/>
      </c>
      <c r="Y42" s="15">
        <f>IF(A42="","",SUMIFS('14_Eingangsrechnungen'!$F:$F,'14_Eingangsrechnungen'!$C:$C,A42,'14_Eingangsrechnungen'!$E:$E,"Nachunternehmer"))</f>
        <v/>
      </c>
      <c r="Z42" s="15">
        <f>IF(A42="","",SUMIFS('10_Stunden'!$K:$K,'10_Stunden'!$C:$C,A42))</f>
        <v/>
      </c>
      <c r="AA42" s="15">
        <f>IF(A42="","",X42+Y42+Z42+SUMIFS('14_Eingangsrechnungen'!$F:$F,'14_Eingangsrechnungen'!$C:$C,A42,'14_Eingangsrechnungen'!$E:$E,"Gerät")+SUMIFS('14_Eingangsrechnungen'!$F:$F,'14_Eingangsrechnungen'!$C:$C,A42,'14_Eingangsrechnungen'!$E:$E,"Dienstleistung"))</f>
        <v/>
      </c>
      <c r="AB42" s="15">
        <f>IF(A42="","",W42-AA42)</f>
        <v/>
      </c>
      <c r="AC42" s="19">
        <f>IF(OR(A42="",W42=0),"",AB42/W42)</f>
        <v/>
      </c>
      <c r="AD42" s="19">
        <f>IF(OR(A42="",V42=0),"",W42/V42)</f>
        <v/>
      </c>
      <c r="AE42" s="15">
        <f>IF(A42="","",MAX(0,V42-W42))</f>
        <v/>
      </c>
      <c r="AF42" s="15">
        <f>IF(A42="","",SUMIFS('13_Ausgangsrechnungen'!$R:$R,'13_Ausgangsrechnungen'!$C:$C,A42))</f>
        <v/>
      </c>
    </row>
    <row r="43">
      <c r="A43" s="30" t="inlineStr"/>
      <c r="B43" s="30" t="inlineStr"/>
      <c r="C43" s="30" t="inlineStr"/>
      <c r="D43" s="30" t="inlineStr"/>
      <c r="E43" s="30" t="inlineStr"/>
      <c r="F43" s="30" t="inlineStr"/>
      <c r="G43" s="38" t="inlineStr"/>
      <c r="H43" s="38" t="inlineStr"/>
      <c r="I43" s="38" t="inlineStr"/>
      <c r="J43" s="34" t="inlineStr"/>
      <c r="K43" s="34" t="inlineStr"/>
      <c r="L43" s="34" t="inlineStr"/>
      <c r="M43" s="34" t="inlineStr"/>
      <c r="N43" s="34" t="inlineStr"/>
      <c r="O43" s="34" t="inlineStr"/>
      <c r="P43" s="32" t="inlineStr"/>
      <c r="Q43" s="30" t="inlineStr"/>
      <c r="R43" s="30" t="inlineStr"/>
      <c r="S43" s="30" t="inlineStr"/>
      <c r="T43" s="30" t="inlineStr"/>
      <c r="U43" s="15">
        <f>IF(A43="","",SUMIFS('07_Nachtraege'!$E:$E,'07_Nachtraege'!$B:$B,A43,'07_Nachtraege'!$F:$F,"beauftragt"))</f>
        <v/>
      </c>
      <c r="V43" s="15">
        <f>IF(A43="","",J43+U43)</f>
        <v/>
      </c>
      <c r="W43" s="15">
        <f>IF(A43="","",SUMIFS('13_Ausgangsrechnungen'!$G:$G,'13_Ausgangsrechnungen'!$C:$C,A43))</f>
        <v/>
      </c>
      <c r="X43" s="15">
        <f>IF(A43="","",SUMIFS('11_Material'!$L:$L,'11_Material'!$C:$C,A43))</f>
        <v/>
      </c>
      <c r="Y43" s="15">
        <f>IF(A43="","",SUMIFS('14_Eingangsrechnungen'!$F:$F,'14_Eingangsrechnungen'!$C:$C,A43,'14_Eingangsrechnungen'!$E:$E,"Nachunternehmer"))</f>
        <v/>
      </c>
      <c r="Z43" s="15">
        <f>IF(A43="","",SUMIFS('10_Stunden'!$K:$K,'10_Stunden'!$C:$C,A43))</f>
        <v/>
      </c>
      <c r="AA43" s="15">
        <f>IF(A43="","",X43+Y43+Z43+SUMIFS('14_Eingangsrechnungen'!$F:$F,'14_Eingangsrechnungen'!$C:$C,A43,'14_Eingangsrechnungen'!$E:$E,"Gerät")+SUMIFS('14_Eingangsrechnungen'!$F:$F,'14_Eingangsrechnungen'!$C:$C,A43,'14_Eingangsrechnungen'!$E:$E,"Dienstleistung"))</f>
        <v/>
      </c>
      <c r="AB43" s="15">
        <f>IF(A43="","",W43-AA43)</f>
        <v/>
      </c>
      <c r="AC43" s="19">
        <f>IF(OR(A43="",W43=0),"",AB43/W43)</f>
        <v/>
      </c>
      <c r="AD43" s="19">
        <f>IF(OR(A43="",V43=0),"",W43/V43)</f>
        <v/>
      </c>
      <c r="AE43" s="15">
        <f>IF(A43="","",MAX(0,V43-W43))</f>
        <v/>
      </c>
      <c r="AF43" s="15">
        <f>IF(A43="","",SUMIFS('13_Ausgangsrechnungen'!$R:$R,'13_Ausgangsrechnungen'!$C:$C,A43))</f>
        <v/>
      </c>
    </row>
    <row r="44">
      <c r="A44" s="30" t="inlineStr"/>
      <c r="B44" s="30" t="inlineStr"/>
      <c r="C44" s="30" t="inlineStr"/>
      <c r="D44" s="30" t="inlineStr"/>
      <c r="E44" s="30" t="inlineStr"/>
      <c r="F44" s="30" t="inlineStr"/>
      <c r="G44" s="38" t="inlineStr"/>
      <c r="H44" s="38" t="inlineStr"/>
      <c r="I44" s="38" t="inlineStr"/>
      <c r="J44" s="34" t="inlineStr"/>
      <c r="K44" s="34" t="inlineStr"/>
      <c r="L44" s="34" t="inlineStr"/>
      <c r="M44" s="34" t="inlineStr"/>
      <c r="N44" s="34" t="inlineStr"/>
      <c r="O44" s="34" t="inlineStr"/>
      <c r="P44" s="32" t="inlineStr"/>
      <c r="Q44" s="30" t="inlineStr"/>
      <c r="R44" s="30" t="inlineStr"/>
      <c r="S44" s="30" t="inlineStr"/>
      <c r="T44" s="30" t="inlineStr"/>
      <c r="U44" s="15">
        <f>IF(A44="","",SUMIFS('07_Nachtraege'!$E:$E,'07_Nachtraege'!$B:$B,A44,'07_Nachtraege'!$F:$F,"beauftragt"))</f>
        <v/>
      </c>
      <c r="V44" s="15">
        <f>IF(A44="","",J44+U44)</f>
        <v/>
      </c>
      <c r="W44" s="15">
        <f>IF(A44="","",SUMIFS('13_Ausgangsrechnungen'!$G:$G,'13_Ausgangsrechnungen'!$C:$C,A44))</f>
        <v/>
      </c>
      <c r="X44" s="15">
        <f>IF(A44="","",SUMIFS('11_Material'!$L:$L,'11_Material'!$C:$C,A44))</f>
        <v/>
      </c>
      <c r="Y44" s="15">
        <f>IF(A44="","",SUMIFS('14_Eingangsrechnungen'!$F:$F,'14_Eingangsrechnungen'!$C:$C,A44,'14_Eingangsrechnungen'!$E:$E,"Nachunternehmer"))</f>
        <v/>
      </c>
      <c r="Z44" s="15">
        <f>IF(A44="","",SUMIFS('10_Stunden'!$K:$K,'10_Stunden'!$C:$C,A44))</f>
        <v/>
      </c>
      <c r="AA44" s="15">
        <f>IF(A44="","",X44+Y44+Z44+SUMIFS('14_Eingangsrechnungen'!$F:$F,'14_Eingangsrechnungen'!$C:$C,A44,'14_Eingangsrechnungen'!$E:$E,"Gerät")+SUMIFS('14_Eingangsrechnungen'!$F:$F,'14_Eingangsrechnungen'!$C:$C,A44,'14_Eingangsrechnungen'!$E:$E,"Dienstleistung"))</f>
        <v/>
      </c>
      <c r="AB44" s="15">
        <f>IF(A44="","",W44-AA44)</f>
        <v/>
      </c>
      <c r="AC44" s="19">
        <f>IF(OR(A44="",W44=0),"",AB44/W44)</f>
        <v/>
      </c>
      <c r="AD44" s="19">
        <f>IF(OR(A44="",V44=0),"",W44/V44)</f>
        <v/>
      </c>
      <c r="AE44" s="15">
        <f>IF(A44="","",MAX(0,V44-W44))</f>
        <v/>
      </c>
      <c r="AF44" s="15">
        <f>IF(A44="","",SUMIFS('13_Ausgangsrechnungen'!$R:$R,'13_Ausgangsrechnungen'!$C:$C,A44))</f>
        <v/>
      </c>
    </row>
    <row r="45">
      <c r="A45" s="30" t="inlineStr"/>
      <c r="B45" s="30" t="inlineStr"/>
      <c r="C45" s="30" t="inlineStr"/>
      <c r="D45" s="30" t="inlineStr"/>
      <c r="E45" s="30" t="inlineStr"/>
      <c r="F45" s="30" t="inlineStr"/>
      <c r="G45" s="38" t="inlineStr"/>
      <c r="H45" s="38" t="inlineStr"/>
      <c r="I45" s="38" t="inlineStr"/>
      <c r="J45" s="34" t="inlineStr"/>
      <c r="K45" s="34" t="inlineStr"/>
      <c r="L45" s="34" t="inlineStr"/>
      <c r="M45" s="34" t="inlineStr"/>
      <c r="N45" s="34" t="inlineStr"/>
      <c r="O45" s="34" t="inlineStr"/>
      <c r="P45" s="32" t="inlineStr"/>
      <c r="Q45" s="30" t="inlineStr"/>
      <c r="R45" s="30" t="inlineStr"/>
      <c r="S45" s="30" t="inlineStr"/>
      <c r="T45" s="30" t="inlineStr"/>
      <c r="U45" s="15">
        <f>IF(A45="","",SUMIFS('07_Nachtraege'!$E:$E,'07_Nachtraege'!$B:$B,A45,'07_Nachtraege'!$F:$F,"beauftragt"))</f>
        <v/>
      </c>
      <c r="V45" s="15">
        <f>IF(A45="","",J45+U45)</f>
        <v/>
      </c>
      <c r="W45" s="15">
        <f>IF(A45="","",SUMIFS('13_Ausgangsrechnungen'!$G:$G,'13_Ausgangsrechnungen'!$C:$C,A45))</f>
        <v/>
      </c>
      <c r="X45" s="15">
        <f>IF(A45="","",SUMIFS('11_Material'!$L:$L,'11_Material'!$C:$C,A45))</f>
        <v/>
      </c>
      <c r="Y45" s="15">
        <f>IF(A45="","",SUMIFS('14_Eingangsrechnungen'!$F:$F,'14_Eingangsrechnungen'!$C:$C,A45,'14_Eingangsrechnungen'!$E:$E,"Nachunternehmer"))</f>
        <v/>
      </c>
      <c r="Z45" s="15">
        <f>IF(A45="","",SUMIFS('10_Stunden'!$K:$K,'10_Stunden'!$C:$C,A45))</f>
        <v/>
      </c>
      <c r="AA45" s="15">
        <f>IF(A45="","",X45+Y45+Z45+SUMIFS('14_Eingangsrechnungen'!$F:$F,'14_Eingangsrechnungen'!$C:$C,A45,'14_Eingangsrechnungen'!$E:$E,"Gerät")+SUMIFS('14_Eingangsrechnungen'!$F:$F,'14_Eingangsrechnungen'!$C:$C,A45,'14_Eingangsrechnungen'!$E:$E,"Dienstleistung"))</f>
        <v/>
      </c>
      <c r="AB45" s="15">
        <f>IF(A45="","",W45-AA45)</f>
        <v/>
      </c>
      <c r="AC45" s="19">
        <f>IF(OR(A45="",W45=0),"",AB45/W45)</f>
        <v/>
      </c>
      <c r="AD45" s="19">
        <f>IF(OR(A45="",V45=0),"",W45/V45)</f>
        <v/>
      </c>
      <c r="AE45" s="15">
        <f>IF(A45="","",MAX(0,V45-W45))</f>
        <v/>
      </c>
      <c r="AF45" s="15">
        <f>IF(A45="","",SUMIFS('13_Ausgangsrechnungen'!$R:$R,'13_Ausgangsrechnungen'!$C:$C,A45))</f>
        <v/>
      </c>
    </row>
    <row r="46">
      <c r="A46" s="30" t="inlineStr"/>
      <c r="B46" s="30" t="inlineStr"/>
      <c r="C46" s="30" t="inlineStr"/>
      <c r="D46" s="30" t="inlineStr"/>
      <c r="E46" s="30" t="inlineStr"/>
      <c r="F46" s="30" t="inlineStr"/>
      <c r="G46" s="38" t="inlineStr"/>
      <c r="H46" s="38" t="inlineStr"/>
      <c r="I46" s="38" t="inlineStr"/>
      <c r="J46" s="34" t="inlineStr"/>
      <c r="K46" s="34" t="inlineStr"/>
      <c r="L46" s="34" t="inlineStr"/>
      <c r="M46" s="34" t="inlineStr"/>
      <c r="N46" s="34" t="inlineStr"/>
      <c r="O46" s="34" t="inlineStr"/>
      <c r="P46" s="32" t="inlineStr"/>
      <c r="Q46" s="30" t="inlineStr"/>
      <c r="R46" s="30" t="inlineStr"/>
      <c r="S46" s="30" t="inlineStr"/>
      <c r="T46" s="30" t="inlineStr"/>
      <c r="U46" s="15">
        <f>IF(A46="","",SUMIFS('07_Nachtraege'!$E:$E,'07_Nachtraege'!$B:$B,A46,'07_Nachtraege'!$F:$F,"beauftragt"))</f>
        <v/>
      </c>
      <c r="V46" s="15">
        <f>IF(A46="","",J46+U46)</f>
        <v/>
      </c>
      <c r="W46" s="15">
        <f>IF(A46="","",SUMIFS('13_Ausgangsrechnungen'!$G:$G,'13_Ausgangsrechnungen'!$C:$C,A46))</f>
        <v/>
      </c>
      <c r="X46" s="15">
        <f>IF(A46="","",SUMIFS('11_Material'!$L:$L,'11_Material'!$C:$C,A46))</f>
        <v/>
      </c>
      <c r="Y46" s="15">
        <f>IF(A46="","",SUMIFS('14_Eingangsrechnungen'!$F:$F,'14_Eingangsrechnungen'!$C:$C,A46,'14_Eingangsrechnungen'!$E:$E,"Nachunternehmer"))</f>
        <v/>
      </c>
      <c r="Z46" s="15">
        <f>IF(A46="","",SUMIFS('10_Stunden'!$K:$K,'10_Stunden'!$C:$C,A46))</f>
        <v/>
      </c>
      <c r="AA46" s="15">
        <f>IF(A46="","",X46+Y46+Z46+SUMIFS('14_Eingangsrechnungen'!$F:$F,'14_Eingangsrechnungen'!$C:$C,A46,'14_Eingangsrechnungen'!$E:$E,"Gerät")+SUMIFS('14_Eingangsrechnungen'!$F:$F,'14_Eingangsrechnungen'!$C:$C,A46,'14_Eingangsrechnungen'!$E:$E,"Dienstleistung"))</f>
        <v/>
      </c>
      <c r="AB46" s="15">
        <f>IF(A46="","",W46-AA46)</f>
        <v/>
      </c>
      <c r="AC46" s="19">
        <f>IF(OR(A46="",W46=0),"",AB46/W46)</f>
        <v/>
      </c>
      <c r="AD46" s="19">
        <f>IF(OR(A46="",V46=0),"",W46/V46)</f>
        <v/>
      </c>
      <c r="AE46" s="15">
        <f>IF(A46="","",MAX(0,V46-W46))</f>
        <v/>
      </c>
      <c r="AF46" s="15">
        <f>IF(A46="","",SUMIFS('13_Ausgangsrechnungen'!$R:$R,'13_Ausgangsrechnungen'!$C:$C,A46))</f>
        <v/>
      </c>
    </row>
    <row r="47">
      <c r="A47" s="30" t="inlineStr"/>
      <c r="B47" s="30" t="inlineStr"/>
      <c r="C47" s="30" t="inlineStr"/>
      <c r="D47" s="30" t="inlineStr"/>
      <c r="E47" s="30" t="inlineStr"/>
      <c r="F47" s="30" t="inlineStr"/>
      <c r="G47" s="38" t="inlineStr"/>
      <c r="H47" s="38" t="inlineStr"/>
      <c r="I47" s="38" t="inlineStr"/>
      <c r="J47" s="34" t="inlineStr"/>
      <c r="K47" s="34" t="inlineStr"/>
      <c r="L47" s="34" t="inlineStr"/>
      <c r="M47" s="34" t="inlineStr"/>
      <c r="N47" s="34" t="inlineStr"/>
      <c r="O47" s="34" t="inlineStr"/>
      <c r="P47" s="32" t="inlineStr"/>
      <c r="Q47" s="30" t="inlineStr"/>
      <c r="R47" s="30" t="inlineStr"/>
      <c r="S47" s="30" t="inlineStr"/>
      <c r="T47" s="30" t="inlineStr"/>
      <c r="U47" s="15">
        <f>IF(A47="","",SUMIFS('07_Nachtraege'!$E:$E,'07_Nachtraege'!$B:$B,A47,'07_Nachtraege'!$F:$F,"beauftragt"))</f>
        <v/>
      </c>
      <c r="V47" s="15">
        <f>IF(A47="","",J47+U47)</f>
        <v/>
      </c>
      <c r="W47" s="15">
        <f>IF(A47="","",SUMIFS('13_Ausgangsrechnungen'!$G:$G,'13_Ausgangsrechnungen'!$C:$C,A47))</f>
        <v/>
      </c>
      <c r="X47" s="15">
        <f>IF(A47="","",SUMIFS('11_Material'!$L:$L,'11_Material'!$C:$C,A47))</f>
        <v/>
      </c>
      <c r="Y47" s="15">
        <f>IF(A47="","",SUMIFS('14_Eingangsrechnungen'!$F:$F,'14_Eingangsrechnungen'!$C:$C,A47,'14_Eingangsrechnungen'!$E:$E,"Nachunternehmer"))</f>
        <v/>
      </c>
      <c r="Z47" s="15">
        <f>IF(A47="","",SUMIFS('10_Stunden'!$K:$K,'10_Stunden'!$C:$C,A47))</f>
        <v/>
      </c>
      <c r="AA47" s="15">
        <f>IF(A47="","",X47+Y47+Z47+SUMIFS('14_Eingangsrechnungen'!$F:$F,'14_Eingangsrechnungen'!$C:$C,A47,'14_Eingangsrechnungen'!$E:$E,"Gerät")+SUMIFS('14_Eingangsrechnungen'!$F:$F,'14_Eingangsrechnungen'!$C:$C,A47,'14_Eingangsrechnungen'!$E:$E,"Dienstleistung"))</f>
        <v/>
      </c>
      <c r="AB47" s="15">
        <f>IF(A47="","",W47-AA47)</f>
        <v/>
      </c>
      <c r="AC47" s="19">
        <f>IF(OR(A47="",W47=0),"",AB47/W47)</f>
        <v/>
      </c>
      <c r="AD47" s="19">
        <f>IF(OR(A47="",V47=0),"",W47/V47)</f>
        <v/>
      </c>
      <c r="AE47" s="15">
        <f>IF(A47="","",MAX(0,V47-W47))</f>
        <v/>
      </c>
      <c r="AF47" s="15">
        <f>IF(A47="","",SUMIFS('13_Ausgangsrechnungen'!$R:$R,'13_Ausgangsrechnungen'!$C:$C,A47))</f>
        <v/>
      </c>
    </row>
    <row r="48">
      <c r="A48" s="30" t="inlineStr"/>
      <c r="B48" s="30" t="inlineStr"/>
      <c r="C48" s="30" t="inlineStr"/>
      <c r="D48" s="30" t="inlineStr"/>
      <c r="E48" s="30" t="inlineStr"/>
      <c r="F48" s="30" t="inlineStr"/>
      <c r="G48" s="38" t="inlineStr"/>
      <c r="H48" s="38" t="inlineStr"/>
      <c r="I48" s="38" t="inlineStr"/>
      <c r="J48" s="34" t="inlineStr"/>
      <c r="K48" s="34" t="inlineStr"/>
      <c r="L48" s="34" t="inlineStr"/>
      <c r="M48" s="34" t="inlineStr"/>
      <c r="N48" s="34" t="inlineStr"/>
      <c r="O48" s="34" t="inlineStr"/>
      <c r="P48" s="32" t="inlineStr"/>
      <c r="Q48" s="30" t="inlineStr"/>
      <c r="R48" s="30" t="inlineStr"/>
      <c r="S48" s="30" t="inlineStr"/>
      <c r="T48" s="30" t="inlineStr"/>
      <c r="U48" s="15">
        <f>IF(A48="","",SUMIFS('07_Nachtraege'!$E:$E,'07_Nachtraege'!$B:$B,A48,'07_Nachtraege'!$F:$F,"beauftragt"))</f>
        <v/>
      </c>
      <c r="V48" s="15">
        <f>IF(A48="","",J48+U48)</f>
        <v/>
      </c>
      <c r="W48" s="15">
        <f>IF(A48="","",SUMIFS('13_Ausgangsrechnungen'!$G:$G,'13_Ausgangsrechnungen'!$C:$C,A48))</f>
        <v/>
      </c>
      <c r="X48" s="15">
        <f>IF(A48="","",SUMIFS('11_Material'!$L:$L,'11_Material'!$C:$C,A48))</f>
        <v/>
      </c>
      <c r="Y48" s="15">
        <f>IF(A48="","",SUMIFS('14_Eingangsrechnungen'!$F:$F,'14_Eingangsrechnungen'!$C:$C,A48,'14_Eingangsrechnungen'!$E:$E,"Nachunternehmer"))</f>
        <v/>
      </c>
      <c r="Z48" s="15">
        <f>IF(A48="","",SUMIFS('10_Stunden'!$K:$K,'10_Stunden'!$C:$C,A48))</f>
        <v/>
      </c>
      <c r="AA48" s="15">
        <f>IF(A48="","",X48+Y48+Z48+SUMIFS('14_Eingangsrechnungen'!$F:$F,'14_Eingangsrechnungen'!$C:$C,A48,'14_Eingangsrechnungen'!$E:$E,"Gerät")+SUMIFS('14_Eingangsrechnungen'!$F:$F,'14_Eingangsrechnungen'!$C:$C,A48,'14_Eingangsrechnungen'!$E:$E,"Dienstleistung"))</f>
        <v/>
      </c>
      <c r="AB48" s="15">
        <f>IF(A48="","",W48-AA48)</f>
        <v/>
      </c>
      <c r="AC48" s="19">
        <f>IF(OR(A48="",W48=0),"",AB48/W48)</f>
        <v/>
      </c>
      <c r="AD48" s="19">
        <f>IF(OR(A48="",V48=0),"",W48/V48)</f>
        <v/>
      </c>
      <c r="AE48" s="15">
        <f>IF(A48="","",MAX(0,V48-W48))</f>
        <v/>
      </c>
      <c r="AF48" s="15">
        <f>IF(A48="","",SUMIFS('13_Ausgangsrechnungen'!$R:$R,'13_Ausgangsrechnungen'!$C:$C,A48))</f>
        <v/>
      </c>
    </row>
    <row r="49">
      <c r="A49" s="30" t="inlineStr"/>
      <c r="B49" s="30" t="inlineStr"/>
      <c r="C49" s="30" t="inlineStr"/>
      <c r="D49" s="30" t="inlineStr"/>
      <c r="E49" s="30" t="inlineStr"/>
      <c r="F49" s="30" t="inlineStr"/>
      <c r="G49" s="38" t="inlineStr"/>
      <c r="H49" s="38" t="inlineStr"/>
      <c r="I49" s="38" t="inlineStr"/>
      <c r="J49" s="34" t="inlineStr"/>
      <c r="K49" s="34" t="inlineStr"/>
      <c r="L49" s="34" t="inlineStr"/>
      <c r="M49" s="34" t="inlineStr"/>
      <c r="N49" s="34" t="inlineStr"/>
      <c r="O49" s="34" t="inlineStr"/>
      <c r="P49" s="32" t="inlineStr"/>
      <c r="Q49" s="30" t="inlineStr"/>
      <c r="R49" s="30" t="inlineStr"/>
      <c r="S49" s="30" t="inlineStr"/>
      <c r="T49" s="30" t="inlineStr"/>
      <c r="U49" s="15">
        <f>IF(A49="","",SUMIFS('07_Nachtraege'!$E:$E,'07_Nachtraege'!$B:$B,A49,'07_Nachtraege'!$F:$F,"beauftragt"))</f>
        <v/>
      </c>
      <c r="V49" s="15">
        <f>IF(A49="","",J49+U49)</f>
        <v/>
      </c>
      <c r="W49" s="15">
        <f>IF(A49="","",SUMIFS('13_Ausgangsrechnungen'!$G:$G,'13_Ausgangsrechnungen'!$C:$C,A49))</f>
        <v/>
      </c>
      <c r="X49" s="15">
        <f>IF(A49="","",SUMIFS('11_Material'!$L:$L,'11_Material'!$C:$C,A49))</f>
        <v/>
      </c>
      <c r="Y49" s="15">
        <f>IF(A49="","",SUMIFS('14_Eingangsrechnungen'!$F:$F,'14_Eingangsrechnungen'!$C:$C,A49,'14_Eingangsrechnungen'!$E:$E,"Nachunternehmer"))</f>
        <v/>
      </c>
      <c r="Z49" s="15">
        <f>IF(A49="","",SUMIFS('10_Stunden'!$K:$K,'10_Stunden'!$C:$C,A49))</f>
        <v/>
      </c>
      <c r="AA49" s="15">
        <f>IF(A49="","",X49+Y49+Z49+SUMIFS('14_Eingangsrechnungen'!$F:$F,'14_Eingangsrechnungen'!$C:$C,A49,'14_Eingangsrechnungen'!$E:$E,"Gerät")+SUMIFS('14_Eingangsrechnungen'!$F:$F,'14_Eingangsrechnungen'!$C:$C,A49,'14_Eingangsrechnungen'!$E:$E,"Dienstleistung"))</f>
        <v/>
      </c>
      <c r="AB49" s="15">
        <f>IF(A49="","",W49-AA49)</f>
        <v/>
      </c>
      <c r="AC49" s="19">
        <f>IF(OR(A49="",W49=0),"",AB49/W49)</f>
        <v/>
      </c>
      <c r="AD49" s="19">
        <f>IF(OR(A49="",V49=0),"",W49/V49)</f>
        <v/>
      </c>
      <c r="AE49" s="15">
        <f>IF(A49="","",MAX(0,V49-W49))</f>
        <v/>
      </c>
      <c r="AF49" s="15">
        <f>IF(A49="","",SUMIFS('13_Ausgangsrechnungen'!$R:$R,'13_Ausgangsrechnungen'!$C:$C,A49))</f>
        <v/>
      </c>
    </row>
    <row r="50">
      <c r="A50" s="30" t="inlineStr"/>
      <c r="B50" s="30" t="inlineStr"/>
      <c r="C50" s="30" t="inlineStr"/>
      <c r="D50" s="30" t="inlineStr"/>
      <c r="E50" s="30" t="inlineStr"/>
      <c r="F50" s="30" t="inlineStr"/>
      <c r="G50" s="38" t="inlineStr"/>
      <c r="H50" s="38" t="inlineStr"/>
      <c r="I50" s="38" t="inlineStr"/>
      <c r="J50" s="34" t="inlineStr"/>
      <c r="K50" s="34" t="inlineStr"/>
      <c r="L50" s="34" t="inlineStr"/>
      <c r="M50" s="34" t="inlineStr"/>
      <c r="N50" s="34" t="inlineStr"/>
      <c r="O50" s="34" t="inlineStr"/>
      <c r="P50" s="32" t="inlineStr"/>
      <c r="Q50" s="30" t="inlineStr"/>
      <c r="R50" s="30" t="inlineStr"/>
      <c r="S50" s="30" t="inlineStr"/>
      <c r="T50" s="30" t="inlineStr"/>
      <c r="U50" s="15">
        <f>IF(A50="","",SUMIFS('07_Nachtraege'!$E:$E,'07_Nachtraege'!$B:$B,A50,'07_Nachtraege'!$F:$F,"beauftragt"))</f>
        <v/>
      </c>
      <c r="V50" s="15">
        <f>IF(A50="","",J50+U50)</f>
        <v/>
      </c>
      <c r="W50" s="15">
        <f>IF(A50="","",SUMIFS('13_Ausgangsrechnungen'!$G:$G,'13_Ausgangsrechnungen'!$C:$C,A50))</f>
        <v/>
      </c>
      <c r="X50" s="15">
        <f>IF(A50="","",SUMIFS('11_Material'!$L:$L,'11_Material'!$C:$C,A50))</f>
        <v/>
      </c>
      <c r="Y50" s="15">
        <f>IF(A50="","",SUMIFS('14_Eingangsrechnungen'!$F:$F,'14_Eingangsrechnungen'!$C:$C,A50,'14_Eingangsrechnungen'!$E:$E,"Nachunternehmer"))</f>
        <v/>
      </c>
      <c r="Z50" s="15">
        <f>IF(A50="","",SUMIFS('10_Stunden'!$K:$K,'10_Stunden'!$C:$C,A50))</f>
        <v/>
      </c>
      <c r="AA50" s="15">
        <f>IF(A50="","",X50+Y50+Z50+SUMIFS('14_Eingangsrechnungen'!$F:$F,'14_Eingangsrechnungen'!$C:$C,A50,'14_Eingangsrechnungen'!$E:$E,"Gerät")+SUMIFS('14_Eingangsrechnungen'!$F:$F,'14_Eingangsrechnungen'!$C:$C,A50,'14_Eingangsrechnungen'!$E:$E,"Dienstleistung"))</f>
        <v/>
      </c>
      <c r="AB50" s="15">
        <f>IF(A50="","",W50-AA50)</f>
        <v/>
      </c>
      <c r="AC50" s="19">
        <f>IF(OR(A50="",W50=0),"",AB50/W50)</f>
        <v/>
      </c>
      <c r="AD50" s="19">
        <f>IF(OR(A50="",V50=0),"",W50/V50)</f>
        <v/>
      </c>
      <c r="AE50" s="15">
        <f>IF(A50="","",MAX(0,V50-W50))</f>
        <v/>
      </c>
      <c r="AF50" s="15">
        <f>IF(A50="","",SUMIFS('13_Ausgangsrechnungen'!$R:$R,'13_Ausgangsrechnungen'!$C:$C,A50))</f>
        <v/>
      </c>
    </row>
    <row r="51">
      <c r="A51" s="30" t="inlineStr"/>
      <c r="B51" s="30" t="inlineStr"/>
      <c r="C51" s="30" t="inlineStr"/>
      <c r="D51" s="30" t="inlineStr"/>
      <c r="E51" s="30" t="inlineStr"/>
      <c r="F51" s="30" t="inlineStr"/>
      <c r="G51" s="38" t="inlineStr"/>
      <c r="H51" s="38" t="inlineStr"/>
      <c r="I51" s="38" t="inlineStr"/>
      <c r="J51" s="34" t="inlineStr"/>
      <c r="K51" s="34" t="inlineStr"/>
      <c r="L51" s="34" t="inlineStr"/>
      <c r="M51" s="34" t="inlineStr"/>
      <c r="N51" s="34" t="inlineStr"/>
      <c r="O51" s="34" t="inlineStr"/>
      <c r="P51" s="32" t="inlineStr"/>
      <c r="Q51" s="30" t="inlineStr"/>
      <c r="R51" s="30" t="inlineStr"/>
      <c r="S51" s="30" t="inlineStr"/>
      <c r="T51" s="30" t="inlineStr"/>
      <c r="U51" s="15">
        <f>IF(A51="","",SUMIFS('07_Nachtraege'!$E:$E,'07_Nachtraege'!$B:$B,A51,'07_Nachtraege'!$F:$F,"beauftragt"))</f>
        <v/>
      </c>
      <c r="V51" s="15">
        <f>IF(A51="","",J51+U51)</f>
        <v/>
      </c>
      <c r="W51" s="15">
        <f>IF(A51="","",SUMIFS('13_Ausgangsrechnungen'!$G:$G,'13_Ausgangsrechnungen'!$C:$C,A51))</f>
        <v/>
      </c>
      <c r="X51" s="15">
        <f>IF(A51="","",SUMIFS('11_Material'!$L:$L,'11_Material'!$C:$C,A51))</f>
        <v/>
      </c>
      <c r="Y51" s="15">
        <f>IF(A51="","",SUMIFS('14_Eingangsrechnungen'!$F:$F,'14_Eingangsrechnungen'!$C:$C,A51,'14_Eingangsrechnungen'!$E:$E,"Nachunternehmer"))</f>
        <v/>
      </c>
      <c r="Z51" s="15">
        <f>IF(A51="","",SUMIFS('10_Stunden'!$K:$K,'10_Stunden'!$C:$C,A51))</f>
        <v/>
      </c>
      <c r="AA51" s="15">
        <f>IF(A51="","",X51+Y51+Z51+SUMIFS('14_Eingangsrechnungen'!$F:$F,'14_Eingangsrechnungen'!$C:$C,A51,'14_Eingangsrechnungen'!$E:$E,"Gerät")+SUMIFS('14_Eingangsrechnungen'!$F:$F,'14_Eingangsrechnungen'!$C:$C,A51,'14_Eingangsrechnungen'!$E:$E,"Dienstleistung"))</f>
        <v/>
      </c>
      <c r="AB51" s="15">
        <f>IF(A51="","",W51-AA51)</f>
        <v/>
      </c>
      <c r="AC51" s="19">
        <f>IF(OR(A51="",W51=0),"",AB51/W51)</f>
        <v/>
      </c>
      <c r="AD51" s="19">
        <f>IF(OR(A51="",V51=0),"",W51/V51)</f>
        <v/>
      </c>
      <c r="AE51" s="15">
        <f>IF(A51="","",MAX(0,V51-W51))</f>
        <v/>
      </c>
      <c r="AF51" s="15">
        <f>IF(A51="","",SUMIFS('13_Ausgangsrechnungen'!$R:$R,'13_Ausgangsrechnungen'!$C:$C,A51))</f>
        <v/>
      </c>
    </row>
    <row r="52">
      <c r="A52" s="30" t="inlineStr"/>
      <c r="B52" s="30" t="inlineStr"/>
      <c r="C52" s="30" t="inlineStr"/>
      <c r="D52" s="30" t="inlineStr"/>
      <c r="E52" s="30" t="inlineStr"/>
      <c r="F52" s="30" t="inlineStr"/>
      <c r="G52" s="38" t="inlineStr"/>
      <c r="H52" s="38" t="inlineStr"/>
      <c r="I52" s="38" t="inlineStr"/>
      <c r="J52" s="34" t="inlineStr"/>
      <c r="K52" s="34" t="inlineStr"/>
      <c r="L52" s="34" t="inlineStr"/>
      <c r="M52" s="34" t="inlineStr"/>
      <c r="N52" s="34" t="inlineStr"/>
      <c r="O52" s="34" t="inlineStr"/>
      <c r="P52" s="32" t="inlineStr"/>
      <c r="Q52" s="30" t="inlineStr"/>
      <c r="R52" s="30" t="inlineStr"/>
      <c r="S52" s="30" t="inlineStr"/>
      <c r="T52" s="30" t="inlineStr"/>
      <c r="U52" s="15">
        <f>IF(A52="","",SUMIFS('07_Nachtraege'!$E:$E,'07_Nachtraege'!$B:$B,A52,'07_Nachtraege'!$F:$F,"beauftragt"))</f>
        <v/>
      </c>
      <c r="V52" s="15">
        <f>IF(A52="","",J52+U52)</f>
        <v/>
      </c>
      <c r="W52" s="15">
        <f>IF(A52="","",SUMIFS('13_Ausgangsrechnungen'!$G:$G,'13_Ausgangsrechnungen'!$C:$C,A52))</f>
        <v/>
      </c>
      <c r="X52" s="15">
        <f>IF(A52="","",SUMIFS('11_Material'!$L:$L,'11_Material'!$C:$C,A52))</f>
        <v/>
      </c>
      <c r="Y52" s="15">
        <f>IF(A52="","",SUMIFS('14_Eingangsrechnungen'!$F:$F,'14_Eingangsrechnungen'!$C:$C,A52,'14_Eingangsrechnungen'!$E:$E,"Nachunternehmer"))</f>
        <v/>
      </c>
      <c r="Z52" s="15">
        <f>IF(A52="","",SUMIFS('10_Stunden'!$K:$K,'10_Stunden'!$C:$C,A52))</f>
        <v/>
      </c>
      <c r="AA52" s="15">
        <f>IF(A52="","",X52+Y52+Z52+SUMIFS('14_Eingangsrechnungen'!$F:$F,'14_Eingangsrechnungen'!$C:$C,A52,'14_Eingangsrechnungen'!$E:$E,"Gerät")+SUMIFS('14_Eingangsrechnungen'!$F:$F,'14_Eingangsrechnungen'!$C:$C,A52,'14_Eingangsrechnungen'!$E:$E,"Dienstleistung"))</f>
        <v/>
      </c>
      <c r="AB52" s="15">
        <f>IF(A52="","",W52-AA52)</f>
        <v/>
      </c>
      <c r="AC52" s="19">
        <f>IF(OR(A52="",W52=0),"",AB52/W52)</f>
        <v/>
      </c>
      <c r="AD52" s="19">
        <f>IF(OR(A52="",V52=0),"",W52/V52)</f>
        <v/>
      </c>
      <c r="AE52" s="15">
        <f>IF(A52="","",MAX(0,V52-W52))</f>
        <v/>
      </c>
      <c r="AF52" s="15">
        <f>IF(A52="","",SUMIFS('13_Ausgangsrechnungen'!$R:$R,'13_Ausgangsrechnungen'!$C:$C,A52))</f>
        <v/>
      </c>
    </row>
    <row r="53">
      <c r="A53" s="30" t="inlineStr"/>
      <c r="B53" s="30" t="inlineStr"/>
      <c r="C53" s="30" t="inlineStr"/>
      <c r="D53" s="30" t="inlineStr"/>
      <c r="E53" s="30" t="inlineStr"/>
      <c r="F53" s="30" t="inlineStr"/>
      <c r="G53" s="38" t="inlineStr"/>
      <c r="H53" s="38" t="inlineStr"/>
      <c r="I53" s="38" t="inlineStr"/>
      <c r="J53" s="34" t="inlineStr"/>
      <c r="K53" s="34" t="inlineStr"/>
      <c r="L53" s="34" t="inlineStr"/>
      <c r="M53" s="34" t="inlineStr"/>
      <c r="N53" s="34" t="inlineStr"/>
      <c r="O53" s="34" t="inlineStr"/>
      <c r="P53" s="32" t="inlineStr"/>
      <c r="Q53" s="30" t="inlineStr"/>
      <c r="R53" s="30" t="inlineStr"/>
      <c r="S53" s="30" t="inlineStr"/>
      <c r="T53" s="30" t="inlineStr"/>
      <c r="U53" s="15">
        <f>IF(A53="","",SUMIFS('07_Nachtraege'!$E:$E,'07_Nachtraege'!$B:$B,A53,'07_Nachtraege'!$F:$F,"beauftragt"))</f>
        <v/>
      </c>
      <c r="V53" s="15">
        <f>IF(A53="","",J53+U53)</f>
        <v/>
      </c>
      <c r="W53" s="15">
        <f>IF(A53="","",SUMIFS('13_Ausgangsrechnungen'!$G:$G,'13_Ausgangsrechnungen'!$C:$C,A53))</f>
        <v/>
      </c>
      <c r="X53" s="15">
        <f>IF(A53="","",SUMIFS('11_Material'!$L:$L,'11_Material'!$C:$C,A53))</f>
        <v/>
      </c>
      <c r="Y53" s="15">
        <f>IF(A53="","",SUMIFS('14_Eingangsrechnungen'!$F:$F,'14_Eingangsrechnungen'!$C:$C,A53,'14_Eingangsrechnungen'!$E:$E,"Nachunternehmer"))</f>
        <v/>
      </c>
      <c r="Z53" s="15">
        <f>IF(A53="","",SUMIFS('10_Stunden'!$K:$K,'10_Stunden'!$C:$C,A53))</f>
        <v/>
      </c>
      <c r="AA53" s="15">
        <f>IF(A53="","",X53+Y53+Z53+SUMIFS('14_Eingangsrechnungen'!$F:$F,'14_Eingangsrechnungen'!$C:$C,A53,'14_Eingangsrechnungen'!$E:$E,"Gerät")+SUMIFS('14_Eingangsrechnungen'!$F:$F,'14_Eingangsrechnungen'!$C:$C,A53,'14_Eingangsrechnungen'!$E:$E,"Dienstleistung"))</f>
        <v/>
      </c>
      <c r="AB53" s="15">
        <f>IF(A53="","",W53-AA53)</f>
        <v/>
      </c>
      <c r="AC53" s="19">
        <f>IF(OR(A53="",W53=0),"",AB53/W53)</f>
        <v/>
      </c>
      <c r="AD53" s="19">
        <f>IF(OR(A53="",V53=0),"",W53/V53)</f>
        <v/>
      </c>
      <c r="AE53" s="15">
        <f>IF(A53="","",MAX(0,V53-W53))</f>
        <v/>
      </c>
      <c r="AF53" s="15">
        <f>IF(A53="","",SUMIFS('13_Ausgangsrechnungen'!$R:$R,'13_Ausgangsrechnungen'!$C:$C,A53))</f>
        <v/>
      </c>
    </row>
    <row r="54">
      <c r="A54" s="30" t="inlineStr"/>
      <c r="B54" s="30" t="inlineStr"/>
      <c r="C54" s="30" t="inlineStr"/>
      <c r="D54" s="30" t="inlineStr"/>
      <c r="E54" s="30" t="inlineStr"/>
      <c r="F54" s="30" t="inlineStr"/>
      <c r="G54" s="38" t="inlineStr"/>
      <c r="H54" s="38" t="inlineStr"/>
      <c r="I54" s="38" t="inlineStr"/>
      <c r="J54" s="34" t="inlineStr"/>
      <c r="K54" s="34" t="inlineStr"/>
      <c r="L54" s="34" t="inlineStr"/>
      <c r="M54" s="34" t="inlineStr"/>
      <c r="N54" s="34" t="inlineStr"/>
      <c r="O54" s="34" t="inlineStr"/>
      <c r="P54" s="32" t="inlineStr"/>
      <c r="Q54" s="30" t="inlineStr"/>
      <c r="R54" s="30" t="inlineStr"/>
      <c r="S54" s="30" t="inlineStr"/>
      <c r="T54" s="30" t="inlineStr"/>
      <c r="U54" s="15">
        <f>IF(A54="","",SUMIFS('07_Nachtraege'!$E:$E,'07_Nachtraege'!$B:$B,A54,'07_Nachtraege'!$F:$F,"beauftragt"))</f>
        <v/>
      </c>
      <c r="V54" s="15">
        <f>IF(A54="","",J54+U54)</f>
        <v/>
      </c>
      <c r="W54" s="15">
        <f>IF(A54="","",SUMIFS('13_Ausgangsrechnungen'!$G:$G,'13_Ausgangsrechnungen'!$C:$C,A54))</f>
        <v/>
      </c>
      <c r="X54" s="15">
        <f>IF(A54="","",SUMIFS('11_Material'!$L:$L,'11_Material'!$C:$C,A54))</f>
        <v/>
      </c>
      <c r="Y54" s="15">
        <f>IF(A54="","",SUMIFS('14_Eingangsrechnungen'!$F:$F,'14_Eingangsrechnungen'!$C:$C,A54,'14_Eingangsrechnungen'!$E:$E,"Nachunternehmer"))</f>
        <v/>
      </c>
      <c r="Z54" s="15">
        <f>IF(A54="","",SUMIFS('10_Stunden'!$K:$K,'10_Stunden'!$C:$C,A54))</f>
        <v/>
      </c>
      <c r="AA54" s="15">
        <f>IF(A54="","",X54+Y54+Z54+SUMIFS('14_Eingangsrechnungen'!$F:$F,'14_Eingangsrechnungen'!$C:$C,A54,'14_Eingangsrechnungen'!$E:$E,"Gerät")+SUMIFS('14_Eingangsrechnungen'!$F:$F,'14_Eingangsrechnungen'!$C:$C,A54,'14_Eingangsrechnungen'!$E:$E,"Dienstleistung"))</f>
        <v/>
      </c>
      <c r="AB54" s="15">
        <f>IF(A54="","",W54-AA54)</f>
        <v/>
      </c>
      <c r="AC54" s="19">
        <f>IF(OR(A54="",W54=0),"",AB54/W54)</f>
        <v/>
      </c>
      <c r="AD54" s="19">
        <f>IF(OR(A54="",V54=0),"",W54/V54)</f>
        <v/>
      </c>
      <c r="AE54" s="15">
        <f>IF(A54="","",MAX(0,V54-W54))</f>
        <v/>
      </c>
      <c r="AF54" s="15">
        <f>IF(A54="","",SUMIFS('13_Ausgangsrechnungen'!$R:$R,'13_Ausgangsrechnungen'!$C:$C,A54))</f>
        <v/>
      </c>
    </row>
    <row r="55">
      <c r="A55" s="30" t="inlineStr"/>
      <c r="B55" s="30" t="inlineStr"/>
      <c r="C55" s="30" t="inlineStr"/>
      <c r="D55" s="30" t="inlineStr"/>
      <c r="E55" s="30" t="inlineStr"/>
      <c r="F55" s="30" t="inlineStr"/>
      <c r="G55" s="38" t="inlineStr"/>
      <c r="H55" s="38" t="inlineStr"/>
      <c r="I55" s="38" t="inlineStr"/>
      <c r="J55" s="34" t="inlineStr"/>
      <c r="K55" s="34" t="inlineStr"/>
      <c r="L55" s="34" t="inlineStr"/>
      <c r="M55" s="34" t="inlineStr"/>
      <c r="N55" s="34" t="inlineStr"/>
      <c r="O55" s="34" t="inlineStr"/>
      <c r="P55" s="32" t="inlineStr"/>
      <c r="Q55" s="30" t="inlineStr"/>
      <c r="R55" s="30" t="inlineStr"/>
      <c r="S55" s="30" t="inlineStr"/>
      <c r="T55" s="30" t="inlineStr"/>
      <c r="U55" s="15">
        <f>IF(A55="","",SUMIFS('07_Nachtraege'!$E:$E,'07_Nachtraege'!$B:$B,A55,'07_Nachtraege'!$F:$F,"beauftragt"))</f>
        <v/>
      </c>
      <c r="V55" s="15">
        <f>IF(A55="","",J55+U55)</f>
        <v/>
      </c>
      <c r="W55" s="15">
        <f>IF(A55="","",SUMIFS('13_Ausgangsrechnungen'!$G:$G,'13_Ausgangsrechnungen'!$C:$C,A55))</f>
        <v/>
      </c>
      <c r="X55" s="15">
        <f>IF(A55="","",SUMIFS('11_Material'!$L:$L,'11_Material'!$C:$C,A55))</f>
        <v/>
      </c>
      <c r="Y55" s="15">
        <f>IF(A55="","",SUMIFS('14_Eingangsrechnungen'!$F:$F,'14_Eingangsrechnungen'!$C:$C,A55,'14_Eingangsrechnungen'!$E:$E,"Nachunternehmer"))</f>
        <v/>
      </c>
      <c r="Z55" s="15">
        <f>IF(A55="","",SUMIFS('10_Stunden'!$K:$K,'10_Stunden'!$C:$C,A55))</f>
        <v/>
      </c>
      <c r="AA55" s="15">
        <f>IF(A55="","",X55+Y55+Z55+SUMIFS('14_Eingangsrechnungen'!$F:$F,'14_Eingangsrechnungen'!$C:$C,A55,'14_Eingangsrechnungen'!$E:$E,"Gerät")+SUMIFS('14_Eingangsrechnungen'!$F:$F,'14_Eingangsrechnungen'!$C:$C,A55,'14_Eingangsrechnungen'!$E:$E,"Dienstleistung"))</f>
        <v/>
      </c>
      <c r="AB55" s="15">
        <f>IF(A55="","",W55-AA55)</f>
        <v/>
      </c>
      <c r="AC55" s="19">
        <f>IF(OR(A55="",W55=0),"",AB55/W55)</f>
        <v/>
      </c>
      <c r="AD55" s="19">
        <f>IF(OR(A55="",V55=0),"",W55/V55)</f>
        <v/>
      </c>
      <c r="AE55" s="15">
        <f>IF(A55="","",MAX(0,V55-W55))</f>
        <v/>
      </c>
      <c r="AF55" s="15">
        <f>IF(A55="","",SUMIFS('13_Ausgangsrechnungen'!$R:$R,'13_Ausgangsrechnungen'!$C:$C,A55))</f>
        <v/>
      </c>
    </row>
    <row r="56">
      <c r="A56" s="30" t="inlineStr"/>
      <c r="B56" s="30" t="inlineStr"/>
      <c r="C56" s="30" t="inlineStr"/>
      <c r="D56" s="30" t="inlineStr"/>
      <c r="E56" s="30" t="inlineStr"/>
      <c r="F56" s="30" t="inlineStr"/>
      <c r="G56" s="38" t="inlineStr"/>
      <c r="H56" s="38" t="inlineStr"/>
      <c r="I56" s="38" t="inlineStr"/>
      <c r="J56" s="34" t="inlineStr"/>
      <c r="K56" s="34" t="inlineStr"/>
      <c r="L56" s="34" t="inlineStr"/>
      <c r="M56" s="34" t="inlineStr"/>
      <c r="N56" s="34" t="inlineStr"/>
      <c r="O56" s="34" t="inlineStr"/>
      <c r="P56" s="32" t="inlineStr"/>
      <c r="Q56" s="30" t="inlineStr"/>
      <c r="R56" s="30" t="inlineStr"/>
      <c r="S56" s="30" t="inlineStr"/>
      <c r="T56" s="30" t="inlineStr"/>
      <c r="U56" s="15">
        <f>IF(A56="","",SUMIFS('07_Nachtraege'!$E:$E,'07_Nachtraege'!$B:$B,A56,'07_Nachtraege'!$F:$F,"beauftragt"))</f>
        <v/>
      </c>
      <c r="V56" s="15">
        <f>IF(A56="","",J56+U56)</f>
        <v/>
      </c>
      <c r="W56" s="15">
        <f>IF(A56="","",SUMIFS('13_Ausgangsrechnungen'!$G:$G,'13_Ausgangsrechnungen'!$C:$C,A56))</f>
        <v/>
      </c>
      <c r="X56" s="15">
        <f>IF(A56="","",SUMIFS('11_Material'!$L:$L,'11_Material'!$C:$C,A56))</f>
        <v/>
      </c>
      <c r="Y56" s="15">
        <f>IF(A56="","",SUMIFS('14_Eingangsrechnungen'!$F:$F,'14_Eingangsrechnungen'!$C:$C,A56,'14_Eingangsrechnungen'!$E:$E,"Nachunternehmer"))</f>
        <v/>
      </c>
      <c r="Z56" s="15">
        <f>IF(A56="","",SUMIFS('10_Stunden'!$K:$K,'10_Stunden'!$C:$C,A56))</f>
        <v/>
      </c>
      <c r="AA56" s="15">
        <f>IF(A56="","",X56+Y56+Z56+SUMIFS('14_Eingangsrechnungen'!$F:$F,'14_Eingangsrechnungen'!$C:$C,A56,'14_Eingangsrechnungen'!$E:$E,"Gerät")+SUMIFS('14_Eingangsrechnungen'!$F:$F,'14_Eingangsrechnungen'!$C:$C,A56,'14_Eingangsrechnungen'!$E:$E,"Dienstleistung"))</f>
        <v/>
      </c>
      <c r="AB56" s="15">
        <f>IF(A56="","",W56-AA56)</f>
        <v/>
      </c>
      <c r="AC56" s="19">
        <f>IF(OR(A56="",W56=0),"",AB56/W56)</f>
        <v/>
      </c>
      <c r="AD56" s="19">
        <f>IF(OR(A56="",V56=0),"",W56/V56)</f>
        <v/>
      </c>
      <c r="AE56" s="15">
        <f>IF(A56="","",MAX(0,V56-W56))</f>
        <v/>
      </c>
      <c r="AF56" s="15">
        <f>IF(A56="","",SUMIFS('13_Ausgangsrechnungen'!$R:$R,'13_Ausgangsrechnungen'!$C:$C,A56))</f>
        <v/>
      </c>
    </row>
    <row r="57">
      <c r="A57" s="30" t="inlineStr"/>
      <c r="B57" s="30" t="inlineStr"/>
      <c r="C57" s="30" t="inlineStr"/>
      <c r="D57" s="30" t="inlineStr"/>
      <c r="E57" s="30" t="inlineStr"/>
      <c r="F57" s="30" t="inlineStr"/>
      <c r="G57" s="38" t="inlineStr"/>
      <c r="H57" s="38" t="inlineStr"/>
      <c r="I57" s="38" t="inlineStr"/>
      <c r="J57" s="34" t="inlineStr"/>
      <c r="K57" s="34" t="inlineStr"/>
      <c r="L57" s="34" t="inlineStr"/>
      <c r="M57" s="34" t="inlineStr"/>
      <c r="N57" s="34" t="inlineStr"/>
      <c r="O57" s="34" t="inlineStr"/>
      <c r="P57" s="32" t="inlineStr"/>
      <c r="Q57" s="30" t="inlineStr"/>
      <c r="R57" s="30" t="inlineStr"/>
      <c r="S57" s="30" t="inlineStr"/>
      <c r="T57" s="30" t="inlineStr"/>
      <c r="U57" s="15">
        <f>IF(A57="","",SUMIFS('07_Nachtraege'!$E:$E,'07_Nachtraege'!$B:$B,A57,'07_Nachtraege'!$F:$F,"beauftragt"))</f>
        <v/>
      </c>
      <c r="V57" s="15">
        <f>IF(A57="","",J57+U57)</f>
        <v/>
      </c>
      <c r="W57" s="15">
        <f>IF(A57="","",SUMIFS('13_Ausgangsrechnungen'!$G:$G,'13_Ausgangsrechnungen'!$C:$C,A57))</f>
        <v/>
      </c>
      <c r="X57" s="15">
        <f>IF(A57="","",SUMIFS('11_Material'!$L:$L,'11_Material'!$C:$C,A57))</f>
        <v/>
      </c>
      <c r="Y57" s="15">
        <f>IF(A57="","",SUMIFS('14_Eingangsrechnungen'!$F:$F,'14_Eingangsrechnungen'!$C:$C,A57,'14_Eingangsrechnungen'!$E:$E,"Nachunternehmer"))</f>
        <v/>
      </c>
      <c r="Z57" s="15">
        <f>IF(A57="","",SUMIFS('10_Stunden'!$K:$K,'10_Stunden'!$C:$C,A57))</f>
        <v/>
      </c>
      <c r="AA57" s="15">
        <f>IF(A57="","",X57+Y57+Z57+SUMIFS('14_Eingangsrechnungen'!$F:$F,'14_Eingangsrechnungen'!$C:$C,A57,'14_Eingangsrechnungen'!$E:$E,"Gerät")+SUMIFS('14_Eingangsrechnungen'!$F:$F,'14_Eingangsrechnungen'!$C:$C,A57,'14_Eingangsrechnungen'!$E:$E,"Dienstleistung"))</f>
        <v/>
      </c>
      <c r="AB57" s="15">
        <f>IF(A57="","",W57-AA57)</f>
        <v/>
      </c>
      <c r="AC57" s="19">
        <f>IF(OR(A57="",W57=0),"",AB57/W57)</f>
        <v/>
      </c>
      <c r="AD57" s="19">
        <f>IF(OR(A57="",V57=0),"",W57/V57)</f>
        <v/>
      </c>
      <c r="AE57" s="15">
        <f>IF(A57="","",MAX(0,V57-W57))</f>
        <v/>
      </c>
      <c r="AF57" s="15">
        <f>IF(A57="","",SUMIFS('13_Ausgangsrechnungen'!$R:$R,'13_Ausgangsrechnungen'!$C:$C,A57))</f>
        <v/>
      </c>
    </row>
    <row r="58">
      <c r="A58" s="30" t="inlineStr"/>
      <c r="B58" s="30" t="inlineStr"/>
      <c r="C58" s="30" t="inlineStr"/>
      <c r="D58" s="30" t="inlineStr"/>
      <c r="E58" s="30" t="inlineStr"/>
      <c r="F58" s="30" t="inlineStr"/>
      <c r="G58" s="38" t="inlineStr"/>
      <c r="H58" s="38" t="inlineStr"/>
      <c r="I58" s="38" t="inlineStr"/>
      <c r="J58" s="34" t="inlineStr"/>
      <c r="K58" s="34" t="inlineStr"/>
      <c r="L58" s="34" t="inlineStr"/>
      <c r="M58" s="34" t="inlineStr"/>
      <c r="N58" s="34" t="inlineStr"/>
      <c r="O58" s="34" t="inlineStr"/>
      <c r="P58" s="32" t="inlineStr"/>
      <c r="Q58" s="30" t="inlineStr"/>
      <c r="R58" s="30" t="inlineStr"/>
      <c r="S58" s="30" t="inlineStr"/>
      <c r="T58" s="30" t="inlineStr"/>
      <c r="U58" s="15">
        <f>IF(A58="","",SUMIFS('07_Nachtraege'!$E:$E,'07_Nachtraege'!$B:$B,A58,'07_Nachtraege'!$F:$F,"beauftragt"))</f>
        <v/>
      </c>
      <c r="V58" s="15">
        <f>IF(A58="","",J58+U58)</f>
        <v/>
      </c>
      <c r="W58" s="15">
        <f>IF(A58="","",SUMIFS('13_Ausgangsrechnungen'!$G:$G,'13_Ausgangsrechnungen'!$C:$C,A58))</f>
        <v/>
      </c>
      <c r="X58" s="15">
        <f>IF(A58="","",SUMIFS('11_Material'!$L:$L,'11_Material'!$C:$C,A58))</f>
        <v/>
      </c>
      <c r="Y58" s="15">
        <f>IF(A58="","",SUMIFS('14_Eingangsrechnungen'!$F:$F,'14_Eingangsrechnungen'!$C:$C,A58,'14_Eingangsrechnungen'!$E:$E,"Nachunternehmer"))</f>
        <v/>
      </c>
      <c r="Z58" s="15">
        <f>IF(A58="","",SUMIFS('10_Stunden'!$K:$K,'10_Stunden'!$C:$C,A58))</f>
        <v/>
      </c>
      <c r="AA58" s="15">
        <f>IF(A58="","",X58+Y58+Z58+SUMIFS('14_Eingangsrechnungen'!$F:$F,'14_Eingangsrechnungen'!$C:$C,A58,'14_Eingangsrechnungen'!$E:$E,"Gerät")+SUMIFS('14_Eingangsrechnungen'!$F:$F,'14_Eingangsrechnungen'!$C:$C,A58,'14_Eingangsrechnungen'!$E:$E,"Dienstleistung"))</f>
        <v/>
      </c>
      <c r="AB58" s="15">
        <f>IF(A58="","",W58-AA58)</f>
        <v/>
      </c>
      <c r="AC58" s="19">
        <f>IF(OR(A58="",W58=0),"",AB58/W58)</f>
        <v/>
      </c>
      <c r="AD58" s="19">
        <f>IF(OR(A58="",V58=0),"",W58/V58)</f>
        <v/>
      </c>
      <c r="AE58" s="15">
        <f>IF(A58="","",MAX(0,V58-W58))</f>
        <v/>
      </c>
      <c r="AF58" s="15">
        <f>IF(A58="","",SUMIFS('13_Ausgangsrechnungen'!$R:$R,'13_Ausgangsrechnungen'!$C:$C,A58))</f>
        <v/>
      </c>
    </row>
    <row r="59">
      <c r="A59" s="30" t="inlineStr"/>
      <c r="B59" s="30" t="inlineStr"/>
      <c r="C59" s="30" t="inlineStr"/>
      <c r="D59" s="30" t="inlineStr"/>
      <c r="E59" s="30" t="inlineStr"/>
      <c r="F59" s="30" t="inlineStr"/>
      <c r="G59" s="38" t="inlineStr"/>
      <c r="H59" s="38" t="inlineStr"/>
      <c r="I59" s="38" t="inlineStr"/>
      <c r="J59" s="34" t="inlineStr"/>
      <c r="K59" s="34" t="inlineStr"/>
      <c r="L59" s="34" t="inlineStr"/>
      <c r="M59" s="34" t="inlineStr"/>
      <c r="N59" s="34" t="inlineStr"/>
      <c r="O59" s="34" t="inlineStr"/>
      <c r="P59" s="32" t="inlineStr"/>
      <c r="Q59" s="30" t="inlineStr"/>
      <c r="R59" s="30" t="inlineStr"/>
      <c r="S59" s="30" t="inlineStr"/>
      <c r="T59" s="30" t="inlineStr"/>
      <c r="U59" s="15">
        <f>IF(A59="","",SUMIFS('07_Nachtraege'!$E:$E,'07_Nachtraege'!$B:$B,A59,'07_Nachtraege'!$F:$F,"beauftragt"))</f>
        <v/>
      </c>
      <c r="V59" s="15">
        <f>IF(A59="","",J59+U59)</f>
        <v/>
      </c>
      <c r="W59" s="15">
        <f>IF(A59="","",SUMIFS('13_Ausgangsrechnungen'!$G:$G,'13_Ausgangsrechnungen'!$C:$C,A59))</f>
        <v/>
      </c>
      <c r="X59" s="15">
        <f>IF(A59="","",SUMIFS('11_Material'!$L:$L,'11_Material'!$C:$C,A59))</f>
        <v/>
      </c>
      <c r="Y59" s="15">
        <f>IF(A59="","",SUMIFS('14_Eingangsrechnungen'!$F:$F,'14_Eingangsrechnungen'!$C:$C,A59,'14_Eingangsrechnungen'!$E:$E,"Nachunternehmer"))</f>
        <v/>
      </c>
      <c r="Z59" s="15">
        <f>IF(A59="","",SUMIFS('10_Stunden'!$K:$K,'10_Stunden'!$C:$C,A59))</f>
        <v/>
      </c>
      <c r="AA59" s="15">
        <f>IF(A59="","",X59+Y59+Z59+SUMIFS('14_Eingangsrechnungen'!$F:$F,'14_Eingangsrechnungen'!$C:$C,A59,'14_Eingangsrechnungen'!$E:$E,"Gerät")+SUMIFS('14_Eingangsrechnungen'!$F:$F,'14_Eingangsrechnungen'!$C:$C,A59,'14_Eingangsrechnungen'!$E:$E,"Dienstleistung"))</f>
        <v/>
      </c>
      <c r="AB59" s="15">
        <f>IF(A59="","",W59-AA59)</f>
        <v/>
      </c>
      <c r="AC59" s="19">
        <f>IF(OR(A59="",W59=0),"",AB59/W59)</f>
        <v/>
      </c>
      <c r="AD59" s="19">
        <f>IF(OR(A59="",V59=0),"",W59/V59)</f>
        <v/>
      </c>
      <c r="AE59" s="15">
        <f>IF(A59="","",MAX(0,V59-W59))</f>
        <v/>
      </c>
      <c r="AF59" s="15">
        <f>IF(A59="","",SUMIFS('13_Ausgangsrechnungen'!$R:$R,'13_Ausgangsrechnungen'!$C:$C,A59))</f>
        <v/>
      </c>
    </row>
    <row r="60">
      <c r="A60" s="30" t="inlineStr"/>
      <c r="B60" s="30" t="inlineStr"/>
      <c r="C60" s="30" t="inlineStr"/>
      <c r="D60" s="30" t="inlineStr"/>
      <c r="E60" s="30" t="inlineStr"/>
      <c r="F60" s="30" t="inlineStr"/>
      <c r="G60" s="38" t="inlineStr"/>
      <c r="H60" s="38" t="inlineStr"/>
      <c r="I60" s="38" t="inlineStr"/>
      <c r="J60" s="34" t="inlineStr"/>
      <c r="K60" s="34" t="inlineStr"/>
      <c r="L60" s="34" t="inlineStr"/>
      <c r="M60" s="34" t="inlineStr"/>
      <c r="N60" s="34" t="inlineStr"/>
      <c r="O60" s="34" t="inlineStr"/>
      <c r="P60" s="32" t="inlineStr"/>
      <c r="Q60" s="30" t="inlineStr"/>
      <c r="R60" s="30" t="inlineStr"/>
      <c r="S60" s="30" t="inlineStr"/>
      <c r="T60" s="30" t="inlineStr"/>
      <c r="U60" s="15">
        <f>IF(A60="","",SUMIFS('07_Nachtraege'!$E:$E,'07_Nachtraege'!$B:$B,A60,'07_Nachtraege'!$F:$F,"beauftragt"))</f>
        <v/>
      </c>
      <c r="V60" s="15">
        <f>IF(A60="","",J60+U60)</f>
        <v/>
      </c>
      <c r="W60" s="15">
        <f>IF(A60="","",SUMIFS('13_Ausgangsrechnungen'!$G:$G,'13_Ausgangsrechnungen'!$C:$C,A60))</f>
        <v/>
      </c>
      <c r="X60" s="15">
        <f>IF(A60="","",SUMIFS('11_Material'!$L:$L,'11_Material'!$C:$C,A60))</f>
        <v/>
      </c>
      <c r="Y60" s="15">
        <f>IF(A60="","",SUMIFS('14_Eingangsrechnungen'!$F:$F,'14_Eingangsrechnungen'!$C:$C,A60,'14_Eingangsrechnungen'!$E:$E,"Nachunternehmer"))</f>
        <v/>
      </c>
      <c r="Z60" s="15">
        <f>IF(A60="","",SUMIFS('10_Stunden'!$K:$K,'10_Stunden'!$C:$C,A60))</f>
        <v/>
      </c>
      <c r="AA60" s="15">
        <f>IF(A60="","",X60+Y60+Z60+SUMIFS('14_Eingangsrechnungen'!$F:$F,'14_Eingangsrechnungen'!$C:$C,A60,'14_Eingangsrechnungen'!$E:$E,"Gerät")+SUMIFS('14_Eingangsrechnungen'!$F:$F,'14_Eingangsrechnungen'!$C:$C,A60,'14_Eingangsrechnungen'!$E:$E,"Dienstleistung"))</f>
        <v/>
      </c>
      <c r="AB60" s="15">
        <f>IF(A60="","",W60-AA60)</f>
        <v/>
      </c>
      <c r="AC60" s="19">
        <f>IF(OR(A60="",W60=0),"",AB60/W60)</f>
        <v/>
      </c>
      <c r="AD60" s="19">
        <f>IF(OR(A60="",V60=0),"",W60/V60)</f>
        <v/>
      </c>
      <c r="AE60" s="15">
        <f>IF(A60="","",MAX(0,V60-W60))</f>
        <v/>
      </c>
      <c r="AF60" s="15">
        <f>IF(A60="","",SUMIFS('13_Ausgangsrechnungen'!$R:$R,'13_Ausgangsrechnungen'!$C:$C,A60))</f>
        <v/>
      </c>
    </row>
    <row r="61">
      <c r="A61" s="30" t="inlineStr"/>
      <c r="B61" s="30" t="inlineStr"/>
      <c r="C61" s="30" t="inlineStr"/>
      <c r="D61" s="30" t="inlineStr"/>
      <c r="E61" s="30" t="inlineStr"/>
      <c r="F61" s="30" t="inlineStr"/>
      <c r="G61" s="38" t="inlineStr"/>
      <c r="H61" s="38" t="inlineStr"/>
      <c r="I61" s="38" t="inlineStr"/>
      <c r="J61" s="34" t="inlineStr"/>
      <c r="K61" s="34" t="inlineStr"/>
      <c r="L61" s="34" t="inlineStr"/>
      <c r="M61" s="34" t="inlineStr"/>
      <c r="N61" s="34" t="inlineStr"/>
      <c r="O61" s="34" t="inlineStr"/>
      <c r="P61" s="32" t="inlineStr"/>
      <c r="Q61" s="30" t="inlineStr"/>
      <c r="R61" s="30" t="inlineStr"/>
      <c r="S61" s="30" t="inlineStr"/>
      <c r="T61" s="30" t="inlineStr"/>
      <c r="U61" s="15">
        <f>IF(A61="","",SUMIFS('07_Nachtraege'!$E:$E,'07_Nachtraege'!$B:$B,A61,'07_Nachtraege'!$F:$F,"beauftragt"))</f>
        <v/>
      </c>
      <c r="V61" s="15">
        <f>IF(A61="","",J61+U61)</f>
        <v/>
      </c>
      <c r="W61" s="15">
        <f>IF(A61="","",SUMIFS('13_Ausgangsrechnungen'!$G:$G,'13_Ausgangsrechnungen'!$C:$C,A61))</f>
        <v/>
      </c>
      <c r="X61" s="15">
        <f>IF(A61="","",SUMIFS('11_Material'!$L:$L,'11_Material'!$C:$C,A61))</f>
        <v/>
      </c>
      <c r="Y61" s="15">
        <f>IF(A61="","",SUMIFS('14_Eingangsrechnungen'!$F:$F,'14_Eingangsrechnungen'!$C:$C,A61,'14_Eingangsrechnungen'!$E:$E,"Nachunternehmer"))</f>
        <v/>
      </c>
      <c r="Z61" s="15">
        <f>IF(A61="","",SUMIFS('10_Stunden'!$K:$K,'10_Stunden'!$C:$C,A61))</f>
        <v/>
      </c>
      <c r="AA61" s="15">
        <f>IF(A61="","",X61+Y61+Z61+SUMIFS('14_Eingangsrechnungen'!$F:$F,'14_Eingangsrechnungen'!$C:$C,A61,'14_Eingangsrechnungen'!$E:$E,"Gerät")+SUMIFS('14_Eingangsrechnungen'!$F:$F,'14_Eingangsrechnungen'!$C:$C,A61,'14_Eingangsrechnungen'!$E:$E,"Dienstleistung"))</f>
        <v/>
      </c>
      <c r="AB61" s="15">
        <f>IF(A61="","",W61-AA61)</f>
        <v/>
      </c>
      <c r="AC61" s="19">
        <f>IF(OR(A61="",W61=0),"",AB61/W61)</f>
        <v/>
      </c>
      <c r="AD61" s="19">
        <f>IF(OR(A61="",V61=0),"",W61/V61)</f>
        <v/>
      </c>
      <c r="AE61" s="15">
        <f>IF(A61="","",MAX(0,V61-W61))</f>
        <v/>
      </c>
      <c r="AF61" s="15">
        <f>IF(A61="","",SUMIFS('13_Ausgangsrechnungen'!$R:$R,'13_Ausgangsrechnungen'!$C:$C,A61))</f>
        <v/>
      </c>
    </row>
    <row r="62">
      <c r="A62" s="30" t="inlineStr"/>
      <c r="B62" s="30" t="inlineStr"/>
      <c r="C62" s="30" t="inlineStr"/>
      <c r="D62" s="30" t="inlineStr"/>
      <c r="E62" s="30" t="inlineStr"/>
      <c r="F62" s="30" t="inlineStr"/>
      <c r="G62" s="38" t="inlineStr"/>
      <c r="H62" s="38" t="inlineStr"/>
      <c r="I62" s="38" t="inlineStr"/>
      <c r="J62" s="34" t="inlineStr"/>
      <c r="K62" s="34" t="inlineStr"/>
      <c r="L62" s="34" t="inlineStr"/>
      <c r="M62" s="34" t="inlineStr"/>
      <c r="N62" s="34" t="inlineStr"/>
      <c r="O62" s="34" t="inlineStr"/>
      <c r="P62" s="32" t="inlineStr"/>
      <c r="Q62" s="30" t="inlineStr"/>
      <c r="R62" s="30" t="inlineStr"/>
      <c r="S62" s="30" t="inlineStr"/>
      <c r="T62" s="30" t="inlineStr"/>
      <c r="U62" s="15">
        <f>IF(A62="","",SUMIFS('07_Nachtraege'!$E:$E,'07_Nachtraege'!$B:$B,A62,'07_Nachtraege'!$F:$F,"beauftragt"))</f>
        <v/>
      </c>
      <c r="V62" s="15">
        <f>IF(A62="","",J62+U62)</f>
        <v/>
      </c>
      <c r="W62" s="15">
        <f>IF(A62="","",SUMIFS('13_Ausgangsrechnungen'!$G:$G,'13_Ausgangsrechnungen'!$C:$C,A62))</f>
        <v/>
      </c>
      <c r="X62" s="15">
        <f>IF(A62="","",SUMIFS('11_Material'!$L:$L,'11_Material'!$C:$C,A62))</f>
        <v/>
      </c>
      <c r="Y62" s="15">
        <f>IF(A62="","",SUMIFS('14_Eingangsrechnungen'!$F:$F,'14_Eingangsrechnungen'!$C:$C,A62,'14_Eingangsrechnungen'!$E:$E,"Nachunternehmer"))</f>
        <v/>
      </c>
      <c r="Z62" s="15">
        <f>IF(A62="","",SUMIFS('10_Stunden'!$K:$K,'10_Stunden'!$C:$C,A62))</f>
        <v/>
      </c>
      <c r="AA62" s="15">
        <f>IF(A62="","",X62+Y62+Z62+SUMIFS('14_Eingangsrechnungen'!$F:$F,'14_Eingangsrechnungen'!$C:$C,A62,'14_Eingangsrechnungen'!$E:$E,"Gerät")+SUMIFS('14_Eingangsrechnungen'!$F:$F,'14_Eingangsrechnungen'!$C:$C,A62,'14_Eingangsrechnungen'!$E:$E,"Dienstleistung"))</f>
        <v/>
      </c>
      <c r="AB62" s="15">
        <f>IF(A62="","",W62-AA62)</f>
        <v/>
      </c>
      <c r="AC62" s="19">
        <f>IF(OR(A62="",W62=0),"",AB62/W62)</f>
        <v/>
      </c>
      <c r="AD62" s="19">
        <f>IF(OR(A62="",V62=0),"",W62/V62)</f>
        <v/>
      </c>
      <c r="AE62" s="15">
        <f>IF(A62="","",MAX(0,V62-W62))</f>
        <v/>
      </c>
      <c r="AF62" s="15">
        <f>IF(A62="","",SUMIFS('13_Ausgangsrechnungen'!$R:$R,'13_Ausgangsrechnungen'!$C:$C,A62))</f>
        <v/>
      </c>
    </row>
    <row r="63">
      <c r="A63" s="30" t="inlineStr"/>
      <c r="B63" s="30" t="inlineStr"/>
      <c r="C63" s="30" t="inlineStr"/>
      <c r="D63" s="30" t="inlineStr"/>
      <c r="E63" s="30" t="inlineStr"/>
      <c r="F63" s="30" t="inlineStr"/>
      <c r="G63" s="38" t="inlineStr"/>
      <c r="H63" s="38" t="inlineStr"/>
      <c r="I63" s="38" t="inlineStr"/>
      <c r="J63" s="34" t="inlineStr"/>
      <c r="K63" s="34" t="inlineStr"/>
      <c r="L63" s="34" t="inlineStr"/>
      <c r="M63" s="34" t="inlineStr"/>
      <c r="N63" s="34" t="inlineStr"/>
      <c r="O63" s="34" t="inlineStr"/>
      <c r="P63" s="32" t="inlineStr"/>
      <c r="Q63" s="30" t="inlineStr"/>
      <c r="R63" s="30" t="inlineStr"/>
      <c r="S63" s="30" t="inlineStr"/>
      <c r="T63" s="30" t="inlineStr"/>
      <c r="U63" s="15">
        <f>IF(A63="","",SUMIFS('07_Nachtraege'!$E:$E,'07_Nachtraege'!$B:$B,A63,'07_Nachtraege'!$F:$F,"beauftragt"))</f>
        <v/>
      </c>
      <c r="V63" s="15">
        <f>IF(A63="","",J63+U63)</f>
        <v/>
      </c>
      <c r="W63" s="15">
        <f>IF(A63="","",SUMIFS('13_Ausgangsrechnungen'!$G:$G,'13_Ausgangsrechnungen'!$C:$C,A63))</f>
        <v/>
      </c>
      <c r="X63" s="15">
        <f>IF(A63="","",SUMIFS('11_Material'!$L:$L,'11_Material'!$C:$C,A63))</f>
        <v/>
      </c>
      <c r="Y63" s="15">
        <f>IF(A63="","",SUMIFS('14_Eingangsrechnungen'!$F:$F,'14_Eingangsrechnungen'!$C:$C,A63,'14_Eingangsrechnungen'!$E:$E,"Nachunternehmer"))</f>
        <v/>
      </c>
      <c r="Z63" s="15">
        <f>IF(A63="","",SUMIFS('10_Stunden'!$K:$K,'10_Stunden'!$C:$C,A63))</f>
        <v/>
      </c>
      <c r="AA63" s="15">
        <f>IF(A63="","",X63+Y63+Z63+SUMIFS('14_Eingangsrechnungen'!$F:$F,'14_Eingangsrechnungen'!$C:$C,A63,'14_Eingangsrechnungen'!$E:$E,"Gerät")+SUMIFS('14_Eingangsrechnungen'!$F:$F,'14_Eingangsrechnungen'!$C:$C,A63,'14_Eingangsrechnungen'!$E:$E,"Dienstleistung"))</f>
        <v/>
      </c>
      <c r="AB63" s="15">
        <f>IF(A63="","",W63-AA63)</f>
        <v/>
      </c>
      <c r="AC63" s="19">
        <f>IF(OR(A63="",W63=0),"",AB63/W63)</f>
        <v/>
      </c>
      <c r="AD63" s="19">
        <f>IF(OR(A63="",V63=0),"",W63/V63)</f>
        <v/>
      </c>
      <c r="AE63" s="15">
        <f>IF(A63="","",MAX(0,V63-W63))</f>
        <v/>
      </c>
      <c r="AF63" s="15">
        <f>IF(A63="","",SUMIFS('13_Ausgangsrechnungen'!$R:$R,'13_Ausgangsrechnungen'!$C:$C,A63))</f>
        <v/>
      </c>
    </row>
    <row r="64">
      <c r="A64" s="30" t="inlineStr"/>
      <c r="B64" s="30" t="inlineStr"/>
      <c r="C64" s="30" t="inlineStr"/>
      <c r="D64" s="30" t="inlineStr"/>
      <c r="E64" s="30" t="inlineStr"/>
      <c r="F64" s="30" t="inlineStr"/>
      <c r="G64" s="38" t="inlineStr"/>
      <c r="H64" s="38" t="inlineStr"/>
      <c r="I64" s="38" t="inlineStr"/>
      <c r="J64" s="34" t="inlineStr"/>
      <c r="K64" s="34" t="inlineStr"/>
      <c r="L64" s="34" t="inlineStr"/>
      <c r="M64" s="34" t="inlineStr"/>
      <c r="N64" s="34" t="inlineStr"/>
      <c r="O64" s="34" t="inlineStr"/>
      <c r="P64" s="32" t="inlineStr"/>
      <c r="Q64" s="30" t="inlineStr"/>
      <c r="R64" s="30" t="inlineStr"/>
      <c r="S64" s="30" t="inlineStr"/>
      <c r="T64" s="30" t="inlineStr"/>
      <c r="U64" s="15">
        <f>IF(A64="","",SUMIFS('07_Nachtraege'!$E:$E,'07_Nachtraege'!$B:$B,A64,'07_Nachtraege'!$F:$F,"beauftragt"))</f>
        <v/>
      </c>
      <c r="V64" s="15">
        <f>IF(A64="","",J64+U64)</f>
        <v/>
      </c>
      <c r="W64" s="15">
        <f>IF(A64="","",SUMIFS('13_Ausgangsrechnungen'!$G:$G,'13_Ausgangsrechnungen'!$C:$C,A64))</f>
        <v/>
      </c>
      <c r="X64" s="15">
        <f>IF(A64="","",SUMIFS('11_Material'!$L:$L,'11_Material'!$C:$C,A64))</f>
        <v/>
      </c>
      <c r="Y64" s="15">
        <f>IF(A64="","",SUMIFS('14_Eingangsrechnungen'!$F:$F,'14_Eingangsrechnungen'!$C:$C,A64,'14_Eingangsrechnungen'!$E:$E,"Nachunternehmer"))</f>
        <v/>
      </c>
      <c r="Z64" s="15">
        <f>IF(A64="","",SUMIFS('10_Stunden'!$K:$K,'10_Stunden'!$C:$C,A64))</f>
        <v/>
      </c>
      <c r="AA64" s="15">
        <f>IF(A64="","",X64+Y64+Z64+SUMIFS('14_Eingangsrechnungen'!$F:$F,'14_Eingangsrechnungen'!$C:$C,A64,'14_Eingangsrechnungen'!$E:$E,"Gerät")+SUMIFS('14_Eingangsrechnungen'!$F:$F,'14_Eingangsrechnungen'!$C:$C,A64,'14_Eingangsrechnungen'!$E:$E,"Dienstleistung"))</f>
        <v/>
      </c>
      <c r="AB64" s="15">
        <f>IF(A64="","",W64-AA64)</f>
        <v/>
      </c>
      <c r="AC64" s="19">
        <f>IF(OR(A64="",W64=0),"",AB64/W64)</f>
        <v/>
      </c>
      <c r="AD64" s="19">
        <f>IF(OR(A64="",V64=0),"",W64/V64)</f>
        <v/>
      </c>
      <c r="AE64" s="15">
        <f>IF(A64="","",MAX(0,V64-W64))</f>
        <v/>
      </c>
      <c r="AF64" s="15">
        <f>IF(A64="","",SUMIFS('13_Ausgangsrechnungen'!$R:$R,'13_Ausgangsrechnungen'!$C:$C,A64))</f>
        <v/>
      </c>
    </row>
    <row r="65">
      <c r="A65" s="30" t="inlineStr"/>
      <c r="B65" s="30" t="inlineStr"/>
      <c r="C65" s="30" t="inlineStr"/>
      <c r="D65" s="30" t="inlineStr"/>
      <c r="E65" s="30" t="inlineStr"/>
      <c r="F65" s="30" t="inlineStr"/>
      <c r="G65" s="38" t="inlineStr"/>
      <c r="H65" s="38" t="inlineStr"/>
      <c r="I65" s="38" t="inlineStr"/>
      <c r="J65" s="34" t="inlineStr"/>
      <c r="K65" s="34" t="inlineStr"/>
      <c r="L65" s="34" t="inlineStr"/>
      <c r="M65" s="34" t="inlineStr"/>
      <c r="N65" s="34" t="inlineStr"/>
      <c r="O65" s="34" t="inlineStr"/>
      <c r="P65" s="32" t="inlineStr"/>
      <c r="Q65" s="30" t="inlineStr"/>
      <c r="R65" s="30" t="inlineStr"/>
      <c r="S65" s="30" t="inlineStr"/>
      <c r="T65" s="30" t="inlineStr"/>
      <c r="U65" s="15">
        <f>IF(A65="","",SUMIFS('07_Nachtraege'!$E:$E,'07_Nachtraege'!$B:$B,A65,'07_Nachtraege'!$F:$F,"beauftragt"))</f>
        <v/>
      </c>
      <c r="V65" s="15">
        <f>IF(A65="","",J65+U65)</f>
        <v/>
      </c>
      <c r="W65" s="15">
        <f>IF(A65="","",SUMIFS('13_Ausgangsrechnungen'!$G:$G,'13_Ausgangsrechnungen'!$C:$C,A65))</f>
        <v/>
      </c>
      <c r="X65" s="15">
        <f>IF(A65="","",SUMIFS('11_Material'!$L:$L,'11_Material'!$C:$C,A65))</f>
        <v/>
      </c>
      <c r="Y65" s="15">
        <f>IF(A65="","",SUMIFS('14_Eingangsrechnungen'!$F:$F,'14_Eingangsrechnungen'!$C:$C,A65,'14_Eingangsrechnungen'!$E:$E,"Nachunternehmer"))</f>
        <v/>
      </c>
      <c r="Z65" s="15">
        <f>IF(A65="","",SUMIFS('10_Stunden'!$K:$K,'10_Stunden'!$C:$C,A65))</f>
        <v/>
      </c>
      <c r="AA65" s="15">
        <f>IF(A65="","",X65+Y65+Z65+SUMIFS('14_Eingangsrechnungen'!$F:$F,'14_Eingangsrechnungen'!$C:$C,A65,'14_Eingangsrechnungen'!$E:$E,"Gerät")+SUMIFS('14_Eingangsrechnungen'!$F:$F,'14_Eingangsrechnungen'!$C:$C,A65,'14_Eingangsrechnungen'!$E:$E,"Dienstleistung"))</f>
        <v/>
      </c>
      <c r="AB65" s="15">
        <f>IF(A65="","",W65-AA65)</f>
        <v/>
      </c>
      <c r="AC65" s="19">
        <f>IF(OR(A65="",W65=0),"",AB65/W65)</f>
        <v/>
      </c>
      <c r="AD65" s="19">
        <f>IF(OR(A65="",V65=0),"",W65/V65)</f>
        <v/>
      </c>
      <c r="AE65" s="15">
        <f>IF(A65="","",MAX(0,V65-W65))</f>
        <v/>
      </c>
      <c r="AF65" s="15">
        <f>IF(A65="","",SUMIFS('13_Ausgangsrechnungen'!$R:$R,'13_Ausgangsrechnungen'!$C:$C,A65))</f>
        <v/>
      </c>
    </row>
    <row r="66">
      <c r="A66" s="30" t="inlineStr"/>
      <c r="B66" s="30" t="inlineStr"/>
      <c r="C66" s="30" t="inlineStr"/>
      <c r="D66" s="30" t="inlineStr"/>
      <c r="E66" s="30" t="inlineStr"/>
      <c r="F66" s="30" t="inlineStr"/>
      <c r="G66" s="38" t="inlineStr"/>
      <c r="H66" s="38" t="inlineStr"/>
      <c r="I66" s="38" t="inlineStr"/>
      <c r="J66" s="34" t="inlineStr"/>
      <c r="K66" s="34" t="inlineStr"/>
      <c r="L66" s="34" t="inlineStr"/>
      <c r="M66" s="34" t="inlineStr"/>
      <c r="N66" s="34" t="inlineStr"/>
      <c r="O66" s="34" t="inlineStr"/>
      <c r="P66" s="32" t="inlineStr"/>
      <c r="Q66" s="30" t="inlineStr"/>
      <c r="R66" s="30" t="inlineStr"/>
      <c r="S66" s="30" t="inlineStr"/>
      <c r="T66" s="30" t="inlineStr"/>
      <c r="U66" s="15">
        <f>IF(A66="","",SUMIFS('07_Nachtraege'!$E:$E,'07_Nachtraege'!$B:$B,A66,'07_Nachtraege'!$F:$F,"beauftragt"))</f>
        <v/>
      </c>
      <c r="V66" s="15">
        <f>IF(A66="","",J66+U66)</f>
        <v/>
      </c>
      <c r="W66" s="15">
        <f>IF(A66="","",SUMIFS('13_Ausgangsrechnungen'!$G:$G,'13_Ausgangsrechnungen'!$C:$C,A66))</f>
        <v/>
      </c>
      <c r="X66" s="15">
        <f>IF(A66="","",SUMIFS('11_Material'!$L:$L,'11_Material'!$C:$C,A66))</f>
        <v/>
      </c>
      <c r="Y66" s="15">
        <f>IF(A66="","",SUMIFS('14_Eingangsrechnungen'!$F:$F,'14_Eingangsrechnungen'!$C:$C,A66,'14_Eingangsrechnungen'!$E:$E,"Nachunternehmer"))</f>
        <v/>
      </c>
      <c r="Z66" s="15">
        <f>IF(A66="","",SUMIFS('10_Stunden'!$K:$K,'10_Stunden'!$C:$C,A66))</f>
        <v/>
      </c>
      <c r="AA66" s="15">
        <f>IF(A66="","",X66+Y66+Z66+SUMIFS('14_Eingangsrechnungen'!$F:$F,'14_Eingangsrechnungen'!$C:$C,A66,'14_Eingangsrechnungen'!$E:$E,"Gerät")+SUMIFS('14_Eingangsrechnungen'!$F:$F,'14_Eingangsrechnungen'!$C:$C,A66,'14_Eingangsrechnungen'!$E:$E,"Dienstleistung"))</f>
        <v/>
      </c>
      <c r="AB66" s="15">
        <f>IF(A66="","",W66-AA66)</f>
        <v/>
      </c>
      <c r="AC66" s="19">
        <f>IF(OR(A66="",W66=0),"",AB66/W66)</f>
        <v/>
      </c>
      <c r="AD66" s="19">
        <f>IF(OR(A66="",V66=0),"",W66/V66)</f>
        <v/>
      </c>
      <c r="AE66" s="15">
        <f>IF(A66="","",MAX(0,V66-W66))</f>
        <v/>
      </c>
      <c r="AF66" s="15">
        <f>IF(A66="","",SUMIFS('13_Ausgangsrechnungen'!$R:$R,'13_Ausgangsrechnungen'!$C:$C,A66))</f>
        <v/>
      </c>
    </row>
    <row r="67">
      <c r="A67" s="30" t="inlineStr"/>
      <c r="B67" s="30" t="inlineStr"/>
      <c r="C67" s="30" t="inlineStr"/>
      <c r="D67" s="30" t="inlineStr"/>
      <c r="E67" s="30" t="inlineStr"/>
      <c r="F67" s="30" t="inlineStr"/>
      <c r="G67" s="38" t="inlineStr"/>
      <c r="H67" s="38" t="inlineStr"/>
      <c r="I67" s="38" t="inlineStr"/>
      <c r="J67" s="34" t="inlineStr"/>
      <c r="K67" s="34" t="inlineStr"/>
      <c r="L67" s="34" t="inlineStr"/>
      <c r="M67" s="34" t="inlineStr"/>
      <c r="N67" s="34" t="inlineStr"/>
      <c r="O67" s="34" t="inlineStr"/>
      <c r="P67" s="32" t="inlineStr"/>
      <c r="Q67" s="30" t="inlineStr"/>
      <c r="R67" s="30" t="inlineStr"/>
      <c r="S67" s="30" t="inlineStr"/>
      <c r="T67" s="30" t="inlineStr"/>
      <c r="U67" s="15">
        <f>IF(A67="","",SUMIFS('07_Nachtraege'!$E:$E,'07_Nachtraege'!$B:$B,A67,'07_Nachtraege'!$F:$F,"beauftragt"))</f>
        <v/>
      </c>
      <c r="V67" s="15">
        <f>IF(A67="","",J67+U67)</f>
        <v/>
      </c>
      <c r="W67" s="15">
        <f>IF(A67="","",SUMIFS('13_Ausgangsrechnungen'!$G:$G,'13_Ausgangsrechnungen'!$C:$C,A67))</f>
        <v/>
      </c>
      <c r="X67" s="15">
        <f>IF(A67="","",SUMIFS('11_Material'!$L:$L,'11_Material'!$C:$C,A67))</f>
        <v/>
      </c>
      <c r="Y67" s="15">
        <f>IF(A67="","",SUMIFS('14_Eingangsrechnungen'!$F:$F,'14_Eingangsrechnungen'!$C:$C,A67,'14_Eingangsrechnungen'!$E:$E,"Nachunternehmer"))</f>
        <v/>
      </c>
      <c r="Z67" s="15">
        <f>IF(A67="","",SUMIFS('10_Stunden'!$K:$K,'10_Stunden'!$C:$C,A67))</f>
        <v/>
      </c>
      <c r="AA67" s="15">
        <f>IF(A67="","",X67+Y67+Z67+SUMIFS('14_Eingangsrechnungen'!$F:$F,'14_Eingangsrechnungen'!$C:$C,A67,'14_Eingangsrechnungen'!$E:$E,"Gerät")+SUMIFS('14_Eingangsrechnungen'!$F:$F,'14_Eingangsrechnungen'!$C:$C,A67,'14_Eingangsrechnungen'!$E:$E,"Dienstleistung"))</f>
        <v/>
      </c>
      <c r="AB67" s="15">
        <f>IF(A67="","",W67-AA67)</f>
        <v/>
      </c>
      <c r="AC67" s="19">
        <f>IF(OR(A67="",W67=0),"",AB67/W67)</f>
        <v/>
      </c>
      <c r="AD67" s="19">
        <f>IF(OR(A67="",V67=0),"",W67/V67)</f>
        <v/>
      </c>
      <c r="AE67" s="15">
        <f>IF(A67="","",MAX(0,V67-W67))</f>
        <v/>
      </c>
      <c r="AF67" s="15">
        <f>IF(A67="","",SUMIFS('13_Ausgangsrechnungen'!$R:$R,'13_Ausgangsrechnungen'!$C:$C,A67))</f>
        <v/>
      </c>
    </row>
    <row r="68">
      <c r="A68" s="30" t="inlineStr"/>
      <c r="B68" s="30" t="inlineStr"/>
      <c r="C68" s="30" t="inlineStr"/>
      <c r="D68" s="30" t="inlineStr"/>
      <c r="E68" s="30" t="inlineStr"/>
      <c r="F68" s="30" t="inlineStr"/>
      <c r="G68" s="38" t="inlineStr"/>
      <c r="H68" s="38" t="inlineStr"/>
      <c r="I68" s="38" t="inlineStr"/>
      <c r="J68" s="34" t="inlineStr"/>
      <c r="K68" s="34" t="inlineStr"/>
      <c r="L68" s="34" t="inlineStr"/>
      <c r="M68" s="34" t="inlineStr"/>
      <c r="N68" s="34" t="inlineStr"/>
      <c r="O68" s="34" t="inlineStr"/>
      <c r="P68" s="32" t="inlineStr"/>
      <c r="Q68" s="30" t="inlineStr"/>
      <c r="R68" s="30" t="inlineStr"/>
      <c r="S68" s="30" t="inlineStr"/>
      <c r="T68" s="30" t="inlineStr"/>
      <c r="U68" s="15">
        <f>IF(A68="","",SUMIFS('07_Nachtraege'!$E:$E,'07_Nachtraege'!$B:$B,A68,'07_Nachtraege'!$F:$F,"beauftragt"))</f>
        <v/>
      </c>
      <c r="V68" s="15">
        <f>IF(A68="","",J68+U68)</f>
        <v/>
      </c>
      <c r="W68" s="15">
        <f>IF(A68="","",SUMIFS('13_Ausgangsrechnungen'!$G:$G,'13_Ausgangsrechnungen'!$C:$C,A68))</f>
        <v/>
      </c>
      <c r="X68" s="15">
        <f>IF(A68="","",SUMIFS('11_Material'!$L:$L,'11_Material'!$C:$C,A68))</f>
        <v/>
      </c>
      <c r="Y68" s="15">
        <f>IF(A68="","",SUMIFS('14_Eingangsrechnungen'!$F:$F,'14_Eingangsrechnungen'!$C:$C,A68,'14_Eingangsrechnungen'!$E:$E,"Nachunternehmer"))</f>
        <v/>
      </c>
      <c r="Z68" s="15">
        <f>IF(A68="","",SUMIFS('10_Stunden'!$K:$K,'10_Stunden'!$C:$C,A68))</f>
        <v/>
      </c>
      <c r="AA68" s="15">
        <f>IF(A68="","",X68+Y68+Z68+SUMIFS('14_Eingangsrechnungen'!$F:$F,'14_Eingangsrechnungen'!$C:$C,A68,'14_Eingangsrechnungen'!$E:$E,"Gerät")+SUMIFS('14_Eingangsrechnungen'!$F:$F,'14_Eingangsrechnungen'!$C:$C,A68,'14_Eingangsrechnungen'!$E:$E,"Dienstleistung"))</f>
        <v/>
      </c>
      <c r="AB68" s="15">
        <f>IF(A68="","",W68-AA68)</f>
        <v/>
      </c>
      <c r="AC68" s="19">
        <f>IF(OR(A68="",W68=0),"",AB68/W68)</f>
        <v/>
      </c>
      <c r="AD68" s="19">
        <f>IF(OR(A68="",V68=0),"",W68/V68)</f>
        <v/>
      </c>
      <c r="AE68" s="15">
        <f>IF(A68="","",MAX(0,V68-W68))</f>
        <v/>
      </c>
      <c r="AF68" s="15">
        <f>IF(A68="","",SUMIFS('13_Ausgangsrechnungen'!$R:$R,'13_Ausgangsrechnungen'!$C:$C,A68))</f>
        <v/>
      </c>
    </row>
    <row r="69">
      <c r="A69" s="30" t="inlineStr"/>
      <c r="B69" s="30" t="inlineStr"/>
      <c r="C69" s="30" t="inlineStr"/>
      <c r="D69" s="30" t="inlineStr"/>
      <c r="E69" s="30" t="inlineStr"/>
      <c r="F69" s="30" t="inlineStr"/>
      <c r="G69" s="38" t="inlineStr"/>
      <c r="H69" s="38" t="inlineStr"/>
      <c r="I69" s="38" t="inlineStr"/>
      <c r="J69" s="34" t="inlineStr"/>
      <c r="K69" s="34" t="inlineStr"/>
      <c r="L69" s="34" t="inlineStr"/>
      <c r="M69" s="34" t="inlineStr"/>
      <c r="N69" s="34" t="inlineStr"/>
      <c r="O69" s="34" t="inlineStr"/>
      <c r="P69" s="32" t="inlineStr"/>
      <c r="Q69" s="30" t="inlineStr"/>
      <c r="R69" s="30" t="inlineStr"/>
      <c r="S69" s="30" t="inlineStr"/>
      <c r="T69" s="30" t="inlineStr"/>
      <c r="U69" s="15">
        <f>IF(A69="","",SUMIFS('07_Nachtraege'!$E:$E,'07_Nachtraege'!$B:$B,A69,'07_Nachtraege'!$F:$F,"beauftragt"))</f>
        <v/>
      </c>
      <c r="V69" s="15">
        <f>IF(A69="","",J69+U69)</f>
        <v/>
      </c>
      <c r="W69" s="15">
        <f>IF(A69="","",SUMIFS('13_Ausgangsrechnungen'!$G:$G,'13_Ausgangsrechnungen'!$C:$C,A69))</f>
        <v/>
      </c>
      <c r="X69" s="15">
        <f>IF(A69="","",SUMIFS('11_Material'!$L:$L,'11_Material'!$C:$C,A69))</f>
        <v/>
      </c>
      <c r="Y69" s="15">
        <f>IF(A69="","",SUMIFS('14_Eingangsrechnungen'!$F:$F,'14_Eingangsrechnungen'!$C:$C,A69,'14_Eingangsrechnungen'!$E:$E,"Nachunternehmer"))</f>
        <v/>
      </c>
      <c r="Z69" s="15">
        <f>IF(A69="","",SUMIFS('10_Stunden'!$K:$K,'10_Stunden'!$C:$C,A69))</f>
        <v/>
      </c>
      <c r="AA69" s="15">
        <f>IF(A69="","",X69+Y69+Z69+SUMIFS('14_Eingangsrechnungen'!$F:$F,'14_Eingangsrechnungen'!$C:$C,A69,'14_Eingangsrechnungen'!$E:$E,"Gerät")+SUMIFS('14_Eingangsrechnungen'!$F:$F,'14_Eingangsrechnungen'!$C:$C,A69,'14_Eingangsrechnungen'!$E:$E,"Dienstleistung"))</f>
        <v/>
      </c>
      <c r="AB69" s="15">
        <f>IF(A69="","",W69-AA69)</f>
        <v/>
      </c>
      <c r="AC69" s="19">
        <f>IF(OR(A69="",W69=0),"",AB69/W69)</f>
        <v/>
      </c>
      <c r="AD69" s="19">
        <f>IF(OR(A69="",V69=0),"",W69/V69)</f>
        <v/>
      </c>
      <c r="AE69" s="15">
        <f>IF(A69="","",MAX(0,V69-W69))</f>
        <v/>
      </c>
      <c r="AF69" s="15">
        <f>IF(A69="","",SUMIFS('13_Ausgangsrechnungen'!$R:$R,'13_Ausgangsrechnungen'!$C:$C,A69))</f>
        <v/>
      </c>
    </row>
    <row r="70">
      <c r="A70" s="30" t="inlineStr"/>
      <c r="B70" s="30" t="inlineStr"/>
      <c r="C70" s="30" t="inlineStr"/>
      <c r="D70" s="30" t="inlineStr"/>
      <c r="E70" s="30" t="inlineStr"/>
      <c r="F70" s="30" t="inlineStr"/>
      <c r="G70" s="38" t="inlineStr"/>
      <c r="H70" s="38" t="inlineStr"/>
      <c r="I70" s="38" t="inlineStr"/>
      <c r="J70" s="34" t="inlineStr"/>
      <c r="K70" s="34" t="inlineStr"/>
      <c r="L70" s="34" t="inlineStr"/>
      <c r="M70" s="34" t="inlineStr"/>
      <c r="N70" s="34" t="inlineStr"/>
      <c r="O70" s="34" t="inlineStr"/>
      <c r="P70" s="32" t="inlineStr"/>
      <c r="Q70" s="30" t="inlineStr"/>
      <c r="R70" s="30" t="inlineStr"/>
      <c r="S70" s="30" t="inlineStr"/>
      <c r="T70" s="30" t="inlineStr"/>
      <c r="U70" s="15">
        <f>IF(A70="","",SUMIFS('07_Nachtraege'!$E:$E,'07_Nachtraege'!$B:$B,A70,'07_Nachtraege'!$F:$F,"beauftragt"))</f>
        <v/>
      </c>
      <c r="V70" s="15">
        <f>IF(A70="","",J70+U70)</f>
        <v/>
      </c>
      <c r="W70" s="15">
        <f>IF(A70="","",SUMIFS('13_Ausgangsrechnungen'!$G:$G,'13_Ausgangsrechnungen'!$C:$C,A70))</f>
        <v/>
      </c>
      <c r="X70" s="15">
        <f>IF(A70="","",SUMIFS('11_Material'!$L:$L,'11_Material'!$C:$C,A70))</f>
        <v/>
      </c>
      <c r="Y70" s="15">
        <f>IF(A70="","",SUMIFS('14_Eingangsrechnungen'!$F:$F,'14_Eingangsrechnungen'!$C:$C,A70,'14_Eingangsrechnungen'!$E:$E,"Nachunternehmer"))</f>
        <v/>
      </c>
      <c r="Z70" s="15">
        <f>IF(A70="","",SUMIFS('10_Stunden'!$K:$K,'10_Stunden'!$C:$C,A70))</f>
        <v/>
      </c>
      <c r="AA70" s="15">
        <f>IF(A70="","",X70+Y70+Z70+SUMIFS('14_Eingangsrechnungen'!$F:$F,'14_Eingangsrechnungen'!$C:$C,A70,'14_Eingangsrechnungen'!$E:$E,"Gerät")+SUMIFS('14_Eingangsrechnungen'!$F:$F,'14_Eingangsrechnungen'!$C:$C,A70,'14_Eingangsrechnungen'!$E:$E,"Dienstleistung"))</f>
        <v/>
      </c>
      <c r="AB70" s="15">
        <f>IF(A70="","",W70-AA70)</f>
        <v/>
      </c>
      <c r="AC70" s="19">
        <f>IF(OR(A70="",W70=0),"",AB70/W70)</f>
        <v/>
      </c>
      <c r="AD70" s="19">
        <f>IF(OR(A70="",V70=0),"",W70/V70)</f>
        <v/>
      </c>
      <c r="AE70" s="15">
        <f>IF(A70="","",MAX(0,V70-W70))</f>
        <v/>
      </c>
      <c r="AF70" s="15">
        <f>IF(A70="","",SUMIFS('13_Ausgangsrechnungen'!$R:$R,'13_Ausgangsrechnungen'!$C:$C,A70))</f>
        <v/>
      </c>
    </row>
    <row r="71">
      <c r="A71" s="30" t="inlineStr"/>
      <c r="B71" s="30" t="inlineStr"/>
      <c r="C71" s="30" t="inlineStr"/>
      <c r="D71" s="30" t="inlineStr"/>
      <c r="E71" s="30" t="inlineStr"/>
      <c r="F71" s="30" t="inlineStr"/>
      <c r="G71" s="38" t="inlineStr"/>
      <c r="H71" s="38" t="inlineStr"/>
      <c r="I71" s="38" t="inlineStr"/>
      <c r="J71" s="34" t="inlineStr"/>
      <c r="K71" s="34" t="inlineStr"/>
      <c r="L71" s="34" t="inlineStr"/>
      <c r="M71" s="34" t="inlineStr"/>
      <c r="N71" s="34" t="inlineStr"/>
      <c r="O71" s="34" t="inlineStr"/>
      <c r="P71" s="32" t="inlineStr"/>
      <c r="Q71" s="30" t="inlineStr"/>
      <c r="R71" s="30" t="inlineStr"/>
      <c r="S71" s="30" t="inlineStr"/>
      <c r="T71" s="30" t="inlineStr"/>
      <c r="U71" s="15">
        <f>IF(A71="","",SUMIFS('07_Nachtraege'!$E:$E,'07_Nachtraege'!$B:$B,A71,'07_Nachtraege'!$F:$F,"beauftragt"))</f>
        <v/>
      </c>
      <c r="V71" s="15">
        <f>IF(A71="","",J71+U71)</f>
        <v/>
      </c>
      <c r="W71" s="15">
        <f>IF(A71="","",SUMIFS('13_Ausgangsrechnungen'!$G:$G,'13_Ausgangsrechnungen'!$C:$C,A71))</f>
        <v/>
      </c>
      <c r="X71" s="15">
        <f>IF(A71="","",SUMIFS('11_Material'!$L:$L,'11_Material'!$C:$C,A71))</f>
        <v/>
      </c>
      <c r="Y71" s="15">
        <f>IF(A71="","",SUMIFS('14_Eingangsrechnungen'!$F:$F,'14_Eingangsrechnungen'!$C:$C,A71,'14_Eingangsrechnungen'!$E:$E,"Nachunternehmer"))</f>
        <v/>
      </c>
      <c r="Z71" s="15">
        <f>IF(A71="","",SUMIFS('10_Stunden'!$K:$K,'10_Stunden'!$C:$C,A71))</f>
        <v/>
      </c>
      <c r="AA71" s="15">
        <f>IF(A71="","",X71+Y71+Z71+SUMIFS('14_Eingangsrechnungen'!$F:$F,'14_Eingangsrechnungen'!$C:$C,A71,'14_Eingangsrechnungen'!$E:$E,"Gerät")+SUMIFS('14_Eingangsrechnungen'!$F:$F,'14_Eingangsrechnungen'!$C:$C,A71,'14_Eingangsrechnungen'!$E:$E,"Dienstleistung"))</f>
        <v/>
      </c>
      <c r="AB71" s="15">
        <f>IF(A71="","",W71-AA71)</f>
        <v/>
      </c>
      <c r="AC71" s="19">
        <f>IF(OR(A71="",W71=0),"",AB71/W71)</f>
        <v/>
      </c>
      <c r="AD71" s="19">
        <f>IF(OR(A71="",V71=0),"",W71/V71)</f>
        <v/>
      </c>
      <c r="AE71" s="15">
        <f>IF(A71="","",MAX(0,V71-W71))</f>
        <v/>
      </c>
      <c r="AF71" s="15">
        <f>IF(A71="","",SUMIFS('13_Ausgangsrechnungen'!$R:$R,'13_Ausgangsrechnungen'!$C:$C,A71))</f>
        <v/>
      </c>
    </row>
    <row r="72">
      <c r="A72" s="30" t="inlineStr"/>
      <c r="B72" s="30" t="inlineStr"/>
      <c r="C72" s="30" t="inlineStr"/>
      <c r="D72" s="30" t="inlineStr"/>
      <c r="E72" s="30" t="inlineStr"/>
      <c r="F72" s="30" t="inlineStr"/>
      <c r="G72" s="38" t="inlineStr"/>
      <c r="H72" s="38" t="inlineStr"/>
      <c r="I72" s="38" t="inlineStr"/>
      <c r="J72" s="34" t="inlineStr"/>
      <c r="K72" s="34" t="inlineStr"/>
      <c r="L72" s="34" t="inlineStr"/>
      <c r="M72" s="34" t="inlineStr"/>
      <c r="N72" s="34" t="inlineStr"/>
      <c r="O72" s="34" t="inlineStr"/>
      <c r="P72" s="32" t="inlineStr"/>
      <c r="Q72" s="30" t="inlineStr"/>
      <c r="R72" s="30" t="inlineStr"/>
      <c r="S72" s="30" t="inlineStr"/>
      <c r="T72" s="30" t="inlineStr"/>
      <c r="U72" s="15">
        <f>IF(A72="","",SUMIFS('07_Nachtraege'!$E:$E,'07_Nachtraege'!$B:$B,A72,'07_Nachtraege'!$F:$F,"beauftragt"))</f>
        <v/>
      </c>
      <c r="V72" s="15">
        <f>IF(A72="","",J72+U72)</f>
        <v/>
      </c>
      <c r="W72" s="15">
        <f>IF(A72="","",SUMIFS('13_Ausgangsrechnungen'!$G:$G,'13_Ausgangsrechnungen'!$C:$C,A72))</f>
        <v/>
      </c>
      <c r="X72" s="15">
        <f>IF(A72="","",SUMIFS('11_Material'!$L:$L,'11_Material'!$C:$C,A72))</f>
        <v/>
      </c>
      <c r="Y72" s="15">
        <f>IF(A72="","",SUMIFS('14_Eingangsrechnungen'!$F:$F,'14_Eingangsrechnungen'!$C:$C,A72,'14_Eingangsrechnungen'!$E:$E,"Nachunternehmer"))</f>
        <v/>
      </c>
      <c r="Z72" s="15">
        <f>IF(A72="","",SUMIFS('10_Stunden'!$K:$K,'10_Stunden'!$C:$C,A72))</f>
        <v/>
      </c>
      <c r="AA72" s="15">
        <f>IF(A72="","",X72+Y72+Z72+SUMIFS('14_Eingangsrechnungen'!$F:$F,'14_Eingangsrechnungen'!$C:$C,A72,'14_Eingangsrechnungen'!$E:$E,"Gerät")+SUMIFS('14_Eingangsrechnungen'!$F:$F,'14_Eingangsrechnungen'!$C:$C,A72,'14_Eingangsrechnungen'!$E:$E,"Dienstleistung"))</f>
        <v/>
      </c>
      <c r="AB72" s="15">
        <f>IF(A72="","",W72-AA72)</f>
        <v/>
      </c>
      <c r="AC72" s="19">
        <f>IF(OR(A72="",W72=0),"",AB72/W72)</f>
        <v/>
      </c>
      <c r="AD72" s="19">
        <f>IF(OR(A72="",V72=0),"",W72/V72)</f>
        <v/>
      </c>
      <c r="AE72" s="15">
        <f>IF(A72="","",MAX(0,V72-W72))</f>
        <v/>
      </c>
      <c r="AF72" s="15">
        <f>IF(A72="","",SUMIFS('13_Ausgangsrechnungen'!$R:$R,'13_Ausgangsrechnungen'!$C:$C,A72))</f>
        <v/>
      </c>
    </row>
    <row r="73">
      <c r="A73" s="30" t="inlineStr"/>
      <c r="B73" s="30" t="inlineStr"/>
      <c r="C73" s="30" t="inlineStr"/>
      <c r="D73" s="30" t="inlineStr"/>
      <c r="E73" s="30" t="inlineStr"/>
      <c r="F73" s="30" t="inlineStr"/>
      <c r="G73" s="38" t="inlineStr"/>
      <c r="H73" s="38" t="inlineStr"/>
      <c r="I73" s="38" t="inlineStr"/>
      <c r="J73" s="34" t="inlineStr"/>
      <c r="K73" s="34" t="inlineStr"/>
      <c r="L73" s="34" t="inlineStr"/>
      <c r="M73" s="34" t="inlineStr"/>
      <c r="N73" s="34" t="inlineStr"/>
      <c r="O73" s="34" t="inlineStr"/>
      <c r="P73" s="32" t="inlineStr"/>
      <c r="Q73" s="30" t="inlineStr"/>
      <c r="R73" s="30" t="inlineStr"/>
      <c r="S73" s="30" t="inlineStr"/>
      <c r="T73" s="30" t="inlineStr"/>
      <c r="U73" s="15">
        <f>IF(A73="","",SUMIFS('07_Nachtraege'!$E:$E,'07_Nachtraege'!$B:$B,A73,'07_Nachtraege'!$F:$F,"beauftragt"))</f>
        <v/>
      </c>
      <c r="V73" s="15">
        <f>IF(A73="","",J73+U73)</f>
        <v/>
      </c>
      <c r="W73" s="15">
        <f>IF(A73="","",SUMIFS('13_Ausgangsrechnungen'!$G:$G,'13_Ausgangsrechnungen'!$C:$C,A73))</f>
        <v/>
      </c>
      <c r="X73" s="15">
        <f>IF(A73="","",SUMIFS('11_Material'!$L:$L,'11_Material'!$C:$C,A73))</f>
        <v/>
      </c>
      <c r="Y73" s="15">
        <f>IF(A73="","",SUMIFS('14_Eingangsrechnungen'!$F:$F,'14_Eingangsrechnungen'!$C:$C,A73,'14_Eingangsrechnungen'!$E:$E,"Nachunternehmer"))</f>
        <v/>
      </c>
      <c r="Z73" s="15">
        <f>IF(A73="","",SUMIFS('10_Stunden'!$K:$K,'10_Stunden'!$C:$C,A73))</f>
        <v/>
      </c>
      <c r="AA73" s="15">
        <f>IF(A73="","",X73+Y73+Z73+SUMIFS('14_Eingangsrechnungen'!$F:$F,'14_Eingangsrechnungen'!$C:$C,A73,'14_Eingangsrechnungen'!$E:$E,"Gerät")+SUMIFS('14_Eingangsrechnungen'!$F:$F,'14_Eingangsrechnungen'!$C:$C,A73,'14_Eingangsrechnungen'!$E:$E,"Dienstleistung"))</f>
        <v/>
      </c>
      <c r="AB73" s="15">
        <f>IF(A73="","",W73-AA73)</f>
        <v/>
      </c>
      <c r="AC73" s="19">
        <f>IF(OR(A73="",W73=0),"",AB73/W73)</f>
        <v/>
      </c>
      <c r="AD73" s="19">
        <f>IF(OR(A73="",V73=0),"",W73/V73)</f>
        <v/>
      </c>
      <c r="AE73" s="15">
        <f>IF(A73="","",MAX(0,V73-W73))</f>
        <v/>
      </c>
      <c r="AF73" s="15">
        <f>IF(A73="","",SUMIFS('13_Ausgangsrechnungen'!$R:$R,'13_Ausgangsrechnungen'!$C:$C,A73))</f>
        <v/>
      </c>
    </row>
    <row r="74">
      <c r="A74" s="30" t="inlineStr"/>
      <c r="B74" s="30" t="inlineStr"/>
      <c r="C74" s="30" t="inlineStr"/>
      <c r="D74" s="30" t="inlineStr"/>
      <c r="E74" s="30" t="inlineStr"/>
      <c r="F74" s="30" t="inlineStr"/>
      <c r="G74" s="38" t="inlineStr"/>
      <c r="H74" s="38" t="inlineStr"/>
      <c r="I74" s="38" t="inlineStr"/>
      <c r="J74" s="34" t="inlineStr"/>
      <c r="K74" s="34" t="inlineStr"/>
      <c r="L74" s="34" t="inlineStr"/>
      <c r="M74" s="34" t="inlineStr"/>
      <c r="N74" s="34" t="inlineStr"/>
      <c r="O74" s="34" t="inlineStr"/>
      <c r="P74" s="32" t="inlineStr"/>
      <c r="Q74" s="30" t="inlineStr"/>
      <c r="R74" s="30" t="inlineStr"/>
      <c r="S74" s="30" t="inlineStr"/>
      <c r="T74" s="30" t="inlineStr"/>
      <c r="U74" s="15">
        <f>IF(A74="","",SUMIFS('07_Nachtraege'!$E:$E,'07_Nachtraege'!$B:$B,A74,'07_Nachtraege'!$F:$F,"beauftragt"))</f>
        <v/>
      </c>
      <c r="V74" s="15">
        <f>IF(A74="","",J74+U74)</f>
        <v/>
      </c>
      <c r="W74" s="15">
        <f>IF(A74="","",SUMIFS('13_Ausgangsrechnungen'!$G:$G,'13_Ausgangsrechnungen'!$C:$C,A74))</f>
        <v/>
      </c>
      <c r="X74" s="15">
        <f>IF(A74="","",SUMIFS('11_Material'!$L:$L,'11_Material'!$C:$C,A74))</f>
        <v/>
      </c>
      <c r="Y74" s="15">
        <f>IF(A74="","",SUMIFS('14_Eingangsrechnungen'!$F:$F,'14_Eingangsrechnungen'!$C:$C,A74,'14_Eingangsrechnungen'!$E:$E,"Nachunternehmer"))</f>
        <v/>
      </c>
      <c r="Z74" s="15">
        <f>IF(A74="","",SUMIFS('10_Stunden'!$K:$K,'10_Stunden'!$C:$C,A74))</f>
        <v/>
      </c>
      <c r="AA74" s="15">
        <f>IF(A74="","",X74+Y74+Z74+SUMIFS('14_Eingangsrechnungen'!$F:$F,'14_Eingangsrechnungen'!$C:$C,A74,'14_Eingangsrechnungen'!$E:$E,"Gerät")+SUMIFS('14_Eingangsrechnungen'!$F:$F,'14_Eingangsrechnungen'!$C:$C,A74,'14_Eingangsrechnungen'!$E:$E,"Dienstleistung"))</f>
        <v/>
      </c>
      <c r="AB74" s="15">
        <f>IF(A74="","",W74-AA74)</f>
        <v/>
      </c>
      <c r="AC74" s="19">
        <f>IF(OR(A74="",W74=0),"",AB74/W74)</f>
        <v/>
      </c>
      <c r="AD74" s="19">
        <f>IF(OR(A74="",V74=0),"",W74/V74)</f>
        <v/>
      </c>
      <c r="AE74" s="15">
        <f>IF(A74="","",MAX(0,V74-W74))</f>
        <v/>
      </c>
      <c r="AF74" s="15">
        <f>IF(A74="","",SUMIFS('13_Ausgangsrechnungen'!$R:$R,'13_Ausgangsrechnungen'!$C:$C,A74))</f>
        <v/>
      </c>
    </row>
    <row r="75">
      <c r="A75" s="30" t="inlineStr"/>
      <c r="B75" s="30" t="inlineStr"/>
      <c r="C75" s="30" t="inlineStr"/>
      <c r="D75" s="30" t="inlineStr"/>
      <c r="E75" s="30" t="inlineStr"/>
      <c r="F75" s="30" t="inlineStr"/>
      <c r="G75" s="38" t="inlineStr"/>
      <c r="H75" s="38" t="inlineStr"/>
      <c r="I75" s="38" t="inlineStr"/>
      <c r="J75" s="34" t="inlineStr"/>
      <c r="K75" s="34" t="inlineStr"/>
      <c r="L75" s="34" t="inlineStr"/>
      <c r="M75" s="34" t="inlineStr"/>
      <c r="N75" s="34" t="inlineStr"/>
      <c r="O75" s="34" t="inlineStr"/>
      <c r="P75" s="32" t="inlineStr"/>
      <c r="Q75" s="30" t="inlineStr"/>
      <c r="R75" s="30" t="inlineStr"/>
      <c r="S75" s="30" t="inlineStr"/>
      <c r="T75" s="30" t="inlineStr"/>
      <c r="U75" s="15">
        <f>IF(A75="","",SUMIFS('07_Nachtraege'!$E:$E,'07_Nachtraege'!$B:$B,A75,'07_Nachtraege'!$F:$F,"beauftragt"))</f>
        <v/>
      </c>
      <c r="V75" s="15">
        <f>IF(A75="","",J75+U75)</f>
        <v/>
      </c>
      <c r="W75" s="15">
        <f>IF(A75="","",SUMIFS('13_Ausgangsrechnungen'!$G:$G,'13_Ausgangsrechnungen'!$C:$C,A75))</f>
        <v/>
      </c>
      <c r="X75" s="15">
        <f>IF(A75="","",SUMIFS('11_Material'!$L:$L,'11_Material'!$C:$C,A75))</f>
        <v/>
      </c>
      <c r="Y75" s="15">
        <f>IF(A75="","",SUMIFS('14_Eingangsrechnungen'!$F:$F,'14_Eingangsrechnungen'!$C:$C,A75,'14_Eingangsrechnungen'!$E:$E,"Nachunternehmer"))</f>
        <v/>
      </c>
      <c r="Z75" s="15">
        <f>IF(A75="","",SUMIFS('10_Stunden'!$K:$K,'10_Stunden'!$C:$C,A75))</f>
        <v/>
      </c>
      <c r="AA75" s="15">
        <f>IF(A75="","",X75+Y75+Z75+SUMIFS('14_Eingangsrechnungen'!$F:$F,'14_Eingangsrechnungen'!$C:$C,A75,'14_Eingangsrechnungen'!$E:$E,"Gerät")+SUMIFS('14_Eingangsrechnungen'!$F:$F,'14_Eingangsrechnungen'!$C:$C,A75,'14_Eingangsrechnungen'!$E:$E,"Dienstleistung"))</f>
        <v/>
      </c>
      <c r="AB75" s="15">
        <f>IF(A75="","",W75-AA75)</f>
        <v/>
      </c>
      <c r="AC75" s="19">
        <f>IF(OR(A75="",W75=0),"",AB75/W75)</f>
        <v/>
      </c>
      <c r="AD75" s="19">
        <f>IF(OR(A75="",V75=0),"",W75/V75)</f>
        <v/>
      </c>
      <c r="AE75" s="15">
        <f>IF(A75="","",MAX(0,V75-W75))</f>
        <v/>
      </c>
      <c r="AF75" s="15">
        <f>IF(A75="","",SUMIFS('13_Ausgangsrechnungen'!$R:$R,'13_Ausgangsrechnungen'!$C:$C,A75))</f>
        <v/>
      </c>
    </row>
    <row r="76">
      <c r="A76" s="30" t="inlineStr"/>
      <c r="B76" s="30" t="inlineStr"/>
      <c r="C76" s="30" t="inlineStr"/>
      <c r="D76" s="30" t="inlineStr"/>
      <c r="E76" s="30" t="inlineStr"/>
      <c r="F76" s="30" t="inlineStr"/>
      <c r="G76" s="38" t="inlineStr"/>
      <c r="H76" s="38" t="inlineStr"/>
      <c r="I76" s="38" t="inlineStr"/>
      <c r="J76" s="34" t="inlineStr"/>
      <c r="K76" s="34" t="inlineStr"/>
      <c r="L76" s="34" t="inlineStr"/>
      <c r="M76" s="34" t="inlineStr"/>
      <c r="N76" s="34" t="inlineStr"/>
      <c r="O76" s="34" t="inlineStr"/>
      <c r="P76" s="32" t="inlineStr"/>
      <c r="Q76" s="30" t="inlineStr"/>
      <c r="R76" s="30" t="inlineStr"/>
      <c r="S76" s="30" t="inlineStr"/>
      <c r="T76" s="30" t="inlineStr"/>
      <c r="U76" s="15">
        <f>IF(A76="","",SUMIFS('07_Nachtraege'!$E:$E,'07_Nachtraege'!$B:$B,A76,'07_Nachtraege'!$F:$F,"beauftragt"))</f>
        <v/>
      </c>
      <c r="V76" s="15">
        <f>IF(A76="","",J76+U76)</f>
        <v/>
      </c>
      <c r="W76" s="15">
        <f>IF(A76="","",SUMIFS('13_Ausgangsrechnungen'!$G:$G,'13_Ausgangsrechnungen'!$C:$C,A76))</f>
        <v/>
      </c>
      <c r="X76" s="15">
        <f>IF(A76="","",SUMIFS('11_Material'!$L:$L,'11_Material'!$C:$C,A76))</f>
        <v/>
      </c>
      <c r="Y76" s="15">
        <f>IF(A76="","",SUMIFS('14_Eingangsrechnungen'!$F:$F,'14_Eingangsrechnungen'!$C:$C,A76,'14_Eingangsrechnungen'!$E:$E,"Nachunternehmer"))</f>
        <v/>
      </c>
      <c r="Z76" s="15">
        <f>IF(A76="","",SUMIFS('10_Stunden'!$K:$K,'10_Stunden'!$C:$C,A76))</f>
        <v/>
      </c>
      <c r="AA76" s="15">
        <f>IF(A76="","",X76+Y76+Z76+SUMIFS('14_Eingangsrechnungen'!$F:$F,'14_Eingangsrechnungen'!$C:$C,A76,'14_Eingangsrechnungen'!$E:$E,"Gerät")+SUMIFS('14_Eingangsrechnungen'!$F:$F,'14_Eingangsrechnungen'!$C:$C,A76,'14_Eingangsrechnungen'!$E:$E,"Dienstleistung"))</f>
        <v/>
      </c>
      <c r="AB76" s="15">
        <f>IF(A76="","",W76-AA76)</f>
        <v/>
      </c>
      <c r="AC76" s="19">
        <f>IF(OR(A76="",W76=0),"",AB76/W76)</f>
        <v/>
      </c>
      <c r="AD76" s="19">
        <f>IF(OR(A76="",V76=0),"",W76/V76)</f>
        <v/>
      </c>
      <c r="AE76" s="15">
        <f>IF(A76="","",MAX(0,V76-W76))</f>
        <v/>
      </c>
      <c r="AF76" s="15">
        <f>IF(A76="","",SUMIFS('13_Ausgangsrechnungen'!$R:$R,'13_Ausgangsrechnungen'!$C:$C,A76))</f>
        <v/>
      </c>
    </row>
    <row r="77">
      <c r="A77" s="30" t="inlineStr"/>
      <c r="B77" s="30" t="inlineStr"/>
      <c r="C77" s="30" t="inlineStr"/>
      <c r="D77" s="30" t="inlineStr"/>
      <c r="E77" s="30" t="inlineStr"/>
      <c r="F77" s="30" t="inlineStr"/>
      <c r="G77" s="38" t="inlineStr"/>
      <c r="H77" s="38" t="inlineStr"/>
      <c r="I77" s="38" t="inlineStr"/>
      <c r="J77" s="34" t="inlineStr"/>
      <c r="K77" s="34" t="inlineStr"/>
      <c r="L77" s="34" t="inlineStr"/>
      <c r="M77" s="34" t="inlineStr"/>
      <c r="N77" s="34" t="inlineStr"/>
      <c r="O77" s="34" t="inlineStr"/>
      <c r="P77" s="32" t="inlineStr"/>
      <c r="Q77" s="30" t="inlineStr"/>
      <c r="R77" s="30" t="inlineStr"/>
      <c r="S77" s="30" t="inlineStr"/>
      <c r="T77" s="30" t="inlineStr"/>
      <c r="U77" s="15">
        <f>IF(A77="","",SUMIFS('07_Nachtraege'!$E:$E,'07_Nachtraege'!$B:$B,A77,'07_Nachtraege'!$F:$F,"beauftragt"))</f>
        <v/>
      </c>
      <c r="V77" s="15">
        <f>IF(A77="","",J77+U77)</f>
        <v/>
      </c>
      <c r="W77" s="15">
        <f>IF(A77="","",SUMIFS('13_Ausgangsrechnungen'!$G:$G,'13_Ausgangsrechnungen'!$C:$C,A77))</f>
        <v/>
      </c>
      <c r="X77" s="15">
        <f>IF(A77="","",SUMIFS('11_Material'!$L:$L,'11_Material'!$C:$C,A77))</f>
        <v/>
      </c>
      <c r="Y77" s="15">
        <f>IF(A77="","",SUMIFS('14_Eingangsrechnungen'!$F:$F,'14_Eingangsrechnungen'!$C:$C,A77,'14_Eingangsrechnungen'!$E:$E,"Nachunternehmer"))</f>
        <v/>
      </c>
      <c r="Z77" s="15">
        <f>IF(A77="","",SUMIFS('10_Stunden'!$K:$K,'10_Stunden'!$C:$C,A77))</f>
        <v/>
      </c>
      <c r="AA77" s="15">
        <f>IF(A77="","",X77+Y77+Z77+SUMIFS('14_Eingangsrechnungen'!$F:$F,'14_Eingangsrechnungen'!$C:$C,A77,'14_Eingangsrechnungen'!$E:$E,"Gerät")+SUMIFS('14_Eingangsrechnungen'!$F:$F,'14_Eingangsrechnungen'!$C:$C,A77,'14_Eingangsrechnungen'!$E:$E,"Dienstleistung"))</f>
        <v/>
      </c>
      <c r="AB77" s="15">
        <f>IF(A77="","",W77-AA77)</f>
        <v/>
      </c>
      <c r="AC77" s="19">
        <f>IF(OR(A77="",W77=0),"",AB77/W77)</f>
        <v/>
      </c>
      <c r="AD77" s="19">
        <f>IF(OR(A77="",V77=0),"",W77/V77)</f>
        <v/>
      </c>
      <c r="AE77" s="15">
        <f>IF(A77="","",MAX(0,V77-W77))</f>
        <v/>
      </c>
      <c r="AF77" s="15">
        <f>IF(A77="","",SUMIFS('13_Ausgangsrechnungen'!$R:$R,'13_Ausgangsrechnungen'!$C:$C,A77))</f>
        <v/>
      </c>
    </row>
    <row r="78">
      <c r="A78" s="30" t="inlineStr"/>
      <c r="B78" s="30" t="inlineStr"/>
      <c r="C78" s="30" t="inlineStr"/>
      <c r="D78" s="30" t="inlineStr"/>
      <c r="E78" s="30" t="inlineStr"/>
      <c r="F78" s="30" t="inlineStr"/>
      <c r="G78" s="38" t="inlineStr"/>
      <c r="H78" s="38" t="inlineStr"/>
      <c r="I78" s="38" t="inlineStr"/>
      <c r="J78" s="34" t="inlineStr"/>
      <c r="K78" s="34" t="inlineStr"/>
      <c r="L78" s="34" t="inlineStr"/>
      <c r="M78" s="34" t="inlineStr"/>
      <c r="N78" s="34" t="inlineStr"/>
      <c r="O78" s="34" t="inlineStr"/>
      <c r="P78" s="32" t="inlineStr"/>
      <c r="Q78" s="30" t="inlineStr"/>
      <c r="R78" s="30" t="inlineStr"/>
      <c r="S78" s="30" t="inlineStr"/>
      <c r="T78" s="30" t="inlineStr"/>
      <c r="U78" s="15">
        <f>IF(A78="","",SUMIFS('07_Nachtraege'!$E:$E,'07_Nachtraege'!$B:$B,A78,'07_Nachtraege'!$F:$F,"beauftragt"))</f>
        <v/>
      </c>
      <c r="V78" s="15">
        <f>IF(A78="","",J78+U78)</f>
        <v/>
      </c>
      <c r="W78" s="15">
        <f>IF(A78="","",SUMIFS('13_Ausgangsrechnungen'!$G:$G,'13_Ausgangsrechnungen'!$C:$C,A78))</f>
        <v/>
      </c>
      <c r="X78" s="15">
        <f>IF(A78="","",SUMIFS('11_Material'!$L:$L,'11_Material'!$C:$C,A78))</f>
        <v/>
      </c>
      <c r="Y78" s="15">
        <f>IF(A78="","",SUMIFS('14_Eingangsrechnungen'!$F:$F,'14_Eingangsrechnungen'!$C:$C,A78,'14_Eingangsrechnungen'!$E:$E,"Nachunternehmer"))</f>
        <v/>
      </c>
      <c r="Z78" s="15">
        <f>IF(A78="","",SUMIFS('10_Stunden'!$K:$K,'10_Stunden'!$C:$C,A78))</f>
        <v/>
      </c>
      <c r="AA78" s="15">
        <f>IF(A78="","",X78+Y78+Z78+SUMIFS('14_Eingangsrechnungen'!$F:$F,'14_Eingangsrechnungen'!$C:$C,A78,'14_Eingangsrechnungen'!$E:$E,"Gerät")+SUMIFS('14_Eingangsrechnungen'!$F:$F,'14_Eingangsrechnungen'!$C:$C,A78,'14_Eingangsrechnungen'!$E:$E,"Dienstleistung"))</f>
        <v/>
      </c>
      <c r="AB78" s="15">
        <f>IF(A78="","",W78-AA78)</f>
        <v/>
      </c>
      <c r="AC78" s="19">
        <f>IF(OR(A78="",W78=0),"",AB78/W78)</f>
        <v/>
      </c>
      <c r="AD78" s="19">
        <f>IF(OR(A78="",V78=0),"",W78/V78)</f>
        <v/>
      </c>
      <c r="AE78" s="15">
        <f>IF(A78="","",MAX(0,V78-W78))</f>
        <v/>
      </c>
      <c r="AF78" s="15">
        <f>IF(A78="","",SUMIFS('13_Ausgangsrechnungen'!$R:$R,'13_Ausgangsrechnungen'!$C:$C,A78))</f>
        <v/>
      </c>
    </row>
    <row r="79">
      <c r="A79" s="30" t="inlineStr"/>
      <c r="B79" s="30" t="inlineStr"/>
      <c r="C79" s="30" t="inlineStr"/>
      <c r="D79" s="30" t="inlineStr"/>
      <c r="E79" s="30" t="inlineStr"/>
      <c r="F79" s="30" t="inlineStr"/>
      <c r="G79" s="38" t="inlineStr"/>
      <c r="H79" s="38" t="inlineStr"/>
      <c r="I79" s="38" t="inlineStr"/>
      <c r="J79" s="34" t="inlineStr"/>
      <c r="K79" s="34" t="inlineStr"/>
      <c r="L79" s="34" t="inlineStr"/>
      <c r="M79" s="34" t="inlineStr"/>
      <c r="N79" s="34" t="inlineStr"/>
      <c r="O79" s="34" t="inlineStr"/>
      <c r="P79" s="32" t="inlineStr"/>
      <c r="Q79" s="30" t="inlineStr"/>
      <c r="R79" s="30" t="inlineStr"/>
      <c r="S79" s="30" t="inlineStr"/>
      <c r="T79" s="30" t="inlineStr"/>
      <c r="U79" s="15">
        <f>IF(A79="","",SUMIFS('07_Nachtraege'!$E:$E,'07_Nachtraege'!$B:$B,A79,'07_Nachtraege'!$F:$F,"beauftragt"))</f>
        <v/>
      </c>
      <c r="V79" s="15">
        <f>IF(A79="","",J79+U79)</f>
        <v/>
      </c>
      <c r="W79" s="15">
        <f>IF(A79="","",SUMIFS('13_Ausgangsrechnungen'!$G:$G,'13_Ausgangsrechnungen'!$C:$C,A79))</f>
        <v/>
      </c>
      <c r="X79" s="15">
        <f>IF(A79="","",SUMIFS('11_Material'!$L:$L,'11_Material'!$C:$C,A79))</f>
        <v/>
      </c>
      <c r="Y79" s="15">
        <f>IF(A79="","",SUMIFS('14_Eingangsrechnungen'!$F:$F,'14_Eingangsrechnungen'!$C:$C,A79,'14_Eingangsrechnungen'!$E:$E,"Nachunternehmer"))</f>
        <v/>
      </c>
      <c r="Z79" s="15">
        <f>IF(A79="","",SUMIFS('10_Stunden'!$K:$K,'10_Stunden'!$C:$C,A79))</f>
        <v/>
      </c>
      <c r="AA79" s="15">
        <f>IF(A79="","",X79+Y79+Z79+SUMIFS('14_Eingangsrechnungen'!$F:$F,'14_Eingangsrechnungen'!$C:$C,A79,'14_Eingangsrechnungen'!$E:$E,"Gerät")+SUMIFS('14_Eingangsrechnungen'!$F:$F,'14_Eingangsrechnungen'!$C:$C,A79,'14_Eingangsrechnungen'!$E:$E,"Dienstleistung"))</f>
        <v/>
      </c>
      <c r="AB79" s="15">
        <f>IF(A79="","",W79-AA79)</f>
        <v/>
      </c>
      <c r="AC79" s="19">
        <f>IF(OR(A79="",W79=0),"",AB79/W79)</f>
        <v/>
      </c>
      <c r="AD79" s="19">
        <f>IF(OR(A79="",V79=0),"",W79/V79)</f>
        <v/>
      </c>
      <c r="AE79" s="15">
        <f>IF(A79="","",MAX(0,V79-W79))</f>
        <v/>
      </c>
      <c r="AF79" s="15">
        <f>IF(A79="","",SUMIFS('13_Ausgangsrechnungen'!$R:$R,'13_Ausgangsrechnungen'!$C:$C,A79))</f>
        <v/>
      </c>
    </row>
    <row r="80">
      <c r="A80" s="30" t="inlineStr"/>
      <c r="B80" s="30" t="inlineStr"/>
      <c r="C80" s="30" t="inlineStr"/>
      <c r="D80" s="30" t="inlineStr"/>
      <c r="E80" s="30" t="inlineStr"/>
      <c r="F80" s="30" t="inlineStr"/>
      <c r="G80" s="38" t="inlineStr"/>
      <c r="H80" s="38" t="inlineStr"/>
      <c r="I80" s="38" t="inlineStr"/>
      <c r="J80" s="34" t="inlineStr"/>
      <c r="K80" s="34" t="inlineStr"/>
      <c r="L80" s="34" t="inlineStr"/>
      <c r="M80" s="34" t="inlineStr"/>
      <c r="N80" s="34" t="inlineStr"/>
      <c r="O80" s="34" t="inlineStr"/>
      <c r="P80" s="32" t="inlineStr"/>
      <c r="Q80" s="30" t="inlineStr"/>
      <c r="R80" s="30" t="inlineStr"/>
      <c r="S80" s="30" t="inlineStr"/>
      <c r="T80" s="30" t="inlineStr"/>
      <c r="U80" s="15">
        <f>IF(A80="","",SUMIFS('07_Nachtraege'!$E:$E,'07_Nachtraege'!$B:$B,A80,'07_Nachtraege'!$F:$F,"beauftragt"))</f>
        <v/>
      </c>
      <c r="V80" s="15">
        <f>IF(A80="","",J80+U80)</f>
        <v/>
      </c>
      <c r="W80" s="15">
        <f>IF(A80="","",SUMIFS('13_Ausgangsrechnungen'!$G:$G,'13_Ausgangsrechnungen'!$C:$C,A80))</f>
        <v/>
      </c>
      <c r="X80" s="15">
        <f>IF(A80="","",SUMIFS('11_Material'!$L:$L,'11_Material'!$C:$C,A80))</f>
        <v/>
      </c>
      <c r="Y80" s="15">
        <f>IF(A80="","",SUMIFS('14_Eingangsrechnungen'!$F:$F,'14_Eingangsrechnungen'!$C:$C,A80,'14_Eingangsrechnungen'!$E:$E,"Nachunternehmer"))</f>
        <v/>
      </c>
      <c r="Z80" s="15">
        <f>IF(A80="","",SUMIFS('10_Stunden'!$K:$K,'10_Stunden'!$C:$C,A80))</f>
        <v/>
      </c>
      <c r="AA80" s="15">
        <f>IF(A80="","",X80+Y80+Z80+SUMIFS('14_Eingangsrechnungen'!$F:$F,'14_Eingangsrechnungen'!$C:$C,A80,'14_Eingangsrechnungen'!$E:$E,"Gerät")+SUMIFS('14_Eingangsrechnungen'!$F:$F,'14_Eingangsrechnungen'!$C:$C,A80,'14_Eingangsrechnungen'!$E:$E,"Dienstleistung"))</f>
        <v/>
      </c>
      <c r="AB80" s="15">
        <f>IF(A80="","",W80-AA80)</f>
        <v/>
      </c>
      <c r="AC80" s="19">
        <f>IF(OR(A80="",W80=0),"",AB80/W80)</f>
        <v/>
      </c>
      <c r="AD80" s="19">
        <f>IF(OR(A80="",V80=0),"",W80/V80)</f>
        <v/>
      </c>
      <c r="AE80" s="15">
        <f>IF(A80="","",MAX(0,V80-W80))</f>
        <v/>
      </c>
      <c r="AF80" s="15">
        <f>IF(A80="","",SUMIFS('13_Ausgangsrechnungen'!$R:$R,'13_Ausgangsrechnungen'!$C:$C,A80))</f>
        <v/>
      </c>
    </row>
    <row r="81">
      <c r="A81" s="30" t="inlineStr"/>
      <c r="B81" s="30" t="inlineStr"/>
      <c r="C81" s="30" t="inlineStr"/>
      <c r="D81" s="30" t="inlineStr"/>
      <c r="E81" s="30" t="inlineStr"/>
      <c r="F81" s="30" t="inlineStr"/>
      <c r="G81" s="38" t="inlineStr"/>
      <c r="H81" s="38" t="inlineStr"/>
      <c r="I81" s="38" t="inlineStr"/>
      <c r="J81" s="34" t="inlineStr"/>
      <c r="K81" s="34" t="inlineStr"/>
      <c r="L81" s="34" t="inlineStr"/>
      <c r="M81" s="34" t="inlineStr"/>
      <c r="N81" s="34" t="inlineStr"/>
      <c r="O81" s="34" t="inlineStr"/>
      <c r="P81" s="32" t="inlineStr"/>
      <c r="Q81" s="30" t="inlineStr"/>
      <c r="R81" s="30" t="inlineStr"/>
      <c r="S81" s="30" t="inlineStr"/>
      <c r="T81" s="30" t="inlineStr"/>
      <c r="U81" s="15">
        <f>IF(A81="","",SUMIFS('07_Nachtraege'!$E:$E,'07_Nachtraege'!$B:$B,A81,'07_Nachtraege'!$F:$F,"beauftragt"))</f>
        <v/>
      </c>
      <c r="V81" s="15">
        <f>IF(A81="","",J81+U81)</f>
        <v/>
      </c>
      <c r="W81" s="15">
        <f>IF(A81="","",SUMIFS('13_Ausgangsrechnungen'!$G:$G,'13_Ausgangsrechnungen'!$C:$C,A81))</f>
        <v/>
      </c>
      <c r="X81" s="15">
        <f>IF(A81="","",SUMIFS('11_Material'!$L:$L,'11_Material'!$C:$C,A81))</f>
        <v/>
      </c>
      <c r="Y81" s="15">
        <f>IF(A81="","",SUMIFS('14_Eingangsrechnungen'!$F:$F,'14_Eingangsrechnungen'!$C:$C,A81,'14_Eingangsrechnungen'!$E:$E,"Nachunternehmer"))</f>
        <v/>
      </c>
      <c r="Z81" s="15">
        <f>IF(A81="","",SUMIFS('10_Stunden'!$K:$K,'10_Stunden'!$C:$C,A81))</f>
        <v/>
      </c>
      <c r="AA81" s="15">
        <f>IF(A81="","",X81+Y81+Z81+SUMIFS('14_Eingangsrechnungen'!$F:$F,'14_Eingangsrechnungen'!$C:$C,A81,'14_Eingangsrechnungen'!$E:$E,"Gerät")+SUMIFS('14_Eingangsrechnungen'!$F:$F,'14_Eingangsrechnungen'!$C:$C,A81,'14_Eingangsrechnungen'!$E:$E,"Dienstleistung"))</f>
        <v/>
      </c>
      <c r="AB81" s="15">
        <f>IF(A81="","",W81-AA81)</f>
        <v/>
      </c>
      <c r="AC81" s="19">
        <f>IF(OR(A81="",W81=0),"",AB81/W81)</f>
        <v/>
      </c>
      <c r="AD81" s="19">
        <f>IF(OR(A81="",V81=0),"",W81/V81)</f>
        <v/>
      </c>
      <c r="AE81" s="15">
        <f>IF(A81="","",MAX(0,V81-W81))</f>
        <v/>
      </c>
      <c r="AF81" s="15">
        <f>IF(A81="","",SUMIFS('13_Ausgangsrechnungen'!$R:$R,'13_Ausgangsrechnungen'!$C:$C,A81))</f>
        <v/>
      </c>
    </row>
    <row r="82">
      <c r="A82" s="30" t="inlineStr"/>
      <c r="B82" s="30" t="inlineStr"/>
      <c r="C82" s="30" t="inlineStr"/>
      <c r="D82" s="30" t="inlineStr"/>
      <c r="E82" s="30" t="inlineStr"/>
      <c r="F82" s="30" t="inlineStr"/>
      <c r="G82" s="38" t="inlineStr"/>
      <c r="H82" s="38" t="inlineStr"/>
      <c r="I82" s="38" t="inlineStr"/>
      <c r="J82" s="34" t="inlineStr"/>
      <c r="K82" s="34" t="inlineStr"/>
      <c r="L82" s="34" t="inlineStr"/>
      <c r="M82" s="34" t="inlineStr"/>
      <c r="N82" s="34" t="inlineStr"/>
      <c r="O82" s="34" t="inlineStr"/>
      <c r="P82" s="32" t="inlineStr"/>
      <c r="Q82" s="30" t="inlineStr"/>
      <c r="R82" s="30" t="inlineStr"/>
      <c r="S82" s="30" t="inlineStr"/>
      <c r="T82" s="30" t="inlineStr"/>
      <c r="U82" s="15">
        <f>IF(A82="","",SUMIFS('07_Nachtraege'!$E:$E,'07_Nachtraege'!$B:$B,A82,'07_Nachtraege'!$F:$F,"beauftragt"))</f>
        <v/>
      </c>
      <c r="V82" s="15">
        <f>IF(A82="","",J82+U82)</f>
        <v/>
      </c>
      <c r="W82" s="15">
        <f>IF(A82="","",SUMIFS('13_Ausgangsrechnungen'!$G:$G,'13_Ausgangsrechnungen'!$C:$C,A82))</f>
        <v/>
      </c>
      <c r="X82" s="15">
        <f>IF(A82="","",SUMIFS('11_Material'!$L:$L,'11_Material'!$C:$C,A82))</f>
        <v/>
      </c>
      <c r="Y82" s="15">
        <f>IF(A82="","",SUMIFS('14_Eingangsrechnungen'!$F:$F,'14_Eingangsrechnungen'!$C:$C,A82,'14_Eingangsrechnungen'!$E:$E,"Nachunternehmer"))</f>
        <v/>
      </c>
      <c r="Z82" s="15">
        <f>IF(A82="","",SUMIFS('10_Stunden'!$K:$K,'10_Stunden'!$C:$C,A82))</f>
        <v/>
      </c>
      <c r="AA82" s="15">
        <f>IF(A82="","",X82+Y82+Z82+SUMIFS('14_Eingangsrechnungen'!$F:$F,'14_Eingangsrechnungen'!$C:$C,A82,'14_Eingangsrechnungen'!$E:$E,"Gerät")+SUMIFS('14_Eingangsrechnungen'!$F:$F,'14_Eingangsrechnungen'!$C:$C,A82,'14_Eingangsrechnungen'!$E:$E,"Dienstleistung"))</f>
        <v/>
      </c>
      <c r="AB82" s="15">
        <f>IF(A82="","",W82-AA82)</f>
        <v/>
      </c>
      <c r="AC82" s="19">
        <f>IF(OR(A82="",W82=0),"",AB82/W82)</f>
        <v/>
      </c>
      <c r="AD82" s="19">
        <f>IF(OR(A82="",V82=0),"",W82/V82)</f>
        <v/>
      </c>
      <c r="AE82" s="15">
        <f>IF(A82="","",MAX(0,V82-W82))</f>
        <v/>
      </c>
      <c r="AF82" s="15">
        <f>IF(A82="","",SUMIFS('13_Ausgangsrechnungen'!$R:$R,'13_Ausgangsrechnungen'!$C:$C,A82))</f>
        <v/>
      </c>
    </row>
    <row r="83">
      <c r="A83" s="30" t="inlineStr"/>
      <c r="B83" s="30" t="inlineStr"/>
      <c r="C83" s="30" t="inlineStr"/>
      <c r="D83" s="30" t="inlineStr"/>
      <c r="E83" s="30" t="inlineStr"/>
      <c r="F83" s="30" t="inlineStr"/>
      <c r="G83" s="38" t="inlineStr"/>
      <c r="H83" s="38" t="inlineStr"/>
      <c r="I83" s="38" t="inlineStr"/>
      <c r="J83" s="34" t="inlineStr"/>
      <c r="K83" s="34" t="inlineStr"/>
      <c r="L83" s="34" t="inlineStr"/>
      <c r="M83" s="34" t="inlineStr"/>
      <c r="N83" s="34" t="inlineStr"/>
      <c r="O83" s="34" t="inlineStr"/>
      <c r="P83" s="32" t="inlineStr"/>
      <c r="Q83" s="30" t="inlineStr"/>
      <c r="R83" s="30" t="inlineStr"/>
      <c r="S83" s="30" t="inlineStr"/>
      <c r="T83" s="30" t="inlineStr"/>
      <c r="U83" s="15">
        <f>IF(A83="","",SUMIFS('07_Nachtraege'!$E:$E,'07_Nachtraege'!$B:$B,A83,'07_Nachtraege'!$F:$F,"beauftragt"))</f>
        <v/>
      </c>
      <c r="V83" s="15">
        <f>IF(A83="","",J83+U83)</f>
        <v/>
      </c>
      <c r="W83" s="15">
        <f>IF(A83="","",SUMIFS('13_Ausgangsrechnungen'!$G:$G,'13_Ausgangsrechnungen'!$C:$C,A83))</f>
        <v/>
      </c>
      <c r="X83" s="15">
        <f>IF(A83="","",SUMIFS('11_Material'!$L:$L,'11_Material'!$C:$C,A83))</f>
        <v/>
      </c>
      <c r="Y83" s="15">
        <f>IF(A83="","",SUMIFS('14_Eingangsrechnungen'!$F:$F,'14_Eingangsrechnungen'!$C:$C,A83,'14_Eingangsrechnungen'!$E:$E,"Nachunternehmer"))</f>
        <v/>
      </c>
      <c r="Z83" s="15">
        <f>IF(A83="","",SUMIFS('10_Stunden'!$K:$K,'10_Stunden'!$C:$C,A83))</f>
        <v/>
      </c>
      <c r="AA83" s="15">
        <f>IF(A83="","",X83+Y83+Z83+SUMIFS('14_Eingangsrechnungen'!$F:$F,'14_Eingangsrechnungen'!$C:$C,A83,'14_Eingangsrechnungen'!$E:$E,"Gerät")+SUMIFS('14_Eingangsrechnungen'!$F:$F,'14_Eingangsrechnungen'!$C:$C,A83,'14_Eingangsrechnungen'!$E:$E,"Dienstleistung"))</f>
        <v/>
      </c>
      <c r="AB83" s="15">
        <f>IF(A83="","",W83-AA83)</f>
        <v/>
      </c>
      <c r="AC83" s="19">
        <f>IF(OR(A83="",W83=0),"",AB83/W83)</f>
        <v/>
      </c>
      <c r="AD83" s="19">
        <f>IF(OR(A83="",V83=0),"",W83/V83)</f>
        <v/>
      </c>
      <c r="AE83" s="15">
        <f>IF(A83="","",MAX(0,V83-W83))</f>
        <v/>
      </c>
      <c r="AF83" s="15">
        <f>IF(A83="","",SUMIFS('13_Ausgangsrechnungen'!$R:$R,'13_Ausgangsrechnungen'!$C:$C,A83))</f>
        <v/>
      </c>
    </row>
    <row r="84">
      <c r="A84" s="30" t="inlineStr"/>
      <c r="B84" s="30" t="inlineStr"/>
      <c r="C84" s="30" t="inlineStr"/>
      <c r="D84" s="30" t="inlineStr"/>
      <c r="E84" s="30" t="inlineStr"/>
      <c r="F84" s="30" t="inlineStr"/>
      <c r="G84" s="38" t="inlineStr"/>
      <c r="H84" s="38" t="inlineStr"/>
      <c r="I84" s="38" t="inlineStr"/>
      <c r="J84" s="34" t="inlineStr"/>
      <c r="K84" s="34" t="inlineStr"/>
      <c r="L84" s="34" t="inlineStr"/>
      <c r="M84" s="34" t="inlineStr"/>
      <c r="N84" s="34" t="inlineStr"/>
      <c r="O84" s="34" t="inlineStr"/>
      <c r="P84" s="32" t="inlineStr"/>
      <c r="Q84" s="30" t="inlineStr"/>
      <c r="R84" s="30" t="inlineStr"/>
      <c r="S84" s="30" t="inlineStr"/>
      <c r="T84" s="30" t="inlineStr"/>
      <c r="U84" s="15">
        <f>IF(A84="","",SUMIFS('07_Nachtraege'!$E:$E,'07_Nachtraege'!$B:$B,A84,'07_Nachtraege'!$F:$F,"beauftragt"))</f>
        <v/>
      </c>
      <c r="V84" s="15">
        <f>IF(A84="","",J84+U84)</f>
        <v/>
      </c>
      <c r="W84" s="15">
        <f>IF(A84="","",SUMIFS('13_Ausgangsrechnungen'!$G:$G,'13_Ausgangsrechnungen'!$C:$C,A84))</f>
        <v/>
      </c>
      <c r="X84" s="15">
        <f>IF(A84="","",SUMIFS('11_Material'!$L:$L,'11_Material'!$C:$C,A84))</f>
        <v/>
      </c>
      <c r="Y84" s="15">
        <f>IF(A84="","",SUMIFS('14_Eingangsrechnungen'!$F:$F,'14_Eingangsrechnungen'!$C:$C,A84,'14_Eingangsrechnungen'!$E:$E,"Nachunternehmer"))</f>
        <v/>
      </c>
      <c r="Z84" s="15">
        <f>IF(A84="","",SUMIFS('10_Stunden'!$K:$K,'10_Stunden'!$C:$C,A84))</f>
        <v/>
      </c>
      <c r="AA84" s="15">
        <f>IF(A84="","",X84+Y84+Z84+SUMIFS('14_Eingangsrechnungen'!$F:$F,'14_Eingangsrechnungen'!$C:$C,A84,'14_Eingangsrechnungen'!$E:$E,"Gerät")+SUMIFS('14_Eingangsrechnungen'!$F:$F,'14_Eingangsrechnungen'!$C:$C,A84,'14_Eingangsrechnungen'!$E:$E,"Dienstleistung"))</f>
        <v/>
      </c>
      <c r="AB84" s="15">
        <f>IF(A84="","",W84-AA84)</f>
        <v/>
      </c>
      <c r="AC84" s="19">
        <f>IF(OR(A84="",W84=0),"",AB84/W84)</f>
        <v/>
      </c>
      <c r="AD84" s="19">
        <f>IF(OR(A84="",V84=0),"",W84/V84)</f>
        <v/>
      </c>
      <c r="AE84" s="15">
        <f>IF(A84="","",MAX(0,V84-W84))</f>
        <v/>
      </c>
      <c r="AF84" s="15">
        <f>IF(A84="","",SUMIFS('13_Ausgangsrechnungen'!$R:$R,'13_Ausgangsrechnungen'!$C:$C,A84))</f>
        <v/>
      </c>
    </row>
    <row r="85">
      <c r="A85" s="30" t="inlineStr"/>
      <c r="B85" s="30" t="inlineStr"/>
      <c r="C85" s="30" t="inlineStr"/>
      <c r="D85" s="30" t="inlineStr"/>
      <c r="E85" s="30" t="inlineStr"/>
      <c r="F85" s="30" t="inlineStr"/>
      <c r="G85" s="38" t="inlineStr"/>
      <c r="H85" s="38" t="inlineStr"/>
      <c r="I85" s="38" t="inlineStr"/>
      <c r="J85" s="34" t="inlineStr"/>
      <c r="K85" s="34" t="inlineStr"/>
      <c r="L85" s="34" t="inlineStr"/>
      <c r="M85" s="34" t="inlineStr"/>
      <c r="N85" s="34" t="inlineStr"/>
      <c r="O85" s="34" t="inlineStr"/>
      <c r="P85" s="32" t="inlineStr"/>
      <c r="Q85" s="30" t="inlineStr"/>
      <c r="R85" s="30" t="inlineStr"/>
      <c r="S85" s="30" t="inlineStr"/>
      <c r="T85" s="30" t="inlineStr"/>
      <c r="U85" s="15">
        <f>IF(A85="","",SUMIFS('07_Nachtraege'!$E:$E,'07_Nachtraege'!$B:$B,A85,'07_Nachtraege'!$F:$F,"beauftragt"))</f>
        <v/>
      </c>
      <c r="V85" s="15">
        <f>IF(A85="","",J85+U85)</f>
        <v/>
      </c>
      <c r="W85" s="15">
        <f>IF(A85="","",SUMIFS('13_Ausgangsrechnungen'!$G:$G,'13_Ausgangsrechnungen'!$C:$C,A85))</f>
        <v/>
      </c>
      <c r="X85" s="15">
        <f>IF(A85="","",SUMIFS('11_Material'!$L:$L,'11_Material'!$C:$C,A85))</f>
        <v/>
      </c>
      <c r="Y85" s="15">
        <f>IF(A85="","",SUMIFS('14_Eingangsrechnungen'!$F:$F,'14_Eingangsrechnungen'!$C:$C,A85,'14_Eingangsrechnungen'!$E:$E,"Nachunternehmer"))</f>
        <v/>
      </c>
      <c r="Z85" s="15">
        <f>IF(A85="","",SUMIFS('10_Stunden'!$K:$K,'10_Stunden'!$C:$C,A85))</f>
        <v/>
      </c>
      <c r="AA85" s="15">
        <f>IF(A85="","",X85+Y85+Z85+SUMIFS('14_Eingangsrechnungen'!$F:$F,'14_Eingangsrechnungen'!$C:$C,A85,'14_Eingangsrechnungen'!$E:$E,"Gerät")+SUMIFS('14_Eingangsrechnungen'!$F:$F,'14_Eingangsrechnungen'!$C:$C,A85,'14_Eingangsrechnungen'!$E:$E,"Dienstleistung"))</f>
        <v/>
      </c>
      <c r="AB85" s="15">
        <f>IF(A85="","",W85-AA85)</f>
        <v/>
      </c>
      <c r="AC85" s="19">
        <f>IF(OR(A85="",W85=0),"",AB85/W85)</f>
        <v/>
      </c>
      <c r="AD85" s="19">
        <f>IF(OR(A85="",V85=0),"",W85/V85)</f>
        <v/>
      </c>
      <c r="AE85" s="15">
        <f>IF(A85="","",MAX(0,V85-W85))</f>
        <v/>
      </c>
      <c r="AF85" s="15">
        <f>IF(A85="","",SUMIFS('13_Ausgangsrechnungen'!$R:$R,'13_Ausgangsrechnungen'!$C:$C,A85))</f>
        <v/>
      </c>
    </row>
    <row r="86">
      <c r="A86" s="30" t="inlineStr"/>
      <c r="B86" s="30" t="inlineStr"/>
      <c r="C86" s="30" t="inlineStr"/>
      <c r="D86" s="30" t="inlineStr"/>
      <c r="E86" s="30" t="inlineStr"/>
      <c r="F86" s="30" t="inlineStr"/>
      <c r="G86" s="38" t="inlineStr"/>
      <c r="H86" s="38" t="inlineStr"/>
      <c r="I86" s="38" t="inlineStr"/>
      <c r="J86" s="34" t="inlineStr"/>
      <c r="K86" s="34" t="inlineStr"/>
      <c r="L86" s="34" t="inlineStr"/>
      <c r="M86" s="34" t="inlineStr"/>
      <c r="N86" s="34" t="inlineStr"/>
      <c r="O86" s="34" t="inlineStr"/>
      <c r="P86" s="32" t="inlineStr"/>
      <c r="Q86" s="30" t="inlineStr"/>
      <c r="R86" s="30" t="inlineStr"/>
      <c r="S86" s="30" t="inlineStr"/>
      <c r="T86" s="30" t="inlineStr"/>
      <c r="U86" s="15">
        <f>IF(A86="","",SUMIFS('07_Nachtraege'!$E:$E,'07_Nachtraege'!$B:$B,A86,'07_Nachtraege'!$F:$F,"beauftragt"))</f>
        <v/>
      </c>
      <c r="V86" s="15">
        <f>IF(A86="","",J86+U86)</f>
        <v/>
      </c>
      <c r="W86" s="15">
        <f>IF(A86="","",SUMIFS('13_Ausgangsrechnungen'!$G:$G,'13_Ausgangsrechnungen'!$C:$C,A86))</f>
        <v/>
      </c>
      <c r="X86" s="15">
        <f>IF(A86="","",SUMIFS('11_Material'!$L:$L,'11_Material'!$C:$C,A86))</f>
        <v/>
      </c>
      <c r="Y86" s="15">
        <f>IF(A86="","",SUMIFS('14_Eingangsrechnungen'!$F:$F,'14_Eingangsrechnungen'!$C:$C,A86,'14_Eingangsrechnungen'!$E:$E,"Nachunternehmer"))</f>
        <v/>
      </c>
      <c r="Z86" s="15">
        <f>IF(A86="","",SUMIFS('10_Stunden'!$K:$K,'10_Stunden'!$C:$C,A86))</f>
        <v/>
      </c>
      <c r="AA86" s="15">
        <f>IF(A86="","",X86+Y86+Z86+SUMIFS('14_Eingangsrechnungen'!$F:$F,'14_Eingangsrechnungen'!$C:$C,A86,'14_Eingangsrechnungen'!$E:$E,"Gerät")+SUMIFS('14_Eingangsrechnungen'!$F:$F,'14_Eingangsrechnungen'!$C:$C,A86,'14_Eingangsrechnungen'!$E:$E,"Dienstleistung"))</f>
        <v/>
      </c>
      <c r="AB86" s="15">
        <f>IF(A86="","",W86-AA86)</f>
        <v/>
      </c>
      <c r="AC86" s="19">
        <f>IF(OR(A86="",W86=0),"",AB86/W86)</f>
        <v/>
      </c>
      <c r="AD86" s="19">
        <f>IF(OR(A86="",V86=0),"",W86/V86)</f>
        <v/>
      </c>
      <c r="AE86" s="15">
        <f>IF(A86="","",MAX(0,V86-W86))</f>
        <v/>
      </c>
      <c r="AF86" s="15">
        <f>IF(A86="","",SUMIFS('13_Ausgangsrechnungen'!$R:$R,'13_Ausgangsrechnungen'!$C:$C,A86))</f>
        <v/>
      </c>
    </row>
    <row r="87">
      <c r="A87" s="30" t="inlineStr"/>
      <c r="B87" s="30" t="inlineStr"/>
      <c r="C87" s="30" t="inlineStr"/>
      <c r="D87" s="30" t="inlineStr"/>
      <c r="E87" s="30" t="inlineStr"/>
      <c r="F87" s="30" t="inlineStr"/>
      <c r="G87" s="38" t="inlineStr"/>
      <c r="H87" s="38" t="inlineStr"/>
      <c r="I87" s="38" t="inlineStr"/>
      <c r="J87" s="34" t="inlineStr"/>
      <c r="K87" s="34" t="inlineStr"/>
      <c r="L87" s="34" t="inlineStr"/>
      <c r="M87" s="34" t="inlineStr"/>
      <c r="N87" s="34" t="inlineStr"/>
      <c r="O87" s="34" t="inlineStr"/>
      <c r="P87" s="32" t="inlineStr"/>
      <c r="Q87" s="30" t="inlineStr"/>
      <c r="R87" s="30" t="inlineStr"/>
      <c r="S87" s="30" t="inlineStr"/>
      <c r="T87" s="30" t="inlineStr"/>
      <c r="U87" s="15">
        <f>IF(A87="","",SUMIFS('07_Nachtraege'!$E:$E,'07_Nachtraege'!$B:$B,A87,'07_Nachtraege'!$F:$F,"beauftragt"))</f>
        <v/>
      </c>
      <c r="V87" s="15">
        <f>IF(A87="","",J87+U87)</f>
        <v/>
      </c>
      <c r="W87" s="15">
        <f>IF(A87="","",SUMIFS('13_Ausgangsrechnungen'!$G:$G,'13_Ausgangsrechnungen'!$C:$C,A87))</f>
        <v/>
      </c>
      <c r="X87" s="15">
        <f>IF(A87="","",SUMIFS('11_Material'!$L:$L,'11_Material'!$C:$C,A87))</f>
        <v/>
      </c>
      <c r="Y87" s="15">
        <f>IF(A87="","",SUMIFS('14_Eingangsrechnungen'!$F:$F,'14_Eingangsrechnungen'!$C:$C,A87,'14_Eingangsrechnungen'!$E:$E,"Nachunternehmer"))</f>
        <v/>
      </c>
      <c r="Z87" s="15">
        <f>IF(A87="","",SUMIFS('10_Stunden'!$K:$K,'10_Stunden'!$C:$C,A87))</f>
        <v/>
      </c>
      <c r="AA87" s="15">
        <f>IF(A87="","",X87+Y87+Z87+SUMIFS('14_Eingangsrechnungen'!$F:$F,'14_Eingangsrechnungen'!$C:$C,A87,'14_Eingangsrechnungen'!$E:$E,"Gerät")+SUMIFS('14_Eingangsrechnungen'!$F:$F,'14_Eingangsrechnungen'!$C:$C,A87,'14_Eingangsrechnungen'!$E:$E,"Dienstleistung"))</f>
        <v/>
      </c>
      <c r="AB87" s="15">
        <f>IF(A87="","",W87-AA87)</f>
        <v/>
      </c>
      <c r="AC87" s="19">
        <f>IF(OR(A87="",W87=0),"",AB87/W87)</f>
        <v/>
      </c>
      <c r="AD87" s="19">
        <f>IF(OR(A87="",V87=0),"",W87/V87)</f>
        <v/>
      </c>
      <c r="AE87" s="15">
        <f>IF(A87="","",MAX(0,V87-W87))</f>
        <v/>
      </c>
      <c r="AF87" s="15">
        <f>IF(A87="","",SUMIFS('13_Ausgangsrechnungen'!$R:$R,'13_Ausgangsrechnungen'!$C:$C,A87))</f>
        <v/>
      </c>
    </row>
    <row r="88">
      <c r="A88" s="30" t="inlineStr"/>
      <c r="B88" s="30" t="inlineStr"/>
      <c r="C88" s="30" t="inlineStr"/>
      <c r="D88" s="30" t="inlineStr"/>
      <c r="E88" s="30" t="inlineStr"/>
      <c r="F88" s="30" t="inlineStr"/>
      <c r="G88" s="38" t="inlineStr"/>
      <c r="H88" s="38" t="inlineStr"/>
      <c r="I88" s="38" t="inlineStr"/>
      <c r="J88" s="34" t="inlineStr"/>
      <c r="K88" s="34" t="inlineStr"/>
      <c r="L88" s="34" t="inlineStr"/>
      <c r="M88" s="34" t="inlineStr"/>
      <c r="N88" s="34" t="inlineStr"/>
      <c r="O88" s="34" t="inlineStr"/>
      <c r="P88" s="32" t="inlineStr"/>
      <c r="Q88" s="30" t="inlineStr"/>
      <c r="R88" s="30" t="inlineStr"/>
      <c r="S88" s="30" t="inlineStr"/>
      <c r="T88" s="30" t="inlineStr"/>
      <c r="U88" s="15">
        <f>IF(A88="","",SUMIFS('07_Nachtraege'!$E:$E,'07_Nachtraege'!$B:$B,A88,'07_Nachtraege'!$F:$F,"beauftragt"))</f>
        <v/>
      </c>
      <c r="V88" s="15">
        <f>IF(A88="","",J88+U88)</f>
        <v/>
      </c>
      <c r="W88" s="15">
        <f>IF(A88="","",SUMIFS('13_Ausgangsrechnungen'!$G:$G,'13_Ausgangsrechnungen'!$C:$C,A88))</f>
        <v/>
      </c>
      <c r="X88" s="15">
        <f>IF(A88="","",SUMIFS('11_Material'!$L:$L,'11_Material'!$C:$C,A88))</f>
        <v/>
      </c>
      <c r="Y88" s="15">
        <f>IF(A88="","",SUMIFS('14_Eingangsrechnungen'!$F:$F,'14_Eingangsrechnungen'!$C:$C,A88,'14_Eingangsrechnungen'!$E:$E,"Nachunternehmer"))</f>
        <v/>
      </c>
      <c r="Z88" s="15">
        <f>IF(A88="","",SUMIFS('10_Stunden'!$K:$K,'10_Stunden'!$C:$C,A88))</f>
        <v/>
      </c>
      <c r="AA88" s="15">
        <f>IF(A88="","",X88+Y88+Z88+SUMIFS('14_Eingangsrechnungen'!$F:$F,'14_Eingangsrechnungen'!$C:$C,A88,'14_Eingangsrechnungen'!$E:$E,"Gerät")+SUMIFS('14_Eingangsrechnungen'!$F:$F,'14_Eingangsrechnungen'!$C:$C,A88,'14_Eingangsrechnungen'!$E:$E,"Dienstleistung"))</f>
        <v/>
      </c>
      <c r="AB88" s="15">
        <f>IF(A88="","",W88-AA88)</f>
        <v/>
      </c>
      <c r="AC88" s="19">
        <f>IF(OR(A88="",W88=0),"",AB88/W88)</f>
        <v/>
      </c>
      <c r="AD88" s="19">
        <f>IF(OR(A88="",V88=0),"",W88/V88)</f>
        <v/>
      </c>
      <c r="AE88" s="15">
        <f>IF(A88="","",MAX(0,V88-W88))</f>
        <v/>
      </c>
      <c r="AF88" s="15">
        <f>IF(A88="","",SUMIFS('13_Ausgangsrechnungen'!$R:$R,'13_Ausgangsrechnungen'!$C:$C,A88))</f>
        <v/>
      </c>
    </row>
    <row r="89">
      <c r="A89" s="30" t="inlineStr"/>
      <c r="B89" s="30" t="inlineStr"/>
      <c r="C89" s="30" t="inlineStr"/>
      <c r="D89" s="30" t="inlineStr"/>
      <c r="E89" s="30" t="inlineStr"/>
      <c r="F89" s="30" t="inlineStr"/>
      <c r="G89" s="38" t="inlineStr"/>
      <c r="H89" s="38" t="inlineStr"/>
      <c r="I89" s="38" t="inlineStr"/>
      <c r="J89" s="34" t="inlineStr"/>
      <c r="K89" s="34" t="inlineStr"/>
      <c r="L89" s="34" t="inlineStr"/>
      <c r="M89" s="34" t="inlineStr"/>
      <c r="N89" s="34" t="inlineStr"/>
      <c r="O89" s="34" t="inlineStr"/>
      <c r="P89" s="32" t="inlineStr"/>
      <c r="Q89" s="30" t="inlineStr"/>
      <c r="R89" s="30" t="inlineStr"/>
      <c r="S89" s="30" t="inlineStr"/>
      <c r="T89" s="30" t="inlineStr"/>
      <c r="U89" s="15">
        <f>IF(A89="","",SUMIFS('07_Nachtraege'!$E:$E,'07_Nachtraege'!$B:$B,A89,'07_Nachtraege'!$F:$F,"beauftragt"))</f>
        <v/>
      </c>
      <c r="V89" s="15">
        <f>IF(A89="","",J89+U89)</f>
        <v/>
      </c>
      <c r="W89" s="15">
        <f>IF(A89="","",SUMIFS('13_Ausgangsrechnungen'!$G:$G,'13_Ausgangsrechnungen'!$C:$C,A89))</f>
        <v/>
      </c>
      <c r="X89" s="15">
        <f>IF(A89="","",SUMIFS('11_Material'!$L:$L,'11_Material'!$C:$C,A89))</f>
        <v/>
      </c>
      <c r="Y89" s="15">
        <f>IF(A89="","",SUMIFS('14_Eingangsrechnungen'!$F:$F,'14_Eingangsrechnungen'!$C:$C,A89,'14_Eingangsrechnungen'!$E:$E,"Nachunternehmer"))</f>
        <v/>
      </c>
      <c r="Z89" s="15">
        <f>IF(A89="","",SUMIFS('10_Stunden'!$K:$K,'10_Stunden'!$C:$C,A89))</f>
        <v/>
      </c>
      <c r="AA89" s="15">
        <f>IF(A89="","",X89+Y89+Z89+SUMIFS('14_Eingangsrechnungen'!$F:$F,'14_Eingangsrechnungen'!$C:$C,A89,'14_Eingangsrechnungen'!$E:$E,"Gerät")+SUMIFS('14_Eingangsrechnungen'!$F:$F,'14_Eingangsrechnungen'!$C:$C,A89,'14_Eingangsrechnungen'!$E:$E,"Dienstleistung"))</f>
        <v/>
      </c>
      <c r="AB89" s="15">
        <f>IF(A89="","",W89-AA89)</f>
        <v/>
      </c>
      <c r="AC89" s="19">
        <f>IF(OR(A89="",W89=0),"",AB89/W89)</f>
        <v/>
      </c>
      <c r="AD89" s="19">
        <f>IF(OR(A89="",V89=0),"",W89/V89)</f>
        <v/>
      </c>
      <c r="AE89" s="15">
        <f>IF(A89="","",MAX(0,V89-W89))</f>
        <v/>
      </c>
      <c r="AF89" s="15">
        <f>IF(A89="","",SUMIFS('13_Ausgangsrechnungen'!$R:$R,'13_Ausgangsrechnungen'!$C:$C,A89))</f>
        <v/>
      </c>
    </row>
    <row r="90">
      <c r="A90" s="30" t="inlineStr"/>
      <c r="B90" s="30" t="inlineStr"/>
      <c r="C90" s="30" t="inlineStr"/>
      <c r="D90" s="30" t="inlineStr"/>
      <c r="E90" s="30" t="inlineStr"/>
      <c r="F90" s="30" t="inlineStr"/>
      <c r="G90" s="38" t="inlineStr"/>
      <c r="H90" s="38" t="inlineStr"/>
      <c r="I90" s="38" t="inlineStr"/>
      <c r="J90" s="34" t="inlineStr"/>
      <c r="K90" s="34" t="inlineStr"/>
      <c r="L90" s="34" t="inlineStr"/>
      <c r="M90" s="34" t="inlineStr"/>
      <c r="N90" s="34" t="inlineStr"/>
      <c r="O90" s="34" t="inlineStr"/>
      <c r="P90" s="32" t="inlineStr"/>
      <c r="Q90" s="30" t="inlineStr"/>
      <c r="R90" s="30" t="inlineStr"/>
      <c r="S90" s="30" t="inlineStr"/>
      <c r="T90" s="30" t="inlineStr"/>
      <c r="U90" s="15">
        <f>IF(A90="","",SUMIFS('07_Nachtraege'!$E:$E,'07_Nachtraege'!$B:$B,A90,'07_Nachtraege'!$F:$F,"beauftragt"))</f>
        <v/>
      </c>
      <c r="V90" s="15">
        <f>IF(A90="","",J90+U90)</f>
        <v/>
      </c>
      <c r="W90" s="15">
        <f>IF(A90="","",SUMIFS('13_Ausgangsrechnungen'!$G:$G,'13_Ausgangsrechnungen'!$C:$C,A90))</f>
        <v/>
      </c>
      <c r="X90" s="15">
        <f>IF(A90="","",SUMIFS('11_Material'!$L:$L,'11_Material'!$C:$C,A90))</f>
        <v/>
      </c>
      <c r="Y90" s="15">
        <f>IF(A90="","",SUMIFS('14_Eingangsrechnungen'!$F:$F,'14_Eingangsrechnungen'!$C:$C,A90,'14_Eingangsrechnungen'!$E:$E,"Nachunternehmer"))</f>
        <v/>
      </c>
      <c r="Z90" s="15">
        <f>IF(A90="","",SUMIFS('10_Stunden'!$K:$K,'10_Stunden'!$C:$C,A90))</f>
        <v/>
      </c>
      <c r="AA90" s="15">
        <f>IF(A90="","",X90+Y90+Z90+SUMIFS('14_Eingangsrechnungen'!$F:$F,'14_Eingangsrechnungen'!$C:$C,A90,'14_Eingangsrechnungen'!$E:$E,"Gerät")+SUMIFS('14_Eingangsrechnungen'!$F:$F,'14_Eingangsrechnungen'!$C:$C,A90,'14_Eingangsrechnungen'!$E:$E,"Dienstleistung"))</f>
        <v/>
      </c>
      <c r="AB90" s="15">
        <f>IF(A90="","",W90-AA90)</f>
        <v/>
      </c>
      <c r="AC90" s="19">
        <f>IF(OR(A90="",W90=0),"",AB90/W90)</f>
        <v/>
      </c>
      <c r="AD90" s="19">
        <f>IF(OR(A90="",V90=0),"",W90/V90)</f>
        <v/>
      </c>
      <c r="AE90" s="15">
        <f>IF(A90="","",MAX(0,V90-W90))</f>
        <v/>
      </c>
      <c r="AF90" s="15">
        <f>IF(A90="","",SUMIFS('13_Ausgangsrechnungen'!$R:$R,'13_Ausgangsrechnungen'!$C:$C,A90))</f>
        <v/>
      </c>
    </row>
    <row r="91">
      <c r="A91" s="30" t="inlineStr"/>
      <c r="B91" s="30" t="inlineStr"/>
      <c r="C91" s="30" t="inlineStr"/>
      <c r="D91" s="30" t="inlineStr"/>
      <c r="E91" s="30" t="inlineStr"/>
      <c r="F91" s="30" t="inlineStr"/>
      <c r="G91" s="38" t="inlineStr"/>
      <c r="H91" s="38" t="inlineStr"/>
      <c r="I91" s="38" t="inlineStr"/>
      <c r="J91" s="34" t="inlineStr"/>
      <c r="K91" s="34" t="inlineStr"/>
      <c r="L91" s="34" t="inlineStr"/>
      <c r="M91" s="34" t="inlineStr"/>
      <c r="N91" s="34" t="inlineStr"/>
      <c r="O91" s="34" t="inlineStr"/>
      <c r="P91" s="32" t="inlineStr"/>
      <c r="Q91" s="30" t="inlineStr"/>
      <c r="R91" s="30" t="inlineStr"/>
      <c r="S91" s="30" t="inlineStr"/>
      <c r="T91" s="30" t="inlineStr"/>
      <c r="U91" s="15">
        <f>IF(A91="","",SUMIFS('07_Nachtraege'!$E:$E,'07_Nachtraege'!$B:$B,A91,'07_Nachtraege'!$F:$F,"beauftragt"))</f>
        <v/>
      </c>
      <c r="V91" s="15">
        <f>IF(A91="","",J91+U91)</f>
        <v/>
      </c>
      <c r="W91" s="15">
        <f>IF(A91="","",SUMIFS('13_Ausgangsrechnungen'!$G:$G,'13_Ausgangsrechnungen'!$C:$C,A91))</f>
        <v/>
      </c>
      <c r="X91" s="15">
        <f>IF(A91="","",SUMIFS('11_Material'!$L:$L,'11_Material'!$C:$C,A91))</f>
        <v/>
      </c>
      <c r="Y91" s="15">
        <f>IF(A91="","",SUMIFS('14_Eingangsrechnungen'!$F:$F,'14_Eingangsrechnungen'!$C:$C,A91,'14_Eingangsrechnungen'!$E:$E,"Nachunternehmer"))</f>
        <v/>
      </c>
      <c r="Z91" s="15">
        <f>IF(A91="","",SUMIFS('10_Stunden'!$K:$K,'10_Stunden'!$C:$C,A91))</f>
        <v/>
      </c>
      <c r="AA91" s="15">
        <f>IF(A91="","",X91+Y91+Z91+SUMIFS('14_Eingangsrechnungen'!$F:$F,'14_Eingangsrechnungen'!$C:$C,A91,'14_Eingangsrechnungen'!$E:$E,"Gerät")+SUMIFS('14_Eingangsrechnungen'!$F:$F,'14_Eingangsrechnungen'!$C:$C,A91,'14_Eingangsrechnungen'!$E:$E,"Dienstleistung"))</f>
        <v/>
      </c>
      <c r="AB91" s="15">
        <f>IF(A91="","",W91-AA91)</f>
        <v/>
      </c>
      <c r="AC91" s="19">
        <f>IF(OR(A91="",W91=0),"",AB91/W91)</f>
        <v/>
      </c>
      <c r="AD91" s="19">
        <f>IF(OR(A91="",V91=0),"",W91/V91)</f>
        <v/>
      </c>
      <c r="AE91" s="15">
        <f>IF(A91="","",MAX(0,V91-W91))</f>
        <v/>
      </c>
      <c r="AF91" s="15">
        <f>IF(A91="","",SUMIFS('13_Ausgangsrechnungen'!$R:$R,'13_Ausgangsrechnungen'!$C:$C,A91))</f>
        <v/>
      </c>
    </row>
    <row r="92">
      <c r="A92" s="30" t="inlineStr"/>
      <c r="B92" s="30" t="inlineStr"/>
      <c r="C92" s="30" t="inlineStr"/>
      <c r="D92" s="30" t="inlineStr"/>
      <c r="E92" s="30" t="inlineStr"/>
      <c r="F92" s="30" t="inlineStr"/>
      <c r="G92" s="38" t="inlineStr"/>
      <c r="H92" s="38" t="inlineStr"/>
      <c r="I92" s="38" t="inlineStr"/>
      <c r="J92" s="34" t="inlineStr"/>
      <c r="K92" s="34" t="inlineStr"/>
      <c r="L92" s="34" t="inlineStr"/>
      <c r="M92" s="34" t="inlineStr"/>
      <c r="N92" s="34" t="inlineStr"/>
      <c r="O92" s="34" t="inlineStr"/>
      <c r="P92" s="32" t="inlineStr"/>
      <c r="Q92" s="30" t="inlineStr"/>
      <c r="R92" s="30" t="inlineStr"/>
      <c r="S92" s="30" t="inlineStr"/>
      <c r="T92" s="30" t="inlineStr"/>
      <c r="U92" s="15">
        <f>IF(A92="","",SUMIFS('07_Nachtraege'!$E:$E,'07_Nachtraege'!$B:$B,A92,'07_Nachtraege'!$F:$F,"beauftragt"))</f>
        <v/>
      </c>
      <c r="V92" s="15">
        <f>IF(A92="","",J92+U92)</f>
        <v/>
      </c>
      <c r="W92" s="15">
        <f>IF(A92="","",SUMIFS('13_Ausgangsrechnungen'!$G:$G,'13_Ausgangsrechnungen'!$C:$C,A92))</f>
        <v/>
      </c>
      <c r="X92" s="15">
        <f>IF(A92="","",SUMIFS('11_Material'!$L:$L,'11_Material'!$C:$C,A92))</f>
        <v/>
      </c>
      <c r="Y92" s="15">
        <f>IF(A92="","",SUMIFS('14_Eingangsrechnungen'!$F:$F,'14_Eingangsrechnungen'!$C:$C,A92,'14_Eingangsrechnungen'!$E:$E,"Nachunternehmer"))</f>
        <v/>
      </c>
      <c r="Z92" s="15">
        <f>IF(A92="","",SUMIFS('10_Stunden'!$K:$K,'10_Stunden'!$C:$C,A92))</f>
        <v/>
      </c>
      <c r="AA92" s="15">
        <f>IF(A92="","",X92+Y92+Z92+SUMIFS('14_Eingangsrechnungen'!$F:$F,'14_Eingangsrechnungen'!$C:$C,A92,'14_Eingangsrechnungen'!$E:$E,"Gerät")+SUMIFS('14_Eingangsrechnungen'!$F:$F,'14_Eingangsrechnungen'!$C:$C,A92,'14_Eingangsrechnungen'!$E:$E,"Dienstleistung"))</f>
        <v/>
      </c>
      <c r="AB92" s="15">
        <f>IF(A92="","",W92-AA92)</f>
        <v/>
      </c>
      <c r="AC92" s="19">
        <f>IF(OR(A92="",W92=0),"",AB92/W92)</f>
        <v/>
      </c>
      <c r="AD92" s="19">
        <f>IF(OR(A92="",V92=0),"",W92/V92)</f>
        <v/>
      </c>
      <c r="AE92" s="15">
        <f>IF(A92="","",MAX(0,V92-W92))</f>
        <v/>
      </c>
      <c r="AF92" s="15">
        <f>IF(A92="","",SUMIFS('13_Ausgangsrechnungen'!$R:$R,'13_Ausgangsrechnungen'!$C:$C,A92))</f>
        <v/>
      </c>
    </row>
    <row r="93">
      <c r="A93" s="30" t="inlineStr"/>
      <c r="B93" s="30" t="inlineStr"/>
      <c r="C93" s="30" t="inlineStr"/>
      <c r="D93" s="30" t="inlineStr"/>
      <c r="E93" s="30" t="inlineStr"/>
      <c r="F93" s="30" t="inlineStr"/>
      <c r="G93" s="38" t="inlineStr"/>
      <c r="H93" s="38" t="inlineStr"/>
      <c r="I93" s="38" t="inlineStr"/>
      <c r="J93" s="34" t="inlineStr"/>
      <c r="K93" s="34" t="inlineStr"/>
      <c r="L93" s="34" t="inlineStr"/>
      <c r="M93" s="34" t="inlineStr"/>
      <c r="N93" s="34" t="inlineStr"/>
      <c r="O93" s="34" t="inlineStr"/>
      <c r="P93" s="32" t="inlineStr"/>
      <c r="Q93" s="30" t="inlineStr"/>
      <c r="R93" s="30" t="inlineStr"/>
      <c r="S93" s="30" t="inlineStr"/>
      <c r="T93" s="30" t="inlineStr"/>
      <c r="U93" s="15">
        <f>IF(A93="","",SUMIFS('07_Nachtraege'!$E:$E,'07_Nachtraege'!$B:$B,A93,'07_Nachtraege'!$F:$F,"beauftragt"))</f>
        <v/>
      </c>
      <c r="V93" s="15">
        <f>IF(A93="","",J93+U93)</f>
        <v/>
      </c>
      <c r="W93" s="15">
        <f>IF(A93="","",SUMIFS('13_Ausgangsrechnungen'!$G:$G,'13_Ausgangsrechnungen'!$C:$C,A93))</f>
        <v/>
      </c>
      <c r="X93" s="15">
        <f>IF(A93="","",SUMIFS('11_Material'!$L:$L,'11_Material'!$C:$C,A93))</f>
        <v/>
      </c>
      <c r="Y93" s="15">
        <f>IF(A93="","",SUMIFS('14_Eingangsrechnungen'!$F:$F,'14_Eingangsrechnungen'!$C:$C,A93,'14_Eingangsrechnungen'!$E:$E,"Nachunternehmer"))</f>
        <v/>
      </c>
      <c r="Z93" s="15">
        <f>IF(A93="","",SUMIFS('10_Stunden'!$K:$K,'10_Stunden'!$C:$C,A93))</f>
        <v/>
      </c>
      <c r="AA93" s="15">
        <f>IF(A93="","",X93+Y93+Z93+SUMIFS('14_Eingangsrechnungen'!$F:$F,'14_Eingangsrechnungen'!$C:$C,A93,'14_Eingangsrechnungen'!$E:$E,"Gerät")+SUMIFS('14_Eingangsrechnungen'!$F:$F,'14_Eingangsrechnungen'!$C:$C,A93,'14_Eingangsrechnungen'!$E:$E,"Dienstleistung"))</f>
        <v/>
      </c>
      <c r="AB93" s="15">
        <f>IF(A93="","",W93-AA93)</f>
        <v/>
      </c>
      <c r="AC93" s="19">
        <f>IF(OR(A93="",W93=0),"",AB93/W93)</f>
        <v/>
      </c>
      <c r="AD93" s="19">
        <f>IF(OR(A93="",V93=0),"",W93/V93)</f>
        <v/>
      </c>
      <c r="AE93" s="15">
        <f>IF(A93="","",MAX(0,V93-W93))</f>
        <v/>
      </c>
      <c r="AF93" s="15">
        <f>IF(A93="","",SUMIFS('13_Ausgangsrechnungen'!$R:$R,'13_Ausgangsrechnungen'!$C:$C,A93))</f>
        <v/>
      </c>
    </row>
    <row r="94">
      <c r="A94" s="30" t="inlineStr"/>
      <c r="B94" s="30" t="inlineStr"/>
      <c r="C94" s="30" t="inlineStr"/>
      <c r="D94" s="30" t="inlineStr"/>
      <c r="E94" s="30" t="inlineStr"/>
      <c r="F94" s="30" t="inlineStr"/>
      <c r="G94" s="38" t="inlineStr"/>
      <c r="H94" s="38" t="inlineStr"/>
      <c r="I94" s="38" t="inlineStr"/>
      <c r="J94" s="34" t="inlineStr"/>
      <c r="K94" s="34" t="inlineStr"/>
      <c r="L94" s="34" t="inlineStr"/>
      <c r="M94" s="34" t="inlineStr"/>
      <c r="N94" s="34" t="inlineStr"/>
      <c r="O94" s="34" t="inlineStr"/>
      <c r="P94" s="32" t="inlineStr"/>
      <c r="Q94" s="30" t="inlineStr"/>
      <c r="R94" s="30" t="inlineStr"/>
      <c r="S94" s="30" t="inlineStr"/>
      <c r="T94" s="30" t="inlineStr"/>
      <c r="U94" s="15">
        <f>IF(A94="","",SUMIFS('07_Nachtraege'!$E:$E,'07_Nachtraege'!$B:$B,A94,'07_Nachtraege'!$F:$F,"beauftragt"))</f>
        <v/>
      </c>
      <c r="V94" s="15">
        <f>IF(A94="","",J94+U94)</f>
        <v/>
      </c>
      <c r="W94" s="15">
        <f>IF(A94="","",SUMIFS('13_Ausgangsrechnungen'!$G:$G,'13_Ausgangsrechnungen'!$C:$C,A94))</f>
        <v/>
      </c>
      <c r="X94" s="15">
        <f>IF(A94="","",SUMIFS('11_Material'!$L:$L,'11_Material'!$C:$C,A94))</f>
        <v/>
      </c>
      <c r="Y94" s="15">
        <f>IF(A94="","",SUMIFS('14_Eingangsrechnungen'!$F:$F,'14_Eingangsrechnungen'!$C:$C,A94,'14_Eingangsrechnungen'!$E:$E,"Nachunternehmer"))</f>
        <v/>
      </c>
      <c r="Z94" s="15">
        <f>IF(A94="","",SUMIFS('10_Stunden'!$K:$K,'10_Stunden'!$C:$C,A94))</f>
        <v/>
      </c>
      <c r="AA94" s="15">
        <f>IF(A94="","",X94+Y94+Z94+SUMIFS('14_Eingangsrechnungen'!$F:$F,'14_Eingangsrechnungen'!$C:$C,A94,'14_Eingangsrechnungen'!$E:$E,"Gerät")+SUMIFS('14_Eingangsrechnungen'!$F:$F,'14_Eingangsrechnungen'!$C:$C,A94,'14_Eingangsrechnungen'!$E:$E,"Dienstleistung"))</f>
        <v/>
      </c>
      <c r="AB94" s="15">
        <f>IF(A94="","",W94-AA94)</f>
        <v/>
      </c>
      <c r="AC94" s="19">
        <f>IF(OR(A94="",W94=0),"",AB94/W94)</f>
        <v/>
      </c>
      <c r="AD94" s="19">
        <f>IF(OR(A94="",V94=0),"",W94/V94)</f>
        <v/>
      </c>
      <c r="AE94" s="15">
        <f>IF(A94="","",MAX(0,V94-W94))</f>
        <v/>
      </c>
      <c r="AF94" s="15">
        <f>IF(A94="","",SUMIFS('13_Ausgangsrechnungen'!$R:$R,'13_Ausgangsrechnungen'!$C:$C,A94))</f>
        <v/>
      </c>
    </row>
    <row r="95">
      <c r="A95" s="30" t="inlineStr"/>
      <c r="B95" s="30" t="inlineStr"/>
      <c r="C95" s="30" t="inlineStr"/>
      <c r="D95" s="30" t="inlineStr"/>
      <c r="E95" s="30" t="inlineStr"/>
      <c r="F95" s="30" t="inlineStr"/>
      <c r="G95" s="38" t="inlineStr"/>
      <c r="H95" s="38" t="inlineStr"/>
      <c r="I95" s="38" t="inlineStr"/>
      <c r="J95" s="34" t="inlineStr"/>
      <c r="K95" s="34" t="inlineStr"/>
      <c r="L95" s="34" t="inlineStr"/>
      <c r="M95" s="34" t="inlineStr"/>
      <c r="N95" s="34" t="inlineStr"/>
      <c r="O95" s="34" t="inlineStr"/>
      <c r="P95" s="32" t="inlineStr"/>
      <c r="Q95" s="30" t="inlineStr"/>
      <c r="R95" s="30" t="inlineStr"/>
      <c r="S95" s="30" t="inlineStr"/>
      <c r="T95" s="30" t="inlineStr"/>
      <c r="U95" s="15">
        <f>IF(A95="","",SUMIFS('07_Nachtraege'!$E:$E,'07_Nachtraege'!$B:$B,A95,'07_Nachtraege'!$F:$F,"beauftragt"))</f>
        <v/>
      </c>
      <c r="V95" s="15">
        <f>IF(A95="","",J95+U95)</f>
        <v/>
      </c>
      <c r="W95" s="15">
        <f>IF(A95="","",SUMIFS('13_Ausgangsrechnungen'!$G:$G,'13_Ausgangsrechnungen'!$C:$C,A95))</f>
        <v/>
      </c>
      <c r="X95" s="15">
        <f>IF(A95="","",SUMIFS('11_Material'!$L:$L,'11_Material'!$C:$C,A95))</f>
        <v/>
      </c>
      <c r="Y95" s="15">
        <f>IF(A95="","",SUMIFS('14_Eingangsrechnungen'!$F:$F,'14_Eingangsrechnungen'!$C:$C,A95,'14_Eingangsrechnungen'!$E:$E,"Nachunternehmer"))</f>
        <v/>
      </c>
      <c r="Z95" s="15">
        <f>IF(A95="","",SUMIFS('10_Stunden'!$K:$K,'10_Stunden'!$C:$C,A95))</f>
        <v/>
      </c>
      <c r="AA95" s="15">
        <f>IF(A95="","",X95+Y95+Z95+SUMIFS('14_Eingangsrechnungen'!$F:$F,'14_Eingangsrechnungen'!$C:$C,A95,'14_Eingangsrechnungen'!$E:$E,"Gerät")+SUMIFS('14_Eingangsrechnungen'!$F:$F,'14_Eingangsrechnungen'!$C:$C,A95,'14_Eingangsrechnungen'!$E:$E,"Dienstleistung"))</f>
        <v/>
      </c>
      <c r="AB95" s="15">
        <f>IF(A95="","",W95-AA95)</f>
        <v/>
      </c>
      <c r="AC95" s="19">
        <f>IF(OR(A95="",W95=0),"",AB95/W95)</f>
        <v/>
      </c>
      <c r="AD95" s="19">
        <f>IF(OR(A95="",V95=0),"",W95/V95)</f>
        <v/>
      </c>
      <c r="AE95" s="15">
        <f>IF(A95="","",MAX(0,V95-W95))</f>
        <v/>
      </c>
      <c r="AF95" s="15">
        <f>IF(A95="","",SUMIFS('13_Ausgangsrechnungen'!$R:$R,'13_Ausgangsrechnungen'!$C:$C,A95))</f>
        <v/>
      </c>
    </row>
    <row r="96">
      <c r="A96" s="30" t="inlineStr"/>
      <c r="B96" s="30" t="inlineStr"/>
      <c r="C96" s="30" t="inlineStr"/>
      <c r="D96" s="30" t="inlineStr"/>
      <c r="E96" s="30" t="inlineStr"/>
      <c r="F96" s="30" t="inlineStr"/>
      <c r="G96" s="38" t="inlineStr"/>
      <c r="H96" s="38" t="inlineStr"/>
      <c r="I96" s="38" t="inlineStr"/>
      <c r="J96" s="34" t="inlineStr"/>
      <c r="K96" s="34" t="inlineStr"/>
      <c r="L96" s="34" t="inlineStr"/>
      <c r="M96" s="34" t="inlineStr"/>
      <c r="N96" s="34" t="inlineStr"/>
      <c r="O96" s="34" t="inlineStr"/>
      <c r="P96" s="32" t="inlineStr"/>
      <c r="Q96" s="30" t="inlineStr"/>
      <c r="R96" s="30" t="inlineStr"/>
      <c r="S96" s="30" t="inlineStr"/>
      <c r="T96" s="30" t="inlineStr"/>
      <c r="U96" s="15">
        <f>IF(A96="","",SUMIFS('07_Nachtraege'!$E:$E,'07_Nachtraege'!$B:$B,A96,'07_Nachtraege'!$F:$F,"beauftragt"))</f>
        <v/>
      </c>
      <c r="V96" s="15">
        <f>IF(A96="","",J96+U96)</f>
        <v/>
      </c>
      <c r="W96" s="15">
        <f>IF(A96="","",SUMIFS('13_Ausgangsrechnungen'!$G:$G,'13_Ausgangsrechnungen'!$C:$C,A96))</f>
        <v/>
      </c>
      <c r="X96" s="15">
        <f>IF(A96="","",SUMIFS('11_Material'!$L:$L,'11_Material'!$C:$C,A96))</f>
        <v/>
      </c>
      <c r="Y96" s="15">
        <f>IF(A96="","",SUMIFS('14_Eingangsrechnungen'!$F:$F,'14_Eingangsrechnungen'!$C:$C,A96,'14_Eingangsrechnungen'!$E:$E,"Nachunternehmer"))</f>
        <v/>
      </c>
      <c r="Z96" s="15">
        <f>IF(A96="","",SUMIFS('10_Stunden'!$K:$K,'10_Stunden'!$C:$C,A96))</f>
        <v/>
      </c>
      <c r="AA96" s="15">
        <f>IF(A96="","",X96+Y96+Z96+SUMIFS('14_Eingangsrechnungen'!$F:$F,'14_Eingangsrechnungen'!$C:$C,A96,'14_Eingangsrechnungen'!$E:$E,"Gerät")+SUMIFS('14_Eingangsrechnungen'!$F:$F,'14_Eingangsrechnungen'!$C:$C,A96,'14_Eingangsrechnungen'!$E:$E,"Dienstleistung"))</f>
        <v/>
      </c>
      <c r="AB96" s="15">
        <f>IF(A96="","",W96-AA96)</f>
        <v/>
      </c>
      <c r="AC96" s="19">
        <f>IF(OR(A96="",W96=0),"",AB96/W96)</f>
        <v/>
      </c>
      <c r="AD96" s="19">
        <f>IF(OR(A96="",V96=0),"",W96/V96)</f>
        <v/>
      </c>
      <c r="AE96" s="15">
        <f>IF(A96="","",MAX(0,V96-W96))</f>
        <v/>
      </c>
      <c r="AF96" s="15">
        <f>IF(A96="","",SUMIFS('13_Ausgangsrechnungen'!$R:$R,'13_Ausgangsrechnungen'!$C:$C,A96))</f>
        <v/>
      </c>
    </row>
    <row r="97">
      <c r="A97" s="30" t="inlineStr"/>
      <c r="B97" s="30" t="inlineStr"/>
      <c r="C97" s="30" t="inlineStr"/>
      <c r="D97" s="30" t="inlineStr"/>
      <c r="E97" s="30" t="inlineStr"/>
      <c r="F97" s="30" t="inlineStr"/>
      <c r="G97" s="38" t="inlineStr"/>
      <c r="H97" s="38" t="inlineStr"/>
      <c r="I97" s="38" t="inlineStr"/>
      <c r="J97" s="34" t="inlineStr"/>
      <c r="K97" s="34" t="inlineStr"/>
      <c r="L97" s="34" t="inlineStr"/>
      <c r="M97" s="34" t="inlineStr"/>
      <c r="N97" s="34" t="inlineStr"/>
      <c r="O97" s="34" t="inlineStr"/>
      <c r="P97" s="32" t="inlineStr"/>
      <c r="Q97" s="30" t="inlineStr"/>
      <c r="R97" s="30" t="inlineStr"/>
      <c r="S97" s="30" t="inlineStr"/>
      <c r="T97" s="30" t="inlineStr"/>
      <c r="U97" s="15">
        <f>IF(A97="","",SUMIFS('07_Nachtraege'!$E:$E,'07_Nachtraege'!$B:$B,A97,'07_Nachtraege'!$F:$F,"beauftragt"))</f>
        <v/>
      </c>
      <c r="V97" s="15">
        <f>IF(A97="","",J97+U97)</f>
        <v/>
      </c>
      <c r="W97" s="15">
        <f>IF(A97="","",SUMIFS('13_Ausgangsrechnungen'!$G:$G,'13_Ausgangsrechnungen'!$C:$C,A97))</f>
        <v/>
      </c>
      <c r="X97" s="15">
        <f>IF(A97="","",SUMIFS('11_Material'!$L:$L,'11_Material'!$C:$C,A97))</f>
        <v/>
      </c>
      <c r="Y97" s="15">
        <f>IF(A97="","",SUMIFS('14_Eingangsrechnungen'!$F:$F,'14_Eingangsrechnungen'!$C:$C,A97,'14_Eingangsrechnungen'!$E:$E,"Nachunternehmer"))</f>
        <v/>
      </c>
      <c r="Z97" s="15">
        <f>IF(A97="","",SUMIFS('10_Stunden'!$K:$K,'10_Stunden'!$C:$C,A97))</f>
        <v/>
      </c>
      <c r="AA97" s="15">
        <f>IF(A97="","",X97+Y97+Z97+SUMIFS('14_Eingangsrechnungen'!$F:$F,'14_Eingangsrechnungen'!$C:$C,A97,'14_Eingangsrechnungen'!$E:$E,"Gerät")+SUMIFS('14_Eingangsrechnungen'!$F:$F,'14_Eingangsrechnungen'!$C:$C,A97,'14_Eingangsrechnungen'!$E:$E,"Dienstleistung"))</f>
        <v/>
      </c>
      <c r="AB97" s="15">
        <f>IF(A97="","",W97-AA97)</f>
        <v/>
      </c>
      <c r="AC97" s="19">
        <f>IF(OR(A97="",W97=0),"",AB97/W97)</f>
        <v/>
      </c>
      <c r="AD97" s="19">
        <f>IF(OR(A97="",V97=0),"",W97/V97)</f>
        <v/>
      </c>
      <c r="AE97" s="15">
        <f>IF(A97="","",MAX(0,V97-W97))</f>
        <v/>
      </c>
      <c r="AF97" s="15">
        <f>IF(A97="","",SUMIFS('13_Ausgangsrechnungen'!$R:$R,'13_Ausgangsrechnungen'!$C:$C,A97))</f>
        <v/>
      </c>
    </row>
    <row r="98">
      <c r="A98" s="30" t="inlineStr"/>
      <c r="B98" s="30" t="inlineStr"/>
      <c r="C98" s="30" t="inlineStr"/>
      <c r="D98" s="30" t="inlineStr"/>
      <c r="E98" s="30" t="inlineStr"/>
      <c r="F98" s="30" t="inlineStr"/>
      <c r="G98" s="38" t="inlineStr"/>
      <c r="H98" s="38" t="inlineStr"/>
      <c r="I98" s="38" t="inlineStr"/>
      <c r="J98" s="34" t="inlineStr"/>
      <c r="K98" s="34" t="inlineStr"/>
      <c r="L98" s="34" t="inlineStr"/>
      <c r="M98" s="34" t="inlineStr"/>
      <c r="N98" s="34" t="inlineStr"/>
      <c r="O98" s="34" t="inlineStr"/>
      <c r="P98" s="32" t="inlineStr"/>
      <c r="Q98" s="30" t="inlineStr"/>
      <c r="R98" s="30" t="inlineStr"/>
      <c r="S98" s="30" t="inlineStr"/>
      <c r="T98" s="30" t="inlineStr"/>
      <c r="U98" s="15">
        <f>IF(A98="","",SUMIFS('07_Nachtraege'!$E:$E,'07_Nachtraege'!$B:$B,A98,'07_Nachtraege'!$F:$F,"beauftragt"))</f>
        <v/>
      </c>
      <c r="V98" s="15">
        <f>IF(A98="","",J98+U98)</f>
        <v/>
      </c>
      <c r="W98" s="15">
        <f>IF(A98="","",SUMIFS('13_Ausgangsrechnungen'!$G:$G,'13_Ausgangsrechnungen'!$C:$C,A98))</f>
        <v/>
      </c>
      <c r="X98" s="15">
        <f>IF(A98="","",SUMIFS('11_Material'!$L:$L,'11_Material'!$C:$C,A98))</f>
        <v/>
      </c>
      <c r="Y98" s="15">
        <f>IF(A98="","",SUMIFS('14_Eingangsrechnungen'!$F:$F,'14_Eingangsrechnungen'!$C:$C,A98,'14_Eingangsrechnungen'!$E:$E,"Nachunternehmer"))</f>
        <v/>
      </c>
      <c r="Z98" s="15">
        <f>IF(A98="","",SUMIFS('10_Stunden'!$K:$K,'10_Stunden'!$C:$C,A98))</f>
        <v/>
      </c>
      <c r="AA98" s="15">
        <f>IF(A98="","",X98+Y98+Z98+SUMIFS('14_Eingangsrechnungen'!$F:$F,'14_Eingangsrechnungen'!$C:$C,A98,'14_Eingangsrechnungen'!$E:$E,"Gerät")+SUMIFS('14_Eingangsrechnungen'!$F:$F,'14_Eingangsrechnungen'!$C:$C,A98,'14_Eingangsrechnungen'!$E:$E,"Dienstleistung"))</f>
        <v/>
      </c>
      <c r="AB98" s="15">
        <f>IF(A98="","",W98-AA98)</f>
        <v/>
      </c>
      <c r="AC98" s="19">
        <f>IF(OR(A98="",W98=0),"",AB98/W98)</f>
        <v/>
      </c>
      <c r="AD98" s="19">
        <f>IF(OR(A98="",V98=0),"",W98/V98)</f>
        <v/>
      </c>
      <c r="AE98" s="15">
        <f>IF(A98="","",MAX(0,V98-W98))</f>
        <v/>
      </c>
      <c r="AF98" s="15">
        <f>IF(A98="","",SUMIFS('13_Ausgangsrechnungen'!$R:$R,'13_Ausgangsrechnungen'!$C:$C,A98))</f>
        <v/>
      </c>
    </row>
    <row r="99">
      <c r="A99" s="30" t="inlineStr"/>
      <c r="B99" s="30" t="inlineStr"/>
      <c r="C99" s="30" t="inlineStr"/>
      <c r="D99" s="30" t="inlineStr"/>
      <c r="E99" s="30" t="inlineStr"/>
      <c r="F99" s="30" t="inlineStr"/>
      <c r="G99" s="38" t="inlineStr"/>
      <c r="H99" s="38" t="inlineStr"/>
      <c r="I99" s="38" t="inlineStr"/>
      <c r="J99" s="34" t="inlineStr"/>
      <c r="K99" s="34" t="inlineStr"/>
      <c r="L99" s="34" t="inlineStr"/>
      <c r="M99" s="34" t="inlineStr"/>
      <c r="N99" s="34" t="inlineStr"/>
      <c r="O99" s="34" t="inlineStr"/>
      <c r="P99" s="32" t="inlineStr"/>
      <c r="Q99" s="30" t="inlineStr"/>
      <c r="R99" s="30" t="inlineStr"/>
      <c r="S99" s="30" t="inlineStr"/>
      <c r="T99" s="30" t="inlineStr"/>
      <c r="U99" s="15">
        <f>IF(A99="","",SUMIFS('07_Nachtraege'!$E:$E,'07_Nachtraege'!$B:$B,A99,'07_Nachtraege'!$F:$F,"beauftragt"))</f>
        <v/>
      </c>
      <c r="V99" s="15">
        <f>IF(A99="","",J99+U99)</f>
        <v/>
      </c>
      <c r="W99" s="15">
        <f>IF(A99="","",SUMIFS('13_Ausgangsrechnungen'!$G:$G,'13_Ausgangsrechnungen'!$C:$C,A99))</f>
        <v/>
      </c>
      <c r="X99" s="15">
        <f>IF(A99="","",SUMIFS('11_Material'!$L:$L,'11_Material'!$C:$C,A99))</f>
        <v/>
      </c>
      <c r="Y99" s="15">
        <f>IF(A99="","",SUMIFS('14_Eingangsrechnungen'!$F:$F,'14_Eingangsrechnungen'!$C:$C,A99,'14_Eingangsrechnungen'!$E:$E,"Nachunternehmer"))</f>
        <v/>
      </c>
      <c r="Z99" s="15">
        <f>IF(A99="","",SUMIFS('10_Stunden'!$K:$K,'10_Stunden'!$C:$C,A99))</f>
        <v/>
      </c>
      <c r="AA99" s="15">
        <f>IF(A99="","",X99+Y99+Z99+SUMIFS('14_Eingangsrechnungen'!$F:$F,'14_Eingangsrechnungen'!$C:$C,A99,'14_Eingangsrechnungen'!$E:$E,"Gerät")+SUMIFS('14_Eingangsrechnungen'!$F:$F,'14_Eingangsrechnungen'!$C:$C,A99,'14_Eingangsrechnungen'!$E:$E,"Dienstleistung"))</f>
        <v/>
      </c>
      <c r="AB99" s="15">
        <f>IF(A99="","",W99-AA99)</f>
        <v/>
      </c>
      <c r="AC99" s="19">
        <f>IF(OR(A99="",W99=0),"",AB99/W99)</f>
        <v/>
      </c>
      <c r="AD99" s="19">
        <f>IF(OR(A99="",V99=0),"",W99/V99)</f>
        <v/>
      </c>
      <c r="AE99" s="15">
        <f>IF(A99="","",MAX(0,V99-W99))</f>
        <v/>
      </c>
      <c r="AF99" s="15">
        <f>IF(A99="","",SUMIFS('13_Ausgangsrechnungen'!$R:$R,'13_Ausgangsrechnungen'!$C:$C,A99))</f>
        <v/>
      </c>
    </row>
    <row r="100">
      <c r="A100" s="30" t="inlineStr"/>
      <c r="B100" s="30" t="inlineStr"/>
      <c r="C100" s="30" t="inlineStr"/>
      <c r="D100" s="30" t="inlineStr"/>
      <c r="E100" s="30" t="inlineStr"/>
      <c r="F100" s="30" t="inlineStr"/>
      <c r="G100" s="38" t="inlineStr"/>
      <c r="H100" s="38" t="inlineStr"/>
      <c r="I100" s="38" t="inlineStr"/>
      <c r="J100" s="34" t="inlineStr"/>
      <c r="K100" s="34" t="inlineStr"/>
      <c r="L100" s="34" t="inlineStr"/>
      <c r="M100" s="34" t="inlineStr"/>
      <c r="N100" s="34" t="inlineStr"/>
      <c r="O100" s="34" t="inlineStr"/>
      <c r="P100" s="32" t="inlineStr"/>
      <c r="Q100" s="30" t="inlineStr"/>
      <c r="R100" s="30" t="inlineStr"/>
      <c r="S100" s="30" t="inlineStr"/>
      <c r="T100" s="30" t="inlineStr"/>
      <c r="U100" s="15">
        <f>IF(A100="","",SUMIFS('07_Nachtraege'!$E:$E,'07_Nachtraege'!$B:$B,A100,'07_Nachtraege'!$F:$F,"beauftragt"))</f>
        <v/>
      </c>
      <c r="V100" s="15">
        <f>IF(A100="","",J100+U100)</f>
        <v/>
      </c>
      <c r="W100" s="15">
        <f>IF(A100="","",SUMIFS('13_Ausgangsrechnungen'!$G:$G,'13_Ausgangsrechnungen'!$C:$C,A100))</f>
        <v/>
      </c>
      <c r="X100" s="15">
        <f>IF(A100="","",SUMIFS('11_Material'!$L:$L,'11_Material'!$C:$C,A100))</f>
        <v/>
      </c>
      <c r="Y100" s="15">
        <f>IF(A100="","",SUMIFS('14_Eingangsrechnungen'!$F:$F,'14_Eingangsrechnungen'!$C:$C,A100,'14_Eingangsrechnungen'!$E:$E,"Nachunternehmer"))</f>
        <v/>
      </c>
      <c r="Z100" s="15">
        <f>IF(A100="","",SUMIFS('10_Stunden'!$K:$K,'10_Stunden'!$C:$C,A100))</f>
        <v/>
      </c>
      <c r="AA100" s="15">
        <f>IF(A100="","",X100+Y100+Z100+SUMIFS('14_Eingangsrechnungen'!$F:$F,'14_Eingangsrechnungen'!$C:$C,A100,'14_Eingangsrechnungen'!$E:$E,"Gerät")+SUMIFS('14_Eingangsrechnungen'!$F:$F,'14_Eingangsrechnungen'!$C:$C,A100,'14_Eingangsrechnungen'!$E:$E,"Dienstleistung"))</f>
        <v/>
      </c>
      <c r="AB100" s="15">
        <f>IF(A100="","",W100-AA100)</f>
        <v/>
      </c>
      <c r="AC100" s="19">
        <f>IF(OR(A100="",W100=0),"",AB100/W100)</f>
        <v/>
      </c>
      <c r="AD100" s="19">
        <f>IF(OR(A100="",V100=0),"",W100/V100)</f>
        <v/>
      </c>
      <c r="AE100" s="15">
        <f>IF(A100="","",MAX(0,V100-W100))</f>
        <v/>
      </c>
      <c r="AF100" s="15">
        <f>IF(A100="","",SUMIFS('13_Ausgangsrechnungen'!$R:$R,'13_Ausgangsrechnungen'!$C:$C,A100))</f>
        <v/>
      </c>
    </row>
    <row r="101">
      <c r="A101" s="30" t="inlineStr"/>
      <c r="B101" s="30" t="inlineStr"/>
      <c r="C101" s="30" t="inlineStr"/>
      <c r="D101" s="30" t="inlineStr"/>
      <c r="E101" s="30" t="inlineStr"/>
      <c r="F101" s="30" t="inlineStr"/>
      <c r="G101" s="38" t="inlineStr"/>
      <c r="H101" s="38" t="inlineStr"/>
      <c r="I101" s="38" t="inlineStr"/>
      <c r="J101" s="34" t="inlineStr"/>
      <c r="K101" s="34" t="inlineStr"/>
      <c r="L101" s="34" t="inlineStr"/>
      <c r="M101" s="34" t="inlineStr"/>
      <c r="N101" s="34" t="inlineStr"/>
      <c r="O101" s="34" t="inlineStr"/>
      <c r="P101" s="32" t="inlineStr"/>
      <c r="Q101" s="30" t="inlineStr"/>
      <c r="R101" s="30" t="inlineStr"/>
      <c r="S101" s="30" t="inlineStr"/>
      <c r="T101" s="30" t="inlineStr"/>
      <c r="U101" s="15">
        <f>IF(A101="","",SUMIFS('07_Nachtraege'!$E:$E,'07_Nachtraege'!$B:$B,A101,'07_Nachtraege'!$F:$F,"beauftragt"))</f>
        <v/>
      </c>
      <c r="V101" s="15">
        <f>IF(A101="","",J101+U101)</f>
        <v/>
      </c>
      <c r="W101" s="15">
        <f>IF(A101="","",SUMIFS('13_Ausgangsrechnungen'!$G:$G,'13_Ausgangsrechnungen'!$C:$C,A101))</f>
        <v/>
      </c>
      <c r="X101" s="15">
        <f>IF(A101="","",SUMIFS('11_Material'!$L:$L,'11_Material'!$C:$C,A101))</f>
        <v/>
      </c>
      <c r="Y101" s="15">
        <f>IF(A101="","",SUMIFS('14_Eingangsrechnungen'!$F:$F,'14_Eingangsrechnungen'!$C:$C,A101,'14_Eingangsrechnungen'!$E:$E,"Nachunternehmer"))</f>
        <v/>
      </c>
      <c r="Z101" s="15">
        <f>IF(A101="","",SUMIFS('10_Stunden'!$K:$K,'10_Stunden'!$C:$C,A101))</f>
        <v/>
      </c>
      <c r="AA101" s="15">
        <f>IF(A101="","",X101+Y101+Z101+SUMIFS('14_Eingangsrechnungen'!$F:$F,'14_Eingangsrechnungen'!$C:$C,A101,'14_Eingangsrechnungen'!$E:$E,"Gerät")+SUMIFS('14_Eingangsrechnungen'!$F:$F,'14_Eingangsrechnungen'!$C:$C,A101,'14_Eingangsrechnungen'!$E:$E,"Dienstleistung"))</f>
        <v/>
      </c>
      <c r="AB101" s="15">
        <f>IF(A101="","",W101-AA101)</f>
        <v/>
      </c>
      <c r="AC101" s="19">
        <f>IF(OR(A101="",W101=0),"",AB101/W101)</f>
        <v/>
      </c>
      <c r="AD101" s="19">
        <f>IF(OR(A101="",V101=0),"",W101/V101)</f>
        <v/>
      </c>
      <c r="AE101" s="15">
        <f>IF(A101="","",MAX(0,V101-W101))</f>
        <v/>
      </c>
      <c r="AF101" s="15">
        <f>IF(A101="","",SUMIFS('13_Ausgangsrechnungen'!$R:$R,'13_Ausgangsrechnungen'!$C:$C,A101))</f>
        <v/>
      </c>
    </row>
    <row r="102">
      <c r="A102" s="30" t="inlineStr"/>
      <c r="B102" s="30" t="inlineStr"/>
      <c r="C102" s="30" t="inlineStr"/>
      <c r="D102" s="30" t="inlineStr"/>
      <c r="E102" s="30" t="inlineStr"/>
      <c r="F102" s="30" t="inlineStr"/>
      <c r="G102" s="38" t="inlineStr"/>
      <c r="H102" s="38" t="inlineStr"/>
      <c r="I102" s="38" t="inlineStr"/>
      <c r="J102" s="34" t="inlineStr"/>
      <c r="K102" s="34" t="inlineStr"/>
      <c r="L102" s="34" t="inlineStr"/>
      <c r="M102" s="34" t="inlineStr"/>
      <c r="N102" s="34" t="inlineStr"/>
      <c r="O102" s="34" t="inlineStr"/>
      <c r="P102" s="32" t="inlineStr"/>
      <c r="Q102" s="30" t="inlineStr"/>
      <c r="R102" s="30" t="inlineStr"/>
      <c r="S102" s="30" t="inlineStr"/>
      <c r="T102" s="30" t="inlineStr"/>
      <c r="U102" s="15">
        <f>IF(A102="","",SUMIFS('07_Nachtraege'!$E:$E,'07_Nachtraege'!$B:$B,A102,'07_Nachtraege'!$F:$F,"beauftragt"))</f>
        <v/>
      </c>
      <c r="V102" s="15">
        <f>IF(A102="","",J102+U102)</f>
        <v/>
      </c>
      <c r="W102" s="15">
        <f>IF(A102="","",SUMIFS('13_Ausgangsrechnungen'!$G:$G,'13_Ausgangsrechnungen'!$C:$C,A102))</f>
        <v/>
      </c>
      <c r="X102" s="15">
        <f>IF(A102="","",SUMIFS('11_Material'!$L:$L,'11_Material'!$C:$C,A102))</f>
        <v/>
      </c>
      <c r="Y102" s="15">
        <f>IF(A102="","",SUMIFS('14_Eingangsrechnungen'!$F:$F,'14_Eingangsrechnungen'!$C:$C,A102,'14_Eingangsrechnungen'!$E:$E,"Nachunternehmer"))</f>
        <v/>
      </c>
      <c r="Z102" s="15">
        <f>IF(A102="","",SUMIFS('10_Stunden'!$K:$K,'10_Stunden'!$C:$C,A102))</f>
        <v/>
      </c>
      <c r="AA102" s="15">
        <f>IF(A102="","",X102+Y102+Z102+SUMIFS('14_Eingangsrechnungen'!$F:$F,'14_Eingangsrechnungen'!$C:$C,A102,'14_Eingangsrechnungen'!$E:$E,"Gerät")+SUMIFS('14_Eingangsrechnungen'!$F:$F,'14_Eingangsrechnungen'!$C:$C,A102,'14_Eingangsrechnungen'!$E:$E,"Dienstleistung"))</f>
        <v/>
      </c>
      <c r="AB102" s="15">
        <f>IF(A102="","",W102-AA102)</f>
        <v/>
      </c>
      <c r="AC102" s="19">
        <f>IF(OR(A102="",W102=0),"",AB102/W102)</f>
        <v/>
      </c>
      <c r="AD102" s="19">
        <f>IF(OR(A102="",V102=0),"",W102/V102)</f>
        <v/>
      </c>
      <c r="AE102" s="15">
        <f>IF(A102="","",MAX(0,V102-W102))</f>
        <v/>
      </c>
      <c r="AF102" s="15">
        <f>IF(A102="","",SUMIFS('13_Ausgangsrechnungen'!$R:$R,'13_Ausgangsrechnungen'!$C:$C,A102))</f>
        <v/>
      </c>
    </row>
    <row r="103">
      <c r="A103" s="30" t="inlineStr"/>
      <c r="B103" s="30" t="inlineStr"/>
      <c r="C103" s="30" t="inlineStr"/>
      <c r="D103" s="30" t="inlineStr"/>
      <c r="E103" s="30" t="inlineStr"/>
      <c r="F103" s="30" t="inlineStr"/>
      <c r="G103" s="38" t="inlineStr"/>
      <c r="H103" s="38" t="inlineStr"/>
      <c r="I103" s="38" t="inlineStr"/>
      <c r="J103" s="34" t="inlineStr"/>
      <c r="K103" s="34" t="inlineStr"/>
      <c r="L103" s="34" t="inlineStr"/>
      <c r="M103" s="34" t="inlineStr"/>
      <c r="N103" s="34" t="inlineStr"/>
      <c r="O103" s="34" t="inlineStr"/>
      <c r="P103" s="32" t="inlineStr"/>
      <c r="Q103" s="30" t="inlineStr"/>
      <c r="R103" s="30" t="inlineStr"/>
      <c r="S103" s="30" t="inlineStr"/>
      <c r="T103" s="30" t="inlineStr"/>
      <c r="U103" s="15">
        <f>IF(A103="","",SUMIFS('07_Nachtraege'!$E:$E,'07_Nachtraege'!$B:$B,A103,'07_Nachtraege'!$F:$F,"beauftragt"))</f>
        <v/>
      </c>
      <c r="V103" s="15">
        <f>IF(A103="","",J103+U103)</f>
        <v/>
      </c>
      <c r="W103" s="15">
        <f>IF(A103="","",SUMIFS('13_Ausgangsrechnungen'!$G:$G,'13_Ausgangsrechnungen'!$C:$C,A103))</f>
        <v/>
      </c>
      <c r="X103" s="15">
        <f>IF(A103="","",SUMIFS('11_Material'!$L:$L,'11_Material'!$C:$C,A103))</f>
        <v/>
      </c>
      <c r="Y103" s="15">
        <f>IF(A103="","",SUMIFS('14_Eingangsrechnungen'!$F:$F,'14_Eingangsrechnungen'!$C:$C,A103,'14_Eingangsrechnungen'!$E:$E,"Nachunternehmer"))</f>
        <v/>
      </c>
      <c r="Z103" s="15">
        <f>IF(A103="","",SUMIFS('10_Stunden'!$K:$K,'10_Stunden'!$C:$C,A103))</f>
        <v/>
      </c>
      <c r="AA103" s="15">
        <f>IF(A103="","",X103+Y103+Z103+SUMIFS('14_Eingangsrechnungen'!$F:$F,'14_Eingangsrechnungen'!$C:$C,A103,'14_Eingangsrechnungen'!$E:$E,"Gerät")+SUMIFS('14_Eingangsrechnungen'!$F:$F,'14_Eingangsrechnungen'!$C:$C,A103,'14_Eingangsrechnungen'!$E:$E,"Dienstleistung"))</f>
        <v/>
      </c>
      <c r="AB103" s="15">
        <f>IF(A103="","",W103-AA103)</f>
        <v/>
      </c>
      <c r="AC103" s="19">
        <f>IF(OR(A103="",W103=0),"",AB103/W103)</f>
        <v/>
      </c>
      <c r="AD103" s="19">
        <f>IF(OR(A103="",V103=0),"",W103/V103)</f>
        <v/>
      </c>
      <c r="AE103" s="15">
        <f>IF(A103="","",MAX(0,V103-W103))</f>
        <v/>
      </c>
      <c r="AF103" s="15">
        <f>IF(A103="","",SUMIFS('13_Ausgangsrechnungen'!$R:$R,'13_Ausgangsrechnungen'!$C:$C,A103))</f>
        <v/>
      </c>
    </row>
    <row r="104">
      <c r="A104" s="30" t="inlineStr"/>
      <c r="B104" s="30" t="inlineStr"/>
      <c r="C104" s="30" t="inlineStr"/>
      <c r="D104" s="30" t="inlineStr"/>
      <c r="E104" s="30" t="inlineStr"/>
      <c r="F104" s="30" t="inlineStr"/>
      <c r="G104" s="38" t="inlineStr"/>
      <c r="H104" s="38" t="inlineStr"/>
      <c r="I104" s="38" t="inlineStr"/>
      <c r="J104" s="34" t="inlineStr"/>
      <c r="K104" s="34" t="inlineStr"/>
      <c r="L104" s="34" t="inlineStr"/>
      <c r="M104" s="34" t="inlineStr"/>
      <c r="N104" s="34" t="inlineStr"/>
      <c r="O104" s="34" t="inlineStr"/>
      <c r="P104" s="32" t="inlineStr"/>
      <c r="Q104" s="30" t="inlineStr"/>
      <c r="R104" s="30" t="inlineStr"/>
      <c r="S104" s="30" t="inlineStr"/>
      <c r="T104" s="30" t="inlineStr"/>
      <c r="U104" s="15">
        <f>IF(A104="","",SUMIFS('07_Nachtraege'!$E:$E,'07_Nachtraege'!$B:$B,A104,'07_Nachtraege'!$F:$F,"beauftragt"))</f>
        <v/>
      </c>
      <c r="V104" s="15">
        <f>IF(A104="","",J104+U104)</f>
        <v/>
      </c>
      <c r="W104" s="15">
        <f>IF(A104="","",SUMIFS('13_Ausgangsrechnungen'!$G:$G,'13_Ausgangsrechnungen'!$C:$C,A104))</f>
        <v/>
      </c>
      <c r="X104" s="15">
        <f>IF(A104="","",SUMIFS('11_Material'!$L:$L,'11_Material'!$C:$C,A104))</f>
        <v/>
      </c>
      <c r="Y104" s="15">
        <f>IF(A104="","",SUMIFS('14_Eingangsrechnungen'!$F:$F,'14_Eingangsrechnungen'!$C:$C,A104,'14_Eingangsrechnungen'!$E:$E,"Nachunternehmer"))</f>
        <v/>
      </c>
      <c r="Z104" s="15">
        <f>IF(A104="","",SUMIFS('10_Stunden'!$K:$K,'10_Stunden'!$C:$C,A104))</f>
        <v/>
      </c>
      <c r="AA104" s="15">
        <f>IF(A104="","",X104+Y104+Z104+SUMIFS('14_Eingangsrechnungen'!$F:$F,'14_Eingangsrechnungen'!$C:$C,A104,'14_Eingangsrechnungen'!$E:$E,"Gerät")+SUMIFS('14_Eingangsrechnungen'!$F:$F,'14_Eingangsrechnungen'!$C:$C,A104,'14_Eingangsrechnungen'!$E:$E,"Dienstleistung"))</f>
        <v/>
      </c>
      <c r="AB104" s="15">
        <f>IF(A104="","",W104-AA104)</f>
        <v/>
      </c>
      <c r="AC104" s="19">
        <f>IF(OR(A104="",W104=0),"",AB104/W104)</f>
        <v/>
      </c>
      <c r="AD104" s="19">
        <f>IF(OR(A104="",V104=0),"",W104/V104)</f>
        <v/>
      </c>
      <c r="AE104" s="15">
        <f>IF(A104="","",MAX(0,V104-W104))</f>
        <v/>
      </c>
      <c r="AF104" s="15">
        <f>IF(A104="","",SUMIFS('13_Ausgangsrechnungen'!$R:$R,'13_Ausgangsrechnungen'!$C:$C,A104))</f>
        <v/>
      </c>
    </row>
    <row r="105">
      <c r="A105" s="30" t="inlineStr"/>
      <c r="B105" s="30" t="inlineStr"/>
      <c r="C105" s="30" t="inlineStr"/>
      <c r="D105" s="30" t="inlineStr"/>
      <c r="E105" s="30" t="inlineStr"/>
      <c r="F105" s="30" t="inlineStr"/>
      <c r="G105" s="38" t="inlineStr"/>
      <c r="H105" s="38" t="inlineStr"/>
      <c r="I105" s="38" t="inlineStr"/>
      <c r="J105" s="34" t="inlineStr"/>
      <c r="K105" s="34" t="inlineStr"/>
      <c r="L105" s="34" t="inlineStr"/>
      <c r="M105" s="34" t="inlineStr"/>
      <c r="N105" s="34" t="inlineStr"/>
      <c r="O105" s="34" t="inlineStr"/>
      <c r="P105" s="32" t="inlineStr"/>
      <c r="Q105" s="30" t="inlineStr"/>
      <c r="R105" s="30" t="inlineStr"/>
      <c r="S105" s="30" t="inlineStr"/>
      <c r="T105" s="30" t="inlineStr"/>
      <c r="U105" s="15">
        <f>IF(A105="","",SUMIFS('07_Nachtraege'!$E:$E,'07_Nachtraege'!$B:$B,A105,'07_Nachtraege'!$F:$F,"beauftragt"))</f>
        <v/>
      </c>
      <c r="V105" s="15">
        <f>IF(A105="","",J105+U105)</f>
        <v/>
      </c>
      <c r="W105" s="15">
        <f>IF(A105="","",SUMIFS('13_Ausgangsrechnungen'!$G:$G,'13_Ausgangsrechnungen'!$C:$C,A105))</f>
        <v/>
      </c>
      <c r="X105" s="15">
        <f>IF(A105="","",SUMIFS('11_Material'!$L:$L,'11_Material'!$C:$C,A105))</f>
        <v/>
      </c>
      <c r="Y105" s="15">
        <f>IF(A105="","",SUMIFS('14_Eingangsrechnungen'!$F:$F,'14_Eingangsrechnungen'!$C:$C,A105,'14_Eingangsrechnungen'!$E:$E,"Nachunternehmer"))</f>
        <v/>
      </c>
      <c r="Z105" s="15">
        <f>IF(A105="","",SUMIFS('10_Stunden'!$K:$K,'10_Stunden'!$C:$C,A105))</f>
        <v/>
      </c>
      <c r="AA105" s="15">
        <f>IF(A105="","",X105+Y105+Z105+SUMIFS('14_Eingangsrechnungen'!$F:$F,'14_Eingangsrechnungen'!$C:$C,A105,'14_Eingangsrechnungen'!$E:$E,"Gerät")+SUMIFS('14_Eingangsrechnungen'!$F:$F,'14_Eingangsrechnungen'!$C:$C,A105,'14_Eingangsrechnungen'!$E:$E,"Dienstleistung"))</f>
        <v/>
      </c>
      <c r="AB105" s="15">
        <f>IF(A105="","",W105-AA105)</f>
        <v/>
      </c>
      <c r="AC105" s="19">
        <f>IF(OR(A105="",W105=0),"",AB105/W105)</f>
        <v/>
      </c>
      <c r="AD105" s="19">
        <f>IF(OR(A105="",V105=0),"",W105/V105)</f>
        <v/>
      </c>
      <c r="AE105" s="15">
        <f>IF(A105="","",MAX(0,V105-W105))</f>
        <v/>
      </c>
      <c r="AF105" s="15">
        <f>IF(A105="","",SUMIFS('13_Ausgangsrechnungen'!$R:$R,'13_Ausgangsrechnungen'!$C:$C,A105))</f>
        <v/>
      </c>
    </row>
    <row r="106">
      <c r="A106" s="30" t="inlineStr"/>
      <c r="B106" s="30" t="inlineStr"/>
      <c r="C106" s="30" t="inlineStr"/>
      <c r="D106" s="30" t="inlineStr"/>
      <c r="E106" s="30" t="inlineStr"/>
      <c r="F106" s="30" t="inlineStr"/>
      <c r="G106" s="38" t="inlineStr"/>
      <c r="H106" s="38" t="inlineStr"/>
      <c r="I106" s="38" t="inlineStr"/>
      <c r="J106" s="34" t="inlineStr"/>
      <c r="K106" s="34" t="inlineStr"/>
      <c r="L106" s="34" t="inlineStr"/>
      <c r="M106" s="34" t="inlineStr"/>
      <c r="N106" s="34" t="inlineStr"/>
      <c r="O106" s="34" t="inlineStr"/>
      <c r="P106" s="32" t="inlineStr"/>
      <c r="Q106" s="30" t="inlineStr"/>
      <c r="R106" s="30" t="inlineStr"/>
      <c r="S106" s="30" t="inlineStr"/>
      <c r="T106" s="30" t="inlineStr"/>
      <c r="U106" s="15">
        <f>IF(A106="","",SUMIFS('07_Nachtraege'!$E:$E,'07_Nachtraege'!$B:$B,A106,'07_Nachtraege'!$F:$F,"beauftragt"))</f>
        <v/>
      </c>
      <c r="V106" s="15">
        <f>IF(A106="","",J106+U106)</f>
        <v/>
      </c>
      <c r="W106" s="15">
        <f>IF(A106="","",SUMIFS('13_Ausgangsrechnungen'!$G:$G,'13_Ausgangsrechnungen'!$C:$C,A106))</f>
        <v/>
      </c>
      <c r="X106" s="15">
        <f>IF(A106="","",SUMIFS('11_Material'!$L:$L,'11_Material'!$C:$C,A106))</f>
        <v/>
      </c>
      <c r="Y106" s="15">
        <f>IF(A106="","",SUMIFS('14_Eingangsrechnungen'!$F:$F,'14_Eingangsrechnungen'!$C:$C,A106,'14_Eingangsrechnungen'!$E:$E,"Nachunternehmer"))</f>
        <v/>
      </c>
      <c r="Z106" s="15">
        <f>IF(A106="","",SUMIFS('10_Stunden'!$K:$K,'10_Stunden'!$C:$C,A106))</f>
        <v/>
      </c>
      <c r="AA106" s="15">
        <f>IF(A106="","",X106+Y106+Z106+SUMIFS('14_Eingangsrechnungen'!$F:$F,'14_Eingangsrechnungen'!$C:$C,A106,'14_Eingangsrechnungen'!$E:$E,"Gerät")+SUMIFS('14_Eingangsrechnungen'!$F:$F,'14_Eingangsrechnungen'!$C:$C,A106,'14_Eingangsrechnungen'!$E:$E,"Dienstleistung"))</f>
        <v/>
      </c>
      <c r="AB106" s="15">
        <f>IF(A106="","",W106-AA106)</f>
        <v/>
      </c>
      <c r="AC106" s="19">
        <f>IF(OR(A106="",W106=0),"",AB106/W106)</f>
        <v/>
      </c>
      <c r="AD106" s="19">
        <f>IF(OR(A106="",V106=0),"",W106/V106)</f>
        <v/>
      </c>
      <c r="AE106" s="15">
        <f>IF(A106="","",MAX(0,V106-W106))</f>
        <v/>
      </c>
      <c r="AF106" s="15">
        <f>IF(A106="","",SUMIFS('13_Ausgangsrechnungen'!$R:$R,'13_Ausgangsrechnungen'!$C:$C,A106))</f>
        <v/>
      </c>
    </row>
    <row r="107">
      <c r="A107" s="30" t="inlineStr"/>
      <c r="B107" s="30" t="inlineStr"/>
      <c r="C107" s="30" t="inlineStr"/>
      <c r="D107" s="30" t="inlineStr"/>
      <c r="E107" s="30" t="inlineStr"/>
      <c r="F107" s="30" t="inlineStr"/>
      <c r="G107" s="38" t="inlineStr"/>
      <c r="H107" s="38" t="inlineStr"/>
      <c r="I107" s="38" t="inlineStr"/>
      <c r="J107" s="34" t="inlineStr"/>
      <c r="K107" s="34" t="inlineStr"/>
      <c r="L107" s="34" t="inlineStr"/>
      <c r="M107" s="34" t="inlineStr"/>
      <c r="N107" s="34" t="inlineStr"/>
      <c r="O107" s="34" t="inlineStr"/>
      <c r="P107" s="32" t="inlineStr"/>
      <c r="Q107" s="30" t="inlineStr"/>
      <c r="R107" s="30" t="inlineStr"/>
      <c r="S107" s="30" t="inlineStr"/>
      <c r="T107" s="30" t="inlineStr"/>
      <c r="U107" s="15">
        <f>IF(A107="","",SUMIFS('07_Nachtraege'!$E:$E,'07_Nachtraege'!$B:$B,A107,'07_Nachtraege'!$F:$F,"beauftragt"))</f>
        <v/>
      </c>
      <c r="V107" s="15">
        <f>IF(A107="","",J107+U107)</f>
        <v/>
      </c>
      <c r="W107" s="15">
        <f>IF(A107="","",SUMIFS('13_Ausgangsrechnungen'!$G:$G,'13_Ausgangsrechnungen'!$C:$C,A107))</f>
        <v/>
      </c>
      <c r="X107" s="15">
        <f>IF(A107="","",SUMIFS('11_Material'!$L:$L,'11_Material'!$C:$C,A107))</f>
        <v/>
      </c>
      <c r="Y107" s="15">
        <f>IF(A107="","",SUMIFS('14_Eingangsrechnungen'!$F:$F,'14_Eingangsrechnungen'!$C:$C,A107,'14_Eingangsrechnungen'!$E:$E,"Nachunternehmer"))</f>
        <v/>
      </c>
      <c r="Z107" s="15">
        <f>IF(A107="","",SUMIFS('10_Stunden'!$K:$K,'10_Stunden'!$C:$C,A107))</f>
        <v/>
      </c>
      <c r="AA107" s="15">
        <f>IF(A107="","",X107+Y107+Z107+SUMIFS('14_Eingangsrechnungen'!$F:$F,'14_Eingangsrechnungen'!$C:$C,A107,'14_Eingangsrechnungen'!$E:$E,"Gerät")+SUMIFS('14_Eingangsrechnungen'!$F:$F,'14_Eingangsrechnungen'!$C:$C,A107,'14_Eingangsrechnungen'!$E:$E,"Dienstleistung"))</f>
        <v/>
      </c>
      <c r="AB107" s="15">
        <f>IF(A107="","",W107-AA107)</f>
        <v/>
      </c>
      <c r="AC107" s="19">
        <f>IF(OR(A107="",W107=0),"",AB107/W107)</f>
        <v/>
      </c>
      <c r="AD107" s="19">
        <f>IF(OR(A107="",V107=0),"",W107/V107)</f>
        <v/>
      </c>
      <c r="AE107" s="15">
        <f>IF(A107="","",MAX(0,V107-W107))</f>
        <v/>
      </c>
      <c r="AF107" s="15">
        <f>IF(A107="","",SUMIFS('13_Ausgangsrechnungen'!$R:$R,'13_Ausgangsrechnungen'!$C:$C,A107))</f>
        <v/>
      </c>
    </row>
    <row r="108">
      <c r="A108" s="30" t="inlineStr"/>
      <c r="B108" s="30" t="inlineStr"/>
      <c r="C108" s="30" t="inlineStr"/>
      <c r="D108" s="30" t="inlineStr"/>
      <c r="E108" s="30" t="inlineStr"/>
      <c r="F108" s="30" t="inlineStr"/>
      <c r="G108" s="38" t="inlineStr"/>
      <c r="H108" s="38" t="inlineStr"/>
      <c r="I108" s="38" t="inlineStr"/>
      <c r="J108" s="34" t="inlineStr"/>
      <c r="K108" s="34" t="inlineStr"/>
      <c r="L108" s="34" t="inlineStr"/>
      <c r="M108" s="34" t="inlineStr"/>
      <c r="N108" s="34" t="inlineStr"/>
      <c r="O108" s="34" t="inlineStr"/>
      <c r="P108" s="32" t="inlineStr"/>
      <c r="Q108" s="30" t="inlineStr"/>
      <c r="R108" s="30" t="inlineStr"/>
      <c r="S108" s="30" t="inlineStr"/>
      <c r="T108" s="30" t="inlineStr"/>
      <c r="U108" s="15">
        <f>IF(A108="","",SUMIFS('07_Nachtraege'!$E:$E,'07_Nachtraege'!$B:$B,A108,'07_Nachtraege'!$F:$F,"beauftragt"))</f>
        <v/>
      </c>
      <c r="V108" s="15">
        <f>IF(A108="","",J108+U108)</f>
        <v/>
      </c>
      <c r="W108" s="15">
        <f>IF(A108="","",SUMIFS('13_Ausgangsrechnungen'!$G:$G,'13_Ausgangsrechnungen'!$C:$C,A108))</f>
        <v/>
      </c>
      <c r="X108" s="15">
        <f>IF(A108="","",SUMIFS('11_Material'!$L:$L,'11_Material'!$C:$C,A108))</f>
        <v/>
      </c>
      <c r="Y108" s="15">
        <f>IF(A108="","",SUMIFS('14_Eingangsrechnungen'!$F:$F,'14_Eingangsrechnungen'!$C:$C,A108,'14_Eingangsrechnungen'!$E:$E,"Nachunternehmer"))</f>
        <v/>
      </c>
      <c r="Z108" s="15">
        <f>IF(A108="","",SUMIFS('10_Stunden'!$K:$K,'10_Stunden'!$C:$C,A108))</f>
        <v/>
      </c>
      <c r="AA108" s="15">
        <f>IF(A108="","",X108+Y108+Z108+SUMIFS('14_Eingangsrechnungen'!$F:$F,'14_Eingangsrechnungen'!$C:$C,A108,'14_Eingangsrechnungen'!$E:$E,"Gerät")+SUMIFS('14_Eingangsrechnungen'!$F:$F,'14_Eingangsrechnungen'!$C:$C,A108,'14_Eingangsrechnungen'!$E:$E,"Dienstleistung"))</f>
        <v/>
      </c>
      <c r="AB108" s="15">
        <f>IF(A108="","",W108-AA108)</f>
        <v/>
      </c>
      <c r="AC108" s="19">
        <f>IF(OR(A108="",W108=0),"",AB108/W108)</f>
        <v/>
      </c>
      <c r="AD108" s="19">
        <f>IF(OR(A108="",V108=0),"",W108/V108)</f>
        <v/>
      </c>
      <c r="AE108" s="15">
        <f>IF(A108="","",MAX(0,V108-W108))</f>
        <v/>
      </c>
      <c r="AF108" s="15">
        <f>IF(A108="","",SUMIFS('13_Ausgangsrechnungen'!$R:$R,'13_Ausgangsrechnungen'!$C:$C,A108))</f>
        <v/>
      </c>
    </row>
    <row r="109">
      <c r="A109" s="30" t="inlineStr"/>
      <c r="B109" s="30" t="inlineStr"/>
      <c r="C109" s="30" t="inlineStr"/>
      <c r="D109" s="30" t="inlineStr"/>
      <c r="E109" s="30" t="inlineStr"/>
      <c r="F109" s="30" t="inlineStr"/>
      <c r="G109" s="38" t="inlineStr"/>
      <c r="H109" s="38" t="inlineStr"/>
      <c r="I109" s="38" t="inlineStr"/>
      <c r="J109" s="34" t="inlineStr"/>
      <c r="K109" s="34" t="inlineStr"/>
      <c r="L109" s="34" t="inlineStr"/>
      <c r="M109" s="34" t="inlineStr"/>
      <c r="N109" s="34" t="inlineStr"/>
      <c r="O109" s="34" t="inlineStr"/>
      <c r="P109" s="32" t="inlineStr"/>
      <c r="Q109" s="30" t="inlineStr"/>
      <c r="R109" s="30" t="inlineStr"/>
      <c r="S109" s="30" t="inlineStr"/>
      <c r="T109" s="30" t="inlineStr"/>
      <c r="U109" s="15">
        <f>IF(A109="","",SUMIFS('07_Nachtraege'!$E:$E,'07_Nachtraege'!$B:$B,A109,'07_Nachtraege'!$F:$F,"beauftragt"))</f>
        <v/>
      </c>
      <c r="V109" s="15">
        <f>IF(A109="","",J109+U109)</f>
        <v/>
      </c>
      <c r="W109" s="15">
        <f>IF(A109="","",SUMIFS('13_Ausgangsrechnungen'!$G:$G,'13_Ausgangsrechnungen'!$C:$C,A109))</f>
        <v/>
      </c>
      <c r="X109" s="15">
        <f>IF(A109="","",SUMIFS('11_Material'!$L:$L,'11_Material'!$C:$C,A109))</f>
        <v/>
      </c>
      <c r="Y109" s="15">
        <f>IF(A109="","",SUMIFS('14_Eingangsrechnungen'!$F:$F,'14_Eingangsrechnungen'!$C:$C,A109,'14_Eingangsrechnungen'!$E:$E,"Nachunternehmer"))</f>
        <v/>
      </c>
      <c r="Z109" s="15">
        <f>IF(A109="","",SUMIFS('10_Stunden'!$K:$K,'10_Stunden'!$C:$C,A109))</f>
        <v/>
      </c>
      <c r="AA109" s="15">
        <f>IF(A109="","",X109+Y109+Z109+SUMIFS('14_Eingangsrechnungen'!$F:$F,'14_Eingangsrechnungen'!$C:$C,A109,'14_Eingangsrechnungen'!$E:$E,"Gerät")+SUMIFS('14_Eingangsrechnungen'!$F:$F,'14_Eingangsrechnungen'!$C:$C,A109,'14_Eingangsrechnungen'!$E:$E,"Dienstleistung"))</f>
        <v/>
      </c>
      <c r="AB109" s="15">
        <f>IF(A109="","",W109-AA109)</f>
        <v/>
      </c>
      <c r="AC109" s="19">
        <f>IF(OR(A109="",W109=0),"",AB109/W109)</f>
        <v/>
      </c>
      <c r="AD109" s="19">
        <f>IF(OR(A109="",V109=0),"",W109/V109)</f>
        <v/>
      </c>
      <c r="AE109" s="15">
        <f>IF(A109="","",MAX(0,V109-W109))</f>
        <v/>
      </c>
      <c r="AF109" s="15">
        <f>IF(A109="","",SUMIFS('13_Ausgangsrechnungen'!$R:$R,'13_Ausgangsrechnungen'!$C:$C,A109))</f>
        <v/>
      </c>
    </row>
    <row r="110">
      <c r="A110" s="30" t="inlineStr"/>
      <c r="B110" s="30" t="inlineStr"/>
      <c r="C110" s="30" t="inlineStr"/>
      <c r="D110" s="30" t="inlineStr"/>
      <c r="E110" s="30" t="inlineStr"/>
      <c r="F110" s="30" t="inlineStr"/>
      <c r="G110" s="38" t="inlineStr"/>
      <c r="H110" s="38" t="inlineStr"/>
      <c r="I110" s="38" t="inlineStr"/>
      <c r="J110" s="34" t="inlineStr"/>
      <c r="K110" s="34" t="inlineStr"/>
      <c r="L110" s="34" t="inlineStr"/>
      <c r="M110" s="34" t="inlineStr"/>
      <c r="N110" s="34" t="inlineStr"/>
      <c r="O110" s="34" t="inlineStr"/>
      <c r="P110" s="32" t="inlineStr"/>
      <c r="Q110" s="30" t="inlineStr"/>
      <c r="R110" s="30" t="inlineStr"/>
      <c r="S110" s="30" t="inlineStr"/>
      <c r="T110" s="30" t="inlineStr"/>
      <c r="U110" s="15">
        <f>IF(A110="","",SUMIFS('07_Nachtraege'!$E:$E,'07_Nachtraege'!$B:$B,A110,'07_Nachtraege'!$F:$F,"beauftragt"))</f>
        <v/>
      </c>
      <c r="V110" s="15">
        <f>IF(A110="","",J110+U110)</f>
        <v/>
      </c>
      <c r="W110" s="15">
        <f>IF(A110="","",SUMIFS('13_Ausgangsrechnungen'!$G:$G,'13_Ausgangsrechnungen'!$C:$C,A110))</f>
        <v/>
      </c>
      <c r="X110" s="15">
        <f>IF(A110="","",SUMIFS('11_Material'!$L:$L,'11_Material'!$C:$C,A110))</f>
        <v/>
      </c>
      <c r="Y110" s="15">
        <f>IF(A110="","",SUMIFS('14_Eingangsrechnungen'!$F:$F,'14_Eingangsrechnungen'!$C:$C,A110,'14_Eingangsrechnungen'!$E:$E,"Nachunternehmer"))</f>
        <v/>
      </c>
      <c r="Z110" s="15">
        <f>IF(A110="","",SUMIFS('10_Stunden'!$K:$K,'10_Stunden'!$C:$C,A110))</f>
        <v/>
      </c>
      <c r="AA110" s="15">
        <f>IF(A110="","",X110+Y110+Z110+SUMIFS('14_Eingangsrechnungen'!$F:$F,'14_Eingangsrechnungen'!$C:$C,A110,'14_Eingangsrechnungen'!$E:$E,"Gerät")+SUMIFS('14_Eingangsrechnungen'!$F:$F,'14_Eingangsrechnungen'!$C:$C,A110,'14_Eingangsrechnungen'!$E:$E,"Dienstleistung"))</f>
        <v/>
      </c>
      <c r="AB110" s="15">
        <f>IF(A110="","",W110-AA110)</f>
        <v/>
      </c>
      <c r="AC110" s="19">
        <f>IF(OR(A110="",W110=0),"",AB110/W110)</f>
        <v/>
      </c>
      <c r="AD110" s="19">
        <f>IF(OR(A110="",V110=0),"",W110/V110)</f>
        <v/>
      </c>
      <c r="AE110" s="15">
        <f>IF(A110="","",MAX(0,V110-W110))</f>
        <v/>
      </c>
      <c r="AF110" s="15">
        <f>IF(A110="","",SUMIFS('13_Ausgangsrechnungen'!$R:$R,'13_Ausgangsrechnungen'!$C:$C,A110))</f>
        <v/>
      </c>
    </row>
    <row r="111">
      <c r="A111" s="30" t="inlineStr"/>
      <c r="B111" s="30" t="inlineStr"/>
      <c r="C111" s="30" t="inlineStr"/>
      <c r="D111" s="30" t="inlineStr"/>
      <c r="E111" s="30" t="inlineStr"/>
      <c r="F111" s="30" t="inlineStr"/>
      <c r="G111" s="38" t="inlineStr"/>
      <c r="H111" s="38" t="inlineStr"/>
      <c r="I111" s="38" t="inlineStr"/>
      <c r="J111" s="34" t="inlineStr"/>
      <c r="K111" s="34" t="inlineStr"/>
      <c r="L111" s="34" t="inlineStr"/>
      <c r="M111" s="34" t="inlineStr"/>
      <c r="N111" s="34" t="inlineStr"/>
      <c r="O111" s="34" t="inlineStr"/>
      <c r="P111" s="32" t="inlineStr"/>
      <c r="Q111" s="30" t="inlineStr"/>
      <c r="R111" s="30" t="inlineStr"/>
      <c r="S111" s="30" t="inlineStr"/>
      <c r="T111" s="30" t="inlineStr"/>
      <c r="U111" s="15">
        <f>IF(A111="","",SUMIFS('07_Nachtraege'!$E:$E,'07_Nachtraege'!$B:$B,A111,'07_Nachtraege'!$F:$F,"beauftragt"))</f>
        <v/>
      </c>
      <c r="V111" s="15">
        <f>IF(A111="","",J111+U111)</f>
        <v/>
      </c>
      <c r="W111" s="15">
        <f>IF(A111="","",SUMIFS('13_Ausgangsrechnungen'!$G:$G,'13_Ausgangsrechnungen'!$C:$C,A111))</f>
        <v/>
      </c>
      <c r="X111" s="15">
        <f>IF(A111="","",SUMIFS('11_Material'!$L:$L,'11_Material'!$C:$C,A111))</f>
        <v/>
      </c>
      <c r="Y111" s="15">
        <f>IF(A111="","",SUMIFS('14_Eingangsrechnungen'!$F:$F,'14_Eingangsrechnungen'!$C:$C,A111,'14_Eingangsrechnungen'!$E:$E,"Nachunternehmer"))</f>
        <v/>
      </c>
      <c r="Z111" s="15">
        <f>IF(A111="","",SUMIFS('10_Stunden'!$K:$K,'10_Stunden'!$C:$C,A111))</f>
        <v/>
      </c>
      <c r="AA111" s="15">
        <f>IF(A111="","",X111+Y111+Z111+SUMIFS('14_Eingangsrechnungen'!$F:$F,'14_Eingangsrechnungen'!$C:$C,A111,'14_Eingangsrechnungen'!$E:$E,"Gerät")+SUMIFS('14_Eingangsrechnungen'!$F:$F,'14_Eingangsrechnungen'!$C:$C,A111,'14_Eingangsrechnungen'!$E:$E,"Dienstleistung"))</f>
        <v/>
      </c>
      <c r="AB111" s="15">
        <f>IF(A111="","",W111-AA111)</f>
        <v/>
      </c>
      <c r="AC111" s="19">
        <f>IF(OR(A111="",W111=0),"",AB111/W111)</f>
        <v/>
      </c>
      <c r="AD111" s="19">
        <f>IF(OR(A111="",V111=0),"",W111/V111)</f>
        <v/>
      </c>
      <c r="AE111" s="15">
        <f>IF(A111="","",MAX(0,V111-W111))</f>
        <v/>
      </c>
      <c r="AF111" s="15">
        <f>IF(A111="","",SUMIFS('13_Ausgangsrechnungen'!$R:$R,'13_Ausgangsrechnungen'!$C:$C,A111))</f>
        <v/>
      </c>
    </row>
    <row r="112">
      <c r="A112" s="30" t="inlineStr"/>
      <c r="B112" s="30" t="inlineStr"/>
      <c r="C112" s="30" t="inlineStr"/>
      <c r="D112" s="30" t="inlineStr"/>
      <c r="E112" s="30" t="inlineStr"/>
      <c r="F112" s="30" t="inlineStr"/>
      <c r="G112" s="38" t="inlineStr"/>
      <c r="H112" s="38" t="inlineStr"/>
      <c r="I112" s="38" t="inlineStr"/>
      <c r="J112" s="34" t="inlineStr"/>
      <c r="K112" s="34" t="inlineStr"/>
      <c r="L112" s="34" t="inlineStr"/>
      <c r="M112" s="34" t="inlineStr"/>
      <c r="N112" s="34" t="inlineStr"/>
      <c r="O112" s="34" t="inlineStr"/>
      <c r="P112" s="32" t="inlineStr"/>
      <c r="Q112" s="30" t="inlineStr"/>
      <c r="R112" s="30" t="inlineStr"/>
      <c r="S112" s="30" t="inlineStr"/>
      <c r="T112" s="30" t="inlineStr"/>
      <c r="U112" s="15">
        <f>IF(A112="","",SUMIFS('07_Nachtraege'!$E:$E,'07_Nachtraege'!$B:$B,A112,'07_Nachtraege'!$F:$F,"beauftragt"))</f>
        <v/>
      </c>
      <c r="V112" s="15">
        <f>IF(A112="","",J112+U112)</f>
        <v/>
      </c>
      <c r="W112" s="15">
        <f>IF(A112="","",SUMIFS('13_Ausgangsrechnungen'!$G:$G,'13_Ausgangsrechnungen'!$C:$C,A112))</f>
        <v/>
      </c>
      <c r="X112" s="15">
        <f>IF(A112="","",SUMIFS('11_Material'!$L:$L,'11_Material'!$C:$C,A112))</f>
        <v/>
      </c>
      <c r="Y112" s="15">
        <f>IF(A112="","",SUMIFS('14_Eingangsrechnungen'!$F:$F,'14_Eingangsrechnungen'!$C:$C,A112,'14_Eingangsrechnungen'!$E:$E,"Nachunternehmer"))</f>
        <v/>
      </c>
      <c r="Z112" s="15">
        <f>IF(A112="","",SUMIFS('10_Stunden'!$K:$K,'10_Stunden'!$C:$C,A112))</f>
        <v/>
      </c>
      <c r="AA112" s="15">
        <f>IF(A112="","",X112+Y112+Z112+SUMIFS('14_Eingangsrechnungen'!$F:$F,'14_Eingangsrechnungen'!$C:$C,A112,'14_Eingangsrechnungen'!$E:$E,"Gerät")+SUMIFS('14_Eingangsrechnungen'!$F:$F,'14_Eingangsrechnungen'!$C:$C,A112,'14_Eingangsrechnungen'!$E:$E,"Dienstleistung"))</f>
        <v/>
      </c>
      <c r="AB112" s="15">
        <f>IF(A112="","",W112-AA112)</f>
        <v/>
      </c>
      <c r="AC112" s="19">
        <f>IF(OR(A112="",W112=0),"",AB112/W112)</f>
        <v/>
      </c>
      <c r="AD112" s="19">
        <f>IF(OR(A112="",V112=0),"",W112/V112)</f>
        <v/>
      </c>
      <c r="AE112" s="15">
        <f>IF(A112="","",MAX(0,V112-W112))</f>
        <v/>
      </c>
      <c r="AF112" s="15">
        <f>IF(A112="","",SUMIFS('13_Ausgangsrechnungen'!$R:$R,'13_Ausgangsrechnungen'!$C:$C,A112))</f>
        <v/>
      </c>
    </row>
    <row r="113">
      <c r="A113" s="30" t="inlineStr"/>
      <c r="B113" s="30" t="inlineStr"/>
      <c r="C113" s="30" t="inlineStr"/>
      <c r="D113" s="30" t="inlineStr"/>
      <c r="E113" s="30" t="inlineStr"/>
      <c r="F113" s="30" t="inlineStr"/>
      <c r="G113" s="38" t="inlineStr"/>
      <c r="H113" s="38" t="inlineStr"/>
      <c r="I113" s="38" t="inlineStr"/>
      <c r="J113" s="34" t="inlineStr"/>
      <c r="K113" s="34" t="inlineStr"/>
      <c r="L113" s="34" t="inlineStr"/>
      <c r="M113" s="34" t="inlineStr"/>
      <c r="N113" s="34" t="inlineStr"/>
      <c r="O113" s="34" t="inlineStr"/>
      <c r="P113" s="32" t="inlineStr"/>
      <c r="Q113" s="30" t="inlineStr"/>
      <c r="R113" s="30" t="inlineStr"/>
      <c r="S113" s="30" t="inlineStr"/>
      <c r="T113" s="30" t="inlineStr"/>
      <c r="U113" s="15">
        <f>IF(A113="","",SUMIFS('07_Nachtraege'!$E:$E,'07_Nachtraege'!$B:$B,A113,'07_Nachtraege'!$F:$F,"beauftragt"))</f>
        <v/>
      </c>
      <c r="V113" s="15">
        <f>IF(A113="","",J113+U113)</f>
        <v/>
      </c>
      <c r="W113" s="15">
        <f>IF(A113="","",SUMIFS('13_Ausgangsrechnungen'!$G:$G,'13_Ausgangsrechnungen'!$C:$C,A113))</f>
        <v/>
      </c>
      <c r="X113" s="15">
        <f>IF(A113="","",SUMIFS('11_Material'!$L:$L,'11_Material'!$C:$C,A113))</f>
        <v/>
      </c>
      <c r="Y113" s="15">
        <f>IF(A113="","",SUMIFS('14_Eingangsrechnungen'!$F:$F,'14_Eingangsrechnungen'!$C:$C,A113,'14_Eingangsrechnungen'!$E:$E,"Nachunternehmer"))</f>
        <v/>
      </c>
      <c r="Z113" s="15">
        <f>IF(A113="","",SUMIFS('10_Stunden'!$K:$K,'10_Stunden'!$C:$C,A113))</f>
        <v/>
      </c>
      <c r="AA113" s="15">
        <f>IF(A113="","",X113+Y113+Z113+SUMIFS('14_Eingangsrechnungen'!$F:$F,'14_Eingangsrechnungen'!$C:$C,A113,'14_Eingangsrechnungen'!$E:$E,"Gerät")+SUMIFS('14_Eingangsrechnungen'!$F:$F,'14_Eingangsrechnungen'!$C:$C,A113,'14_Eingangsrechnungen'!$E:$E,"Dienstleistung"))</f>
        <v/>
      </c>
      <c r="AB113" s="15">
        <f>IF(A113="","",W113-AA113)</f>
        <v/>
      </c>
      <c r="AC113" s="19">
        <f>IF(OR(A113="",W113=0),"",AB113/W113)</f>
        <v/>
      </c>
      <c r="AD113" s="19">
        <f>IF(OR(A113="",V113=0),"",W113/V113)</f>
        <v/>
      </c>
      <c r="AE113" s="15">
        <f>IF(A113="","",MAX(0,V113-W113))</f>
        <v/>
      </c>
      <c r="AF113" s="15">
        <f>IF(A113="","",SUMIFS('13_Ausgangsrechnungen'!$R:$R,'13_Ausgangsrechnungen'!$C:$C,A113))</f>
        <v/>
      </c>
    </row>
    <row r="114">
      <c r="A114" s="30" t="inlineStr"/>
      <c r="B114" s="30" t="inlineStr"/>
      <c r="C114" s="30" t="inlineStr"/>
      <c r="D114" s="30" t="inlineStr"/>
      <c r="E114" s="30" t="inlineStr"/>
      <c r="F114" s="30" t="inlineStr"/>
      <c r="G114" s="38" t="inlineStr"/>
      <c r="H114" s="38" t="inlineStr"/>
      <c r="I114" s="38" t="inlineStr"/>
      <c r="J114" s="34" t="inlineStr"/>
      <c r="K114" s="34" t="inlineStr"/>
      <c r="L114" s="34" t="inlineStr"/>
      <c r="M114" s="34" t="inlineStr"/>
      <c r="N114" s="34" t="inlineStr"/>
      <c r="O114" s="34" t="inlineStr"/>
      <c r="P114" s="32" t="inlineStr"/>
      <c r="Q114" s="30" t="inlineStr"/>
      <c r="R114" s="30" t="inlineStr"/>
      <c r="S114" s="30" t="inlineStr"/>
      <c r="T114" s="30" t="inlineStr"/>
      <c r="U114" s="15">
        <f>IF(A114="","",SUMIFS('07_Nachtraege'!$E:$E,'07_Nachtraege'!$B:$B,A114,'07_Nachtraege'!$F:$F,"beauftragt"))</f>
        <v/>
      </c>
      <c r="V114" s="15">
        <f>IF(A114="","",J114+U114)</f>
        <v/>
      </c>
      <c r="W114" s="15">
        <f>IF(A114="","",SUMIFS('13_Ausgangsrechnungen'!$G:$G,'13_Ausgangsrechnungen'!$C:$C,A114))</f>
        <v/>
      </c>
      <c r="X114" s="15">
        <f>IF(A114="","",SUMIFS('11_Material'!$L:$L,'11_Material'!$C:$C,A114))</f>
        <v/>
      </c>
      <c r="Y114" s="15">
        <f>IF(A114="","",SUMIFS('14_Eingangsrechnungen'!$F:$F,'14_Eingangsrechnungen'!$C:$C,A114,'14_Eingangsrechnungen'!$E:$E,"Nachunternehmer"))</f>
        <v/>
      </c>
      <c r="Z114" s="15">
        <f>IF(A114="","",SUMIFS('10_Stunden'!$K:$K,'10_Stunden'!$C:$C,A114))</f>
        <v/>
      </c>
      <c r="AA114" s="15">
        <f>IF(A114="","",X114+Y114+Z114+SUMIFS('14_Eingangsrechnungen'!$F:$F,'14_Eingangsrechnungen'!$C:$C,A114,'14_Eingangsrechnungen'!$E:$E,"Gerät")+SUMIFS('14_Eingangsrechnungen'!$F:$F,'14_Eingangsrechnungen'!$C:$C,A114,'14_Eingangsrechnungen'!$E:$E,"Dienstleistung"))</f>
        <v/>
      </c>
      <c r="AB114" s="15">
        <f>IF(A114="","",W114-AA114)</f>
        <v/>
      </c>
      <c r="AC114" s="19">
        <f>IF(OR(A114="",W114=0),"",AB114/W114)</f>
        <v/>
      </c>
      <c r="AD114" s="19">
        <f>IF(OR(A114="",V114=0),"",W114/V114)</f>
        <v/>
      </c>
      <c r="AE114" s="15">
        <f>IF(A114="","",MAX(0,V114-W114))</f>
        <v/>
      </c>
      <c r="AF114" s="15">
        <f>IF(A114="","",SUMIFS('13_Ausgangsrechnungen'!$R:$R,'13_Ausgangsrechnungen'!$C:$C,A114))</f>
        <v/>
      </c>
    </row>
    <row r="115">
      <c r="A115" s="30" t="inlineStr"/>
      <c r="B115" s="30" t="inlineStr"/>
      <c r="C115" s="30" t="inlineStr"/>
      <c r="D115" s="30" t="inlineStr"/>
      <c r="E115" s="30" t="inlineStr"/>
      <c r="F115" s="30" t="inlineStr"/>
      <c r="G115" s="38" t="inlineStr"/>
      <c r="H115" s="38" t="inlineStr"/>
      <c r="I115" s="38" t="inlineStr"/>
      <c r="J115" s="34" t="inlineStr"/>
      <c r="K115" s="34" t="inlineStr"/>
      <c r="L115" s="34" t="inlineStr"/>
      <c r="M115" s="34" t="inlineStr"/>
      <c r="N115" s="34" t="inlineStr"/>
      <c r="O115" s="34" t="inlineStr"/>
      <c r="P115" s="32" t="inlineStr"/>
      <c r="Q115" s="30" t="inlineStr"/>
      <c r="R115" s="30" t="inlineStr"/>
      <c r="S115" s="30" t="inlineStr"/>
      <c r="T115" s="30" t="inlineStr"/>
      <c r="U115" s="15">
        <f>IF(A115="","",SUMIFS('07_Nachtraege'!$E:$E,'07_Nachtraege'!$B:$B,A115,'07_Nachtraege'!$F:$F,"beauftragt"))</f>
        <v/>
      </c>
      <c r="V115" s="15">
        <f>IF(A115="","",J115+U115)</f>
        <v/>
      </c>
      <c r="W115" s="15">
        <f>IF(A115="","",SUMIFS('13_Ausgangsrechnungen'!$G:$G,'13_Ausgangsrechnungen'!$C:$C,A115))</f>
        <v/>
      </c>
      <c r="X115" s="15">
        <f>IF(A115="","",SUMIFS('11_Material'!$L:$L,'11_Material'!$C:$C,A115))</f>
        <v/>
      </c>
      <c r="Y115" s="15">
        <f>IF(A115="","",SUMIFS('14_Eingangsrechnungen'!$F:$F,'14_Eingangsrechnungen'!$C:$C,A115,'14_Eingangsrechnungen'!$E:$E,"Nachunternehmer"))</f>
        <v/>
      </c>
      <c r="Z115" s="15">
        <f>IF(A115="","",SUMIFS('10_Stunden'!$K:$K,'10_Stunden'!$C:$C,A115))</f>
        <v/>
      </c>
      <c r="AA115" s="15">
        <f>IF(A115="","",X115+Y115+Z115+SUMIFS('14_Eingangsrechnungen'!$F:$F,'14_Eingangsrechnungen'!$C:$C,A115,'14_Eingangsrechnungen'!$E:$E,"Gerät")+SUMIFS('14_Eingangsrechnungen'!$F:$F,'14_Eingangsrechnungen'!$C:$C,A115,'14_Eingangsrechnungen'!$E:$E,"Dienstleistung"))</f>
        <v/>
      </c>
      <c r="AB115" s="15">
        <f>IF(A115="","",W115-AA115)</f>
        <v/>
      </c>
      <c r="AC115" s="19">
        <f>IF(OR(A115="",W115=0),"",AB115/W115)</f>
        <v/>
      </c>
      <c r="AD115" s="19">
        <f>IF(OR(A115="",V115=0),"",W115/V115)</f>
        <v/>
      </c>
      <c r="AE115" s="15">
        <f>IF(A115="","",MAX(0,V115-W115))</f>
        <v/>
      </c>
      <c r="AF115" s="15">
        <f>IF(A115="","",SUMIFS('13_Ausgangsrechnungen'!$R:$R,'13_Ausgangsrechnungen'!$C:$C,A115))</f>
        <v/>
      </c>
    </row>
    <row r="116">
      <c r="A116" s="30" t="inlineStr"/>
      <c r="B116" s="30" t="inlineStr"/>
      <c r="C116" s="30" t="inlineStr"/>
      <c r="D116" s="30" t="inlineStr"/>
      <c r="E116" s="30" t="inlineStr"/>
      <c r="F116" s="30" t="inlineStr"/>
      <c r="G116" s="38" t="inlineStr"/>
      <c r="H116" s="38" t="inlineStr"/>
      <c r="I116" s="38" t="inlineStr"/>
      <c r="J116" s="34" t="inlineStr"/>
      <c r="K116" s="34" t="inlineStr"/>
      <c r="L116" s="34" t="inlineStr"/>
      <c r="M116" s="34" t="inlineStr"/>
      <c r="N116" s="34" t="inlineStr"/>
      <c r="O116" s="34" t="inlineStr"/>
      <c r="P116" s="32" t="inlineStr"/>
      <c r="Q116" s="30" t="inlineStr"/>
      <c r="R116" s="30" t="inlineStr"/>
      <c r="S116" s="30" t="inlineStr"/>
      <c r="T116" s="30" t="inlineStr"/>
      <c r="U116" s="15">
        <f>IF(A116="","",SUMIFS('07_Nachtraege'!$E:$E,'07_Nachtraege'!$B:$B,A116,'07_Nachtraege'!$F:$F,"beauftragt"))</f>
        <v/>
      </c>
      <c r="V116" s="15">
        <f>IF(A116="","",J116+U116)</f>
        <v/>
      </c>
      <c r="W116" s="15">
        <f>IF(A116="","",SUMIFS('13_Ausgangsrechnungen'!$G:$G,'13_Ausgangsrechnungen'!$C:$C,A116))</f>
        <v/>
      </c>
      <c r="X116" s="15">
        <f>IF(A116="","",SUMIFS('11_Material'!$L:$L,'11_Material'!$C:$C,A116))</f>
        <v/>
      </c>
      <c r="Y116" s="15">
        <f>IF(A116="","",SUMIFS('14_Eingangsrechnungen'!$F:$F,'14_Eingangsrechnungen'!$C:$C,A116,'14_Eingangsrechnungen'!$E:$E,"Nachunternehmer"))</f>
        <v/>
      </c>
      <c r="Z116" s="15">
        <f>IF(A116="","",SUMIFS('10_Stunden'!$K:$K,'10_Stunden'!$C:$C,A116))</f>
        <v/>
      </c>
      <c r="AA116" s="15">
        <f>IF(A116="","",X116+Y116+Z116+SUMIFS('14_Eingangsrechnungen'!$F:$F,'14_Eingangsrechnungen'!$C:$C,A116,'14_Eingangsrechnungen'!$E:$E,"Gerät")+SUMIFS('14_Eingangsrechnungen'!$F:$F,'14_Eingangsrechnungen'!$C:$C,A116,'14_Eingangsrechnungen'!$E:$E,"Dienstleistung"))</f>
        <v/>
      </c>
      <c r="AB116" s="15">
        <f>IF(A116="","",W116-AA116)</f>
        <v/>
      </c>
      <c r="AC116" s="19">
        <f>IF(OR(A116="",W116=0),"",AB116/W116)</f>
        <v/>
      </c>
      <c r="AD116" s="19">
        <f>IF(OR(A116="",V116=0),"",W116/V116)</f>
        <v/>
      </c>
      <c r="AE116" s="15">
        <f>IF(A116="","",MAX(0,V116-W116))</f>
        <v/>
      </c>
      <c r="AF116" s="15">
        <f>IF(A116="","",SUMIFS('13_Ausgangsrechnungen'!$R:$R,'13_Ausgangsrechnungen'!$C:$C,A116))</f>
        <v/>
      </c>
    </row>
    <row r="117">
      <c r="A117" s="30" t="inlineStr"/>
      <c r="B117" s="30" t="inlineStr"/>
      <c r="C117" s="30" t="inlineStr"/>
      <c r="D117" s="30" t="inlineStr"/>
      <c r="E117" s="30" t="inlineStr"/>
      <c r="F117" s="30" t="inlineStr"/>
      <c r="G117" s="38" t="inlineStr"/>
      <c r="H117" s="38" t="inlineStr"/>
      <c r="I117" s="38" t="inlineStr"/>
      <c r="J117" s="34" t="inlineStr"/>
      <c r="K117" s="34" t="inlineStr"/>
      <c r="L117" s="34" t="inlineStr"/>
      <c r="M117" s="34" t="inlineStr"/>
      <c r="N117" s="34" t="inlineStr"/>
      <c r="O117" s="34" t="inlineStr"/>
      <c r="P117" s="32" t="inlineStr"/>
      <c r="Q117" s="30" t="inlineStr"/>
      <c r="R117" s="30" t="inlineStr"/>
      <c r="S117" s="30" t="inlineStr"/>
      <c r="T117" s="30" t="inlineStr"/>
      <c r="U117" s="15">
        <f>IF(A117="","",SUMIFS('07_Nachtraege'!$E:$E,'07_Nachtraege'!$B:$B,A117,'07_Nachtraege'!$F:$F,"beauftragt"))</f>
        <v/>
      </c>
      <c r="V117" s="15">
        <f>IF(A117="","",J117+U117)</f>
        <v/>
      </c>
      <c r="W117" s="15">
        <f>IF(A117="","",SUMIFS('13_Ausgangsrechnungen'!$G:$G,'13_Ausgangsrechnungen'!$C:$C,A117))</f>
        <v/>
      </c>
      <c r="X117" s="15">
        <f>IF(A117="","",SUMIFS('11_Material'!$L:$L,'11_Material'!$C:$C,A117))</f>
        <v/>
      </c>
      <c r="Y117" s="15">
        <f>IF(A117="","",SUMIFS('14_Eingangsrechnungen'!$F:$F,'14_Eingangsrechnungen'!$C:$C,A117,'14_Eingangsrechnungen'!$E:$E,"Nachunternehmer"))</f>
        <v/>
      </c>
      <c r="Z117" s="15">
        <f>IF(A117="","",SUMIFS('10_Stunden'!$K:$K,'10_Stunden'!$C:$C,A117))</f>
        <v/>
      </c>
      <c r="AA117" s="15">
        <f>IF(A117="","",X117+Y117+Z117+SUMIFS('14_Eingangsrechnungen'!$F:$F,'14_Eingangsrechnungen'!$C:$C,A117,'14_Eingangsrechnungen'!$E:$E,"Gerät")+SUMIFS('14_Eingangsrechnungen'!$F:$F,'14_Eingangsrechnungen'!$C:$C,A117,'14_Eingangsrechnungen'!$E:$E,"Dienstleistung"))</f>
        <v/>
      </c>
      <c r="AB117" s="15">
        <f>IF(A117="","",W117-AA117)</f>
        <v/>
      </c>
      <c r="AC117" s="19">
        <f>IF(OR(A117="",W117=0),"",AB117/W117)</f>
        <v/>
      </c>
      <c r="AD117" s="19">
        <f>IF(OR(A117="",V117=0),"",W117/V117)</f>
        <v/>
      </c>
      <c r="AE117" s="15">
        <f>IF(A117="","",MAX(0,V117-W117))</f>
        <v/>
      </c>
      <c r="AF117" s="15">
        <f>IF(A117="","",SUMIFS('13_Ausgangsrechnungen'!$R:$R,'13_Ausgangsrechnungen'!$C:$C,A117))</f>
        <v/>
      </c>
    </row>
    <row r="118">
      <c r="A118" s="30" t="inlineStr"/>
      <c r="B118" s="30" t="inlineStr"/>
      <c r="C118" s="30" t="inlineStr"/>
      <c r="D118" s="30" t="inlineStr"/>
      <c r="E118" s="30" t="inlineStr"/>
      <c r="F118" s="30" t="inlineStr"/>
      <c r="G118" s="38" t="inlineStr"/>
      <c r="H118" s="38" t="inlineStr"/>
      <c r="I118" s="38" t="inlineStr"/>
      <c r="J118" s="34" t="inlineStr"/>
      <c r="K118" s="34" t="inlineStr"/>
      <c r="L118" s="34" t="inlineStr"/>
      <c r="M118" s="34" t="inlineStr"/>
      <c r="N118" s="34" t="inlineStr"/>
      <c r="O118" s="34" t="inlineStr"/>
      <c r="P118" s="32" t="inlineStr"/>
      <c r="Q118" s="30" t="inlineStr"/>
      <c r="R118" s="30" t="inlineStr"/>
      <c r="S118" s="30" t="inlineStr"/>
      <c r="T118" s="30" t="inlineStr"/>
      <c r="U118" s="15">
        <f>IF(A118="","",SUMIFS('07_Nachtraege'!$E:$E,'07_Nachtraege'!$B:$B,A118,'07_Nachtraege'!$F:$F,"beauftragt"))</f>
        <v/>
      </c>
      <c r="V118" s="15">
        <f>IF(A118="","",J118+U118)</f>
        <v/>
      </c>
      <c r="W118" s="15">
        <f>IF(A118="","",SUMIFS('13_Ausgangsrechnungen'!$G:$G,'13_Ausgangsrechnungen'!$C:$C,A118))</f>
        <v/>
      </c>
      <c r="X118" s="15">
        <f>IF(A118="","",SUMIFS('11_Material'!$L:$L,'11_Material'!$C:$C,A118))</f>
        <v/>
      </c>
      <c r="Y118" s="15">
        <f>IF(A118="","",SUMIFS('14_Eingangsrechnungen'!$F:$F,'14_Eingangsrechnungen'!$C:$C,A118,'14_Eingangsrechnungen'!$E:$E,"Nachunternehmer"))</f>
        <v/>
      </c>
      <c r="Z118" s="15">
        <f>IF(A118="","",SUMIFS('10_Stunden'!$K:$K,'10_Stunden'!$C:$C,A118))</f>
        <v/>
      </c>
      <c r="AA118" s="15">
        <f>IF(A118="","",X118+Y118+Z118+SUMIFS('14_Eingangsrechnungen'!$F:$F,'14_Eingangsrechnungen'!$C:$C,A118,'14_Eingangsrechnungen'!$E:$E,"Gerät")+SUMIFS('14_Eingangsrechnungen'!$F:$F,'14_Eingangsrechnungen'!$C:$C,A118,'14_Eingangsrechnungen'!$E:$E,"Dienstleistung"))</f>
        <v/>
      </c>
      <c r="AB118" s="15">
        <f>IF(A118="","",W118-AA118)</f>
        <v/>
      </c>
      <c r="AC118" s="19">
        <f>IF(OR(A118="",W118=0),"",AB118/W118)</f>
        <v/>
      </c>
      <c r="AD118" s="19">
        <f>IF(OR(A118="",V118=0),"",W118/V118)</f>
        <v/>
      </c>
      <c r="AE118" s="15">
        <f>IF(A118="","",MAX(0,V118-W118))</f>
        <v/>
      </c>
      <c r="AF118" s="15">
        <f>IF(A118="","",SUMIFS('13_Ausgangsrechnungen'!$R:$R,'13_Ausgangsrechnungen'!$C:$C,A118))</f>
        <v/>
      </c>
    </row>
    <row r="119">
      <c r="A119" s="30" t="inlineStr"/>
      <c r="B119" s="30" t="inlineStr"/>
      <c r="C119" s="30" t="inlineStr"/>
      <c r="D119" s="30" t="inlineStr"/>
      <c r="E119" s="30" t="inlineStr"/>
      <c r="F119" s="30" t="inlineStr"/>
      <c r="G119" s="38" t="inlineStr"/>
      <c r="H119" s="38" t="inlineStr"/>
      <c r="I119" s="38" t="inlineStr"/>
      <c r="J119" s="34" t="inlineStr"/>
      <c r="K119" s="34" t="inlineStr"/>
      <c r="L119" s="34" t="inlineStr"/>
      <c r="M119" s="34" t="inlineStr"/>
      <c r="N119" s="34" t="inlineStr"/>
      <c r="O119" s="34" t="inlineStr"/>
      <c r="P119" s="32" t="inlineStr"/>
      <c r="Q119" s="30" t="inlineStr"/>
      <c r="R119" s="30" t="inlineStr"/>
      <c r="S119" s="30" t="inlineStr"/>
      <c r="T119" s="30" t="inlineStr"/>
      <c r="U119" s="15">
        <f>IF(A119="","",SUMIFS('07_Nachtraege'!$E:$E,'07_Nachtraege'!$B:$B,A119,'07_Nachtraege'!$F:$F,"beauftragt"))</f>
        <v/>
      </c>
      <c r="V119" s="15">
        <f>IF(A119="","",J119+U119)</f>
        <v/>
      </c>
      <c r="W119" s="15">
        <f>IF(A119="","",SUMIFS('13_Ausgangsrechnungen'!$G:$G,'13_Ausgangsrechnungen'!$C:$C,A119))</f>
        <v/>
      </c>
      <c r="X119" s="15">
        <f>IF(A119="","",SUMIFS('11_Material'!$L:$L,'11_Material'!$C:$C,A119))</f>
        <v/>
      </c>
      <c r="Y119" s="15">
        <f>IF(A119="","",SUMIFS('14_Eingangsrechnungen'!$F:$F,'14_Eingangsrechnungen'!$C:$C,A119,'14_Eingangsrechnungen'!$E:$E,"Nachunternehmer"))</f>
        <v/>
      </c>
      <c r="Z119" s="15">
        <f>IF(A119="","",SUMIFS('10_Stunden'!$K:$K,'10_Stunden'!$C:$C,A119))</f>
        <v/>
      </c>
      <c r="AA119" s="15">
        <f>IF(A119="","",X119+Y119+Z119+SUMIFS('14_Eingangsrechnungen'!$F:$F,'14_Eingangsrechnungen'!$C:$C,A119,'14_Eingangsrechnungen'!$E:$E,"Gerät")+SUMIFS('14_Eingangsrechnungen'!$F:$F,'14_Eingangsrechnungen'!$C:$C,A119,'14_Eingangsrechnungen'!$E:$E,"Dienstleistung"))</f>
        <v/>
      </c>
      <c r="AB119" s="15">
        <f>IF(A119="","",W119-AA119)</f>
        <v/>
      </c>
      <c r="AC119" s="19">
        <f>IF(OR(A119="",W119=0),"",AB119/W119)</f>
        <v/>
      </c>
      <c r="AD119" s="19">
        <f>IF(OR(A119="",V119=0),"",W119/V119)</f>
        <v/>
      </c>
      <c r="AE119" s="15">
        <f>IF(A119="","",MAX(0,V119-W119))</f>
        <v/>
      </c>
      <c r="AF119" s="15">
        <f>IF(A119="","",SUMIFS('13_Ausgangsrechnungen'!$R:$R,'13_Ausgangsrechnungen'!$C:$C,A119))</f>
        <v/>
      </c>
    </row>
    <row r="120">
      <c r="A120" s="30" t="inlineStr"/>
      <c r="B120" s="30" t="inlineStr"/>
      <c r="C120" s="30" t="inlineStr"/>
      <c r="D120" s="30" t="inlineStr"/>
      <c r="E120" s="30" t="inlineStr"/>
      <c r="F120" s="30" t="inlineStr"/>
      <c r="G120" s="38" t="inlineStr"/>
      <c r="H120" s="38" t="inlineStr"/>
      <c r="I120" s="38" t="inlineStr"/>
      <c r="J120" s="34" t="inlineStr"/>
      <c r="K120" s="34" t="inlineStr"/>
      <c r="L120" s="34" t="inlineStr"/>
      <c r="M120" s="34" t="inlineStr"/>
      <c r="N120" s="34" t="inlineStr"/>
      <c r="O120" s="34" t="inlineStr"/>
      <c r="P120" s="32" t="inlineStr"/>
      <c r="Q120" s="30" t="inlineStr"/>
      <c r="R120" s="30" t="inlineStr"/>
      <c r="S120" s="30" t="inlineStr"/>
      <c r="T120" s="30" t="inlineStr"/>
      <c r="U120" s="15">
        <f>IF(A120="","",SUMIFS('07_Nachtraege'!$E:$E,'07_Nachtraege'!$B:$B,A120,'07_Nachtraege'!$F:$F,"beauftragt"))</f>
        <v/>
      </c>
      <c r="V120" s="15">
        <f>IF(A120="","",J120+U120)</f>
        <v/>
      </c>
      <c r="W120" s="15">
        <f>IF(A120="","",SUMIFS('13_Ausgangsrechnungen'!$G:$G,'13_Ausgangsrechnungen'!$C:$C,A120))</f>
        <v/>
      </c>
      <c r="X120" s="15">
        <f>IF(A120="","",SUMIFS('11_Material'!$L:$L,'11_Material'!$C:$C,A120))</f>
        <v/>
      </c>
      <c r="Y120" s="15">
        <f>IF(A120="","",SUMIFS('14_Eingangsrechnungen'!$F:$F,'14_Eingangsrechnungen'!$C:$C,A120,'14_Eingangsrechnungen'!$E:$E,"Nachunternehmer"))</f>
        <v/>
      </c>
      <c r="Z120" s="15">
        <f>IF(A120="","",SUMIFS('10_Stunden'!$K:$K,'10_Stunden'!$C:$C,A120))</f>
        <v/>
      </c>
      <c r="AA120" s="15">
        <f>IF(A120="","",X120+Y120+Z120+SUMIFS('14_Eingangsrechnungen'!$F:$F,'14_Eingangsrechnungen'!$C:$C,A120,'14_Eingangsrechnungen'!$E:$E,"Gerät")+SUMIFS('14_Eingangsrechnungen'!$F:$F,'14_Eingangsrechnungen'!$C:$C,A120,'14_Eingangsrechnungen'!$E:$E,"Dienstleistung"))</f>
        <v/>
      </c>
      <c r="AB120" s="15">
        <f>IF(A120="","",W120-AA120)</f>
        <v/>
      </c>
      <c r="AC120" s="19">
        <f>IF(OR(A120="",W120=0),"",AB120/W120)</f>
        <v/>
      </c>
      <c r="AD120" s="19">
        <f>IF(OR(A120="",V120=0),"",W120/V120)</f>
        <v/>
      </c>
      <c r="AE120" s="15">
        <f>IF(A120="","",MAX(0,V120-W120))</f>
        <v/>
      </c>
      <c r="AF120" s="15">
        <f>IF(A120="","",SUMIFS('13_Ausgangsrechnungen'!$R:$R,'13_Ausgangsrechnungen'!$C:$C,A120))</f>
        <v/>
      </c>
    </row>
    <row r="121">
      <c r="A121" s="30" t="inlineStr"/>
      <c r="B121" s="30" t="inlineStr"/>
      <c r="C121" s="30" t="inlineStr"/>
      <c r="D121" s="30" t="inlineStr"/>
      <c r="E121" s="30" t="inlineStr"/>
      <c r="F121" s="30" t="inlineStr"/>
      <c r="G121" s="38" t="inlineStr"/>
      <c r="H121" s="38" t="inlineStr"/>
      <c r="I121" s="38" t="inlineStr"/>
      <c r="J121" s="34" t="inlineStr"/>
      <c r="K121" s="34" t="inlineStr"/>
      <c r="L121" s="34" t="inlineStr"/>
      <c r="M121" s="34" t="inlineStr"/>
      <c r="N121" s="34" t="inlineStr"/>
      <c r="O121" s="34" t="inlineStr"/>
      <c r="P121" s="32" t="inlineStr"/>
      <c r="Q121" s="30" t="inlineStr"/>
      <c r="R121" s="30" t="inlineStr"/>
      <c r="S121" s="30" t="inlineStr"/>
      <c r="T121" s="30" t="inlineStr"/>
      <c r="U121" s="15">
        <f>IF(A121="","",SUMIFS('07_Nachtraege'!$E:$E,'07_Nachtraege'!$B:$B,A121,'07_Nachtraege'!$F:$F,"beauftragt"))</f>
        <v/>
      </c>
      <c r="V121" s="15">
        <f>IF(A121="","",J121+U121)</f>
        <v/>
      </c>
      <c r="W121" s="15">
        <f>IF(A121="","",SUMIFS('13_Ausgangsrechnungen'!$G:$G,'13_Ausgangsrechnungen'!$C:$C,A121))</f>
        <v/>
      </c>
      <c r="X121" s="15">
        <f>IF(A121="","",SUMIFS('11_Material'!$L:$L,'11_Material'!$C:$C,A121))</f>
        <v/>
      </c>
      <c r="Y121" s="15">
        <f>IF(A121="","",SUMIFS('14_Eingangsrechnungen'!$F:$F,'14_Eingangsrechnungen'!$C:$C,A121,'14_Eingangsrechnungen'!$E:$E,"Nachunternehmer"))</f>
        <v/>
      </c>
      <c r="Z121" s="15">
        <f>IF(A121="","",SUMIFS('10_Stunden'!$K:$K,'10_Stunden'!$C:$C,A121))</f>
        <v/>
      </c>
      <c r="AA121" s="15">
        <f>IF(A121="","",X121+Y121+Z121+SUMIFS('14_Eingangsrechnungen'!$F:$F,'14_Eingangsrechnungen'!$C:$C,A121,'14_Eingangsrechnungen'!$E:$E,"Gerät")+SUMIFS('14_Eingangsrechnungen'!$F:$F,'14_Eingangsrechnungen'!$C:$C,A121,'14_Eingangsrechnungen'!$E:$E,"Dienstleistung"))</f>
        <v/>
      </c>
      <c r="AB121" s="15">
        <f>IF(A121="","",W121-AA121)</f>
        <v/>
      </c>
      <c r="AC121" s="19">
        <f>IF(OR(A121="",W121=0),"",AB121/W121)</f>
        <v/>
      </c>
      <c r="AD121" s="19">
        <f>IF(OR(A121="",V121=0),"",W121/V121)</f>
        <v/>
      </c>
      <c r="AE121" s="15">
        <f>IF(A121="","",MAX(0,V121-W121))</f>
        <v/>
      </c>
      <c r="AF121" s="15">
        <f>IF(A121="","",SUMIFS('13_Ausgangsrechnungen'!$R:$R,'13_Ausgangsrechnungen'!$C:$C,A121))</f>
        <v/>
      </c>
    </row>
    <row r="122">
      <c r="A122" s="30" t="inlineStr"/>
      <c r="B122" s="30" t="inlineStr"/>
      <c r="C122" s="30" t="inlineStr"/>
      <c r="D122" s="30" t="inlineStr"/>
      <c r="E122" s="30" t="inlineStr"/>
      <c r="F122" s="30" t="inlineStr"/>
      <c r="G122" s="38" t="inlineStr"/>
      <c r="H122" s="38" t="inlineStr"/>
      <c r="I122" s="38" t="inlineStr"/>
      <c r="J122" s="34" t="inlineStr"/>
      <c r="K122" s="34" t="inlineStr"/>
      <c r="L122" s="34" t="inlineStr"/>
      <c r="M122" s="34" t="inlineStr"/>
      <c r="N122" s="34" t="inlineStr"/>
      <c r="O122" s="34" t="inlineStr"/>
      <c r="P122" s="32" t="inlineStr"/>
      <c r="Q122" s="30" t="inlineStr"/>
      <c r="R122" s="30" t="inlineStr"/>
      <c r="S122" s="30" t="inlineStr"/>
      <c r="T122" s="30" t="inlineStr"/>
      <c r="U122" s="15">
        <f>IF(A122="","",SUMIFS('07_Nachtraege'!$E:$E,'07_Nachtraege'!$B:$B,A122,'07_Nachtraege'!$F:$F,"beauftragt"))</f>
        <v/>
      </c>
      <c r="V122" s="15">
        <f>IF(A122="","",J122+U122)</f>
        <v/>
      </c>
      <c r="W122" s="15">
        <f>IF(A122="","",SUMIFS('13_Ausgangsrechnungen'!$G:$G,'13_Ausgangsrechnungen'!$C:$C,A122))</f>
        <v/>
      </c>
      <c r="X122" s="15">
        <f>IF(A122="","",SUMIFS('11_Material'!$L:$L,'11_Material'!$C:$C,A122))</f>
        <v/>
      </c>
      <c r="Y122" s="15">
        <f>IF(A122="","",SUMIFS('14_Eingangsrechnungen'!$F:$F,'14_Eingangsrechnungen'!$C:$C,A122,'14_Eingangsrechnungen'!$E:$E,"Nachunternehmer"))</f>
        <v/>
      </c>
      <c r="Z122" s="15">
        <f>IF(A122="","",SUMIFS('10_Stunden'!$K:$K,'10_Stunden'!$C:$C,A122))</f>
        <v/>
      </c>
      <c r="AA122" s="15">
        <f>IF(A122="","",X122+Y122+Z122+SUMIFS('14_Eingangsrechnungen'!$F:$F,'14_Eingangsrechnungen'!$C:$C,A122,'14_Eingangsrechnungen'!$E:$E,"Gerät")+SUMIFS('14_Eingangsrechnungen'!$F:$F,'14_Eingangsrechnungen'!$C:$C,A122,'14_Eingangsrechnungen'!$E:$E,"Dienstleistung"))</f>
        <v/>
      </c>
      <c r="AB122" s="15">
        <f>IF(A122="","",W122-AA122)</f>
        <v/>
      </c>
      <c r="AC122" s="19">
        <f>IF(OR(A122="",W122=0),"",AB122/W122)</f>
        <v/>
      </c>
      <c r="AD122" s="19">
        <f>IF(OR(A122="",V122=0),"",W122/V122)</f>
        <v/>
      </c>
      <c r="AE122" s="15">
        <f>IF(A122="","",MAX(0,V122-W122))</f>
        <v/>
      </c>
      <c r="AF122" s="15">
        <f>IF(A122="","",SUMIFS('13_Ausgangsrechnungen'!$R:$R,'13_Ausgangsrechnungen'!$C:$C,A122))</f>
        <v/>
      </c>
    </row>
    <row r="123">
      <c r="A123" s="30" t="inlineStr"/>
      <c r="B123" s="30" t="inlineStr"/>
      <c r="C123" s="30" t="inlineStr"/>
      <c r="D123" s="30" t="inlineStr"/>
      <c r="E123" s="30" t="inlineStr"/>
      <c r="F123" s="30" t="inlineStr"/>
      <c r="G123" s="38" t="inlineStr"/>
      <c r="H123" s="38" t="inlineStr"/>
      <c r="I123" s="38" t="inlineStr"/>
      <c r="J123" s="34" t="inlineStr"/>
      <c r="K123" s="34" t="inlineStr"/>
      <c r="L123" s="34" t="inlineStr"/>
      <c r="M123" s="34" t="inlineStr"/>
      <c r="N123" s="34" t="inlineStr"/>
      <c r="O123" s="34" t="inlineStr"/>
      <c r="P123" s="32" t="inlineStr"/>
      <c r="Q123" s="30" t="inlineStr"/>
      <c r="R123" s="30" t="inlineStr"/>
      <c r="S123" s="30" t="inlineStr"/>
      <c r="T123" s="30" t="inlineStr"/>
      <c r="U123" s="15">
        <f>IF(A123="","",SUMIFS('07_Nachtraege'!$E:$E,'07_Nachtraege'!$B:$B,A123,'07_Nachtraege'!$F:$F,"beauftragt"))</f>
        <v/>
      </c>
      <c r="V123" s="15">
        <f>IF(A123="","",J123+U123)</f>
        <v/>
      </c>
      <c r="W123" s="15">
        <f>IF(A123="","",SUMIFS('13_Ausgangsrechnungen'!$G:$G,'13_Ausgangsrechnungen'!$C:$C,A123))</f>
        <v/>
      </c>
      <c r="X123" s="15">
        <f>IF(A123="","",SUMIFS('11_Material'!$L:$L,'11_Material'!$C:$C,A123))</f>
        <v/>
      </c>
      <c r="Y123" s="15">
        <f>IF(A123="","",SUMIFS('14_Eingangsrechnungen'!$F:$F,'14_Eingangsrechnungen'!$C:$C,A123,'14_Eingangsrechnungen'!$E:$E,"Nachunternehmer"))</f>
        <v/>
      </c>
      <c r="Z123" s="15">
        <f>IF(A123="","",SUMIFS('10_Stunden'!$K:$K,'10_Stunden'!$C:$C,A123))</f>
        <v/>
      </c>
      <c r="AA123" s="15">
        <f>IF(A123="","",X123+Y123+Z123+SUMIFS('14_Eingangsrechnungen'!$F:$F,'14_Eingangsrechnungen'!$C:$C,A123,'14_Eingangsrechnungen'!$E:$E,"Gerät")+SUMIFS('14_Eingangsrechnungen'!$F:$F,'14_Eingangsrechnungen'!$C:$C,A123,'14_Eingangsrechnungen'!$E:$E,"Dienstleistung"))</f>
        <v/>
      </c>
      <c r="AB123" s="15">
        <f>IF(A123="","",W123-AA123)</f>
        <v/>
      </c>
      <c r="AC123" s="19">
        <f>IF(OR(A123="",W123=0),"",AB123/W123)</f>
        <v/>
      </c>
      <c r="AD123" s="19">
        <f>IF(OR(A123="",V123=0),"",W123/V123)</f>
        <v/>
      </c>
      <c r="AE123" s="15">
        <f>IF(A123="","",MAX(0,V123-W123))</f>
        <v/>
      </c>
      <c r="AF123" s="15">
        <f>IF(A123="","",SUMIFS('13_Ausgangsrechnungen'!$R:$R,'13_Ausgangsrechnungen'!$C:$C,A123))</f>
        <v/>
      </c>
    </row>
    <row r="124">
      <c r="A124" s="30" t="inlineStr"/>
      <c r="B124" s="30" t="inlineStr"/>
      <c r="C124" s="30" t="inlineStr"/>
      <c r="D124" s="30" t="inlineStr"/>
      <c r="E124" s="30" t="inlineStr"/>
      <c r="F124" s="30" t="inlineStr"/>
      <c r="G124" s="38" t="inlineStr"/>
      <c r="H124" s="38" t="inlineStr"/>
      <c r="I124" s="38" t="inlineStr"/>
      <c r="J124" s="34" t="inlineStr"/>
      <c r="K124" s="34" t="inlineStr"/>
      <c r="L124" s="34" t="inlineStr"/>
      <c r="M124" s="34" t="inlineStr"/>
      <c r="N124" s="34" t="inlineStr"/>
      <c r="O124" s="34" t="inlineStr"/>
      <c r="P124" s="32" t="inlineStr"/>
      <c r="Q124" s="30" t="inlineStr"/>
      <c r="R124" s="30" t="inlineStr"/>
      <c r="S124" s="30" t="inlineStr"/>
      <c r="T124" s="30" t="inlineStr"/>
      <c r="U124" s="15">
        <f>IF(A124="","",SUMIFS('07_Nachtraege'!$E:$E,'07_Nachtraege'!$B:$B,A124,'07_Nachtraege'!$F:$F,"beauftragt"))</f>
        <v/>
      </c>
      <c r="V124" s="15">
        <f>IF(A124="","",J124+U124)</f>
        <v/>
      </c>
      <c r="W124" s="15">
        <f>IF(A124="","",SUMIFS('13_Ausgangsrechnungen'!$G:$G,'13_Ausgangsrechnungen'!$C:$C,A124))</f>
        <v/>
      </c>
      <c r="X124" s="15">
        <f>IF(A124="","",SUMIFS('11_Material'!$L:$L,'11_Material'!$C:$C,A124))</f>
        <v/>
      </c>
      <c r="Y124" s="15">
        <f>IF(A124="","",SUMIFS('14_Eingangsrechnungen'!$F:$F,'14_Eingangsrechnungen'!$C:$C,A124,'14_Eingangsrechnungen'!$E:$E,"Nachunternehmer"))</f>
        <v/>
      </c>
      <c r="Z124" s="15">
        <f>IF(A124="","",SUMIFS('10_Stunden'!$K:$K,'10_Stunden'!$C:$C,A124))</f>
        <v/>
      </c>
      <c r="AA124" s="15">
        <f>IF(A124="","",X124+Y124+Z124+SUMIFS('14_Eingangsrechnungen'!$F:$F,'14_Eingangsrechnungen'!$C:$C,A124,'14_Eingangsrechnungen'!$E:$E,"Gerät")+SUMIFS('14_Eingangsrechnungen'!$F:$F,'14_Eingangsrechnungen'!$C:$C,A124,'14_Eingangsrechnungen'!$E:$E,"Dienstleistung"))</f>
        <v/>
      </c>
      <c r="AB124" s="15">
        <f>IF(A124="","",W124-AA124)</f>
        <v/>
      </c>
      <c r="AC124" s="19">
        <f>IF(OR(A124="",W124=0),"",AB124/W124)</f>
        <v/>
      </c>
      <c r="AD124" s="19">
        <f>IF(OR(A124="",V124=0),"",W124/V124)</f>
        <v/>
      </c>
      <c r="AE124" s="15">
        <f>IF(A124="","",MAX(0,V124-W124))</f>
        <v/>
      </c>
      <c r="AF124" s="15">
        <f>IF(A124="","",SUMIFS('13_Ausgangsrechnungen'!$R:$R,'13_Ausgangsrechnungen'!$C:$C,A124))</f>
        <v/>
      </c>
    </row>
    <row r="125">
      <c r="A125" s="30" t="inlineStr"/>
      <c r="B125" s="30" t="inlineStr"/>
      <c r="C125" s="30" t="inlineStr"/>
      <c r="D125" s="30" t="inlineStr"/>
      <c r="E125" s="30" t="inlineStr"/>
      <c r="F125" s="30" t="inlineStr"/>
      <c r="G125" s="38" t="inlineStr"/>
      <c r="H125" s="38" t="inlineStr"/>
      <c r="I125" s="38" t="inlineStr"/>
      <c r="J125" s="34" t="inlineStr"/>
      <c r="K125" s="34" t="inlineStr"/>
      <c r="L125" s="34" t="inlineStr"/>
      <c r="M125" s="34" t="inlineStr"/>
      <c r="N125" s="34" t="inlineStr"/>
      <c r="O125" s="34" t="inlineStr"/>
      <c r="P125" s="32" t="inlineStr"/>
      <c r="Q125" s="30" t="inlineStr"/>
      <c r="R125" s="30" t="inlineStr"/>
      <c r="S125" s="30" t="inlineStr"/>
      <c r="T125" s="30" t="inlineStr"/>
      <c r="U125" s="15">
        <f>IF(A125="","",SUMIFS('07_Nachtraege'!$E:$E,'07_Nachtraege'!$B:$B,A125,'07_Nachtraege'!$F:$F,"beauftragt"))</f>
        <v/>
      </c>
      <c r="V125" s="15">
        <f>IF(A125="","",J125+U125)</f>
        <v/>
      </c>
      <c r="W125" s="15">
        <f>IF(A125="","",SUMIFS('13_Ausgangsrechnungen'!$G:$G,'13_Ausgangsrechnungen'!$C:$C,A125))</f>
        <v/>
      </c>
      <c r="X125" s="15">
        <f>IF(A125="","",SUMIFS('11_Material'!$L:$L,'11_Material'!$C:$C,A125))</f>
        <v/>
      </c>
      <c r="Y125" s="15">
        <f>IF(A125="","",SUMIFS('14_Eingangsrechnungen'!$F:$F,'14_Eingangsrechnungen'!$C:$C,A125,'14_Eingangsrechnungen'!$E:$E,"Nachunternehmer"))</f>
        <v/>
      </c>
      <c r="Z125" s="15">
        <f>IF(A125="","",SUMIFS('10_Stunden'!$K:$K,'10_Stunden'!$C:$C,A125))</f>
        <v/>
      </c>
      <c r="AA125" s="15">
        <f>IF(A125="","",X125+Y125+Z125+SUMIFS('14_Eingangsrechnungen'!$F:$F,'14_Eingangsrechnungen'!$C:$C,A125,'14_Eingangsrechnungen'!$E:$E,"Gerät")+SUMIFS('14_Eingangsrechnungen'!$F:$F,'14_Eingangsrechnungen'!$C:$C,A125,'14_Eingangsrechnungen'!$E:$E,"Dienstleistung"))</f>
        <v/>
      </c>
      <c r="AB125" s="15">
        <f>IF(A125="","",W125-AA125)</f>
        <v/>
      </c>
      <c r="AC125" s="19">
        <f>IF(OR(A125="",W125=0),"",AB125/W125)</f>
        <v/>
      </c>
      <c r="AD125" s="19">
        <f>IF(OR(A125="",V125=0),"",W125/V125)</f>
        <v/>
      </c>
      <c r="AE125" s="15">
        <f>IF(A125="","",MAX(0,V125-W125))</f>
        <v/>
      </c>
      <c r="AF125" s="15">
        <f>IF(A125="","",SUMIFS('13_Ausgangsrechnungen'!$R:$R,'13_Ausgangsrechnungen'!$C:$C,A125))</f>
        <v/>
      </c>
    </row>
    <row r="126">
      <c r="A126" s="30" t="inlineStr"/>
      <c r="B126" s="30" t="inlineStr"/>
      <c r="C126" s="30" t="inlineStr"/>
      <c r="D126" s="30" t="inlineStr"/>
      <c r="E126" s="30" t="inlineStr"/>
      <c r="F126" s="30" t="inlineStr"/>
      <c r="G126" s="38" t="inlineStr"/>
      <c r="H126" s="38" t="inlineStr"/>
      <c r="I126" s="38" t="inlineStr"/>
      <c r="J126" s="34" t="inlineStr"/>
      <c r="K126" s="34" t="inlineStr"/>
      <c r="L126" s="34" t="inlineStr"/>
      <c r="M126" s="34" t="inlineStr"/>
      <c r="N126" s="34" t="inlineStr"/>
      <c r="O126" s="34" t="inlineStr"/>
      <c r="P126" s="32" t="inlineStr"/>
      <c r="Q126" s="30" t="inlineStr"/>
      <c r="R126" s="30" t="inlineStr"/>
      <c r="S126" s="30" t="inlineStr"/>
      <c r="T126" s="30" t="inlineStr"/>
      <c r="U126" s="15">
        <f>IF(A126="","",SUMIFS('07_Nachtraege'!$E:$E,'07_Nachtraege'!$B:$B,A126,'07_Nachtraege'!$F:$F,"beauftragt"))</f>
        <v/>
      </c>
      <c r="V126" s="15">
        <f>IF(A126="","",J126+U126)</f>
        <v/>
      </c>
      <c r="W126" s="15">
        <f>IF(A126="","",SUMIFS('13_Ausgangsrechnungen'!$G:$G,'13_Ausgangsrechnungen'!$C:$C,A126))</f>
        <v/>
      </c>
      <c r="X126" s="15">
        <f>IF(A126="","",SUMIFS('11_Material'!$L:$L,'11_Material'!$C:$C,A126))</f>
        <v/>
      </c>
      <c r="Y126" s="15">
        <f>IF(A126="","",SUMIFS('14_Eingangsrechnungen'!$F:$F,'14_Eingangsrechnungen'!$C:$C,A126,'14_Eingangsrechnungen'!$E:$E,"Nachunternehmer"))</f>
        <v/>
      </c>
      <c r="Z126" s="15">
        <f>IF(A126="","",SUMIFS('10_Stunden'!$K:$K,'10_Stunden'!$C:$C,A126))</f>
        <v/>
      </c>
      <c r="AA126" s="15">
        <f>IF(A126="","",X126+Y126+Z126+SUMIFS('14_Eingangsrechnungen'!$F:$F,'14_Eingangsrechnungen'!$C:$C,A126,'14_Eingangsrechnungen'!$E:$E,"Gerät")+SUMIFS('14_Eingangsrechnungen'!$F:$F,'14_Eingangsrechnungen'!$C:$C,A126,'14_Eingangsrechnungen'!$E:$E,"Dienstleistung"))</f>
        <v/>
      </c>
      <c r="AB126" s="15">
        <f>IF(A126="","",W126-AA126)</f>
        <v/>
      </c>
      <c r="AC126" s="19">
        <f>IF(OR(A126="",W126=0),"",AB126/W126)</f>
        <v/>
      </c>
      <c r="AD126" s="19">
        <f>IF(OR(A126="",V126=0),"",W126/V126)</f>
        <v/>
      </c>
      <c r="AE126" s="15">
        <f>IF(A126="","",MAX(0,V126-W126))</f>
        <v/>
      </c>
      <c r="AF126" s="15">
        <f>IF(A126="","",SUMIFS('13_Ausgangsrechnungen'!$R:$R,'13_Ausgangsrechnungen'!$C:$C,A126))</f>
        <v/>
      </c>
    </row>
    <row r="127">
      <c r="A127" s="30" t="inlineStr"/>
      <c r="B127" s="30" t="inlineStr"/>
      <c r="C127" s="30" t="inlineStr"/>
      <c r="D127" s="30" t="inlineStr"/>
      <c r="E127" s="30" t="inlineStr"/>
      <c r="F127" s="30" t="inlineStr"/>
      <c r="G127" s="38" t="inlineStr"/>
      <c r="H127" s="38" t="inlineStr"/>
      <c r="I127" s="38" t="inlineStr"/>
      <c r="J127" s="34" t="inlineStr"/>
      <c r="K127" s="34" t="inlineStr"/>
      <c r="L127" s="34" t="inlineStr"/>
      <c r="M127" s="34" t="inlineStr"/>
      <c r="N127" s="34" t="inlineStr"/>
      <c r="O127" s="34" t="inlineStr"/>
      <c r="P127" s="32" t="inlineStr"/>
      <c r="Q127" s="30" t="inlineStr"/>
      <c r="R127" s="30" t="inlineStr"/>
      <c r="S127" s="30" t="inlineStr"/>
      <c r="T127" s="30" t="inlineStr"/>
      <c r="U127" s="15">
        <f>IF(A127="","",SUMIFS('07_Nachtraege'!$E:$E,'07_Nachtraege'!$B:$B,A127,'07_Nachtraege'!$F:$F,"beauftragt"))</f>
        <v/>
      </c>
      <c r="V127" s="15">
        <f>IF(A127="","",J127+U127)</f>
        <v/>
      </c>
      <c r="W127" s="15">
        <f>IF(A127="","",SUMIFS('13_Ausgangsrechnungen'!$G:$G,'13_Ausgangsrechnungen'!$C:$C,A127))</f>
        <v/>
      </c>
      <c r="X127" s="15">
        <f>IF(A127="","",SUMIFS('11_Material'!$L:$L,'11_Material'!$C:$C,A127))</f>
        <v/>
      </c>
      <c r="Y127" s="15">
        <f>IF(A127="","",SUMIFS('14_Eingangsrechnungen'!$F:$F,'14_Eingangsrechnungen'!$C:$C,A127,'14_Eingangsrechnungen'!$E:$E,"Nachunternehmer"))</f>
        <v/>
      </c>
      <c r="Z127" s="15">
        <f>IF(A127="","",SUMIFS('10_Stunden'!$K:$K,'10_Stunden'!$C:$C,A127))</f>
        <v/>
      </c>
      <c r="AA127" s="15">
        <f>IF(A127="","",X127+Y127+Z127+SUMIFS('14_Eingangsrechnungen'!$F:$F,'14_Eingangsrechnungen'!$C:$C,A127,'14_Eingangsrechnungen'!$E:$E,"Gerät")+SUMIFS('14_Eingangsrechnungen'!$F:$F,'14_Eingangsrechnungen'!$C:$C,A127,'14_Eingangsrechnungen'!$E:$E,"Dienstleistung"))</f>
        <v/>
      </c>
      <c r="AB127" s="15">
        <f>IF(A127="","",W127-AA127)</f>
        <v/>
      </c>
      <c r="AC127" s="19">
        <f>IF(OR(A127="",W127=0),"",AB127/W127)</f>
        <v/>
      </c>
      <c r="AD127" s="19">
        <f>IF(OR(A127="",V127=0),"",W127/V127)</f>
        <v/>
      </c>
      <c r="AE127" s="15">
        <f>IF(A127="","",MAX(0,V127-W127))</f>
        <v/>
      </c>
      <c r="AF127" s="15">
        <f>IF(A127="","",SUMIFS('13_Ausgangsrechnungen'!$R:$R,'13_Ausgangsrechnungen'!$C:$C,A127))</f>
        <v/>
      </c>
    </row>
    <row r="128">
      <c r="A128" s="30" t="inlineStr"/>
      <c r="B128" s="30" t="inlineStr"/>
      <c r="C128" s="30" t="inlineStr"/>
      <c r="D128" s="30" t="inlineStr"/>
      <c r="E128" s="30" t="inlineStr"/>
      <c r="F128" s="30" t="inlineStr"/>
      <c r="G128" s="38" t="inlineStr"/>
      <c r="H128" s="38" t="inlineStr"/>
      <c r="I128" s="38" t="inlineStr"/>
      <c r="J128" s="34" t="inlineStr"/>
      <c r="K128" s="34" t="inlineStr"/>
      <c r="L128" s="34" t="inlineStr"/>
      <c r="M128" s="34" t="inlineStr"/>
      <c r="N128" s="34" t="inlineStr"/>
      <c r="O128" s="34" t="inlineStr"/>
      <c r="P128" s="32" t="inlineStr"/>
      <c r="Q128" s="30" t="inlineStr"/>
      <c r="R128" s="30" t="inlineStr"/>
      <c r="S128" s="30" t="inlineStr"/>
      <c r="T128" s="30" t="inlineStr"/>
      <c r="U128" s="15">
        <f>IF(A128="","",SUMIFS('07_Nachtraege'!$E:$E,'07_Nachtraege'!$B:$B,A128,'07_Nachtraege'!$F:$F,"beauftragt"))</f>
        <v/>
      </c>
      <c r="V128" s="15">
        <f>IF(A128="","",J128+U128)</f>
        <v/>
      </c>
      <c r="W128" s="15">
        <f>IF(A128="","",SUMIFS('13_Ausgangsrechnungen'!$G:$G,'13_Ausgangsrechnungen'!$C:$C,A128))</f>
        <v/>
      </c>
      <c r="X128" s="15">
        <f>IF(A128="","",SUMIFS('11_Material'!$L:$L,'11_Material'!$C:$C,A128))</f>
        <v/>
      </c>
      <c r="Y128" s="15">
        <f>IF(A128="","",SUMIFS('14_Eingangsrechnungen'!$F:$F,'14_Eingangsrechnungen'!$C:$C,A128,'14_Eingangsrechnungen'!$E:$E,"Nachunternehmer"))</f>
        <v/>
      </c>
      <c r="Z128" s="15">
        <f>IF(A128="","",SUMIFS('10_Stunden'!$K:$K,'10_Stunden'!$C:$C,A128))</f>
        <v/>
      </c>
      <c r="AA128" s="15">
        <f>IF(A128="","",X128+Y128+Z128+SUMIFS('14_Eingangsrechnungen'!$F:$F,'14_Eingangsrechnungen'!$C:$C,A128,'14_Eingangsrechnungen'!$E:$E,"Gerät")+SUMIFS('14_Eingangsrechnungen'!$F:$F,'14_Eingangsrechnungen'!$C:$C,A128,'14_Eingangsrechnungen'!$E:$E,"Dienstleistung"))</f>
        <v/>
      </c>
      <c r="AB128" s="15">
        <f>IF(A128="","",W128-AA128)</f>
        <v/>
      </c>
      <c r="AC128" s="19">
        <f>IF(OR(A128="",W128=0),"",AB128/W128)</f>
        <v/>
      </c>
      <c r="AD128" s="19">
        <f>IF(OR(A128="",V128=0),"",W128/V128)</f>
        <v/>
      </c>
      <c r="AE128" s="15">
        <f>IF(A128="","",MAX(0,V128-W128))</f>
        <v/>
      </c>
      <c r="AF128" s="15">
        <f>IF(A128="","",SUMIFS('13_Ausgangsrechnungen'!$R:$R,'13_Ausgangsrechnungen'!$C:$C,A128))</f>
        <v/>
      </c>
    </row>
    <row r="129">
      <c r="A129" s="30" t="inlineStr"/>
      <c r="B129" s="30" t="inlineStr"/>
      <c r="C129" s="30" t="inlineStr"/>
      <c r="D129" s="30" t="inlineStr"/>
      <c r="E129" s="30" t="inlineStr"/>
      <c r="F129" s="30" t="inlineStr"/>
      <c r="G129" s="38" t="inlineStr"/>
      <c r="H129" s="38" t="inlineStr"/>
      <c r="I129" s="38" t="inlineStr"/>
      <c r="J129" s="34" t="inlineStr"/>
      <c r="K129" s="34" t="inlineStr"/>
      <c r="L129" s="34" t="inlineStr"/>
      <c r="M129" s="34" t="inlineStr"/>
      <c r="N129" s="34" t="inlineStr"/>
      <c r="O129" s="34" t="inlineStr"/>
      <c r="P129" s="32" t="inlineStr"/>
      <c r="Q129" s="30" t="inlineStr"/>
      <c r="R129" s="30" t="inlineStr"/>
      <c r="S129" s="30" t="inlineStr"/>
      <c r="T129" s="30" t="inlineStr"/>
      <c r="U129" s="15">
        <f>IF(A129="","",SUMIFS('07_Nachtraege'!$E:$E,'07_Nachtraege'!$B:$B,A129,'07_Nachtraege'!$F:$F,"beauftragt"))</f>
        <v/>
      </c>
      <c r="V129" s="15">
        <f>IF(A129="","",J129+U129)</f>
        <v/>
      </c>
      <c r="W129" s="15">
        <f>IF(A129="","",SUMIFS('13_Ausgangsrechnungen'!$G:$G,'13_Ausgangsrechnungen'!$C:$C,A129))</f>
        <v/>
      </c>
      <c r="X129" s="15">
        <f>IF(A129="","",SUMIFS('11_Material'!$L:$L,'11_Material'!$C:$C,A129))</f>
        <v/>
      </c>
      <c r="Y129" s="15">
        <f>IF(A129="","",SUMIFS('14_Eingangsrechnungen'!$F:$F,'14_Eingangsrechnungen'!$C:$C,A129,'14_Eingangsrechnungen'!$E:$E,"Nachunternehmer"))</f>
        <v/>
      </c>
      <c r="Z129" s="15">
        <f>IF(A129="","",SUMIFS('10_Stunden'!$K:$K,'10_Stunden'!$C:$C,A129))</f>
        <v/>
      </c>
      <c r="AA129" s="15">
        <f>IF(A129="","",X129+Y129+Z129+SUMIFS('14_Eingangsrechnungen'!$F:$F,'14_Eingangsrechnungen'!$C:$C,A129,'14_Eingangsrechnungen'!$E:$E,"Gerät")+SUMIFS('14_Eingangsrechnungen'!$F:$F,'14_Eingangsrechnungen'!$C:$C,A129,'14_Eingangsrechnungen'!$E:$E,"Dienstleistung"))</f>
        <v/>
      </c>
      <c r="AB129" s="15">
        <f>IF(A129="","",W129-AA129)</f>
        <v/>
      </c>
      <c r="AC129" s="19">
        <f>IF(OR(A129="",W129=0),"",AB129/W129)</f>
        <v/>
      </c>
      <c r="AD129" s="19">
        <f>IF(OR(A129="",V129=0),"",W129/V129)</f>
        <v/>
      </c>
      <c r="AE129" s="15">
        <f>IF(A129="","",MAX(0,V129-W129))</f>
        <v/>
      </c>
      <c r="AF129" s="15">
        <f>IF(A129="","",SUMIFS('13_Ausgangsrechnungen'!$R:$R,'13_Ausgangsrechnungen'!$C:$C,A129))</f>
        <v/>
      </c>
    </row>
    <row r="130">
      <c r="A130" s="30" t="inlineStr"/>
      <c r="B130" s="30" t="inlineStr"/>
      <c r="C130" s="30" t="inlineStr"/>
      <c r="D130" s="30" t="inlineStr"/>
      <c r="E130" s="30" t="inlineStr"/>
      <c r="F130" s="30" t="inlineStr"/>
      <c r="G130" s="38" t="inlineStr"/>
      <c r="H130" s="38" t="inlineStr"/>
      <c r="I130" s="38" t="inlineStr"/>
      <c r="J130" s="34" t="inlineStr"/>
      <c r="K130" s="34" t="inlineStr"/>
      <c r="L130" s="34" t="inlineStr"/>
      <c r="M130" s="34" t="inlineStr"/>
      <c r="N130" s="34" t="inlineStr"/>
      <c r="O130" s="34" t="inlineStr"/>
      <c r="P130" s="32" t="inlineStr"/>
      <c r="Q130" s="30" t="inlineStr"/>
      <c r="R130" s="30" t="inlineStr"/>
      <c r="S130" s="30" t="inlineStr"/>
      <c r="T130" s="30" t="inlineStr"/>
      <c r="U130" s="15">
        <f>IF(A130="","",SUMIFS('07_Nachtraege'!$E:$E,'07_Nachtraege'!$B:$B,A130,'07_Nachtraege'!$F:$F,"beauftragt"))</f>
        <v/>
      </c>
      <c r="V130" s="15">
        <f>IF(A130="","",J130+U130)</f>
        <v/>
      </c>
      <c r="W130" s="15">
        <f>IF(A130="","",SUMIFS('13_Ausgangsrechnungen'!$G:$G,'13_Ausgangsrechnungen'!$C:$C,A130))</f>
        <v/>
      </c>
      <c r="X130" s="15">
        <f>IF(A130="","",SUMIFS('11_Material'!$L:$L,'11_Material'!$C:$C,A130))</f>
        <v/>
      </c>
      <c r="Y130" s="15">
        <f>IF(A130="","",SUMIFS('14_Eingangsrechnungen'!$F:$F,'14_Eingangsrechnungen'!$C:$C,A130,'14_Eingangsrechnungen'!$E:$E,"Nachunternehmer"))</f>
        <v/>
      </c>
      <c r="Z130" s="15">
        <f>IF(A130="","",SUMIFS('10_Stunden'!$K:$K,'10_Stunden'!$C:$C,A130))</f>
        <v/>
      </c>
      <c r="AA130" s="15">
        <f>IF(A130="","",X130+Y130+Z130+SUMIFS('14_Eingangsrechnungen'!$F:$F,'14_Eingangsrechnungen'!$C:$C,A130,'14_Eingangsrechnungen'!$E:$E,"Gerät")+SUMIFS('14_Eingangsrechnungen'!$F:$F,'14_Eingangsrechnungen'!$C:$C,A130,'14_Eingangsrechnungen'!$E:$E,"Dienstleistung"))</f>
        <v/>
      </c>
      <c r="AB130" s="15">
        <f>IF(A130="","",W130-AA130)</f>
        <v/>
      </c>
      <c r="AC130" s="19">
        <f>IF(OR(A130="",W130=0),"",AB130/W130)</f>
        <v/>
      </c>
      <c r="AD130" s="19">
        <f>IF(OR(A130="",V130=0),"",W130/V130)</f>
        <v/>
      </c>
      <c r="AE130" s="15">
        <f>IF(A130="","",MAX(0,V130-W130))</f>
        <v/>
      </c>
      <c r="AF130" s="15">
        <f>IF(A130="","",SUMIFS('13_Ausgangsrechnungen'!$R:$R,'13_Ausgangsrechnungen'!$C:$C,A130))</f>
        <v/>
      </c>
    </row>
    <row r="131">
      <c r="A131" s="30" t="inlineStr"/>
      <c r="B131" s="30" t="inlineStr"/>
      <c r="C131" s="30" t="inlineStr"/>
      <c r="D131" s="30" t="inlineStr"/>
      <c r="E131" s="30" t="inlineStr"/>
      <c r="F131" s="30" t="inlineStr"/>
      <c r="G131" s="38" t="inlineStr"/>
      <c r="H131" s="38" t="inlineStr"/>
      <c r="I131" s="38" t="inlineStr"/>
      <c r="J131" s="34" t="inlineStr"/>
      <c r="K131" s="34" t="inlineStr"/>
      <c r="L131" s="34" t="inlineStr"/>
      <c r="M131" s="34" t="inlineStr"/>
      <c r="N131" s="34" t="inlineStr"/>
      <c r="O131" s="34" t="inlineStr"/>
      <c r="P131" s="32" t="inlineStr"/>
      <c r="Q131" s="30" t="inlineStr"/>
      <c r="R131" s="30" t="inlineStr"/>
      <c r="S131" s="30" t="inlineStr"/>
      <c r="T131" s="30" t="inlineStr"/>
      <c r="U131" s="15">
        <f>IF(A131="","",SUMIFS('07_Nachtraege'!$E:$E,'07_Nachtraege'!$B:$B,A131,'07_Nachtraege'!$F:$F,"beauftragt"))</f>
        <v/>
      </c>
      <c r="V131" s="15">
        <f>IF(A131="","",J131+U131)</f>
        <v/>
      </c>
      <c r="W131" s="15">
        <f>IF(A131="","",SUMIFS('13_Ausgangsrechnungen'!$G:$G,'13_Ausgangsrechnungen'!$C:$C,A131))</f>
        <v/>
      </c>
      <c r="X131" s="15">
        <f>IF(A131="","",SUMIFS('11_Material'!$L:$L,'11_Material'!$C:$C,A131))</f>
        <v/>
      </c>
      <c r="Y131" s="15">
        <f>IF(A131="","",SUMIFS('14_Eingangsrechnungen'!$F:$F,'14_Eingangsrechnungen'!$C:$C,A131,'14_Eingangsrechnungen'!$E:$E,"Nachunternehmer"))</f>
        <v/>
      </c>
      <c r="Z131" s="15">
        <f>IF(A131="","",SUMIFS('10_Stunden'!$K:$K,'10_Stunden'!$C:$C,A131))</f>
        <v/>
      </c>
      <c r="AA131" s="15">
        <f>IF(A131="","",X131+Y131+Z131+SUMIFS('14_Eingangsrechnungen'!$F:$F,'14_Eingangsrechnungen'!$C:$C,A131,'14_Eingangsrechnungen'!$E:$E,"Gerät")+SUMIFS('14_Eingangsrechnungen'!$F:$F,'14_Eingangsrechnungen'!$C:$C,A131,'14_Eingangsrechnungen'!$E:$E,"Dienstleistung"))</f>
        <v/>
      </c>
      <c r="AB131" s="15">
        <f>IF(A131="","",W131-AA131)</f>
        <v/>
      </c>
      <c r="AC131" s="19">
        <f>IF(OR(A131="",W131=0),"",AB131/W131)</f>
        <v/>
      </c>
      <c r="AD131" s="19">
        <f>IF(OR(A131="",V131=0),"",W131/V131)</f>
        <v/>
      </c>
      <c r="AE131" s="15">
        <f>IF(A131="","",MAX(0,V131-W131))</f>
        <v/>
      </c>
      <c r="AF131" s="15">
        <f>IF(A131="","",SUMIFS('13_Ausgangsrechnungen'!$R:$R,'13_Ausgangsrechnungen'!$C:$C,A131))</f>
        <v/>
      </c>
    </row>
    <row r="132">
      <c r="A132" s="30" t="inlineStr"/>
      <c r="B132" s="30" t="inlineStr"/>
      <c r="C132" s="30" t="inlineStr"/>
      <c r="D132" s="30" t="inlineStr"/>
      <c r="E132" s="30" t="inlineStr"/>
      <c r="F132" s="30" t="inlineStr"/>
      <c r="G132" s="38" t="inlineStr"/>
      <c r="H132" s="38" t="inlineStr"/>
      <c r="I132" s="38" t="inlineStr"/>
      <c r="J132" s="34" t="inlineStr"/>
      <c r="K132" s="34" t="inlineStr"/>
      <c r="L132" s="34" t="inlineStr"/>
      <c r="M132" s="34" t="inlineStr"/>
      <c r="N132" s="34" t="inlineStr"/>
      <c r="O132" s="34" t="inlineStr"/>
      <c r="P132" s="32" t="inlineStr"/>
      <c r="Q132" s="30" t="inlineStr"/>
      <c r="R132" s="30" t="inlineStr"/>
      <c r="S132" s="30" t="inlineStr"/>
      <c r="T132" s="30" t="inlineStr"/>
      <c r="U132" s="15">
        <f>IF(A132="","",SUMIFS('07_Nachtraege'!$E:$E,'07_Nachtraege'!$B:$B,A132,'07_Nachtraege'!$F:$F,"beauftragt"))</f>
        <v/>
      </c>
      <c r="V132" s="15">
        <f>IF(A132="","",J132+U132)</f>
        <v/>
      </c>
      <c r="W132" s="15">
        <f>IF(A132="","",SUMIFS('13_Ausgangsrechnungen'!$G:$G,'13_Ausgangsrechnungen'!$C:$C,A132))</f>
        <v/>
      </c>
      <c r="X132" s="15">
        <f>IF(A132="","",SUMIFS('11_Material'!$L:$L,'11_Material'!$C:$C,A132))</f>
        <v/>
      </c>
      <c r="Y132" s="15">
        <f>IF(A132="","",SUMIFS('14_Eingangsrechnungen'!$F:$F,'14_Eingangsrechnungen'!$C:$C,A132,'14_Eingangsrechnungen'!$E:$E,"Nachunternehmer"))</f>
        <v/>
      </c>
      <c r="Z132" s="15">
        <f>IF(A132="","",SUMIFS('10_Stunden'!$K:$K,'10_Stunden'!$C:$C,A132))</f>
        <v/>
      </c>
      <c r="AA132" s="15">
        <f>IF(A132="","",X132+Y132+Z132+SUMIFS('14_Eingangsrechnungen'!$F:$F,'14_Eingangsrechnungen'!$C:$C,A132,'14_Eingangsrechnungen'!$E:$E,"Gerät")+SUMIFS('14_Eingangsrechnungen'!$F:$F,'14_Eingangsrechnungen'!$C:$C,A132,'14_Eingangsrechnungen'!$E:$E,"Dienstleistung"))</f>
        <v/>
      </c>
      <c r="AB132" s="15">
        <f>IF(A132="","",W132-AA132)</f>
        <v/>
      </c>
      <c r="AC132" s="19">
        <f>IF(OR(A132="",W132=0),"",AB132/W132)</f>
        <v/>
      </c>
      <c r="AD132" s="19">
        <f>IF(OR(A132="",V132=0),"",W132/V132)</f>
        <v/>
      </c>
      <c r="AE132" s="15">
        <f>IF(A132="","",MAX(0,V132-W132))</f>
        <v/>
      </c>
      <c r="AF132" s="15">
        <f>IF(A132="","",SUMIFS('13_Ausgangsrechnungen'!$R:$R,'13_Ausgangsrechnungen'!$C:$C,A132))</f>
        <v/>
      </c>
    </row>
    <row r="133">
      <c r="A133" s="30" t="inlineStr"/>
      <c r="B133" s="30" t="inlineStr"/>
      <c r="C133" s="30" t="inlineStr"/>
      <c r="D133" s="30" t="inlineStr"/>
      <c r="E133" s="30" t="inlineStr"/>
      <c r="F133" s="30" t="inlineStr"/>
      <c r="G133" s="38" t="inlineStr"/>
      <c r="H133" s="38" t="inlineStr"/>
      <c r="I133" s="38" t="inlineStr"/>
      <c r="J133" s="34" t="inlineStr"/>
      <c r="K133" s="34" t="inlineStr"/>
      <c r="L133" s="34" t="inlineStr"/>
      <c r="M133" s="34" t="inlineStr"/>
      <c r="N133" s="34" t="inlineStr"/>
      <c r="O133" s="34" t="inlineStr"/>
      <c r="P133" s="32" t="inlineStr"/>
      <c r="Q133" s="30" t="inlineStr"/>
      <c r="R133" s="30" t="inlineStr"/>
      <c r="S133" s="30" t="inlineStr"/>
      <c r="T133" s="30" t="inlineStr"/>
      <c r="U133" s="15">
        <f>IF(A133="","",SUMIFS('07_Nachtraege'!$E:$E,'07_Nachtraege'!$B:$B,A133,'07_Nachtraege'!$F:$F,"beauftragt"))</f>
        <v/>
      </c>
      <c r="V133" s="15">
        <f>IF(A133="","",J133+U133)</f>
        <v/>
      </c>
      <c r="W133" s="15">
        <f>IF(A133="","",SUMIFS('13_Ausgangsrechnungen'!$G:$G,'13_Ausgangsrechnungen'!$C:$C,A133))</f>
        <v/>
      </c>
      <c r="X133" s="15">
        <f>IF(A133="","",SUMIFS('11_Material'!$L:$L,'11_Material'!$C:$C,A133))</f>
        <v/>
      </c>
      <c r="Y133" s="15">
        <f>IF(A133="","",SUMIFS('14_Eingangsrechnungen'!$F:$F,'14_Eingangsrechnungen'!$C:$C,A133,'14_Eingangsrechnungen'!$E:$E,"Nachunternehmer"))</f>
        <v/>
      </c>
      <c r="Z133" s="15">
        <f>IF(A133="","",SUMIFS('10_Stunden'!$K:$K,'10_Stunden'!$C:$C,A133))</f>
        <v/>
      </c>
      <c r="AA133" s="15">
        <f>IF(A133="","",X133+Y133+Z133+SUMIFS('14_Eingangsrechnungen'!$F:$F,'14_Eingangsrechnungen'!$C:$C,A133,'14_Eingangsrechnungen'!$E:$E,"Gerät")+SUMIFS('14_Eingangsrechnungen'!$F:$F,'14_Eingangsrechnungen'!$C:$C,A133,'14_Eingangsrechnungen'!$E:$E,"Dienstleistung"))</f>
        <v/>
      </c>
      <c r="AB133" s="15">
        <f>IF(A133="","",W133-AA133)</f>
        <v/>
      </c>
      <c r="AC133" s="19">
        <f>IF(OR(A133="",W133=0),"",AB133/W133)</f>
        <v/>
      </c>
      <c r="AD133" s="19">
        <f>IF(OR(A133="",V133=0),"",W133/V133)</f>
        <v/>
      </c>
      <c r="AE133" s="15">
        <f>IF(A133="","",MAX(0,V133-W133))</f>
        <v/>
      </c>
      <c r="AF133" s="15">
        <f>IF(A133="","",SUMIFS('13_Ausgangsrechnungen'!$R:$R,'13_Ausgangsrechnungen'!$C:$C,A133))</f>
        <v/>
      </c>
    </row>
    <row r="134">
      <c r="A134" s="30" t="inlineStr"/>
      <c r="B134" s="30" t="inlineStr"/>
      <c r="C134" s="30" t="inlineStr"/>
      <c r="D134" s="30" t="inlineStr"/>
      <c r="E134" s="30" t="inlineStr"/>
      <c r="F134" s="30" t="inlineStr"/>
      <c r="G134" s="38" t="inlineStr"/>
      <c r="H134" s="38" t="inlineStr"/>
      <c r="I134" s="38" t="inlineStr"/>
      <c r="J134" s="34" t="inlineStr"/>
      <c r="K134" s="34" t="inlineStr"/>
      <c r="L134" s="34" t="inlineStr"/>
      <c r="M134" s="34" t="inlineStr"/>
      <c r="N134" s="34" t="inlineStr"/>
      <c r="O134" s="34" t="inlineStr"/>
      <c r="P134" s="32" t="inlineStr"/>
      <c r="Q134" s="30" t="inlineStr"/>
      <c r="R134" s="30" t="inlineStr"/>
      <c r="S134" s="30" t="inlineStr"/>
      <c r="T134" s="30" t="inlineStr"/>
      <c r="U134" s="15">
        <f>IF(A134="","",SUMIFS('07_Nachtraege'!$E:$E,'07_Nachtraege'!$B:$B,A134,'07_Nachtraege'!$F:$F,"beauftragt"))</f>
        <v/>
      </c>
      <c r="V134" s="15">
        <f>IF(A134="","",J134+U134)</f>
        <v/>
      </c>
      <c r="W134" s="15">
        <f>IF(A134="","",SUMIFS('13_Ausgangsrechnungen'!$G:$G,'13_Ausgangsrechnungen'!$C:$C,A134))</f>
        <v/>
      </c>
      <c r="X134" s="15">
        <f>IF(A134="","",SUMIFS('11_Material'!$L:$L,'11_Material'!$C:$C,A134))</f>
        <v/>
      </c>
      <c r="Y134" s="15">
        <f>IF(A134="","",SUMIFS('14_Eingangsrechnungen'!$F:$F,'14_Eingangsrechnungen'!$C:$C,A134,'14_Eingangsrechnungen'!$E:$E,"Nachunternehmer"))</f>
        <v/>
      </c>
      <c r="Z134" s="15">
        <f>IF(A134="","",SUMIFS('10_Stunden'!$K:$K,'10_Stunden'!$C:$C,A134))</f>
        <v/>
      </c>
      <c r="AA134" s="15">
        <f>IF(A134="","",X134+Y134+Z134+SUMIFS('14_Eingangsrechnungen'!$F:$F,'14_Eingangsrechnungen'!$C:$C,A134,'14_Eingangsrechnungen'!$E:$E,"Gerät")+SUMIFS('14_Eingangsrechnungen'!$F:$F,'14_Eingangsrechnungen'!$C:$C,A134,'14_Eingangsrechnungen'!$E:$E,"Dienstleistung"))</f>
        <v/>
      </c>
      <c r="AB134" s="15">
        <f>IF(A134="","",W134-AA134)</f>
        <v/>
      </c>
      <c r="AC134" s="19">
        <f>IF(OR(A134="",W134=0),"",AB134/W134)</f>
        <v/>
      </c>
      <c r="AD134" s="19">
        <f>IF(OR(A134="",V134=0),"",W134/V134)</f>
        <v/>
      </c>
      <c r="AE134" s="15">
        <f>IF(A134="","",MAX(0,V134-W134))</f>
        <v/>
      </c>
      <c r="AF134" s="15">
        <f>IF(A134="","",SUMIFS('13_Ausgangsrechnungen'!$R:$R,'13_Ausgangsrechnungen'!$C:$C,A134))</f>
        <v/>
      </c>
    </row>
    <row r="135">
      <c r="A135" s="30" t="inlineStr"/>
      <c r="B135" s="30" t="inlineStr"/>
      <c r="C135" s="30" t="inlineStr"/>
      <c r="D135" s="30" t="inlineStr"/>
      <c r="E135" s="30" t="inlineStr"/>
      <c r="F135" s="30" t="inlineStr"/>
      <c r="G135" s="38" t="inlineStr"/>
      <c r="H135" s="38" t="inlineStr"/>
      <c r="I135" s="38" t="inlineStr"/>
      <c r="J135" s="34" t="inlineStr"/>
      <c r="K135" s="34" t="inlineStr"/>
      <c r="L135" s="34" t="inlineStr"/>
      <c r="M135" s="34" t="inlineStr"/>
      <c r="N135" s="34" t="inlineStr"/>
      <c r="O135" s="34" t="inlineStr"/>
      <c r="P135" s="32" t="inlineStr"/>
      <c r="Q135" s="30" t="inlineStr"/>
      <c r="R135" s="30" t="inlineStr"/>
      <c r="S135" s="30" t="inlineStr"/>
      <c r="T135" s="30" t="inlineStr"/>
      <c r="U135" s="15">
        <f>IF(A135="","",SUMIFS('07_Nachtraege'!$E:$E,'07_Nachtraege'!$B:$B,A135,'07_Nachtraege'!$F:$F,"beauftragt"))</f>
        <v/>
      </c>
      <c r="V135" s="15">
        <f>IF(A135="","",J135+U135)</f>
        <v/>
      </c>
      <c r="W135" s="15">
        <f>IF(A135="","",SUMIFS('13_Ausgangsrechnungen'!$G:$G,'13_Ausgangsrechnungen'!$C:$C,A135))</f>
        <v/>
      </c>
      <c r="X135" s="15">
        <f>IF(A135="","",SUMIFS('11_Material'!$L:$L,'11_Material'!$C:$C,A135))</f>
        <v/>
      </c>
      <c r="Y135" s="15">
        <f>IF(A135="","",SUMIFS('14_Eingangsrechnungen'!$F:$F,'14_Eingangsrechnungen'!$C:$C,A135,'14_Eingangsrechnungen'!$E:$E,"Nachunternehmer"))</f>
        <v/>
      </c>
      <c r="Z135" s="15">
        <f>IF(A135="","",SUMIFS('10_Stunden'!$K:$K,'10_Stunden'!$C:$C,A135))</f>
        <v/>
      </c>
      <c r="AA135" s="15">
        <f>IF(A135="","",X135+Y135+Z135+SUMIFS('14_Eingangsrechnungen'!$F:$F,'14_Eingangsrechnungen'!$C:$C,A135,'14_Eingangsrechnungen'!$E:$E,"Gerät")+SUMIFS('14_Eingangsrechnungen'!$F:$F,'14_Eingangsrechnungen'!$C:$C,A135,'14_Eingangsrechnungen'!$E:$E,"Dienstleistung"))</f>
        <v/>
      </c>
      <c r="AB135" s="15">
        <f>IF(A135="","",W135-AA135)</f>
        <v/>
      </c>
      <c r="AC135" s="19">
        <f>IF(OR(A135="",W135=0),"",AB135/W135)</f>
        <v/>
      </c>
      <c r="AD135" s="19">
        <f>IF(OR(A135="",V135=0),"",W135/V135)</f>
        <v/>
      </c>
      <c r="AE135" s="15">
        <f>IF(A135="","",MAX(0,V135-W135))</f>
        <v/>
      </c>
      <c r="AF135" s="15">
        <f>IF(A135="","",SUMIFS('13_Ausgangsrechnungen'!$R:$R,'13_Ausgangsrechnungen'!$C:$C,A135))</f>
        <v/>
      </c>
    </row>
    <row r="136">
      <c r="A136" s="30" t="inlineStr"/>
      <c r="B136" s="30" t="inlineStr"/>
      <c r="C136" s="30" t="inlineStr"/>
      <c r="D136" s="30" t="inlineStr"/>
      <c r="E136" s="30" t="inlineStr"/>
      <c r="F136" s="30" t="inlineStr"/>
      <c r="G136" s="38" t="inlineStr"/>
      <c r="H136" s="38" t="inlineStr"/>
      <c r="I136" s="38" t="inlineStr"/>
      <c r="J136" s="34" t="inlineStr"/>
      <c r="K136" s="34" t="inlineStr"/>
      <c r="L136" s="34" t="inlineStr"/>
      <c r="M136" s="34" t="inlineStr"/>
      <c r="N136" s="34" t="inlineStr"/>
      <c r="O136" s="34" t="inlineStr"/>
      <c r="P136" s="32" t="inlineStr"/>
      <c r="Q136" s="30" t="inlineStr"/>
      <c r="R136" s="30" t="inlineStr"/>
      <c r="S136" s="30" t="inlineStr"/>
      <c r="T136" s="30" t="inlineStr"/>
      <c r="U136" s="15">
        <f>IF(A136="","",SUMIFS('07_Nachtraege'!$E:$E,'07_Nachtraege'!$B:$B,A136,'07_Nachtraege'!$F:$F,"beauftragt"))</f>
        <v/>
      </c>
      <c r="V136" s="15">
        <f>IF(A136="","",J136+U136)</f>
        <v/>
      </c>
      <c r="W136" s="15">
        <f>IF(A136="","",SUMIFS('13_Ausgangsrechnungen'!$G:$G,'13_Ausgangsrechnungen'!$C:$C,A136))</f>
        <v/>
      </c>
      <c r="X136" s="15">
        <f>IF(A136="","",SUMIFS('11_Material'!$L:$L,'11_Material'!$C:$C,A136))</f>
        <v/>
      </c>
      <c r="Y136" s="15">
        <f>IF(A136="","",SUMIFS('14_Eingangsrechnungen'!$F:$F,'14_Eingangsrechnungen'!$C:$C,A136,'14_Eingangsrechnungen'!$E:$E,"Nachunternehmer"))</f>
        <v/>
      </c>
      <c r="Z136" s="15">
        <f>IF(A136="","",SUMIFS('10_Stunden'!$K:$K,'10_Stunden'!$C:$C,A136))</f>
        <v/>
      </c>
      <c r="AA136" s="15">
        <f>IF(A136="","",X136+Y136+Z136+SUMIFS('14_Eingangsrechnungen'!$F:$F,'14_Eingangsrechnungen'!$C:$C,A136,'14_Eingangsrechnungen'!$E:$E,"Gerät")+SUMIFS('14_Eingangsrechnungen'!$F:$F,'14_Eingangsrechnungen'!$C:$C,A136,'14_Eingangsrechnungen'!$E:$E,"Dienstleistung"))</f>
        <v/>
      </c>
      <c r="AB136" s="15">
        <f>IF(A136="","",W136-AA136)</f>
        <v/>
      </c>
      <c r="AC136" s="19">
        <f>IF(OR(A136="",W136=0),"",AB136/W136)</f>
        <v/>
      </c>
      <c r="AD136" s="19">
        <f>IF(OR(A136="",V136=0),"",W136/V136)</f>
        <v/>
      </c>
      <c r="AE136" s="15">
        <f>IF(A136="","",MAX(0,V136-W136))</f>
        <v/>
      </c>
      <c r="AF136" s="15">
        <f>IF(A136="","",SUMIFS('13_Ausgangsrechnungen'!$R:$R,'13_Ausgangsrechnungen'!$C:$C,A136))</f>
        <v/>
      </c>
    </row>
    <row r="137">
      <c r="A137" s="30" t="inlineStr"/>
      <c r="B137" s="30" t="inlineStr"/>
      <c r="C137" s="30" t="inlineStr"/>
      <c r="D137" s="30" t="inlineStr"/>
      <c r="E137" s="30" t="inlineStr"/>
      <c r="F137" s="30" t="inlineStr"/>
      <c r="G137" s="38" t="inlineStr"/>
      <c r="H137" s="38" t="inlineStr"/>
      <c r="I137" s="38" t="inlineStr"/>
      <c r="J137" s="34" t="inlineStr"/>
      <c r="K137" s="34" t="inlineStr"/>
      <c r="L137" s="34" t="inlineStr"/>
      <c r="M137" s="34" t="inlineStr"/>
      <c r="N137" s="34" t="inlineStr"/>
      <c r="O137" s="34" t="inlineStr"/>
      <c r="P137" s="32" t="inlineStr"/>
      <c r="Q137" s="30" t="inlineStr"/>
      <c r="R137" s="30" t="inlineStr"/>
      <c r="S137" s="30" t="inlineStr"/>
      <c r="T137" s="30" t="inlineStr"/>
      <c r="U137" s="15">
        <f>IF(A137="","",SUMIFS('07_Nachtraege'!$E:$E,'07_Nachtraege'!$B:$B,A137,'07_Nachtraege'!$F:$F,"beauftragt"))</f>
        <v/>
      </c>
      <c r="V137" s="15">
        <f>IF(A137="","",J137+U137)</f>
        <v/>
      </c>
      <c r="W137" s="15">
        <f>IF(A137="","",SUMIFS('13_Ausgangsrechnungen'!$G:$G,'13_Ausgangsrechnungen'!$C:$C,A137))</f>
        <v/>
      </c>
      <c r="X137" s="15">
        <f>IF(A137="","",SUMIFS('11_Material'!$L:$L,'11_Material'!$C:$C,A137))</f>
        <v/>
      </c>
      <c r="Y137" s="15">
        <f>IF(A137="","",SUMIFS('14_Eingangsrechnungen'!$F:$F,'14_Eingangsrechnungen'!$C:$C,A137,'14_Eingangsrechnungen'!$E:$E,"Nachunternehmer"))</f>
        <v/>
      </c>
      <c r="Z137" s="15">
        <f>IF(A137="","",SUMIFS('10_Stunden'!$K:$K,'10_Stunden'!$C:$C,A137))</f>
        <v/>
      </c>
      <c r="AA137" s="15">
        <f>IF(A137="","",X137+Y137+Z137+SUMIFS('14_Eingangsrechnungen'!$F:$F,'14_Eingangsrechnungen'!$C:$C,A137,'14_Eingangsrechnungen'!$E:$E,"Gerät")+SUMIFS('14_Eingangsrechnungen'!$F:$F,'14_Eingangsrechnungen'!$C:$C,A137,'14_Eingangsrechnungen'!$E:$E,"Dienstleistung"))</f>
        <v/>
      </c>
      <c r="AB137" s="15">
        <f>IF(A137="","",W137-AA137)</f>
        <v/>
      </c>
      <c r="AC137" s="19">
        <f>IF(OR(A137="",W137=0),"",AB137/W137)</f>
        <v/>
      </c>
      <c r="AD137" s="19">
        <f>IF(OR(A137="",V137=0),"",W137/V137)</f>
        <v/>
      </c>
      <c r="AE137" s="15">
        <f>IF(A137="","",MAX(0,V137-W137))</f>
        <v/>
      </c>
      <c r="AF137" s="15">
        <f>IF(A137="","",SUMIFS('13_Ausgangsrechnungen'!$R:$R,'13_Ausgangsrechnungen'!$C:$C,A137))</f>
        <v/>
      </c>
    </row>
    <row r="138">
      <c r="A138" s="30" t="inlineStr"/>
      <c r="B138" s="30" t="inlineStr"/>
      <c r="C138" s="30" t="inlineStr"/>
      <c r="D138" s="30" t="inlineStr"/>
      <c r="E138" s="30" t="inlineStr"/>
      <c r="F138" s="30" t="inlineStr"/>
      <c r="G138" s="38" t="inlineStr"/>
      <c r="H138" s="38" t="inlineStr"/>
      <c r="I138" s="38" t="inlineStr"/>
      <c r="J138" s="34" t="inlineStr"/>
      <c r="K138" s="34" t="inlineStr"/>
      <c r="L138" s="34" t="inlineStr"/>
      <c r="M138" s="34" t="inlineStr"/>
      <c r="N138" s="34" t="inlineStr"/>
      <c r="O138" s="34" t="inlineStr"/>
      <c r="P138" s="32" t="inlineStr"/>
      <c r="Q138" s="30" t="inlineStr"/>
      <c r="R138" s="30" t="inlineStr"/>
      <c r="S138" s="30" t="inlineStr"/>
      <c r="T138" s="30" t="inlineStr"/>
      <c r="U138" s="15">
        <f>IF(A138="","",SUMIFS('07_Nachtraege'!$E:$E,'07_Nachtraege'!$B:$B,A138,'07_Nachtraege'!$F:$F,"beauftragt"))</f>
        <v/>
      </c>
      <c r="V138" s="15">
        <f>IF(A138="","",J138+U138)</f>
        <v/>
      </c>
      <c r="W138" s="15">
        <f>IF(A138="","",SUMIFS('13_Ausgangsrechnungen'!$G:$G,'13_Ausgangsrechnungen'!$C:$C,A138))</f>
        <v/>
      </c>
      <c r="X138" s="15">
        <f>IF(A138="","",SUMIFS('11_Material'!$L:$L,'11_Material'!$C:$C,A138))</f>
        <v/>
      </c>
      <c r="Y138" s="15">
        <f>IF(A138="","",SUMIFS('14_Eingangsrechnungen'!$F:$F,'14_Eingangsrechnungen'!$C:$C,A138,'14_Eingangsrechnungen'!$E:$E,"Nachunternehmer"))</f>
        <v/>
      </c>
      <c r="Z138" s="15">
        <f>IF(A138="","",SUMIFS('10_Stunden'!$K:$K,'10_Stunden'!$C:$C,A138))</f>
        <v/>
      </c>
      <c r="AA138" s="15">
        <f>IF(A138="","",X138+Y138+Z138+SUMIFS('14_Eingangsrechnungen'!$F:$F,'14_Eingangsrechnungen'!$C:$C,A138,'14_Eingangsrechnungen'!$E:$E,"Gerät")+SUMIFS('14_Eingangsrechnungen'!$F:$F,'14_Eingangsrechnungen'!$C:$C,A138,'14_Eingangsrechnungen'!$E:$E,"Dienstleistung"))</f>
        <v/>
      </c>
      <c r="AB138" s="15">
        <f>IF(A138="","",W138-AA138)</f>
        <v/>
      </c>
      <c r="AC138" s="19">
        <f>IF(OR(A138="",W138=0),"",AB138/W138)</f>
        <v/>
      </c>
      <c r="AD138" s="19">
        <f>IF(OR(A138="",V138=0),"",W138/V138)</f>
        <v/>
      </c>
      <c r="AE138" s="15">
        <f>IF(A138="","",MAX(0,V138-W138))</f>
        <v/>
      </c>
      <c r="AF138" s="15">
        <f>IF(A138="","",SUMIFS('13_Ausgangsrechnungen'!$R:$R,'13_Ausgangsrechnungen'!$C:$C,A138))</f>
        <v/>
      </c>
    </row>
    <row r="139">
      <c r="A139" s="30" t="inlineStr"/>
      <c r="B139" s="30" t="inlineStr"/>
      <c r="C139" s="30" t="inlineStr"/>
      <c r="D139" s="30" t="inlineStr"/>
      <c r="E139" s="30" t="inlineStr"/>
      <c r="F139" s="30" t="inlineStr"/>
      <c r="G139" s="38" t="inlineStr"/>
      <c r="H139" s="38" t="inlineStr"/>
      <c r="I139" s="38" t="inlineStr"/>
      <c r="J139" s="34" t="inlineStr"/>
      <c r="K139" s="34" t="inlineStr"/>
      <c r="L139" s="34" t="inlineStr"/>
      <c r="M139" s="34" t="inlineStr"/>
      <c r="N139" s="34" t="inlineStr"/>
      <c r="O139" s="34" t="inlineStr"/>
      <c r="P139" s="32" t="inlineStr"/>
      <c r="Q139" s="30" t="inlineStr"/>
      <c r="R139" s="30" t="inlineStr"/>
      <c r="S139" s="30" t="inlineStr"/>
      <c r="T139" s="30" t="inlineStr"/>
      <c r="U139" s="15">
        <f>IF(A139="","",SUMIFS('07_Nachtraege'!$E:$E,'07_Nachtraege'!$B:$B,A139,'07_Nachtraege'!$F:$F,"beauftragt"))</f>
        <v/>
      </c>
      <c r="V139" s="15">
        <f>IF(A139="","",J139+U139)</f>
        <v/>
      </c>
      <c r="W139" s="15">
        <f>IF(A139="","",SUMIFS('13_Ausgangsrechnungen'!$G:$G,'13_Ausgangsrechnungen'!$C:$C,A139))</f>
        <v/>
      </c>
      <c r="X139" s="15">
        <f>IF(A139="","",SUMIFS('11_Material'!$L:$L,'11_Material'!$C:$C,A139))</f>
        <v/>
      </c>
      <c r="Y139" s="15">
        <f>IF(A139="","",SUMIFS('14_Eingangsrechnungen'!$F:$F,'14_Eingangsrechnungen'!$C:$C,A139,'14_Eingangsrechnungen'!$E:$E,"Nachunternehmer"))</f>
        <v/>
      </c>
      <c r="Z139" s="15">
        <f>IF(A139="","",SUMIFS('10_Stunden'!$K:$K,'10_Stunden'!$C:$C,A139))</f>
        <v/>
      </c>
      <c r="AA139" s="15">
        <f>IF(A139="","",X139+Y139+Z139+SUMIFS('14_Eingangsrechnungen'!$F:$F,'14_Eingangsrechnungen'!$C:$C,A139,'14_Eingangsrechnungen'!$E:$E,"Gerät")+SUMIFS('14_Eingangsrechnungen'!$F:$F,'14_Eingangsrechnungen'!$C:$C,A139,'14_Eingangsrechnungen'!$E:$E,"Dienstleistung"))</f>
        <v/>
      </c>
      <c r="AB139" s="15">
        <f>IF(A139="","",W139-AA139)</f>
        <v/>
      </c>
      <c r="AC139" s="19">
        <f>IF(OR(A139="",W139=0),"",AB139/W139)</f>
        <v/>
      </c>
      <c r="AD139" s="19">
        <f>IF(OR(A139="",V139=0),"",W139/V139)</f>
        <v/>
      </c>
      <c r="AE139" s="15">
        <f>IF(A139="","",MAX(0,V139-W139))</f>
        <v/>
      </c>
      <c r="AF139" s="15">
        <f>IF(A139="","",SUMIFS('13_Ausgangsrechnungen'!$R:$R,'13_Ausgangsrechnungen'!$C:$C,A139))</f>
        <v/>
      </c>
    </row>
    <row r="140">
      <c r="A140" s="30" t="inlineStr"/>
      <c r="B140" s="30" t="inlineStr"/>
      <c r="C140" s="30" t="inlineStr"/>
      <c r="D140" s="30" t="inlineStr"/>
      <c r="E140" s="30" t="inlineStr"/>
      <c r="F140" s="30" t="inlineStr"/>
      <c r="G140" s="38" t="inlineStr"/>
      <c r="H140" s="38" t="inlineStr"/>
      <c r="I140" s="38" t="inlineStr"/>
      <c r="J140" s="34" t="inlineStr"/>
      <c r="K140" s="34" t="inlineStr"/>
      <c r="L140" s="34" t="inlineStr"/>
      <c r="M140" s="34" t="inlineStr"/>
      <c r="N140" s="34" t="inlineStr"/>
      <c r="O140" s="34" t="inlineStr"/>
      <c r="P140" s="32" t="inlineStr"/>
      <c r="Q140" s="30" t="inlineStr"/>
      <c r="R140" s="30" t="inlineStr"/>
      <c r="S140" s="30" t="inlineStr"/>
      <c r="T140" s="30" t="inlineStr"/>
      <c r="U140" s="15">
        <f>IF(A140="","",SUMIFS('07_Nachtraege'!$E:$E,'07_Nachtraege'!$B:$B,A140,'07_Nachtraege'!$F:$F,"beauftragt"))</f>
        <v/>
      </c>
      <c r="V140" s="15">
        <f>IF(A140="","",J140+U140)</f>
        <v/>
      </c>
      <c r="W140" s="15">
        <f>IF(A140="","",SUMIFS('13_Ausgangsrechnungen'!$G:$G,'13_Ausgangsrechnungen'!$C:$C,A140))</f>
        <v/>
      </c>
      <c r="X140" s="15">
        <f>IF(A140="","",SUMIFS('11_Material'!$L:$L,'11_Material'!$C:$C,A140))</f>
        <v/>
      </c>
      <c r="Y140" s="15">
        <f>IF(A140="","",SUMIFS('14_Eingangsrechnungen'!$F:$F,'14_Eingangsrechnungen'!$C:$C,A140,'14_Eingangsrechnungen'!$E:$E,"Nachunternehmer"))</f>
        <v/>
      </c>
      <c r="Z140" s="15">
        <f>IF(A140="","",SUMIFS('10_Stunden'!$K:$K,'10_Stunden'!$C:$C,A140))</f>
        <v/>
      </c>
      <c r="AA140" s="15">
        <f>IF(A140="","",X140+Y140+Z140+SUMIFS('14_Eingangsrechnungen'!$F:$F,'14_Eingangsrechnungen'!$C:$C,A140,'14_Eingangsrechnungen'!$E:$E,"Gerät")+SUMIFS('14_Eingangsrechnungen'!$F:$F,'14_Eingangsrechnungen'!$C:$C,A140,'14_Eingangsrechnungen'!$E:$E,"Dienstleistung"))</f>
        <v/>
      </c>
      <c r="AB140" s="15">
        <f>IF(A140="","",W140-AA140)</f>
        <v/>
      </c>
      <c r="AC140" s="19">
        <f>IF(OR(A140="",W140=0),"",AB140/W140)</f>
        <v/>
      </c>
      <c r="AD140" s="19">
        <f>IF(OR(A140="",V140=0),"",W140/V140)</f>
        <v/>
      </c>
      <c r="AE140" s="15">
        <f>IF(A140="","",MAX(0,V140-W140))</f>
        <v/>
      </c>
      <c r="AF140" s="15">
        <f>IF(A140="","",SUMIFS('13_Ausgangsrechnungen'!$R:$R,'13_Ausgangsrechnungen'!$C:$C,A140))</f>
        <v/>
      </c>
    </row>
    <row r="141">
      <c r="A141" s="30" t="inlineStr"/>
      <c r="B141" s="30" t="inlineStr"/>
      <c r="C141" s="30" t="inlineStr"/>
      <c r="D141" s="30" t="inlineStr"/>
      <c r="E141" s="30" t="inlineStr"/>
      <c r="F141" s="30" t="inlineStr"/>
      <c r="G141" s="38" t="inlineStr"/>
      <c r="H141" s="38" t="inlineStr"/>
      <c r="I141" s="38" t="inlineStr"/>
      <c r="J141" s="34" t="inlineStr"/>
      <c r="K141" s="34" t="inlineStr"/>
      <c r="L141" s="34" t="inlineStr"/>
      <c r="M141" s="34" t="inlineStr"/>
      <c r="N141" s="34" t="inlineStr"/>
      <c r="O141" s="34" t="inlineStr"/>
      <c r="P141" s="32" t="inlineStr"/>
      <c r="Q141" s="30" t="inlineStr"/>
      <c r="R141" s="30" t="inlineStr"/>
      <c r="S141" s="30" t="inlineStr"/>
      <c r="T141" s="30" t="inlineStr"/>
      <c r="U141" s="15">
        <f>IF(A141="","",SUMIFS('07_Nachtraege'!$E:$E,'07_Nachtraege'!$B:$B,A141,'07_Nachtraege'!$F:$F,"beauftragt"))</f>
        <v/>
      </c>
      <c r="V141" s="15">
        <f>IF(A141="","",J141+U141)</f>
        <v/>
      </c>
      <c r="W141" s="15">
        <f>IF(A141="","",SUMIFS('13_Ausgangsrechnungen'!$G:$G,'13_Ausgangsrechnungen'!$C:$C,A141))</f>
        <v/>
      </c>
      <c r="X141" s="15">
        <f>IF(A141="","",SUMIFS('11_Material'!$L:$L,'11_Material'!$C:$C,A141))</f>
        <v/>
      </c>
      <c r="Y141" s="15">
        <f>IF(A141="","",SUMIFS('14_Eingangsrechnungen'!$F:$F,'14_Eingangsrechnungen'!$C:$C,A141,'14_Eingangsrechnungen'!$E:$E,"Nachunternehmer"))</f>
        <v/>
      </c>
      <c r="Z141" s="15">
        <f>IF(A141="","",SUMIFS('10_Stunden'!$K:$K,'10_Stunden'!$C:$C,A141))</f>
        <v/>
      </c>
      <c r="AA141" s="15">
        <f>IF(A141="","",X141+Y141+Z141+SUMIFS('14_Eingangsrechnungen'!$F:$F,'14_Eingangsrechnungen'!$C:$C,A141,'14_Eingangsrechnungen'!$E:$E,"Gerät")+SUMIFS('14_Eingangsrechnungen'!$F:$F,'14_Eingangsrechnungen'!$C:$C,A141,'14_Eingangsrechnungen'!$E:$E,"Dienstleistung"))</f>
        <v/>
      </c>
      <c r="AB141" s="15">
        <f>IF(A141="","",W141-AA141)</f>
        <v/>
      </c>
      <c r="AC141" s="19">
        <f>IF(OR(A141="",W141=0),"",AB141/W141)</f>
        <v/>
      </c>
      <c r="AD141" s="19">
        <f>IF(OR(A141="",V141=0),"",W141/V141)</f>
        <v/>
      </c>
      <c r="AE141" s="15">
        <f>IF(A141="","",MAX(0,V141-W141))</f>
        <v/>
      </c>
      <c r="AF141" s="15">
        <f>IF(A141="","",SUMIFS('13_Ausgangsrechnungen'!$R:$R,'13_Ausgangsrechnungen'!$C:$C,A141))</f>
        <v/>
      </c>
    </row>
    <row r="142">
      <c r="A142" s="30" t="inlineStr"/>
      <c r="B142" s="30" t="inlineStr"/>
      <c r="C142" s="30" t="inlineStr"/>
      <c r="D142" s="30" t="inlineStr"/>
      <c r="E142" s="30" t="inlineStr"/>
      <c r="F142" s="30" t="inlineStr"/>
      <c r="G142" s="38" t="inlineStr"/>
      <c r="H142" s="38" t="inlineStr"/>
      <c r="I142" s="38" t="inlineStr"/>
      <c r="J142" s="34" t="inlineStr"/>
      <c r="K142" s="34" t="inlineStr"/>
      <c r="L142" s="34" t="inlineStr"/>
      <c r="M142" s="34" t="inlineStr"/>
      <c r="N142" s="34" t="inlineStr"/>
      <c r="O142" s="34" t="inlineStr"/>
      <c r="P142" s="32" t="inlineStr"/>
      <c r="Q142" s="30" t="inlineStr"/>
      <c r="R142" s="30" t="inlineStr"/>
      <c r="S142" s="30" t="inlineStr"/>
      <c r="T142" s="30" t="inlineStr"/>
      <c r="U142" s="15">
        <f>IF(A142="","",SUMIFS('07_Nachtraege'!$E:$E,'07_Nachtraege'!$B:$B,A142,'07_Nachtraege'!$F:$F,"beauftragt"))</f>
        <v/>
      </c>
      <c r="V142" s="15">
        <f>IF(A142="","",J142+U142)</f>
        <v/>
      </c>
      <c r="W142" s="15">
        <f>IF(A142="","",SUMIFS('13_Ausgangsrechnungen'!$G:$G,'13_Ausgangsrechnungen'!$C:$C,A142))</f>
        <v/>
      </c>
      <c r="X142" s="15">
        <f>IF(A142="","",SUMIFS('11_Material'!$L:$L,'11_Material'!$C:$C,A142))</f>
        <v/>
      </c>
      <c r="Y142" s="15">
        <f>IF(A142="","",SUMIFS('14_Eingangsrechnungen'!$F:$F,'14_Eingangsrechnungen'!$C:$C,A142,'14_Eingangsrechnungen'!$E:$E,"Nachunternehmer"))</f>
        <v/>
      </c>
      <c r="Z142" s="15">
        <f>IF(A142="","",SUMIFS('10_Stunden'!$K:$K,'10_Stunden'!$C:$C,A142))</f>
        <v/>
      </c>
      <c r="AA142" s="15">
        <f>IF(A142="","",X142+Y142+Z142+SUMIFS('14_Eingangsrechnungen'!$F:$F,'14_Eingangsrechnungen'!$C:$C,A142,'14_Eingangsrechnungen'!$E:$E,"Gerät")+SUMIFS('14_Eingangsrechnungen'!$F:$F,'14_Eingangsrechnungen'!$C:$C,A142,'14_Eingangsrechnungen'!$E:$E,"Dienstleistung"))</f>
        <v/>
      </c>
      <c r="AB142" s="15">
        <f>IF(A142="","",W142-AA142)</f>
        <v/>
      </c>
      <c r="AC142" s="19">
        <f>IF(OR(A142="",W142=0),"",AB142/W142)</f>
        <v/>
      </c>
      <c r="AD142" s="19">
        <f>IF(OR(A142="",V142=0),"",W142/V142)</f>
        <v/>
      </c>
      <c r="AE142" s="15">
        <f>IF(A142="","",MAX(0,V142-W142))</f>
        <v/>
      </c>
      <c r="AF142" s="15">
        <f>IF(A142="","",SUMIFS('13_Ausgangsrechnungen'!$R:$R,'13_Ausgangsrechnungen'!$C:$C,A142))</f>
        <v/>
      </c>
    </row>
    <row r="143">
      <c r="A143" s="30" t="inlineStr"/>
      <c r="B143" s="30" t="inlineStr"/>
      <c r="C143" s="30" t="inlineStr"/>
      <c r="D143" s="30" t="inlineStr"/>
      <c r="E143" s="30" t="inlineStr"/>
      <c r="F143" s="30" t="inlineStr"/>
      <c r="G143" s="38" t="inlineStr"/>
      <c r="H143" s="38" t="inlineStr"/>
      <c r="I143" s="38" t="inlineStr"/>
      <c r="J143" s="34" t="inlineStr"/>
      <c r="K143" s="34" t="inlineStr"/>
      <c r="L143" s="34" t="inlineStr"/>
      <c r="M143" s="34" t="inlineStr"/>
      <c r="N143" s="34" t="inlineStr"/>
      <c r="O143" s="34" t="inlineStr"/>
      <c r="P143" s="32" t="inlineStr"/>
      <c r="Q143" s="30" t="inlineStr"/>
      <c r="R143" s="30" t="inlineStr"/>
      <c r="S143" s="30" t="inlineStr"/>
      <c r="T143" s="30" t="inlineStr"/>
      <c r="U143" s="15">
        <f>IF(A143="","",SUMIFS('07_Nachtraege'!$E:$E,'07_Nachtraege'!$B:$B,A143,'07_Nachtraege'!$F:$F,"beauftragt"))</f>
        <v/>
      </c>
      <c r="V143" s="15">
        <f>IF(A143="","",J143+U143)</f>
        <v/>
      </c>
      <c r="W143" s="15">
        <f>IF(A143="","",SUMIFS('13_Ausgangsrechnungen'!$G:$G,'13_Ausgangsrechnungen'!$C:$C,A143))</f>
        <v/>
      </c>
      <c r="X143" s="15">
        <f>IF(A143="","",SUMIFS('11_Material'!$L:$L,'11_Material'!$C:$C,A143))</f>
        <v/>
      </c>
      <c r="Y143" s="15">
        <f>IF(A143="","",SUMIFS('14_Eingangsrechnungen'!$F:$F,'14_Eingangsrechnungen'!$C:$C,A143,'14_Eingangsrechnungen'!$E:$E,"Nachunternehmer"))</f>
        <v/>
      </c>
      <c r="Z143" s="15">
        <f>IF(A143="","",SUMIFS('10_Stunden'!$K:$K,'10_Stunden'!$C:$C,A143))</f>
        <v/>
      </c>
      <c r="AA143" s="15">
        <f>IF(A143="","",X143+Y143+Z143+SUMIFS('14_Eingangsrechnungen'!$F:$F,'14_Eingangsrechnungen'!$C:$C,A143,'14_Eingangsrechnungen'!$E:$E,"Gerät")+SUMIFS('14_Eingangsrechnungen'!$F:$F,'14_Eingangsrechnungen'!$C:$C,A143,'14_Eingangsrechnungen'!$E:$E,"Dienstleistung"))</f>
        <v/>
      </c>
      <c r="AB143" s="15">
        <f>IF(A143="","",W143-AA143)</f>
        <v/>
      </c>
      <c r="AC143" s="19">
        <f>IF(OR(A143="",W143=0),"",AB143/W143)</f>
        <v/>
      </c>
      <c r="AD143" s="19">
        <f>IF(OR(A143="",V143=0),"",W143/V143)</f>
        <v/>
      </c>
      <c r="AE143" s="15">
        <f>IF(A143="","",MAX(0,V143-W143))</f>
        <v/>
      </c>
      <c r="AF143" s="15">
        <f>IF(A143="","",SUMIFS('13_Ausgangsrechnungen'!$R:$R,'13_Ausgangsrechnungen'!$C:$C,A143))</f>
        <v/>
      </c>
    </row>
    <row r="144">
      <c r="A144" s="30" t="inlineStr"/>
      <c r="B144" s="30" t="inlineStr"/>
      <c r="C144" s="30" t="inlineStr"/>
      <c r="D144" s="30" t="inlineStr"/>
      <c r="E144" s="30" t="inlineStr"/>
      <c r="F144" s="30" t="inlineStr"/>
      <c r="G144" s="38" t="inlineStr"/>
      <c r="H144" s="38" t="inlineStr"/>
      <c r="I144" s="38" t="inlineStr"/>
      <c r="J144" s="34" t="inlineStr"/>
      <c r="K144" s="34" t="inlineStr"/>
      <c r="L144" s="34" t="inlineStr"/>
      <c r="M144" s="34" t="inlineStr"/>
      <c r="N144" s="34" t="inlineStr"/>
      <c r="O144" s="34" t="inlineStr"/>
      <c r="P144" s="32" t="inlineStr"/>
      <c r="Q144" s="30" t="inlineStr"/>
      <c r="R144" s="30" t="inlineStr"/>
      <c r="S144" s="30" t="inlineStr"/>
      <c r="T144" s="30" t="inlineStr"/>
      <c r="U144" s="15">
        <f>IF(A144="","",SUMIFS('07_Nachtraege'!$E:$E,'07_Nachtraege'!$B:$B,A144,'07_Nachtraege'!$F:$F,"beauftragt"))</f>
        <v/>
      </c>
      <c r="V144" s="15">
        <f>IF(A144="","",J144+U144)</f>
        <v/>
      </c>
      <c r="W144" s="15">
        <f>IF(A144="","",SUMIFS('13_Ausgangsrechnungen'!$G:$G,'13_Ausgangsrechnungen'!$C:$C,A144))</f>
        <v/>
      </c>
      <c r="X144" s="15">
        <f>IF(A144="","",SUMIFS('11_Material'!$L:$L,'11_Material'!$C:$C,A144))</f>
        <v/>
      </c>
      <c r="Y144" s="15">
        <f>IF(A144="","",SUMIFS('14_Eingangsrechnungen'!$F:$F,'14_Eingangsrechnungen'!$C:$C,A144,'14_Eingangsrechnungen'!$E:$E,"Nachunternehmer"))</f>
        <v/>
      </c>
      <c r="Z144" s="15">
        <f>IF(A144="","",SUMIFS('10_Stunden'!$K:$K,'10_Stunden'!$C:$C,A144))</f>
        <v/>
      </c>
      <c r="AA144" s="15">
        <f>IF(A144="","",X144+Y144+Z144+SUMIFS('14_Eingangsrechnungen'!$F:$F,'14_Eingangsrechnungen'!$C:$C,A144,'14_Eingangsrechnungen'!$E:$E,"Gerät")+SUMIFS('14_Eingangsrechnungen'!$F:$F,'14_Eingangsrechnungen'!$C:$C,A144,'14_Eingangsrechnungen'!$E:$E,"Dienstleistung"))</f>
        <v/>
      </c>
      <c r="AB144" s="15">
        <f>IF(A144="","",W144-AA144)</f>
        <v/>
      </c>
      <c r="AC144" s="19">
        <f>IF(OR(A144="",W144=0),"",AB144/W144)</f>
        <v/>
      </c>
      <c r="AD144" s="19">
        <f>IF(OR(A144="",V144=0),"",W144/V144)</f>
        <v/>
      </c>
      <c r="AE144" s="15">
        <f>IF(A144="","",MAX(0,V144-W144))</f>
        <v/>
      </c>
      <c r="AF144" s="15">
        <f>IF(A144="","",SUMIFS('13_Ausgangsrechnungen'!$R:$R,'13_Ausgangsrechnungen'!$C:$C,A144))</f>
        <v/>
      </c>
    </row>
    <row r="145">
      <c r="A145" s="30" t="inlineStr"/>
      <c r="B145" s="30" t="inlineStr"/>
      <c r="C145" s="30" t="inlineStr"/>
      <c r="D145" s="30" t="inlineStr"/>
      <c r="E145" s="30" t="inlineStr"/>
      <c r="F145" s="30" t="inlineStr"/>
      <c r="G145" s="38" t="inlineStr"/>
      <c r="H145" s="38" t="inlineStr"/>
      <c r="I145" s="38" t="inlineStr"/>
      <c r="J145" s="34" t="inlineStr"/>
      <c r="K145" s="34" t="inlineStr"/>
      <c r="L145" s="34" t="inlineStr"/>
      <c r="M145" s="34" t="inlineStr"/>
      <c r="N145" s="34" t="inlineStr"/>
      <c r="O145" s="34" t="inlineStr"/>
      <c r="P145" s="32" t="inlineStr"/>
      <c r="Q145" s="30" t="inlineStr"/>
      <c r="R145" s="30" t="inlineStr"/>
      <c r="S145" s="30" t="inlineStr"/>
      <c r="T145" s="30" t="inlineStr"/>
      <c r="U145" s="15">
        <f>IF(A145="","",SUMIFS('07_Nachtraege'!$E:$E,'07_Nachtraege'!$B:$B,A145,'07_Nachtraege'!$F:$F,"beauftragt"))</f>
        <v/>
      </c>
      <c r="V145" s="15">
        <f>IF(A145="","",J145+U145)</f>
        <v/>
      </c>
      <c r="W145" s="15">
        <f>IF(A145="","",SUMIFS('13_Ausgangsrechnungen'!$G:$G,'13_Ausgangsrechnungen'!$C:$C,A145))</f>
        <v/>
      </c>
      <c r="X145" s="15">
        <f>IF(A145="","",SUMIFS('11_Material'!$L:$L,'11_Material'!$C:$C,A145))</f>
        <v/>
      </c>
      <c r="Y145" s="15">
        <f>IF(A145="","",SUMIFS('14_Eingangsrechnungen'!$F:$F,'14_Eingangsrechnungen'!$C:$C,A145,'14_Eingangsrechnungen'!$E:$E,"Nachunternehmer"))</f>
        <v/>
      </c>
      <c r="Z145" s="15">
        <f>IF(A145="","",SUMIFS('10_Stunden'!$K:$K,'10_Stunden'!$C:$C,A145))</f>
        <v/>
      </c>
      <c r="AA145" s="15">
        <f>IF(A145="","",X145+Y145+Z145+SUMIFS('14_Eingangsrechnungen'!$F:$F,'14_Eingangsrechnungen'!$C:$C,A145,'14_Eingangsrechnungen'!$E:$E,"Gerät")+SUMIFS('14_Eingangsrechnungen'!$F:$F,'14_Eingangsrechnungen'!$C:$C,A145,'14_Eingangsrechnungen'!$E:$E,"Dienstleistung"))</f>
        <v/>
      </c>
      <c r="AB145" s="15">
        <f>IF(A145="","",W145-AA145)</f>
        <v/>
      </c>
      <c r="AC145" s="19">
        <f>IF(OR(A145="",W145=0),"",AB145/W145)</f>
        <v/>
      </c>
      <c r="AD145" s="19">
        <f>IF(OR(A145="",V145=0),"",W145/V145)</f>
        <v/>
      </c>
      <c r="AE145" s="15">
        <f>IF(A145="","",MAX(0,V145-W145))</f>
        <v/>
      </c>
      <c r="AF145" s="15">
        <f>IF(A145="","",SUMIFS('13_Ausgangsrechnungen'!$R:$R,'13_Ausgangsrechnungen'!$C:$C,A145))</f>
        <v/>
      </c>
    </row>
    <row r="146">
      <c r="A146" s="30" t="inlineStr"/>
      <c r="B146" s="30" t="inlineStr"/>
      <c r="C146" s="30" t="inlineStr"/>
      <c r="D146" s="30" t="inlineStr"/>
      <c r="E146" s="30" t="inlineStr"/>
      <c r="F146" s="30" t="inlineStr"/>
      <c r="G146" s="38" t="inlineStr"/>
      <c r="H146" s="38" t="inlineStr"/>
      <c r="I146" s="38" t="inlineStr"/>
      <c r="J146" s="34" t="inlineStr"/>
      <c r="K146" s="34" t="inlineStr"/>
      <c r="L146" s="34" t="inlineStr"/>
      <c r="M146" s="34" t="inlineStr"/>
      <c r="N146" s="34" t="inlineStr"/>
      <c r="O146" s="34" t="inlineStr"/>
      <c r="P146" s="32" t="inlineStr"/>
      <c r="Q146" s="30" t="inlineStr"/>
      <c r="R146" s="30" t="inlineStr"/>
      <c r="S146" s="30" t="inlineStr"/>
      <c r="T146" s="30" t="inlineStr"/>
      <c r="U146" s="15">
        <f>IF(A146="","",SUMIFS('07_Nachtraege'!$E:$E,'07_Nachtraege'!$B:$B,A146,'07_Nachtraege'!$F:$F,"beauftragt"))</f>
        <v/>
      </c>
      <c r="V146" s="15">
        <f>IF(A146="","",J146+U146)</f>
        <v/>
      </c>
      <c r="W146" s="15">
        <f>IF(A146="","",SUMIFS('13_Ausgangsrechnungen'!$G:$G,'13_Ausgangsrechnungen'!$C:$C,A146))</f>
        <v/>
      </c>
      <c r="X146" s="15">
        <f>IF(A146="","",SUMIFS('11_Material'!$L:$L,'11_Material'!$C:$C,A146))</f>
        <v/>
      </c>
      <c r="Y146" s="15">
        <f>IF(A146="","",SUMIFS('14_Eingangsrechnungen'!$F:$F,'14_Eingangsrechnungen'!$C:$C,A146,'14_Eingangsrechnungen'!$E:$E,"Nachunternehmer"))</f>
        <v/>
      </c>
      <c r="Z146" s="15">
        <f>IF(A146="","",SUMIFS('10_Stunden'!$K:$K,'10_Stunden'!$C:$C,A146))</f>
        <v/>
      </c>
      <c r="AA146" s="15">
        <f>IF(A146="","",X146+Y146+Z146+SUMIFS('14_Eingangsrechnungen'!$F:$F,'14_Eingangsrechnungen'!$C:$C,A146,'14_Eingangsrechnungen'!$E:$E,"Gerät")+SUMIFS('14_Eingangsrechnungen'!$F:$F,'14_Eingangsrechnungen'!$C:$C,A146,'14_Eingangsrechnungen'!$E:$E,"Dienstleistung"))</f>
        <v/>
      </c>
      <c r="AB146" s="15">
        <f>IF(A146="","",W146-AA146)</f>
        <v/>
      </c>
      <c r="AC146" s="19">
        <f>IF(OR(A146="",W146=0),"",AB146/W146)</f>
        <v/>
      </c>
      <c r="AD146" s="19">
        <f>IF(OR(A146="",V146=0),"",W146/V146)</f>
        <v/>
      </c>
      <c r="AE146" s="15">
        <f>IF(A146="","",MAX(0,V146-W146))</f>
        <v/>
      </c>
      <c r="AF146" s="15">
        <f>IF(A146="","",SUMIFS('13_Ausgangsrechnungen'!$R:$R,'13_Ausgangsrechnungen'!$C:$C,A146))</f>
        <v/>
      </c>
    </row>
    <row r="147">
      <c r="A147" s="30" t="inlineStr"/>
      <c r="B147" s="30" t="inlineStr"/>
      <c r="C147" s="30" t="inlineStr"/>
      <c r="D147" s="30" t="inlineStr"/>
      <c r="E147" s="30" t="inlineStr"/>
      <c r="F147" s="30" t="inlineStr"/>
      <c r="G147" s="38" t="inlineStr"/>
      <c r="H147" s="38" t="inlineStr"/>
      <c r="I147" s="38" t="inlineStr"/>
      <c r="J147" s="34" t="inlineStr"/>
      <c r="K147" s="34" t="inlineStr"/>
      <c r="L147" s="34" t="inlineStr"/>
      <c r="M147" s="34" t="inlineStr"/>
      <c r="N147" s="34" t="inlineStr"/>
      <c r="O147" s="34" t="inlineStr"/>
      <c r="P147" s="32" t="inlineStr"/>
      <c r="Q147" s="30" t="inlineStr"/>
      <c r="R147" s="30" t="inlineStr"/>
      <c r="S147" s="30" t="inlineStr"/>
      <c r="T147" s="30" t="inlineStr"/>
      <c r="U147" s="15">
        <f>IF(A147="","",SUMIFS('07_Nachtraege'!$E:$E,'07_Nachtraege'!$B:$B,A147,'07_Nachtraege'!$F:$F,"beauftragt"))</f>
        <v/>
      </c>
      <c r="V147" s="15">
        <f>IF(A147="","",J147+U147)</f>
        <v/>
      </c>
      <c r="W147" s="15">
        <f>IF(A147="","",SUMIFS('13_Ausgangsrechnungen'!$G:$G,'13_Ausgangsrechnungen'!$C:$C,A147))</f>
        <v/>
      </c>
      <c r="X147" s="15">
        <f>IF(A147="","",SUMIFS('11_Material'!$L:$L,'11_Material'!$C:$C,A147))</f>
        <v/>
      </c>
      <c r="Y147" s="15">
        <f>IF(A147="","",SUMIFS('14_Eingangsrechnungen'!$F:$F,'14_Eingangsrechnungen'!$C:$C,A147,'14_Eingangsrechnungen'!$E:$E,"Nachunternehmer"))</f>
        <v/>
      </c>
      <c r="Z147" s="15">
        <f>IF(A147="","",SUMIFS('10_Stunden'!$K:$K,'10_Stunden'!$C:$C,A147))</f>
        <v/>
      </c>
      <c r="AA147" s="15">
        <f>IF(A147="","",X147+Y147+Z147+SUMIFS('14_Eingangsrechnungen'!$F:$F,'14_Eingangsrechnungen'!$C:$C,A147,'14_Eingangsrechnungen'!$E:$E,"Gerät")+SUMIFS('14_Eingangsrechnungen'!$F:$F,'14_Eingangsrechnungen'!$C:$C,A147,'14_Eingangsrechnungen'!$E:$E,"Dienstleistung"))</f>
        <v/>
      </c>
      <c r="AB147" s="15">
        <f>IF(A147="","",W147-AA147)</f>
        <v/>
      </c>
      <c r="AC147" s="19">
        <f>IF(OR(A147="",W147=0),"",AB147/W147)</f>
        <v/>
      </c>
      <c r="AD147" s="19">
        <f>IF(OR(A147="",V147=0),"",W147/V147)</f>
        <v/>
      </c>
      <c r="AE147" s="15">
        <f>IF(A147="","",MAX(0,V147-W147))</f>
        <v/>
      </c>
      <c r="AF147" s="15">
        <f>IF(A147="","",SUMIFS('13_Ausgangsrechnungen'!$R:$R,'13_Ausgangsrechnungen'!$C:$C,A147))</f>
        <v/>
      </c>
    </row>
    <row r="148">
      <c r="A148" s="30" t="inlineStr"/>
      <c r="B148" s="30" t="inlineStr"/>
      <c r="C148" s="30" t="inlineStr"/>
      <c r="D148" s="30" t="inlineStr"/>
      <c r="E148" s="30" t="inlineStr"/>
      <c r="F148" s="30" t="inlineStr"/>
      <c r="G148" s="38" t="inlineStr"/>
      <c r="H148" s="38" t="inlineStr"/>
      <c r="I148" s="38" t="inlineStr"/>
      <c r="J148" s="34" t="inlineStr"/>
      <c r="K148" s="34" t="inlineStr"/>
      <c r="L148" s="34" t="inlineStr"/>
      <c r="M148" s="34" t="inlineStr"/>
      <c r="N148" s="34" t="inlineStr"/>
      <c r="O148" s="34" t="inlineStr"/>
      <c r="P148" s="32" t="inlineStr"/>
      <c r="Q148" s="30" t="inlineStr"/>
      <c r="R148" s="30" t="inlineStr"/>
      <c r="S148" s="30" t="inlineStr"/>
      <c r="T148" s="30" t="inlineStr"/>
      <c r="U148" s="15">
        <f>IF(A148="","",SUMIFS('07_Nachtraege'!$E:$E,'07_Nachtraege'!$B:$B,A148,'07_Nachtraege'!$F:$F,"beauftragt"))</f>
        <v/>
      </c>
      <c r="V148" s="15">
        <f>IF(A148="","",J148+U148)</f>
        <v/>
      </c>
      <c r="W148" s="15">
        <f>IF(A148="","",SUMIFS('13_Ausgangsrechnungen'!$G:$G,'13_Ausgangsrechnungen'!$C:$C,A148))</f>
        <v/>
      </c>
      <c r="X148" s="15">
        <f>IF(A148="","",SUMIFS('11_Material'!$L:$L,'11_Material'!$C:$C,A148))</f>
        <v/>
      </c>
      <c r="Y148" s="15">
        <f>IF(A148="","",SUMIFS('14_Eingangsrechnungen'!$F:$F,'14_Eingangsrechnungen'!$C:$C,A148,'14_Eingangsrechnungen'!$E:$E,"Nachunternehmer"))</f>
        <v/>
      </c>
      <c r="Z148" s="15">
        <f>IF(A148="","",SUMIFS('10_Stunden'!$K:$K,'10_Stunden'!$C:$C,A148))</f>
        <v/>
      </c>
      <c r="AA148" s="15">
        <f>IF(A148="","",X148+Y148+Z148+SUMIFS('14_Eingangsrechnungen'!$F:$F,'14_Eingangsrechnungen'!$C:$C,A148,'14_Eingangsrechnungen'!$E:$E,"Gerät")+SUMIFS('14_Eingangsrechnungen'!$F:$F,'14_Eingangsrechnungen'!$C:$C,A148,'14_Eingangsrechnungen'!$E:$E,"Dienstleistung"))</f>
        <v/>
      </c>
      <c r="AB148" s="15">
        <f>IF(A148="","",W148-AA148)</f>
        <v/>
      </c>
      <c r="AC148" s="19">
        <f>IF(OR(A148="",W148=0),"",AB148/W148)</f>
        <v/>
      </c>
      <c r="AD148" s="19">
        <f>IF(OR(A148="",V148=0),"",W148/V148)</f>
        <v/>
      </c>
      <c r="AE148" s="15">
        <f>IF(A148="","",MAX(0,V148-W148))</f>
        <v/>
      </c>
      <c r="AF148" s="15">
        <f>IF(A148="","",SUMIFS('13_Ausgangsrechnungen'!$R:$R,'13_Ausgangsrechnungen'!$C:$C,A148))</f>
        <v/>
      </c>
    </row>
    <row r="149">
      <c r="A149" s="30" t="inlineStr"/>
      <c r="B149" s="30" t="inlineStr"/>
      <c r="C149" s="30" t="inlineStr"/>
      <c r="D149" s="30" t="inlineStr"/>
      <c r="E149" s="30" t="inlineStr"/>
      <c r="F149" s="30" t="inlineStr"/>
      <c r="G149" s="38" t="inlineStr"/>
      <c r="H149" s="38" t="inlineStr"/>
      <c r="I149" s="38" t="inlineStr"/>
      <c r="J149" s="34" t="inlineStr"/>
      <c r="K149" s="34" t="inlineStr"/>
      <c r="L149" s="34" t="inlineStr"/>
      <c r="M149" s="34" t="inlineStr"/>
      <c r="N149" s="34" t="inlineStr"/>
      <c r="O149" s="34" t="inlineStr"/>
      <c r="P149" s="32" t="inlineStr"/>
      <c r="Q149" s="30" t="inlineStr"/>
      <c r="R149" s="30" t="inlineStr"/>
      <c r="S149" s="30" t="inlineStr"/>
      <c r="T149" s="30" t="inlineStr"/>
      <c r="U149" s="15">
        <f>IF(A149="","",SUMIFS('07_Nachtraege'!$E:$E,'07_Nachtraege'!$B:$B,A149,'07_Nachtraege'!$F:$F,"beauftragt"))</f>
        <v/>
      </c>
      <c r="V149" s="15">
        <f>IF(A149="","",J149+U149)</f>
        <v/>
      </c>
      <c r="W149" s="15">
        <f>IF(A149="","",SUMIFS('13_Ausgangsrechnungen'!$G:$G,'13_Ausgangsrechnungen'!$C:$C,A149))</f>
        <v/>
      </c>
      <c r="X149" s="15">
        <f>IF(A149="","",SUMIFS('11_Material'!$L:$L,'11_Material'!$C:$C,A149))</f>
        <v/>
      </c>
      <c r="Y149" s="15">
        <f>IF(A149="","",SUMIFS('14_Eingangsrechnungen'!$F:$F,'14_Eingangsrechnungen'!$C:$C,A149,'14_Eingangsrechnungen'!$E:$E,"Nachunternehmer"))</f>
        <v/>
      </c>
      <c r="Z149" s="15">
        <f>IF(A149="","",SUMIFS('10_Stunden'!$K:$K,'10_Stunden'!$C:$C,A149))</f>
        <v/>
      </c>
      <c r="AA149" s="15">
        <f>IF(A149="","",X149+Y149+Z149+SUMIFS('14_Eingangsrechnungen'!$F:$F,'14_Eingangsrechnungen'!$C:$C,A149,'14_Eingangsrechnungen'!$E:$E,"Gerät")+SUMIFS('14_Eingangsrechnungen'!$F:$F,'14_Eingangsrechnungen'!$C:$C,A149,'14_Eingangsrechnungen'!$E:$E,"Dienstleistung"))</f>
        <v/>
      </c>
      <c r="AB149" s="15">
        <f>IF(A149="","",W149-AA149)</f>
        <v/>
      </c>
      <c r="AC149" s="19">
        <f>IF(OR(A149="",W149=0),"",AB149/W149)</f>
        <v/>
      </c>
      <c r="AD149" s="19">
        <f>IF(OR(A149="",V149=0),"",W149/V149)</f>
        <v/>
      </c>
      <c r="AE149" s="15">
        <f>IF(A149="","",MAX(0,V149-W149))</f>
        <v/>
      </c>
      <c r="AF149" s="15">
        <f>IF(A149="","",SUMIFS('13_Ausgangsrechnungen'!$R:$R,'13_Ausgangsrechnungen'!$C:$C,A149))</f>
        <v/>
      </c>
    </row>
    <row r="150">
      <c r="A150" s="30" t="inlineStr"/>
      <c r="B150" s="30" t="inlineStr"/>
      <c r="C150" s="30" t="inlineStr"/>
      <c r="D150" s="30" t="inlineStr"/>
      <c r="E150" s="30" t="inlineStr"/>
      <c r="F150" s="30" t="inlineStr"/>
      <c r="G150" s="38" t="inlineStr"/>
      <c r="H150" s="38" t="inlineStr"/>
      <c r="I150" s="38" t="inlineStr"/>
      <c r="J150" s="34" t="inlineStr"/>
      <c r="K150" s="34" t="inlineStr"/>
      <c r="L150" s="34" t="inlineStr"/>
      <c r="M150" s="34" t="inlineStr"/>
      <c r="N150" s="34" t="inlineStr"/>
      <c r="O150" s="34" t="inlineStr"/>
      <c r="P150" s="32" t="inlineStr"/>
      <c r="Q150" s="30" t="inlineStr"/>
      <c r="R150" s="30" t="inlineStr"/>
      <c r="S150" s="30" t="inlineStr"/>
      <c r="T150" s="30" t="inlineStr"/>
      <c r="U150" s="15">
        <f>IF(A150="","",SUMIFS('07_Nachtraege'!$E:$E,'07_Nachtraege'!$B:$B,A150,'07_Nachtraege'!$F:$F,"beauftragt"))</f>
        <v/>
      </c>
      <c r="V150" s="15">
        <f>IF(A150="","",J150+U150)</f>
        <v/>
      </c>
      <c r="W150" s="15">
        <f>IF(A150="","",SUMIFS('13_Ausgangsrechnungen'!$G:$G,'13_Ausgangsrechnungen'!$C:$C,A150))</f>
        <v/>
      </c>
      <c r="X150" s="15">
        <f>IF(A150="","",SUMIFS('11_Material'!$L:$L,'11_Material'!$C:$C,A150))</f>
        <v/>
      </c>
      <c r="Y150" s="15">
        <f>IF(A150="","",SUMIFS('14_Eingangsrechnungen'!$F:$F,'14_Eingangsrechnungen'!$C:$C,A150,'14_Eingangsrechnungen'!$E:$E,"Nachunternehmer"))</f>
        <v/>
      </c>
      <c r="Z150" s="15">
        <f>IF(A150="","",SUMIFS('10_Stunden'!$K:$K,'10_Stunden'!$C:$C,A150))</f>
        <v/>
      </c>
      <c r="AA150" s="15">
        <f>IF(A150="","",X150+Y150+Z150+SUMIFS('14_Eingangsrechnungen'!$F:$F,'14_Eingangsrechnungen'!$C:$C,A150,'14_Eingangsrechnungen'!$E:$E,"Gerät")+SUMIFS('14_Eingangsrechnungen'!$F:$F,'14_Eingangsrechnungen'!$C:$C,A150,'14_Eingangsrechnungen'!$E:$E,"Dienstleistung"))</f>
        <v/>
      </c>
      <c r="AB150" s="15">
        <f>IF(A150="","",W150-AA150)</f>
        <v/>
      </c>
      <c r="AC150" s="19">
        <f>IF(OR(A150="",W150=0),"",AB150/W150)</f>
        <v/>
      </c>
      <c r="AD150" s="19">
        <f>IF(OR(A150="",V150=0),"",W150/V150)</f>
        <v/>
      </c>
      <c r="AE150" s="15">
        <f>IF(A150="","",MAX(0,V150-W150))</f>
        <v/>
      </c>
      <c r="AF150" s="15">
        <f>IF(A150="","",SUMIFS('13_Ausgangsrechnungen'!$R:$R,'13_Ausgangsrechnungen'!$C:$C,A150))</f>
        <v/>
      </c>
    </row>
    <row r="151">
      <c r="A151" s="30" t="inlineStr"/>
      <c r="B151" s="30" t="inlineStr"/>
      <c r="C151" s="30" t="inlineStr"/>
      <c r="D151" s="30" t="inlineStr"/>
      <c r="E151" s="30" t="inlineStr"/>
      <c r="F151" s="30" t="inlineStr"/>
      <c r="G151" s="38" t="inlineStr"/>
      <c r="H151" s="38" t="inlineStr"/>
      <c r="I151" s="38" t="inlineStr"/>
      <c r="J151" s="34" t="inlineStr"/>
      <c r="K151" s="34" t="inlineStr"/>
      <c r="L151" s="34" t="inlineStr"/>
      <c r="M151" s="34" t="inlineStr"/>
      <c r="N151" s="34" t="inlineStr"/>
      <c r="O151" s="34" t="inlineStr"/>
      <c r="P151" s="32" t="inlineStr"/>
      <c r="Q151" s="30" t="inlineStr"/>
      <c r="R151" s="30" t="inlineStr"/>
      <c r="S151" s="30" t="inlineStr"/>
      <c r="T151" s="30" t="inlineStr"/>
      <c r="U151" s="15">
        <f>IF(A151="","",SUMIFS('07_Nachtraege'!$E:$E,'07_Nachtraege'!$B:$B,A151,'07_Nachtraege'!$F:$F,"beauftragt"))</f>
        <v/>
      </c>
      <c r="V151" s="15">
        <f>IF(A151="","",J151+U151)</f>
        <v/>
      </c>
      <c r="W151" s="15">
        <f>IF(A151="","",SUMIFS('13_Ausgangsrechnungen'!$G:$G,'13_Ausgangsrechnungen'!$C:$C,A151))</f>
        <v/>
      </c>
      <c r="X151" s="15">
        <f>IF(A151="","",SUMIFS('11_Material'!$L:$L,'11_Material'!$C:$C,A151))</f>
        <v/>
      </c>
      <c r="Y151" s="15">
        <f>IF(A151="","",SUMIFS('14_Eingangsrechnungen'!$F:$F,'14_Eingangsrechnungen'!$C:$C,A151,'14_Eingangsrechnungen'!$E:$E,"Nachunternehmer"))</f>
        <v/>
      </c>
      <c r="Z151" s="15">
        <f>IF(A151="","",SUMIFS('10_Stunden'!$K:$K,'10_Stunden'!$C:$C,A151))</f>
        <v/>
      </c>
      <c r="AA151" s="15">
        <f>IF(A151="","",X151+Y151+Z151+SUMIFS('14_Eingangsrechnungen'!$F:$F,'14_Eingangsrechnungen'!$C:$C,A151,'14_Eingangsrechnungen'!$E:$E,"Gerät")+SUMIFS('14_Eingangsrechnungen'!$F:$F,'14_Eingangsrechnungen'!$C:$C,A151,'14_Eingangsrechnungen'!$E:$E,"Dienstleistung"))</f>
        <v/>
      </c>
      <c r="AB151" s="15">
        <f>IF(A151="","",W151-AA151)</f>
        <v/>
      </c>
      <c r="AC151" s="19">
        <f>IF(OR(A151="",W151=0),"",AB151/W151)</f>
        <v/>
      </c>
      <c r="AD151" s="19">
        <f>IF(OR(A151="",V151=0),"",W151/V151)</f>
        <v/>
      </c>
      <c r="AE151" s="15">
        <f>IF(A151="","",MAX(0,V151-W151))</f>
        <v/>
      </c>
      <c r="AF151" s="15">
        <f>IF(A151="","",SUMIFS('13_Ausgangsrechnungen'!$R:$R,'13_Ausgangsrechnungen'!$C:$C,A151))</f>
        <v/>
      </c>
    </row>
    <row r="152">
      <c r="A152" s="30" t="inlineStr"/>
      <c r="B152" s="30" t="inlineStr"/>
      <c r="C152" s="30" t="inlineStr"/>
      <c r="D152" s="30" t="inlineStr"/>
      <c r="E152" s="30" t="inlineStr"/>
      <c r="F152" s="30" t="inlineStr"/>
      <c r="G152" s="38" t="inlineStr"/>
      <c r="H152" s="38" t="inlineStr"/>
      <c r="I152" s="38" t="inlineStr"/>
      <c r="J152" s="34" t="inlineStr"/>
      <c r="K152" s="34" t="inlineStr"/>
      <c r="L152" s="34" t="inlineStr"/>
      <c r="M152" s="34" t="inlineStr"/>
      <c r="N152" s="34" t="inlineStr"/>
      <c r="O152" s="34" t="inlineStr"/>
      <c r="P152" s="32" t="inlineStr"/>
      <c r="Q152" s="30" t="inlineStr"/>
      <c r="R152" s="30" t="inlineStr"/>
      <c r="S152" s="30" t="inlineStr"/>
      <c r="T152" s="30" t="inlineStr"/>
      <c r="U152" s="15">
        <f>IF(A152="","",SUMIFS('07_Nachtraege'!$E:$E,'07_Nachtraege'!$B:$B,A152,'07_Nachtraege'!$F:$F,"beauftragt"))</f>
        <v/>
      </c>
      <c r="V152" s="15">
        <f>IF(A152="","",J152+U152)</f>
        <v/>
      </c>
      <c r="W152" s="15">
        <f>IF(A152="","",SUMIFS('13_Ausgangsrechnungen'!$G:$G,'13_Ausgangsrechnungen'!$C:$C,A152))</f>
        <v/>
      </c>
      <c r="X152" s="15">
        <f>IF(A152="","",SUMIFS('11_Material'!$L:$L,'11_Material'!$C:$C,A152))</f>
        <v/>
      </c>
      <c r="Y152" s="15">
        <f>IF(A152="","",SUMIFS('14_Eingangsrechnungen'!$F:$F,'14_Eingangsrechnungen'!$C:$C,A152,'14_Eingangsrechnungen'!$E:$E,"Nachunternehmer"))</f>
        <v/>
      </c>
      <c r="Z152" s="15">
        <f>IF(A152="","",SUMIFS('10_Stunden'!$K:$K,'10_Stunden'!$C:$C,A152))</f>
        <v/>
      </c>
      <c r="AA152" s="15">
        <f>IF(A152="","",X152+Y152+Z152+SUMIFS('14_Eingangsrechnungen'!$F:$F,'14_Eingangsrechnungen'!$C:$C,A152,'14_Eingangsrechnungen'!$E:$E,"Gerät")+SUMIFS('14_Eingangsrechnungen'!$F:$F,'14_Eingangsrechnungen'!$C:$C,A152,'14_Eingangsrechnungen'!$E:$E,"Dienstleistung"))</f>
        <v/>
      </c>
      <c r="AB152" s="15">
        <f>IF(A152="","",W152-AA152)</f>
        <v/>
      </c>
      <c r="AC152" s="19">
        <f>IF(OR(A152="",W152=0),"",AB152/W152)</f>
        <v/>
      </c>
      <c r="AD152" s="19">
        <f>IF(OR(A152="",V152=0),"",W152/V152)</f>
        <v/>
      </c>
      <c r="AE152" s="15">
        <f>IF(A152="","",MAX(0,V152-W152))</f>
        <v/>
      </c>
      <c r="AF152" s="15">
        <f>IF(A152="","",SUMIFS('13_Ausgangsrechnungen'!$R:$R,'13_Ausgangsrechnungen'!$C:$C,A152))</f>
        <v/>
      </c>
    </row>
    <row r="153">
      <c r="A153" s="30" t="inlineStr"/>
      <c r="B153" s="30" t="inlineStr"/>
      <c r="C153" s="30" t="inlineStr"/>
      <c r="D153" s="30" t="inlineStr"/>
      <c r="E153" s="30" t="inlineStr"/>
      <c r="F153" s="30" t="inlineStr"/>
      <c r="G153" s="38" t="inlineStr"/>
      <c r="H153" s="38" t="inlineStr"/>
      <c r="I153" s="38" t="inlineStr"/>
      <c r="J153" s="34" t="inlineStr"/>
      <c r="K153" s="34" t="inlineStr"/>
      <c r="L153" s="34" t="inlineStr"/>
      <c r="M153" s="34" t="inlineStr"/>
      <c r="N153" s="34" t="inlineStr"/>
      <c r="O153" s="34" t="inlineStr"/>
      <c r="P153" s="32" t="inlineStr"/>
      <c r="Q153" s="30" t="inlineStr"/>
      <c r="R153" s="30" t="inlineStr"/>
      <c r="S153" s="30" t="inlineStr"/>
      <c r="T153" s="30" t="inlineStr"/>
      <c r="U153" s="15">
        <f>IF(A153="","",SUMIFS('07_Nachtraege'!$E:$E,'07_Nachtraege'!$B:$B,A153,'07_Nachtraege'!$F:$F,"beauftragt"))</f>
        <v/>
      </c>
      <c r="V153" s="15">
        <f>IF(A153="","",J153+U153)</f>
        <v/>
      </c>
      <c r="W153" s="15">
        <f>IF(A153="","",SUMIFS('13_Ausgangsrechnungen'!$G:$G,'13_Ausgangsrechnungen'!$C:$C,A153))</f>
        <v/>
      </c>
      <c r="X153" s="15">
        <f>IF(A153="","",SUMIFS('11_Material'!$L:$L,'11_Material'!$C:$C,A153))</f>
        <v/>
      </c>
      <c r="Y153" s="15">
        <f>IF(A153="","",SUMIFS('14_Eingangsrechnungen'!$F:$F,'14_Eingangsrechnungen'!$C:$C,A153,'14_Eingangsrechnungen'!$E:$E,"Nachunternehmer"))</f>
        <v/>
      </c>
      <c r="Z153" s="15">
        <f>IF(A153="","",SUMIFS('10_Stunden'!$K:$K,'10_Stunden'!$C:$C,A153))</f>
        <v/>
      </c>
      <c r="AA153" s="15">
        <f>IF(A153="","",X153+Y153+Z153+SUMIFS('14_Eingangsrechnungen'!$F:$F,'14_Eingangsrechnungen'!$C:$C,A153,'14_Eingangsrechnungen'!$E:$E,"Gerät")+SUMIFS('14_Eingangsrechnungen'!$F:$F,'14_Eingangsrechnungen'!$C:$C,A153,'14_Eingangsrechnungen'!$E:$E,"Dienstleistung"))</f>
        <v/>
      </c>
      <c r="AB153" s="15">
        <f>IF(A153="","",W153-AA153)</f>
        <v/>
      </c>
      <c r="AC153" s="19">
        <f>IF(OR(A153="",W153=0),"",AB153/W153)</f>
        <v/>
      </c>
      <c r="AD153" s="19">
        <f>IF(OR(A153="",V153=0),"",W153/V153)</f>
        <v/>
      </c>
      <c r="AE153" s="15">
        <f>IF(A153="","",MAX(0,V153-W153))</f>
        <v/>
      </c>
      <c r="AF153" s="15">
        <f>IF(A153="","",SUMIFS('13_Ausgangsrechnungen'!$R:$R,'13_Ausgangsrechnungen'!$C:$C,A153))</f>
        <v/>
      </c>
    </row>
    <row r="154">
      <c r="A154" s="30" t="inlineStr"/>
      <c r="B154" s="30" t="inlineStr"/>
      <c r="C154" s="30" t="inlineStr"/>
      <c r="D154" s="30" t="inlineStr"/>
      <c r="E154" s="30" t="inlineStr"/>
      <c r="F154" s="30" t="inlineStr"/>
      <c r="G154" s="38" t="inlineStr"/>
      <c r="H154" s="38" t="inlineStr"/>
      <c r="I154" s="38" t="inlineStr"/>
      <c r="J154" s="34" t="inlineStr"/>
      <c r="K154" s="34" t="inlineStr"/>
      <c r="L154" s="34" t="inlineStr"/>
      <c r="M154" s="34" t="inlineStr"/>
      <c r="N154" s="34" t="inlineStr"/>
      <c r="O154" s="34" t="inlineStr"/>
      <c r="P154" s="32" t="inlineStr"/>
      <c r="Q154" s="30" t="inlineStr"/>
      <c r="R154" s="30" t="inlineStr"/>
      <c r="S154" s="30" t="inlineStr"/>
      <c r="T154" s="30" t="inlineStr"/>
      <c r="U154" s="15">
        <f>IF(A154="","",SUMIFS('07_Nachtraege'!$E:$E,'07_Nachtraege'!$B:$B,A154,'07_Nachtraege'!$F:$F,"beauftragt"))</f>
        <v/>
      </c>
      <c r="V154" s="15">
        <f>IF(A154="","",J154+U154)</f>
        <v/>
      </c>
      <c r="W154" s="15">
        <f>IF(A154="","",SUMIFS('13_Ausgangsrechnungen'!$G:$G,'13_Ausgangsrechnungen'!$C:$C,A154))</f>
        <v/>
      </c>
      <c r="X154" s="15">
        <f>IF(A154="","",SUMIFS('11_Material'!$L:$L,'11_Material'!$C:$C,A154))</f>
        <v/>
      </c>
      <c r="Y154" s="15">
        <f>IF(A154="","",SUMIFS('14_Eingangsrechnungen'!$F:$F,'14_Eingangsrechnungen'!$C:$C,A154,'14_Eingangsrechnungen'!$E:$E,"Nachunternehmer"))</f>
        <v/>
      </c>
      <c r="Z154" s="15">
        <f>IF(A154="","",SUMIFS('10_Stunden'!$K:$K,'10_Stunden'!$C:$C,A154))</f>
        <v/>
      </c>
      <c r="AA154" s="15">
        <f>IF(A154="","",X154+Y154+Z154+SUMIFS('14_Eingangsrechnungen'!$F:$F,'14_Eingangsrechnungen'!$C:$C,A154,'14_Eingangsrechnungen'!$E:$E,"Gerät")+SUMIFS('14_Eingangsrechnungen'!$F:$F,'14_Eingangsrechnungen'!$C:$C,A154,'14_Eingangsrechnungen'!$E:$E,"Dienstleistung"))</f>
        <v/>
      </c>
      <c r="AB154" s="15">
        <f>IF(A154="","",W154-AA154)</f>
        <v/>
      </c>
      <c r="AC154" s="19">
        <f>IF(OR(A154="",W154=0),"",AB154/W154)</f>
        <v/>
      </c>
      <c r="AD154" s="19">
        <f>IF(OR(A154="",V154=0),"",W154/V154)</f>
        <v/>
      </c>
      <c r="AE154" s="15">
        <f>IF(A154="","",MAX(0,V154-W154))</f>
        <v/>
      </c>
      <c r="AF154" s="15">
        <f>IF(A154="","",SUMIFS('13_Ausgangsrechnungen'!$R:$R,'13_Ausgangsrechnungen'!$C:$C,A154))</f>
        <v/>
      </c>
    </row>
    <row r="155">
      <c r="A155" s="30" t="inlineStr"/>
      <c r="B155" s="30" t="inlineStr"/>
      <c r="C155" s="30" t="inlineStr"/>
      <c r="D155" s="30" t="inlineStr"/>
      <c r="E155" s="30" t="inlineStr"/>
      <c r="F155" s="30" t="inlineStr"/>
      <c r="G155" s="38" t="inlineStr"/>
      <c r="H155" s="38" t="inlineStr"/>
      <c r="I155" s="38" t="inlineStr"/>
      <c r="J155" s="34" t="inlineStr"/>
      <c r="K155" s="34" t="inlineStr"/>
      <c r="L155" s="34" t="inlineStr"/>
      <c r="M155" s="34" t="inlineStr"/>
      <c r="N155" s="34" t="inlineStr"/>
      <c r="O155" s="34" t="inlineStr"/>
      <c r="P155" s="32" t="inlineStr"/>
      <c r="Q155" s="30" t="inlineStr"/>
      <c r="R155" s="30" t="inlineStr"/>
      <c r="S155" s="30" t="inlineStr"/>
      <c r="T155" s="30" t="inlineStr"/>
      <c r="U155" s="15">
        <f>IF(A155="","",SUMIFS('07_Nachtraege'!$E:$E,'07_Nachtraege'!$B:$B,A155,'07_Nachtraege'!$F:$F,"beauftragt"))</f>
        <v/>
      </c>
      <c r="V155" s="15">
        <f>IF(A155="","",J155+U155)</f>
        <v/>
      </c>
      <c r="W155" s="15">
        <f>IF(A155="","",SUMIFS('13_Ausgangsrechnungen'!$G:$G,'13_Ausgangsrechnungen'!$C:$C,A155))</f>
        <v/>
      </c>
      <c r="X155" s="15">
        <f>IF(A155="","",SUMIFS('11_Material'!$L:$L,'11_Material'!$C:$C,A155))</f>
        <v/>
      </c>
      <c r="Y155" s="15">
        <f>IF(A155="","",SUMIFS('14_Eingangsrechnungen'!$F:$F,'14_Eingangsrechnungen'!$C:$C,A155,'14_Eingangsrechnungen'!$E:$E,"Nachunternehmer"))</f>
        <v/>
      </c>
      <c r="Z155" s="15">
        <f>IF(A155="","",SUMIFS('10_Stunden'!$K:$K,'10_Stunden'!$C:$C,A155))</f>
        <v/>
      </c>
      <c r="AA155" s="15">
        <f>IF(A155="","",X155+Y155+Z155+SUMIFS('14_Eingangsrechnungen'!$F:$F,'14_Eingangsrechnungen'!$C:$C,A155,'14_Eingangsrechnungen'!$E:$E,"Gerät")+SUMIFS('14_Eingangsrechnungen'!$F:$F,'14_Eingangsrechnungen'!$C:$C,A155,'14_Eingangsrechnungen'!$E:$E,"Dienstleistung"))</f>
        <v/>
      </c>
      <c r="AB155" s="15">
        <f>IF(A155="","",W155-AA155)</f>
        <v/>
      </c>
      <c r="AC155" s="19">
        <f>IF(OR(A155="",W155=0),"",AB155/W155)</f>
        <v/>
      </c>
      <c r="AD155" s="19">
        <f>IF(OR(A155="",V155=0),"",W155/V155)</f>
        <v/>
      </c>
      <c r="AE155" s="15">
        <f>IF(A155="","",MAX(0,V155-W155))</f>
        <v/>
      </c>
      <c r="AF155" s="15">
        <f>IF(A155="","",SUMIFS('13_Ausgangsrechnungen'!$R:$R,'13_Ausgangsrechnungen'!$C:$C,A155))</f>
        <v/>
      </c>
    </row>
    <row r="156">
      <c r="A156" s="30" t="inlineStr"/>
      <c r="B156" s="30" t="inlineStr"/>
      <c r="C156" s="30" t="inlineStr"/>
      <c r="D156" s="30" t="inlineStr"/>
      <c r="E156" s="30" t="inlineStr"/>
      <c r="F156" s="30" t="inlineStr"/>
      <c r="G156" s="38" t="inlineStr"/>
      <c r="H156" s="38" t="inlineStr"/>
      <c r="I156" s="38" t="inlineStr"/>
      <c r="J156" s="34" t="inlineStr"/>
      <c r="K156" s="34" t="inlineStr"/>
      <c r="L156" s="34" t="inlineStr"/>
      <c r="M156" s="34" t="inlineStr"/>
      <c r="N156" s="34" t="inlineStr"/>
      <c r="O156" s="34" t="inlineStr"/>
      <c r="P156" s="32" t="inlineStr"/>
      <c r="Q156" s="30" t="inlineStr"/>
      <c r="R156" s="30" t="inlineStr"/>
      <c r="S156" s="30" t="inlineStr"/>
      <c r="T156" s="30" t="inlineStr"/>
      <c r="U156" s="15">
        <f>IF(A156="","",SUMIFS('07_Nachtraege'!$E:$E,'07_Nachtraege'!$B:$B,A156,'07_Nachtraege'!$F:$F,"beauftragt"))</f>
        <v/>
      </c>
      <c r="V156" s="15">
        <f>IF(A156="","",J156+U156)</f>
        <v/>
      </c>
      <c r="W156" s="15">
        <f>IF(A156="","",SUMIFS('13_Ausgangsrechnungen'!$G:$G,'13_Ausgangsrechnungen'!$C:$C,A156))</f>
        <v/>
      </c>
      <c r="X156" s="15">
        <f>IF(A156="","",SUMIFS('11_Material'!$L:$L,'11_Material'!$C:$C,A156))</f>
        <v/>
      </c>
      <c r="Y156" s="15">
        <f>IF(A156="","",SUMIFS('14_Eingangsrechnungen'!$F:$F,'14_Eingangsrechnungen'!$C:$C,A156,'14_Eingangsrechnungen'!$E:$E,"Nachunternehmer"))</f>
        <v/>
      </c>
      <c r="Z156" s="15">
        <f>IF(A156="","",SUMIFS('10_Stunden'!$K:$K,'10_Stunden'!$C:$C,A156))</f>
        <v/>
      </c>
      <c r="AA156" s="15">
        <f>IF(A156="","",X156+Y156+Z156+SUMIFS('14_Eingangsrechnungen'!$F:$F,'14_Eingangsrechnungen'!$C:$C,A156,'14_Eingangsrechnungen'!$E:$E,"Gerät")+SUMIFS('14_Eingangsrechnungen'!$F:$F,'14_Eingangsrechnungen'!$C:$C,A156,'14_Eingangsrechnungen'!$E:$E,"Dienstleistung"))</f>
        <v/>
      </c>
      <c r="AB156" s="15">
        <f>IF(A156="","",W156-AA156)</f>
        <v/>
      </c>
      <c r="AC156" s="19">
        <f>IF(OR(A156="",W156=0),"",AB156/W156)</f>
        <v/>
      </c>
      <c r="AD156" s="19">
        <f>IF(OR(A156="",V156=0),"",W156/V156)</f>
        <v/>
      </c>
      <c r="AE156" s="15">
        <f>IF(A156="","",MAX(0,V156-W156))</f>
        <v/>
      </c>
      <c r="AF156" s="15">
        <f>IF(A156="","",SUMIFS('13_Ausgangsrechnungen'!$R:$R,'13_Ausgangsrechnungen'!$C:$C,A156))</f>
        <v/>
      </c>
    </row>
    <row r="157">
      <c r="A157" s="30" t="inlineStr"/>
      <c r="B157" s="30" t="inlineStr"/>
      <c r="C157" s="30" t="inlineStr"/>
      <c r="D157" s="30" t="inlineStr"/>
      <c r="E157" s="30" t="inlineStr"/>
      <c r="F157" s="30" t="inlineStr"/>
      <c r="G157" s="38" t="inlineStr"/>
      <c r="H157" s="38" t="inlineStr"/>
      <c r="I157" s="38" t="inlineStr"/>
      <c r="J157" s="34" t="inlineStr"/>
      <c r="K157" s="34" t="inlineStr"/>
      <c r="L157" s="34" t="inlineStr"/>
      <c r="M157" s="34" t="inlineStr"/>
      <c r="N157" s="34" t="inlineStr"/>
      <c r="O157" s="34" t="inlineStr"/>
      <c r="P157" s="32" t="inlineStr"/>
      <c r="Q157" s="30" t="inlineStr"/>
      <c r="R157" s="30" t="inlineStr"/>
      <c r="S157" s="30" t="inlineStr"/>
      <c r="T157" s="30" t="inlineStr"/>
      <c r="U157" s="15">
        <f>IF(A157="","",SUMIFS('07_Nachtraege'!$E:$E,'07_Nachtraege'!$B:$B,A157,'07_Nachtraege'!$F:$F,"beauftragt"))</f>
        <v/>
      </c>
      <c r="V157" s="15">
        <f>IF(A157="","",J157+U157)</f>
        <v/>
      </c>
      <c r="W157" s="15">
        <f>IF(A157="","",SUMIFS('13_Ausgangsrechnungen'!$G:$G,'13_Ausgangsrechnungen'!$C:$C,A157))</f>
        <v/>
      </c>
      <c r="X157" s="15">
        <f>IF(A157="","",SUMIFS('11_Material'!$L:$L,'11_Material'!$C:$C,A157))</f>
        <v/>
      </c>
      <c r="Y157" s="15">
        <f>IF(A157="","",SUMIFS('14_Eingangsrechnungen'!$F:$F,'14_Eingangsrechnungen'!$C:$C,A157,'14_Eingangsrechnungen'!$E:$E,"Nachunternehmer"))</f>
        <v/>
      </c>
      <c r="Z157" s="15">
        <f>IF(A157="","",SUMIFS('10_Stunden'!$K:$K,'10_Stunden'!$C:$C,A157))</f>
        <v/>
      </c>
      <c r="AA157" s="15">
        <f>IF(A157="","",X157+Y157+Z157+SUMIFS('14_Eingangsrechnungen'!$F:$F,'14_Eingangsrechnungen'!$C:$C,A157,'14_Eingangsrechnungen'!$E:$E,"Gerät")+SUMIFS('14_Eingangsrechnungen'!$F:$F,'14_Eingangsrechnungen'!$C:$C,A157,'14_Eingangsrechnungen'!$E:$E,"Dienstleistung"))</f>
        <v/>
      </c>
      <c r="AB157" s="15">
        <f>IF(A157="","",W157-AA157)</f>
        <v/>
      </c>
      <c r="AC157" s="19">
        <f>IF(OR(A157="",W157=0),"",AB157/W157)</f>
        <v/>
      </c>
      <c r="AD157" s="19">
        <f>IF(OR(A157="",V157=0),"",W157/V157)</f>
        <v/>
      </c>
      <c r="AE157" s="15">
        <f>IF(A157="","",MAX(0,V157-W157))</f>
        <v/>
      </c>
      <c r="AF157" s="15">
        <f>IF(A157="","",SUMIFS('13_Ausgangsrechnungen'!$R:$R,'13_Ausgangsrechnungen'!$C:$C,A157))</f>
        <v/>
      </c>
    </row>
    <row r="158">
      <c r="A158" s="30" t="inlineStr"/>
      <c r="B158" s="30" t="inlineStr"/>
      <c r="C158" s="30" t="inlineStr"/>
      <c r="D158" s="30" t="inlineStr"/>
      <c r="E158" s="30" t="inlineStr"/>
      <c r="F158" s="30" t="inlineStr"/>
      <c r="G158" s="38" t="inlineStr"/>
      <c r="H158" s="38" t="inlineStr"/>
      <c r="I158" s="38" t="inlineStr"/>
      <c r="J158" s="34" t="inlineStr"/>
      <c r="K158" s="34" t="inlineStr"/>
      <c r="L158" s="34" t="inlineStr"/>
      <c r="M158" s="34" t="inlineStr"/>
      <c r="N158" s="34" t="inlineStr"/>
      <c r="O158" s="34" t="inlineStr"/>
      <c r="P158" s="32" t="inlineStr"/>
      <c r="Q158" s="30" t="inlineStr"/>
      <c r="R158" s="30" t="inlineStr"/>
      <c r="S158" s="30" t="inlineStr"/>
      <c r="T158" s="30" t="inlineStr"/>
      <c r="U158" s="15">
        <f>IF(A158="","",SUMIFS('07_Nachtraege'!$E:$E,'07_Nachtraege'!$B:$B,A158,'07_Nachtraege'!$F:$F,"beauftragt"))</f>
        <v/>
      </c>
      <c r="V158" s="15">
        <f>IF(A158="","",J158+U158)</f>
        <v/>
      </c>
      <c r="W158" s="15">
        <f>IF(A158="","",SUMIFS('13_Ausgangsrechnungen'!$G:$G,'13_Ausgangsrechnungen'!$C:$C,A158))</f>
        <v/>
      </c>
      <c r="X158" s="15">
        <f>IF(A158="","",SUMIFS('11_Material'!$L:$L,'11_Material'!$C:$C,A158))</f>
        <v/>
      </c>
      <c r="Y158" s="15">
        <f>IF(A158="","",SUMIFS('14_Eingangsrechnungen'!$F:$F,'14_Eingangsrechnungen'!$C:$C,A158,'14_Eingangsrechnungen'!$E:$E,"Nachunternehmer"))</f>
        <v/>
      </c>
      <c r="Z158" s="15">
        <f>IF(A158="","",SUMIFS('10_Stunden'!$K:$K,'10_Stunden'!$C:$C,A158))</f>
        <v/>
      </c>
      <c r="AA158" s="15">
        <f>IF(A158="","",X158+Y158+Z158+SUMIFS('14_Eingangsrechnungen'!$F:$F,'14_Eingangsrechnungen'!$C:$C,A158,'14_Eingangsrechnungen'!$E:$E,"Gerät")+SUMIFS('14_Eingangsrechnungen'!$F:$F,'14_Eingangsrechnungen'!$C:$C,A158,'14_Eingangsrechnungen'!$E:$E,"Dienstleistung"))</f>
        <v/>
      </c>
      <c r="AB158" s="15">
        <f>IF(A158="","",W158-AA158)</f>
        <v/>
      </c>
      <c r="AC158" s="19">
        <f>IF(OR(A158="",W158=0),"",AB158/W158)</f>
        <v/>
      </c>
      <c r="AD158" s="19">
        <f>IF(OR(A158="",V158=0),"",W158/V158)</f>
        <v/>
      </c>
      <c r="AE158" s="15">
        <f>IF(A158="","",MAX(0,V158-W158))</f>
        <v/>
      </c>
      <c r="AF158" s="15">
        <f>IF(A158="","",SUMIFS('13_Ausgangsrechnungen'!$R:$R,'13_Ausgangsrechnungen'!$C:$C,A158))</f>
        <v/>
      </c>
    </row>
    <row r="159">
      <c r="A159" s="30" t="inlineStr"/>
      <c r="B159" s="30" t="inlineStr"/>
      <c r="C159" s="30" t="inlineStr"/>
      <c r="D159" s="30" t="inlineStr"/>
      <c r="E159" s="30" t="inlineStr"/>
      <c r="F159" s="30" t="inlineStr"/>
      <c r="G159" s="38" t="inlineStr"/>
      <c r="H159" s="38" t="inlineStr"/>
      <c r="I159" s="38" t="inlineStr"/>
      <c r="J159" s="34" t="inlineStr"/>
      <c r="K159" s="34" t="inlineStr"/>
      <c r="L159" s="34" t="inlineStr"/>
      <c r="M159" s="34" t="inlineStr"/>
      <c r="N159" s="34" t="inlineStr"/>
      <c r="O159" s="34" t="inlineStr"/>
      <c r="P159" s="32" t="inlineStr"/>
      <c r="Q159" s="30" t="inlineStr"/>
      <c r="R159" s="30" t="inlineStr"/>
      <c r="S159" s="30" t="inlineStr"/>
      <c r="T159" s="30" t="inlineStr"/>
      <c r="U159" s="15">
        <f>IF(A159="","",SUMIFS('07_Nachtraege'!$E:$E,'07_Nachtraege'!$B:$B,A159,'07_Nachtraege'!$F:$F,"beauftragt"))</f>
        <v/>
      </c>
      <c r="V159" s="15">
        <f>IF(A159="","",J159+U159)</f>
        <v/>
      </c>
      <c r="W159" s="15">
        <f>IF(A159="","",SUMIFS('13_Ausgangsrechnungen'!$G:$G,'13_Ausgangsrechnungen'!$C:$C,A159))</f>
        <v/>
      </c>
      <c r="X159" s="15">
        <f>IF(A159="","",SUMIFS('11_Material'!$L:$L,'11_Material'!$C:$C,A159))</f>
        <v/>
      </c>
      <c r="Y159" s="15">
        <f>IF(A159="","",SUMIFS('14_Eingangsrechnungen'!$F:$F,'14_Eingangsrechnungen'!$C:$C,A159,'14_Eingangsrechnungen'!$E:$E,"Nachunternehmer"))</f>
        <v/>
      </c>
      <c r="Z159" s="15">
        <f>IF(A159="","",SUMIFS('10_Stunden'!$K:$K,'10_Stunden'!$C:$C,A159))</f>
        <v/>
      </c>
      <c r="AA159" s="15">
        <f>IF(A159="","",X159+Y159+Z159+SUMIFS('14_Eingangsrechnungen'!$F:$F,'14_Eingangsrechnungen'!$C:$C,A159,'14_Eingangsrechnungen'!$E:$E,"Gerät")+SUMIFS('14_Eingangsrechnungen'!$F:$F,'14_Eingangsrechnungen'!$C:$C,A159,'14_Eingangsrechnungen'!$E:$E,"Dienstleistung"))</f>
        <v/>
      </c>
      <c r="AB159" s="15">
        <f>IF(A159="","",W159-AA159)</f>
        <v/>
      </c>
      <c r="AC159" s="19">
        <f>IF(OR(A159="",W159=0),"",AB159/W159)</f>
        <v/>
      </c>
      <c r="AD159" s="19">
        <f>IF(OR(A159="",V159=0),"",W159/V159)</f>
        <v/>
      </c>
      <c r="AE159" s="15">
        <f>IF(A159="","",MAX(0,V159-W159))</f>
        <v/>
      </c>
      <c r="AF159" s="15">
        <f>IF(A159="","",SUMIFS('13_Ausgangsrechnungen'!$R:$R,'13_Ausgangsrechnungen'!$C:$C,A159))</f>
        <v/>
      </c>
    </row>
    <row r="160">
      <c r="A160" s="30" t="inlineStr"/>
      <c r="B160" s="30" t="inlineStr"/>
      <c r="C160" s="30" t="inlineStr"/>
      <c r="D160" s="30" t="inlineStr"/>
      <c r="E160" s="30" t="inlineStr"/>
      <c r="F160" s="30" t="inlineStr"/>
      <c r="G160" s="38" t="inlineStr"/>
      <c r="H160" s="38" t="inlineStr"/>
      <c r="I160" s="38" t="inlineStr"/>
      <c r="J160" s="34" t="inlineStr"/>
      <c r="K160" s="34" t="inlineStr"/>
      <c r="L160" s="34" t="inlineStr"/>
      <c r="M160" s="34" t="inlineStr"/>
      <c r="N160" s="34" t="inlineStr"/>
      <c r="O160" s="34" t="inlineStr"/>
      <c r="P160" s="32" t="inlineStr"/>
      <c r="Q160" s="30" t="inlineStr"/>
      <c r="R160" s="30" t="inlineStr"/>
      <c r="S160" s="30" t="inlineStr"/>
      <c r="T160" s="30" t="inlineStr"/>
      <c r="U160" s="15">
        <f>IF(A160="","",SUMIFS('07_Nachtraege'!$E:$E,'07_Nachtraege'!$B:$B,A160,'07_Nachtraege'!$F:$F,"beauftragt"))</f>
        <v/>
      </c>
      <c r="V160" s="15">
        <f>IF(A160="","",J160+U160)</f>
        <v/>
      </c>
      <c r="W160" s="15">
        <f>IF(A160="","",SUMIFS('13_Ausgangsrechnungen'!$G:$G,'13_Ausgangsrechnungen'!$C:$C,A160))</f>
        <v/>
      </c>
      <c r="X160" s="15">
        <f>IF(A160="","",SUMIFS('11_Material'!$L:$L,'11_Material'!$C:$C,A160))</f>
        <v/>
      </c>
      <c r="Y160" s="15">
        <f>IF(A160="","",SUMIFS('14_Eingangsrechnungen'!$F:$F,'14_Eingangsrechnungen'!$C:$C,A160,'14_Eingangsrechnungen'!$E:$E,"Nachunternehmer"))</f>
        <v/>
      </c>
      <c r="Z160" s="15">
        <f>IF(A160="","",SUMIFS('10_Stunden'!$K:$K,'10_Stunden'!$C:$C,A160))</f>
        <v/>
      </c>
      <c r="AA160" s="15">
        <f>IF(A160="","",X160+Y160+Z160+SUMIFS('14_Eingangsrechnungen'!$F:$F,'14_Eingangsrechnungen'!$C:$C,A160,'14_Eingangsrechnungen'!$E:$E,"Gerät")+SUMIFS('14_Eingangsrechnungen'!$F:$F,'14_Eingangsrechnungen'!$C:$C,A160,'14_Eingangsrechnungen'!$E:$E,"Dienstleistung"))</f>
        <v/>
      </c>
      <c r="AB160" s="15">
        <f>IF(A160="","",W160-AA160)</f>
        <v/>
      </c>
      <c r="AC160" s="19">
        <f>IF(OR(A160="",W160=0),"",AB160/W160)</f>
        <v/>
      </c>
      <c r="AD160" s="19">
        <f>IF(OR(A160="",V160=0),"",W160/V160)</f>
        <v/>
      </c>
      <c r="AE160" s="15">
        <f>IF(A160="","",MAX(0,V160-W160))</f>
        <v/>
      </c>
      <c r="AF160" s="15">
        <f>IF(A160="","",SUMIFS('13_Ausgangsrechnungen'!$R:$R,'13_Ausgangsrechnungen'!$C:$C,A160))</f>
        <v/>
      </c>
    </row>
    <row r="161">
      <c r="A161" s="30" t="inlineStr"/>
      <c r="B161" s="30" t="inlineStr"/>
      <c r="C161" s="30" t="inlineStr"/>
      <c r="D161" s="30" t="inlineStr"/>
      <c r="E161" s="30" t="inlineStr"/>
      <c r="F161" s="30" t="inlineStr"/>
      <c r="G161" s="38" t="inlineStr"/>
      <c r="H161" s="38" t="inlineStr"/>
      <c r="I161" s="38" t="inlineStr"/>
      <c r="J161" s="34" t="inlineStr"/>
      <c r="K161" s="34" t="inlineStr"/>
      <c r="L161" s="34" t="inlineStr"/>
      <c r="M161" s="34" t="inlineStr"/>
      <c r="N161" s="34" t="inlineStr"/>
      <c r="O161" s="34" t="inlineStr"/>
      <c r="P161" s="32" t="inlineStr"/>
      <c r="Q161" s="30" t="inlineStr"/>
      <c r="R161" s="30" t="inlineStr"/>
      <c r="S161" s="30" t="inlineStr"/>
      <c r="T161" s="30" t="inlineStr"/>
      <c r="U161" s="15">
        <f>IF(A161="","",SUMIFS('07_Nachtraege'!$E:$E,'07_Nachtraege'!$B:$B,A161,'07_Nachtraege'!$F:$F,"beauftragt"))</f>
        <v/>
      </c>
      <c r="V161" s="15">
        <f>IF(A161="","",J161+U161)</f>
        <v/>
      </c>
      <c r="W161" s="15">
        <f>IF(A161="","",SUMIFS('13_Ausgangsrechnungen'!$G:$G,'13_Ausgangsrechnungen'!$C:$C,A161))</f>
        <v/>
      </c>
      <c r="X161" s="15">
        <f>IF(A161="","",SUMIFS('11_Material'!$L:$L,'11_Material'!$C:$C,A161))</f>
        <v/>
      </c>
      <c r="Y161" s="15">
        <f>IF(A161="","",SUMIFS('14_Eingangsrechnungen'!$F:$F,'14_Eingangsrechnungen'!$C:$C,A161,'14_Eingangsrechnungen'!$E:$E,"Nachunternehmer"))</f>
        <v/>
      </c>
      <c r="Z161" s="15">
        <f>IF(A161="","",SUMIFS('10_Stunden'!$K:$K,'10_Stunden'!$C:$C,A161))</f>
        <v/>
      </c>
      <c r="AA161" s="15">
        <f>IF(A161="","",X161+Y161+Z161+SUMIFS('14_Eingangsrechnungen'!$F:$F,'14_Eingangsrechnungen'!$C:$C,A161,'14_Eingangsrechnungen'!$E:$E,"Gerät")+SUMIFS('14_Eingangsrechnungen'!$F:$F,'14_Eingangsrechnungen'!$C:$C,A161,'14_Eingangsrechnungen'!$E:$E,"Dienstleistung"))</f>
        <v/>
      </c>
      <c r="AB161" s="15">
        <f>IF(A161="","",W161-AA161)</f>
        <v/>
      </c>
      <c r="AC161" s="19">
        <f>IF(OR(A161="",W161=0),"",AB161/W161)</f>
        <v/>
      </c>
      <c r="AD161" s="19">
        <f>IF(OR(A161="",V161=0),"",W161/V161)</f>
        <v/>
      </c>
      <c r="AE161" s="15">
        <f>IF(A161="","",MAX(0,V161-W161))</f>
        <v/>
      </c>
      <c r="AF161" s="15">
        <f>IF(A161="","",SUMIFS('13_Ausgangsrechnungen'!$R:$R,'13_Ausgangsrechnungen'!$C:$C,A161))</f>
        <v/>
      </c>
    </row>
    <row r="162">
      <c r="A162" s="30" t="inlineStr"/>
      <c r="B162" s="30" t="inlineStr"/>
      <c r="C162" s="30" t="inlineStr"/>
      <c r="D162" s="30" t="inlineStr"/>
      <c r="E162" s="30" t="inlineStr"/>
      <c r="F162" s="30" t="inlineStr"/>
      <c r="G162" s="38" t="inlineStr"/>
      <c r="H162" s="38" t="inlineStr"/>
      <c r="I162" s="38" t="inlineStr"/>
      <c r="J162" s="34" t="inlineStr"/>
      <c r="K162" s="34" t="inlineStr"/>
      <c r="L162" s="34" t="inlineStr"/>
      <c r="M162" s="34" t="inlineStr"/>
      <c r="N162" s="34" t="inlineStr"/>
      <c r="O162" s="34" t="inlineStr"/>
      <c r="P162" s="32" t="inlineStr"/>
      <c r="Q162" s="30" t="inlineStr"/>
      <c r="R162" s="30" t="inlineStr"/>
      <c r="S162" s="30" t="inlineStr"/>
      <c r="T162" s="30" t="inlineStr"/>
      <c r="U162" s="15">
        <f>IF(A162="","",SUMIFS('07_Nachtraege'!$E:$E,'07_Nachtraege'!$B:$B,A162,'07_Nachtraege'!$F:$F,"beauftragt"))</f>
        <v/>
      </c>
      <c r="V162" s="15">
        <f>IF(A162="","",J162+U162)</f>
        <v/>
      </c>
      <c r="W162" s="15">
        <f>IF(A162="","",SUMIFS('13_Ausgangsrechnungen'!$G:$G,'13_Ausgangsrechnungen'!$C:$C,A162))</f>
        <v/>
      </c>
      <c r="X162" s="15">
        <f>IF(A162="","",SUMIFS('11_Material'!$L:$L,'11_Material'!$C:$C,A162))</f>
        <v/>
      </c>
      <c r="Y162" s="15">
        <f>IF(A162="","",SUMIFS('14_Eingangsrechnungen'!$F:$F,'14_Eingangsrechnungen'!$C:$C,A162,'14_Eingangsrechnungen'!$E:$E,"Nachunternehmer"))</f>
        <v/>
      </c>
      <c r="Z162" s="15">
        <f>IF(A162="","",SUMIFS('10_Stunden'!$K:$K,'10_Stunden'!$C:$C,A162))</f>
        <v/>
      </c>
      <c r="AA162" s="15">
        <f>IF(A162="","",X162+Y162+Z162+SUMIFS('14_Eingangsrechnungen'!$F:$F,'14_Eingangsrechnungen'!$C:$C,A162,'14_Eingangsrechnungen'!$E:$E,"Gerät")+SUMIFS('14_Eingangsrechnungen'!$F:$F,'14_Eingangsrechnungen'!$C:$C,A162,'14_Eingangsrechnungen'!$E:$E,"Dienstleistung"))</f>
        <v/>
      </c>
      <c r="AB162" s="15">
        <f>IF(A162="","",W162-AA162)</f>
        <v/>
      </c>
      <c r="AC162" s="19">
        <f>IF(OR(A162="",W162=0),"",AB162/W162)</f>
        <v/>
      </c>
      <c r="AD162" s="19">
        <f>IF(OR(A162="",V162=0),"",W162/V162)</f>
        <v/>
      </c>
      <c r="AE162" s="15">
        <f>IF(A162="","",MAX(0,V162-W162))</f>
        <v/>
      </c>
      <c r="AF162" s="15">
        <f>IF(A162="","",SUMIFS('13_Ausgangsrechnungen'!$R:$R,'13_Ausgangsrechnungen'!$C:$C,A162))</f>
        <v/>
      </c>
    </row>
    <row r="163">
      <c r="A163" s="30" t="inlineStr"/>
      <c r="B163" s="30" t="inlineStr"/>
      <c r="C163" s="30" t="inlineStr"/>
      <c r="D163" s="30" t="inlineStr"/>
      <c r="E163" s="30" t="inlineStr"/>
      <c r="F163" s="30" t="inlineStr"/>
      <c r="G163" s="38" t="inlineStr"/>
      <c r="H163" s="38" t="inlineStr"/>
      <c r="I163" s="38" t="inlineStr"/>
      <c r="J163" s="34" t="inlineStr"/>
      <c r="K163" s="34" t="inlineStr"/>
      <c r="L163" s="34" t="inlineStr"/>
      <c r="M163" s="34" t="inlineStr"/>
      <c r="N163" s="34" t="inlineStr"/>
      <c r="O163" s="34" t="inlineStr"/>
      <c r="P163" s="32" t="inlineStr"/>
      <c r="Q163" s="30" t="inlineStr"/>
      <c r="R163" s="30" t="inlineStr"/>
      <c r="S163" s="30" t="inlineStr"/>
      <c r="T163" s="30" t="inlineStr"/>
      <c r="U163" s="15">
        <f>IF(A163="","",SUMIFS('07_Nachtraege'!$E:$E,'07_Nachtraege'!$B:$B,A163,'07_Nachtraege'!$F:$F,"beauftragt"))</f>
        <v/>
      </c>
      <c r="V163" s="15">
        <f>IF(A163="","",J163+U163)</f>
        <v/>
      </c>
      <c r="W163" s="15">
        <f>IF(A163="","",SUMIFS('13_Ausgangsrechnungen'!$G:$G,'13_Ausgangsrechnungen'!$C:$C,A163))</f>
        <v/>
      </c>
      <c r="X163" s="15">
        <f>IF(A163="","",SUMIFS('11_Material'!$L:$L,'11_Material'!$C:$C,A163))</f>
        <v/>
      </c>
      <c r="Y163" s="15">
        <f>IF(A163="","",SUMIFS('14_Eingangsrechnungen'!$F:$F,'14_Eingangsrechnungen'!$C:$C,A163,'14_Eingangsrechnungen'!$E:$E,"Nachunternehmer"))</f>
        <v/>
      </c>
      <c r="Z163" s="15">
        <f>IF(A163="","",SUMIFS('10_Stunden'!$K:$K,'10_Stunden'!$C:$C,A163))</f>
        <v/>
      </c>
      <c r="AA163" s="15">
        <f>IF(A163="","",X163+Y163+Z163+SUMIFS('14_Eingangsrechnungen'!$F:$F,'14_Eingangsrechnungen'!$C:$C,A163,'14_Eingangsrechnungen'!$E:$E,"Gerät")+SUMIFS('14_Eingangsrechnungen'!$F:$F,'14_Eingangsrechnungen'!$C:$C,A163,'14_Eingangsrechnungen'!$E:$E,"Dienstleistung"))</f>
        <v/>
      </c>
      <c r="AB163" s="15">
        <f>IF(A163="","",W163-AA163)</f>
        <v/>
      </c>
      <c r="AC163" s="19">
        <f>IF(OR(A163="",W163=0),"",AB163/W163)</f>
        <v/>
      </c>
      <c r="AD163" s="19">
        <f>IF(OR(A163="",V163=0),"",W163/V163)</f>
        <v/>
      </c>
      <c r="AE163" s="15">
        <f>IF(A163="","",MAX(0,V163-W163))</f>
        <v/>
      </c>
      <c r="AF163" s="15">
        <f>IF(A163="","",SUMIFS('13_Ausgangsrechnungen'!$R:$R,'13_Ausgangsrechnungen'!$C:$C,A163))</f>
        <v/>
      </c>
    </row>
    <row r="164">
      <c r="A164" s="30" t="inlineStr"/>
      <c r="B164" s="30" t="inlineStr"/>
      <c r="C164" s="30" t="inlineStr"/>
      <c r="D164" s="30" t="inlineStr"/>
      <c r="E164" s="30" t="inlineStr"/>
      <c r="F164" s="30" t="inlineStr"/>
      <c r="G164" s="38" t="inlineStr"/>
      <c r="H164" s="38" t="inlineStr"/>
      <c r="I164" s="38" t="inlineStr"/>
      <c r="J164" s="34" t="inlineStr"/>
      <c r="K164" s="34" t="inlineStr"/>
      <c r="L164" s="34" t="inlineStr"/>
      <c r="M164" s="34" t="inlineStr"/>
      <c r="N164" s="34" t="inlineStr"/>
      <c r="O164" s="34" t="inlineStr"/>
      <c r="P164" s="32" t="inlineStr"/>
      <c r="Q164" s="30" t="inlineStr"/>
      <c r="R164" s="30" t="inlineStr"/>
      <c r="S164" s="30" t="inlineStr"/>
      <c r="T164" s="30" t="inlineStr"/>
      <c r="U164" s="15">
        <f>IF(A164="","",SUMIFS('07_Nachtraege'!$E:$E,'07_Nachtraege'!$B:$B,A164,'07_Nachtraege'!$F:$F,"beauftragt"))</f>
        <v/>
      </c>
      <c r="V164" s="15">
        <f>IF(A164="","",J164+U164)</f>
        <v/>
      </c>
      <c r="W164" s="15">
        <f>IF(A164="","",SUMIFS('13_Ausgangsrechnungen'!$G:$G,'13_Ausgangsrechnungen'!$C:$C,A164))</f>
        <v/>
      </c>
      <c r="X164" s="15">
        <f>IF(A164="","",SUMIFS('11_Material'!$L:$L,'11_Material'!$C:$C,A164))</f>
        <v/>
      </c>
      <c r="Y164" s="15">
        <f>IF(A164="","",SUMIFS('14_Eingangsrechnungen'!$F:$F,'14_Eingangsrechnungen'!$C:$C,A164,'14_Eingangsrechnungen'!$E:$E,"Nachunternehmer"))</f>
        <v/>
      </c>
      <c r="Z164" s="15">
        <f>IF(A164="","",SUMIFS('10_Stunden'!$K:$K,'10_Stunden'!$C:$C,A164))</f>
        <v/>
      </c>
      <c r="AA164" s="15">
        <f>IF(A164="","",X164+Y164+Z164+SUMIFS('14_Eingangsrechnungen'!$F:$F,'14_Eingangsrechnungen'!$C:$C,A164,'14_Eingangsrechnungen'!$E:$E,"Gerät")+SUMIFS('14_Eingangsrechnungen'!$F:$F,'14_Eingangsrechnungen'!$C:$C,A164,'14_Eingangsrechnungen'!$E:$E,"Dienstleistung"))</f>
        <v/>
      </c>
      <c r="AB164" s="15">
        <f>IF(A164="","",W164-AA164)</f>
        <v/>
      </c>
      <c r="AC164" s="19">
        <f>IF(OR(A164="",W164=0),"",AB164/W164)</f>
        <v/>
      </c>
      <c r="AD164" s="19">
        <f>IF(OR(A164="",V164=0),"",W164/V164)</f>
        <v/>
      </c>
      <c r="AE164" s="15">
        <f>IF(A164="","",MAX(0,V164-W164))</f>
        <v/>
      </c>
      <c r="AF164" s="15">
        <f>IF(A164="","",SUMIFS('13_Ausgangsrechnungen'!$R:$R,'13_Ausgangsrechnungen'!$C:$C,A164))</f>
        <v/>
      </c>
    </row>
    <row r="165">
      <c r="A165" s="30" t="inlineStr"/>
      <c r="B165" s="30" t="inlineStr"/>
      <c r="C165" s="30" t="inlineStr"/>
      <c r="D165" s="30" t="inlineStr"/>
      <c r="E165" s="30" t="inlineStr"/>
      <c r="F165" s="30" t="inlineStr"/>
      <c r="G165" s="38" t="inlineStr"/>
      <c r="H165" s="38" t="inlineStr"/>
      <c r="I165" s="38" t="inlineStr"/>
      <c r="J165" s="34" t="inlineStr"/>
      <c r="K165" s="34" t="inlineStr"/>
      <c r="L165" s="34" t="inlineStr"/>
      <c r="M165" s="34" t="inlineStr"/>
      <c r="N165" s="34" t="inlineStr"/>
      <c r="O165" s="34" t="inlineStr"/>
      <c r="P165" s="32" t="inlineStr"/>
      <c r="Q165" s="30" t="inlineStr"/>
      <c r="R165" s="30" t="inlineStr"/>
      <c r="S165" s="30" t="inlineStr"/>
      <c r="T165" s="30" t="inlineStr"/>
      <c r="U165" s="15">
        <f>IF(A165="","",SUMIFS('07_Nachtraege'!$E:$E,'07_Nachtraege'!$B:$B,A165,'07_Nachtraege'!$F:$F,"beauftragt"))</f>
        <v/>
      </c>
      <c r="V165" s="15">
        <f>IF(A165="","",J165+U165)</f>
        <v/>
      </c>
      <c r="W165" s="15">
        <f>IF(A165="","",SUMIFS('13_Ausgangsrechnungen'!$G:$G,'13_Ausgangsrechnungen'!$C:$C,A165))</f>
        <v/>
      </c>
      <c r="X165" s="15">
        <f>IF(A165="","",SUMIFS('11_Material'!$L:$L,'11_Material'!$C:$C,A165))</f>
        <v/>
      </c>
      <c r="Y165" s="15">
        <f>IF(A165="","",SUMIFS('14_Eingangsrechnungen'!$F:$F,'14_Eingangsrechnungen'!$C:$C,A165,'14_Eingangsrechnungen'!$E:$E,"Nachunternehmer"))</f>
        <v/>
      </c>
      <c r="Z165" s="15">
        <f>IF(A165="","",SUMIFS('10_Stunden'!$K:$K,'10_Stunden'!$C:$C,A165))</f>
        <v/>
      </c>
      <c r="AA165" s="15">
        <f>IF(A165="","",X165+Y165+Z165+SUMIFS('14_Eingangsrechnungen'!$F:$F,'14_Eingangsrechnungen'!$C:$C,A165,'14_Eingangsrechnungen'!$E:$E,"Gerät")+SUMIFS('14_Eingangsrechnungen'!$F:$F,'14_Eingangsrechnungen'!$C:$C,A165,'14_Eingangsrechnungen'!$E:$E,"Dienstleistung"))</f>
        <v/>
      </c>
      <c r="AB165" s="15">
        <f>IF(A165="","",W165-AA165)</f>
        <v/>
      </c>
      <c r="AC165" s="19">
        <f>IF(OR(A165="",W165=0),"",AB165/W165)</f>
        <v/>
      </c>
      <c r="AD165" s="19">
        <f>IF(OR(A165="",V165=0),"",W165/V165)</f>
        <v/>
      </c>
      <c r="AE165" s="15">
        <f>IF(A165="","",MAX(0,V165-W165))</f>
        <v/>
      </c>
      <c r="AF165" s="15">
        <f>IF(A165="","",SUMIFS('13_Ausgangsrechnungen'!$R:$R,'13_Ausgangsrechnungen'!$C:$C,A165))</f>
        <v/>
      </c>
    </row>
    <row r="166">
      <c r="A166" s="30" t="inlineStr"/>
      <c r="B166" s="30" t="inlineStr"/>
      <c r="C166" s="30" t="inlineStr"/>
      <c r="D166" s="30" t="inlineStr"/>
      <c r="E166" s="30" t="inlineStr"/>
      <c r="F166" s="30" t="inlineStr"/>
      <c r="G166" s="38" t="inlineStr"/>
      <c r="H166" s="38" t="inlineStr"/>
      <c r="I166" s="38" t="inlineStr"/>
      <c r="J166" s="34" t="inlineStr"/>
      <c r="K166" s="34" t="inlineStr"/>
      <c r="L166" s="34" t="inlineStr"/>
      <c r="M166" s="34" t="inlineStr"/>
      <c r="N166" s="34" t="inlineStr"/>
      <c r="O166" s="34" t="inlineStr"/>
      <c r="P166" s="32" t="inlineStr"/>
      <c r="Q166" s="30" t="inlineStr"/>
      <c r="R166" s="30" t="inlineStr"/>
      <c r="S166" s="30" t="inlineStr"/>
      <c r="T166" s="30" t="inlineStr"/>
      <c r="U166" s="15">
        <f>IF(A166="","",SUMIFS('07_Nachtraege'!$E:$E,'07_Nachtraege'!$B:$B,A166,'07_Nachtraege'!$F:$F,"beauftragt"))</f>
        <v/>
      </c>
      <c r="V166" s="15">
        <f>IF(A166="","",J166+U166)</f>
        <v/>
      </c>
      <c r="W166" s="15">
        <f>IF(A166="","",SUMIFS('13_Ausgangsrechnungen'!$G:$G,'13_Ausgangsrechnungen'!$C:$C,A166))</f>
        <v/>
      </c>
      <c r="X166" s="15">
        <f>IF(A166="","",SUMIFS('11_Material'!$L:$L,'11_Material'!$C:$C,A166))</f>
        <v/>
      </c>
      <c r="Y166" s="15">
        <f>IF(A166="","",SUMIFS('14_Eingangsrechnungen'!$F:$F,'14_Eingangsrechnungen'!$C:$C,A166,'14_Eingangsrechnungen'!$E:$E,"Nachunternehmer"))</f>
        <v/>
      </c>
      <c r="Z166" s="15">
        <f>IF(A166="","",SUMIFS('10_Stunden'!$K:$K,'10_Stunden'!$C:$C,A166))</f>
        <v/>
      </c>
      <c r="AA166" s="15">
        <f>IF(A166="","",X166+Y166+Z166+SUMIFS('14_Eingangsrechnungen'!$F:$F,'14_Eingangsrechnungen'!$C:$C,A166,'14_Eingangsrechnungen'!$E:$E,"Gerät")+SUMIFS('14_Eingangsrechnungen'!$F:$F,'14_Eingangsrechnungen'!$C:$C,A166,'14_Eingangsrechnungen'!$E:$E,"Dienstleistung"))</f>
        <v/>
      </c>
      <c r="AB166" s="15">
        <f>IF(A166="","",W166-AA166)</f>
        <v/>
      </c>
      <c r="AC166" s="19">
        <f>IF(OR(A166="",W166=0),"",AB166/W166)</f>
        <v/>
      </c>
      <c r="AD166" s="19">
        <f>IF(OR(A166="",V166=0),"",W166/V166)</f>
        <v/>
      </c>
      <c r="AE166" s="15">
        <f>IF(A166="","",MAX(0,V166-W166))</f>
        <v/>
      </c>
      <c r="AF166" s="15">
        <f>IF(A166="","",SUMIFS('13_Ausgangsrechnungen'!$R:$R,'13_Ausgangsrechnungen'!$C:$C,A166))</f>
        <v/>
      </c>
    </row>
    <row r="167">
      <c r="A167" s="30" t="inlineStr"/>
      <c r="B167" s="30" t="inlineStr"/>
      <c r="C167" s="30" t="inlineStr"/>
      <c r="D167" s="30" t="inlineStr"/>
      <c r="E167" s="30" t="inlineStr"/>
      <c r="F167" s="30" t="inlineStr"/>
      <c r="G167" s="38" t="inlineStr"/>
      <c r="H167" s="38" t="inlineStr"/>
      <c r="I167" s="38" t="inlineStr"/>
      <c r="J167" s="34" t="inlineStr"/>
      <c r="K167" s="34" t="inlineStr"/>
      <c r="L167" s="34" t="inlineStr"/>
      <c r="M167" s="34" t="inlineStr"/>
      <c r="N167" s="34" t="inlineStr"/>
      <c r="O167" s="34" t="inlineStr"/>
      <c r="P167" s="32" t="inlineStr"/>
      <c r="Q167" s="30" t="inlineStr"/>
      <c r="R167" s="30" t="inlineStr"/>
      <c r="S167" s="30" t="inlineStr"/>
      <c r="T167" s="30" t="inlineStr"/>
      <c r="U167" s="15">
        <f>IF(A167="","",SUMIFS('07_Nachtraege'!$E:$E,'07_Nachtraege'!$B:$B,A167,'07_Nachtraege'!$F:$F,"beauftragt"))</f>
        <v/>
      </c>
      <c r="V167" s="15">
        <f>IF(A167="","",J167+U167)</f>
        <v/>
      </c>
      <c r="W167" s="15">
        <f>IF(A167="","",SUMIFS('13_Ausgangsrechnungen'!$G:$G,'13_Ausgangsrechnungen'!$C:$C,A167))</f>
        <v/>
      </c>
      <c r="X167" s="15">
        <f>IF(A167="","",SUMIFS('11_Material'!$L:$L,'11_Material'!$C:$C,A167))</f>
        <v/>
      </c>
      <c r="Y167" s="15">
        <f>IF(A167="","",SUMIFS('14_Eingangsrechnungen'!$F:$F,'14_Eingangsrechnungen'!$C:$C,A167,'14_Eingangsrechnungen'!$E:$E,"Nachunternehmer"))</f>
        <v/>
      </c>
      <c r="Z167" s="15">
        <f>IF(A167="","",SUMIFS('10_Stunden'!$K:$K,'10_Stunden'!$C:$C,A167))</f>
        <v/>
      </c>
      <c r="AA167" s="15">
        <f>IF(A167="","",X167+Y167+Z167+SUMIFS('14_Eingangsrechnungen'!$F:$F,'14_Eingangsrechnungen'!$C:$C,A167,'14_Eingangsrechnungen'!$E:$E,"Gerät")+SUMIFS('14_Eingangsrechnungen'!$F:$F,'14_Eingangsrechnungen'!$C:$C,A167,'14_Eingangsrechnungen'!$E:$E,"Dienstleistung"))</f>
        <v/>
      </c>
      <c r="AB167" s="15">
        <f>IF(A167="","",W167-AA167)</f>
        <v/>
      </c>
      <c r="AC167" s="19">
        <f>IF(OR(A167="",W167=0),"",AB167/W167)</f>
        <v/>
      </c>
      <c r="AD167" s="19">
        <f>IF(OR(A167="",V167=0),"",W167/V167)</f>
        <v/>
      </c>
      <c r="AE167" s="15">
        <f>IF(A167="","",MAX(0,V167-W167))</f>
        <v/>
      </c>
      <c r="AF167" s="15">
        <f>IF(A167="","",SUMIFS('13_Ausgangsrechnungen'!$R:$R,'13_Ausgangsrechnungen'!$C:$C,A167))</f>
        <v/>
      </c>
    </row>
    <row r="168">
      <c r="A168" s="30" t="inlineStr"/>
      <c r="B168" s="30" t="inlineStr"/>
      <c r="C168" s="30" t="inlineStr"/>
      <c r="D168" s="30" t="inlineStr"/>
      <c r="E168" s="30" t="inlineStr"/>
      <c r="F168" s="30" t="inlineStr"/>
      <c r="G168" s="38" t="inlineStr"/>
      <c r="H168" s="38" t="inlineStr"/>
      <c r="I168" s="38" t="inlineStr"/>
      <c r="J168" s="34" t="inlineStr"/>
      <c r="K168" s="34" t="inlineStr"/>
      <c r="L168" s="34" t="inlineStr"/>
      <c r="M168" s="34" t="inlineStr"/>
      <c r="N168" s="34" t="inlineStr"/>
      <c r="O168" s="34" t="inlineStr"/>
      <c r="P168" s="32" t="inlineStr"/>
      <c r="Q168" s="30" t="inlineStr"/>
      <c r="R168" s="30" t="inlineStr"/>
      <c r="S168" s="30" t="inlineStr"/>
      <c r="T168" s="30" t="inlineStr"/>
      <c r="U168" s="15">
        <f>IF(A168="","",SUMIFS('07_Nachtraege'!$E:$E,'07_Nachtraege'!$B:$B,A168,'07_Nachtraege'!$F:$F,"beauftragt"))</f>
        <v/>
      </c>
      <c r="V168" s="15">
        <f>IF(A168="","",J168+U168)</f>
        <v/>
      </c>
      <c r="W168" s="15">
        <f>IF(A168="","",SUMIFS('13_Ausgangsrechnungen'!$G:$G,'13_Ausgangsrechnungen'!$C:$C,A168))</f>
        <v/>
      </c>
      <c r="X168" s="15">
        <f>IF(A168="","",SUMIFS('11_Material'!$L:$L,'11_Material'!$C:$C,A168))</f>
        <v/>
      </c>
      <c r="Y168" s="15">
        <f>IF(A168="","",SUMIFS('14_Eingangsrechnungen'!$F:$F,'14_Eingangsrechnungen'!$C:$C,A168,'14_Eingangsrechnungen'!$E:$E,"Nachunternehmer"))</f>
        <v/>
      </c>
      <c r="Z168" s="15">
        <f>IF(A168="","",SUMIFS('10_Stunden'!$K:$K,'10_Stunden'!$C:$C,A168))</f>
        <v/>
      </c>
      <c r="AA168" s="15">
        <f>IF(A168="","",X168+Y168+Z168+SUMIFS('14_Eingangsrechnungen'!$F:$F,'14_Eingangsrechnungen'!$C:$C,A168,'14_Eingangsrechnungen'!$E:$E,"Gerät")+SUMIFS('14_Eingangsrechnungen'!$F:$F,'14_Eingangsrechnungen'!$C:$C,A168,'14_Eingangsrechnungen'!$E:$E,"Dienstleistung"))</f>
        <v/>
      </c>
      <c r="AB168" s="15">
        <f>IF(A168="","",W168-AA168)</f>
        <v/>
      </c>
      <c r="AC168" s="19">
        <f>IF(OR(A168="",W168=0),"",AB168/W168)</f>
        <v/>
      </c>
      <c r="AD168" s="19">
        <f>IF(OR(A168="",V168=0),"",W168/V168)</f>
        <v/>
      </c>
      <c r="AE168" s="15">
        <f>IF(A168="","",MAX(0,V168-W168))</f>
        <v/>
      </c>
      <c r="AF168" s="15">
        <f>IF(A168="","",SUMIFS('13_Ausgangsrechnungen'!$R:$R,'13_Ausgangsrechnungen'!$C:$C,A168))</f>
        <v/>
      </c>
    </row>
    <row r="169">
      <c r="A169" s="30" t="inlineStr"/>
      <c r="B169" s="30" t="inlineStr"/>
      <c r="C169" s="30" t="inlineStr"/>
      <c r="D169" s="30" t="inlineStr"/>
      <c r="E169" s="30" t="inlineStr"/>
      <c r="F169" s="30" t="inlineStr"/>
      <c r="G169" s="38" t="inlineStr"/>
      <c r="H169" s="38" t="inlineStr"/>
      <c r="I169" s="38" t="inlineStr"/>
      <c r="J169" s="34" t="inlineStr"/>
      <c r="K169" s="34" t="inlineStr"/>
      <c r="L169" s="34" t="inlineStr"/>
      <c r="M169" s="34" t="inlineStr"/>
      <c r="N169" s="34" t="inlineStr"/>
      <c r="O169" s="34" t="inlineStr"/>
      <c r="P169" s="32" t="inlineStr"/>
      <c r="Q169" s="30" t="inlineStr"/>
      <c r="R169" s="30" t="inlineStr"/>
      <c r="S169" s="30" t="inlineStr"/>
      <c r="T169" s="30" t="inlineStr"/>
      <c r="U169" s="15">
        <f>IF(A169="","",SUMIFS('07_Nachtraege'!$E:$E,'07_Nachtraege'!$B:$B,A169,'07_Nachtraege'!$F:$F,"beauftragt"))</f>
        <v/>
      </c>
      <c r="V169" s="15">
        <f>IF(A169="","",J169+U169)</f>
        <v/>
      </c>
      <c r="W169" s="15">
        <f>IF(A169="","",SUMIFS('13_Ausgangsrechnungen'!$G:$G,'13_Ausgangsrechnungen'!$C:$C,A169))</f>
        <v/>
      </c>
      <c r="X169" s="15">
        <f>IF(A169="","",SUMIFS('11_Material'!$L:$L,'11_Material'!$C:$C,A169))</f>
        <v/>
      </c>
      <c r="Y169" s="15">
        <f>IF(A169="","",SUMIFS('14_Eingangsrechnungen'!$F:$F,'14_Eingangsrechnungen'!$C:$C,A169,'14_Eingangsrechnungen'!$E:$E,"Nachunternehmer"))</f>
        <v/>
      </c>
      <c r="Z169" s="15">
        <f>IF(A169="","",SUMIFS('10_Stunden'!$K:$K,'10_Stunden'!$C:$C,A169))</f>
        <v/>
      </c>
      <c r="AA169" s="15">
        <f>IF(A169="","",X169+Y169+Z169+SUMIFS('14_Eingangsrechnungen'!$F:$F,'14_Eingangsrechnungen'!$C:$C,A169,'14_Eingangsrechnungen'!$E:$E,"Gerät")+SUMIFS('14_Eingangsrechnungen'!$F:$F,'14_Eingangsrechnungen'!$C:$C,A169,'14_Eingangsrechnungen'!$E:$E,"Dienstleistung"))</f>
        <v/>
      </c>
      <c r="AB169" s="15">
        <f>IF(A169="","",W169-AA169)</f>
        <v/>
      </c>
      <c r="AC169" s="19">
        <f>IF(OR(A169="",W169=0),"",AB169/W169)</f>
        <v/>
      </c>
      <c r="AD169" s="19">
        <f>IF(OR(A169="",V169=0),"",W169/V169)</f>
        <v/>
      </c>
      <c r="AE169" s="15">
        <f>IF(A169="","",MAX(0,V169-W169))</f>
        <v/>
      </c>
      <c r="AF169" s="15">
        <f>IF(A169="","",SUMIFS('13_Ausgangsrechnungen'!$R:$R,'13_Ausgangsrechnungen'!$C:$C,A169))</f>
        <v/>
      </c>
    </row>
    <row r="170">
      <c r="A170" s="30" t="inlineStr"/>
      <c r="B170" s="30" t="inlineStr"/>
      <c r="C170" s="30" t="inlineStr"/>
      <c r="D170" s="30" t="inlineStr"/>
      <c r="E170" s="30" t="inlineStr"/>
      <c r="F170" s="30" t="inlineStr"/>
      <c r="G170" s="38" t="inlineStr"/>
      <c r="H170" s="38" t="inlineStr"/>
      <c r="I170" s="38" t="inlineStr"/>
      <c r="J170" s="34" t="inlineStr"/>
      <c r="K170" s="34" t="inlineStr"/>
      <c r="L170" s="34" t="inlineStr"/>
      <c r="M170" s="34" t="inlineStr"/>
      <c r="N170" s="34" t="inlineStr"/>
      <c r="O170" s="34" t="inlineStr"/>
      <c r="P170" s="32" t="inlineStr"/>
      <c r="Q170" s="30" t="inlineStr"/>
      <c r="R170" s="30" t="inlineStr"/>
      <c r="S170" s="30" t="inlineStr"/>
      <c r="T170" s="30" t="inlineStr"/>
      <c r="U170" s="15">
        <f>IF(A170="","",SUMIFS('07_Nachtraege'!$E:$E,'07_Nachtraege'!$B:$B,A170,'07_Nachtraege'!$F:$F,"beauftragt"))</f>
        <v/>
      </c>
      <c r="V170" s="15">
        <f>IF(A170="","",J170+U170)</f>
        <v/>
      </c>
      <c r="W170" s="15">
        <f>IF(A170="","",SUMIFS('13_Ausgangsrechnungen'!$G:$G,'13_Ausgangsrechnungen'!$C:$C,A170))</f>
        <v/>
      </c>
      <c r="X170" s="15">
        <f>IF(A170="","",SUMIFS('11_Material'!$L:$L,'11_Material'!$C:$C,A170))</f>
        <v/>
      </c>
      <c r="Y170" s="15">
        <f>IF(A170="","",SUMIFS('14_Eingangsrechnungen'!$F:$F,'14_Eingangsrechnungen'!$C:$C,A170,'14_Eingangsrechnungen'!$E:$E,"Nachunternehmer"))</f>
        <v/>
      </c>
      <c r="Z170" s="15">
        <f>IF(A170="","",SUMIFS('10_Stunden'!$K:$K,'10_Stunden'!$C:$C,A170))</f>
        <v/>
      </c>
      <c r="AA170" s="15">
        <f>IF(A170="","",X170+Y170+Z170+SUMIFS('14_Eingangsrechnungen'!$F:$F,'14_Eingangsrechnungen'!$C:$C,A170,'14_Eingangsrechnungen'!$E:$E,"Gerät")+SUMIFS('14_Eingangsrechnungen'!$F:$F,'14_Eingangsrechnungen'!$C:$C,A170,'14_Eingangsrechnungen'!$E:$E,"Dienstleistung"))</f>
        <v/>
      </c>
      <c r="AB170" s="15">
        <f>IF(A170="","",W170-AA170)</f>
        <v/>
      </c>
      <c r="AC170" s="19">
        <f>IF(OR(A170="",W170=0),"",AB170/W170)</f>
        <v/>
      </c>
      <c r="AD170" s="19">
        <f>IF(OR(A170="",V170=0),"",W170/V170)</f>
        <v/>
      </c>
      <c r="AE170" s="15">
        <f>IF(A170="","",MAX(0,V170-W170))</f>
        <v/>
      </c>
      <c r="AF170" s="15">
        <f>IF(A170="","",SUMIFS('13_Ausgangsrechnungen'!$R:$R,'13_Ausgangsrechnungen'!$C:$C,A170))</f>
        <v/>
      </c>
    </row>
    <row r="171">
      <c r="A171" s="30" t="inlineStr"/>
      <c r="B171" s="30" t="inlineStr"/>
      <c r="C171" s="30" t="inlineStr"/>
      <c r="D171" s="30" t="inlineStr"/>
      <c r="E171" s="30" t="inlineStr"/>
      <c r="F171" s="30" t="inlineStr"/>
      <c r="G171" s="38" t="inlineStr"/>
      <c r="H171" s="38" t="inlineStr"/>
      <c r="I171" s="38" t="inlineStr"/>
      <c r="J171" s="34" t="inlineStr"/>
      <c r="K171" s="34" t="inlineStr"/>
      <c r="L171" s="34" t="inlineStr"/>
      <c r="M171" s="34" t="inlineStr"/>
      <c r="N171" s="34" t="inlineStr"/>
      <c r="O171" s="34" t="inlineStr"/>
      <c r="P171" s="32" t="inlineStr"/>
      <c r="Q171" s="30" t="inlineStr"/>
      <c r="R171" s="30" t="inlineStr"/>
      <c r="S171" s="30" t="inlineStr"/>
      <c r="T171" s="30" t="inlineStr"/>
      <c r="U171" s="15">
        <f>IF(A171="","",SUMIFS('07_Nachtraege'!$E:$E,'07_Nachtraege'!$B:$B,A171,'07_Nachtraege'!$F:$F,"beauftragt"))</f>
        <v/>
      </c>
      <c r="V171" s="15">
        <f>IF(A171="","",J171+U171)</f>
        <v/>
      </c>
      <c r="W171" s="15">
        <f>IF(A171="","",SUMIFS('13_Ausgangsrechnungen'!$G:$G,'13_Ausgangsrechnungen'!$C:$C,A171))</f>
        <v/>
      </c>
      <c r="X171" s="15">
        <f>IF(A171="","",SUMIFS('11_Material'!$L:$L,'11_Material'!$C:$C,A171))</f>
        <v/>
      </c>
      <c r="Y171" s="15">
        <f>IF(A171="","",SUMIFS('14_Eingangsrechnungen'!$F:$F,'14_Eingangsrechnungen'!$C:$C,A171,'14_Eingangsrechnungen'!$E:$E,"Nachunternehmer"))</f>
        <v/>
      </c>
      <c r="Z171" s="15">
        <f>IF(A171="","",SUMIFS('10_Stunden'!$K:$K,'10_Stunden'!$C:$C,A171))</f>
        <v/>
      </c>
      <c r="AA171" s="15">
        <f>IF(A171="","",X171+Y171+Z171+SUMIFS('14_Eingangsrechnungen'!$F:$F,'14_Eingangsrechnungen'!$C:$C,A171,'14_Eingangsrechnungen'!$E:$E,"Gerät")+SUMIFS('14_Eingangsrechnungen'!$F:$F,'14_Eingangsrechnungen'!$C:$C,A171,'14_Eingangsrechnungen'!$E:$E,"Dienstleistung"))</f>
        <v/>
      </c>
      <c r="AB171" s="15">
        <f>IF(A171="","",W171-AA171)</f>
        <v/>
      </c>
      <c r="AC171" s="19">
        <f>IF(OR(A171="",W171=0),"",AB171/W171)</f>
        <v/>
      </c>
      <c r="AD171" s="19">
        <f>IF(OR(A171="",V171=0),"",W171/V171)</f>
        <v/>
      </c>
      <c r="AE171" s="15">
        <f>IF(A171="","",MAX(0,V171-W171))</f>
        <v/>
      </c>
      <c r="AF171" s="15">
        <f>IF(A171="","",SUMIFS('13_Ausgangsrechnungen'!$R:$R,'13_Ausgangsrechnungen'!$C:$C,A171))</f>
        <v/>
      </c>
    </row>
    <row r="172">
      <c r="A172" s="30" t="inlineStr"/>
      <c r="B172" s="30" t="inlineStr"/>
      <c r="C172" s="30" t="inlineStr"/>
      <c r="D172" s="30" t="inlineStr"/>
      <c r="E172" s="30" t="inlineStr"/>
      <c r="F172" s="30" t="inlineStr"/>
      <c r="G172" s="38" t="inlineStr"/>
      <c r="H172" s="38" t="inlineStr"/>
      <c r="I172" s="38" t="inlineStr"/>
      <c r="J172" s="34" t="inlineStr"/>
      <c r="K172" s="34" t="inlineStr"/>
      <c r="L172" s="34" t="inlineStr"/>
      <c r="M172" s="34" t="inlineStr"/>
      <c r="N172" s="34" t="inlineStr"/>
      <c r="O172" s="34" t="inlineStr"/>
      <c r="P172" s="32" t="inlineStr"/>
      <c r="Q172" s="30" t="inlineStr"/>
      <c r="R172" s="30" t="inlineStr"/>
      <c r="S172" s="30" t="inlineStr"/>
      <c r="T172" s="30" t="inlineStr"/>
      <c r="U172" s="15">
        <f>IF(A172="","",SUMIFS('07_Nachtraege'!$E:$E,'07_Nachtraege'!$B:$B,A172,'07_Nachtraege'!$F:$F,"beauftragt"))</f>
        <v/>
      </c>
      <c r="V172" s="15">
        <f>IF(A172="","",J172+U172)</f>
        <v/>
      </c>
      <c r="W172" s="15">
        <f>IF(A172="","",SUMIFS('13_Ausgangsrechnungen'!$G:$G,'13_Ausgangsrechnungen'!$C:$C,A172))</f>
        <v/>
      </c>
      <c r="X172" s="15">
        <f>IF(A172="","",SUMIFS('11_Material'!$L:$L,'11_Material'!$C:$C,A172))</f>
        <v/>
      </c>
      <c r="Y172" s="15">
        <f>IF(A172="","",SUMIFS('14_Eingangsrechnungen'!$F:$F,'14_Eingangsrechnungen'!$C:$C,A172,'14_Eingangsrechnungen'!$E:$E,"Nachunternehmer"))</f>
        <v/>
      </c>
      <c r="Z172" s="15">
        <f>IF(A172="","",SUMIFS('10_Stunden'!$K:$K,'10_Stunden'!$C:$C,A172))</f>
        <v/>
      </c>
      <c r="AA172" s="15">
        <f>IF(A172="","",X172+Y172+Z172+SUMIFS('14_Eingangsrechnungen'!$F:$F,'14_Eingangsrechnungen'!$C:$C,A172,'14_Eingangsrechnungen'!$E:$E,"Gerät")+SUMIFS('14_Eingangsrechnungen'!$F:$F,'14_Eingangsrechnungen'!$C:$C,A172,'14_Eingangsrechnungen'!$E:$E,"Dienstleistung"))</f>
        <v/>
      </c>
      <c r="AB172" s="15">
        <f>IF(A172="","",W172-AA172)</f>
        <v/>
      </c>
      <c r="AC172" s="19">
        <f>IF(OR(A172="",W172=0),"",AB172/W172)</f>
        <v/>
      </c>
      <c r="AD172" s="19">
        <f>IF(OR(A172="",V172=0),"",W172/V172)</f>
        <v/>
      </c>
      <c r="AE172" s="15">
        <f>IF(A172="","",MAX(0,V172-W172))</f>
        <v/>
      </c>
      <c r="AF172" s="15">
        <f>IF(A172="","",SUMIFS('13_Ausgangsrechnungen'!$R:$R,'13_Ausgangsrechnungen'!$C:$C,A172))</f>
        <v/>
      </c>
    </row>
    <row r="173">
      <c r="A173" s="30" t="inlineStr"/>
      <c r="B173" s="30" t="inlineStr"/>
      <c r="C173" s="30" t="inlineStr"/>
      <c r="D173" s="30" t="inlineStr"/>
      <c r="E173" s="30" t="inlineStr"/>
      <c r="F173" s="30" t="inlineStr"/>
      <c r="G173" s="38" t="inlineStr"/>
      <c r="H173" s="38" t="inlineStr"/>
      <c r="I173" s="38" t="inlineStr"/>
      <c r="J173" s="34" t="inlineStr"/>
      <c r="K173" s="34" t="inlineStr"/>
      <c r="L173" s="34" t="inlineStr"/>
      <c r="M173" s="34" t="inlineStr"/>
      <c r="N173" s="34" t="inlineStr"/>
      <c r="O173" s="34" t="inlineStr"/>
      <c r="P173" s="32" t="inlineStr"/>
      <c r="Q173" s="30" t="inlineStr"/>
      <c r="R173" s="30" t="inlineStr"/>
      <c r="S173" s="30" t="inlineStr"/>
      <c r="T173" s="30" t="inlineStr"/>
      <c r="U173" s="15">
        <f>IF(A173="","",SUMIFS('07_Nachtraege'!$E:$E,'07_Nachtraege'!$B:$B,A173,'07_Nachtraege'!$F:$F,"beauftragt"))</f>
        <v/>
      </c>
      <c r="V173" s="15">
        <f>IF(A173="","",J173+U173)</f>
        <v/>
      </c>
      <c r="W173" s="15">
        <f>IF(A173="","",SUMIFS('13_Ausgangsrechnungen'!$G:$G,'13_Ausgangsrechnungen'!$C:$C,A173))</f>
        <v/>
      </c>
      <c r="X173" s="15">
        <f>IF(A173="","",SUMIFS('11_Material'!$L:$L,'11_Material'!$C:$C,A173))</f>
        <v/>
      </c>
      <c r="Y173" s="15">
        <f>IF(A173="","",SUMIFS('14_Eingangsrechnungen'!$F:$F,'14_Eingangsrechnungen'!$C:$C,A173,'14_Eingangsrechnungen'!$E:$E,"Nachunternehmer"))</f>
        <v/>
      </c>
      <c r="Z173" s="15">
        <f>IF(A173="","",SUMIFS('10_Stunden'!$K:$K,'10_Stunden'!$C:$C,A173))</f>
        <v/>
      </c>
      <c r="AA173" s="15">
        <f>IF(A173="","",X173+Y173+Z173+SUMIFS('14_Eingangsrechnungen'!$F:$F,'14_Eingangsrechnungen'!$C:$C,A173,'14_Eingangsrechnungen'!$E:$E,"Gerät")+SUMIFS('14_Eingangsrechnungen'!$F:$F,'14_Eingangsrechnungen'!$C:$C,A173,'14_Eingangsrechnungen'!$E:$E,"Dienstleistung"))</f>
        <v/>
      </c>
      <c r="AB173" s="15">
        <f>IF(A173="","",W173-AA173)</f>
        <v/>
      </c>
      <c r="AC173" s="19">
        <f>IF(OR(A173="",W173=0),"",AB173/W173)</f>
        <v/>
      </c>
      <c r="AD173" s="19">
        <f>IF(OR(A173="",V173=0),"",W173/V173)</f>
        <v/>
      </c>
      <c r="AE173" s="15">
        <f>IF(A173="","",MAX(0,V173-W173))</f>
        <v/>
      </c>
      <c r="AF173" s="15">
        <f>IF(A173="","",SUMIFS('13_Ausgangsrechnungen'!$R:$R,'13_Ausgangsrechnungen'!$C:$C,A173))</f>
        <v/>
      </c>
    </row>
    <row r="174">
      <c r="A174" s="30" t="inlineStr"/>
      <c r="B174" s="30" t="inlineStr"/>
      <c r="C174" s="30" t="inlineStr"/>
      <c r="D174" s="30" t="inlineStr"/>
      <c r="E174" s="30" t="inlineStr"/>
      <c r="F174" s="30" t="inlineStr"/>
      <c r="G174" s="38" t="inlineStr"/>
      <c r="H174" s="38" t="inlineStr"/>
      <c r="I174" s="38" t="inlineStr"/>
      <c r="J174" s="34" t="inlineStr"/>
      <c r="K174" s="34" t="inlineStr"/>
      <c r="L174" s="34" t="inlineStr"/>
      <c r="M174" s="34" t="inlineStr"/>
      <c r="N174" s="34" t="inlineStr"/>
      <c r="O174" s="34" t="inlineStr"/>
      <c r="P174" s="32" t="inlineStr"/>
      <c r="Q174" s="30" t="inlineStr"/>
      <c r="R174" s="30" t="inlineStr"/>
      <c r="S174" s="30" t="inlineStr"/>
      <c r="T174" s="30" t="inlineStr"/>
      <c r="U174" s="15">
        <f>IF(A174="","",SUMIFS('07_Nachtraege'!$E:$E,'07_Nachtraege'!$B:$B,A174,'07_Nachtraege'!$F:$F,"beauftragt"))</f>
        <v/>
      </c>
      <c r="V174" s="15">
        <f>IF(A174="","",J174+U174)</f>
        <v/>
      </c>
      <c r="W174" s="15">
        <f>IF(A174="","",SUMIFS('13_Ausgangsrechnungen'!$G:$G,'13_Ausgangsrechnungen'!$C:$C,A174))</f>
        <v/>
      </c>
      <c r="X174" s="15">
        <f>IF(A174="","",SUMIFS('11_Material'!$L:$L,'11_Material'!$C:$C,A174))</f>
        <v/>
      </c>
      <c r="Y174" s="15">
        <f>IF(A174="","",SUMIFS('14_Eingangsrechnungen'!$F:$F,'14_Eingangsrechnungen'!$C:$C,A174,'14_Eingangsrechnungen'!$E:$E,"Nachunternehmer"))</f>
        <v/>
      </c>
      <c r="Z174" s="15">
        <f>IF(A174="","",SUMIFS('10_Stunden'!$K:$K,'10_Stunden'!$C:$C,A174))</f>
        <v/>
      </c>
      <c r="AA174" s="15">
        <f>IF(A174="","",X174+Y174+Z174+SUMIFS('14_Eingangsrechnungen'!$F:$F,'14_Eingangsrechnungen'!$C:$C,A174,'14_Eingangsrechnungen'!$E:$E,"Gerät")+SUMIFS('14_Eingangsrechnungen'!$F:$F,'14_Eingangsrechnungen'!$C:$C,A174,'14_Eingangsrechnungen'!$E:$E,"Dienstleistung"))</f>
        <v/>
      </c>
      <c r="AB174" s="15">
        <f>IF(A174="","",W174-AA174)</f>
        <v/>
      </c>
      <c r="AC174" s="19">
        <f>IF(OR(A174="",W174=0),"",AB174/W174)</f>
        <v/>
      </c>
      <c r="AD174" s="19">
        <f>IF(OR(A174="",V174=0),"",W174/V174)</f>
        <v/>
      </c>
      <c r="AE174" s="15">
        <f>IF(A174="","",MAX(0,V174-W174))</f>
        <v/>
      </c>
      <c r="AF174" s="15">
        <f>IF(A174="","",SUMIFS('13_Ausgangsrechnungen'!$R:$R,'13_Ausgangsrechnungen'!$C:$C,A174))</f>
        <v/>
      </c>
    </row>
    <row r="175">
      <c r="A175" s="30" t="inlineStr"/>
      <c r="B175" s="30" t="inlineStr"/>
      <c r="C175" s="30" t="inlineStr"/>
      <c r="D175" s="30" t="inlineStr"/>
      <c r="E175" s="30" t="inlineStr"/>
      <c r="F175" s="30" t="inlineStr"/>
      <c r="G175" s="38" t="inlineStr"/>
      <c r="H175" s="38" t="inlineStr"/>
      <c r="I175" s="38" t="inlineStr"/>
      <c r="J175" s="34" t="inlineStr"/>
      <c r="K175" s="34" t="inlineStr"/>
      <c r="L175" s="34" t="inlineStr"/>
      <c r="M175" s="34" t="inlineStr"/>
      <c r="N175" s="34" t="inlineStr"/>
      <c r="O175" s="34" t="inlineStr"/>
      <c r="P175" s="32" t="inlineStr"/>
      <c r="Q175" s="30" t="inlineStr"/>
      <c r="R175" s="30" t="inlineStr"/>
      <c r="S175" s="30" t="inlineStr"/>
      <c r="T175" s="30" t="inlineStr"/>
      <c r="U175" s="15">
        <f>IF(A175="","",SUMIFS('07_Nachtraege'!$E:$E,'07_Nachtraege'!$B:$B,A175,'07_Nachtraege'!$F:$F,"beauftragt"))</f>
        <v/>
      </c>
      <c r="V175" s="15">
        <f>IF(A175="","",J175+U175)</f>
        <v/>
      </c>
      <c r="W175" s="15">
        <f>IF(A175="","",SUMIFS('13_Ausgangsrechnungen'!$G:$G,'13_Ausgangsrechnungen'!$C:$C,A175))</f>
        <v/>
      </c>
      <c r="X175" s="15">
        <f>IF(A175="","",SUMIFS('11_Material'!$L:$L,'11_Material'!$C:$C,A175))</f>
        <v/>
      </c>
      <c r="Y175" s="15">
        <f>IF(A175="","",SUMIFS('14_Eingangsrechnungen'!$F:$F,'14_Eingangsrechnungen'!$C:$C,A175,'14_Eingangsrechnungen'!$E:$E,"Nachunternehmer"))</f>
        <v/>
      </c>
      <c r="Z175" s="15">
        <f>IF(A175="","",SUMIFS('10_Stunden'!$K:$K,'10_Stunden'!$C:$C,A175))</f>
        <v/>
      </c>
      <c r="AA175" s="15">
        <f>IF(A175="","",X175+Y175+Z175+SUMIFS('14_Eingangsrechnungen'!$F:$F,'14_Eingangsrechnungen'!$C:$C,A175,'14_Eingangsrechnungen'!$E:$E,"Gerät")+SUMIFS('14_Eingangsrechnungen'!$F:$F,'14_Eingangsrechnungen'!$C:$C,A175,'14_Eingangsrechnungen'!$E:$E,"Dienstleistung"))</f>
        <v/>
      </c>
      <c r="AB175" s="15">
        <f>IF(A175="","",W175-AA175)</f>
        <v/>
      </c>
      <c r="AC175" s="19">
        <f>IF(OR(A175="",W175=0),"",AB175/W175)</f>
        <v/>
      </c>
      <c r="AD175" s="19">
        <f>IF(OR(A175="",V175=0),"",W175/V175)</f>
        <v/>
      </c>
      <c r="AE175" s="15">
        <f>IF(A175="","",MAX(0,V175-W175))</f>
        <v/>
      </c>
      <c r="AF175" s="15">
        <f>IF(A175="","",SUMIFS('13_Ausgangsrechnungen'!$R:$R,'13_Ausgangsrechnungen'!$C:$C,A175))</f>
        <v/>
      </c>
    </row>
    <row r="176">
      <c r="A176" s="30" t="inlineStr"/>
      <c r="B176" s="30" t="inlineStr"/>
      <c r="C176" s="30" t="inlineStr"/>
      <c r="D176" s="30" t="inlineStr"/>
      <c r="E176" s="30" t="inlineStr"/>
      <c r="F176" s="30" t="inlineStr"/>
      <c r="G176" s="38" t="inlineStr"/>
      <c r="H176" s="38" t="inlineStr"/>
      <c r="I176" s="38" t="inlineStr"/>
      <c r="J176" s="34" t="inlineStr"/>
      <c r="K176" s="34" t="inlineStr"/>
      <c r="L176" s="34" t="inlineStr"/>
      <c r="M176" s="34" t="inlineStr"/>
      <c r="N176" s="34" t="inlineStr"/>
      <c r="O176" s="34" t="inlineStr"/>
      <c r="P176" s="32" t="inlineStr"/>
      <c r="Q176" s="30" t="inlineStr"/>
      <c r="R176" s="30" t="inlineStr"/>
      <c r="S176" s="30" t="inlineStr"/>
      <c r="T176" s="30" t="inlineStr"/>
      <c r="U176" s="15">
        <f>IF(A176="","",SUMIFS('07_Nachtraege'!$E:$E,'07_Nachtraege'!$B:$B,A176,'07_Nachtraege'!$F:$F,"beauftragt"))</f>
        <v/>
      </c>
      <c r="V176" s="15">
        <f>IF(A176="","",J176+U176)</f>
        <v/>
      </c>
      <c r="W176" s="15">
        <f>IF(A176="","",SUMIFS('13_Ausgangsrechnungen'!$G:$G,'13_Ausgangsrechnungen'!$C:$C,A176))</f>
        <v/>
      </c>
      <c r="X176" s="15">
        <f>IF(A176="","",SUMIFS('11_Material'!$L:$L,'11_Material'!$C:$C,A176))</f>
        <v/>
      </c>
      <c r="Y176" s="15">
        <f>IF(A176="","",SUMIFS('14_Eingangsrechnungen'!$F:$F,'14_Eingangsrechnungen'!$C:$C,A176,'14_Eingangsrechnungen'!$E:$E,"Nachunternehmer"))</f>
        <v/>
      </c>
      <c r="Z176" s="15">
        <f>IF(A176="","",SUMIFS('10_Stunden'!$K:$K,'10_Stunden'!$C:$C,A176))</f>
        <v/>
      </c>
      <c r="AA176" s="15">
        <f>IF(A176="","",X176+Y176+Z176+SUMIFS('14_Eingangsrechnungen'!$F:$F,'14_Eingangsrechnungen'!$C:$C,A176,'14_Eingangsrechnungen'!$E:$E,"Gerät")+SUMIFS('14_Eingangsrechnungen'!$F:$F,'14_Eingangsrechnungen'!$C:$C,A176,'14_Eingangsrechnungen'!$E:$E,"Dienstleistung"))</f>
        <v/>
      </c>
      <c r="AB176" s="15">
        <f>IF(A176="","",W176-AA176)</f>
        <v/>
      </c>
      <c r="AC176" s="19">
        <f>IF(OR(A176="",W176=0),"",AB176/W176)</f>
        <v/>
      </c>
      <c r="AD176" s="19">
        <f>IF(OR(A176="",V176=0),"",W176/V176)</f>
        <v/>
      </c>
      <c r="AE176" s="15">
        <f>IF(A176="","",MAX(0,V176-W176))</f>
        <v/>
      </c>
      <c r="AF176" s="15">
        <f>IF(A176="","",SUMIFS('13_Ausgangsrechnungen'!$R:$R,'13_Ausgangsrechnungen'!$C:$C,A176))</f>
        <v/>
      </c>
    </row>
    <row r="177">
      <c r="A177" s="30" t="inlineStr"/>
      <c r="B177" s="30" t="inlineStr"/>
      <c r="C177" s="30" t="inlineStr"/>
      <c r="D177" s="30" t="inlineStr"/>
      <c r="E177" s="30" t="inlineStr"/>
      <c r="F177" s="30" t="inlineStr"/>
      <c r="G177" s="38" t="inlineStr"/>
      <c r="H177" s="38" t="inlineStr"/>
      <c r="I177" s="38" t="inlineStr"/>
      <c r="J177" s="34" t="inlineStr"/>
      <c r="K177" s="34" t="inlineStr"/>
      <c r="L177" s="34" t="inlineStr"/>
      <c r="M177" s="34" t="inlineStr"/>
      <c r="N177" s="34" t="inlineStr"/>
      <c r="O177" s="34" t="inlineStr"/>
      <c r="P177" s="32" t="inlineStr"/>
      <c r="Q177" s="30" t="inlineStr"/>
      <c r="R177" s="30" t="inlineStr"/>
      <c r="S177" s="30" t="inlineStr"/>
      <c r="T177" s="30" t="inlineStr"/>
      <c r="U177" s="15">
        <f>IF(A177="","",SUMIFS('07_Nachtraege'!$E:$E,'07_Nachtraege'!$B:$B,A177,'07_Nachtraege'!$F:$F,"beauftragt"))</f>
        <v/>
      </c>
      <c r="V177" s="15">
        <f>IF(A177="","",J177+U177)</f>
        <v/>
      </c>
      <c r="W177" s="15">
        <f>IF(A177="","",SUMIFS('13_Ausgangsrechnungen'!$G:$G,'13_Ausgangsrechnungen'!$C:$C,A177))</f>
        <v/>
      </c>
      <c r="X177" s="15">
        <f>IF(A177="","",SUMIFS('11_Material'!$L:$L,'11_Material'!$C:$C,A177))</f>
        <v/>
      </c>
      <c r="Y177" s="15">
        <f>IF(A177="","",SUMIFS('14_Eingangsrechnungen'!$F:$F,'14_Eingangsrechnungen'!$C:$C,A177,'14_Eingangsrechnungen'!$E:$E,"Nachunternehmer"))</f>
        <v/>
      </c>
      <c r="Z177" s="15">
        <f>IF(A177="","",SUMIFS('10_Stunden'!$K:$K,'10_Stunden'!$C:$C,A177))</f>
        <v/>
      </c>
      <c r="AA177" s="15">
        <f>IF(A177="","",X177+Y177+Z177+SUMIFS('14_Eingangsrechnungen'!$F:$F,'14_Eingangsrechnungen'!$C:$C,A177,'14_Eingangsrechnungen'!$E:$E,"Gerät")+SUMIFS('14_Eingangsrechnungen'!$F:$F,'14_Eingangsrechnungen'!$C:$C,A177,'14_Eingangsrechnungen'!$E:$E,"Dienstleistung"))</f>
        <v/>
      </c>
      <c r="AB177" s="15">
        <f>IF(A177="","",W177-AA177)</f>
        <v/>
      </c>
      <c r="AC177" s="19">
        <f>IF(OR(A177="",W177=0),"",AB177/W177)</f>
        <v/>
      </c>
      <c r="AD177" s="19">
        <f>IF(OR(A177="",V177=0),"",W177/V177)</f>
        <v/>
      </c>
      <c r="AE177" s="15">
        <f>IF(A177="","",MAX(0,V177-W177))</f>
        <v/>
      </c>
      <c r="AF177" s="15">
        <f>IF(A177="","",SUMIFS('13_Ausgangsrechnungen'!$R:$R,'13_Ausgangsrechnungen'!$C:$C,A177))</f>
        <v/>
      </c>
    </row>
    <row r="178">
      <c r="A178" s="30" t="inlineStr"/>
      <c r="B178" s="30" t="inlineStr"/>
      <c r="C178" s="30" t="inlineStr"/>
      <c r="D178" s="30" t="inlineStr"/>
      <c r="E178" s="30" t="inlineStr"/>
      <c r="F178" s="30" t="inlineStr"/>
      <c r="G178" s="38" t="inlineStr"/>
      <c r="H178" s="38" t="inlineStr"/>
      <c r="I178" s="38" t="inlineStr"/>
      <c r="J178" s="34" t="inlineStr"/>
      <c r="K178" s="34" t="inlineStr"/>
      <c r="L178" s="34" t="inlineStr"/>
      <c r="M178" s="34" t="inlineStr"/>
      <c r="N178" s="34" t="inlineStr"/>
      <c r="O178" s="34" t="inlineStr"/>
      <c r="P178" s="32" t="inlineStr"/>
      <c r="Q178" s="30" t="inlineStr"/>
      <c r="R178" s="30" t="inlineStr"/>
      <c r="S178" s="30" t="inlineStr"/>
      <c r="T178" s="30" t="inlineStr"/>
      <c r="U178" s="15">
        <f>IF(A178="","",SUMIFS('07_Nachtraege'!$E:$E,'07_Nachtraege'!$B:$B,A178,'07_Nachtraege'!$F:$F,"beauftragt"))</f>
        <v/>
      </c>
      <c r="V178" s="15">
        <f>IF(A178="","",J178+U178)</f>
        <v/>
      </c>
      <c r="W178" s="15">
        <f>IF(A178="","",SUMIFS('13_Ausgangsrechnungen'!$G:$G,'13_Ausgangsrechnungen'!$C:$C,A178))</f>
        <v/>
      </c>
      <c r="X178" s="15">
        <f>IF(A178="","",SUMIFS('11_Material'!$L:$L,'11_Material'!$C:$C,A178))</f>
        <v/>
      </c>
      <c r="Y178" s="15">
        <f>IF(A178="","",SUMIFS('14_Eingangsrechnungen'!$F:$F,'14_Eingangsrechnungen'!$C:$C,A178,'14_Eingangsrechnungen'!$E:$E,"Nachunternehmer"))</f>
        <v/>
      </c>
      <c r="Z178" s="15">
        <f>IF(A178="","",SUMIFS('10_Stunden'!$K:$K,'10_Stunden'!$C:$C,A178))</f>
        <v/>
      </c>
      <c r="AA178" s="15">
        <f>IF(A178="","",X178+Y178+Z178+SUMIFS('14_Eingangsrechnungen'!$F:$F,'14_Eingangsrechnungen'!$C:$C,A178,'14_Eingangsrechnungen'!$E:$E,"Gerät")+SUMIFS('14_Eingangsrechnungen'!$F:$F,'14_Eingangsrechnungen'!$C:$C,A178,'14_Eingangsrechnungen'!$E:$E,"Dienstleistung"))</f>
        <v/>
      </c>
      <c r="AB178" s="15">
        <f>IF(A178="","",W178-AA178)</f>
        <v/>
      </c>
      <c r="AC178" s="19">
        <f>IF(OR(A178="",W178=0),"",AB178/W178)</f>
        <v/>
      </c>
      <c r="AD178" s="19">
        <f>IF(OR(A178="",V178=0),"",W178/V178)</f>
        <v/>
      </c>
      <c r="AE178" s="15">
        <f>IF(A178="","",MAX(0,V178-W178))</f>
        <v/>
      </c>
      <c r="AF178" s="15">
        <f>IF(A178="","",SUMIFS('13_Ausgangsrechnungen'!$R:$R,'13_Ausgangsrechnungen'!$C:$C,A178))</f>
        <v/>
      </c>
    </row>
    <row r="179">
      <c r="A179" s="30" t="inlineStr"/>
      <c r="B179" s="30" t="inlineStr"/>
      <c r="C179" s="30" t="inlineStr"/>
      <c r="D179" s="30" t="inlineStr"/>
      <c r="E179" s="30" t="inlineStr"/>
      <c r="F179" s="30" t="inlineStr"/>
      <c r="G179" s="38" t="inlineStr"/>
      <c r="H179" s="38" t="inlineStr"/>
      <c r="I179" s="38" t="inlineStr"/>
      <c r="J179" s="34" t="inlineStr"/>
      <c r="K179" s="34" t="inlineStr"/>
      <c r="L179" s="34" t="inlineStr"/>
      <c r="M179" s="34" t="inlineStr"/>
      <c r="N179" s="34" t="inlineStr"/>
      <c r="O179" s="34" t="inlineStr"/>
      <c r="P179" s="32" t="inlineStr"/>
      <c r="Q179" s="30" t="inlineStr"/>
      <c r="R179" s="30" t="inlineStr"/>
      <c r="S179" s="30" t="inlineStr"/>
      <c r="T179" s="30" t="inlineStr"/>
      <c r="U179" s="15">
        <f>IF(A179="","",SUMIFS('07_Nachtraege'!$E:$E,'07_Nachtraege'!$B:$B,A179,'07_Nachtraege'!$F:$F,"beauftragt"))</f>
        <v/>
      </c>
      <c r="V179" s="15">
        <f>IF(A179="","",J179+U179)</f>
        <v/>
      </c>
      <c r="W179" s="15">
        <f>IF(A179="","",SUMIFS('13_Ausgangsrechnungen'!$G:$G,'13_Ausgangsrechnungen'!$C:$C,A179))</f>
        <v/>
      </c>
      <c r="X179" s="15">
        <f>IF(A179="","",SUMIFS('11_Material'!$L:$L,'11_Material'!$C:$C,A179))</f>
        <v/>
      </c>
      <c r="Y179" s="15">
        <f>IF(A179="","",SUMIFS('14_Eingangsrechnungen'!$F:$F,'14_Eingangsrechnungen'!$C:$C,A179,'14_Eingangsrechnungen'!$E:$E,"Nachunternehmer"))</f>
        <v/>
      </c>
      <c r="Z179" s="15">
        <f>IF(A179="","",SUMIFS('10_Stunden'!$K:$K,'10_Stunden'!$C:$C,A179))</f>
        <v/>
      </c>
      <c r="AA179" s="15">
        <f>IF(A179="","",X179+Y179+Z179+SUMIFS('14_Eingangsrechnungen'!$F:$F,'14_Eingangsrechnungen'!$C:$C,A179,'14_Eingangsrechnungen'!$E:$E,"Gerät")+SUMIFS('14_Eingangsrechnungen'!$F:$F,'14_Eingangsrechnungen'!$C:$C,A179,'14_Eingangsrechnungen'!$E:$E,"Dienstleistung"))</f>
        <v/>
      </c>
      <c r="AB179" s="15">
        <f>IF(A179="","",W179-AA179)</f>
        <v/>
      </c>
      <c r="AC179" s="19">
        <f>IF(OR(A179="",W179=0),"",AB179/W179)</f>
        <v/>
      </c>
      <c r="AD179" s="19">
        <f>IF(OR(A179="",V179=0),"",W179/V179)</f>
        <v/>
      </c>
      <c r="AE179" s="15">
        <f>IF(A179="","",MAX(0,V179-W179))</f>
        <v/>
      </c>
      <c r="AF179" s="15">
        <f>IF(A179="","",SUMIFS('13_Ausgangsrechnungen'!$R:$R,'13_Ausgangsrechnungen'!$C:$C,A179))</f>
        <v/>
      </c>
    </row>
    <row r="180">
      <c r="A180" s="30" t="inlineStr"/>
      <c r="B180" s="30" t="inlineStr"/>
      <c r="C180" s="30" t="inlineStr"/>
      <c r="D180" s="30" t="inlineStr"/>
      <c r="E180" s="30" t="inlineStr"/>
      <c r="F180" s="30" t="inlineStr"/>
      <c r="G180" s="38" t="inlineStr"/>
      <c r="H180" s="38" t="inlineStr"/>
      <c r="I180" s="38" t="inlineStr"/>
      <c r="J180" s="34" t="inlineStr"/>
      <c r="K180" s="34" t="inlineStr"/>
      <c r="L180" s="34" t="inlineStr"/>
      <c r="M180" s="34" t="inlineStr"/>
      <c r="N180" s="34" t="inlineStr"/>
      <c r="O180" s="34" t="inlineStr"/>
      <c r="P180" s="32" t="inlineStr"/>
      <c r="Q180" s="30" t="inlineStr"/>
      <c r="R180" s="30" t="inlineStr"/>
      <c r="S180" s="30" t="inlineStr"/>
      <c r="T180" s="30" t="inlineStr"/>
      <c r="U180" s="15">
        <f>IF(A180="","",SUMIFS('07_Nachtraege'!$E:$E,'07_Nachtraege'!$B:$B,A180,'07_Nachtraege'!$F:$F,"beauftragt"))</f>
        <v/>
      </c>
      <c r="V180" s="15">
        <f>IF(A180="","",J180+U180)</f>
        <v/>
      </c>
      <c r="W180" s="15">
        <f>IF(A180="","",SUMIFS('13_Ausgangsrechnungen'!$G:$G,'13_Ausgangsrechnungen'!$C:$C,A180))</f>
        <v/>
      </c>
      <c r="X180" s="15">
        <f>IF(A180="","",SUMIFS('11_Material'!$L:$L,'11_Material'!$C:$C,A180))</f>
        <v/>
      </c>
      <c r="Y180" s="15">
        <f>IF(A180="","",SUMIFS('14_Eingangsrechnungen'!$F:$F,'14_Eingangsrechnungen'!$C:$C,A180,'14_Eingangsrechnungen'!$E:$E,"Nachunternehmer"))</f>
        <v/>
      </c>
      <c r="Z180" s="15">
        <f>IF(A180="","",SUMIFS('10_Stunden'!$K:$K,'10_Stunden'!$C:$C,A180))</f>
        <v/>
      </c>
      <c r="AA180" s="15">
        <f>IF(A180="","",X180+Y180+Z180+SUMIFS('14_Eingangsrechnungen'!$F:$F,'14_Eingangsrechnungen'!$C:$C,A180,'14_Eingangsrechnungen'!$E:$E,"Gerät")+SUMIFS('14_Eingangsrechnungen'!$F:$F,'14_Eingangsrechnungen'!$C:$C,A180,'14_Eingangsrechnungen'!$E:$E,"Dienstleistung"))</f>
        <v/>
      </c>
      <c r="AB180" s="15">
        <f>IF(A180="","",W180-AA180)</f>
        <v/>
      </c>
      <c r="AC180" s="19">
        <f>IF(OR(A180="",W180=0),"",AB180/W180)</f>
        <v/>
      </c>
      <c r="AD180" s="19">
        <f>IF(OR(A180="",V180=0),"",W180/V180)</f>
        <v/>
      </c>
      <c r="AE180" s="15">
        <f>IF(A180="","",MAX(0,V180-W180))</f>
        <v/>
      </c>
      <c r="AF180" s="15">
        <f>IF(A180="","",SUMIFS('13_Ausgangsrechnungen'!$R:$R,'13_Ausgangsrechnungen'!$C:$C,A180))</f>
        <v/>
      </c>
    </row>
    <row r="181">
      <c r="A181" s="30" t="inlineStr"/>
      <c r="B181" s="30" t="inlineStr"/>
      <c r="C181" s="30" t="inlineStr"/>
      <c r="D181" s="30" t="inlineStr"/>
      <c r="E181" s="30" t="inlineStr"/>
      <c r="F181" s="30" t="inlineStr"/>
      <c r="G181" s="38" t="inlineStr"/>
      <c r="H181" s="38" t="inlineStr"/>
      <c r="I181" s="38" t="inlineStr"/>
      <c r="J181" s="34" t="inlineStr"/>
      <c r="K181" s="34" t="inlineStr"/>
      <c r="L181" s="34" t="inlineStr"/>
      <c r="M181" s="34" t="inlineStr"/>
      <c r="N181" s="34" t="inlineStr"/>
      <c r="O181" s="34" t="inlineStr"/>
      <c r="P181" s="32" t="inlineStr"/>
      <c r="Q181" s="30" t="inlineStr"/>
      <c r="R181" s="30" t="inlineStr"/>
      <c r="S181" s="30" t="inlineStr"/>
      <c r="T181" s="30" t="inlineStr"/>
      <c r="U181" s="15">
        <f>IF(A181="","",SUMIFS('07_Nachtraege'!$E:$E,'07_Nachtraege'!$B:$B,A181,'07_Nachtraege'!$F:$F,"beauftragt"))</f>
        <v/>
      </c>
      <c r="V181" s="15">
        <f>IF(A181="","",J181+U181)</f>
        <v/>
      </c>
      <c r="W181" s="15">
        <f>IF(A181="","",SUMIFS('13_Ausgangsrechnungen'!$G:$G,'13_Ausgangsrechnungen'!$C:$C,A181))</f>
        <v/>
      </c>
      <c r="X181" s="15">
        <f>IF(A181="","",SUMIFS('11_Material'!$L:$L,'11_Material'!$C:$C,A181))</f>
        <v/>
      </c>
      <c r="Y181" s="15">
        <f>IF(A181="","",SUMIFS('14_Eingangsrechnungen'!$F:$F,'14_Eingangsrechnungen'!$C:$C,A181,'14_Eingangsrechnungen'!$E:$E,"Nachunternehmer"))</f>
        <v/>
      </c>
      <c r="Z181" s="15">
        <f>IF(A181="","",SUMIFS('10_Stunden'!$K:$K,'10_Stunden'!$C:$C,A181))</f>
        <v/>
      </c>
      <c r="AA181" s="15">
        <f>IF(A181="","",X181+Y181+Z181+SUMIFS('14_Eingangsrechnungen'!$F:$F,'14_Eingangsrechnungen'!$C:$C,A181,'14_Eingangsrechnungen'!$E:$E,"Gerät")+SUMIFS('14_Eingangsrechnungen'!$F:$F,'14_Eingangsrechnungen'!$C:$C,A181,'14_Eingangsrechnungen'!$E:$E,"Dienstleistung"))</f>
        <v/>
      </c>
      <c r="AB181" s="15">
        <f>IF(A181="","",W181-AA181)</f>
        <v/>
      </c>
      <c r="AC181" s="19">
        <f>IF(OR(A181="",W181=0),"",AB181/W181)</f>
        <v/>
      </c>
      <c r="AD181" s="19">
        <f>IF(OR(A181="",V181=0),"",W181/V181)</f>
        <v/>
      </c>
      <c r="AE181" s="15">
        <f>IF(A181="","",MAX(0,V181-W181))</f>
        <v/>
      </c>
      <c r="AF181" s="15">
        <f>IF(A181="","",SUMIFS('13_Ausgangsrechnungen'!$R:$R,'13_Ausgangsrechnungen'!$C:$C,A181))</f>
        <v/>
      </c>
    </row>
    <row r="182">
      <c r="A182" s="30" t="inlineStr"/>
      <c r="B182" s="30" t="inlineStr"/>
      <c r="C182" s="30" t="inlineStr"/>
      <c r="D182" s="30" t="inlineStr"/>
      <c r="E182" s="30" t="inlineStr"/>
      <c r="F182" s="30" t="inlineStr"/>
      <c r="G182" s="38" t="inlineStr"/>
      <c r="H182" s="38" t="inlineStr"/>
      <c r="I182" s="38" t="inlineStr"/>
      <c r="J182" s="34" t="inlineStr"/>
      <c r="K182" s="34" t="inlineStr"/>
      <c r="L182" s="34" t="inlineStr"/>
      <c r="M182" s="34" t="inlineStr"/>
      <c r="N182" s="34" t="inlineStr"/>
      <c r="O182" s="34" t="inlineStr"/>
      <c r="P182" s="32" t="inlineStr"/>
      <c r="Q182" s="30" t="inlineStr"/>
      <c r="R182" s="30" t="inlineStr"/>
      <c r="S182" s="30" t="inlineStr"/>
      <c r="T182" s="30" t="inlineStr"/>
      <c r="U182" s="15">
        <f>IF(A182="","",SUMIFS('07_Nachtraege'!$E:$E,'07_Nachtraege'!$B:$B,A182,'07_Nachtraege'!$F:$F,"beauftragt"))</f>
        <v/>
      </c>
      <c r="V182" s="15">
        <f>IF(A182="","",J182+U182)</f>
        <v/>
      </c>
      <c r="W182" s="15">
        <f>IF(A182="","",SUMIFS('13_Ausgangsrechnungen'!$G:$G,'13_Ausgangsrechnungen'!$C:$C,A182))</f>
        <v/>
      </c>
      <c r="X182" s="15">
        <f>IF(A182="","",SUMIFS('11_Material'!$L:$L,'11_Material'!$C:$C,A182))</f>
        <v/>
      </c>
      <c r="Y182" s="15">
        <f>IF(A182="","",SUMIFS('14_Eingangsrechnungen'!$F:$F,'14_Eingangsrechnungen'!$C:$C,A182,'14_Eingangsrechnungen'!$E:$E,"Nachunternehmer"))</f>
        <v/>
      </c>
      <c r="Z182" s="15">
        <f>IF(A182="","",SUMIFS('10_Stunden'!$K:$K,'10_Stunden'!$C:$C,A182))</f>
        <v/>
      </c>
      <c r="AA182" s="15">
        <f>IF(A182="","",X182+Y182+Z182+SUMIFS('14_Eingangsrechnungen'!$F:$F,'14_Eingangsrechnungen'!$C:$C,A182,'14_Eingangsrechnungen'!$E:$E,"Gerät")+SUMIFS('14_Eingangsrechnungen'!$F:$F,'14_Eingangsrechnungen'!$C:$C,A182,'14_Eingangsrechnungen'!$E:$E,"Dienstleistung"))</f>
        <v/>
      </c>
      <c r="AB182" s="15">
        <f>IF(A182="","",W182-AA182)</f>
        <v/>
      </c>
      <c r="AC182" s="19">
        <f>IF(OR(A182="",W182=0),"",AB182/W182)</f>
        <v/>
      </c>
      <c r="AD182" s="19">
        <f>IF(OR(A182="",V182=0),"",W182/V182)</f>
        <v/>
      </c>
      <c r="AE182" s="15">
        <f>IF(A182="","",MAX(0,V182-W182))</f>
        <v/>
      </c>
      <c r="AF182" s="15">
        <f>IF(A182="","",SUMIFS('13_Ausgangsrechnungen'!$R:$R,'13_Ausgangsrechnungen'!$C:$C,A182))</f>
        <v/>
      </c>
    </row>
    <row r="183">
      <c r="A183" s="30" t="inlineStr"/>
      <c r="B183" s="30" t="inlineStr"/>
      <c r="C183" s="30" t="inlineStr"/>
      <c r="D183" s="30" t="inlineStr"/>
      <c r="E183" s="30" t="inlineStr"/>
      <c r="F183" s="30" t="inlineStr"/>
      <c r="G183" s="38" t="inlineStr"/>
      <c r="H183" s="38" t="inlineStr"/>
      <c r="I183" s="38" t="inlineStr"/>
      <c r="J183" s="34" t="inlineStr"/>
      <c r="K183" s="34" t="inlineStr"/>
      <c r="L183" s="34" t="inlineStr"/>
      <c r="M183" s="34" t="inlineStr"/>
      <c r="N183" s="34" t="inlineStr"/>
      <c r="O183" s="34" t="inlineStr"/>
      <c r="P183" s="32" t="inlineStr"/>
      <c r="Q183" s="30" t="inlineStr"/>
      <c r="R183" s="30" t="inlineStr"/>
      <c r="S183" s="30" t="inlineStr"/>
      <c r="T183" s="30" t="inlineStr"/>
      <c r="U183" s="15">
        <f>IF(A183="","",SUMIFS('07_Nachtraege'!$E:$E,'07_Nachtraege'!$B:$B,A183,'07_Nachtraege'!$F:$F,"beauftragt"))</f>
        <v/>
      </c>
      <c r="V183" s="15">
        <f>IF(A183="","",J183+U183)</f>
        <v/>
      </c>
      <c r="W183" s="15">
        <f>IF(A183="","",SUMIFS('13_Ausgangsrechnungen'!$G:$G,'13_Ausgangsrechnungen'!$C:$C,A183))</f>
        <v/>
      </c>
      <c r="X183" s="15">
        <f>IF(A183="","",SUMIFS('11_Material'!$L:$L,'11_Material'!$C:$C,A183))</f>
        <v/>
      </c>
      <c r="Y183" s="15">
        <f>IF(A183="","",SUMIFS('14_Eingangsrechnungen'!$F:$F,'14_Eingangsrechnungen'!$C:$C,A183,'14_Eingangsrechnungen'!$E:$E,"Nachunternehmer"))</f>
        <v/>
      </c>
      <c r="Z183" s="15">
        <f>IF(A183="","",SUMIFS('10_Stunden'!$K:$K,'10_Stunden'!$C:$C,A183))</f>
        <v/>
      </c>
      <c r="AA183" s="15">
        <f>IF(A183="","",X183+Y183+Z183+SUMIFS('14_Eingangsrechnungen'!$F:$F,'14_Eingangsrechnungen'!$C:$C,A183,'14_Eingangsrechnungen'!$E:$E,"Gerät")+SUMIFS('14_Eingangsrechnungen'!$F:$F,'14_Eingangsrechnungen'!$C:$C,A183,'14_Eingangsrechnungen'!$E:$E,"Dienstleistung"))</f>
        <v/>
      </c>
      <c r="AB183" s="15">
        <f>IF(A183="","",W183-AA183)</f>
        <v/>
      </c>
      <c r="AC183" s="19">
        <f>IF(OR(A183="",W183=0),"",AB183/W183)</f>
        <v/>
      </c>
      <c r="AD183" s="19">
        <f>IF(OR(A183="",V183=0),"",W183/V183)</f>
        <v/>
      </c>
      <c r="AE183" s="15">
        <f>IF(A183="","",MAX(0,V183-W183))</f>
        <v/>
      </c>
      <c r="AF183" s="15">
        <f>IF(A183="","",SUMIFS('13_Ausgangsrechnungen'!$R:$R,'13_Ausgangsrechnungen'!$C:$C,A183))</f>
        <v/>
      </c>
    </row>
    <row r="184">
      <c r="A184" s="30" t="inlineStr"/>
      <c r="B184" s="30" t="inlineStr"/>
      <c r="C184" s="30" t="inlineStr"/>
      <c r="D184" s="30" t="inlineStr"/>
      <c r="E184" s="30" t="inlineStr"/>
      <c r="F184" s="30" t="inlineStr"/>
      <c r="G184" s="38" t="inlineStr"/>
      <c r="H184" s="38" t="inlineStr"/>
      <c r="I184" s="38" t="inlineStr"/>
      <c r="J184" s="34" t="inlineStr"/>
      <c r="K184" s="34" t="inlineStr"/>
      <c r="L184" s="34" t="inlineStr"/>
      <c r="M184" s="34" t="inlineStr"/>
      <c r="N184" s="34" t="inlineStr"/>
      <c r="O184" s="34" t="inlineStr"/>
      <c r="P184" s="32" t="inlineStr"/>
      <c r="Q184" s="30" t="inlineStr"/>
      <c r="R184" s="30" t="inlineStr"/>
      <c r="S184" s="30" t="inlineStr"/>
      <c r="T184" s="30" t="inlineStr"/>
      <c r="U184" s="15">
        <f>IF(A184="","",SUMIFS('07_Nachtraege'!$E:$E,'07_Nachtraege'!$B:$B,A184,'07_Nachtraege'!$F:$F,"beauftragt"))</f>
        <v/>
      </c>
      <c r="V184" s="15">
        <f>IF(A184="","",J184+U184)</f>
        <v/>
      </c>
      <c r="W184" s="15">
        <f>IF(A184="","",SUMIFS('13_Ausgangsrechnungen'!$G:$G,'13_Ausgangsrechnungen'!$C:$C,A184))</f>
        <v/>
      </c>
      <c r="X184" s="15">
        <f>IF(A184="","",SUMIFS('11_Material'!$L:$L,'11_Material'!$C:$C,A184))</f>
        <v/>
      </c>
      <c r="Y184" s="15">
        <f>IF(A184="","",SUMIFS('14_Eingangsrechnungen'!$F:$F,'14_Eingangsrechnungen'!$C:$C,A184,'14_Eingangsrechnungen'!$E:$E,"Nachunternehmer"))</f>
        <v/>
      </c>
      <c r="Z184" s="15">
        <f>IF(A184="","",SUMIFS('10_Stunden'!$K:$K,'10_Stunden'!$C:$C,A184))</f>
        <v/>
      </c>
      <c r="AA184" s="15">
        <f>IF(A184="","",X184+Y184+Z184+SUMIFS('14_Eingangsrechnungen'!$F:$F,'14_Eingangsrechnungen'!$C:$C,A184,'14_Eingangsrechnungen'!$E:$E,"Gerät")+SUMIFS('14_Eingangsrechnungen'!$F:$F,'14_Eingangsrechnungen'!$C:$C,A184,'14_Eingangsrechnungen'!$E:$E,"Dienstleistung"))</f>
        <v/>
      </c>
      <c r="AB184" s="15">
        <f>IF(A184="","",W184-AA184)</f>
        <v/>
      </c>
      <c r="AC184" s="19">
        <f>IF(OR(A184="",W184=0),"",AB184/W184)</f>
        <v/>
      </c>
      <c r="AD184" s="19">
        <f>IF(OR(A184="",V184=0),"",W184/V184)</f>
        <v/>
      </c>
      <c r="AE184" s="15">
        <f>IF(A184="","",MAX(0,V184-W184))</f>
        <v/>
      </c>
      <c r="AF184" s="15">
        <f>IF(A184="","",SUMIFS('13_Ausgangsrechnungen'!$R:$R,'13_Ausgangsrechnungen'!$C:$C,A184))</f>
        <v/>
      </c>
    </row>
    <row r="185">
      <c r="A185" s="30" t="inlineStr"/>
      <c r="B185" s="30" t="inlineStr"/>
      <c r="C185" s="30" t="inlineStr"/>
      <c r="D185" s="30" t="inlineStr"/>
      <c r="E185" s="30" t="inlineStr"/>
      <c r="F185" s="30" t="inlineStr"/>
      <c r="G185" s="38" t="inlineStr"/>
      <c r="H185" s="38" t="inlineStr"/>
      <c r="I185" s="38" t="inlineStr"/>
      <c r="J185" s="34" t="inlineStr"/>
      <c r="K185" s="34" t="inlineStr"/>
      <c r="L185" s="34" t="inlineStr"/>
      <c r="M185" s="34" t="inlineStr"/>
      <c r="N185" s="34" t="inlineStr"/>
      <c r="O185" s="34" t="inlineStr"/>
      <c r="P185" s="32" t="inlineStr"/>
      <c r="Q185" s="30" t="inlineStr"/>
      <c r="R185" s="30" t="inlineStr"/>
      <c r="S185" s="30" t="inlineStr"/>
      <c r="T185" s="30" t="inlineStr"/>
      <c r="U185" s="15">
        <f>IF(A185="","",SUMIFS('07_Nachtraege'!$E:$E,'07_Nachtraege'!$B:$B,A185,'07_Nachtraege'!$F:$F,"beauftragt"))</f>
        <v/>
      </c>
      <c r="V185" s="15">
        <f>IF(A185="","",J185+U185)</f>
        <v/>
      </c>
      <c r="W185" s="15">
        <f>IF(A185="","",SUMIFS('13_Ausgangsrechnungen'!$G:$G,'13_Ausgangsrechnungen'!$C:$C,A185))</f>
        <v/>
      </c>
      <c r="X185" s="15">
        <f>IF(A185="","",SUMIFS('11_Material'!$L:$L,'11_Material'!$C:$C,A185))</f>
        <v/>
      </c>
      <c r="Y185" s="15">
        <f>IF(A185="","",SUMIFS('14_Eingangsrechnungen'!$F:$F,'14_Eingangsrechnungen'!$C:$C,A185,'14_Eingangsrechnungen'!$E:$E,"Nachunternehmer"))</f>
        <v/>
      </c>
      <c r="Z185" s="15">
        <f>IF(A185="","",SUMIFS('10_Stunden'!$K:$K,'10_Stunden'!$C:$C,A185))</f>
        <v/>
      </c>
      <c r="AA185" s="15">
        <f>IF(A185="","",X185+Y185+Z185+SUMIFS('14_Eingangsrechnungen'!$F:$F,'14_Eingangsrechnungen'!$C:$C,A185,'14_Eingangsrechnungen'!$E:$E,"Gerät")+SUMIFS('14_Eingangsrechnungen'!$F:$F,'14_Eingangsrechnungen'!$C:$C,A185,'14_Eingangsrechnungen'!$E:$E,"Dienstleistung"))</f>
        <v/>
      </c>
      <c r="AB185" s="15">
        <f>IF(A185="","",W185-AA185)</f>
        <v/>
      </c>
      <c r="AC185" s="19">
        <f>IF(OR(A185="",W185=0),"",AB185/W185)</f>
        <v/>
      </c>
      <c r="AD185" s="19">
        <f>IF(OR(A185="",V185=0),"",W185/V185)</f>
        <v/>
      </c>
      <c r="AE185" s="15">
        <f>IF(A185="","",MAX(0,V185-W185))</f>
        <v/>
      </c>
      <c r="AF185" s="15">
        <f>IF(A185="","",SUMIFS('13_Ausgangsrechnungen'!$R:$R,'13_Ausgangsrechnungen'!$C:$C,A185))</f>
        <v/>
      </c>
    </row>
    <row r="186">
      <c r="A186" s="30" t="inlineStr"/>
      <c r="B186" s="30" t="inlineStr"/>
      <c r="C186" s="30" t="inlineStr"/>
      <c r="D186" s="30" t="inlineStr"/>
      <c r="E186" s="30" t="inlineStr"/>
      <c r="F186" s="30" t="inlineStr"/>
      <c r="G186" s="38" t="inlineStr"/>
      <c r="H186" s="38" t="inlineStr"/>
      <c r="I186" s="38" t="inlineStr"/>
      <c r="J186" s="34" t="inlineStr"/>
      <c r="K186" s="34" t="inlineStr"/>
      <c r="L186" s="34" t="inlineStr"/>
      <c r="M186" s="34" t="inlineStr"/>
      <c r="N186" s="34" t="inlineStr"/>
      <c r="O186" s="34" t="inlineStr"/>
      <c r="P186" s="32" t="inlineStr"/>
      <c r="Q186" s="30" t="inlineStr"/>
      <c r="R186" s="30" t="inlineStr"/>
      <c r="S186" s="30" t="inlineStr"/>
      <c r="T186" s="30" t="inlineStr"/>
      <c r="U186" s="15">
        <f>IF(A186="","",SUMIFS('07_Nachtraege'!$E:$E,'07_Nachtraege'!$B:$B,A186,'07_Nachtraege'!$F:$F,"beauftragt"))</f>
        <v/>
      </c>
      <c r="V186" s="15">
        <f>IF(A186="","",J186+U186)</f>
        <v/>
      </c>
      <c r="W186" s="15">
        <f>IF(A186="","",SUMIFS('13_Ausgangsrechnungen'!$G:$G,'13_Ausgangsrechnungen'!$C:$C,A186))</f>
        <v/>
      </c>
      <c r="X186" s="15">
        <f>IF(A186="","",SUMIFS('11_Material'!$L:$L,'11_Material'!$C:$C,A186))</f>
        <v/>
      </c>
      <c r="Y186" s="15">
        <f>IF(A186="","",SUMIFS('14_Eingangsrechnungen'!$F:$F,'14_Eingangsrechnungen'!$C:$C,A186,'14_Eingangsrechnungen'!$E:$E,"Nachunternehmer"))</f>
        <v/>
      </c>
      <c r="Z186" s="15">
        <f>IF(A186="","",SUMIFS('10_Stunden'!$K:$K,'10_Stunden'!$C:$C,A186))</f>
        <v/>
      </c>
      <c r="AA186" s="15">
        <f>IF(A186="","",X186+Y186+Z186+SUMIFS('14_Eingangsrechnungen'!$F:$F,'14_Eingangsrechnungen'!$C:$C,A186,'14_Eingangsrechnungen'!$E:$E,"Gerät")+SUMIFS('14_Eingangsrechnungen'!$F:$F,'14_Eingangsrechnungen'!$C:$C,A186,'14_Eingangsrechnungen'!$E:$E,"Dienstleistung"))</f>
        <v/>
      </c>
      <c r="AB186" s="15">
        <f>IF(A186="","",W186-AA186)</f>
        <v/>
      </c>
      <c r="AC186" s="19">
        <f>IF(OR(A186="",W186=0),"",AB186/W186)</f>
        <v/>
      </c>
      <c r="AD186" s="19">
        <f>IF(OR(A186="",V186=0),"",W186/V186)</f>
        <v/>
      </c>
      <c r="AE186" s="15">
        <f>IF(A186="","",MAX(0,V186-W186))</f>
        <v/>
      </c>
      <c r="AF186" s="15">
        <f>IF(A186="","",SUMIFS('13_Ausgangsrechnungen'!$R:$R,'13_Ausgangsrechnungen'!$C:$C,A186))</f>
        <v/>
      </c>
    </row>
    <row r="187">
      <c r="A187" s="30" t="inlineStr"/>
      <c r="B187" s="30" t="inlineStr"/>
      <c r="C187" s="30" t="inlineStr"/>
      <c r="D187" s="30" t="inlineStr"/>
      <c r="E187" s="30" t="inlineStr"/>
      <c r="F187" s="30" t="inlineStr"/>
      <c r="G187" s="38" t="inlineStr"/>
      <c r="H187" s="38" t="inlineStr"/>
      <c r="I187" s="38" t="inlineStr"/>
      <c r="J187" s="34" t="inlineStr"/>
      <c r="K187" s="34" t="inlineStr"/>
      <c r="L187" s="34" t="inlineStr"/>
      <c r="M187" s="34" t="inlineStr"/>
      <c r="N187" s="34" t="inlineStr"/>
      <c r="O187" s="34" t="inlineStr"/>
      <c r="P187" s="32" t="inlineStr"/>
      <c r="Q187" s="30" t="inlineStr"/>
      <c r="R187" s="30" t="inlineStr"/>
      <c r="S187" s="30" t="inlineStr"/>
      <c r="T187" s="30" t="inlineStr"/>
      <c r="U187" s="15">
        <f>IF(A187="","",SUMIFS('07_Nachtraege'!$E:$E,'07_Nachtraege'!$B:$B,A187,'07_Nachtraege'!$F:$F,"beauftragt"))</f>
        <v/>
      </c>
      <c r="V187" s="15">
        <f>IF(A187="","",J187+U187)</f>
        <v/>
      </c>
      <c r="W187" s="15">
        <f>IF(A187="","",SUMIFS('13_Ausgangsrechnungen'!$G:$G,'13_Ausgangsrechnungen'!$C:$C,A187))</f>
        <v/>
      </c>
      <c r="X187" s="15">
        <f>IF(A187="","",SUMIFS('11_Material'!$L:$L,'11_Material'!$C:$C,A187))</f>
        <v/>
      </c>
      <c r="Y187" s="15">
        <f>IF(A187="","",SUMIFS('14_Eingangsrechnungen'!$F:$F,'14_Eingangsrechnungen'!$C:$C,A187,'14_Eingangsrechnungen'!$E:$E,"Nachunternehmer"))</f>
        <v/>
      </c>
      <c r="Z187" s="15">
        <f>IF(A187="","",SUMIFS('10_Stunden'!$K:$K,'10_Stunden'!$C:$C,A187))</f>
        <v/>
      </c>
      <c r="AA187" s="15">
        <f>IF(A187="","",X187+Y187+Z187+SUMIFS('14_Eingangsrechnungen'!$F:$F,'14_Eingangsrechnungen'!$C:$C,A187,'14_Eingangsrechnungen'!$E:$E,"Gerät")+SUMIFS('14_Eingangsrechnungen'!$F:$F,'14_Eingangsrechnungen'!$C:$C,A187,'14_Eingangsrechnungen'!$E:$E,"Dienstleistung"))</f>
        <v/>
      </c>
      <c r="AB187" s="15">
        <f>IF(A187="","",W187-AA187)</f>
        <v/>
      </c>
      <c r="AC187" s="19">
        <f>IF(OR(A187="",W187=0),"",AB187/W187)</f>
        <v/>
      </c>
      <c r="AD187" s="19">
        <f>IF(OR(A187="",V187=0),"",W187/V187)</f>
        <v/>
      </c>
      <c r="AE187" s="15">
        <f>IF(A187="","",MAX(0,V187-W187))</f>
        <v/>
      </c>
      <c r="AF187" s="15">
        <f>IF(A187="","",SUMIFS('13_Ausgangsrechnungen'!$R:$R,'13_Ausgangsrechnungen'!$C:$C,A187))</f>
        <v/>
      </c>
    </row>
    <row r="188">
      <c r="A188" s="30" t="inlineStr"/>
      <c r="B188" s="30" t="inlineStr"/>
      <c r="C188" s="30" t="inlineStr"/>
      <c r="D188" s="30" t="inlineStr"/>
      <c r="E188" s="30" t="inlineStr"/>
      <c r="F188" s="30" t="inlineStr"/>
      <c r="G188" s="38" t="inlineStr"/>
      <c r="H188" s="38" t="inlineStr"/>
      <c r="I188" s="38" t="inlineStr"/>
      <c r="J188" s="34" t="inlineStr"/>
      <c r="K188" s="34" t="inlineStr"/>
      <c r="L188" s="34" t="inlineStr"/>
      <c r="M188" s="34" t="inlineStr"/>
      <c r="N188" s="34" t="inlineStr"/>
      <c r="O188" s="34" t="inlineStr"/>
      <c r="P188" s="32" t="inlineStr"/>
      <c r="Q188" s="30" t="inlineStr"/>
      <c r="R188" s="30" t="inlineStr"/>
      <c r="S188" s="30" t="inlineStr"/>
      <c r="T188" s="30" t="inlineStr"/>
      <c r="U188" s="15">
        <f>IF(A188="","",SUMIFS('07_Nachtraege'!$E:$E,'07_Nachtraege'!$B:$B,A188,'07_Nachtraege'!$F:$F,"beauftragt"))</f>
        <v/>
      </c>
      <c r="V188" s="15">
        <f>IF(A188="","",J188+U188)</f>
        <v/>
      </c>
      <c r="W188" s="15">
        <f>IF(A188="","",SUMIFS('13_Ausgangsrechnungen'!$G:$G,'13_Ausgangsrechnungen'!$C:$C,A188))</f>
        <v/>
      </c>
      <c r="X188" s="15">
        <f>IF(A188="","",SUMIFS('11_Material'!$L:$L,'11_Material'!$C:$C,A188))</f>
        <v/>
      </c>
      <c r="Y188" s="15">
        <f>IF(A188="","",SUMIFS('14_Eingangsrechnungen'!$F:$F,'14_Eingangsrechnungen'!$C:$C,A188,'14_Eingangsrechnungen'!$E:$E,"Nachunternehmer"))</f>
        <v/>
      </c>
      <c r="Z188" s="15">
        <f>IF(A188="","",SUMIFS('10_Stunden'!$K:$K,'10_Stunden'!$C:$C,A188))</f>
        <v/>
      </c>
      <c r="AA188" s="15">
        <f>IF(A188="","",X188+Y188+Z188+SUMIFS('14_Eingangsrechnungen'!$F:$F,'14_Eingangsrechnungen'!$C:$C,A188,'14_Eingangsrechnungen'!$E:$E,"Gerät")+SUMIFS('14_Eingangsrechnungen'!$F:$F,'14_Eingangsrechnungen'!$C:$C,A188,'14_Eingangsrechnungen'!$E:$E,"Dienstleistung"))</f>
        <v/>
      </c>
      <c r="AB188" s="15">
        <f>IF(A188="","",W188-AA188)</f>
        <v/>
      </c>
      <c r="AC188" s="19">
        <f>IF(OR(A188="",W188=0),"",AB188/W188)</f>
        <v/>
      </c>
      <c r="AD188" s="19">
        <f>IF(OR(A188="",V188=0),"",W188/V188)</f>
        <v/>
      </c>
      <c r="AE188" s="15">
        <f>IF(A188="","",MAX(0,V188-W188))</f>
        <v/>
      </c>
      <c r="AF188" s="15">
        <f>IF(A188="","",SUMIFS('13_Ausgangsrechnungen'!$R:$R,'13_Ausgangsrechnungen'!$C:$C,A188))</f>
        <v/>
      </c>
    </row>
    <row r="189">
      <c r="A189" s="30" t="inlineStr"/>
      <c r="B189" s="30" t="inlineStr"/>
      <c r="C189" s="30" t="inlineStr"/>
      <c r="D189" s="30" t="inlineStr"/>
      <c r="E189" s="30" t="inlineStr"/>
      <c r="F189" s="30" t="inlineStr"/>
      <c r="G189" s="38" t="inlineStr"/>
      <c r="H189" s="38" t="inlineStr"/>
      <c r="I189" s="38" t="inlineStr"/>
      <c r="J189" s="34" t="inlineStr"/>
      <c r="K189" s="34" t="inlineStr"/>
      <c r="L189" s="34" t="inlineStr"/>
      <c r="M189" s="34" t="inlineStr"/>
      <c r="N189" s="34" t="inlineStr"/>
      <c r="O189" s="34" t="inlineStr"/>
      <c r="P189" s="32" t="inlineStr"/>
      <c r="Q189" s="30" t="inlineStr"/>
      <c r="R189" s="30" t="inlineStr"/>
      <c r="S189" s="30" t="inlineStr"/>
      <c r="T189" s="30" t="inlineStr"/>
      <c r="U189" s="15">
        <f>IF(A189="","",SUMIFS('07_Nachtraege'!$E:$E,'07_Nachtraege'!$B:$B,A189,'07_Nachtraege'!$F:$F,"beauftragt"))</f>
        <v/>
      </c>
      <c r="V189" s="15">
        <f>IF(A189="","",J189+U189)</f>
        <v/>
      </c>
      <c r="W189" s="15">
        <f>IF(A189="","",SUMIFS('13_Ausgangsrechnungen'!$G:$G,'13_Ausgangsrechnungen'!$C:$C,A189))</f>
        <v/>
      </c>
      <c r="X189" s="15">
        <f>IF(A189="","",SUMIFS('11_Material'!$L:$L,'11_Material'!$C:$C,A189))</f>
        <v/>
      </c>
      <c r="Y189" s="15">
        <f>IF(A189="","",SUMIFS('14_Eingangsrechnungen'!$F:$F,'14_Eingangsrechnungen'!$C:$C,A189,'14_Eingangsrechnungen'!$E:$E,"Nachunternehmer"))</f>
        <v/>
      </c>
      <c r="Z189" s="15">
        <f>IF(A189="","",SUMIFS('10_Stunden'!$K:$K,'10_Stunden'!$C:$C,A189))</f>
        <v/>
      </c>
      <c r="AA189" s="15">
        <f>IF(A189="","",X189+Y189+Z189+SUMIFS('14_Eingangsrechnungen'!$F:$F,'14_Eingangsrechnungen'!$C:$C,A189,'14_Eingangsrechnungen'!$E:$E,"Gerät")+SUMIFS('14_Eingangsrechnungen'!$F:$F,'14_Eingangsrechnungen'!$C:$C,A189,'14_Eingangsrechnungen'!$E:$E,"Dienstleistung"))</f>
        <v/>
      </c>
      <c r="AB189" s="15">
        <f>IF(A189="","",W189-AA189)</f>
        <v/>
      </c>
      <c r="AC189" s="19">
        <f>IF(OR(A189="",W189=0),"",AB189/W189)</f>
        <v/>
      </c>
      <c r="AD189" s="19">
        <f>IF(OR(A189="",V189=0),"",W189/V189)</f>
        <v/>
      </c>
      <c r="AE189" s="15">
        <f>IF(A189="","",MAX(0,V189-W189))</f>
        <v/>
      </c>
      <c r="AF189" s="15">
        <f>IF(A189="","",SUMIFS('13_Ausgangsrechnungen'!$R:$R,'13_Ausgangsrechnungen'!$C:$C,A189))</f>
        <v/>
      </c>
    </row>
    <row r="190">
      <c r="A190" s="30" t="inlineStr"/>
      <c r="B190" s="30" t="inlineStr"/>
      <c r="C190" s="30" t="inlineStr"/>
      <c r="D190" s="30" t="inlineStr"/>
      <c r="E190" s="30" t="inlineStr"/>
      <c r="F190" s="30" t="inlineStr"/>
      <c r="G190" s="38" t="inlineStr"/>
      <c r="H190" s="38" t="inlineStr"/>
      <c r="I190" s="38" t="inlineStr"/>
      <c r="J190" s="34" t="inlineStr"/>
      <c r="K190" s="34" t="inlineStr"/>
      <c r="L190" s="34" t="inlineStr"/>
      <c r="M190" s="34" t="inlineStr"/>
      <c r="N190" s="34" t="inlineStr"/>
      <c r="O190" s="34" t="inlineStr"/>
      <c r="P190" s="32" t="inlineStr"/>
      <c r="Q190" s="30" t="inlineStr"/>
      <c r="R190" s="30" t="inlineStr"/>
      <c r="S190" s="30" t="inlineStr"/>
      <c r="T190" s="30" t="inlineStr"/>
      <c r="U190" s="15">
        <f>IF(A190="","",SUMIFS('07_Nachtraege'!$E:$E,'07_Nachtraege'!$B:$B,A190,'07_Nachtraege'!$F:$F,"beauftragt"))</f>
        <v/>
      </c>
      <c r="V190" s="15">
        <f>IF(A190="","",J190+U190)</f>
        <v/>
      </c>
      <c r="W190" s="15">
        <f>IF(A190="","",SUMIFS('13_Ausgangsrechnungen'!$G:$G,'13_Ausgangsrechnungen'!$C:$C,A190))</f>
        <v/>
      </c>
      <c r="X190" s="15">
        <f>IF(A190="","",SUMIFS('11_Material'!$L:$L,'11_Material'!$C:$C,A190))</f>
        <v/>
      </c>
      <c r="Y190" s="15">
        <f>IF(A190="","",SUMIFS('14_Eingangsrechnungen'!$F:$F,'14_Eingangsrechnungen'!$C:$C,A190,'14_Eingangsrechnungen'!$E:$E,"Nachunternehmer"))</f>
        <v/>
      </c>
      <c r="Z190" s="15">
        <f>IF(A190="","",SUMIFS('10_Stunden'!$K:$K,'10_Stunden'!$C:$C,A190))</f>
        <v/>
      </c>
      <c r="AA190" s="15">
        <f>IF(A190="","",X190+Y190+Z190+SUMIFS('14_Eingangsrechnungen'!$F:$F,'14_Eingangsrechnungen'!$C:$C,A190,'14_Eingangsrechnungen'!$E:$E,"Gerät")+SUMIFS('14_Eingangsrechnungen'!$F:$F,'14_Eingangsrechnungen'!$C:$C,A190,'14_Eingangsrechnungen'!$E:$E,"Dienstleistung"))</f>
        <v/>
      </c>
      <c r="AB190" s="15">
        <f>IF(A190="","",W190-AA190)</f>
        <v/>
      </c>
      <c r="AC190" s="19">
        <f>IF(OR(A190="",W190=0),"",AB190/W190)</f>
        <v/>
      </c>
      <c r="AD190" s="19">
        <f>IF(OR(A190="",V190=0),"",W190/V190)</f>
        <v/>
      </c>
      <c r="AE190" s="15">
        <f>IF(A190="","",MAX(0,V190-W190))</f>
        <v/>
      </c>
      <c r="AF190" s="15">
        <f>IF(A190="","",SUMIFS('13_Ausgangsrechnungen'!$R:$R,'13_Ausgangsrechnungen'!$C:$C,A190))</f>
        <v/>
      </c>
    </row>
    <row r="191">
      <c r="A191" s="30" t="inlineStr"/>
      <c r="B191" s="30" t="inlineStr"/>
      <c r="C191" s="30" t="inlineStr"/>
      <c r="D191" s="30" t="inlineStr"/>
      <c r="E191" s="30" t="inlineStr"/>
      <c r="F191" s="30" t="inlineStr"/>
      <c r="G191" s="38" t="inlineStr"/>
      <c r="H191" s="38" t="inlineStr"/>
      <c r="I191" s="38" t="inlineStr"/>
      <c r="J191" s="34" t="inlineStr"/>
      <c r="K191" s="34" t="inlineStr"/>
      <c r="L191" s="34" t="inlineStr"/>
      <c r="M191" s="34" t="inlineStr"/>
      <c r="N191" s="34" t="inlineStr"/>
      <c r="O191" s="34" t="inlineStr"/>
      <c r="P191" s="32" t="inlineStr"/>
      <c r="Q191" s="30" t="inlineStr"/>
      <c r="R191" s="30" t="inlineStr"/>
      <c r="S191" s="30" t="inlineStr"/>
      <c r="T191" s="30" t="inlineStr"/>
      <c r="U191" s="15">
        <f>IF(A191="","",SUMIFS('07_Nachtraege'!$E:$E,'07_Nachtraege'!$B:$B,A191,'07_Nachtraege'!$F:$F,"beauftragt"))</f>
        <v/>
      </c>
      <c r="V191" s="15">
        <f>IF(A191="","",J191+U191)</f>
        <v/>
      </c>
      <c r="W191" s="15">
        <f>IF(A191="","",SUMIFS('13_Ausgangsrechnungen'!$G:$G,'13_Ausgangsrechnungen'!$C:$C,A191))</f>
        <v/>
      </c>
      <c r="X191" s="15">
        <f>IF(A191="","",SUMIFS('11_Material'!$L:$L,'11_Material'!$C:$C,A191))</f>
        <v/>
      </c>
      <c r="Y191" s="15">
        <f>IF(A191="","",SUMIFS('14_Eingangsrechnungen'!$F:$F,'14_Eingangsrechnungen'!$C:$C,A191,'14_Eingangsrechnungen'!$E:$E,"Nachunternehmer"))</f>
        <v/>
      </c>
      <c r="Z191" s="15">
        <f>IF(A191="","",SUMIFS('10_Stunden'!$K:$K,'10_Stunden'!$C:$C,A191))</f>
        <v/>
      </c>
      <c r="AA191" s="15">
        <f>IF(A191="","",X191+Y191+Z191+SUMIFS('14_Eingangsrechnungen'!$F:$F,'14_Eingangsrechnungen'!$C:$C,A191,'14_Eingangsrechnungen'!$E:$E,"Gerät")+SUMIFS('14_Eingangsrechnungen'!$F:$F,'14_Eingangsrechnungen'!$C:$C,A191,'14_Eingangsrechnungen'!$E:$E,"Dienstleistung"))</f>
        <v/>
      </c>
      <c r="AB191" s="15">
        <f>IF(A191="","",W191-AA191)</f>
        <v/>
      </c>
      <c r="AC191" s="19">
        <f>IF(OR(A191="",W191=0),"",AB191/W191)</f>
        <v/>
      </c>
      <c r="AD191" s="19">
        <f>IF(OR(A191="",V191=0),"",W191/V191)</f>
        <v/>
      </c>
      <c r="AE191" s="15">
        <f>IF(A191="","",MAX(0,V191-W191))</f>
        <v/>
      </c>
      <c r="AF191" s="15">
        <f>IF(A191="","",SUMIFS('13_Ausgangsrechnungen'!$R:$R,'13_Ausgangsrechnungen'!$C:$C,A191))</f>
        <v/>
      </c>
    </row>
    <row r="192">
      <c r="A192" s="30" t="inlineStr"/>
      <c r="B192" s="30" t="inlineStr"/>
      <c r="C192" s="30" t="inlineStr"/>
      <c r="D192" s="30" t="inlineStr"/>
      <c r="E192" s="30" t="inlineStr"/>
      <c r="F192" s="30" t="inlineStr"/>
      <c r="G192" s="38" t="inlineStr"/>
      <c r="H192" s="38" t="inlineStr"/>
      <c r="I192" s="38" t="inlineStr"/>
      <c r="J192" s="34" t="inlineStr"/>
      <c r="K192" s="34" t="inlineStr"/>
      <c r="L192" s="34" t="inlineStr"/>
      <c r="M192" s="34" t="inlineStr"/>
      <c r="N192" s="34" t="inlineStr"/>
      <c r="O192" s="34" t="inlineStr"/>
      <c r="P192" s="32" t="inlineStr"/>
      <c r="Q192" s="30" t="inlineStr"/>
      <c r="R192" s="30" t="inlineStr"/>
      <c r="S192" s="30" t="inlineStr"/>
      <c r="T192" s="30" t="inlineStr"/>
      <c r="U192" s="15">
        <f>IF(A192="","",SUMIFS('07_Nachtraege'!$E:$E,'07_Nachtraege'!$B:$B,A192,'07_Nachtraege'!$F:$F,"beauftragt"))</f>
        <v/>
      </c>
      <c r="V192" s="15">
        <f>IF(A192="","",J192+U192)</f>
        <v/>
      </c>
      <c r="W192" s="15">
        <f>IF(A192="","",SUMIFS('13_Ausgangsrechnungen'!$G:$G,'13_Ausgangsrechnungen'!$C:$C,A192))</f>
        <v/>
      </c>
      <c r="X192" s="15">
        <f>IF(A192="","",SUMIFS('11_Material'!$L:$L,'11_Material'!$C:$C,A192))</f>
        <v/>
      </c>
      <c r="Y192" s="15">
        <f>IF(A192="","",SUMIFS('14_Eingangsrechnungen'!$F:$F,'14_Eingangsrechnungen'!$C:$C,A192,'14_Eingangsrechnungen'!$E:$E,"Nachunternehmer"))</f>
        <v/>
      </c>
      <c r="Z192" s="15">
        <f>IF(A192="","",SUMIFS('10_Stunden'!$K:$K,'10_Stunden'!$C:$C,A192))</f>
        <v/>
      </c>
      <c r="AA192" s="15">
        <f>IF(A192="","",X192+Y192+Z192+SUMIFS('14_Eingangsrechnungen'!$F:$F,'14_Eingangsrechnungen'!$C:$C,A192,'14_Eingangsrechnungen'!$E:$E,"Gerät")+SUMIFS('14_Eingangsrechnungen'!$F:$F,'14_Eingangsrechnungen'!$C:$C,A192,'14_Eingangsrechnungen'!$E:$E,"Dienstleistung"))</f>
        <v/>
      </c>
      <c r="AB192" s="15">
        <f>IF(A192="","",W192-AA192)</f>
        <v/>
      </c>
      <c r="AC192" s="19">
        <f>IF(OR(A192="",W192=0),"",AB192/W192)</f>
        <v/>
      </c>
      <c r="AD192" s="19">
        <f>IF(OR(A192="",V192=0),"",W192/V192)</f>
        <v/>
      </c>
      <c r="AE192" s="15">
        <f>IF(A192="","",MAX(0,V192-W192))</f>
        <v/>
      </c>
      <c r="AF192" s="15">
        <f>IF(A192="","",SUMIFS('13_Ausgangsrechnungen'!$R:$R,'13_Ausgangsrechnungen'!$C:$C,A192))</f>
        <v/>
      </c>
    </row>
    <row r="193">
      <c r="A193" s="30" t="inlineStr"/>
      <c r="B193" s="30" t="inlineStr"/>
      <c r="C193" s="30" t="inlineStr"/>
      <c r="D193" s="30" t="inlineStr"/>
      <c r="E193" s="30" t="inlineStr"/>
      <c r="F193" s="30" t="inlineStr"/>
      <c r="G193" s="38" t="inlineStr"/>
      <c r="H193" s="38" t="inlineStr"/>
      <c r="I193" s="38" t="inlineStr"/>
      <c r="J193" s="34" t="inlineStr"/>
      <c r="K193" s="34" t="inlineStr"/>
      <c r="L193" s="34" t="inlineStr"/>
      <c r="M193" s="34" t="inlineStr"/>
      <c r="N193" s="34" t="inlineStr"/>
      <c r="O193" s="34" t="inlineStr"/>
      <c r="P193" s="32" t="inlineStr"/>
      <c r="Q193" s="30" t="inlineStr"/>
      <c r="R193" s="30" t="inlineStr"/>
      <c r="S193" s="30" t="inlineStr"/>
      <c r="T193" s="30" t="inlineStr"/>
      <c r="U193" s="15">
        <f>IF(A193="","",SUMIFS('07_Nachtraege'!$E:$E,'07_Nachtraege'!$B:$B,A193,'07_Nachtraege'!$F:$F,"beauftragt"))</f>
        <v/>
      </c>
      <c r="V193" s="15">
        <f>IF(A193="","",J193+U193)</f>
        <v/>
      </c>
      <c r="W193" s="15">
        <f>IF(A193="","",SUMIFS('13_Ausgangsrechnungen'!$G:$G,'13_Ausgangsrechnungen'!$C:$C,A193))</f>
        <v/>
      </c>
      <c r="X193" s="15">
        <f>IF(A193="","",SUMIFS('11_Material'!$L:$L,'11_Material'!$C:$C,A193))</f>
        <v/>
      </c>
      <c r="Y193" s="15">
        <f>IF(A193="","",SUMIFS('14_Eingangsrechnungen'!$F:$F,'14_Eingangsrechnungen'!$C:$C,A193,'14_Eingangsrechnungen'!$E:$E,"Nachunternehmer"))</f>
        <v/>
      </c>
      <c r="Z193" s="15">
        <f>IF(A193="","",SUMIFS('10_Stunden'!$K:$K,'10_Stunden'!$C:$C,A193))</f>
        <v/>
      </c>
      <c r="AA193" s="15">
        <f>IF(A193="","",X193+Y193+Z193+SUMIFS('14_Eingangsrechnungen'!$F:$F,'14_Eingangsrechnungen'!$C:$C,A193,'14_Eingangsrechnungen'!$E:$E,"Gerät")+SUMIFS('14_Eingangsrechnungen'!$F:$F,'14_Eingangsrechnungen'!$C:$C,A193,'14_Eingangsrechnungen'!$E:$E,"Dienstleistung"))</f>
        <v/>
      </c>
      <c r="AB193" s="15">
        <f>IF(A193="","",W193-AA193)</f>
        <v/>
      </c>
      <c r="AC193" s="19">
        <f>IF(OR(A193="",W193=0),"",AB193/W193)</f>
        <v/>
      </c>
      <c r="AD193" s="19">
        <f>IF(OR(A193="",V193=0),"",W193/V193)</f>
        <v/>
      </c>
      <c r="AE193" s="15">
        <f>IF(A193="","",MAX(0,V193-W193))</f>
        <v/>
      </c>
      <c r="AF193" s="15">
        <f>IF(A193="","",SUMIFS('13_Ausgangsrechnungen'!$R:$R,'13_Ausgangsrechnungen'!$C:$C,A193))</f>
        <v/>
      </c>
    </row>
    <row r="194">
      <c r="A194" s="30" t="inlineStr"/>
      <c r="B194" s="30" t="inlineStr"/>
      <c r="C194" s="30" t="inlineStr"/>
      <c r="D194" s="30" t="inlineStr"/>
      <c r="E194" s="30" t="inlineStr"/>
      <c r="F194" s="30" t="inlineStr"/>
      <c r="G194" s="38" t="inlineStr"/>
      <c r="H194" s="38" t="inlineStr"/>
      <c r="I194" s="38" t="inlineStr"/>
      <c r="J194" s="34" t="inlineStr"/>
      <c r="K194" s="34" t="inlineStr"/>
      <c r="L194" s="34" t="inlineStr"/>
      <c r="M194" s="34" t="inlineStr"/>
      <c r="N194" s="34" t="inlineStr"/>
      <c r="O194" s="34" t="inlineStr"/>
      <c r="P194" s="32" t="inlineStr"/>
      <c r="Q194" s="30" t="inlineStr"/>
      <c r="R194" s="30" t="inlineStr"/>
      <c r="S194" s="30" t="inlineStr"/>
      <c r="T194" s="30" t="inlineStr"/>
      <c r="U194" s="15">
        <f>IF(A194="","",SUMIFS('07_Nachtraege'!$E:$E,'07_Nachtraege'!$B:$B,A194,'07_Nachtraege'!$F:$F,"beauftragt"))</f>
        <v/>
      </c>
      <c r="V194" s="15">
        <f>IF(A194="","",J194+U194)</f>
        <v/>
      </c>
      <c r="W194" s="15">
        <f>IF(A194="","",SUMIFS('13_Ausgangsrechnungen'!$G:$G,'13_Ausgangsrechnungen'!$C:$C,A194))</f>
        <v/>
      </c>
      <c r="X194" s="15">
        <f>IF(A194="","",SUMIFS('11_Material'!$L:$L,'11_Material'!$C:$C,A194))</f>
        <v/>
      </c>
      <c r="Y194" s="15">
        <f>IF(A194="","",SUMIFS('14_Eingangsrechnungen'!$F:$F,'14_Eingangsrechnungen'!$C:$C,A194,'14_Eingangsrechnungen'!$E:$E,"Nachunternehmer"))</f>
        <v/>
      </c>
      <c r="Z194" s="15">
        <f>IF(A194="","",SUMIFS('10_Stunden'!$K:$K,'10_Stunden'!$C:$C,A194))</f>
        <v/>
      </c>
      <c r="AA194" s="15">
        <f>IF(A194="","",X194+Y194+Z194+SUMIFS('14_Eingangsrechnungen'!$F:$F,'14_Eingangsrechnungen'!$C:$C,A194,'14_Eingangsrechnungen'!$E:$E,"Gerät")+SUMIFS('14_Eingangsrechnungen'!$F:$F,'14_Eingangsrechnungen'!$C:$C,A194,'14_Eingangsrechnungen'!$E:$E,"Dienstleistung"))</f>
        <v/>
      </c>
      <c r="AB194" s="15">
        <f>IF(A194="","",W194-AA194)</f>
        <v/>
      </c>
      <c r="AC194" s="19">
        <f>IF(OR(A194="",W194=0),"",AB194/W194)</f>
        <v/>
      </c>
      <c r="AD194" s="19">
        <f>IF(OR(A194="",V194=0),"",W194/V194)</f>
        <v/>
      </c>
      <c r="AE194" s="15">
        <f>IF(A194="","",MAX(0,V194-W194))</f>
        <v/>
      </c>
      <c r="AF194" s="15">
        <f>IF(A194="","",SUMIFS('13_Ausgangsrechnungen'!$R:$R,'13_Ausgangsrechnungen'!$C:$C,A194))</f>
        <v/>
      </c>
    </row>
    <row r="195">
      <c r="A195" s="30" t="inlineStr"/>
      <c r="B195" s="30" t="inlineStr"/>
      <c r="C195" s="30" t="inlineStr"/>
      <c r="D195" s="30" t="inlineStr"/>
      <c r="E195" s="30" t="inlineStr"/>
      <c r="F195" s="30" t="inlineStr"/>
      <c r="G195" s="38" t="inlineStr"/>
      <c r="H195" s="38" t="inlineStr"/>
      <c r="I195" s="38" t="inlineStr"/>
      <c r="J195" s="34" t="inlineStr"/>
      <c r="K195" s="34" t="inlineStr"/>
      <c r="L195" s="34" t="inlineStr"/>
      <c r="M195" s="34" t="inlineStr"/>
      <c r="N195" s="34" t="inlineStr"/>
      <c r="O195" s="34" t="inlineStr"/>
      <c r="P195" s="32" t="inlineStr"/>
      <c r="Q195" s="30" t="inlineStr"/>
      <c r="R195" s="30" t="inlineStr"/>
      <c r="S195" s="30" t="inlineStr"/>
      <c r="T195" s="30" t="inlineStr"/>
      <c r="U195" s="15">
        <f>IF(A195="","",SUMIFS('07_Nachtraege'!$E:$E,'07_Nachtraege'!$B:$B,A195,'07_Nachtraege'!$F:$F,"beauftragt"))</f>
        <v/>
      </c>
      <c r="V195" s="15">
        <f>IF(A195="","",J195+U195)</f>
        <v/>
      </c>
      <c r="W195" s="15">
        <f>IF(A195="","",SUMIFS('13_Ausgangsrechnungen'!$G:$G,'13_Ausgangsrechnungen'!$C:$C,A195))</f>
        <v/>
      </c>
      <c r="X195" s="15">
        <f>IF(A195="","",SUMIFS('11_Material'!$L:$L,'11_Material'!$C:$C,A195))</f>
        <v/>
      </c>
      <c r="Y195" s="15">
        <f>IF(A195="","",SUMIFS('14_Eingangsrechnungen'!$F:$F,'14_Eingangsrechnungen'!$C:$C,A195,'14_Eingangsrechnungen'!$E:$E,"Nachunternehmer"))</f>
        <v/>
      </c>
      <c r="Z195" s="15">
        <f>IF(A195="","",SUMIFS('10_Stunden'!$K:$K,'10_Stunden'!$C:$C,A195))</f>
        <v/>
      </c>
      <c r="AA195" s="15">
        <f>IF(A195="","",X195+Y195+Z195+SUMIFS('14_Eingangsrechnungen'!$F:$F,'14_Eingangsrechnungen'!$C:$C,A195,'14_Eingangsrechnungen'!$E:$E,"Gerät")+SUMIFS('14_Eingangsrechnungen'!$F:$F,'14_Eingangsrechnungen'!$C:$C,A195,'14_Eingangsrechnungen'!$E:$E,"Dienstleistung"))</f>
        <v/>
      </c>
      <c r="AB195" s="15">
        <f>IF(A195="","",W195-AA195)</f>
        <v/>
      </c>
      <c r="AC195" s="19">
        <f>IF(OR(A195="",W195=0),"",AB195/W195)</f>
        <v/>
      </c>
      <c r="AD195" s="19">
        <f>IF(OR(A195="",V195=0),"",W195/V195)</f>
        <v/>
      </c>
      <c r="AE195" s="15">
        <f>IF(A195="","",MAX(0,V195-W195))</f>
        <v/>
      </c>
      <c r="AF195" s="15">
        <f>IF(A195="","",SUMIFS('13_Ausgangsrechnungen'!$R:$R,'13_Ausgangsrechnungen'!$C:$C,A195))</f>
        <v/>
      </c>
    </row>
    <row r="196">
      <c r="A196" s="30" t="inlineStr"/>
      <c r="B196" s="30" t="inlineStr"/>
      <c r="C196" s="30" t="inlineStr"/>
      <c r="D196" s="30" t="inlineStr"/>
      <c r="E196" s="30" t="inlineStr"/>
      <c r="F196" s="30" t="inlineStr"/>
      <c r="G196" s="38" t="inlineStr"/>
      <c r="H196" s="38" t="inlineStr"/>
      <c r="I196" s="38" t="inlineStr"/>
      <c r="J196" s="34" t="inlineStr"/>
      <c r="K196" s="34" t="inlineStr"/>
      <c r="L196" s="34" t="inlineStr"/>
      <c r="M196" s="34" t="inlineStr"/>
      <c r="N196" s="34" t="inlineStr"/>
      <c r="O196" s="34" t="inlineStr"/>
      <c r="P196" s="32" t="inlineStr"/>
      <c r="Q196" s="30" t="inlineStr"/>
      <c r="R196" s="30" t="inlineStr"/>
      <c r="S196" s="30" t="inlineStr"/>
      <c r="T196" s="30" t="inlineStr"/>
      <c r="U196" s="15">
        <f>IF(A196="","",SUMIFS('07_Nachtraege'!$E:$E,'07_Nachtraege'!$B:$B,A196,'07_Nachtraege'!$F:$F,"beauftragt"))</f>
        <v/>
      </c>
      <c r="V196" s="15">
        <f>IF(A196="","",J196+U196)</f>
        <v/>
      </c>
      <c r="W196" s="15">
        <f>IF(A196="","",SUMIFS('13_Ausgangsrechnungen'!$G:$G,'13_Ausgangsrechnungen'!$C:$C,A196))</f>
        <v/>
      </c>
      <c r="X196" s="15">
        <f>IF(A196="","",SUMIFS('11_Material'!$L:$L,'11_Material'!$C:$C,A196))</f>
        <v/>
      </c>
      <c r="Y196" s="15">
        <f>IF(A196="","",SUMIFS('14_Eingangsrechnungen'!$F:$F,'14_Eingangsrechnungen'!$C:$C,A196,'14_Eingangsrechnungen'!$E:$E,"Nachunternehmer"))</f>
        <v/>
      </c>
      <c r="Z196" s="15">
        <f>IF(A196="","",SUMIFS('10_Stunden'!$K:$K,'10_Stunden'!$C:$C,A196))</f>
        <v/>
      </c>
      <c r="AA196" s="15">
        <f>IF(A196="","",X196+Y196+Z196+SUMIFS('14_Eingangsrechnungen'!$F:$F,'14_Eingangsrechnungen'!$C:$C,A196,'14_Eingangsrechnungen'!$E:$E,"Gerät")+SUMIFS('14_Eingangsrechnungen'!$F:$F,'14_Eingangsrechnungen'!$C:$C,A196,'14_Eingangsrechnungen'!$E:$E,"Dienstleistung"))</f>
        <v/>
      </c>
      <c r="AB196" s="15">
        <f>IF(A196="","",W196-AA196)</f>
        <v/>
      </c>
      <c r="AC196" s="19">
        <f>IF(OR(A196="",W196=0),"",AB196/W196)</f>
        <v/>
      </c>
      <c r="AD196" s="19">
        <f>IF(OR(A196="",V196=0),"",W196/V196)</f>
        <v/>
      </c>
      <c r="AE196" s="15">
        <f>IF(A196="","",MAX(0,V196-W196))</f>
        <v/>
      </c>
      <c r="AF196" s="15">
        <f>IF(A196="","",SUMIFS('13_Ausgangsrechnungen'!$R:$R,'13_Ausgangsrechnungen'!$C:$C,A196))</f>
        <v/>
      </c>
    </row>
    <row r="197">
      <c r="A197" s="30" t="inlineStr"/>
      <c r="B197" s="30" t="inlineStr"/>
      <c r="C197" s="30" t="inlineStr"/>
      <c r="D197" s="30" t="inlineStr"/>
      <c r="E197" s="30" t="inlineStr"/>
      <c r="F197" s="30" t="inlineStr"/>
      <c r="G197" s="38" t="inlineStr"/>
      <c r="H197" s="38" t="inlineStr"/>
      <c r="I197" s="38" t="inlineStr"/>
      <c r="J197" s="34" t="inlineStr"/>
      <c r="K197" s="34" t="inlineStr"/>
      <c r="L197" s="34" t="inlineStr"/>
      <c r="M197" s="34" t="inlineStr"/>
      <c r="N197" s="34" t="inlineStr"/>
      <c r="O197" s="34" t="inlineStr"/>
      <c r="P197" s="32" t="inlineStr"/>
      <c r="Q197" s="30" t="inlineStr"/>
      <c r="R197" s="30" t="inlineStr"/>
      <c r="S197" s="30" t="inlineStr"/>
      <c r="T197" s="30" t="inlineStr"/>
      <c r="U197" s="15">
        <f>IF(A197="","",SUMIFS('07_Nachtraege'!$E:$E,'07_Nachtraege'!$B:$B,A197,'07_Nachtraege'!$F:$F,"beauftragt"))</f>
        <v/>
      </c>
      <c r="V197" s="15">
        <f>IF(A197="","",J197+U197)</f>
        <v/>
      </c>
      <c r="W197" s="15">
        <f>IF(A197="","",SUMIFS('13_Ausgangsrechnungen'!$G:$G,'13_Ausgangsrechnungen'!$C:$C,A197))</f>
        <v/>
      </c>
      <c r="X197" s="15">
        <f>IF(A197="","",SUMIFS('11_Material'!$L:$L,'11_Material'!$C:$C,A197))</f>
        <v/>
      </c>
      <c r="Y197" s="15">
        <f>IF(A197="","",SUMIFS('14_Eingangsrechnungen'!$F:$F,'14_Eingangsrechnungen'!$C:$C,A197,'14_Eingangsrechnungen'!$E:$E,"Nachunternehmer"))</f>
        <v/>
      </c>
      <c r="Z197" s="15">
        <f>IF(A197="","",SUMIFS('10_Stunden'!$K:$K,'10_Stunden'!$C:$C,A197))</f>
        <v/>
      </c>
      <c r="AA197" s="15">
        <f>IF(A197="","",X197+Y197+Z197+SUMIFS('14_Eingangsrechnungen'!$F:$F,'14_Eingangsrechnungen'!$C:$C,A197,'14_Eingangsrechnungen'!$E:$E,"Gerät")+SUMIFS('14_Eingangsrechnungen'!$F:$F,'14_Eingangsrechnungen'!$C:$C,A197,'14_Eingangsrechnungen'!$E:$E,"Dienstleistung"))</f>
        <v/>
      </c>
      <c r="AB197" s="15">
        <f>IF(A197="","",W197-AA197)</f>
        <v/>
      </c>
      <c r="AC197" s="19">
        <f>IF(OR(A197="",W197=0),"",AB197/W197)</f>
        <v/>
      </c>
      <c r="AD197" s="19">
        <f>IF(OR(A197="",V197=0),"",W197/V197)</f>
        <v/>
      </c>
      <c r="AE197" s="15">
        <f>IF(A197="","",MAX(0,V197-W197))</f>
        <v/>
      </c>
      <c r="AF197" s="15">
        <f>IF(A197="","",SUMIFS('13_Ausgangsrechnungen'!$R:$R,'13_Ausgangsrechnungen'!$C:$C,A197))</f>
        <v/>
      </c>
    </row>
    <row r="198">
      <c r="A198" s="30" t="inlineStr"/>
      <c r="B198" s="30" t="inlineStr"/>
      <c r="C198" s="30" t="inlineStr"/>
      <c r="D198" s="30" t="inlineStr"/>
      <c r="E198" s="30" t="inlineStr"/>
      <c r="F198" s="30" t="inlineStr"/>
      <c r="G198" s="38" t="inlineStr"/>
      <c r="H198" s="38" t="inlineStr"/>
      <c r="I198" s="38" t="inlineStr"/>
      <c r="J198" s="34" t="inlineStr"/>
      <c r="K198" s="34" t="inlineStr"/>
      <c r="L198" s="34" t="inlineStr"/>
      <c r="M198" s="34" t="inlineStr"/>
      <c r="N198" s="34" t="inlineStr"/>
      <c r="O198" s="34" t="inlineStr"/>
      <c r="P198" s="32" t="inlineStr"/>
      <c r="Q198" s="30" t="inlineStr"/>
      <c r="R198" s="30" t="inlineStr"/>
      <c r="S198" s="30" t="inlineStr"/>
      <c r="T198" s="30" t="inlineStr"/>
      <c r="U198" s="15">
        <f>IF(A198="","",SUMIFS('07_Nachtraege'!$E:$E,'07_Nachtraege'!$B:$B,A198,'07_Nachtraege'!$F:$F,"beauftragt"))</f>
        <v/>
      </c>
      <c r="V198" s="15">
        <f>IF(A198="","",J198+U198)</f>
        <v/>
      </c>
      <c r="W198" s="15">
        <f>IF(A198="","",SUMIFS('13_Ausgangsrechnungen'!$G:$G,'13_Ausgangsrechnungen'!$C:$C,A198))</f>
        <v/>
      </c>
      <c r="X198" s="15">
        <f>IF(A198="","",SUMIFS('11_Material'!$L:$L,'11_Material'!$C:$C,A198))</f>
        <v/>
      </c>
      <c r="Y198" s="15">
        <f>IF(A198="","",SUMIFS('14_Eingangsrechnungen'!$F:$F,'14_Eingangsrechnungen'!$C:$C,A198,'14_Eingangsrechnungen'!$E:$E,"Nachunternehmer"))</f>
        <v/>
      </c>
      <c r="Z198" s="15">
        <f>IF(A198="","",SUMIFS('10_Stunden'!$K:$K,'10_Stunden'!$C:$C,A198))</f>
        <v/>
      </c>
      <c r="AA198" s="15">
        <f>IF(A198="","",X198+Y198+Z198+SUMIFS('14_Eingangsrechnungen'!$F:$F,'14_Eingangsrechnungen'!$C:$C,A198,'14_Eingangsrechnungen'!$E:$E,"Gerät")+SUMIFS('14_Eingangsrechnungen'!$F:$F,'14_Eingangsrechnungen'!$C:$C,A198,'14_Eingangsrechnungen'!$E:$E,"Dienstleistung"))</f>
        <v/>
      </c>
      <c r="AB198" s="15">
        <f>IF(A198="","",W198-AA198)</f>
        <v/>
      </c>
      <c r="AC198" s="19">
        <f>IF(OR(A198="",W198=0),"",AB198/W198)</f>
        <v/>
      </c>
      <c r="AD198" s="19">
        <f>IF(OR(A198="",V198=0),"",W198/V198)</f>
        <v/>
      </c>
      <c r="AE198" s="15">
        <f>IF(A198="","",MAX(0,V198-W198))</f>
        <v/>
      </c>
      <c r="AF198" s="15">
        <f>IF(A198="","",SUMIFS('13_Ausgangsrechnungen'!$R:$R,'13_Ausgangsrechnungen'!$C:$C,A198))</f>
        <v/>
      </c>
    </row>
    <row r="199">
      <c r="A199" s="30" t="inlineStr"/>
      <c r="B199" s="30" t="inlineStr"/>
      <c r="C199" s="30" t="inlineStr"/>
      <c r="D199" s="30" t="inlineStr"/>
      <c r="E199" s="30" t="inlineStr"/>
      <c r="F199" s="30" t="inlineStr"/>
      <c r="G199" s="38" t="inlineStr"/>
      <c r="H199" s="38" t="inlineStr"/>
      <c r="I199" s="38" t="inlineStr"/>
      <c r="J199" s="34" t="inlineStr"/>
      <c r="K199" s="34" t="inlineStr"/>
      <c r="L199" s="34" t="inlineStr"/>
      <c r="M199" s="34" t="inlineStr"/>
      <c r="N199" s="34" t="inlineStr"/>
      <c r="O199" s="34" t="inlineStr"/>
      <c r="P199" s="32" t="inlineStr"/>
      <c r="Q199" s="30" t="inlineStr"/>
      <c r="R199" s="30" t="inlineStr"/>
      <c r="S199" s="30" t="inlineStr"/>
      <c r="T199" s="30" t="inlineStr"/>
      <c r="U199" s="15">
        <f>IF(A199="","",SUMIFS('07_Nachtraege'!$E:$E,'07_Nachtraege'!$B:$B,A199,'07_Nachtraege'!$F:$F,"beauftragt"))</f>
        <v/>
      </c>
      <c r="V199" s="15">
        <f>IF(A199="","",J199+U199)</f>
        <v/>
      </c>
      <c r="W199" s="15">
        <f>IF(A199="","",SUMIFS('13_Ausgangsrechnungen'!$G:$G,'13_Ausgangsrechnungen'!$C:$C,A199))</f>
        <v/>
      </c>
      <c r="X199" s="15">
        <f>IF(A199="","",SUMIFS('11_Material'!$L:$L,'11_Material'!$C:$C,A199))</f>
        <v/>
      </c>
      <c r="Y199" s="15">
        <f>IF(A199="","",SUMIFS('14_Eingangsrechnungen'!$F:$F,'14_Eingangsrechnungen'!$C:$C,A199,'14_Eingangsrechnungen'!$E:$E,"Nachunternehmer"))</f>
        <v/>
      </c>
      <c r="Z199" s="15">
        <f>IF(A199="","",SUMIFS('10_Stunden'!$K:$K,'10_Stunden'!$C:$C,A199))</f>
        <v/>
      </c>
      <c r="AA199" s="15">
        <f>IF(A199="","",X199+Y199+Z199+SUMIFS('14_Eingangsrechnungen'!$F:$F,'14_Eingangsrechnungen'!$C:$C,A199,'14_Eingangsrechnungen'!$E:$E,"Gerät")+SUMIFS('14_Eingangsrechnungen'!$F:$F,'14_Eingangsrechnungen'!$C:$C,A199,'14_Eingangsrechnungen'!$E:$E,"Dienstleistung"))</f>
        <v/>
      </c>
      <c r="AB199" s="15">
        <f>IF(A199="","",W199-AA199)</f>
        <v/>
      </c>
      <c r="AC199" s="19">
        <f>IF(OR(A199="",W199=0),"",AB199/W199)</f>
        <v/>
      </c>
      <c r="AD199" s="19">
        <f>IF(OR(A199="",V199=0),"",W199/V199)</f>
        <v/>
      </c>
      <c r="AE199" s="15">
        <f>IF(A199="","",MAX(0,V199-W199))</f>
        <v/>
      </c>
      <c r="AF199" s="15">
        <f>IF(A199="","",SUMIFS('13_Ausgangsrechnungen'!$R:$R,'13_Ausgangsrechnungen'!$C:$C,A199))</f>
        <v/>
      </c>
    </row>
    <row r="200">
      <c r="A200" s="30" t="inlineStr"/>
      <c r="B200" s="30" t="inlineStr"/>
      <c r="C200" s="30" t="inlineStr"/>
      <c r="D200" s="30" t="inlineStr"/>
      <c r="E200" s="30" t="inlineStr"/>
      <c r="F200" s="30" t="inlineStr"/>
      <c r="G200" s="38" t="inlineStr"/>
      <c r="H200" s="38" t="inlineStr"/>
      <c r="I200" s="38" t="inlineStr"/>
      <c r="J200" s="34" t="inlineStr"/>
      <c r="K200" s="34" t="inlineStr"/>
      <c r="L200" s="34" t="inlineStr"/>
      <c r="M200" s="34" t="inlineStr"/>
      <c r="N200" s="34" t="inlineStr"/>
      <c r="O200" s="34" t="inlineStr"/>
      <c r="P200" s="32" t="inlineStr"/>
      <c r="Q200" s="30" t="inlineStr"/>
      <c r="R200" s="30" t="inlineStr"/>
      <c r="S200" s="30" t="inlineStr"/>
      <c r="T200" s="30" t="inlineStr"/>
      <c r="U200" s="15">
        <f>IF(A200="","",SUMIFS('07_Nachtraege'!$E:$E,'07_Nachtraege'!$B:$B,A200,'07_Nachtraege'!$F:$F,"beauftragt"))</f>
        <v/>
      </c>
      <c r="V200" s="15">
        <f>IF(A200="","",J200+U200)</f>
        <v/>
      </c>
      <c r="W200" s="15">
        <f>IF(A200="","",SUMIFS('13_Ausgangsrechnungen'!$G:$G,'13_Ausgangsrechnungen'!$C:$C,A200))</f>
        <v/>
      </c>
      <c r="X200" s="15">
        <f>IF(A200="","",SUMIFS('11_Material'!$L:$L,'11_Material'!$C:$C,A200))</f>
        <v/>
      </c>
      <c r="Y200" s="15">
        <f>IF(A200="","",SUMIFS('14_Eingangsrechnungen'!$F:$F,'14_Eingangsrechnungen'!$C:$C,A200,'14_Eingangsrechnungen'!$E:$E,"Nachunternehmer"))</f>
        <v/>
      </c>
      <c r="Z200" s="15">
        <f>IF(A200="","",SUMIFS('10_Stunden'!$K:$K,'10_Stunden'!$C:$C,A200))</f>
        <v/>
      </c>
      <c r="AA200" s="15">
        <f>IF(A200="","",X200+Y200+Z200+SUMIFS('14_Eingangsrechnungen'!$F:$F,'14_Eingangsrechnungen'!$C:$C,A200,'14_Eingangsrechnungen'!$E:$E,"Gerät")+SUMIFS('14_Eingangsrechnungen'!$F:$F,'14_Eingangsrechnungen'!$C:$C,A200,'14_Eingangsrechnungen'!$E:$E,"Dienstleistung"))</f>
        <v/>
      </c>
      <c r="AB200" s="15">
        <f>IF(A200="","",W200-AA200)</f>
        <v/>
      </c>
      <c r="AC200" s="19">
        <f>IF(OR(A200="",W200=0),"",AB200/W200)</f>
        <v/>
      </c>
      <c r="AD200" s="19">
        <f>IF(OR(A200="",V200=0),"",W200/V200)</f>
        <v/>
      </c>
      <c r="AE200" s="15">
        <f>IF(A200="","",MAX(0,V200-W200))</f>
        <v/>
      </c>
      <c r="AF200" s="15">
        <f>IF(A200="","",SUMIFS('13_Ausgangsrechnungen'!$R:$R,'13_Ausgangsrechnungen'!$C:$C,A200))</f>
        <v/>
      </c>
    </row>
    <row r="201">
      <c r="A201" s="30" t="inlineStr"/>
      <c r="B201" s="30" t="inlineStr"/>
      <c r="C201" s="30" t="inlineStr"/>
      <c r="D201" s="30" t="inlineStr"/>
      <c r="E201" s="30" t="inlineStr"/>
      <c r="F201" s="30" t="inlineStr"/>
      <c r="G201" s="38" t="inlineStr"/>
      <c r="H201" s="38" t="inlineStr"/>
      <c r="I201" s="38" t="inlineStr"/>
      <c r="J201" s="34" t="inlineStr"/>
      <c r="K201" s="34" t="inlineStr"/>
      <c r="L201" s="34" t="inlineStr"/>
      <c r="M201" s="34" t="inlineStr"/>
      <c r="N201" s="34" t="inlineStr"/>
      <c r="O201" s="34" t="inlineStr"/>
      <c r="P201" s="32" t="inlineStr"/>
      <c r="Q201" s="30" t="inlineStr"/>
      <c r="R201" s="30" t="inlineStr"/>
      <c r="S201" s="30" t="inlineStr"/>
      <c r="T201" s="30" t="inlineStr"/>
      <c r="U201" s="15">
        <f>IF(A201="","",SUMIFS('07_Nachtraege'!$E:$E,'07_Nachtraege'!$B:$B,A201,'07_Nachtraege'!$F:$F,"beauftragt"))</f>
        <v/>
      </c>
      <c r="V201" s="15">
        <f>IF(A201="","",J201+U201)</f>
        <v/>
      </c>
      <c r="W201" s="15">
        <f>IF(A201="","",SUMIFS('13_Ausgangsrechnungen'!$G:$G,'13_Ausgangsrechnungen'!$C:$C,A201))</f>
        <v/>
      </c>
      <c r="X201" s="15">
        <f>IF(A201="","",SUMIFS('11_Material'!$L:$L,'11_Material'!$C:$C,A201))</f>
        <v/>
      </c>
      <c r="Y201" s="15">
        <f>IF(A201="","",SUMIFS('14_Eingangsrechnungen'!$F:$F,'14_Eingangsrechnungen'!$C:$C,A201,'14_Eingangsrechnungen'!$E:$E,"Nachunternehmer"))</f>
        <v/>
      </c>
      <c r="Z201" s="15">
        <f>IF(A201="","",SUMIFS('10_Stunden'!$K:$K,'10_Stunden'!$C:$C,A201))</f>
        <v/>
      </c>
      <c r="AA201" s="15">
        <f>IF(A201="","",X201+Y201+Z201+SUMIFS('14_Eingangsrechnungen'!$F:$F,'14_Eingangsrechnungen'!$C:$C,A201,'14_Eingangsrechnungen'!$E:$E,"Gerät")+SUMIFS('14_Eingangsrechnungen'!$F:$F,'14_Eingangsrechnungen'!$C:$C,A201,'14_Eingangsrechnungen'!$E:$E,"Dienstleistung"))</f>
        <v/>
      </c>
      <c r="AB201" s="15">
        <f>IF(A201="","",W201-AA201)</f>
        <v/>
      </c>
      <c r="AC201" s="19">
        <f>IF(OR(A201="",W201=0),"",AB201/W201)</f>
        <v/>
      </c>
      <c r="AD201" s="19">
        <f>IF(OR(A201="",V201=0),"",W201/V201)</f>
        <v/>
      </c>
      <c r="AE201" s="15">
        <f>IF(A201="","",MAX(0,V201-W201))</f>
        <v/>
      </c>
      <c r="AF201" s="15">
        <f>IF(A201="","",SUMIFS('13_Ausgangsrechnungen'!$R:$R,'13_Ausgangsrechnungen'!$C:$C,A201))</f>
        <v/>
      </c>
    </row>
    <row r="202">
      <c r="A202" s="30" t="inlineStr"/>
      <c r="B202" s="30" t="inlineStr"/>
      <c r="C202" s="30" t="inlineStr"/>
      <c r="D202" s="30" t="inlineStr"/>
      <c r="E202" s="30" t="inlineStr"/>
      <c r="F202" s="30" t="inlineStr"/>
      <c r="G202" s="38" t="inlineStr"/>
      <c r="H202" s="38" t="inlineStr"/>
      <c r="I202" s="38" t="inlineStr"/>
      <c r="J202" s="34" t="inlineStr"/>
      <c r="K202" s="34" t="inlineStr"/>
      <c r="L202" s="34" t="inlineStr"/>
      <c r="M202" s="34" t="inlineStr"/>
      <c r="N202" s="34" t="inlineStr"/>
      <c r="O202" s="34" t="inlineStr"/>
      <c r="P202" s="32" t="inlineStr"/>
      <c r="Q202" s="30" t="inlineStr"/>
      <c r="R202" s="30" t="inlineStr"/>
      <c r="S202" s="30" t="inlineStr"/>
      <c r="T202" s="30" t="inlineStr"/>
      <c r="U202" s="15">
        <f>IF(A202="","",SUMIFS('07_Nachtraege'!$E:$E,'07_Nachtraege'!$B:$B,A202,'07_Nachtraege'!$F:$F,"beauftragt"))</f>
        <v/>
      </c>
      <c r="V202" s="15">
        <f>IF(A202="","",J202+U202)</f>
        <v/>
      </c>
      <c r="W202" s="15">
        <f>IF(A202="","",SUMIFS('13_Ausgangsrechnungen'!$G:$G,'13_Ausgangsrechnungen'!$C:$C,A202))</f>
        <v/>
      </c>
      <c r="X202" s="15">
        <f>IF(A202="","",SUMIFS('11_Material'!$L:$L,'11_Material'!$C:$C,A202))</f>
        <v/>
      </c>
      <c r="Y202" s="15">
        <f>IF(A202="","",SUMIFS('14_Eingangsrechnungen'!$F:$F,'14_Eingangsrechnungen'!$C:$C,A202,'14_Eingangsrechnungen'!$E:$E,"Nachunternehmer"))</f>
        <v/>
      </c>
      <c r="Z202" s="15">
        <f>IF(A202="","",SUMIFS('10_Stunden'!$K:$K,'10_Stunden'!$C:$C,A202))</f>
        <v/>
      </c>
      <c r="AA202" s="15">
        <f>IF(A202="","",X202+Y202+Z202+SUMIFS('14_Eingangsrechnungen'!$F:$F,'14_Eingangsrechnungen'!$C:$C,A202,'14_Eingangsrechnungen'!$E:$E,"Gerät")+SUMIFS('14_Eingangsrechnungen'!$F:$F,'14_Eingangsrechnungen'!$C:$C,A202,'14_Eingangsrechnungen'!$E:$E,"Dienstleistung"))</f>
        <v/>
      </c>
      <c r="AB202" s="15">
        <f>IF(A202="","",W202-AA202)</f>
        <v/>
      </c>
      <c r="AC202" s="19">
        <f>IF(OR(A202="",W202=0),"",AB202/W202)</f>
        <v/>
      </c>
      <c r="AD202" s="19">
        <f>IF(OR(A202="",V202=0),"",W202/V202)</f>
        <v/>
      </c>
      <c r="AE202" s="15">
        <f>IF(A202="","",MAX(0,V202-W202))</f>
        <v/>
      </c>
      <c r="AF202" s="15">
        <f>IF(A202="","",SUMIFS('13_Ausgangsrechnungen'!$R:$R,'13_Ausgangsrechnungen'!$C:$C,A202))</f>
        <v/>
      </c>
    </row>
    <row r="203">
      <c r="A203" s="30" t="inlineStr"/>
      <c r="B203" s="30" t="inlineStr"/>
      <c r="C203" s="30" t="inlineStr"/>
      <c r="D203" s="30" t="inlineStr"/>
      <c r="E203" s="30" t="inlineStr"/>
      <c r="F203" s="30" t="inlineStr"/>
      <c r="G203" s="38" t="inlineStr"/>
      <c r="H203" s="38" t="inlineStr"/>
      <c r="I203" s="38" t="inlineStr"/>
      <c r="J203" s="34" t="inlineStr"/>
      <c r="K203" s="34" t="inlineStr"/>
      <c r="L203" s="34" t="inlineStr"/>
      <c r="M203" s="34" t="inlineStr"/>
      <c r="N203" s="34" t="inlineStr"/>
      <c r="O203" s="34" t="inlineStr"/>
      <c r="P203" s="32" t="inlineStr"/>
      <c r="Q203" s="30" t="inlineStr"/>
      <c r="R203" s="30" t="inlineStr"/>
      <c r="S203" s="30" t="inlineStr"/>
      <c r="T203" s="30" t="inlineStr"/>
      <c r="U203" s="15">
        <f>IF(A203="","",SUMIFS('07_Nachtraege'!$E:$E,'07_Nachtraege'!$B:$B,A203,'07_Nachtraege'!$F:$F,"beauftragt"))</f>
        <v/>
      </c>
      <c r="V203" s="15">
        <f>IF(A203="","",J203+U203)</f>
        <v/>
      </c>
      <c r="W203" s="15">
        <f>IF(A203="","",SUMIFS('13_Ausgangsrechnungen'!$G:$G,'13_Ausgangsrechnungen'!$C:$C,A203))</f>
        <v/>
      </c>
      <c r="X203" s="15">
        <f>IF(A203="","",SUMIFS('11_Material'!$L:$L,'11_Material'!$C:$C,A203))</f>
        <v/>
      </c>
      <c r="Y203" s="15">
        <f>IF(A203="","",SUMIFS('14_Eingangsrechnungen'!$F:$F,'14_Eingangsrechnungen'!$C:$C,A203,'14_Eingangsrechnungen'!$E:$E,"Nachunternehmer"))</f>
        <v/>
      </c>
      <c r="Z203" s="15">
        <f>IF(A203="","",SUMIFS('10_Stunden'!$K:$K,'10_Stunden'!$C:$C,A203))</f>
        <v/>
      </c>
      <c r="AA203" s="15">
        <f>IF(A203="","",X203+Y203+Z203+SUMIFS('14_Eingangsrechnungen'!$F:$F,'14_Eingangsrechnungen'!$C:$C,A203,'14_Eingangsrechnungen'!$E:$E,"Gerät")+SUMIFS('14_Eingangsrechnungen'!$F:$F,'14_Eingangsrechnungen'!$C:$C,A203,'14_Eingangsrechnungen'!$E:$E,"Dienstleistung"))</f>
        <v/>
      </c>
      <c r="AB203" s="15">
        <f>IF(A203="","",W203-AA203)</f>
        <v/>
      </c>
      <c r="AC203" s="19">
        <f>IF(OR(A203="",W203=0),"",AB203/W203)</f>
        <v/>
      </c>
      <c r="AD203" s="19">
        <f>IF(OR(A203="",V203=0),"",W203/V203)</f>
        <v/>
      </c>
      <c r="AE203" s="15">
        <f>IF(A203="","",MAX(0,V203-W203))</f>
        <v/>
      </c>
      <c r="AF203" s="15">
        <f>IF(A203="","",SUMIFS('13_Ausgangsrechnungen'!$R:$R,'13_Ausgangsrechnungen'!$C:$C,A203))</f>
        <v/>
      </c>
    </row>
    <row r="204">
      <c r="A204" s="30" t="inlineStr"/>
      <c r="B204" s="30" t="inlineStr"/>
      <c r="C204" s="30" t="inlineStr"/>
      <c r="D204" s="30" t="inlineStr"/>
      <c r="E204" s="30" t="inlineStr"/>
      <c r="F204" s="30" t="inlineStr"/>
      <c r="G204" s="38" t="inlineStr"/>
      <c r="H204" s="38" t="inlineStr"/>
      <c r="I204" s="38" t="inlineStr"/>
      <c r="J204" s="34" t="inlineStr"/>
      <c r="K204" s="34" t="inlineStr"/>
      <c r="L204" s="34" t="inlineStr"/>
      <c r="M204" s="34" t="inlineStr"/>
      <c r="N204" s="34" t="inlineStr"/>
      <c r="O204" s="34" t="inlineStr"/>
      <c r="P204" s="32" t="inlineStr"/>
      <c r="Q204" s="30" t="inlineStr"/>
      <c r="R204" s="30" t="inlineStr"/>
      <c r="S204" s="30" t="inlineStr"/>
      <c r="T204" s="30" t="inlineStr"/>
      <c r="U204" s="15">
        <f>IF(A204="","",SUMIFS('07_Nachtraege'!$E:$E,'07_Nachtraege'!$B:$B,A204,'07_Nachtraege'!$F:$F,"beauftragt"))</f>
        <v/>
      </c>
      <c r="V204" s="15">
        <f>IF(A204="","",J204+U204)</f>
        <v/>
      </c>
      <c r="W204" s="15">
        <f>IF(A204="","",SUMIFS('13_Ausgangsrechnungen'!$G:$G,'13_Ausgangsrechnungen'!$C:$C,A204))</f>
        <v/>
      </c>
      <c r="X204" s="15">
        <f>IF(A204="","",SUMIFS('11_Material'!$L:$L,'11_Material'!$C:$C,A204))</f>
        <v/>
      </c>
      <c r="Y204" s="15">
        <f>IF(A204="","",SUMIFS('14_Eingangsrechnungen'!$F:$F,'14_Eingangsrechnungen'!$C:$C,A204,'14_Eingangsrechnungen'!$E:$E,"Nachunternehmer"))</f>
        <v/>
      </c>
      <c r="Z204" s="15">
        <f>IF(A204="","",SUMIFS('10_Stunden'!$K:$K,'10_Stunden'!$C:$C,A204))</f>
        <v/>
      </c>
      <c r="AA204" s="15">
        <f>IF(A204="","",X204+Y204+Z204+SUMIFS('14_Eingangsrechnungen'!$F:$F,'14_Eingangsrechnungen'!$C:$C,A204,'14_Eingangsrechnungen'!$E:$E,"Gerät")+SUMIFS('14_Eingangsrechnungen'!$F:$F,'14_Eingangsrechnungen'!$C:$C,A204,'14_Eingangsrechnungen'!$E:$E,"Dienstleistung"))</f>
        <v/>
      </c>
      <c r="AB204" s="15">
        <f>IF(A204="","",W204-AA204)</f>
        <v/>
      </c>
      <c r="AC204" s="19">
        <f>IF(OR(A204="",W204=0),"",AB204/W204)</f>
        <v/>
      </c>
      <c r="AD204" s="19">
        <f>IF(OR(A204="",V204=0),"",W204/V204)</f>
        <v/>
      </c>
      <c r="AE204" s="15">
        <f>IF(A204="","",MAX(0,V204-W204))</f>
        <v/>
      </c>
      <c r="AF204" s="15">
        <f>IF(A204="","",SUMIFS('13_Ausgangsrechnungen'!$R:$R,'13_Ausgangsrechnungen'!$C:$C,A204))</f>
        <v/>
      </c>
    </row>
    <row r="205">
      <c r="A205" s="30" t="inlineStr"/>
      <c r="B205" s="30" t="inlineStr"/>
      <c r="C205" s="30" t="inlineStr"/>
      <c r="D205" s="30" t="inlineStr"/>
      <c r="E205" s="30" t="inlineStr"/>
      <c r="F205" s="30" t="inlineStr"/>
      <c r="G205" s="38" t="inlineStr"/>
      <c r="H205" s="38" t="inlineStr"/>
      <c r="I205" s="38" t="inlineStr"/>
      <c r="J205" s="34" t="inlineStr"/>
      <c r="K205" s="34" t="inlineStr"/>
      <c r="L205" s="34" t="inlineStr"/>
      <c r="M205" s="34" t="inlineStr"/>
      <c r="N205" s="34" t="inlineStr"/>
      <c r="O205" s="34" t="inlineStr"/>
      <c r="P205" s="32" t="inlineStr"/>
      <c r="Q205" s="30" t="inlineStr"/>
      <c r="R205" s="30" t="inlineStr"/>
      <c r="S205" s="30" t="inlineStr"/>
      <c r="T205" s="30" t="inlineStr"/>
      <c r="U205" s="15">
        <f>IF(A205="","",SUMIFS('07_Nachtraege'!$E:$E,'07_Nachtraege'!$B:$B,A205,'07_Nachtraege'!$F:$F,"beauftragt"))</f>
        <v/>
      </c>
      <c r="V205" s="15">
        <f>IF(A205="","",J205+U205)</f>
        <v/>
      </c>
      <c r="W205" s="15">
        <f>IF(A205="","",SUMIFS('13_Ausgangsrechnungen'!$G:$G,'13_Ausgangsrechnungen'!$C:$C,A205))</f>
        <v/>
      </c>
      <c r="X205" s="15">
        <f>IF(A205="","",SUMIFS('11_Material'!$L:$L,'11_Material'!$C:$C,A205))</f>
        <v/>
      </c>
      <c r="Y205" s="15">
        <f>IF(A205="","",SUMIFS('14_Eingangsrechnungen'!$F:$F,'14_Eingangsrechnungen'!$C:$C,A205,'14_Eingangsrechnungen'!$E:$E,"Nachunternehmer"))</f>
        <v/>
      </c>
      <c r="Z205" s="15">
        <f>IF(A205="","",SUMIFS('10_Stunden'!$K:$K,'10_Stunden'!$C:$C,A205))</f>
        <v/>
      </c>
      <c r="AA205" s="15">
        <f>IF(A205="","",X205+Y205+Z205+SUMIFS('14_Eingangsrechnungen'!$F:$F,'14_Eingangsrechnungen'!$C:$C,A205,'14_Eingangsrechnungen'!$E:$E,"Gerät")+SUMIFS('14_Eingangsrechnungen'!$F:$F,'14_Eingangsrechnungen'!$C:$C,A205,'14_Eingangsrechnungen'!$E:$E,"Dienstleistung"))</f>
        <v/>
      </c>
      <c r="AB205" s="15">
        <f>IF(A205="","",W205-AA205)</f>
        <v/>
      </c>
      <c r="AC205" s="19">
        <f>IF(OR(A205="",W205=0),"",AB205/W205)</f>
        <v/>
      </c>
      <c r="AD205" s="19">
        <f>IF(OR(A205="",V205=0),"",W205/V205)</f>
        <v/>
      </c>
      <c r="AE205" s="15">
        <f>IF(A205="","",MAX(0,V205-W205))</f>
        <v/>
      </c>
      <c r="AF205" s="15">
        <f>IF(A205="","",SUMIFS('13_Ausgangsrechnungen'!$R:$R,'13_Ausgangsrechnungen'!$C:$C,A205))</f>
        <v/>
      </c>
    </row>
    <row r="206">
      <c r="A206" s="30" t="inlineStr"/>
      <c r="B206" s="30" t="inlineStr"/>
      <c r="C206" s="30" t="inlineStr"/>
      <c r="D206" s="30" t="inlineStr"/>
      <c r="E206" s="30" t="inlineStr"/>
      <c r="F206" s="30" t="inlineStr"/>
      <c r="G206" s="38" t="inlineStr"/>
      <c r="H206" s="38" t="inlineStr"/>
      <c r="I206" s="38" t="inlineStr"/>
      <c r="J206" s="34" t="inlineStr"/>
      <c r="K206" s="34" t="inlineStr"/>
      <c r="L206" s="34" t="inlineStr"/>
      <c r="M206" s="34" t="inlineStr"/>
      <c r="N206" s="34" t="inlineStr"/>
      <c r="O206" s="34" t="inlineStr"/>
      <c r="P206" s="32" t="inlineStr"/>
      <c r="Q206" s="30" t="inlineStr"/>
      <c r="R206" s="30" t="inlineStr"/>
      <c r="S206" s="30" t="inlineStr"/>
      <c r="T206" s="30" t="inlineStr"/>
      <c r="U206" s="15">
        <f>IF(A206="","",SUMIFS('07_Nachtraege'!$E:$E,'07_Nachtraege'!$B:$B,A206,'07_Nachtraege'!$F:$F,"beauftragt"))</f>
        <v/>
      </c>
      <c r="V206" s="15">
        <f>IF(A206="","",J206+U206)</f>
        <v/>
      </c>
      <c r="W206" s="15">
        <f>IF(A206="","",SUMIFS('13_Ausgangsrechnungen'!$G:$G,'13_Ausgangsrechnungen'!$C:$C,A206))</f>
        <v/>
      </c>
      <c r="X206" s="15">
        <f>IF(A206="","",SUMIFS('11_Material'!$L:$L,'11_Material'!$C:$C,A206))</f>
        <v/>
      </c>
      <c r="Y206" s="15">
        <f>IF(A206="","",SUMIFS('14_Eingangsrechnungen'!$F:$F,'14_Eingangsrechnungen'!$C:$C,A206,'14_Eingangsrechnungen'!$E:$E,"Nachunternehmer"))</f>
        <v/>
      </c>
      <c r="Z206" s="15">
        <f>IF(A206="","",SUMIFS('10_Stunden'!$K:$K,'10_Stunden'!$C:$C,A206))</f>
        <v/>
      </c>
      <c r="AA206" s="15">
        <f>IF(A206="","",X206+Y206+Z206+SUMIFS('14_Eingangsrechnungen'!$F:$F,'14_Eingangsrechnungen'!$C:$C,A206,'14_Eingangsrechnungen'!$E:$E,"Gerät")+SUMIFS('14_Eingangsrechnungen'!$F:$F,'14_Eingangsrechnungen'!$C:$C,A206,'14_Eingangsrechnungen'!$E:$E,"Dienstleistung"))</f>
        <v/>
      </c>
      <c r="AB206" s="15">
        <f>IF(A206="","",W206-AA206)</f>
        <v/>
      </c>
      <c r="AC206" s="19">
        <f>IF(OR(A206="",W206=0),"",AB206/W206)</f>
        <v/>
      </c>
      <c r="AD206" s="19">
        <f>IF(OR(A206="",V206=0),"",W206/V206)</f>
        <v/>
      </c>
      <c r="AE206" s="15">
        <f>IF(A206="","",MAX(0,V206-W206))</f>
        <v/>
      </c>
      <c r="AF206" s="15">
        <f>IF(A206="","",SUMIFS('13_Ausgangsrechnungen'!$R:$R,'13_Ausgangsrechnungen'!$C:$C,A206))</f>
        <v/>
      </c>
    </row>
    <row r="207">
      <c r="A207" s="30" t="inlineStr"/>
      <c r="B207" s="30" t="inlineStr"/>
      <c r="C207" s="30" t="inlineStr"/>
      <c r="D207" s="30" t="inlineStr"/>
      <c r="E207" s="30" t="inlineStr"/>
      <c r="F207" s="30" t="inlineStr"/>
      <c r="G207" s="38" t="inlineStr"/>
      <c r="H207" s="38" t="inlineStr"/>
      <c r="I207" s="38" t="inlineStr"/>
      <c r="J207" s="34" t="inlineStr"/>
      <c r="K207" s="34" t="inlineStr"/>
      <c r="L207" s="34" t="inlineStr"/>
      <c r="M207" s="34" t="inlineStr"/>
      <c r="N207" s="34" t="inlineStr"/>
      <c r="O207" s="34" t="inlineStr"/>
      <c r="P207" s="32" t="inlineStr"/>
      <c r="Q207" s="30" t="inlineStr"/>
      <c r="R207" s="30" t="inlineStr"/>
      <c r="S207" s="30" t="inlineStr"/>
      <c r="T207" s="30" t="inlineStr"/>
      <c r="U207" s="15">
        <f>IF(A207="","",SUMIFS('07_Nachtraege'!$E:$E,'07_Nachtraege'!$B:$B,A207,'07_Nachtraege'!$F:$F,"beauftragt"))</f>
        <v/>
      </c>
      <c r="V207" s="15">
        <f>IF(A207="","",J207+U207)</f>
        <v/>
      </c>
      <c r="W207" s="15">
        <f>IF(A207="","",SUMIFS('13_Ausgangsrechnungen'!$G:$G,'13_Ausgangsrechnungen'!$C:$C,A207))</f>
        <v/>
      </c>
      <c r="X207" s="15">
        <f>IF(A207="","",SUMIFS('11_Material'!$L:$L,'11_Material'!$C:$C,A207))</f>
        <v/>
      </c>
      <c r="Y207" s="15">
        <f>IF(A207="","",SUMIFS('14_Eingangsrechnungen'!$F:$F,'14_Eingangsrechnungen'!$C:$C,A207,'14_Eingangsrechnungen'!$E:$E,"Nachunternehmer"))</f>
        <v/>
      </c>
      <c r="Z207" s="15">
        <f>IF(A207="","",SUMIFS('10_Stunden'!$K:$K,'10_Stunden'!$C:$C,A207))</f>
        <v/>
      </c>
      <c r="AA207" s="15">
        <f>IF(A207="","",X207+Y207+Z207+SUMIFS('14_Eingangsrechnungen'!$F:$F,'14_Eingangsrechnungen'!$C:$C,A207,'14_Eingangsrechnungen'!$E:$E,"Gerät")+SUMIFS('14_Eingangsrechnungen'!$F:$F,'14_Eingangsrechnungen'!$C:$C,A207,'14_Eingangsrechnungen'!$E:$E,"Dienstleistung"))</f>
        <v/>
      </c>
      <c r="AB207" s="15">
        <f>IF(A207="","",W207-AA207)</f>
        <v/>
      </c>
      <c r="AC207" s="19">
        <f>IF(OR(A207="",W207=0),"",AB207/W207)</f>
        <v/>
      </c>
      <c r="AD207" s="19">
        <f>IF(OR(A207="",V207=0),"",W207/V207)</f>
        <v/>
      </c>
      <c r="AE207" s="15">
        <f>IF(A207="","",MAX(0,V207-W207))</f>
        <v/>
      </c>
      <c r="AF207" s="15">
        <f>IF(A207="","",SUMIFS('13_Ausgangsrechnungen'!$R:$R,'13_Ausgangsrechnungen'!$C:$C,A207))</f>
        <v/>
      </c>
    </row>
    <row r="208">
      <c r="A208" s="30" t="inlineStr"/>
      <c r="B208" s="30" t="inlineStr"/>
      <c r="C208" s="30" t="inlineStr"/>
      <c r="D208" s="30" t="inlineStr"/>
      <c r="E208" s="30" t="inlineStr"/>
      <c r="F208" s="30" t="inlineStr"/>
      <c r="G208" s="38" t="inlineStr"/>
      <c r="H208" s="38" t="inlineStr"/>
      <c r="I208" s="38" t="inlineStr"/>
      <c r="J208" s="34" t="inlineStr"/>
      <c r="K208" s="34" t="inlineStr"/>
      <c r="L208" s="34" t="inlineStr"/>
      <c r="M208" s="34" t="inlineStr"/>
      <c r="N208" s="34" t="inlineStr"/>
      <c r="O208" s="34" t="inlineStr"/>
      <c r="P208" s="32" t="inlineStr"/>
      <c r="Q208" s="30" t="inlineStr"/>
      <c r="R208" s="30" t="inlineStr"/>
      <c r="S208" s="30" t="inlineStr"/>
      <c r="T208" s="30" t="inlineStr"/>
      <c r="U208" s="15">
        <f>IF(A208="","",SUMIFS('07_Nachtraege'!$E:$E,'07_Nachtraege'!$B:$B,A208,'07_Nachtraege'!$F:$F,"beauftragt"))</f>
        <v/>
      </c>
      <c r="V208" s="15">
        <f>IF(A208="","",J208+U208)</f>
        <v/>
      </c>
      <c r="W208" s="15">
        <f>IF(A208="","",SUMIFS('13_Ausgangsrechnungen'!$G:$G,'13_Ausgangsrechnungen'!$C:$C,A208))</f>
        <v/>
      </c>
      <c r="X208" s="15">
        <f>IF(A208="","",SUMIFS('11_Material'!$L:$L,'11_Material'!$C:$C,A208))</f>
        <v/>
      </c>
      <c r="Y208" s="15">
        <f>IF(A208="","",SUMIFS('14_Eingangsrechnungen'!$F:$F,'14_Eingangsrechnungen'!$C:$C,A208,'14_Eingangsrechnungen'!$E:$E,"Nachunternehmer"))</f>
        <v/>
      </c>
      <c r="Z208" s="15">
        <f>IF(A208="","",SUMIFS('10_Stunden'!$K:$K,'10_Stunden'!$C:$C,A208))</f>
        <v/>
      </c>
      <c r="AA208" s="15">
        <f>IF(A208="","",X208+Y208+Z208+SUMIFS('14_Eingangsrechnungen'!$F:$F,'14_Eingangsrechnungen'!$C:$C,A208,'14_Eingangsrechnungen'!$E:$E,"Gerät")+SUMIFS('14_Eingangsrechnungen'!$F:$F,'14_Eingangsrechnungen'!$C:$C,A208,'14_Eingangsrechnungen'!$E:$E,"Dienstleistung"))</f>
        <v/>
      </c>
      <c r="AB208" s="15">
        <f>IF(A208="","",W208-AA208)</f>
        <v/>
      </c>
      <c r="AC208" s="19">
        <f>IF(OR(A208="",W208=0),"",AB208/W208)</f>
        <v/>
      </c>
      <c r="AD208" s="19">
        <f>IF(OR(A208="",V208=0),"",W208/V208)</f>
        <v/>
      </c>
      <c r="AE208" s="15">
        <f>IF(A208="","",MAX(0,V208-W208))</f>
        <v/>
      </c>
      <c r="AF208" s="15">
        <f>IF(A208="","",SUMIFS('13_Ausgangsrechnungen'!$R:$R,'13_Ausgangsrechnungen'!$C:$C,A208))</f>
        <v/>
      </c>
    </row>
    <row r="209">
      <c r="A209" s="30" t="inlineStr"/>
      <c r="B209" s="30" t="inlineStr"/>
      <c r="C209" s="30" t="inlineStr"/>
      <c r="D209" s="30" t="inlineStr"/>
      <c r="E209" s="30" t="inlineStr"/>
      <c r="F209" s="30" t="inlineStr"/>
      <c r="G209" s="38" t="inlineStr"/>
      <c r="H209" s="38" t="inlineStr"/>
      <c r="I209" s="38" t="inlineStr"/>
      <c r="J209" s="34" t="inlineStr"/>
      <c r="K209" s="34" t="inlineStr"/>
      <c r="L209" s="34" t="inlineStr"/>
      <c r="M209" s="34" t="inlineStr"/>
      <c r="N209" s="34" t="inlineStr"/>
      <c r="O209" s="34" t="inlineStr"/>
      <c r="P209" s="32" t="inlineStr"/>
      <c r="Q209" s="30" t="inlineStr"/>
      <c r="R209" s="30" t="inlineStr"/>
      <c r="S209" s="30" t="inlineStr"/>
      <c r="T209" s="30" t="inlineStr"/>
      <c r="U209" s="15">
        <f>IF(A209="","",SUMIFS('07_Nachtraege'!$E:$E,'07_Nachtraege'!$B:$B,A209,'07_Nachtraege'!$F:$F,"beauftragt"))</f>
        <v/>
      </c>
      <c r="V209" s="15">
        <f>IF(A209="","",J209+U209)</f>
        <v/>
      </c>
      <c r="W209" s="15">
        <f>IF(A209="","",SUMIFS('13_Ausgangsrechnungen'!$G:$G,'13_Ausgangsrechnungen'!$C:$C,A209))</f>
        <v/>
      </c>
      <c r="X209" s="15">
        <f>IF(A209="","",SUMIFS('11_Material'!$L:$L,'11_Material'!$C:$C,A209))</f>
        <v/>
      </c>
      <c r="Y209" s="15">
        <f>IF(A209="","",SUMIFS('14_Eingangsrechnungen'!$F:$F,'14_Eingangsrechnungen'!$C:$C,A209,'14_Eingangsrechnungen'!$E:$E,"Nachunternehmer"))</f>
        <v/>
      </c>
      <c r="Z209" s="15">
        <f>IF(A209="","",SUMIFS('10_Stunden'!$K:$K,'10_Stunden'!$C:$C,A209))</f>
        <v/>
      </c>
      <c r="AA209" s="15">
        <f>IF(A209="","",X209+Y209+Z209+SUMIFS('14_Eingangsrechnungen'!$F:$F,'14_Eingangsrechnungen'!$C:$C,A209,'14_Eingangsrechnungen'!$E:$E,"Gerät")+SUMIFS('14_Eingangsrechnungen'!$F:$F,'14_Eingangsrechnungen'!$C:$C,A209,'14_Eingangsrechnungen'!$E:$E,"Dienstleistung"))</f>
        <v/>
      </c>
      <c r="AB209" s="15">
        <f>IF(A209="","",W209-AA209)</f>
        <v/>
      </c>
      <c r="AC209" s="19">
        <f>IF(OR(A209="",W209=0),"",AB209/W209)</f>
        <v/>
      </c>
      <c r="AD209" s="19">
        <f>IF(OR(A209="",V209=0),"",W209/V209)</f>
        <v/>
      </c>
      <c r="AE209" s="15">
        <f>IF(A209="","",MAX(0,V209-W209))</f>
        <v/>
      </c>
      <c r="AF209" s="15">
        <f>IF(A209="","",SUMIFS('13_Ausgangsrechnungen'!$R:$R,'13_Ausgangsrechnungen'!$C:$C,A209))</f>
        <v/>
      </c>
    </row>
    <row r="210">
      <c r="A210" s="30" t="inlineStr"/>
      <c r="B210" s="30" t="inlineStr"/>
      <c r="C210" s="30" t="inlineStr"/>
      <c r="D210" s="30" t="inlineStr"/>
      <c r="E210" s="30" t="inlineStr"/>
      <c r="F210" s="30" t="inlineStr"/>
      <c r="G210" s="38" t="inlineStr"/>
      <c r="H210" s="38" t="inlineStr"/>
      <c r="I210" s="38" t="inlineStr"/>
      <c r="J210" s="34" t="inlineStr"/>
      <c r="K210" s="34" t="inlineStr"/>
      <c r="L210" s="34" t="inlineStr"/>
      <c r="M210" s="34" t="inlineStr"/>
      <c r="N210" s="34" t="inlineStr"/>
      <c r="O210" s="34" t="inlineStr"/>
      <c r="P210" s="32" t="inlineStr"/>
      <c r="Q210" s="30" t="inlineStr"/>
      <c r="R210" s="30" t="inlineStr"/>
      <c r="S210" s="30" t="inlineStr"/>
      <c r="T210" s="30" t="inlineStr"/>
      <c r="U210" s="15">
        <f>IF(A210="","",SUMIFS('07_Nachtraege'!$E:$E,'07_Nachtraege'!$B:$B,A210,'07_Nachtraege'!$F:$F,"beauftragt"))</f>
        <v/>
      </c>
      <c r="V210" s="15">
        <f>IF(A210="","",J210+U210)</f>
        <v/>
      </c>
      <c r="W210" s="15">
        <f>IF(A210="","",SUMIFS('13_Ausgangsrechnungen'!$G:$G,'13_Ausgangsrechnungen'!$C:$C,A210))</f>
        <v/>
      </c>
      <c r="X210" s="15">
        <f>IF(A210="","",SUMIFS('11_Material'!$L:$L,'11_Material'!$C:$C,A210))</f>
        <v/>
      </c>
      <c r="Y210" s="15">
        <f>IF(A210="","",SUMIFS('14_Eingangsrechnungen'!$F:$F,'14_Eingangsrechnungen'!$C:$C,A210,'14_Eingangsrechnungen'!$E:$E,"Nachunternehmer"))</f>
        <v/>
      </c>
      <c r="Z210" s="15">
        <f>IF(A210="","",SUMIFS('10_Stunden'!$K:$K,'10_Stunden'!$C:$C,A210))</f>
        <v/>
      </c>
      <c r="AA210" s="15">
        <f>IF(A210="","",X210+Y210+Z210+SUMIFS('14_Eingangsrechnungen'!$F:$F,'14_Eingangsrechnungen'!$C:$C,A210,'14_Eingangsrechnungen'!$E:$E,"Gerät")+SUMIFS('14_Eingangsrechnungen'!$F:$F,'14_Eingangsrechnungen'!$C:$C,A210,'14_Eingangsrechnungen'!$E:$E,"Dienstleistung"))</f>
        <v/>
      </c>
      <c r="AB210" s="15">
        <f>IF(A210="","",W210-AA210)</f>
        <v/>
      </c>
      <c r="AC210" s="19">
        <f>IF(OR(A210="",W210=0),"",AB210/W210)</f>
        <v/>
      </c>
      <c r="AD210" s="19">
        <f>IF(OR(A210="",V210=0),"",W210/V210)</f>
        <v/>
      </c>
      <c r="AE210" s="15">
        <f>IF(A210="","",MAX(0,V210-W210))</f>
        <v/>
      </c>
      <c r="AF210" s="15">
        <f>IF(A210="","",SUMIFS('13_Ausgangsrechnungen'!$R:$R,'13_Ausgangsrechnungen'!$C:$C,A210))</f>
        <v/>
      </c>
    </row>
    <row r="211">
      <c r="A211" s="30" t="inlineStr"/>
      <c r="B211" s="30" t="inlineStr"/>
      <c r="C211" s="30" t="inlineStr"/>
      <c r="D211" s="30" t="inlineStr"/>
      <c r="E211" s="30" t="inlineStr"/>
      <c r="F211" s="30" t="inlineStr"/>
      <c r="G211" s="38" t="inlineStr"/>
      <c r="H211" s="38" t="inlineStr"/>
      <c r="I211" s="38" t="inlineStr"/>
      <c r="J211" s="34" t="inlineStr"/>
      <c r="K211" s="34" t="inlineStr"/>
      <c r="L211" s="34" t="inlineStr"/>
      <c r="M211" s="34" t="inlineStr"/>
      <c r="N211" s="34" t="inlineStr"/>
      <c r="O211" s="34" t="inlineStr"/>
      <c r="P211" s="32" t="inlineStr"/>
      <c r="Q211" s="30" t="inlineStr"/>
      <c r="R211" s="30" t="inlineStr"/>
      <c r="S211" s="30" t="inlineStr"/>
      <c r="T211" s="30" t="inlineStr"/>
      <c r="U211" s="15">
        <f>IF(A211="","",SUMIFS('07_Nachtraege'!$E:$E,'07_Nachtraege'!$B:$B,A211,'07_Nachtraege'!$F:$F,"beauftragt"))</f>
        <v/>
      </c>
      <c r="V211" s="15">
        <f>IF(A211="","",J211+U211)</f>
        <v/>
      </c>
      <c r="W211" s="15">
        <f>IF(A211="","",SUMIFS('13_Ausgangsrechnungen'!$G:$G,'13_Ausgangsrechnungen'!$C:$C,A211))</f>
        <v/>
      </c>
      <c r="X211" s="15">
        <f>IF(A211="","",SUMIFS('11_Material'!$L:$L,'11_Material'!$C:$C,A211))</f>
        <v/>
      </c>
      <c r="Y211" s="15">
        <f>IF(A211="","",SUMIFS('14_Eingangsrechnungen'!$F:$F,'14_Eingangsrechnungen'!$C:$C,A211,'14_Eingangsrechnungen'!$E:$E,"Nachunternehmer"))</f>
        <v/>
      </c>
      <c r="Z211" s="15">
        <f>IF(A211="","",SUMIFS('10_Stunden'!$K:$K,'10_Stunden'!$C:$C,A211))</f>
        <v/>
      </c>
      <c r="AA211" s="15">
        <f>IF(A211="","",X211+Y211+Z211+SUMIFS('14_Eingangsrechnungen'!$F:$F,'14_Eingangsrechnungen'!$C:$C,A211,'14_Eingangsrechnungen'!$E:$E,"Gerät")+SUMIFS('14_Eingangsrechnungen'!$F:$F,'14_Eingangsrechnungen'!$C:$C,A211,'14_Eingangsrechnungen'!$E:$E,"Dienstleistung"))</f>
        <v/>
      </c>
      <c r="AB211" s="15">
        <f>IF(A211="","",W211-AA211)</f>
        <v/>
      </c>
      <c r="AC211" s="19">
        <f>IF(OR(A211="",W211=0),"",AB211/W211)</f>
        <v/>
      </c>
      <c r="AD211" s="19">
        <f>IF(OR(A211="",V211=0),"",W211/V211)</f>
        <v/>
      </c>
      <c r="AE211" s="15">
        <f>IF(A211="","",MAX(0,V211-W211))</f>
        <v/>
      </c>
      <c r="AF211" s="15">
        <f>IF(A211="","",SUMIFS('13_Ausgangsrechnungen'!$R:$R,'13_Ausgangsrechnungen'!$C:$C,A211))</f>
        <v/>
      </c>
    </row>
    <row r="212">
      <c r="A212" s="30" t="inlineStr"/>
      <c r="B212" s="30" t="inlineStr"/>
      <c r="C212" s="30" t="inlineStr"/>
      <c r="D212" s="30" t="inlineStr"/>
      <c r="E212" s="30" t="inlineStr"/>
      <c r="F212" s="30" t="inlineStr"/>
      <c r="G212" s="38" t="inlineStr"/>
      <c r="H212" s="38" t="inlineStr"/>
      <c r="I212" s="38" t="inlineStr"/>
      <c r="J212" s="34" t="inlineStr"/>
      <c r="K212" s="34" t="inlineStr"/>
      <c r="L212" s="34" t="inlineStr"/>
      <c r="M212" s="34" t="inlineStr"/>
      <c r="N212" s="34" t="inlineStr"/>
      <c r="O212" s="34" t="inlineStr"/>
      <c r="P212" s="32" t="inlineStr"/>
      <c r="Q212" s="30" t="inlineStr"/>
      <c r="R212" s="30" t="inlineStr"/>
      <c r="S212" s="30" t="inlineStr"/>
      <c r="T212" s="30" t="inlineStr"/>
      <c r="U212" s="15">
        <f>IF(A212="","",SUMIFS('07_Nachtraege'!$E:$E,'07_Nachtraege'!$B:$B,A212,'07_Nachtraege'!$F:$F,"beauftragt"))</f>
        <v/>
      </c>
      <c r="V212" s="15">
        <f>IF(A212="","",J212+U212)</f>
        <v/>
      </c>
      <c r="W212" s="15">
        <f>IF(A212="","",SUMIFS('13_Ausgangsrechnungen'!$G:$G,'13_Ausgangsrechnungen'!$C:$C,A212))</f>
        <v/>
      </c>
      <c r="X212" s="15">
        <f>IF(A212="","",SUMIFS('11_Material'!$L:$L,'11_Material'!$C:$C,A212))</f>
        <v/>
      </c>
      <c r="Y212" s="15">
        <f>IF(A212="","",SUMIFS('14_Eingangsrechnungen'!$F:$F,'14_Eingangsrechnungen'!$C:$C,A212,'14_Eingangsrechnungen'!$E:$E,"Nachunternehmer"))</f>
        <v/>
      </c>
      <c r="Z212" s="15">
        <f>IF(A212="","",SUMIFS('10_Stunden'!$K:$K,'10_Stunden'!$C:$C,A212))</f>
        <v/>
      </c>
      <c r="AA212" s="15">
        <f>IF(A212="","",X212+Y212+Z212+SUMIFS('14_Eingangsrechnungen'!$F:$F,'14_Eingangsrechnungen'!$C:$C,A212,'14_Eingangsrechnungen'!$E:$E,"Gerät")+SUMIFS('14_Eingangsrechnungen'!$F:$F,'14_Eingangsrechnungen'!$C:$C,A212,'14_Eingangsrechnungen'!$E:$E,"Dienstleistung"))</f>
        <v/>
      </c>
      <c r="AB212" s="15">
        <f>IF(A212="","",W212-AA212)</f>
        <v/>
      </c>
      <c r="AC212" s="19">
        <f>IF(OR(A212="",W212=0),"",AB212/W212)</f>
        <v/>
      </c>
      <c r="AD212" s="19">
        <f>IF(OR(A212="",V212=0),"",W212/V212)</f>
        <v/>
      </c>
      <c r="AE212" s="15">
        <f>IF(A212="","",MAX(0,V212-W212))</f>
        <v/>
      </c>
      <c r="AF212" s="15">
        <f>IF(A212="","",SUMIFS('13_Ausgangsrechnungen'!$R:$R,'13_Ausgangsrechnungen'!$C:$C,A212))</f>
        <v/>
      </c>
    </row>
    <row r="213">
      <c r="A213" s="30" t="inlineStr"/>
      <c r="B213" s="30" t="inlineStr"/>
      <c r="C213" s="30" t="inlineStr"/>
      <c r="D213" s="30" t="inlineStr"/>
      <c r="E213" s="30" t="inlineStr"/>
      <c r="F213" s="30" t="inlineStr"/>
      <c r="G213" s="38" t="inlineStr"/>
      <c r="H213" s="38" t="inlineStr"/>
      <c r="I213" s="38" t="inlineStr"/>
      <c r="J213" s="34" t="inlineStr"/>
      <c r="K213" s="34" t="inlineStr"/>
      <c r="L213" s="34" t="inlineStr"/>
      <c r="M213" s="34" t="inlineStr"/>
      <c r="N213" s="34" t="inlineStr"/>
      <c r="O213" s="34" t="inlineStr"/>
      <c r="P213" s="32" t="inlineStr"/>
      <c r="Q213" s="30" t="inlineStr"/>
      <c r="R213" s="30" t="inlineStr"/>
      <c r="S213" s="30" t="inlineStr"/>
      <c r="T213" s="30" t="inlineStr"/>
      <c r="U213" s="15">
        <f>IF(A213="","",SUMIFS('07_Nachtraege'!$E:$E,'07_Nachtraege'!$B:$B,A213,'07_Nachtraege'!$F:$F,"beauftragt"))</f>
        <v/>
      </c>
      <c r="V213" s="15">
        <f>IF(A213="","",J213+U213)</f>
        <v/>
      </c>
      <c r="W213" s="15">
        <f>IF(A213="","",SUMIFS('13_Ausgangsrechnungen'!$G:$G,'13_Ausgangsrechnungen'!$C:$C,A213))</f>
        <v/>
      </c>
      <c r="X213" s="15">
        <f>IF(A213="","",SUMIFS('11_Material'!$L:$L,'11_Material'!$C:$C,A213))</f>
        <v/>
      </c>
      <c r="Y213" s="15">
        <f>IF(A213="","",SUMIFS('14_Eingangsrechnungen'!$F:$F,'14_Eingangsrechnungen'!$C:$C,A213,'14_Eingangsrechnungen'!$E:$E,"Nachunternehmer"))</f>
        <v/>
      </c>
      <c r="Z213" s="15">
        <f>IF(A213="","",SUMIFS('10_Stunden'!$K:$K,'10_Stunden'!$C:$C,A213))</f>
        <v/>
      </c>
      <c r="AA213" s="15">
        <f>IF(A213="","",X213+Y213+Z213+SUMIFS('14_Eingangsrechnungen'!$F:$F,'14_Eingangsrechnungen'!$C:$C,A213,'14_Eingangsrechnungen'!$E:$E,"Gerät")+SUMIFS('14_Eingangsrechnungen'!$F:$F,'14_Eingangsrechnungen'!$C:$C,A213,'14_Eingangsrechnungen'!$E:$E,"Dienstleistung"))</f>
        <v/>
      </c>
      <c r="AB213" s="15">
        <f>IF(A213="","",W213-AA213)</f>
        <v/>
      </c>
      <c r="AC213" s="19">
        <f>IF(OR(A213="",W213=0),"",AB213/W213)</f>
        <v/>
      </c>
      <c r="AD213" s="19">
        <f>IF(OR(A213="",V213=0),"",W213/V213)</f>
        <v/>
      </c>
      <c r="AE213" s="15">
        <f>IF(A213="","",MAX(0,V213-W213))</f>
        <v/>
      </c>
      <c r="AF213" s="15">
        <f>IF(A213="","",SUMIFS('13_Ausgangsrechnungen'!$R:$R,'13_Ausgangsrechnungen'!$C:$C,A213))</f>
        <v/>
      </c>
    </row>
    <row r="214">
      <c r="A214" s="30" t="inlineStr"/>
      <c r="B214" s="30" t="inlineStr"/>
      <c r="C214" s="30" t="inlineStr"/>
      <c r="D214" s="30" t="inlineStr"/>
      <c r="E214" s="30" t="inlineStr"/>
      <c r="F214" s="30" t="inlineStr"/>
      <c r="G214" s="38" t="inlineStr"/>
      <c r="H214" s="38" t="inlineStr"/>
      <c r="I214" s="38" t="inlineStr"/>
      <c r="J214" s="34" t="inlineStr"/>
      <c r="K214" s="34" t="inlineStr"/>
      <c r="L214" s="34" t="inlineStr"/>
      <c r="M214" s="34" t="inlineStr"/>
      <c r="N214" s="34" t="inlineStr"/>
      <c r="O214" s="34" t="inlineStr"/>
      <c r="P214" s="32" t="inlineStr"/>
      <c r="Q214" s="30" t="inlineStr"/>
      <c r="R214" s="30" t="inlineStr"/>
      <c r="S214" s="30" t="inlineStr"/>
      <c r="T214" s="30" t="inlineStr"/>
      <c r="U214" s="15">
        <f>IF(A214="","",SUMIFS('07_Nachtraege'!$E:$E,'07_Nachtraege'!$B:$B,A214,'07_Nachtraege'!$F:$F,"beauftragt"))</f>
        <v/>
      </c>
      <c r="V214" s="15">
        <f>IF(A214="","",J214+U214)</f>
        <v/>
      </c>
      <c r="W214" s="15">
        <f>IF(A214="","",SUMIFS('13_Ausgangsrechnungen'!$G:$G,'13_Ausgangsrechnungen'!$C:$C,A214))</f>
        <v/>
      </c>
      <c r="X214" s="15">
        <f>IF(A214="","",SUMIFS('11_Material'!$L:$L,'11_Material'!$C:$C,A214))</f>
        <v/>
      </c>
      <c r="Y214" s="15">
        <f>IF(A214="","",SUMIFS('14_Eingangsrechnungen'!$F:$F,'14_Eingangsrechnungen'!$C:$C,A214,'14_Eingangsrechnungen'!$E:$E,"Nachunternehmer"))</f>
        <v/>
      </c>
      <c r="Z214" s="15">
        <f>IF(A214="","",SUMIFS('10_Stunden'!$K:$K,'10_Stunden'!$C:$C,A214))</f>
        <v/>
      </c>
      <c r="AA214" s="15">
        <f>IF(A214="","",X214+Y214+Z214+SUMIFS('14_Eingangsrechnungen'!$F:$F,'14_Eingangsrechnungen'!$C:$C,A214,'14_Eingangsrechnungen'!$E:$E,"Gerät")+SUMIFS('14_Eingangsrechnungen'!$F:$F,'14_Eingangsrechnungen'!$C:$C,A214,'14_Eingangsrechnungen'!$E:$E,"Dienstleistung"))</f>
        <v/>
      </c>
      <c r="AB214" s="15">
        <f>IF(A214="","",W214-AA214)</f>
        <v/>
      </c>
      <c r="AC214" s="19">
        <f>IF(OR(A214="",W214=0),"",AB214/W214)</f>
        <v/>
      </c>
      <c r="AD214" s="19">
        <f>IF(OR(A214="",V214=0),"",W214/V214)</f>
        <v/>
      </c>
      <c r="AE214" s="15">
        <f>IF(A214="","",MAX(0,V214-W214))</f>
        <v/>
      </c>
      <c r="AF214" s="15">
        <f>IF(A214="","",SUMIFS('13_Ausgangsrechnungen'!$R:$R,'13_Ausgangsrechnungen'!$C:$C,A214))</f>
        <v/>
      </c>
    </row>
    <row r="215">
      <c r="A215" s="30" t="inlineStr"/>
      <c r="B215" s="30" t="inlineStr"/>
      <c r="C215" s="30" t="inlineStr"/>
      <c r="D215" s="30" t="inlineStr"/>
      <c r="E215" s="30" t="inlineStr"/>
      <c r="F215" s="30" t="inlineStr"/>
      <c r="G215" s="38" t="inlineStr"/>
      <c r="H215" s="38" t="inlineStr"/>
      <c r="I215" s="38" t="inlineStr"/>
      <c r="J215" s="34" t="inlineStr"/>
      <c r="K215" s="34" t="inlineStr"/>
      <c r="L215" s="34" t="inlineStr"/>
      <c r="M215" s="34" t="inlineStr"/>
      <c r="N215" s="34" t="inlineStr"/>
      <c r="O215" s="34" t="inlineStr"/>
      <c r="P215" s="32" t="inlineStr"/>
      <c r="Q215" s="30" t="inlineStr"/>
      <c r="R215" s="30" t="inlineStr"/>
      <c r="S215" s="30" t="inlineStr"/>
      <c r="T215" s="30" t="inlineStr"/>
      <c r="U215" s="15">
        <f>IF(A215="","",SUMIFS('07_Nachtraege'!$E:$E,'07_Nachtraege'!$B:$B,A215,'07_Nachtraege'!$F:$F,"beauftragt"))</f>
        <v/>
      </c>
      <c r="V215" s="15">
        <f>IF(A215="","",J215+U215)</f>
        <v/>
      </c>
      <c r="W215" s="15">
        <f>IF(A215="","",SUMIFS('13_Ausgangsrechnungen'!$G:$G,'13_Ausgangsrechnungen'!$C:$C,A215))</f>
        <v/>
      </c>
      <c r="X215" s="15">
        <f>IF(A215="","",SUMIFS('11_Material'!$L:$L,'11_Material'!$C:$C,A215))</f>
        <v/>
      </c>
      <c r="Y215" s="15">
        <f>IF(A215="","",SUMIFS('14_Eingangsrechnungen'!$F:$F,'14_Eingangsrechnungen'!$C:$C,A215,'14_Eingangsrechnungen'!$E:$E,"Nachunternehmer"))</f>
        <v/>
      </c>
      <c r="Z215" s="15">
        <f>IF(A215="","",SUMIFS('10_Stunden'!$K:$K,'10_Stunden'!$C:$C,A215))</f>
        <v/>
      </c>
      <c r="AA215" s="15">
        <f>IF(A215="","",X215+Y215+Z215+SUMIFS('14_Eingangsrechnungen'!$F:$F,'14_Eingangsrechnungen'!$C:$C,A215,'14_Eingangsrechnungen'!$E:$E,"Gerät")+SUMIFS('14_Eingangsrechnungen'!$F:$F,'14_Eingangsrechnungen'!$C:$C,A215,'14_Eingangsrechnungen'!$E:$E,"Dienstleistung"))</f>
        <v/>
      </c>
      <c r="AB215" s="15">
        <f>IF(A215="","",W215-AA215)</f>
        <v/>
      </c>
      <c r="AC215" s="19">
        <f>IF(OR(A215="",W215=0),"",AB215/W215)</f>
        <v/>
      </c>
      <c r="AD215" s="19">
        <f>IF(OR(A215="",V215=0),"",W215/V215)</f>
        <v/>
      </c>
      <c r="AE215" s="15">
        <f>IF(A215="","",MAX(0,V215-W215))</f>
        <v/>
      </c>
      <c r="AF215" s="15">
        <f>IF(A215="","",SUMIFS('13_Ausgangsrechnungen'!$R:$R,'13_Ausgangsrechnungen'!$C:$C,A215))</f>
        <v/>
      </c>
    </row>
    <row r="216">
      <c r="A216" s="30" t="inlineStr"/>
      <c r="B216" s="30" t="inlineStr"/>
      <c r="C216" s="30" t="inlineStr"/>
      <c r="D216" s="30" t="inlineStr"/>
      <c r="E216" s="30" t="inlineStr"/>
      <c r="F216" s="30" t="inlineStr"/>
      <c r="G216" s="38" t="inlineStr"/>
      <c r="H216" s="38" t="inlineStr"/>
      <c r="I216" s="38" t="inlineStr"/>
      <c r="J216" s="34" t="inlineStr"/>
      <c r="K216" s="34" t="inlineStr"/>
      <c r="L216" s="34" t="inlineStr"/>
      <c r="M216" s="34" t="inlineStr"/>
      <c r="N216" s="34" t="inlineStr"/>
      <c r="O216" s="34" t="inlineStr"/>
      <c r="P216" s="32" t="inlineStr"/>
      <c r="Q216" s="30" t="inlineStr"/>
      <c r="R216" s="30" t="inlineStr"/>
      <c r="S216" s="30" t="inlineStr"/>
      <c r="T216" s="30" t="inlineStr"/>
      <c r="U216" s="15">
        <f>IF(A216="","",SUMIFS('07_Nachtraege'!$E:$E,'07_Nachtraege'!$B:$B,A216,'07_Nachtraege'!$F:$F,"beauftragt"))</f>
        <v/>
      </c>
      <c r="V216" s="15">
        <f>IF(A216="","",J216+U216)</f>
        <v/>
      </c>
      <c r="W216" s="15">
        <f>IF(A216="","",SUMIFS('13_Ausgangsrechnungen'!$G:$G,'13_Ausgangsrechnungen'!$C:$C,A216))</f>
        <v/>
      </c>
      <c r="X216" s="15">
        <f>IF(A216="","",SUMIFS('11_Material'!$L:$L,'11_Material'!$C:$C,A216))</f>
        <v/>
      </c>
      <c r="Y216" s="15">
        <f>IF(A216="","",SUMIFS('14_Eingangsrechnungen'!$F:$F,'14_Eingangsrechnungen'!$C:$C,A216,'14_Eingangsrechnungen'!$E:$E,"Nachunternehmer"))</f>
        <v/>
      </c>
      <c r="Z216" s="15">
        <f>IF(A216="","",SUMIFS('10_Stunden'!$K:$K,'10_Stunden'!$C:$C,A216))</f>
        <v/>
      </c>
      <c r="AA216" s="15">
        <f>IF(A216="","",X216+Y216+Z216+SUMIFS('14_Eingangsrechnungen'!$F:$F,'14_Eingangsrechnungen'!$C:$C,A216,'14_Eingangsrechnungen'!$E:$E,"Gerät")+SUMIFS('14_Eingangsrechnungen'!$F:$F,'14_Eingangsrechnungen'!$C:$C,A216,'14_Eingangsrechnungen'!$E:$E,"Dienstleistung"))</f>
        <v/>
      </c>
      <c r="AB216" s="15">
        <f>IF(A216="","",W216-AA216)</f>
        <v/>
      </c>
      <c r="AC216" s="19">
        <f>IF(OR(A216="",W216=0),"",AB216/W216)</f>
        <v/>
      </c>
      <c r="AD216" s="19">
        <f>IF(OR(A216="",V216=0),"",W216/V216)</f>
        <v/>
      </c>
      <c r="AE216" s="15">
        <f>IF(A216="","",MAX(0,V216-W216))</f>
        <v/>
      </c>
      <c r="AF216" s="15">
        <f>IF(A216="","",SUMIFS('13_Ausgangsrechnungen'!$R:$R,'13_Ausgangsrechnungen'!$C:$C,A216))</f>
        <v/>
      </c>
    </row>
    <row r="217">
      <c r="A217" s="30" t="inlineStr"/>
      <c r="B217" s="30" t="inlineStr"/>
      <c r="C217" s="30" t="inlineStr"/>
      <c r="D217" s="30" t="inlineStr"/>
      <c r="E217" s="30" t="inlineStr"/>
      <c r="F217" s="30" t="inlineStr"/>
      <c r="G217" s="38" t="inlineStr"/>
      <c r="H217" s="38" t="inlineStr"/>
      <c r="I217" s="38" t="inlineStr"/>
      <c r="J217" s="34" t="inlineStr"/>
      <c r="K217" s="34" t="inlineStr"/>
      <c r="L217" s="34" t="inlineStr"/>
      <c r="M217" s="34" t="inlineStr"/>
      <c r="N217" s="34" t="inlineStr"/>
      <c r="O217" s="34" t="inlineStr"/>
      <c r="P217" s="32" t="inlineStr"/>
      <c r="Q217" s="30" t="inlineStr"/>
      <c r="R217" s="30" t="inlineStr"/>
      <c r="S217" s="30" t="inlineStr"/>
      <c r="T217" s="30" t="inlineStr"/>
      <c r="U217" s="15">
        <f>IF(A217="","",SUMIFS('07_Nachtraege'!$E:$E,'07_Nachtraege'!$B:$B,A217,'07_Nachtraege'!$F:$F,"beauftragt"))</f>
        <v/>
      </c>
      <c r="V217" s="15">
        <f>IF(A217="","",J217+U217)</f>
        <v/>
      </c>
      <c r="W217" s="15">
        <f>IF(A217="","",SUMIFS('13_Ausgangsrechnungen'!$G:$G,'13_Ausgangsrechnungen'!$C:$C,A217))</f>
        <v/>
      </c>
      <c r="X217" s="15">
        <f>IF(A217="","",SUMIFS('11_Material'!$L:$L,'11_Material'!$C:$C,A217))</f>
        <v/>
      </c>
      <c r="Y217" s="15">
        <f>IF(A217="","",SUMIFS('14_Eingangsrechnungen'!$F:$F,'14_Eingangsrechnungen'!$C:$C,A217,'14_Eingangsrechnungen'!$E:$E,"Nachunternehmer"))</f>
        <v/>
      </c>
      <c r="Z217" s="15">
        <f>IF(A217="","",SUMIFS('10_Stunden'!$K:$K,'10_Stunden'!$C:$C,A217))</f>
        <v/>
      </c>
      <c r="AA217" s="15">
        <f>IF(A217="","",X217+Y217+Z217+SUMIFS('14_Eingangsrechnungen'!$F:$F,'14_Eingangsrechnungen'!$C:$C,A217,'14_Eingangsrechnungen'!$E:$E,"Gerät")+SUMIFS('14_Eingangsrechnungen'!$F:$F,'14_Eingangsrechnungen'!$C:$C,A217,'14_Eingangsrechnungen'!$E:$E,"Dienstleistung"))</f>
        <v/>
      </c>
      <c r="AB217" s="15">
        <f>IF(A217="","",W217-AA217)</f>
        <v/>
      </c>
      <c r="AC217" s="19">
        <f>IF(OR(A217="",W217=0),"",AB217/W217)</f>
        <v/>
      </c>
      <c r="AD217" s="19">
        <f>IF(OR(A217="",V217=0),"",W217/V217)</f>
        <v/>
      </c>
      <c r="AE217" s="15">
        <f>IF(A217="","",MAX(0,V217-W217))</f>
        <v/>
      </c>
      <c r="AF217" s="15">
        <f>IF(A217="","",SUMIFS('13_Ausgangsrechnungen'!$R:$R,'13_Ausgangsrechnungen'!$C:$C,A217))</f>
        <v/>
      </c>
    </row>
    <row r="218">
      <c r="A218" s="30" t="inlineStr"/>
      <c r="B218" s="30" t="inlineStr"/>
      <c r="C218" s="30" t="inlineStr"/>
      <c r="D218" s="30" t="inlineStr"/>
      <c r="E218" s="30" t="inlineStr"/>
      <c r="F218" s="30" t="inlineStr"/>
      <c r="G218" s="38" t="inlineStr"/>
      <c r="H218" s="38" t="inlineStr"/>
      <c r="I218" s="38" t="inlineStr"/>
      <c r="J218" s="34" t="inlineStr"/>
      <c r="K218" s="34" t="inlineStr"/>
      <c r="L218" s="34" t="inlineStr"/>
      <c r="M218" s="34" t="inlineStr"/>
      <c r="N218" s="34" t="inlineStr"/>
      <c r="O218" s="34" t="inlineStr"/>
      <c r="P218" s="32" t="inlineStr"/>
      <c r="Q218" s="30" t="inlineStr"/>
      <c r="R218" s="30" t="inlineStr"/>
      <c r="S218" s="30" t="inlineStr"/>
      <c r="T218" s="30" t="inlineStr"/>
      <c r="U218" s="15">
        <f>IF(A218="","",SUMIFS('07_Nachtraege'!$E:$E,'07_Nachtraege'!$B:$B,A218,'07_Nachtraege'!$F:$F,"beauftragt"))</f>
        <v/>
      </c>
      <c r="V218" s="15">
        <f>IF(A218="","",J218+U218)</f>
        <v/>
      </c>
      <c r="W218" s="15">
        <f>IF(A218="","",SUMIFS('13_Ausgangsrechnungen'!$G:$G,'13_Ausgangsrechnungen'!$C:$C,A218))</f>
        <v/>
      </c>
      <c r="X218" s="15">
        <f>IF(A218="","",SUMIFS('11_Material'!$L:$L,'11_Material'!$C:$C,A218))</f>
        <v/>
      </c>
      <c r="Y218" s="15">
        <f>IF(A218="","",SUMIFS('14_Eingangsrechnungen'!$F:$F,'14_Eingangsrechnungen'!$C:$C,A218,'14_Eingangsrechnungen'!$E:$E,"Nachunternehmer"))</f>
        <v/>
      </c>
      <c r="Z218" s="15">
        <f>IF(A218="","",SUMIFS('10_Stunden'!$K:$K,'10_Stunden'!$C:$C,A218))</f>
        <v/>
      </c>
      <c r="AA218" s="15">
        <f>IF(A218="","",X218+Y218+Z218+SUMIFS('14_Eingangsrechnungen'!$F:$F,'14_Eingangsrechnungen'!$C:$C,A218,'14_Eingangsrechnungen'!$E:$E,"Gerät")+SUMIFS('14_Eingangsrechnungen'!$F:$F,'14_Eingangsrechnungen'!$C:$C,A218,'14_Eingangsrechnungen'!$E:$E,"Dienstleistung"))</f>
        <v/>
      </c>
      <c r="AB218" s="15">
        <f>IF(A218="","",W218-AA218)</f>
        <v/>
      </c>
      <c r="AC218" s="19">
        <f>IF(OR(A218="",W218=0),"",AB218/W218)</f>
        <v/>
      </c>
      <c r="AD218" s="19">
        <f>IF(OR(A218="",V218=0),"",W218/V218)</f>
        <v/>
      </c>
      <c r="AE218" s="15">
        <f>IF(A218="","",MAX(0,V218-W218))</f>
        <v/>
      </c>
      <c r="AF218" s="15">
        <f>IF(A218="","",SUMIFS('13_Ausgangsrechnungen'!$R:$R,'13_Ausgangsrechnungen'!$C:$C,A218))</f>
        <v/>
      </c>
    </row>
    <row r="219">
      <c r="A219" s="30" t="inlineStr"/>
      <c r="B219" s="30" t="inlineStr"/>
      <c r="C219" s="30" t="inlineStr"/>
      <c r="D219" s="30" t="inlineStr"/>
      <c r="E219" s="30" t="inlineStr"/>
      <c r="F219" s="30" t="inlineStr"/>
      <c r="G219" s="38" t="inlineStr"/>
      <c r="H219" s="38" t="inlineStr"/>
      <c r="I219" s="38" t="inlineStr"/>
      <c r="J219" s="34" t="inlineStr"/>
      <c r="K219" s="34" t="inlineStr"/>
      <c r="L219" s="34" t="inlineStr"/>
      <c r="M219" s="34" t="inlineStr"/>
      <c r="N219" s="34" t="inlineStr"/>
      <c r="O219" s="34" t="inlineStr"/>
      <c r="P219" s="32" t="inlineStr"/>
      <c r="Q219" s="30" t="inlineStr"/>
      <c r="R219" s="30" t="inlineStr"/>
      <c r="S219" s="30" t="inlineStr"/>
      <c r="T219" s="30" t="inlineStr"/>
      <c r="U219" s="15">
        <f>IF(A219="","",SUMIFS('07_Nachtraege'!$E:$E,'07_Nachtraege'!$B:$B,A219,'07_Nachtraege'!$F:$F,"beauftragt"))</f>
        <v/>
      </c>
      <c r="V219" s="15">
        <f>IF(A219="","",J219+U219)</f>
        <v/>
      </c>
      <c r="W219" s="15">
        <f>IF(A219="","",SUMIFS('13_Ausgangsrechnungen'!$G:$G,'13_Ausgangsrechnungen'!$C:$C,A219))</f>
        <v/>
      </c>
      <c r="X219" s="15">
        <f>IF(A219="","",SUMIFS('11_Material'!$L:$L,'11_Material'!$C:$C,A219))</f>
        <v/>
      </c>
      <c r="Y219" s="15">
        <f>IF(A219="","",SUMIFS('14_Eingangsrechnungen'!$F:$F,'14_Eingangsrechnungen'!$C:$C,A219,'14_Eingangsrechnungen'!$E:$E,"Nachunternehmer"))</f>
        <v/>
      </c>
      <c r="Z219" s="15">
        <f>IF(A219="","",SUMIFS('10_Stunden'!$K:$K,'10_Stunden'!$C:$C,A219))</f>
        <v/>
      </c>
      <c r="AA219" s="15">
        <f>IF(A219="","",X219+Y219+Z219+SUMIFS('14_Eingangsrechnungen'!$F:$F,'14_Eingangsrechnungen'!$C:$C,A219,'14_Eingangsrechnungen'!$E:$E,"Gerät")+SUMIFS('14_Eingangsrechnungen'!$F:$F,'14_Eingangsrechnungen'!$C:$C,A219,'14_Eingangsrechnungen'!$E:$E,"Dienstleistung"))</f>
        <v/>
      </c>
      <c r="AB219" s="15">
        <f>IF(A219="","",W219-AA219)</f>
        <v/>
      </c>
      <c r="AC219" s="19">
        <f>IF(OR(A219="",W219=0),"",AB219/W219)</f>
        <v/>
      </c>
      <c r="AD219" s="19">
        <f>IF(OR(A219="",V219=0),"",W219/V219)</f>
        <v/>
      </c>
      <c r="AE219" s="15">
        <f>IF(A219="","",MAX(0,V219-W219))</f>
        <v/>
      </c>
      <c r="AF219" s="15">
        <f>IF(A219="","",SUMIFS('13_Ausgangsrechnungen'!$R:$R,'13_Ausgangsrechnungen'!$C:$C,A219))</f>
        <v/>
      </c>
    </row>
    <row r="220">
      <c r="A220" s="30" t="inlineStr"/>
      <c r="B220" s="30" t="inlineStr"/>
      <c r="C220" s="30" t="inlineStr"/>
      <c r="D220" s="30" t="inlineStr"/>
      <c r="E220" s="30" t="inlineStr"/>
      <c r="F220" s="30" t="inlineStr"/>
      <c r="G220" s="38" t="inlineStr"/>
      <c r="H220" s="38" t="inlineStr"/>
      <c r="I220" s="38" t="inlineStr"/>
      <c r="J220" s="34" t="inlineStr"/>
      <c r="K220" s="34" t="inlineStr"/>
      <c r="L220" s="34" t="inlineStr"/>
      <c r="M220" s="34" t="inlineStr"/>
      <c r="N220" s="34" t="inlineStr"/>
      <c r="O220" s="34" t="inlineStr"/>
      <c r="P220" s="32" t="inlineStr"/>
      <c r="Q220" s="30" t="inlineStr"/>
      <c r="R220" s="30" t="inlineStr"/>
      <c r="S220" s="30" t="inlineStr"/>
      <c r="T220" s="30" t="inlineStr"/>
      <c r="U220" s="15">
        <f>IF(A220="","",SUMIFS('07_Nachtraege'!$E:$E,'07_Nachtraege'!$B:$B,A220,'07_Nachtraege'!$F:$F,"beauftragt"))</f>
        <v/>
      </c>
      <c r="V220" s="15">
        <f>IF(A220="","",J220+U220)</f>
        <v/>
      </c>
      <c r="W220" s="15">
        <f>IF(A220="","",SUMIFS('13_Ausgangsrechnungen'!$G:$G,'13_Ausgangsrechnungen'!$C:$C,A220))</f>
        <v/>
      </c>
      <c r="X220" s="15">
        <f>IF(A220="","",SUMIFS('11_Material'!$L:$L,'11_Material'!$C:$C,A220))</f>
        <v/>
      </c>
      <c r="Y220" s="15">
        <f>IF(A220="","",SUMIFS('14_Eingangsrechnungen'!$F:$F,'14_Eingangsrechnungen'!$C:$C,A220,'14_Eingangsrechnungen'!$E:$E,"Nachunternehmer"))</f>
        <v/>
      </c>
      <c r="Z220" s="15">
        <f>IF(A220="","",SUMIFS('10_Stunden'!$K:$K,'10_Stunden'!$C:$C,A220))</f>
        <v/>
      </c>
      <c r="AA220" s="15">
        <f>IF(A220="","",X220+Y220+Z220+SUMIFS('14_Eingangsrechnungen'!$F:$F,'14_Eingangsrechnungen'!$C:$C,A220,'14_Eingangsrechnungen'!$E:$E,"Gerät")+SUMIFS('14_Eingangsrechnungen'!$F:$F,'14_Eingangsrechnungen'!$C:$C,A220,'14_Eingangsrechnungen'!$E:$E,"Dienstleistung"))</f>
        <v/>
      </c>
      <c r="AB220" s="15">
        <f>IF(A220="","",W220-AA220)</f>
        <v/>
      </c>
      <c r="AC220" s="19">
        <f>IF(OR(A220="",W220=0),"",AB220/W220)</f>
        <v/>
      </c>
      <c r="AD220" s="19">
        <f>IF(OR(A220="",V220=0),"",W220/V220)</f>
        <v/>
      </c>
      <c r="AE220" s="15">
        <f>IF(A220="","",MAX(0,V220-W220))</f>
        <v/>
      </c>
      <c r="AF220" s="15">
        <f>IF(A220="","",SUMIFS('13_Ausgangsrechnungen'!$R:$R,'13_Ausgangsrechnungen'!$C:$C,A220))</f>
        <v/>
      </c>
    </row>
    <row r="221">
      <c r="A221" s="30" t="inlineStr"/>
      <c r="B221" s="30" t="inlineStr"/>
      <c r="C221" s="30" t="inlineStr"/>
      <c r="D221" s="30" t="inlineStr"/>
      <c r="E221" s="30" t="inlineStr"/>
      <c r="F221" s="30" t="inlineStr"/>
      <c r="G221" s="38" t="inlineStr"/>
      <c r="H221" s="38" t="inlineStr"/>
      <c r="I221" s="38" t="inlineStr"/>
      <c r="J221" s="34" t="inlineStr"/>
      <c r="K221" s="34" t="inlineStr"/>
      <c r="L221" s="34" t="inlineStr"/>
      <c r="M221" s="34" t="inlineStr"/>
      <c r="N221" s="34" t="inlineStr"/>
      <c r="O221" s="34" t="inlineStr"/>
      <c r="P221" s="32" t="inlineStr"/>
      <c r="Q221" s="30" t="inlineStr"/>
      <c r="R221" s="30" t="inlineStr"/>
      <c r="S221" s="30" t="inlineStr"/>
      <c r="T221" s="30" t="inlineStr"/>
      <c r="U221" s="15">
        <f>IF(A221="","",SUMIFS('07_Nachtraege'!$E:$E,'07_Nachtraege'!$B:$B,A221,'07_Nachtraege'!$F:$F,"beauftragt"))</f>
        <v/>
      </c>
      <c r="V221" s="15">
        <f>IF(A221="","",J221+U221)</f>
        <v/>
      </c>
      <c r="W221" s="15">
        <f>IF(A221="","",SUMIFS('13_Ausgangsrechnungen'!$G:$G,'13_Ausgangsrechnungen'!$C:$C,A221))</f>
        <v/>
      </c>
      <c r="X221" s="15">
        <f>IF(A221="","",SUMIFS('11_Material'!$L:$L,'11_Material'!$C:$C,A221))</f>
        <v/>
      </c>
      <c r="Y221" s="15">
        <f>IF(A221="","",SUMIFS('14_Eingangsrechnungen'!$F:$F,'14_Eingangsrechnungen'!$C:$C,A221,'14_Eingangsrechnungen'!$E:$E,"Nachunternehmer"))</f>
        <v/>
      </c>
      <c r="Z221" s="15">
        <f>IF(A221="","",SUMIFS('10_Stunden'!$K:$K,'10_Stunden'!$C:$C,A221))</f>
        <v/>
      </c>
      <c r="AA221" s="15">
        <f>IF(A221="","",X221+Y221+Z221+SUMIFS('14_Eingangsrechnungen'!$F:$F,'14_Eingangsrechnungen'!$C:$C,A221,'14_Eingangsrechnungen'!$E:$E,"Gerät")+SUMIFS('14_Eingangsrechnungen'!$F:$F,'14_Eingangsrechnungen'!$C:$C,A221,'14_Eingangsrechnungen'!$E:$E,"Dienstleistung"))</f>
        <v/>
      </c>
      <c r="AB221" s="15">
        <f>IF(A221="","",W221-AA221)</f>
        <v/>
      </c>
      <c r="AC221" s="19">
        <f>IF(OR(A221="",W221=0),"",AB221/W221)</f>
        <v/>
      </c>
      <c r="AD221" s="19">
        <f>IF(OR(A221="",V221=0),"",W221/V221)</f>
        <v/>
      </c>
      <c r="AE221" s="15">
        <f>IF(A221="","",MAX(0,V221-W221))</f>
        <v/>
      </c>
      <c r="AF221" s="15">
        <f>IF(A221="","",SUMIFS('13_Ausgangsrechnungen'!$R:$R,'13_Ausgangsrechnungen'!$C:$C,A221))</f>
        <v/>
      </c>
    </row>
    <row r="222">
      <c r="A222" s="30" t="inlineStr"/>
      <c r="B222" s="30" t="inlineStr"/>
      <c r="C222" s="30" t="inlineStr"/>
      <c r="D222" s="30" t="inlineStr"/>
      <c r="E222" s="30" t="inlineStr"/>
      <c r="F222" s="30" t="inlineStr"/>
      <c r="G222" s="38" t="inlineStr"/>
      <c r="H222" s="38" t="inlineStr"/>
      <c r="I222" s="38" t="inlineStr"/>
      <c r="J222" s="34" t="inlineStr"/>
      <c r="K222" s="34" t="inlineStr"/>
      <c r="L222" s="34" t="inlineStr"/>
      <c r="M222" s="34" t="inlineStr"/>
      <c r="N222" s="34" t="inlineStr"/>
      <c r="O222" s="34" t="inlineStr"/>
      <c r="P222" s="32" t="inlineStr"/>
      <c r="Q222" s="30" t="inlineStr"/>
      <c r="R222" s="30" t="inlineStr"/>
      <c r="S222" s="30" t="inlineStr"/>
      <c r="T222" s="30" t="inlineStr"/>
      <c r="U222" s="15">
        <f>IF(A222="","",SUMIFS('07_Nachtraege'!$E:$E,'07_Nachtraege'!$B:$B,A222,'07_Nachtraege'!$F:$F,"beauftragt"))</f>
        <v/>
      </c>
      <c r="V222" s="15">
        <f>IF(A222="","",J222+U222)</f>
        <v/>
      </c>
      <c r="W222" s="15">
        <f>IF(A222="","",SUMIFS('13_Ausgangsrechnungen'!$G:$G,'13_Ausgangsrechnungen'!$C:$C,A222))</f>
        <v/>
      </c>
      <c r="X222" s="15">
        <f>IF(A222="","",SUMIFS('11_Material'!$L:$L,'11_Material'!$C:$C,A222))</f>
        <v/>
      </c>
      <c r="Y222" s="15">
        <f>IF(A222="","",SUMIFS('14_Eingangsrechnungen'!$F:$F,'14_Eingangsrechnungen'!$C:$C,A222,'14_Eingangsrechnungen'!$E:$E,"Nachunternehmer"))</f>
        <v/>
      </c>
      <c r="Z222" s="15">
        <f>IF(A222="","",SUMIFS('10_Stunden'!$K:$K,'10_Stunden'!$C:$C,A222))</f>
        <v/>
      </c>
      <c r="AA222" s="15">
        <f>IF(A222="","",X222+Y222+Z222+SUMIFS('14_Eingangsrechnungen'!$F:$F,'14_Eingangsrechnungen'!$C:$C,A222,'14_Eingangsrechnungen'!$E:$E,"Gerät")+SUMIFS('14_Eingangsrechnungen'!$F:$F,'14_Eingangsrechnungen'!$C:$C,A222,'14_Eingangsrechnungen'!$E:$E,"Dienstleistung"))</f>
        <v/>
      </c>
      <c r="AB222" s="15">
        <f>IF(A222="","",W222-AA222)</f>
        <v/>
      </c>
      <c r="AC222" s="19">
        <f>IF(OR(A222="",W222=0),"",AB222/W222)</f>
        <v/>
      </c>
      <c r="AD222" s="19">
        <f>IF(OR(A222="",V222=0),"",W222/V222)</f>
        <v/>
      </c>
      <c r="AE222" s="15">
        <f>IF(A222="","",MAX(0,V222-W222))</f>
        <v/>
      </c>
      <c r="AF222" s="15">
        <f>IF(A222="","",SUMIFS('13_Ausgangsrechnungen'!$R:$R,'13_Ausgangsrechnungen'!$C:$C,A222))</f>
        <v/>
      </c>
    </row>
    <row r="223">
      <c r="A223" s="30" t="inlineStr"/>
      <c r="B223" s="30" t="inlineStr"/>
      <c r="C223" s="30" t="inlineStr"/>
      <c r="D223" s="30" t="inlineStr"/>
      <c r="E223" s="30" t="inlineStr"/>
      <c r="F223" s="30" t="inlineStr"/>
      <c r="G223" s="38" t="inlineStr"/>
      <c r="H223" s="38" t="inlineStr"/>
      <c r="I223" s="38" t="inlineStr"/>
      <c r="J223" s="34" t="inlineStr"/>
      <c r="K223" s="34" t="inlineStr"/>
      <c r="L223" s="34" t="inlineStr"/>
      <c r="M223" s="34" t="inlineStr"/>
      <c r="N223" s="34" t="inlineStr"/>
      <c r="O223" s="34" t="inlineStr"/>
      <c r="P223" s="32" t="inlineStr"/>
      <c r="Q223" s="30" t="inlineStr"/>
      <c r="R223" s="30" t="inlineStr"/>
      <c r="S223" s="30" t="inlineStr"/>
      <c r="T223" s="30" t="inlineStr"/>
      <c r="U223" s="15">
        <f>IF(A223="","",SUMIFS('07_Nachtraege'!$E:$E,'07_Nachtraege'!$B:$B,A223,'07_Nachtraege'!$F:$F,"beauftragt"))</f>
        <v/>
      </c>
      <c r="V223" s="15">
        <f>IF(A223="","",J223+U223)</f>
        <v/>
      </c>
      <c r="W223" s="15">
        <f>IF(A223="","",SUMIFS('13_Ausgangsrechnungen'!$G:$G,'13_Ausgangsrechnungen'!$C:$C,A223))</f>
        <v/>
      </c>
      <c r="X223" s="15">
        <f>IF(A223="","",SUMIFS('11_Material'!$L:$L,'11_Material'!$C:$C,A223))</f>
        <v/>
      </c>
      <c r="Y223" s="15">
        <f>IF(A223="","",SUMIFS('14_Eingangsrechnungen'!$F:$F,'14_Eingangsrechnungen'!$C:$C,A223,'14_Eingangsrechnungen'!$E:$E,"Nachunternehmer"))</f>
        <v/>
      </c>
      <c r="Z223" s="15">
        <f>IF(A223="","",SUMIFS('10_Stunden'!$K:$K,'10_Stunden'!$C:$C,A223))</f>
        <v/>
      </c>
      <c r="AA223" s="15">
        <f>IF(A223="","",X223+Y223+Z223+SUMIFS('14_Eingangsrechnungen'!$F:$F,'14_Eingangsrechnungen'!$C:$C,A223,'14_Eingangsrechnungen'!$E:$E,"Gerät")+SUMIFS('14_Eingangsrechnungen'!$F:$F,'14_Eingangsrechnungen'!$C:$C,A223,'14_Eingangsrechnungen'!$E:$E,"Dienstleistung"))</f>
        <v/>
      </c>
      <c r="AB223" s="15">
        <f>IF(A223="","",W223-AA223)</f>
        <v/>
      </c>
      <c r="AC223" s="19">
        <f>IF(OR(A223="",W223=0),"",AB223/W223)</f>
        <v/>
      </c>
      <c r="AD223" s="19">
        <f>IF(OR(A223="",V223=0),"",W223/V223)</f>
        <v/>
      </c>
      <c r="AE223" s="15">
        <f>IF(A223="","",MAX(0,V223-W223))</f>
        <v/>
      </c>
      <c r="AF223" s="15">
        <f>IF(A223="","",SUMIFS('13_Ausgangsrechnungen'!$R:$R,'13_Ausgangsrechnungen'!$C:$C,A223))</f>
        <v/>
      </c>
    </row>
    <row r="224">
      <c r="A224" s="30" t="inlineStr"/>
      <c r="B224" s="30" t="inlineStr"/>
      <c r="C224" s="30" t="inlineStr"/>
      <c r="D224" s="30" t="inlineStr"/>
      <c r="E224" s="30" t="inlineStr"/>
      <c r="F224" s="30" t="inlineStr"/>
      <c r="G224" s="38" t="inlineStr"/>
      <c r="H224" s="38" t="inlineStr"/>
      <c r="I224" s="38" t="inlineStr"/>
      <c r="J224" s="34" t="inlineStr"/>
      <c r="K224" s="34" t="inlineStr"/>
      <c r="L224" s="34" t="inlineStr"/>
      <c r="M224" s="34" t="inlineStr"/>
      <c r="N224" s="34" t="inlineStr"/>
      <c r="O224" s="34" t="inlineStr"/>
      <c r="P224" s="32" t="inlineStr"/>
      <c r="Q224" s="30" t="inlineStr"/>
      <c r="R224" s="30" t="inlineStr"/>
      <c r="S224" s="30" t="inlineStr"/>
      <c r="T224" s="30" t="inlineStr"/>
      <c r="U224" s="15">
        <f>IF(A224="","",SUMIFS('07_Nachtraege'!$E:$E,'07_Nachtraege'!$B:$B,A224,'07_Nachtraege'!$F:$F,"beauftragt"))</f>
        <v/>
      </c>
      <c r="V224" s="15">
        <f>IF(A224="","",J224+U224)</f>
        <v/>
      </c>
      <c r="W224" s="15">
        <f>IF(A224="","",SUMIFS('13_Ausgangsrechnungen'!$G:$G,'13_Ausgangsrechnungen'!$C:$C,A224))</f>
        <v/>
      </c>
      <c r="X224" s="15">
        <f>IF(A224="","",SUMIFS('11_Material'!$L:$L,'11_Material'!$C:$C,A224))</f>
        <v/>
      </c>
      <c r="Y224" s="15">
        <f>IF(A224="","",SUMIFS('14_Eingangsrechnungen'!$F:$F,'14_Eingangsrechnungen'!$C:$C,A224,'14_Eingangsrechnungen'!$E:$E,"Nachunternehmer"))</f>
        <v/>
      </c>
      <c r="Z224" s="15">
        <f>IF(A224="","",SUMIFS('10_Stunden'!$K:$K,'10_Stunden'!$C:$C,A224))</f>
        <v/>
      </c>
      <c r="AA224" s="15">
        <f>IF(A224="","",X224+Y224+Z224+SUMIFS('14_Eingangsrechnungen'!$F:$F,'14_Eingangsrechnungen'!$C:$C,A224,'14_Eingangsrechnungen'!$E:$E,"Gerät")+SUMIFS('14_Eingangsrechnungen'!$F:$F,'14_Eingangsrechnungen'!$C:$C,A224,'14_Eingangsrechnungen'!$E:$E,"Dienstleistung"))</f>
        <v/>
      </c>
      <c r="AB224" s="15">
        <f>IF(A224="","",W224-AA224)</f>
        <v/>
      </c>
      <c r="AC224" s="19">
        <f>IF(OR(A224="",W224=0),"",AB224/W224)</f>
        <v/>
      </c>
      <c r="AD224" s="19">
        <f>IF(OR(A224="",V224=0),"",W224/V224)</f>
        <v/>
      </c>
      <c r="AE224" s="15">
        <f>IF(A224="","",MAX(0,V224-W224))</f>
        <v/>
      </c>
      <c r="AF224" s="15">
        <f>IF(A224="","",SUMIFS('13_Ausgangsrechnungen'!$R:$R,'13_Ausgangsrechnungen'!$C:$C,A224))</f>
        <v/>
      </c>
    </row>
    <row r="225">
      <c r="A225" s="30" t="inlineStr"/>
      <c r="B225" s="30" t="inlineStr"/>
      <c r="C225" s="30" t="inlineStr"/>
      <c r="D225" s="30" t="inlineStr"/>
      <c r="E225" s="30" t="inlineStr"/>
      <c r="F225" s="30" t="inlineStr"/>
      <c r="G225" s="38" t="inlineStr"/>
      <c r="H225" s="38" t="inlineStr"/>
      <c r="I225" s="38" t="inlineStr"/>
      <c r="J225" s="34" t="inlineStr"/>
      <c r="K225" s="34" t="inlineStr"/>
      <c r="L225" s="34" t="inlineStr"/>
      <c r="M225" s="34" t="inlineStr"/>
      <c r="N225" s="34" t="inlineStr"/>
      <c r="O225" s="34" t="inlineStr"/>
      <c r="P225" s="32" t="inlineStr"/>
      <c r="Q225" s="30" t="inlineStr"/>
      <c r="R225" s="30" t="inlineStr"/>
      <c r="S225" s="30" t="inlineStr"/>
      <c r="T225" s="30" t="inlineStr"/>
      <c r="U225" s="15">
        <f>IF(A225="","",SUMIFS('07_Nachtraege'!$E:$E,'07_Nachtraege'!$B:$B,A225,'07_Nachtraege'!$F:$F,"beauftragt"))</f>
        <v/>
      </c>
      <c r="V225" s="15">
        <f>IF(A225="","",J225+U225)</f>
        <v/>
      </c>
      <c r="W225" s="15">
        <f>IF(A225="","",SUMIFS('13_Ausgangsrechnungen'!$G:$G,'13_Ausgangsrechnungen'!$C:$C,A225))</f>
        <v/>
      </c>
      <c r="X225" s="15">
        <f>IF(A225="","",SUMIFS('11_Material'!$L:$L,'11_Material'!$C:$C,A225))</f>
        <v/>
      </c>
      <c r="Y225" s="15">
        <f>IF(A225="","",SUMIFS('14_Eingangsrechnungen'!$F:$F,'14_Eingangsrechnungen'!$C:$C,A225,'14_Eingangsrechnungen'!$E:$E,"Nachunternehmer"))</f>
        <v/>
      </c>
      <c r="Z225" s="15">
        <f>IF(A225="","",SUMIFS('10_Stunden'!$K:$K,'10_Stunden'!$C:$C,A225))</f>
        <v/>
      </c>
      <c r="AA225" s="15">
        <f>IF(A225="","",X225+Y225+Z225+SUMIFS('14_Eingangsrechnungen'!$F:$F,'14_Eingangsrechnungen'!$C:$C,A225,'14_Eingangsrechnungen'!$E:$E,"Gerät")+SUMIFS('14_Eingangsrechnungen'!$F:$F,'14_Eingangsrechnungen'!$C:$C,A225,'14_Eingangsrechnungen'!$E:$E,"Dienstleistung"))</f>
        <v/>
      </c>
      <c r="AB225" s="15">
        <f>IF(A225="","",W225-AA225)</f>
        <v/>
      </c>
      <c r="AC225" s="19">
        <f>IF(OR(A225="",W225=0),"",AB225/W225)</f>
        <v/>
      </c>
      <c r="AD225" s="19">
        <f>IF(OR(A225="",V225=0),"",W225/V225)</f>
        <v/>
      </c>
      <c r="AE225" s="15">
        <f>IF(A225="","",MAX(0,V225-W225))</f>
        <v/>
      </c>
      <c r="AF225" s="15">
        <f>IF(A225="","",SUMIFS('13_Ausgangsrechnungen'!$R:$R,'13_Ausgangsrechnungen'!$C:$C,A225))</f>
        <v/>
      </c>
    </row>
    <row r="226">
      <c r="A226" s="30" t="inlineStr"/>
      <c r="B226" s="30" t="inlineStr"/>
      <c r="C226" s="30" t="inlineStr"/>
      <c r="D226" s="30" t="inlineStr"/>
      <c r="E226" s="30" t="inlineStr"/>
      <c r="F226" s="30" t="inlineStr"/>
      <c r="G226" s="38" t="inlineStr"/>
      <c r="H226" s="38" t="inlineStr"/>
      <c r="I226" s="38" t="inlineStr"/>
      <c r="J226" s="34" t="inlineStr"/>
      <c r="K226" s="34" t="inlineStr"/>
      <c r="L226" s="34" t="inlineStr"/>
      <c r="M226" s="34" t="inlineStr"/>
      <c r="N226" s="34" t="inlineStr"/>
      <c r="O226" s="34" t="inlineStr"/>
      <c r="P226" s="32" t="inlineStr"/>
      <c r="Q226" s="30" t="inlineStr"/>
      <c r="R226" s="30" t="inlineStr"/>
      <c r="S226" s="30" t="inlineStr"/>
      <c r="T226" s="30" t="inlineStr"/>
      <c r="U226" s="15">
        <f>IF(A226="","",SUMIFS('07_Nachtraege'!$E:$E,'07_Nachtraege'!$B:$B,A226,'07_Nachtraege'!$F:$F,"beauftragt"))</f>
        <v/>
      </c>
      <c r="V226" s="15">
        <f>IF(A226="","",J226+U226)</f>
        <v/>
      </c>
      <c r="W226" s="15">
        <f>IF(A226="","",SUMIFS('13_Ausgangsrechnungen'!$G:$G,'13_Ausgangsrechnungen'!$C:$C,A226))</f>
        <v/>
      </c>
      <c r="X226" s="15">
        <f>IF(A226="","",SUMIFS('11_Material'!$L:$L,'11_Material'!$C:$C,A226))</f>
        <v/>
      </c>
      <c r="Y226" s="15">
        <f>IF(A226="","",SUMIFS('14_Eingangsrechnungen'!$F:$F,'14_Eingangsrechnungen'!$C:$C,A226,'14_Eingangsrechnungen'!$E:$E,"Nachunternehmer"))</f>
        <v/>
      </c>
      <c r="Z226" s="15">
        <f>IF(A226="","",SUMIFS('10_Stunden'!$K:$K,'10_Stunden'!$C:$C,A226))</f>
        <v/>
      </c>
      <c r="AA226" s="15">
        <f>IF(A226="","",X226+Y226+Z226+SUMIFS('14_Eingangsrechnungen'!$F:$F,'14_Eingangsrechnungen'!$C:$C,A226,'14_Eingangsrechnungen'!$E:$E,"Gerät")+SUMIFS('14_Eingangsrechnungen'!$F:$F,'14_Eingangsrechnungen'!$C:$C,A226,'14_Eingangsrechnungen'!$E:$E,"Dienstleistung"))</f>
        <v/>
      </c>
      <c r="AB226" s="15">
        <f>IF(A226="","",W226-AA226)</f>
        <v/>
      </c>
      <c r="AC226" s="19">
        <f>IF(OR(A226="",W226=0),"",AB226/W226)</f>
        <v/>
      </c>
      <c r="AD226" s="19">
        <f>IF(OR(A226="",V226=0),"",W226/V226)</f>
        <v/>
      </c>
      <c r="AE226" s="15">
        <f>IF(A226="","",MAX(0,V226-W226))</f>
        <v/>
      </c>
      <c r="AF226" s="15">
        <f>IF(A226="","",SUMIFS('13_Ausgangsrechnungen'!$R:$R,'13_Ausgangsrechnungen'!$C:$C,A226))</f>
        <v/>
      </c>
    </row>
    <row r="227">
      <c r="A227" s="30" t="inlineStr"/>
      <c r="B227" s="30" t="inlineStr"/>
      <c r="C227" s="30" t="inlineStr"/>
      <c r="D227" s="30" t="inlineStr"/>
      <c r="E227" s="30" t="inlineStr"/>
      <c r="F227" s="30" t="inlineStr"/>
      <c r="G227" s="38" t="inlineStr"/>
      <c r="H227" s="38" t="inlineStr"/>
      <c r="I227" s="38" t="inlineStr"/>
      <c r="J227" s="34" t="inlineStr"/>
      <c r="K227" s="34" t="inlineStr"/>
      <c r="L227" s="34" t="inlineStr"/>
      <c r="M227" s="34" t="inlineStr"/>
      <c r="N227" s="34" t="inlineStr"/>
      <c r="O227" s="34" t="inlineStr"/>
      <c r="P227" s="32" t="inlineStr"/>
      <c r="Q227" s="30" t="inlineStr"/>
      <c r="R227" s="30" t="inlineStr"/>
      <c r="S227" s="30" t="inlineStr"/>
      <c r="T227" s="30" t="inlineStr"/>
      <c r="U227" s="15">
        <f>IF(A227="","",SUMIFS('07_Nachtraege'!$E:$E,'07_Nachtraege'!$B:$B,A227,'07_Nachtraege'!$F:$F,"beauftragt"))</f>
        <v/>
      </c>
      <c r="V227" s="15">
        <f>IF(A227="","",J227+U227)</f>
        <v/>
      </c>
      <c r="W227" s="15">
        <f>IF(A227="","",SUMIFS('13_Ausgangsrechnungen'!$G:$G,'13_Ausgangsrechnungen'!$C:$C,A227))</f>
        <v/>
      </c>
      <c r="X227" s="15">
        <f>IF(A227="","",SUMIFS('11_Material'!$L:$L,'11_Material'!$C:$C,A227))</f>
        <v/>
      </c>
      <c r="Y227" s="15">
        <f>IF(A227="","",SUMIFS('14_Eingangsrechnungen'!$F:$F,'14_Eingangsrechnungen'!$C:$C,A227,'14_Eingangsrechnungen'!$E:$E,"Nachunternehmer"))</f>
        <v/>
      </c>
      <c r="Z227" s="15">
        <f>IF(A227="","",SUMIFS('10_Stunden'!$K:$K,'10_Stunden'!$C:$C,A227))</f>
        <v/>
      </c>
      <c r="AA227" s="15">
        <f>IF(A227="","",X227+Y227+Z227+SUMIFS('14_Eingangsrechnungen'!$F:$F,'14_Eingangsrechnungen'!$C:$C,A227,'14_Eingangsrechnungen'!$E:$E,"Gerät")+SUMIFS('14_Eingangsrechnungen'!$F:$F,'14_Eingangsrechnungen'!$C:$C,A227,'14_Eingangsrechnungen'!$E:$E,"Dienstleistung"))</f>
        <v/>
      </c>
      <c r="AB227" s="15">
        <f>IF(A227="","",W227-AA227)</f>
        <v/>
      </c>
      <c r="AC227" s="19">
        <f>IF(OR(A227="",W227=0),"",AB227/W227)</f>
        <v/>
      </c>
      <c r="AD227" s="19">
        <f>IF(OR(A227="",V227=0),"",W227/V227)</f>
        <v/>
      </c>
      <c r="AE227" s="15">
        <f>IF(A227="","",MAX(0,V227-W227))</f>
        <v/>
      </c>
      <c r="AF227" s="15">
        <f>IF(A227="","",SUMIFS('13_Ausgangsrechnungen'!$R:$R,'13_Ausgangsrechnungen'!$C:$C,A227))</f>
        <v/>
      </c>
    </row>
    <row r="228">
      <c r="A228" s="30" t="inlineStr"/>
      <c r="B228" s="30" t="inlineStr"/>
      <c r="C228" s="30" t="inlineStr"/>
      <c r="D228" s="30" t="inlineStr"/>
      <c r="E228" s="30" t="inlineStr"/>
      <c r="F228" s="30" t="inlineStr"/>
      <c r="G228" s="38" t="inlineStr"/>
      <c r="H228" s="38" t="inlineStr"/>
      <c r="I228" s="38" t="inlineStr"/>
      <c r="J228" s="34" t="inlineStr"/>
      <c r="K228" s="34" t="inlineStr"/>
      <c r="L228" s="34" t="inlineStr"/>
      <c r="M228" s="34" t="inlineStr"/>
      <c r="N228" s="34" t="inlineStr"/>
      <c r="O228" s="34" t="inlineStr"/>
      <c r="P228" s="32" t="inlineStr"/>
      <c r="Q228" s="30" t="inlineStr"/>
      <c r="R228" s="30" t="inlineStr"/>
      <c r="S228" s="30" t="inlineStr"/>
      <c r="T228" s="30" t="inlineStr"/>
      <c r="U228" s="15">
        <f>IF(A228="","",SUMIFS('07_Nachtraege'!$E:$E,'07_Nachtraege'!$B:$B,A228,'07_Nachtraege'!$F:$F,"beauftragt"))</f>
        <v/>
      </c>
      <c r="V228" s="15">
        <f>IF(A228="","",J228+U228)</f>
        <v/>
      </c>
      <c r="W228" s="15">
        <f>IF(A228="","",SUMIFS('13_Ausgangsrechnungen'!$G:$G,'13_Ausgangsrechnungen'!$C:$C,A228))</f>
        <v/>
      </c>
      <c r="X228" s="15">
        <f>IF(A228="","",SUMIFS('11_Material'!$L:$L,'11_Material'!$C:$C,A228))</f>
        <v/>
      </c>
      <c r="Y228" s="15">
        <f>IF(A228="","",SUMIFS('14_Eingangsrechnungen'!$F:$F,'14_Eingangsrechnungen'!$C:$C,A228,'14_Eingangsrechnungen'!$E:$E,"Nachunternehmer"))</f>
        <v/>
      </c>
      <c r="Z228" s="15">
        <f>IF(A228="","",SUMIFS('10_Stunden'!$K:$K,'10_Stunden'!$C:$C,A228))</f>
        <v/>
      </c>
      <c r="AA228" s="15">
        <f>IF(A228="","",X228+Y228+Z228+SUMIFS('14_Eingangsrechnungen'!$F:$F,'14_Eingangsrechnungen'!$C:$C,A228,'14_Eingangsrechnungen'!$E:$E,"Gerät")+SUMIFS('14_Eingangsrechnungen'!$F:$F,'14_Eingangsrechnungen'!$C:$C,A228,'14_Eingangsrechnungen'!$E:$E,"Dienstleistung"))</f>
        <v/>
      </c>
      <c r="AB228" s="15">
        <f>IF(A228="","",W228-AA228)</f>
        <v/>
      </c>
      <c r="AC228" s="19">
        <f>IF(OR(A228="",W228=0),"",AB228/W228)</f>
        <v/>
      </c>
      <c r="AD228" s="19">
        <f>IF(OR(A228="",V228=0),"",W228/V228)</f>
        <v/>
      </c>
      <c r="AE228" s="15">
        <f>IF(A228="","",MAX(0,V228-W228))</f>
        <v/>
      </c>
      <c r="AF228" s="15">
        <f>IF(A228="","",SUMIFS('13_Ausgangsrechnungen'!$R:$R,'13_Ausgangsrechnungen'!$C:$C,A228))</f>
        <v/>
      </c>
    </row>
    <row r="229">
      <c r="A229" s="30" t="inlineStr"/>
      <c r="B229" s="30" t="inlineStr"/>
      <c r="C229" s="30" t="inlineStr"/>
      <c r="D229" s="30" t="inlineStr"/>
      <c r="E229" s="30" t="inlineStr"/>
      <c r="F229" s="30" t="inlineStr"/>
      <c r="G229" s="38" t="inlineStr"/>
      <c r="H229" s="38" t="inlineStr"/>
      <c r="I229" s="38" t="inlineStr"/>
      <c r="J229" s="34" t="inlineStr"/>
      <c r="K229" s="34" t="inlineStr"/>
      <c r="L229" s="34" t="inlineStr"/>
      <c r="M229" s="34" t="inlineStr"/>
      <c r="N229" s="34" t="inlineStr"/>
      <c r="O229" s="34" t="inlineStr"/>
      <c r="P229" s="32" t="inlineStr"/>
      <c r="Q229" s="30" t="inlineStr"/>
      <c r="R229" s="30" t="inlineStr"/>
      <c r="S229" s="30" t="inlineStr"/>
      <c r="T229" s="30" t="inlineStr"/>
      <c r="U229" s="15">
        <f>IF(A229="","",SUMIFS('07_Nachtraege'!$E:$E,'07_Nachtraege'!$B:$B,A229,'07_Nachtraege'!$F:$F,"beauftragt"))</f>
        <v/>
      </c>
      <c r="V229" s="15">
        <f>IF(A229="","",J229+U229)</f>
        <v/>
      </c>
      <c r="W229" s="15">
        <f>IF(A229="","",SUMIFS('13_Ausgangsrechnungen'!$G:$G,'13_Ausgangsrechnungen'!$C:$C,A229))</f>
        <v/>
      </c>
      <c r="X229" s="15">
        <f>IF(A229="","",SUMIFS('11_Material'!$L:$L,'11_Material'!$C:$C,A229))</f>
        <v/>
      </c>
      <c r="Y229" s="15">
        <f>IF(A229="","",SUMIFS('14_Eingangsrechnungen'!$F:$F,'14_Eingangsrechnungen'!$C:$C,A229,'14_Eingangsrechnungen'!$E:$E,"Nachunternehmer"))</f>
        <v/>
      </c>
      <c r="Z229" s="15">
        <f>IF(A229="","",SUMIFS('10_Stunden'!$K:$K,'10_Stunden'!$C:$C,A229))</f>
        <v/>
      </c>
      <c r="AA229" s="15">
        <f>IF(A229="","",X229+Y229+Z229+SUMIFS('14_Eingangsrechnungen'!$F:$F,'14_Eingangsrechnungen'!$C:$C,A229,'14_Eingangsrechnungen'!$E:$E,"Gerät")+SUMIFS('14_Eingangsrechnungen'!$F:$F,'14_Eingangsrechnungen'!$C:$C,A229,'14_Eingangsrechnungen'!$E:$E,"Dienstleistung"))</f>
        <v/>
      </c>
      <c r="AB229" s="15">
        <f>IF(A229="","",W229-AA229)</f>
        <v/>
      </c>
      <c r="AC229" s="19">
        <f>IF(OR(A229="",W229=0),"",AB229/W229)</f>
        <v/>
      </c>
      <c r="AD229" s="19">
        <f>IF(OR(A229="",V229=0),"",W229/V229)</f>
        <v/>
      </c>
      <c r="AE229" s="15">
        <f>IF(A229="","",MAX(0,V229-W229))</f>
        <v/>
      </c>
      <c r="AF229" s="15">
        <f>IF(A229="","",SUMIFS('13_Ausgangsrechnungen'!$R:$R,'13_Ausgangsrechnungen'!$C:$C,A229))</f>
        <v/>
      </c>
    </row>
    <row r="230">
      <c r="A230" s="30" t="inlineStr"/>
      <c r="B230" s="30" t="inlineStr"/>
      <c r="C230" s="30" t="inlineStr"/>
      <c r="D230" s="30" t="inlineStr"/>
      <c r="E230" s="30" t="inlineStr"/>
      <c r="F230" s="30" t="inlineStr"/>
      <c r="G230" s="38" t="inlineStr"/>
      <c r="H230" s="38" t="inlineStr"/>
      <c r="I230" s="38" t="inlineStr"/>
      <c r="J230" s="34" t="inlineStr"/>
      <c r="K230" s="34" t="inlineStr"/>
      <c r="L230" s="34" t="inlineStr"/>
      <c r="M230" s="34" t="inlineStr"/>
      <c r="N230" s="34" t="inlineStr"/>
      <c r="O230" s="34" t="inlineStr"/>
      <c r="P230" s="32" t="inlineStr"/>
      <c r="Q230" s="30" t="inlineStr"/>
      <c r="R230" s="30" t="inlineStr"/>
      <c r="S230" s="30" t="inlineStr"/>
      <c r="T230" s="30" t="inlineStr"/>
      <c r="U230" s="15">
        <f>IF(A230="","",SUMIFS('07_Nachtraege'!$E:$E,'07_Nachtraege'!$B:$B,A230,'07_Nachtraege'!$F:$F,"beauftragt"))</f>
        <v/>
      </c>
      <c r="V230" s="15">
        <f>IF(A230="","",J230+U230)</f>
        <v/>
      </c>
      <c r="W230" s="15">
        <f>IF(A230="","",SUMIFS('13_Ausgangsrechnungen'!$G:$G,'13_Ausgangsrechnungen'!$C:$C,A230))</f>
        <v/>
      </c>
      <c r="X230" s="15">
        <f>IF(A230="","",SUMIFS('11_Material'!$L:$L,'11_Material'!$C:$C,A230))</f>
        <v/>
      </c>
      <c r="Y230" s="15">
        <f>IF(A230="","",SUMIFS('14_Eingangsrechnungen'!$F:$F,'14_Eingangsrechnungen'!$C:$C,A230,'14_Eingangsrechnungen'!$E:$E,"Nachunternehmer"))</f>
        <v/>
      </c>
      <c r="Z230" s="15">
        <f>IF(A230="","",SUMIFS('10_Stunden'!$K:$K,'10_Stunden'!$C:$C,A230))</f>
        <v/>
      </c>
      <c r="AA230" s="15">
        <f>IF(A230="","",X230+Y230+Z230+SUMIFS('14_Eingangsrechnungen'!$F:$F,'14_Eingangsrechnungen'!$C:$C,A230,'14_Eingangsrechnungen'!$E:$E,"Gerät")+SUMIFS('14_Eingangsrechnungen'!$F:$F,'14_Eingangsrechnungen'!$C:$C,A230,'14_Eingangsrechnungen'!$E:$E,"Dienstleistung"))</f>
        <v/>
      </c>
      <c r="AB230" s="15">
        <f>IF(A230="","",W230-AA230)</f>
        <v/>
      </c>
      <c r="AC230" s="19">
        <f>IF(OR(A230="",W230=0),"",AB230/W230)</f>
        <v/>
      </c>
      <c r="AD230" s="19">
        <f>IF(OR(A230="",V230=0),"",W230/V230)</f>
        <v/>
      </c>
      <c r="AE230" s="15">
        <f>IF(A230="","",MAX(0,V230-W230))</f>
        <v/>
      </c>
      <c r="AF230" s="15">
        <f>IF(A230="","",SUMIFS('13_Ausgangsrechnungen'!$R:$R,'13_Ausgangsrechnungen'!$C:$C,A230))</f>
        <v/>
      </c>
    </row>
    <row r="231">
      <c r="A231" s="30" t="inlineStr"/>
      <c r="B231" s="30" t="inlineStr"/>
      <c r="C231" s="30" t="inlineStr"/>
      <c r="D231" s="30" t="inlineStr"/>
      <c r="E231" s="30" t="inlineStr"/>
      <c r="F231" s="30" t="inlineStr"/>
      <c r="G231" s="38" t="inlineStr"/>
      <c r="H231" s="38" t="inlineStr"/>
      <c r="I231" s="38" t="inlineStr"/>
      <c r="J231" s="34" t="inlineStr"/>
      <c r="K231" s="34" t="inlineStr"/>
      <c r="L231" s="34" t="inlineStr"/>
      <c r="M231" s="34" t="inlineStr"/>
      <c r="N231" s="34" t="inlineStr"/>
      <c r="O231" s="34" t="inlineStr"/>
      <c r="P231" s="32" t="inlineStr"/>
      <c r="Q231" s="30" t="inlineStr"/>
      <c r="R231" s="30" t="inlineStr"/>
      <c r="S231" s="30" t="inlineStr"/>
      <c r="T231" s="30" t="inlineStr"/>
      <c r="U231" s="15">
        <f>IF(A231="","",SUMIFS('07_Nachtraege'!$E:$E,'07_Nachtraege'!$B:$B,A231,'07_Nachtraege'!$F:$F,"beauftragt"))</f>
        <v/>
      </c>
      <c r="V231" s="15">
        <f>IF(A231="","",J231+U231)</f>
        <v/>
      </c>
      <c r="W231" s="15">
        <f>IF(A231="","",SUMIFS('13_Ausgangsrechnungen'!$G:$G,'13_Ausgangsrechnungen'!$C:$C,A231))</f>
        <v/>
      </c>
      <c r="X231" s="15">
        <f>IF(A231="","",SUMIFS('11_Material'!$L:$L,'11_Material'!$C:$C,A231))</f>
        <v/>
      </c>
      <c r="Y231" s="15">
        <f>IF(A231="","",SUMIFS('14_Eingangsrechnungen'!$F:$F,'14_Eingangsrechnungen'!$C:$C,A231,'14_Eingangsrechnungen'!$E:$E,"Nachunternehmer"))</f>
        <v/>
      </c>
      <c r="Z231" s="15">
        <f>IF(A231="","",SUMIFS('10_Stunden'!$K:$K,'10_Stunden'!$C:$C,A231))</f>
        <v/>
      </c>
      <c r="AA231" s="15">
        <f>IF(A231="","",X231+Y231+Z231+SUMIFS('14_Eingangsrechnungen'!$F:$F,'14_Eingangsrechnungen'!$C:$C,A231,'14_Eingangsrechnungen'!$E:$E,"Gerät")+SUMIFS('14_Eingangsrechnungen'!$F:$F,'14_Eingangsrechnungen'!$C:$C,A231,'14_Eingangsrechnungen'!$E:$E,"Dienstleistung"))</f>
        <v/>
      </c>
      <c r="AB231" s="15">
        <f>IF(A231="","",W231-AA231)</f>
        <v/>
      </c>
      <c r="AC231" s="19">
        <f>IF(OR(A231="",W231=0),"",AB231/W231)</f>
        <v/>
      </c>
      <c r="AD231" s="19">
        <f>IF(OR(A231="",V231=0),"",W231/V231)</f>
        <v/>
      </c>
      <c r="AE231" s="15">
        <f>IF(A231="","",MAX(0,V231-W231))</f>
        <v/>
      </c>
      <c r="AF231" s="15">
        <f>IF(A231="","",SUMIFS('13_Ausgangsrechnungen'!$R:$R,'13_Ausgangsrechnungen'!$C:$C,A231))</f>
        <v/>
      </c>
    </row>
    <row r="232">
      <c r="A232" s="30" t="inlineStr"/>
      <c r="B232" s="30" t="inlineStr"/>
      <c r="C232" s="30" t="inlineStr"/>
      <c r="D232" s="30" t="inlineStr"/>
      <c r="E232" s="30" t="inlineStr"/>
      <c r="F232" s="30" t="inlineStr"/>
      <c r="G232" s="38" t="inlineStr"/>
      <c r="H232" s="38" t="inlineStr"/>
      <c r="I232" s="38" t="inlineStr"/>
      <c r="J232" s="34" t="inlineStr"/>
      <c r="K232" s="34" t="inlineStr"/>
      <c r="L232" s="34" t="inlineStr"/>
      <c r="M232" s="34" t="inlineStr"/>
      <c r="N232" s="34" t="inlineStr"/>
      <c r="O232" s="34" t="inlineStr"/>
      <c r="P232" s="32" t="inlineStr"/>
      <c r="Q232" s="30" t="inlineStr"/>
      <c r="R232" s="30" t="inlineStr"/>
      <c r="S232" s="30" t="inlineStr"/>
      <c r="T232" s="30" t="inlineStr"/>
      <c r="U232" s="15">
        <f>IF(A232="","",SUMIFS('07_Nachtraege'!$E:$E,'07_Nachtraege'!$B:$B,A232,'07_Nachtraege'!$F:$F,"beauftragt"))</f>
        <v/>
      </c>
      <c r="V232" s="15">
        <f>IF(A232="","",J232+U232)</f>
        <v/>
      </c>
      <c r="W232" s="15">
        <f>IF(A232="","",SUMIFS('13_Ausgangsrechnungen'!$G:$G,'13_Ausgangsrechnungen'!$C:$C,A232))</f>
        <v/>
      </c>
      <c r="X232" s="15">
        <f>IF(A232="","",SUMIFS('11_Material'!$L:$L,'11_Material'!$C:$C,A232))</f>
        <v/>
      </c>
      <c r="Y232" s="15">
        <f>IF(A232="","",SUMIFS('14_Eingangsrechnungen'!$F:$F,'14_Eingangsrechnungen'!$C:$C,A232,'14_Eingangsrechnungen'!$E:$E,"Nachunternehmer"))</f>
        <v/>
      </c>
      <c r="Z232" s="15">
        <f>IF(A232="","",SUMIFS('10_Stunden'!$K:$K,'10_Stunden'!$C:$C,A232))</f>
        <v/>
      </c>
      <c r="AA232" s="15">
        <f>IF(A232="","",X232+Y232+Z232+SUMIFS('14_Eingangsrechnungen'!$F:$F,'14_Eingangsrechnungen'!$C:$C,A232,'14_Eingangsrechnungen'!$E:$E,"Gerät")+SUMIFS('14_Eingangsrechnungen'!$F:$F,'14_Eingangsrechnungen'!$C:$C,A232,'14_Eingangsrechnungen'!$E:$E,"Dienstleistung"))</f>
        <v/>
      </c>
      <c r="AB232" s="15">
        <f>IF(A232="","",W232-AA232)</f>
        <v/>
      </c>
      <c r="AC232" s="19">
        <f>IF(OR(A232="",W232=0),"",AB232/W232)</f>
        <v/>
      </c>
      <c r="AD232" s="19">
        <f>IF(OR(A232="",V232=0),"",W232/V232)</f>
        <v/>
      </c>
      <c r="AE232" s="15">
        <f>IF(A232="","",MAX(0,V232-W232))</f>
        <v/>
      </c>
      <c r="AF232" s="15">
        <f>IF(A232="","",SUMIFS('13_Ausgangsrechnungen'!$R:$R,'13_Ausgangsrechnungen'!$C:$C,A232))</f>
        <v/>
      </c>
    </row>
    <row r="233">
      <c r="A233" s="30" t="inlineStr"/>
      <c r="B233" s="30" t="inlineStr"/>
      <c r="C233" s="30" t="inlineStr"/>
      <c r="D233" s="30" t="inlineStr"/>
      <c r="E233" s="30" t="inlineStr"/>
      <c r="F233" s="30" t="inlineStr"/>
      <c r="G233" s="38" t="inlineStr"/>
      <c r="H233" s="38" t="inlineStr"/>
      <c r="I233" s="38" t="inlineStr"/>
      <c r="J233" s="34" t="inlineStr"/>
      <c r="K233" s="34" t="inlineStr"/>
      <c r="L233" s="34" t="inlineStr"/>
      <c r="M233" s="34" t="inlineStr"/>
      <c r="N233" s="34" t="inlineStr"/>
      <c r="O233" s="34" t="inlineStr"/>
      <c r="P233" s="32" t="inlineStr"/>
      <c r="Q233" s="30" t="inlineStr"/>
      <c r="R233" s="30" t="inlineStr"/>
      <c r="S233" s="30" t="inlineStr"/>
      <c r="T233" s="30" t="inlineStr"/>
      <c r="U233" s="15">
        <f>IF(A233="","",SUMIFS('07_Nachtraege'!$E:$E,'07_Nachtraege'!$B:$B,A233,'07_Nachtraege'!$F:$F,"beauftragt"))</f>
        <v/>
      </c>
      <c r="V233" s="15">
        <f>IF(A233="","",J233+U233)</f>
        <v/>
      </c>
      <c r="W233" s="15">
        <f>IF(A233="","",SUMIFS('13_Ausgangsrechnungen'!$G:$G,'13_Ausgangsrechnungen'!$C:$C,A233))</f>
        <v/>
      </c>
      <c r="X233" s="15">
        <f>IF(A233="","",SUMIFS('11_Material'!$L:$L,'11_Material'!$C:$C,A233))</f>
        <v/>
      </c>
      <c r="Y233" s="15">
        <f>IF(A233="","",SUMIFS('14_Eingangsrechnungen'!$F:$F,'14_Eingangsrechnungen'!$C:$C,A233,'14_Eingangsrechnungen'!$E:$E,"Nachunternehmer"))</f>
        <v/>
      </c>
      <c r="Z233" s="15">
        <f>IF(A233="","",SUMIFS('10_Stunden'!$K:$K,'10_Stunden'!$C:$C,A233))</f>
        <v/>
      </c>
      <c r="AA233" s="15">
        <f>IF(A233="","",X233+Y233+Z233+SUMIFS('14_Eingangsrechnungen'!$F:$F,'14_Eingangsrechnungen'!$C:$C,A233,'14_Eingangsrechnungen'!$E:$E,"Gerät")+SUMIFS('14_Eingangsrechnungen'!$F:$F,'14_Eingangsrechnungen'!$C:$C,A233,'14_Eingangsrechnungen'!$E:$E,"Dienstleistung"))</f>
        <v/>
      </c>
      <c r="AB233" s="15">
        <f>IF(A233="","",W233-AA233)</f>
        <v/>
      </c>
      <c r="AC233" s="19">
        <f>IF(OR(A233="",W233=0),"",AB233/W233)</f>
        <v/>
      </c>
      <c r="AD233" s="19">
        <f>IF(OR(A233="",V233=0),"",W233/V233)</f>
        <v/>
      </c>
      <c r="AE233" s="15">
        <f>IF(A233="","",MAX(0,V233-W233))</f>
        <v/>
      </c>
      <c r="AF233" s="15">
        <f>IF(A233="","",SUMIFS('13_Ausgangsrechnungen'!$R:$R,'13_Ausgangsrechnungen'!$C:$C,A233))</f>
        <v/>
      </c>
    </row>
    <row r="234">
      <c r="A234" s="30" t="inlineStr"/>
      <c r="B234" s="30" t="inlineStr"/>
      <c r="C234" s="30" t="inlineStr"/>
      <c r="D234" s="30" t="inlineStr"/>
      <c r="E234" s="30" t="inlineStr"/>
      <c r="F234" s="30" t="inlineStr"/>
      <c r="G234" s="38" t="inlineStr"/>
      <c r="H234" s="38" t="inlineStr"/>
      <c r="I234" s="38" t="inlineStr"/>
      <c r="J234" s="34" t="inlineStr"/>
      <c r="K234" s="34" t="inlineStr"/>
      <c r="L234" s="34" t="inlineStr"/>
      <c r="M234" s="34" t="inlineStr"/>
      <c r="N234" s="34" t="inlineStr"/>
      <c r="O234" s="34" t="inlineStr"/>
      <c r="P234" s="32" t="inlineStr"/>
      <c r="Q234" s="30" t="inlineStr"/>
      <c r="R234" s="30" t="inlineStr"/>
      <c r="S234" s="30" t="inlineStr"/>
      <c r="T234" s="30" t="inlineStr"/>
      <c r="U234" s="15">
        <f>IF(A234="","",SUMIFS('07_Nachtraege'!$E:$E,'07_Nachtraege'!$B:$B,A234,'07_Nachtraege'!$F:$F,"beauftragt"))</f>
        <v/>
      </c>
      <c r="V234" s="15">
        <f>IF(A234="","",J234+U234)</f>
        <v/>
      </c>
      <c r="W234" s="15">
        <f>IF(A234="","",SUMIFS('13_Ausgangsrechnungen'!$G:$G,'13_Ausgangsrechnungen'!$C:$C,A234))</f>
        <v/>
      </c>
      <c r="X234" s="15">
        <f>IF(A234="","",SUMIFS('11_Material'!$L:$L,'11_Material'!$C:$C,A234))</f>
        <v/>
      </c>
      <c r="Y234" s="15">
        <f>IF(A234="","",SUMIFS('14_Eingangsrechnungen'!$F:$F,'14_Eingangsrechnungen'!$C:$C,A234,'14_Eingangsrechnungen'!$E:$E,"Nachunternehmer"))</f>
        <v/>
      </c>
      <c r="Z234" s="15">
        <f>IF(A234="","",SUMIFS('10_Stunden'!$K:$K,'10_Stunden'!$C:$C,A234))</f>
        <v/>
      </c>
      <c r="AA234" s="15">
        <f>IF(A234="","",X234+Y234+Z234+SUMIFS('14_Eingangsrechnungen'!$F:$F,'14_Eingangsrechnungen'!$C:$C,A234,'14_Eingangsrechnungen'!$E:$E,"Gerät")+SUMIFS('14_Eingangsrechnungen'!$F:$F,'14_Eingangsrechnungen'!$C:$C,A234,'14_Eingangsrechnungen'!$E:$E,"Dienstleistung"))</f>
        <v/>
      </c>
      <c r="AB234" s="15">
        <f>IF(A234="","",W234-AA234)</f>
        <v/>
      </c>
      <c r="AC234" s="19">
        <f>IF(OR(A234="",W234=0),"",AB234/W234)</f>
        <v/>
      </c>
      <c r="AD234" s="19">
        <f>IF(OR(A234="",V234=0),"",W234/V234)</f>
        <v/>
      </c>
      <c r="AE234" s="15">
        <f>IF(A234="","",MAX(0,V234-W234))</f>
        <v/>
      </c>
      <c r="AF234" s="15">
        <f>IF(A234="","",SUMIFS('13_Ausgangsrechnungen'!$R:$R,'13_Ausgangsrechnungen'!$C:$C,A234))</f>
        <v/>
      </c>
    </row>
    <row r="235">
      <c r="A235" s="30" t="inlineStr"/>
      <c r="B235" s="30" t="inlineStr"/>
      <c r="C235" s="30" t="inlineStr"/>
      <c r="D235" s="30" t="inlineStr"/>
      <c r="E235" s="30" t="inlineStr"/>
      <c r="F235" s="30" t="inlineStr"/>
      <c r="G235" s="38" t="inlineStr"/>
      <c r="H235" s="38" t="inlineStr"/>
      <c r="I235" s="38" t="inlineStr"/>
      <c r="J235" s="34" t="inlineStr"/>
      <c r="K235" s="34" t="inlineStr"/>
      <c r="L235" s="34" t="inlineStr"/>
      <c r="M235" s="34" t="inlineStr"/>
      <c r="N235" s="34" t="inlineStr"/>
      <c r="O235" s="34" t="inlineStr"/>
      <c r="P235" s="32" t="inlineStr"/>
      <c r="Q235" s="30" t="inlineStr"/>
      <c r="R235" s="30" t="inlineStr"/>
      <c r="S235" s="30" t="inlineStr"/>
      <c r="T235" s="30" t="inlineStr"/>
      <c r="U235" s="15">
        <f>IF(A235="","",SUMIFS('07_Nachtraege'!$E:$E,'07_Nachtraege'!$B:$B,A235,'07_Nachtraege'!$F:$F,"beauftragt"))</f>
        <v/>
      </c>
      <c r="V235" s="15">
        <f>IF(A235="","",J235+U235)</f>
        <v/>
      </c>
      <c r="W235" s="15">
        <f>IF(A235="","",SUMIFS('13_Ausgangsrechnungen'!$G:$G,'13_Ausgangsrechnungen'!$C:$C,A235))</f>
        <v/>
      </c>
      <c r="X235" s="15">
        <f>IF(A235="","",SUMIFS('11_Material'!$L:$L,'11_Material'!$C:$C,A235))</f>
        <v/>
      </c>
      <c r="Y235" s="15">
        <f>IF(A235="","",SUMIFS('14_Eingangsrechnungen'!$F:$F,'14_Eingangsrechnungen'!$C:$C,A235,'14_Eingangsrechnungen'!$E:$E,"Nachunternehmer"))</f>
        <v/>
      </c>
      <c r="Z235" s="15">
        <f>IF(A235="","",SUMIFS('10_Stunden'!$K:$K,'10_Stunden'!$C:$C,A235))</f>
        <v/>
      </c>
      <c r="AA235" s="15">
        <f>IF(A235="","",X235+Y235+Z235+SUMIFS('14_Eingangsrechnungen'!$F:$F,'14_Eingangsrechnungen'!$C:$C,A235,'14_Eingangsrechnungen'!$E:$E,"Gerät")+SUMIFS('14_Eingangsrechnungen'!$F:$F,'14_Eingangsrechnungen'!$C:$C,A235,'14_Eingangsrechnungen'!$E:$E,"Dienstleistung"))</f>
        <v/>
      </c>
      <c r="AB235" s="15">
        <f>IF(A235="","",W235-AA235)</f>
        <v/>
      </c>
      <c r="AC235" s="19">
        <f>IF(OR(A235="",W235=0),"",AB235/W235)</f>
        <v/>
      </c>
      <c r="AD235" s="19">
        <f>IF(OR(A235="",V235=0),"",W235/V235)</f>
        <v/>
      </c>
      <c r="AE235" s="15">
        <f>IF(A235="","",MAX(0,V235-W235))</f>
        <v/>
      </c>
      <c r="AF235" s="15">
        <f>IF(A235="","",SUMIFS('13_Ausgangsrechnungen'!$R:$R,'13_Ausgangsrechnungen'!$C:$C,A235))</f>
        <v/>
      </c>
    </row>
    <row r="236">
      <c r="A236" s="30" t="inlineStr"/>
      <c r="B236" s="30" t="inlineStr"/>
      <c r="C236" s="30" t="inlineStr"/>
      <c r="D236" s="30" t="inlineStr"/>
      <c r="E236" s="30" t="inlineStr"/>
      <c r="F236" s="30" t="inlineStr"/>
      <c r="G236" s="38" t="inlineStr"/>
      <c r="H236" s="38" t="inlineStr"/>
      <c r="I236" s="38" t="inlineStr"/>
      <c r="J236" s="34" t="inlineStr"/>
      <c r="K236" s="34" t="inlineStr"/>
      <c r="L236" s="34" t="inlineStr"/>
      <c r="M236" s="34" t="inlineStr"/>
      <c r="N236" s="34" t="inlineStr"/>
      <c r="O236" s="34" t="inlineStr"/>
      <c r="P236" s="32" t="inlineStr"/>
      <c r="Q236" s="30" t="inlineStr"/>
      <c r="R236" s="30" t="inlineStr"/>
      <c r="S236" s="30" t="inlineStr"/>
      <c r="T236" s="30" t="inlineStr"/>
      <c r="U236" s="15">
        <f>IF(A236="","",SUMIFS('07_Nachtraege'!$E:$E,'07_Nachtraege'!$B:$B,A236,'07_Nachtraege'!$F:$F,"beauftragt"))</f>
        <v/>
      </c>
      <c r="V236" s="15">
        <f>IF(A236="","",J236+U236)</f>
        <v/>
      </c>
      <c r="W236" s="15">
        <f>IF(A236="","",SUMIFS('13_Ausgangsrechnungen'!$G:$G,'13_Ausgangsrechnungen'!$C:$C,A236))</f>
        <v/>
      </c>
      <c r="X236" s="15">
        <f>IF(A236="","",SUMIFS('11_Material'!$L:$L,'11_Material'!$C:$C,A236))</f>
        <v/>
      </c>
      <c r="Y236" s="15">
        <f>IF(A236="","",SUMIFS('14_Eingangsrechnungen'!$F:$F,'14_Eingangsrechnungen'!$C:$C,A236,'14_Eingangsrechnungen'!$E:$E,"Nachunternehmer"))</f>
        <v/>
      </c>
      <c r="Z236" s="15">
        <f>IF(A236="","",SUMIFS('10_Stunden'!$K:$K,'10_Stunden'!$C:$C,A236))</f>
        <v/>
      </c>
      <c r="AA236" s="15">
        <f>IF(A236="","",X236+Y236+Z236+SUMIFS('14_Eingangsrechnungen'!$F:$F,'14_Eingangsrechnungen'!$C:$C,A236,'14_Eingangsrechnungen'!$E:$E,"Gerät")+SUMIFS('14_Eingangsrechnungen'!$F:$F,'14_Eingangsrechnungen'!$C:$C,A236,'14_Eingangsrechnungen'!$E:$E,"Dienstleistung"))</f>
        <v/>
      </c>
      <c r="AB236" s="15">
        <f>IF(A236="","",W236-AA236)</f>
        <v/>
      </c>
      <c r="AC236" s="19">
        <f>IF(OR(A236="",W236=0),"",AB236/W236)</f>
        <v/>
      </c>
      <c r="AD236" s="19">
        <f>IF(OR(A236="",V236=0),"",W236/V236)</f>
        <v/>
      </c>
      <c r="AE236" s="15">
        <f>IF(A236="","",MAX(0,V236-W236))</f>
        <v/>
      </c>
      <c r="AF236" s="15">
        <f>IF(A236="","",SUMIFS('13_Ausgangsrechnungen'!$R:$R,'13_Ausgangsrechnungen'!$C:$C,A236))</f>
        <v/>
      </c>
    </row>
    <row r="237">
      <c r="A237" s="30" t="inlineStr"/>
      <c r="B237" s="30" t="inlineStr"/>
      <c r="C237" s="30" t="inlineStr"/>
      <c r="D237" s="30" t="inlineStr"/>
      <c r="E237" s="30" t="inlineStr"/>
      <c r="F237" s="30" t="inlineStr"/>
      <c r="G237" s="38" t="inlineStr"/>
      <c r="H237" s="38" t="inlineStr"/>
      <c r="I237" s="38" t="inlineStr"/>
      <c r="J237" s="34" t="inlineStr"/>
      <c r="K237" s="34" t="inlineStr"/>
      <c r="L237" s="34" t="inlineStr"/>
      <c r="M237" s="34" t="inlineStr"/>
      <c r="N237" s="34" t="inlineStr"/>
      <c r="O237" s="34" t="inlineStr"/>
      <c r="P237" s="32" t="inlineStr"/>
      <c r="Q237" s="30" t="inlineStr"/>
      <c r="R237" s="30" t="inlineStr"/>
      <c r="S237" s="30" t="inlineStr"/>
      <c r="T237" s="30" t="inlineStr"/>
      <c r="U237" s="15">
        <f>IF(A237="","",SUMIFS('07_Nachtraege'!$E:$E,'07_Nachtraege'!$B:$B,A237,'07_Nachtraege'!$F:$F,"beauftragt"))</f>
        <v/>
      </c>
      <c r="V237" s="15">
        <f>IF(A237="","",J237+U237)</f>
        <v/>
      </c>
      <c r="W237" s="15">
        <f>IF(A237="","",SUMIFS('13_Ausgangsrechnungen'!$G:$G,'13_Ausgangsrechnungen'!$C:$C,A237))</f>
        <v/>
      </c>
      <c r="X237" s="15">
        <f>IF(A237="","",SUMIFS('11_Material'!$L:$L,'11_Material'!$C:$C,A237))</f>
        <v/>
      </c>
      <c r="Y237" s="15">
        <f>IF(A237="","",SUMIFS('14_Eingangsrechnungen'!$F:$F,'14_Eingangsrechnungen'!$C:$C,A237,'14_Eingangsrechnungen'!$E:$E,"Nachunternehmer"))</f>
        <v/>
      </c>
      <c r="Z237" s="15">
        <f>IF(A237="","",SUMIFS('10_Stunden'!$K:$K,'10_Stunden'!$C:$C,A237))</f>
        <v/>
      </c>
      <c r="AA237" s="15">
        <f>IF(A237="","",X237+Y237+Z237+SUMIFS('14_Eingangsrechnungen'!$F:$F,'14_Eingangsrechnungen'!$C:$C,A237,'14_Eingangsrechnungen'!$E:$E,"Gerät")+SUMIFS('14_Eingangsrechnungen'!$F:$F,'14_Eingangsrechnungen'!$C:$C,A237,'14_Eingangsrechnungen'!$E:$E,"Dienstleistung"))</f>
        <v/>
      </c>
      <c r="AB237" s="15">
        <f>IF(A237="","",W237-AA237)</f>
        <v/>
      </c>
      <c r="AC237" s="19">
        <f>IF(OR(A237="",W237=0),"",AB237/W237)</f>
        <v/>
      </c>
      <c r="AD237" s="19">
        <f>IF(OR(A237="",V237=0),"",W237/V237)</f>
        <v/>
      </c>
      <c r="AE237" s="15">
        <f>IF(A237="","",MAX(0,V237-W237))</f>
        <v/>
      </c>
      <c r="AF237" s="15">
        <f>IF(A237="","",SUMIFS('13_Ausgangsrechnungen'!$R:$R,'13_Ausgangsrechnungen'!$C:$C,A237))</f>
        <v/>
      </c>
    </row>
    <row r="238">
      <c r="A238" s="30" t="inlineStr"/>
      <c r="B238" s="30" t="inlineStr"/>
      <c r="C238" s="30" t="inlineStr"/>
      <c r="D238" s="30" t="inlineStr"/>
      <c r="E238" s="30" t="inlineStr"/>
      <c r="F238" s="30" t="inlineStr"/>
      <c r="G238" s="38" t="inlineStr"/>
      <c r="H238" s="38" t="inlineStr"/>
      <c r="I238" s="38" t="inlineStr"/>
      <c r="J238" s="34" t="inlineStr"/>
      <c r="K238" s="34" t="inlineStr"/>
      <c r="L238" s="34" t="inlineStr"/>
      <c r="M238" s="34" t="inlineStr"/>
      <c r="N238" s="34" t="inlineStr"/>
      <c r="O238" s="34" t="inlineStr"/>
      <c r="P238" s="32" t="inlineStr"/>
      <c r="Q238" s="30" t="inlineStr"/>
      <c r="R238" s="30" t="inlineStr"/>
      <c r="S238" s="30" t="inlineStr"/>
      <c r="T238" s="30" t="inlineStr"/>
      <c r="U238" s="15">
        <f>IF(A238="","",SUMIFS('07_Nachtraege'!$E:$E,'07_Nachtraege'!$B:$B,A238,'07_Nachtraege'!$F:$F,"beauftragt"))</f>
        <v/>
      </c>
      <c r="V238" s="15">
        <f>IF(A238="","",J238+U238)</f>
        <v/>
      </c>
      <c r="W238" s="15">
        <f>IF(A238="","",SUMIFS('13_Ausgangsrechnungen'!$G:$G,'13_Ausgangsrechnungen'!$C:$C,A238))</f>
        <v/>
      </c>
      <c r="X238" s="15">
        <f>IF(A238="","",SUMIFS('11_Material'!$L:$L,'11_Material'!$C:$C,A238))</f>
        <v/>
      </c>
      <c r="Y238" s="15">
        <f>IF(A238="","",SUMIFS('14_Eingangsrechnungen'!$F:$F,'14_Eingangsrechnungen'!$C:$C,A238,'14_Eingangsrechnungen'!$E:$E,"Nachunternehmer"))</f>
        <v/>
      </c>
      <c r="Z238" s="15">
        <f>IF(A238="","",SUMIFS('10_Stunden'!$K:$K,'10_Stunden'!$C:$C,A238))</f>
        <v/>
      </c>
      <c r="AA238" s="15">
        <f>IF(A238="","",X238+Y238+Z238+SUMIFS('14_Eingangsrechnungen'!$F:$F,'14_Eingangsrechnungen'!$C:$C,A238,'14_Eingangsrechnungen'!$E:$E,"Gerät")+SUMIFS('14_Eingangsrechnungen'!$F:$F,'14_Eingangsrechnungen'!$C:$C,A238,'14_Eingangsrechnungen'!$E:$E,"Dienstleistung"))</f>
        <v/>
      </c>
      <c r="AB238" s="15">
        <f>IF(A238="","",W238-AA238)</f>
        <v/>
      </c>
      <c r="AC238" s="19">
        <f>IF(OR(A238="",W238=0),"",AB238/W238)</f>
        <v/>
      </c>
      <c r="AD238" s="19">
        <f>IF(OR(A238="",V238=0),"",W238/V238)</f>
        <v/>
      </c>
      <c r="AE238" s="15">
        <f>IF(A238="","",MAX(0,V238-W238))</f>
        <v/>
      </c>
      <c r="AF238" s="15">
        <f>IF(A238="","",SUMIFS('13_Ausgangsrechnungen'!$R:$R,'13_Ausgangsrechnungen'!$C:$C,A238))</f>
        <v/>
      </c>
    </row>
    <row r="239">
      <c r="A239" s="30" t="inlineStr"/>
      <c r="B239" s="30" t="inlineStr"/>
      <c r="C239" s="30" t="inlineStr"/>
      <c r="D239" s="30" t="inlineStr"/>
      <c r="E239" s="30" t="inlineStr"/>
      <c r="F239" s="30" t="inlineStr"/>
      <c r="G239" s="38" t="inlineStr"/>
      <c r="H239" s="38" t="inlineStr"/>
      <c r="I239" s="38" t="inlineStr"/>
      <c r="J239" s="34" t="inlineStr"/>
      <c r="K239" s="34" t="inlineStr"/>
      <c r="L239" s="34" t="inlineStr"/>
      <c r="M239" s="34" t="inlineStr"/>
      <c r="N239" s="34" t="inlineStr"/>
      <c r="O239" s="34" t="inlineStr"/>
      <c r="P239" s="32" t="inlineStr"/>
      <c r="Q239" s="30" t="inlineStr"/>
      <c r="R239" s="30" t="inlineStr"/>
      <c r="S239" s="30" t="inlineStr"/>
      <c r="T239" s="30" t="inlineStr"/>
      <c r="U239" s="15">
        <f>IF(A239="","",SUMIFS('07_Nachtraege'!$E:$E,'07_Nachtraege'!$B:$B,A239,'07_Nachtraege'!$F:$F,"beauftragt"))</f>
        <v/>
      </c>
      <c r="V239" s="15">
        <f>IF(A239="","",J239+U239)</f>
        <v/>
      </c>
      <c r="W239" s="15">
        <f>IF(A239="","",SUMIFS('13_Ausgangsrechnungen'!$G:$G,'13_Ausgangsrechnungen'!$C:$C,A239))</f>
        <v/>
      </c>
      <c r="X239" s="15">
        <f>IF(A239="","",SUMIFS('11_Material'!$L:$L,'11_Material'!$C:$C,A239))</f>
        <v/>
      </c>
      <c r="Y239" s="15">
        <f>IF(A239="","",SUMIFS('14_Eingangsrechnungen'!$F:$F,'14_Eingangsrechnungen'!$C:$C,A239,'14_Eingangsrechnungen'!$E:$E,"Nachunternehmer"))</f>
        <v/>
      </c>
      <c r="Z239" s="15">
        <f>IF(A239="","",SUMIFS('10_Stunden'!$K:$K,'10_Stunden'!$C:$C,A239))</f>
        <v/>
      </c>
      <c r="AA239" s="15">
        <f>IF(A239="","",X239+Y239+Z239+SUMIFS('14_Eingangsrechnungen'!$F:$F,'14_Eingangsrechnungen'!$C:$C,A239,'14_Eingangsrechnungen'!$E:$E,"Gerät")+SUMIFS('14_Eingangsrechnungen'!$F:$F,'14_Eingangsrechnungen'!$C:$C,A239,'14_Eingangsrechnungen'!$E:$E,"Dienstleistung"))</f>
        <v/>
      </c>
      <c r="AB239" s="15">
        <f>IF(A239="","",W239-AA239)</f>
        <v/>
      </c>
      <c r="AC239" s="19">
        <f>IF(OR(A239="",W239=0),"",AB239/W239)</f>
        <v/>
      </c>
      <c r="AD239" s="19">
        <f>IF(OR(A239="",V239=0),"",W239/V239)</f>
        <v/>
      </c>
      <c r="AE239" s="15">
        <f>IF(A239="","",MAX(0,V239-W239))</f>
        <v/>
      </c>
      <c r="AF239" s="15">
        <f>IF(A239="","",SUMIFS('13_Ausgangsrechnungen'!$R:$R,'13_Ausgangsrechnungen'!$C:$C,A239))</f>
        <v/>
      </c>
    </row>
    <row r="240">
      <c r="A240" s="30" t="inlineStr"/>
      <c r="B240" s="30" t="inlineStr"/>
      <c r="C240" s="30" t="inlineStr"/>
      <c r="D240" s="30" t="inlineStr"/>
      <c r="E240" s="30" t="inlineStr"/>
      <c r="F240" s="30" t="inlineStr"/>
      <c r="G240" s="38" t="inlineStr"/>
      <c r="H240" s="38" t="inlineStr"/>
      <c r="I240" s="38" t="inlineStr"/>
      <c r="J240" s="34" t="inlineStr"/>
      <c r="K240" s="34" t="inlineStr"/>
      <c r="L240" s="34" t="inlineStr"/>
      <c r="M240" s="34" t="inlineStr"/>
      <c r="N240" s="34" t="inlineStr"/>
      <c r="O240" s="34" t="inlineStr"/>
      <c r="P240" s="32" t="inlineStr"/>
      <c r="Q240" s="30" t="inlineStr"/>
      <c r="R240" s="30" t="inlineStr"/>
      <c r="S240" s="30" t="inlineStr"/>
      <c r="T240" s="30" t="inlineStr"/>
      <c r="U240" s="15">
        <f>IF(A240="","",SUMIFS('07_Nachtraege'!$E:$E,'07_Nachtraege'!$B:$B,A240,'07_Nachtraege'!$F:$F,"beauftragt"))</f>
        <v/>
      </c>
      <c r="V240" s="15">
        <f>IF(A240="","",J240+U240)</f>
        <v/>
      </c>
      <c r="W240" s="15">
        <f>IF(A240="","",SUMIFS('13_Ausgangsrechnungen'!$G:$G,'13_Ausgangsrechnungen'!$C:$C,A240))</f>
        <v/>
      </c>
      <c r="X240" s="15">
        <f>IF(A240="","",SUMIFS('11_Material'!$L:$L,'11_Material'!$C:$C,A240))</f>
        <v/>
      </c>
      <c r="Y240" s="15">
        <f>IF(A240="","",SUMIFS('14_Eingangsrechnungen'!$F:$F,'14_Eingangsrechnungen'!$C:$C,A240,'14_Eingangsrechnungen'!$E:$E,"Nachunternehmer"))</f>
        <v/>
      </c>
      <c r="Z240" s="15">
        <f>IF(A240="","",SUMIFS('10_Stunden'!$K:$K,'10_Stunden'!$C:$C,A240))</f>
        <v/>
      </c>
      <c r="AA240" s="15">
        <f>IF(A240="","",X240+Y240+Z240+SUMIFS('14_Eingangsrechnungen'!$F:$F,'14_Eingangsrechnungen'!$C:$C,A240,'14_Eingangsrechnungen'!$E:$E,"Gerät")+SUMIFS('14_Eingangsrechnungen'!$F:$F,'14_Eingangsrechnungen'!$C:$C,A240,'14_Eingangsrechnungen'!$E:$E,"Dienstleistung"))</f>
        <v/>
      </c>
      <c r="AB240" s="15">
        <f>IF(A240="","",W240-AA240)</f>
        <v/>
      </c>
      <c r="AC240" s="19">
        <f>IF(OR(A240="",W240=0),"",AB240/W240)</f>
        <v/>
      </c>
      <c r="AD240" s="19">
        <f>IF(OR(A240="",V240=0),"",W240/V240)</f>
        <v/>
      </c>
      <c r="AE240" s="15">
        <f>IF(A240="","",MAX(0,V240-W240))</f>
        <v/>
      </c>
      <c r="AF240" s="15">
        <f>IF(A240="","",SUMIFS('13_Ausgangsrechnungen'!$R:$R,'13_Ausgangsrechnungen'!$C:$C,A240))</f>
        <v/>
      </c>
    </row>
    <row r="241">
      <c r="A241" s="30" t="inlineStr"/>
      <c r="B241" s="30" t="inlineStr"/>
      <c r="C241" s="30" t="inlineStr"/>
      <c r="D241" s="30" t="inlineStr"/>
      <c r="E241" s="30" t="inlineStr"/>
      <c r="F241" s="30" t="inlineStr"/>
      <c r="G241" s="38" t="inlineStr"/>
      <c r="H241" s="38" t="inlineStr"/>
      <c r="I241" s="38" t="inlineStr"/>
      <c r="J241" s="34" t="inlineStr"/>
      <c r="K241" s="34" t="inlineStr"/>
      <c r="L241" s="34" t="inlineStr"/>
      <c r="M241" s="34" t="inlineStr"/>
      <c r="N241" s="34" t="inlineStr"/>
      <c r="O241" s="34" t="inlineStr"/>
      <c r="P241" s="32" t="inlineStr"/>
      <c r="Q241" s="30" t="inlineStr"/>
      <c r="R241" s="30" t="inlineStr"/>
      <c r="S241" s="30" t="inlineStr"/>
      <c r="T241" s="30" t="inlineStr"/>
      <c r="U241" s="15">
        <f>IF(A241="","",SUMIFS('07_Nachtraege'!$E:$E,'07_Nachtraege'!$B:$B,A241,'07_Nachtraege'!$F:$F,"beauftragt"))</f>
        <v/>
      </c>
      <c r="V241" s="15">
        <f>IF(A241="","",J241+U241)</f>
        <v/>
      </c>
      <c r="W241" s="15">
        <f>IF(A241="","",SUMIFS('13_Ausgangsrechnungen'!$G:$G,'13_Ausgangsrechnungen'!$C:$C,A241))</f>
        <v/>
      </c>
      <c r="X241" s="15">
        <f>IF(A241="","",SUMIFS('11_Material'!$L:$L,'11_Material'!$C:$C,A241))</f>
        <v/>
      </c>
      <c r="Y241" s="15">
        <f>IF(A241="","",SUMIFS('14_Eingangsrechnungen'!$F:$F,'14_Eingangsrechnungen'!$C:$C,A241,'14_Eingangsrechnungen'!$E:$E,"Nachunternehmer"))</f>
        <v/>
      </c>
      <c r="Z241" s="15">
        <f>IF(A241="","",SUMIFS('10_Stunden'!$K:$K,'10_Stunden'!$C:$C,A241))</f>
        <v/>
      </c>
      <c r="AA241" s="15">
        <f>IF(A241="","",X241+Y241+Z241+SUMIFS('14_Eingangsrechnungen'!$F:$F,'14_Eingangsrechnungen'!$C:$C,A241,'14_Eingangsrechnungen'!$E:$E,"Gerät")+SUMIFS('14_Eingangsrechnungen'!$F:$F,'14_Eingangsrechnungen'!$C:$C,A241,'14_Eingangsrechnungen'!$E:$E,"Dienstleistung"))</f>
        <v/>
      </c>
      <c r="AB241" s="15">
        <f>IF(A241="","",W241-AA241)</f>
        <v/>
      </c>
      <c r="AC241" s="19">
        <f>IF(OR(A241="",W241=0),"",AB241/W241)</f>
        <v/>
      </c>
      <c r="AD241" s="19">
        <f>IF(OR(A241="",V241=0),"",W241/V241)</f>
        <v/>
      </c>
      <c r="AE241" s="15">
        <f>IF(A241="","",MAX(0,V241-W241))</f>
        <v/>
      </c>
      <c r="AF241" s="15">
        <f>IF(A241="","",SUMIFS('13_Ausgangsrechnungen'!$R:$R,'13_Ausgangsrechnungen'!$C:$C,A241))</f>
        <v/>
      </c>
    </row>
    <row r="242">
      <c r="A242" s="30" t="inlineStr"/>
      <c r="B242" s="30" t="inlineStr"/>
      <c r="C242" s="30" t="inlineStr"/>
      <c r="D242" s="30" t="inlineStr"/>
      <c r="E242" s="30" t="inlineStr"/>
      <c r="F242" s="30" t="inlineStr"/>
      <c r="G242" s="38" t="inlineStr"/>
      <c r="H242" s="38" t="inlineStr"/>
      <c r="I242" s="38" t="inlineStr"/>
      <c r="J242" s="34" t="inlineStr"/>
      <c r="K242" s="34" t="inlineStr"/>
      <c r="L242" s="34" t="inlineStr"/>
      <c r="M242" s="34" t="inlineStr"/>
      <c r="N242" s="34" t="inlineStr"/>
      <c r="O242" s="34" t="inlineStr"/>
      <c r="P242" s="32" t="inlineStr"/>
      <c r="Q242" s="30" t="inlineStr"/>
      <c r="R242" s="30" t="inlineStr"/>
      <c r="S242" s="30" t="inlineStr"/>
      <c r="T242" s="30" t="inlineStr"/>
      <c r="U242" s="15">
        <f>IF(A242="","",SUMIFS('07_Nachtraege'!$E:$E,'07_Nachtraege'!$B:$B,A242,'07_Nachtraege'!$F:$F,"beauftragt"))</f>
        <v/>
      </c>
      <c r="V242" s="15">
        <f>IF(A242="","",J242+U242)</f>
        <v/>
      </c>
      <c r="W242" s="15">
        <f>IF(A242="","",SUMIFS('13_Ausgangsrechnungen'!$G:$G,'13_Ausgangsrechnungen'!$C:$C,A242))</f>
        <v/>
      </c>
      <c r="X242" s="15">
        <f>IF(A242="","",SUMIFS('11_Material'!$L:$L,'11_Material'!$C:$C,A242))</f>
        <v/>
      </c>
      <c r="Y242" s="15">
        <f>IF(A242="","",SUMIFS('14_Eingangsrechnungen'!$F:$F,'14_Eingangsrechnungen'!$C:$C,A242,'14_Eingangsrechnungen'!$E:$E,"Nachunternehmer"))</f>
        <v/>
      </c>
      <c r="Z242" s="15">
        <f>IF(A242="","",SUMIFS('10_Stunden'!$K:$K,'10_Stunden'!$C:$C,A242))</f>
        <v/>
      </c>
      <c r="AA242" s="15">
        <f>IF(A242="","",X242+Y242+Z242+SUMIFS('14_Eingangsrechnungen'!$F:$F,'14_Eingangsrechnungen'!$C:$C,A242,'14_Eingangsrechnungen'!$E:$E,"Gerät")+SUMIFS('14_Eingangsrechnungen'!$F:$F,'14_Eingangsrechnungen'!$C:$C,A242,'14_Eingangsrechnungen'!$E:$E,"Dienstleistung"))</f>
        <v/>
      </c>
      <c r="AB242" s="15">
        <f>IF(A242="","",W242-AA242)</f>
        <v/>
      </c>
      <c r="AC242" s="19">
        <f>IF(OR(A242="",W242=0),"",AB242/W242)</f>
        <v/>
      </c>
      <c r="AD242" s="19">
        <f>IF(OR(A242="",V242=0),"",W242/V242)</f>
        <v/>
      </c>
      <c r="AE242" s="15">
        <f>IF(A242="","",MAX(0,V242-W242))</f>
        <v/>
      </c>
      <c r="AF242" s="15">
        <f>IF(A242="","",SUMIFS('13_Ausgangsrechnungen'!$R:$R,'13_Ausgangsrechnungen'!$C:$C,A242))</f>
        <v/>
      </c>
    </row>
    <row r="243">
      <c r="A243" s="30" t="inlineStr"/>
      <c r="B243" s="30" t="inlineStr"/>
      <c r="C243" s="30" t="inlineStr"/>
      <c r="D243" s="30" t="inlineStr"/>
      <c r="E243" s="30" t="inlineStr"/>
      <c r="F243" s="30" t="inlineStr"/>
      <c r="G243" s="38" t="inlineStr"/>
      <c r="H243" s="38" t="inlineStr"/>
      <c r="I243" s="38" t="inlineStr"/>
      <c r="J243" s="34" t="inlineStr"/>
      <c r="K243" s="34" t="inlineStr"/>
      <c r="L243" s="34" t="inlineStr"/>
      <c r="M243" s="34" t="inlineStr"/>
      <c r="N243" s="34" t="inlineStr"/>
      <c r="O243" s="34" t="inlineStr"/>
      <c r="P243" s="32" t="inlineStr"/>
      <c r="Q243" s="30" t="inlineStr"/>
      <c r="R243" s="30" t="inlineStr"/>
      <c r="S243" s="30" t="inlineStr"/>
      <c r="T243" s="30" t="inlineStr"/>
      <c r="U243" s="15">
        <f>IF(A243="","",SUMIFS('07_Nachtraege'!$E:$E,'07_Nachtraege'!$B:$B,A243,'07_Nachtraege'!$F:$F,"beauftragt"))</f>
        <v/>
      </c>
      <c r="V243" s="15">
        <f>IF(A243="","",J243+U243)</f>
        <v/>
      </c>
      <c r="W243" s="15">
        <f>IF(A243="","",SUMIFS('13_Ausgangsrechnungen'!$G:$G,'13_Ausgangsrechnungen'!$C:$C,A243))</f>
        <v/>
      </c>
      <c r="X243" s="15">
        <f>IF(A243="","",SUMIFS('11_Material'!$L:$L,'11_Material'!$C:$C,A243))</f>
        <v/>
      </c>
      <c r="Y243" s="15">
        <f>IF(A243="","",SUMIFS('14_Eingangsrechnungen'!$F:$F,'14_Eingangsrechnungen'!$C:$C,A243,'14_Eingangsrechnungen'!$E:$E,"Nachunternehmer"))</f>
        <v/>
      </c>
      <c r="Z243" s="15">
        <f>IF(A243="","",SUMIFS('10_Stunden'!$K:$K,'10_Stunden'!$C:$C,A243))</f>
        <v/>
      </c>
      <c r="AA243" s="15">
        <f>IF(A243="","",X243+Y243+Z243+SUMIFS('14_Eingangsrechnungen'!$F:$F,'14_Eingangsrechnungen'!$C:$C,A243,'14_Eingangsrechnungen'!$E:$E,"Gerät")+SUMIFS('14_Eingangsrechnungen'!$F:$F,'14_Eingangsrechnungen'!$C:$C,A243,'14_Eingangsrechnungen'!$E:$E,"Dienstleistung"))</f>
        <v/>
      </c>
      <c r="AB243" s="15">
        <f>IF(A243="","",W243-AA243)</f>
        <v/>
      </c>
      <c r="AC243" s="19">
        <f>IF(OR(A243="",W243=0),"",AB243/W243)</f>
        <v/>
      </c>
      <c r="AD243" s="19">
        <f>IF(OR(A243="",V243=0),"",W243/V243)</f>
        <v/>
      </c>
      <c r="AE243" s="15">
        <f>IF(A243="","",MAX(0,V243-W243))</f>
        <v/>
      </c>
      <c r="AF243" s="15">
        <f>IF(A243="","",SUMIFS('13_Ausgangsrechnungen'!$R:$R,'13_Ausgangsrechnungen'!$C:$C,A243))</f>
        <v/>
      </c>
    </row>
    <row r="244">
      <c r="A244" s="30" t="inlineStr"/>
      <c r="B244" s="30" t="inlineStr"/>
      <c r="C244" s="30" t="inlineStr"/>
      <c r="D244" s="30" t="inlineStr"/>
      <c r="E244" s="30" t="inlineStr"/>
      <c r="F244" s="30" t="inlineStr"/>
      <c r="G244" s="38" t="inlineStr"/>
      <c r="H244" s="38" t="inlineStr"/>
      <c r="I244" s="38" t="inlineStr"/>
      <c r="J244" s="34" t="inlineStr"/>
      <c r="K244" s="34" t="inlineStr"/>
      <c r="L244" s="34" t="inlineStr"/>
      <c r="M244" s="34" t="inlineStr"/>
      <c r="N244" s="34" t="inlineStr"/>
      <c r="O244" s="34" t="inlineStr"/>
      <c r="P244" s="32" t="inlineStr"/>
      <c r="Q244" s="30" t="inlineStr"/>
      <c r="R244" s="30" t="inlineStr"/>
      <c r="S244" s="30" t="inlineStr"/>
      <c r="T244" s="30" t="inlineStr"/>
      <c r="U244" s="15">
        <f>IF(A244="","",SUMIFS('07_Nachtraege'!$E:$E,'07_Nachtraege'!$B:$B,A244,'07_Nachtraege'!$F:$F,"beauftragt"))</f>
        <v/>
      </c>
      <c r="V244" s="15">
        <f>IF(A244="","",J244+U244)</f>
        <v/>
      </c>
      <c r="W244" s="15">
        <f>IF(A244="","",SUMIFS('13_Ausgangsrechnungen'!$G:$G,'13_Ausgangsrechnungen'!$C:$C,A244))</f>
        <v/>
      </c>
      <c r="X244" s="15">
        <f>IF(A244="","",SUMIFS('11_Material'!$L:$L,'11_Material'!$C:$C,A244))</f>
        <v/>
      </c>
      <c r="Y244" s="15">
        <f>IF(A244="","",SUMIFS('14_Eingangsrechnungen'!$F:$F,'14_Eingangsrechnungen'!$C:$C,A244,'14_Eingangsrechnungen'!$E:$E,"Nachunternehmer"))</f>
        <v/>
      </c>
      <c r="Z244" s="15">
        <f>IF(A244="","",SUMIFS('10_Stunden'!$K:$K,'10_Stunden'!$C:$C,A244))</f>
        <v/>
      </c>
      <c r="AA244" s="15">
        <f>IF(A244="","",X244+Y244+Z244+SUMIFS('14_Eingangsrechnungen'!$F:$F,'14_Eingangsrechnungen'!$C:$C,A244,'14_Eingangsrechnungen'!$E:$E,"Gerät")+SUMIFS('14_Eingangsrechnungen'!$F:$F,'14_Eingangsrechnungen'!$C:$C,A244,'14_Eingangsrechnungen'!$E:$E,"Dienstleistung"))</f>
        <v/>
      </c>
      <c r="AB244" s="15">
        <f>IF(A244="","",W244-AA244)</f>
        <v/>
      </c>
      <c r="AC244" s="19">
        <f>IF(OR(A244="",W244=0),"",AB244/W244)</f>
        <v/>
      </c>
      <c r="AD244" s="19">
        <f>IF(OR(A244="",V244=0),"",W244/V244)</f>
        <v/>
      </c>
      <c r="AE244" s="15">
        <f>IF(A244="","",MAX(0,V244-W244))</f>
        <v/>
      </c>
      <c r="AF244" s="15">
        <f>IF(A244="","",SUMIFS('13_Ausgangsrechnungen'!$R:$R,'13_Ausgangsrechnungen'!$C:$C,A244))</f>
        <v/>
      </c>
    </row>
    <row r="245">
      <c r="A245" s="30" t="inlineStr"/>
      <c r="B245" s="30" t="inlineStr"/>
      <c r="C245" s="30" t="inlineStr"/>
      <c r="D245" s="30" t="inlineStr"/>
      <c r="E245" s="30" t="inlineStr"/>
      <c r="F245" s="30" t="inlineStr"/>
      <c r="G245" s="38" t="inlineStr"/>
      <c r="H245" s="38" t="inlineStr"/>
      <c r="I245" s="38" t="inlineStr"/>
      <c r="J245" s="34" t="inlineStr"/>
      <c r="K245" s="34" t="inlineStr"/>
      <c r="L245" s="34" t="inlineStr"/>
      <c r="M245" s="34" t="inlineStr"/>
      <c r="N245" s="34" t="inlineStr"/>
      <c r="O245" s="34" t="inlineStr"/>
      <c r="P245" s="32" t="inlineStr"/>
      <c r="Q245" s="30" t="inlineStr"/>
      <c r="R245" s="30" t="inlineStr"/>
      <c r="S245" s="30" t="inlineStr"/>
      <c r="T245" s="30" t="inlineStr"/>
      <c r="U245" s="15">
        <f>IF(A245="","",SUMIFS('07_Nachtraege'!$E:$E,'07_Nachtraege'!$B:$B,A245,'07_Nachtraege'!$F:$F,"beauftragt"))</f>
        <v/>
      </c>
      <c r="V245" s="15">
        <f>IF(A245="","",J245+U245)</f>
        <v/>
      </c>
      <c r="W245" s="15">
        <f>IF(A245="","",SUMIFS('13_Ausgangsrechnungen'!$G:$G,'13_Ausgangsrechnungen'!$C:$C,A245))</f>
        <v/>
      </c>
      <c r="X245" s="15">
        <f>IF(A245="","",SUMIFS('11_Material'!$L:$L,'11_Material'!$C:$C,A245))</f>
        <v/>
      </c>
      <c r="Y245" s="15">
        <f>IF(A245="","",SUMIFS('14_Eingangsrechnungen'!$F:$F,'14_Eingangsrechnungen'!$C:$C,A245,'14_Eingangsrechnungen'!$E:$E,"Nachunternehmer"))</f>
        <v/>
      </c>
      <c r="Z245" s="15">
        <f>IF(A245="","",SUMIFS('10_Stunden'!$K:$K,'10_Stunden'!$C:$C,A245))</f>
        <v/>
      </c>
      <c r="AA245" s="15">
        <f>IF(A245="","",X245+Y245+Z245+SUMIFS('14_Eingangsrechnungen'!$F:$F,'14_Eingangsrechnungen'!$C:$C,A245,'14_Eingangsrechnungen'!$E:$E,"Gerät")+SUMIFS('14_Eingangsrechnungen'!$F:$F,'14_Eingangsrechnungen'!$C:$C,A245,'14_Eingangsrechnungen'!$E:$E,"Dienstleistung"))</f>
        <v/>
      </c>
      <c r="AB245" s="15">
        <f>IF(A245="","",W245-AA245)</f>
        <v/>
      </c>
      <c r="AC245" s="19">
        <f>IF(OR(A245="",W245=0),"",AB245/W245)</f>
        <v/>
      </c>
      <c r="AD245" s="19">
        <f>IF(OR(A245="",V245=0),"",W245/V245)</f>
        <v/>
      </c>
      <c r="AE245" s="15">
        <f>IF(A245="","",MAX(0,V245-W245))</f>
        <v/>
      </c>
      <c r="AF245" s="15">
        <f>IF(A245="","",SUMIFS('13_Ausgangsrechnungen'!$R:$R,'13_Ausgangsrechnungen'!$C:$C,A245))</f>
        <v/>
      </c>
    </row>
    <row r="246">
      <c r="A246" s="30" t="inlineStr"/>
      <c r="B246" s="30" t="inlineStr"/>
      <c r="C246" s="30" t="inlineStr"/>
      <c r="D246" s="30" t="inlineStr"/>
      <c r="E246" s="30" t="inlineStr"/>
      <c r="F246" s="30" t="inlineStr"/>
      <c r="G246" s="38" t="inlineStr"/>
      <c r="H246" s="38" t="inlineStr"/>
      <c r="I246" s="38" t="inlineStr"/>
      <c r="J246" s="34" t="inlineStr"/>
      <c r="K246" s="34" t="inlineStr"/>
      <c r="L246" s="34" t="inlineStr"/>
      <c r="M246" s="34" t="inlineStr"/>
      <c r="N246" s="34" t="inlineStr"/>
      <c r="O246" s="34" t="inlineStr"/>
      <c r="P246" s="32" t="inlineStr"/>
      <c r="Q246" s="30" t="inlineStr"/>
      <c r="R246" s="30" t="inlineStr"/>
      <c r="S246" s="30" t="inlineStr"/>
      <c r="T246" s="30" t="inlineStr"/>
      <c r="U246" s="15">
        <f>IF(A246="","",SUMIFS('07_Nachtraege'!$E:$E,'07_Nachtraege'!$B:$B,A246,'07_Nachtraege'!$F:$F,"beauftragt"))</f>
        <v/>
      </c>
      <c r="V246" s="15">
        <f>IF(A246="","",J246+U246)</f>
        <v/>
      </c>
      <c r="W246" s="15">
        <f>IF(A246="","",SUMIFS('13_Ausgangsrechnungen'!$G:$G,'13_Ausgangsrechnungen'!$C:$C,A246))</f>
        <v/>
      </c>
      <c r="X246" s="15">
        <f>IF(A246="","",SUMIFS('11_Material'!$L:$L,'11_Material'!$C:$C,A246))</f>
        <v/>
      </c>
      <c r="Y246" s="15">
        <f>IF(A246="","",SUMIFS('14_Eingangsrechnungen'!$F:$F,'14_Eingangsrechnungen'!$C:$C,A246,'14_Eingangsrechnungen'!$E:$E,"Nachunternehmer"))</f>
        <v/>
      </c>
      <c r="Z246" s="15">
        <f>IF(A246="","",SUMIFS('10_Stunden'!$K:$K,'10_Stunden'!$C:$C,A246))</f>
        <v/>
      </c>
      <c r="AA246" s="15">
        <f>IF(A246="","",X246+Y246+Z246+SUMIFS('14_Eingangsrechnungen'!$F:$F,'14_Eingangsrechnungen'!$C:$C,A246,'14_Eingangsrechnungen'!$E:$E,"Gerät")+SUMIFS('14_Eingangsrechnungen'!$F:$F,'14_Eingangsrechnungen'!$C:$C,A246,'14_Eingangsrechnungen'!$E:$E,"Dienstleistung"))</f>
        <v/>
      </c>
      <c r="AB246" s="15">
        <f>IF(A246="","",W246-AA246)</f>
        <v/>
      </c>
      <c r="AC246" s="19">
        <f>IF(OR(A246="",W246=0),"",AB246/W246)</f>
        <v/>
      </c>
      <c r="AD246" s="19">
        <f>IF(OR(A246="",V246=0),"",W246/V246)</f>
        <v/>
      </c>
      <c r="AE246" s="15">
        <f>IF(A246="","",MAX(0,V246-W246))</f>
        <v/>
      </c>
      <c r="AF246" s="15">
        <f>IF(A246="","",SUMIFS('13_Ausgangsrechnungen'!$R:$R,'13_Ausgangsrechnungen'!$C:$C,A246))</f>
        <v/>
      </c>
    </row>
    <row r="247">
      <c r="A247" s="30" t="inlineStr"/>
      <c r="B247" s="30" t="inlineStr"/>
      <c r="C247" s="30" t="inlineStr"/>
      <c r="D247" s="30" t="inlineStr"/>
      <c r="E247" s="30" t="inlineStr"/>
      <c r="F247" s="30" t="inlineStr"/>
      <c r="G247" s="38" t="inlineStr"/>
      <c r="H247" s="38" t="inlineStr"/>
      <c r="I247" s="38" t="inlineStr"/>
      <c r="J247" s="34" t="inlineStr"/>
      <c r="K247" s="34" t="inlineStr"/>
      <c r="L247" s="34" t="inlineStr"/>
      <c r="M247" s="34" t="inlineStr"/>
      <c r="N247" s="34" t="inlineStr"/>
      <c r="O247" s="34" t="inlineStr"/>
      <c r="P247" s="32" t="inlineStr"/>
      <c r="Q247" s="30" t="inlineStr"/>
      <c r="R247" s="30" t="inlineStr"/>
      <c r="S247" s="30" t="inlineStr"/>
      <c r="T247" s="30" t="inlineStr"/>
      <c r="U247" s="15">
        <f>IF(A247="","",SUMIFS('07_Nachtraege'!$E:$E,'07_Nachtraege'!$B:$B,A247,'07_Nachtraege'!$F:$F,"beauftragt"))</f>
        <v/>
      </c>
      <c r="V247" s="15">
        <f>IF(A247="","",J247+U247)</f>
        <v/>
      </c>
      <c r="W247" s="15">
        <f>IF(A247="","",SUMIFS('13_Ausgangsrechnungen'!$G:$G,'13_Ausgangsrechnungen'!$C:$C,A247))</f>
        <v/>
      </c>
      <c r="X247" s="15">
        <f>IF(A247="","",SUMIFS('11_Material'!$L:$L,'11_Material'!$C:$C,A247))</f>
        <v/>
      </c>
      <c r="Y247" s="15">
        <f>IF(A247="","",SUMIFS('14_Eingangsrechnungen'!$F:$F,'14_Eingangsrechnungen'!$C:$C,A247,'14_Eingangsrechnungen'!$E:$E,"Nachunternehmer"))</f>
        <v/>
      </c>
      <c r="Z247" s="15">
        <f>IF(A247="","",SUMIFS('10_Stunden'!$K:$K,'10_Stunden'!$C:$C,A247))</f>
        <v/>
      </c>
      <c r="AA247" s="15">
        <f>IF(A247="","",X247+Y247+Z247+SUMIFS('14_Eingangsrechnungen'!$F:$F,'14_Eingangsrechnungen'!$C:$C,A247,'14_Eingangsrechnungen'!$E:$E,"Gerät")+SUMIFS('14_Eingangsrechnungen'!$F:$F,'14_Eingangsrechnungen'!$C:$C,A247,'14_Eingangsrechnungen'!$E:$E,"Dienstleistung"))</f>
        <v/>
      </c>
      <c r="AB247" s="15">
        <f>IF(A247="","",W247-AA247)</f>
        <v/>
      </c>
      <c r="AC247" s="19">
        <f>IF(OR(A247="",W247=0),"",AB247/W247)</f>
        <v/>
      </c>
      <c r="AD247" s="19">
        <f>IF(OR(A247="",V247=0),"",W247/V247)</f>
        <v/>
      </c>
      <c r="AE247" s="15">
        <f>IF(A247="","",MAX(0,V247-W247))</f>
        <v/>
      </c>
      <c r="AF247" s="15">
        <f>IF(A247="","",SUMIFS('13_Ausgangsrechnungen'!$R:$R,'13_Ausgangsrechnungen'!$C:$C,A247))</f>
        <v/>
      </c>
    </row>
    <row r="248">
      <c r="A248" s="30" t="inlineStr"/>
      <c r="B248" s="30" t="inlineStr"/>
      <c r="C248" s="30" t="inlineStr"/>
      <c r="D248" s="30" t="inlineStr"/>
      <c r="E248" s="30" t="inlineStr"/>
      <c r="F248" s="30" t="inlineStr"/>
      <c r="G248" s="38" t="inlineStr"/>
      <c r="H248" s="38" t="inlineStr"/>
      <c r="I248" s="38" t="inlineStr"/>
      <c r="J248" s="34" t="inlineStr"/>
      <c r="K248" s="34" t="inlineStr"/>
      <c r="L248" s="34" t="inlineStr"/>
      <c r="M248" s="34" t="inlineStr"/>
      <c r="N248" s="34" t="inlineStr"/>
      <c r="O248" s="34" t="inlineStr"/>
      <c r="P248" s="32" t="inlineStr"/>
      <c r="Q248" s="30" t="inlineStr"/>
      <c r="R248" s="30" t="inlineStr"/>
      <c r="S248" s="30" t="inlineStr"/>
      <c r="T248" s="30" t="inlineStr"/>
      <c r="U248" s="15">
        <f>IF(A248="","",SUMIFS('07_Nachtraege'!$E:$E,'07_Nachtraege'!$B:$B,A248,'07_Nachtraege'!$F:$F,"beauftragt"))</f>
        <v/>
      </c>
      <c r="V248" s="15">
        <f>IF(A248="","",J248+U248)</f>
        <v/>
      </c>
      <c r="W248" s="15">
        <f>IF(A248="","",SUMIFS('13_Ausgangsrechnungen'!$G:$G,'13_Ausgangsrechnungen'!$C:$C,A248))</f>
        <v/>
      </c>
      <c r="X248" s="15">
        <f>IF(A248="","",SUMIFS('11_Material'!$L:$L,'11_Material'!$C:$C,A248))</f>
        <v/>
      </c>
      <c r="Y248" s="15">
        <f>IF(A248="","",SUMIFS('14_Eingangsrechnungen'!$F:$F,'14_Eingangsrechnungen'!$C:$C,A248,'14_Eingangsrechnungen'!$E:$E,"Nachunternehmer"))</f>
        <v/>
      </c>
      <c r="Z248" s="15">
        <f>IF(A248="","",SUMIFS('10_Stunden'!$K:$K,'10_Stunden'!$C:$C,A248))</f>
        <v/>
      </c>
      <c r="AA248" s="15">
        <f>IF(A248="","",X248+Y248+Z248+SUMIFS('14_Eingangsrechnungen'!$F:$F,'14_Eingangsrechnungen'!$C:$C,A248,'14_Eingangsrechnungen'!$E:$E,"Gerät")+SUMIFS('14_Eingangsrechnungen'!$F:$F,'14_Eingangsrechnungen'!$C:$C,A248,'14_Eingangsrechnungen'!$E:$E,"Dienstleistung"))</f>
        <v/>
      </c>
      <c r="AB248" s="15">
        <f>IF(A248="","",W248-AA248)</f>
        <v/>
      </c>
      <c r="AC248" s="19">
        <f>IF(OR(A248="",W248=0),"",AB248/W248)</f>
        <v/>
      </c>
      <c r="AD248" s="19">
        <f>IF(OR(A248="",V248=0),"",W248/V248)</f>
        <v/>
      </c>
      <c r="AE248" s="15">
        <f>IF(A248="","",MAX(0,V248-W248))</f>
        <v/>
      </c>
      <c r="AF248" s="15">
        <f>IF(A248="","",SUMIFS('13_Ausgangsrechnungen'!$R:$R,'13_Ausgangsrechnungen'!$C:$C,A248))</f>
        <v/>
      </c>
    </row>
    <row r="249">
      <c r="A249" s="30" t="inlineStr"/>
      <c r="B249" s="30" t="inlineStr"/>
      <c r="C249" s="30" t="inlineStr"/>
      <c r="D249" s="30" t="inlineStr"/>
      <c r="E249" s="30" t="inlineStr"/>
      <c r="F249" s="30" t="inlineStr"/>
      <c r="G249" s="38" t="inlineStr"/>
      <c r="H249" s="38" t="inlineStr"/>
      <c r="I249" s="38" t="inlineStr"/>
      <c r="J249" s="34" t="inlineStr"/>
      <c r="K249" s="34" t="inlineStr"/>
      <c r="L249" s="34" t="inlineStr"/>
      <c r="M249" s="34" t="inlineStr"/>
      <c r="N249" s="34" t="inlineStr"/>
      <c r="O249" s="34" t="inlineStr"/>
      <c r="P249" s="32" t="inlineStr"/>
      <c r="Q249" s="30" t="inlineStr"/>
      <c r="R249" s="30" t="inlineStr"/>
      <c r="S249" s="30" t="inlineStr"/>
      <c r="T249" s="30" t="inlineStr"/>
      <c r="U249" s="15">
        <f>IF(A249="","",SUMIFS('07_Nachtraege'!$E:$E,'07_Nachtraege'!$B:$B,A249,'07_Nachtraege'!$F:$F,"beauftragt"))</f>
        <v/>
      </c>
      <c r="V249" s="15">
        <f>IF(A249="","",J249+U249)</f>
        <v/>
      </c>
      <c r="W249" s="15">
        <f>IF(A249="","",SUMIFS('13_Ausgangsrechnungen'!$G:$G,'13_Ausgangsrechnungen'!$C:$C,A249))</f>
        <v/>
      </c>
      <c r="X249" s="15">
        <f>IF(A249="","",SUMIFS('11_Material'!$L:$L,'11_Material'!$C:$C,A249))</f>
        <v/>
      </c>
      <c r="Y249" s="15">
        <f>IF(A249="","",SUMIFS('14_Eingangsrechnungen'!$F:$F,'14_Eingangsrechnungen'!$C:$C,A249,'14_Eingangsrechnungen'!$E:$E,"Nachunternehmer"))</f>
        <v/>
      </c>
      <c r="Z249" s="15">
        <f>IF(A249="","",SUMIFS('10_Stunden'!$K:$K,'10_Stunden'!$C:$C,A249))</f>
        <v/>
      </c>
      <c r="AA249" s="15">
        <f>IF(A249="","",X249+Y249+Z249+SUMIFS('14_Eingangsrechnungen'!$F:$F,'14_Eingangsrechnungen'!$C:$C,A249,'14_Eingangsrechnungen'!$E:$E,"Gerät")+SUMIFS('14_Eingangsrechnungen'!$F:$F,'14_Eingangsrechnungen'!$C:$C,A249,'14_Eingangsrechnungen'!$E:$E,"Dienstleistung"))</f>
        <v/>
      </c>
      <c r="AB249" s="15">
        <f>IF(A249="","",W249-AA249)</f>
        <v/>
      </c>
      <c r="AC249" s="19">
        <f>IF(OR(A249="",W249=0),"",AB249/W249)</f>
        <v/>
      </c>
      <c r="AD249" s="19">
        <f>IF(OR(A249="",V249=0),"",W249/V249)</f>
        <v/>
      </c>
      <c r="AE249" s="15">
        <f>IF(A249="","",MAX(0,V249-W249))</f>
        <v/>
      </c>
      <c r="AF249" s="15">
        <f>IF(A249="","",SUMIFS('13_Ausgangsrechnungen'!$R:$R,'13_Ausgangsrechnungen'!$C:$C,A249))</f>
        <v/>
      </c>
    </row>
    <row r="250">
      <c r="A250" s="30" t="inlineStr"/>
      <c r="B250" s="30" t="inlineStr"/>
      <c r="C250" s="30" t="inlineStr"/>
      <c r="D250" s="30" t="inlineStr"/>
      <c r="E250" s="30" t="inlineStr"/>
      <c r="F250" s="30" t="inlineStr"/>
      <c r="G250" s="38" t="inlineStr"/>
      <c r="H250" s="38" t="inlineStr"/>
      <c r="I250" s="38" t="inlineStr"/>
      <c r="J250" s="34" t="inlineStr"/>
      <c r="K250" s="34" t="inlineStr"/>
      <c r="L250" s="34" t="inlineStr"/>
      <c r="M250" s="34" t="inlineStr"/>
      <c r="N250" s="34" t="inlineStr"/>
      <c r="O250" s="34" t="inlineStr"/>
      <c r="P250" s="32" t="inlineStr"/>
      <c r="Q250" s="30" t="inlineStr"/>
      <c r="R250" s="30" t="inlineStr"/>
      <c r="S250" s="30" t="inlineStr"/>
      <c r="T250" s="30" t="inlineStr"/>
      <c r="U250" s="15">
        <f>IF(A250="","",SUMIFS('07_Nachtraege'!$E:$E,'07_Nachtraege'!$B:$B,A250,'07_Nachtraege'!$F:$F,"beauftragt"))</f>
        <v/>
      </c>
      <c r="V250" s="15">
        <f>IF(A250="","",J250+U250)</f>
        <v/>
      </c>
      <c r="W250" s="15">
        <f>IF(A250="","",SUMIFS('13_Ausgangsrechnungen'!$G:$G,'13_Ausgangsrechnungen'!$C:$C,A250))</f>
        <v/>
      </c>
      <c r="X250" s="15">
        <f>IF(A250="","",SUMIFS('11_Material'!$L:$L,'11_Material'!$C:$C,A250))</f>
        <v/>
      </c>
      <c r="Y250" s="15">
        <f>IF(A250="","",SUMIFS('14_Eingangsrechnungen'!$F:$F,'14_Eingangsrechnungen'!$C:$C,A250,'14_Eingangsrechnungen'!$E:$E,"Nachunternehmer"))</f>
        <v/>
      </c>
      <c r="Z250" s="15">
        <f>IF(A250="","",SUMIFS('10_Stunden'!$K:$K,'10_Stunden'!$C:$C,A250))</f>
        <v/>
      </c>
      <c r="AA250" s="15">
        <f>IF(A250="","",X250+Y250+Z250+SUMIFS('14_Eingangsrechnungen'!$F:$F,'14_Eingangsrechnungen'!$C:$C,A250,'14_Eingangsrechnungen'!$E:$E,"Gerät")+SUMIFS('14_Eingangsrechnungen'!$F:$F,'14_Eingangsrechnungen'!$C:$C,A250,'14_Eingangsrechnungen'!$E:$E,"Dienstleistung"))</f>
        <v/>
      </c>
      <c r="AB250" s="15">
        <f>IF(A250="","",W250-AA250)</f>
        <v/>
      </c>
      <c r="AC250" s="19">
        <f>IF(OR(A250="",W250=0),"",AB250/W250)</f>
        <v/>
      </c>
      <c r="AD250" s="19">
        <f>IF(OR(A250="",V250=0),"",W250/V250)</f>
        <v/>
      </c>
      <c r="AE250" s="15">
        <f>IF(A250="","",MAX(0,V250-W250))</f>
        <v/>
      </c>
      <c r="AF250" s="15">
        <f>IF(A250="","",SUMIFS('13_Ausgangsrechnungen'!$R:$R,'13_Ausgangsrechnungen'!$C:$C,A250))</f>
        <v/>
      </c>
    </row>
    <row r="251">
      <c r="A251" s="30" t="inlineStr"/>
      <c r="B251" s="30" t="inlineStr"/>
      <c r="C251" s="30" t="inlineStr"/>
      <c r="D251" s="30" t="inlineStr"/>
      <c r="E251" s="30" t="inlineStr"/>
      <c r="F251" s="30" t="inlineStr"/>
      <c r="G251" s="38" t="inlineStr"/>
      <c r="H251" s="38" t="inlineStr"/>
      <c r="I251" s="38" t="inlineStr"/>
      <c r="J251" s="34" t="inlineStr"/>
      <c r="K251" s="34" t="inlineStr"/>
      <c r="L251" s="34" t="inlineStr"/>
      <c r="M251" s="34" t="inlineStr"/>
      <c r="N251" s="34" t="inlineStr"/>
      <c r="O251" s="34" t="inlineStr"/>
      <c r="P251" s="32" t="inlineStr"/>
      <c r="Q251" s="30" t="inlineStr"/>
      <c r="R251" s="30" t="inlineStr"/>
      <c r="S251" s="30" t="inlineStr"/>
      <c r="T251" s="30" t="inlineStr"/>
      <c r="U251" s="15">
        <f>IF(A251="","",SUMIFS('07_Nachtraege'!$E:$E,'07_Nachtraege'!$B:$B,A251,'07_Nachtraege'!$F:$F,"beauftragt"))</f>
        <v/>
      </c>
      <c r="V251" s="15">
        <f>IF(A251="","",J251+U251)</f>
        <v/>
      </c>
      <c r="W251" s="15">
        <f>IF(A251="","",SUMIFS('13_Ausgangsrechnungen'!$G:$G,'13_Ausgangsrechnungen'!$C:$C,A251))</f>
        <v/>
      </c>
      <c r="X251" s="15">
        <f>IF(A251="","",SUMIFS('11_Material'!$L:$L,'11_Material'!$C:$C,A251))</f>
        <v/>
      </c>
      <c r="Y251" s="15">
        <f>IF(A251="","",SUMIFS('14_Eingangsrechnungen'!$F:$F,'14_Eingangsrechnungen'!$C:$C,A251,'14_Eingangsrechnungen'!$E:$E,"Nachunternehmer"))</f>
        <v/>
      </c>
      <c r="Z251" s="15">
        <f>IF(A251="","",SUMIFS('10_Stunden'!$K:$K,'10_Stunden'!$C:$C,A251))</f>
        <v/>
      </c>
      <c r="AA251" s="15">
        <f>IF(A251="","",X251+Y251+Z251+SUMIFS('14_Eingangsrechnungen'!$F:$F,'14_Eingangsrechnungen'!$C:$C,A251,'14_Eingangsrechnungen'!$E:$E,"Gerät")+SUMIFS('14_Eingangsrechnungen'!$F:$F,'14_Eingangsrechnungen'!$C:$C,A251,'14_Eingangsrechnungen'!$E:$E,"Dienstleistung"))</f>
        <v/>
      </c>
      <c r="AB251" s="15">
        <f>IF(A251="","",W251-AA251)</f>
        <v/>
      </c>
      <c r="AC251" s="19">
        <f>IF(OR(A251="",W251=0),"",AB251/W251)</f>
        <v/>
      </c>
      <c r="AD251" s="19">
        <f>IF(OR(A251="",V251=0),"",W251/V251)</f>
        <v/>
      </c>
      <c r="AE251" s="15">
        <f>IF(A251="","",MAX(0,V251-W251))</f>
        <v/>
      </c>
      <c r="AF251" s="15">
        <f>IF(A251="","",SUMIFS('13_Ausgangsrechnungen'!$R:$R,'13_Ausgangsrechnungen'!$C:$C,A251))</f>
        <v/>
      </c>
    </row>
    <row r="252">
      <c r="A252" s="30" t="inlineStr"/>
      <c r="B252" s="30" t="inlineStr"/>
      <c r="C252" s="30" t="inlineStr"/>
      <c r="D252" s="30" t="inlineStr"/>
      <c r="E252" s="30" t="inlineStr"/>
      <c r="F252" s="30" t="inlineStr"/>
      <c r="G252" s="38" t="inlineStr"/>
      <c r="H252" s="38" t="inlineStr"/>
      <c r="I252" s="38" t="inlineStr"/>
      <c r="J252" s="34" t="inlineStr"/>
      <c r="K252" s="34" t="inlineStr"/>
      <c r="L252" s="34" t="inlineStr"/>
      <c r="M252" s="34" t="inlineStr"/>
      <c r="N252" s="34" t="inlineStr"/>
      <c r="O252" s="34" t="inlineStr"/>
      <c r="P252" s="32" t="inlineStr"/>
      <c r="Q252" s="30" t="inlineStr"/>
      <c r="R252" s="30" t="inlineStr"/>
      <c r="S252" s="30" t="inlineStr"/>
      <c r="T252" s="30" t="inlineStr"/>
      <c r="U252" s="15">
        <f>IF(A252="","",SUMIFS('07_Nachtraege'!$E:$E,'07_Nachtraege'!$B:$B,A252,'07_Nachtraege'!$F:$F,"beauftragt"))</f>
        <v/>
      </c>
      <c r="V252" s="15">
        <f>IF(A252="","",J252+U252)</f>
        <v/>
      </c>
      <c r="W252" s="15">
        <f>IF(A252="","",SUMIFS('13_Ausgangsrechnungen'!$G:$G,'13_Ausgangsrechnungen'!$C:$C,A252))</f>
        <v/>
      </c>
      <c r="X252" s="15">
        <f>IF(A252="","",SUMIFS('11_Material'!$L:$L,'11_Material'!$C:$C,A252))</f>
        <v/>
      </c>
      <c r="Y252" s="15">
        <f>IF(A252="","",SUMIFS('14_Eingangsrechnungen'!$F:$F,'14_Eingangsrechnungen'!$C:$C,A252,'14_Eingangsrechnungen'!$E:$E,"Nachunternehmer"))</f>
        <v/>
      </c>
      <c r="Z252" s="15">
        <f>IF(A252="","",SUMIFS('10_Stunden'!$K:$K,'10_Stunden'!$C:$C,A252))</f>
        <v/>
      </c>
      <c r="AA252" s="15">
        <f>IF(A252="","",X252+Y252+Z252+SUMIFS('14_Eingangsrechnungen'!$F:$F,'14_Eingangsrechnungen'!$C:$C,A252,'14_Eingangsrechnungen'!$E:$E,"Gerät")+SUMIFS('14_Eingangsrechnungen'!$F:$F,'14_Eingangsrechnungen'!$C:$C,A252,'14_Eingangsrechnungen'!$E:$E,"Dienstleistung"))</f>
        <v/>
      </c>
      <c r="AB252" s="15">
        <f>IF(A252="","",W252-AA252)</f>
        <v/>
      </c>
      <c r="AC252" s="19">
        <f>IF(OR(A252="",W252=0),"",AB252/W252)</f>
        <v/>
      </c>
      <c r="AD252" s="19">
        <f>IF(OR(A252="",V252=0),"",W252/V252)</f>
        <v/>
      </c>
      <c r="AE252" s="15">
        <f>IF(A252="","",MAX(0,V252-W252))</f>
        <v/>
      </c>
      <c r="AF252" s="15">
        <f>IF(A252="","",SUMIFS('13_Ausgangsrechnungen'!$R:$R,'13_Ausgangsrechnungen'!$C:$C,A252))</f>
        <v/>
      </c>
    </row>
    <row r="253">
      <c r="A253" s="30" t="inlineStr"/>
      <c r="B253" s="30" t="inlineStr"/>
      <c r="C253" s="30" t="inlineStr"/>
      <c r="D253" s="30" t="inlineStr"/>
      <c r="E253" s="30" t="inlineStr"/>
      <c r="F253" s="30" t="inlineStr"/>
      <c r="G253" s="38" t="inlineStr"/>
      <c r="H253" s="38" t="inlineStr"/>
      <c r="I253" s="38" t="inlineStr"/>
      <c r="J253" s="34" t="inlineStr"/>
      <c r="K253" s="34" t="inlineStr"/>
      <c r="L253" s="34" t="inlineStr"/>
      <c r="M253" s="34" t="inlineStr"/>
      <c r="N253" s="34" t="inlineStr"/>
      <c r="O253" s="34" t="inlineStr"/>
      <c r="P253" s="32" t="inlineStr"/>
      <c r="Q253" s="30" t="inlineStr"/>
      <c r="R253" s="30" t="inlineStr"/>
      <c r="S253" s="30" t="inlineStr"/>
      <c r="T253" s="30" t="inlineStr"/>
      <c r="U253" s="15">
        <f>IF(A253="","",SUMIFS('07_Nachtraege'!$E:$E,'07_Nachtraege'!$B:$B,A253,'07_Nachtraege'!$F:$F,"beauftragt"))</f>
        <v/>
      </c>
      <c r="V253" s="15">
        <f>IF(A253="","",J253+U253)</f>
        <v/>
      </c>
      <c r="W253" s="15">
        <f>IF(A253="","",SUMIFS('13_Ausgangsrechnungen'!$G:$G,'13_Ausgangsrechnungen'!$C:$C,A253))</f>
        <v/>
      </c>
      <c r="X253" s="15">
        <f>IF(A253="","",SUMIFS('11_Material'!$L:$L,'11_Material'!$C:$C,A253))</f>
        <v/>
      </c>
      <c r="Y253" s="15">
        <f>IF(A253="","",SUMIFS('14_Eingangsrechnungen'!$F:$F,'14_Eingangsrechnungen'!$C:$C,A253,'14_Eingangsrechnungen'!$E:$E,"Nachunternehmer"))</f>
        <v/>
      </c>
      <c r="Z253" s="15">
        <f>IF(A253="","",SUMIFS('10_Stunden'!$K:$K,'10_Stunden'!$C:$C,A253))</f>
        <v/>
      </c>
      <c r="AA253" s="15">
        <f>IF(A253="","",X253+Y253+Z253+SUMIFS('14_Eingangsrechnungen'!$F:$F,'14_Eingangsrechnungen'!$C:$C,A253,'14_Eingangsrechnungen'!$E:$E,"Gerät")+SUMIFS('14_Eingangsrechnungen'!$F:$F,'14_Eingangsrechnungen'!$C:$C,A253,'14_Eingangsrechnungen'!$E:$E,"Dienstleistung"))</f>
        <v/>
      </c>
      <c r="AB253" s="15">
        <f>IF(A253="","",W253-AA253)</f>
        <v/>
      </c>
      <c r="AC253" s="19">
        <f>IF(OR(A253="",W253=0),"",AB253/W253)</f>
        <v/>
      </c>
      <c r="AD253" s="19">
        <f>IF(OR(A253="",V253=0),"",W253/V253)</f>
        <v/>
      </c>
      <c r="AE253" s="15">
        <f>IF(A253="","",MAX(0,V253-W253))</f>
        <v/>
      </c>
      <c r="AF253" s="15">
        <f>IF(A253="","",SUMIFS('13_Ausgangsrechnungen'!$R:$R,'13_Ausgangsrechnungen'!$C:$C,A253))</f>
        <v/>
      </c>
    </row>
    <row r="254">
      <c r="A254" s="30" t="inlineStr"/>
      <c r="B254" s="30" t="inlineStr"/>
      <c r="C254" s="30" t="inlineStr"/>
      <c r="D254" s="30" t="inlineStr"/>
      <c r="E254" s="30" t="inlineStr"/>
      <c r="F254" s="30" t="inlineStr"/>
      <c r="G254" s="38" t="inlineStr"/>
      <c r="H254" s="38" t="inlineStr"/>
      <c r="I254" s="38" t="inlineStr"/>
      <c r="J254" s="34" t="inlineStr"/>
      <c r="K254" s="34" t="inlineStr"/>
      <c r="L254" s="34" t="inlineStr"/>
      <c r="M254" s="34" t="inlineStr"/>
      <c r="N254" s="34" t="inlineStr"/>
      <c r="O254" s="34" t="inlineStr"/>
      <c r="P254" s="32" t="inlineStr"/>
      <c r="Q254" s="30" t="inlineStr"/>
      <c r="R254" s="30" t="inlineStr"/>
      <c r="S254" s="30" t="inlineStr"/>
      <c r="T254" s="30" t="inlineStr"/>
      <c r="U254" s="15">
        <f>IF(A254="","",SUMIFS('07_Nachtraege'!$E:$E,'07_Nachtraege'!$B:$B,A254,'07_Nachtraege'!$F:$F,"beauftragt"))</f>
        <v/>
      </c>
      <c r="V254" s="15">
        <f>IF(A254="","",J254+U254)</f>
        <v/>
      </c>
      <c r="W254" s="15">
        <f>IF(A254="","",SUMIFS('13_Ausgangsrechnungen'!$G:$G,'13_Ausgangsrechnungen'!$C:$C,A254))</f>
        <v/>
      </c>
      <c r="X254" s="15">
        <f>IF(A254="","",SUMIFS('11_Material'!$L:$L,'11_Material'!$C:$C,A254))</f>
        <v/>
      </c>
      <c r="Y254" s="15">
        <f>IF(A254="","",SUMIFS('14_Eingangsrechnungen'!$F:$F,'14_Eingangsrechnungen'!$C:$C,A254,'14_Eingangsrechnungen'!$E:$E,"Nachunternehmer"))</f>
        <v/>
      </c>
      <c r="Z254" s="15">
        <f>IF(A254="","",SUMIFS('10_Stunden'!$K:$K,'10_Stunden'!$C:$C,A254))</f>
        <v/>
      </c>
      <c r="AA254" s="15">
        <f>IF(A254="","",X254+Y254+Z254+SUMIFS('14_Eingangsrechnungen'!$F:$F,'14_Eingangsrechnungen'!$C:$C,A254,'14_Eingangsrechnungen'!$E:$E,"Gerät")+SUMIFS('14_Eingangsrechnungen'!$F:$F,'14_Eingangsrechnungen'!$C:$C,A254,'14_Eingangsrechnungen'!$E:$E,"Dienstleistung"))</f>
        <v/>
      </c>
      <c r="AB254" s="15">
        <f>IF(A254="","",W254-AA254)</f>
        <v/>
      </c>
      <c r="AC254" s="19">
        <f>IF(OR(A254="",W254=0),"",AB254/W254)</f>
        <v/>
      </c>
      <c r="AD254" s="19">
        <f>IF(OR(A254="",V254=0),"",W254/V254)</f>
        <v/>
      </c>
      <c r="AE254" s="15">
        <f>IF(A254="","",MAX(0,V254-W254))</f>
        <v/>
      </c>
      <c r="AF254" s="15">
        <f>IF(A254="","",SUMIFS('13_Ausgangsrechnungen'!$R:$R,'13_Ausgangsrechnungen'!$C:$C,A254))</f>
        <v/>
      </c>
    </row>
    <row r="255">
      <c r="A255" s="30" t="inlineStr"/>
      <c r="B255" s="30" t="inlineStr"/>
      <c r="C255" s="30" t="inlineStr"/>
      <c r="D255" s="30" t="inlineStr"/>
      <c r="E255" s="30" t="inlineStr"/>
      <c r="F255" s="30" t="inlineStr"/>
      <c r="G255" s="38" t="inlineStr"/>
      <c r="H255" s="38" t="inlineStr"/>
      <c r="I255" s="38" t="inlineStr"/>
      <c r="J255" s="34" t="inlineStr"/>
      <c r="K255" s="34" t="inlineStr"/>
      <c r="L255" s="34" t="inlineStr"/>
      <c r="M255" s="34" t="inlineStr"/>
      <c r="N255" s="34" t="inlineStr"/>
      <c r="O255" s="34" t="inlineStr"/>
      <c r="P255" s="32" t="inlineStr"/>
      <c r="Q255" s="30" t="inlineStr"/>
      <c r="R255" s="30" t="inlineStr"/>
      <c r="S255" s="30" t="inlineStr"/>
      <c r="T255" s="30" t="inlineStr"/>
      <c r="U255" s="15">
        <f>IF(A255="","",SUMIFS('07_Nachtraege'!$E:$E,'07_Nachtraege'!$B:$B,A255,'07_Nachtraege'!$F:$F,"beauftragt"))</f>
        <v/>
      </c>
      <c r="V255" s="15">
        <f>IF(A255="","",J255+U255)</f>
        <v/>
      </c>
      <c r="W255" s="15">
        <f>IF(A255="","",SUMIFS('13_Ausgangsrechnungen'!$G:$G,'13_Ausgangsrechnungen'!$C:$C,A255))</f>
        <v/>
      </c>
      <c r="X255" s="15">
        <f>IF(A255="","",SUMIFS('11_Material'!$L:$L,'11_Material'!$C:$C,A255))</f>
        <v/>
      </c>
      <c r="Y255" s="15">
        <f>IF(A255="","",SUMIFS('14_Eingangsrechnungen'!$F:$F,'14_Eingangsrechnungen'!$C:$C,A255,'14_Eingangsrechnungen'!$E:$E,"Nachunternehmer"))</f>
        <v/>
      </c>
      <c r="Z255" s="15">
        <f>IF(A255="","",SUMIFS('10_Stunden'!$K:$K,'10_Stunden'!$C:$C,A255))</f>
        <v/>
      </c>
      <c r="AA255" s="15">
        <f>IF(A255="","",X255+Y255+Z255+SUMIFS('14_Eingangsrechnungen'!$F:$F,'14_Eingangsrechnungen'!$C:$C,A255,'14_Eingangsrechnungen'!$E:$E,"Gerät")+SUMIFS('14_Eingangsrechnungen'!$F:$F,'14_Eingangsrechnungen'!$C:$C,A255,'14_Eingangsrechnungen'!$E:$E,"Dienstleistung"))</f>
        <v/>
      </c>
      <c r="AB255" s="15">
        <f>IF(A255="","",W255-AA255)</f>
        <v/>
      </c>
      <c r="AC255" s="19">
        <f>IF(OR(A255="",W255=0),"",AB255/W255)</f>
        <v/>
      </c>
      <c r="AD255" s="19">
        <f>IF(OR(A255="",V255=0),"",W255/V255)</f>
        <v/>
      </c>
      <c r="AE255" s="15">
        <f>IF(A255="","",MAX(0,V255-W255))</f>
        <v/>
      </c>
      <c r="AF255" s="15">
        <f>IF(A255="","",SUMIFS('13_Ausgangsrechnungen'!$R:$R,'13_Ausgangsrechnungen'!$C:$C,A255))</f>
        <v/>
      </c>
    </row>
    <row r="256">
      <c r="A256" s="30" t="inlineStr"/>
      <c r="B256" s="30" t="inlineStr"/>
      <c r="C256" s="30" t="inlineStr"/>
      <c r="D256" s="30" t="inlineStr"/>
      <c r="E256" s="30" t="inlineStr"/>
      <c r="F256" s="30" t="inlineStr"/>
      <c r="G256" s="38" t="inlineStr"/>
      <c r="H256" s="38" t="inlineStr"/>
      <c r="I256" s="38" t="inlineStr"/>
      <c r="J256" s="34" t="inlineStr"/>
      <c r="K256" s="34" t="inlineStr"/>
      <c r="L256" s="34" t="inlineStr"/>
      <c r="M256" s="34" t="inlineStr"/>
      <c r="N256" s="34" t="inlineStr"/>
      <c r="O256" s="34" t="inlineStr"/>
      <c r="P256" s="32" t="inlineStr"/>
      <c r="Q256" s="30" t="inlineStr"/>
      <c r="R256" s="30" t="inlineStr"/>
      <c r="S256" s="30" t="inlineStr"/>
      <c r="T256" s="30" t="inlineStr"/>
      <c r="U256" s="15">
        <f>IF(A256="","",SUMIFS('07_Nachtraege'!$E:$E,'07_Nachtraege'!$B:$B,A256,'07_Nachtraege'!$F:$F,"beauftragt"))</f>
        <v/>
      </c>
      <c r="V256" s="15">
        <f>IF(A256="","",J256+U256)</f>
        <v/>
      </c>
      <c r="W256" s="15">
        <f>IF(A256="","",SUMIFS('13_Ausgangsrechnungen'!$G:$G,'13_Ausgangsrechnungen'!$C:$C,A256))</f>
        <v/>
      </c>
      <c r="X256" s="15">
        <f>IF(A256="","",SUMIFS('11_Material'!$L:$L,'11_Material'!$C:$C,A256))</f>
        <v/>
      </c>
      <c r="Y256" s="15">
        <f>IF(A256="","",SUMIFS('14_Eingangsrechnungen'!$F:$F,'14_Eingangsrechnungen'!$C:$C,A256,'14_Eingangsrechnungen'!$E:$E,"Nachunternehmer"))</f>
        <v/>
      </c>
      <c r="Z256" s="15">
        <f>IF(A256="","",SUMIFS('10_Stunden'!$K:$K,'10_Stunden'!$C:$C,A256))</f>
        <v/>
      </c>
      <c r="AA256" s="15">
        <f>IF(A256="","",X256+Y256+Z256+SUMIFS('14_Eingangsrechnungen'!$F:$F,'14_Eingangsrechnungen'!$C:$C,A256,'14_Eingangsrechnungen'!$E:$E,"Gerät")+SUMIFS('14_Eingangsrechnungen'!$F:$F,'14_Eingangsrechnungen'!$C:$C,A256,'14_Eingangsrechnungen'!$E:$E,"Dienstleistung"))</f>
        <v/>
      </c>
      <c r="AB256" s="15">
        <f>IF(A256="","",W256-AA256)</f>
        <v/>
      </c>
      <c r="AC256" s="19">
        <f>IF(OR(A256="",W256=0),"",AB256/W256)</f>
        <v/>
      </c>
      <c r="AD256" s="19">
        <f>IF(OR(A256="",V256=0),"",W256/V256)</f>
        <v/>
      </c>
      <c r="AE256" s="15">
        <f>IF(A256="","",MAX(0,V256-W256))</f>
        <v/>
      </c>
      <c r="AF256" s="15">
        <f>IF(A256="","",SUMIFS('13_Ausgangsrechnungen'!$R:$R,'13_Ausgangsrechnungen'!$C:$C,A256))</f>
        <v/>
      </c>
    </row>
    <row r="257">
      <c r="A257" s="30" t="inlineStr"/>
      <c r="B257" s="30" t="inlineStr"/>
      <c r="C257" s="30" t="inlineStr"/>
      <c r="D257" s="30" t="inlineStr"/>
      <c r="E257" s="30" t="inlineStr"/>
      <c r="F257" s="30" t="inlineStr"/>
      <c r="G257" s="38" t="inlineStr"/>
      <c r="H257" s="38" t="inlineStr"/>
      <c r="I257" s="38" t="inlineStr"/>
      <c r="J257" s="34" t="inlineStr"/>
      <c r="K257" s="34" t="inlineStr"/>
      <c r="L257" s="34" t="inlineStr"/>
      <c r="M257" s="34" t="inlineStr"/>
      <c r="N257" s="34" t="inlineStr"/>
      <c r="O257" s="34" t="inlineStr"/>
      <c r="P257" s="32" t="inlineStr"/>
      <c r="Q257" s="30" t="inlineStr"/>
      <c r="R257" s="30" t="inlineStr"/>
      <c r="S257" s="30" t="inlineStr"/>
      <c r="T257" s="30" t="inlineStr"/>
      <c r="U257" s="15">
        <f>IF(A257="","",SUMIFS('07_Nachtraege'!$E:$E,'07_Nachtraege'!$B:$B,A257,'07_Nachtraege'!$F:$F,"beauftragt"))</f>
        <v/>
      </c>
      <c r="V257" s="15">
        <f>IF(A257="","",J257+U257)</f>
        <v/>
      </c>
      <c r="W257" s="15">
        <f>IF(A257="","",SUMIFS('13_Ausgangsrechnungen'!$G:$G,'13_Ausgangsrechnungen'!$C:$C,A257))</f>
        <v/>
      </c>
      <c r="X257" s="15">
        <f>IF(A257="","",SUMIFS('11_Material'!$L:$L,'11_Material'!$C:$C,A257))</f>
        <v/>
      </c>
      <c r="Y257" s="15">
        <f>IF(A257="","",SUMIFS('14_Eingangsrechnungen'!$F:$F,'14_Eingangsrechnungen'!$C:$C,A257,'14_Eingangsrechnungen'!$E:$E,"Nachunternehmer"))</f>
        <v/>
      </c>
      <c r="Z257" s="15">
        <f>IF(A257="","",SUMIFS('10_Stunden'!$K:$K,'10_Stunden'!$C:$C,A257))</f>
        <v/>
      </c>
      <c r="AA257" s="15">
        <f>IF(A257="","",X257+Y257+Z257+SUMIFS('14_Eingangsrechnungen'!$F:$F,'14_Eingangsrechnungen'!$C:$C,A257,'14_Eingangsrechnungen'!$E:$E,"Gerät")+SUMIFS('14_Eingangsrechnungen'!$F:$F,'14_Eingangsrechnungen'!$C:$C,A257,'14_Eingangsrechnungen'!$E:$E,"Dienstleistung"))</f>
        <v/>
      </c>
      <c r="AB257" s="15">
        <f>IF(A257="","",W257-AA257)</f>
        <v/>
      </c>
      <c r="AC257" s="19">
        <f>IF(OR(A257="",W257=0),"",AB257/W257)</f>
        <v/>
      </c>
      <c r="AD257" s="19">
        <f>IF(OR(A257="",V257=0),"",W257/V257)</f>
        <v/>
      </c>
      <c r="AE257" s="15">
        <f>IF(A257="","",MAX(0,V257-W257))</f>
        <v/>
      </c>
      <c r="AF257" s="15">
        <f>IF(A257="","",SUMIFS('13_Ausgangsrechnungen'!$R:$R,'13_Ausgangsrechnungen'!$C:$C,A257))</f>
        <v/>
      </c>
    </row>
    <row r="258">
      <c r="A258" s="30" t="inlineStr"/>
      <c r="B258" s="30" t="inlineStr"/>
      <c r="C258" s="30" t="inlineStr"/>
      <c r="D258" s="30" t="inlineStr"/>
      <c r="E258" s="30" t="inlineStr"/>
      <c r="F258" s="30" t="inlineStr"/>
      <c r="G258" s="38" t="inlineStr"/>
      <c r="H258" s="38" t="inlineStr"/>
      <c r="I258" s="38" t="inlineStr"/>
      <c r="J258" s="34" t="inlineStr"/>
      <c r="K258" s="34" t="inlineStr"/>
      <c r="L258" s="34" t="inlineStr"/>
      <c r="M258" s="34" t="inlineStr"/>
      <c r="N258" s="34" t="inlineStr"/>
      <c r="O258" s="34" t="inlineStr"/>
      <c r="P258" s="32" t="inlineStr"/>
      <c r="Q258" s="30" t="inlineStr"/>
      <c r="R258" s="30" t="inlineStr"/>
      <c r="S258" s="30" t="inlineStr"/>
      <c r="T258" s="30" t="inlineStr"/>
      <c r="U258" s="15">
        <f>IF(A258="","",SUMIFS('07_Nachtraege'!$E:$E,'07_Nachtraege'!$B:$B,A258,'07_Nachtraege'!$F:$F,"beauftragt"))</f>
        <v/>
      </c>
      <c r="V258" s="15">
        <f>IF(A258="","",J258+U258)</f>
        <v/>
      </c>
      <c r="W258" s="15">
        <f>IF(A258="","",SUMIFS('13_Ausgangsrechnungen'!$G:$G,'13_Ausgangsrechnungen'!$C:$C,A258))</f>
        <v/>
      </c>
      <c r="X258" s="15">
        <f>IF(A258="","",SUMIFS('11_Material'!$L:$L,'11_Material'!$C:$C,A258))</f>
        <v/>
      </c>
      <c r="Y258" s="15">
        <f>IF(A258="","",SUMIFS('14_Eingangsrechnungen'!$F:$F,'14_Eingangsrechnungen'!$C:$C,A258,'14_Eingangsrechnungen'!$E:$E,"Nachunternehmer"))</f>
        <v/>
      </c>
      <c r="Z258" s="15">
        <f>IF(A258="","",SUMIFS('10_Stunden'!$K:$K,'10_Stunden'!$C:$C,A258))</f>
        <v/>
      </c>
      <c r="AA258" s="15">
        <f>IF(A258="","",X258+Y258+Z258+SUMIFS('14_Eingangsrechnungen'!$F:$F,'14_Eingangsrechnungen'!$C:$C,A258,'14_Eingangsrechnungen'!$E:$E,"Gerät")+SUMIFS('14_Eingangsrechnungen'!$F:$F,'14_Eingangsrechnungen'!$C:$C,A258,'14_Eingangsrechnungen'!$E:$E,"Dienstleistung"))</f>
        <v/>
      </c>
      <c r="AB258" s="15">
        <f>IF(A258="","",W258-AA258)</f>
        <v/>
      </c>
      <c r="AC258" s="19">
        <f>IF(OR(A258="",W258=0),"",AB258/W258)</f>
        <v/>
      </c>
      <c r="AD258" s="19">
        <f>IF(OR(A258="",V258=0),"",W258/V258)</f>
        <v/>
      </c>
      <c r="AE258" s="15">
        <f>IF(A258="","",MAX(0,V258-W258))</f>
        <v/>
      </c>
      <c r="AF258" s="15">
        <f>IF(A258="","",SUMIFS('13_Ausgangsrechnungen'!$R:$R,'13_Ausgangsrechnungen'!$C:$C,A258))</f>
        <v/>
      </c>
    </row>
    <row r="259">
      <c r="A259" s="30" t="inlineStr"/>
      <c r="B259" s="30" t="inlineStr"/>
      <c r="C259" s="30" t="inlineStr"/>
      <c r="D259" s="30" t="inlineStr"/>
      <c r="E259" s="30" t="inlineStr"/>
      <c r="F259" s="30" t="inlineStr"/>
      <c r="G259" s="38" t="inlineStr"/>
      <c r="H259" s="38" t="inlineStr"/>
      <c r="I259" s="38" t="inlineStr"/>
      <c r="J259" s="34" t="inlineStr"/>
      <c r="K259" s="34" t="inlineStr"/>
      <c r="L259" s="34" t="inlineStr"/>
      <c r="M259" s="34" t="inlineStr"/>
      <c r="N259" s="34" t="inlineStr"/>
      <c r="O259" s="34" t="inlineStr"/>
      <c r="P259" s="32" t="inlineStr"/>
      <c r="Q259" s="30" t="inlineStr"/>
      <c r="R259" s="30" t="inlineStr"/>
      <c r="S259" s="30" t="inlineStr"/>
      <c r="T259" s="30" t="inlineStr"/>
      <c r="U259" s="15">
        <f>IF(A259="","",SUMIFS('07_Nachtraege'!$E:$E,'07_Nachtraege'!$B:$B,A259,'07_Nachtraege'!$F:$F,"beauftragt"))</f>
        <v/>
      </c>
      <c r="V259" s="15">
        <f>IF(A259="","",J259+U259)</f>
        <v/>
      </c>
      <c r="W259" s="15">
        <f>IF(A259="","",SUMIFS('13_Ausgangsrechnungen'!$G:$G,'13_Ausgangsrechnungen'!$C:$C,A259))</f>
        <v/>
      </c>
      <c r="X259" s="15">
        <f>IF(A259="","",SUMIFS('11_Material'!$L:$L,'11_Material'!$C:$C,A259))</f>
        <v/>
      </c>
      <c r="Y259" s="15">
        <f>IF(A259="","",SUMIFS('14_Eingangsrechnungen'!$F:$F,'14_Eingangsrechnungen'!$C:$C,A259,'14_Eingangsrechnungen'!$E:$E,"Nachunternehmer"))</f>
        <v/>
      </c>
      <c r="Z259" s="15">
        <f>IF(A259="","",SUMIFS('10_Stunden'!$K:$K,'10_Stunden'!$C:$C,A259))</f>
        <v/>
      </c>
      <c r="AA259" s="15">
        <f>IF(A259="","",X259+Y259+Z259+SUMIFS('14_Eingangsrechnungen'!$F:$F,'14_Eingangsrechnungen'!$C:$C,A259,'14_Eingangsrechnungen'!$E:$E,"Gerät")+SUMIFS('14_Eingangsrechnungen'!$F:$F,'14_Eingangsrechnungen'!$C:$C,A259,'14_Eingangsrechnungen'!$E:$E,"Dienstleistung"))</f>
        <v/>
      </c>
      <c r="AB259" s="15">
        <f>IF(A259="","",W259-AA259)</f>
        <v/>
      </c>
      <c r="AC259" s="19">
        <f>IF(OR(A259="",W259=0),"",AB259/W259)</f>
        <v/>
      </c>
      <c r="AD259" s="19">
        <f>IF(OR(A259="",V259=0),"",W259/V259)</f>
        <v/>
      </c>
      <c r="AE259" s="15">
        <f>IF(A259="","",MAX(0,V259-W259))</f>
        <v/>
      </c>
      <c r="AF259" s="15">
        <f>IF(A259="","",SUMIFS('13_Ausgangsrechnungen'!$R:$R,'13_Ausgangsrechnungen'!$C:$C,A259))</f>
        <v/>
      </c>
    </row>
    <row r="260">
      <c r="A260" s="30" t="inlineStr"/>
      <c r="B260" s="30" t="inlineStr"/>
      <c r="C260" s="30" t="inlineStr"/>
      <c r="D260" s="30" t="inlineStr"/>
      <c r="E260" s="30" t="inlineStr"/>
      <c r="F260" s="30" t="inlineStr"/>
      <c r="G260" s="38" t="inlineStr"/>
      <c r="H260" s="38" t="inlineStr"/>
      <c r="I260" s="38" t="inlineStr"/>
      <c r="J260" s="34" t="inlineStr"/>
      <c r="K260" s="34" t="inlineStr"/>
      <c r="L260" s="34" t="inlineStr"/>
      <c r="M260" s="34" t="inlineStr"/>
      <c r="N260" s="34" t="inlineStr"/>
      <c r="O260" s="34" t="inlineStr"/>
      <c r="P260" s="32" t="inlineStr"/>
      <c r="Q260" s="30" t="inlineStr"/>
      <c r="R260" s="30" t="inlineStr"/>
      <c r="S260" s="30" t="inlineStr"/>
      <c r="T260" s="30" t="inlineStr"/>
      <c r="U260" s="15">
        <f>IF(A260="","",SUMIFS('07_Nachtraege'!$E:$E,'07_Nachtraege'!$B:$B,A260,'07_Nachtraege'!$F:$F,"beauftragt"))</f>
        <v/>
      </c>
      <c r="V260" s="15">
        <f>IF(A260="","",J260+U260)</f>
        <v/>
      </c>
      <c r="W260" s="15">
        <f>IF(A260="","",SUMIFS('13_Ausgangsrechnungen'!$G:$G,'13_Ausgangsrechnungen'!$C:$C,A260))</f>
        <v/>
      </c>
      <c r="X260" s="15">
        <f>IF(A260="","",SUMIFS('11_Material'!$L:$L,'11_Material'!$C:$C,A260))</f>
        <v/>
      </c>
      <c r="Y260" s="15">
        <f>IF(A260="","",SUMIFS('14_Eingangsrechnungen'!$F:$F,'14_Eingangsrechnungen'!$C:$C,A260,'14_Eingangsrechnungen'!$E:$E,"Nachunternehmer"))</f>
        <v/>
      </c>
      <c r="Z260" s="15">
        <f>IF(A260="","",SUMIFS('10_Stunden'!$K:$K,'10_Stunden'!$C:$C,A260))</f>
        <v/>
      </c>
      <c r="AA260" s="15">
        <f>IF(A260="","",X260+Y260+Z260+SUMIFS('14_Eingangsrechnungen'!$F:$F,'14_Eingangsrechnungen'!$C:$C,A260,'14_Eingangsrechnungen'!$E:$E,"Gerät")+SUMIFS('14_Eingangsrechnungen'!$F:$F,'14_Eingangsrechnungen'!$C:$C,A260,'14_Eingangsrechnungen'!$E:$E,"Dienstleistung"))</f>
        <v/>
      </c>
      <c r="AB260" s="15">
        <f>IF(A260="","",W260-AA260)</f>
        <v/>
      </c>
      <c r="AC260" s="19">
        <f>IF(OR(A260="",W260=0),"",AB260/W260)</f>
        <v/>
      </c>
      <c r="AD260" s="19">
        <f>IF(OR(A260="",V260=0),"",W260/V260)</f>
        <v/>
      </c>
      <c r="AE260" s="15">
        <f>IF(A260="","",MAX(0,V260-W260))</f>
        <v/>
      </c>
      <c r="AF260" s="15">
        <f>IF(A260="","",SUMIFS('13_Ausgangsrechnungen'!$R:$R,'13_Ausgangsrechnungen'!$C:$C,A260))</f>
        <v/>
      </c>
    </row>
    <row r="261">
      <c r="A261" s="30" t="inlineStr"/>
      <c r="B261" s="30" t="inlineStr"/>
      <c r="C261" s="30" t="inlineStr"/>
      <c r="D261" s="30" t="inlineStr"/>
      <c r="E261" s="30" t="inlineStr"/>
      <c r="F261" s="30" t="inlineStr"/>
      <c r="G261" s="38" t="inlineStr"/>
      <c r="H261" s="38" t="inlineStr"/>
      <c r="I261" s="38" t="inlineStr"/>
      <c r="J261" s="34" t="inlineStr"/>
      <c r="K261" s="34" t="inlineStr"/>
      <c r="L261" s="34" t="inlineStr"/>
      <c r="M261" s="34" t="inlineStr"/>
      <c r="N261" s="34" t="inlineStr"/>
      <c r="O261" s="34" t="inlineStr"/>
      <c r="P261" s="32" t="inlineStr"/>
      <c r="Q261" s="30" t="inlineStr"/>
      <c r="R261" s="30" t="inlineStr"/>
      <c r="S261" s="30" t="inlineStr"/>
      <c r="T261" s="30" t="inlineStr"/>
      <c r="U261" s="15">
        <f>IF(A261="","",SUMIFS('07_Nachtraege'!$E:$E,'07_Nachtraege'!$B:$B,A261,'07_Nachtraege'!$F:$F,"beauftragt"))</f>
        <v/>
      </c>
      <c r="V261" s="15">
        <f>IF(A261="","",J261+U261)</f>
        <v/>
      </c>
      <c r="W261" s="15">
        <f>IF(A261="","",SUMIFS('13_Ausgangsrechnungen'!$G:$G,'13_Ausgangsrechnungen'!$C:$C,A261))</f>
        <v/>
      </c>
      <c r="X261" s="15">
        <f>IF(A261="","",SUMIFS('11_Material'!$L:$L,'11_Material'!$C:$C,A261))</f>
        <v/>
      </c>
      <c r="Y261" s="15">
        <f>IF(A261="","",SUMIFS('14_Eingangsrechnungen'!$F:$F,'14_Eingangsrechnungen'!$C:$C,A261,'14_Eingangsrechnungen'!$E:$E,"Nachunternehmer"))</f>
        <v/>
      </c>
      <c r="Z261" s="15">
        <f>IF(A261="","",SUMIFS('10_Stunden'!$K:$K,'10_Stunden'!$C:$C,A261))</f>
        <v/>
      </c>
      <c r="AA261" s="15">
        <f>IF(A261="","",X261+Y261+Z261+SUMIFS('14_Eingangsrechnungen'!$F:$F,'14_Eingangsrechnungen'!$C:$C,A261,'14_Eingangsrechnungen'!$E:$E,"Gerät")+SUMIFS('14_Eingangsrechnungen'!$F:$F,'14_Eingangsrechnungen'!$C:$C,A261,'14_Eingangsrechnungen'!$E:$E,"Dienstleistung"))</f>
        <v/>
      </c>
      <c r="AB261" s="15">
        <f>IF(A261="","",W261-AA261)</f>
        <v/>
      </c>
      <c r="AC261" s="19">
        <f>IF(OR(A261="",W261=0),"",AB261/W261)</f>
        <v/>
      </c>
      <c r="AD261" s="19">
        <f>IF(OR(A261="",V261=0),"",W261/V261)</f>
        <v/>
      </c>
      <c r="AE261" s="15">
        <f>IF(A261="","",MAX(0,V261-W261))</f>
        <v/>
      </c>
      <c r="AF261" s="15">
        <f>IF(A261="","",SUMIFS('13_Ausgangsrechnungen'!$R:$R,'13_Ausgangsrechnungen'!$C:$C,A261))</f>
        <v/>
      </c>
    </row>
    <row r="262">
      <c r="A262" s="30" t="inlineStr"/>
      <c r="B262" s="30" t="inlineStr"/>
      <c r="C262" s="30" t="inlineStr"/>
      <c r="D262" s="30" t="inlineStr"/>
      <c r="E262" s="30" t="inlineStr"/>
      <c r="F262" s="30" t="inlineStr"/>
      <c r="G262" s="38" t="inlineStr"/>
      <c r="H262" s="38" t="inlineStr"/>
      <c r="I262" s="38" t="inlineStr"/>
      <c r="J262" s="34" t="inlineStr"/>
      <c r="K262" s="34" t="inlineStr"/>
      <c r="L262" s="34" t="inlineStr"/>
      <c r="M262" s="34" t="inlineStr"/>
      <c r="N262" s="34" t="inlineStr"/>
      <c r="O262" s="34" t="inlineStr"/>
      <c r="P262" s="32" t="inlineStr"/>
      <c r="Q262" s="30" t="inlineStr"/>
      <c r="R262" s="30" t="inlineStr"/>
      <c r="S262" s="30" t="inlineStr"/>
      <c r="T262" s="30" t="inlineStr"/>
      <c r="U262" s="15">
        <f>IF(A262="","",SUMIFS('07_Nachtraege'!$E:$E,'07_Nachtraege'!$B:$B,A262,'07_Nachtraege'!$F:$F,"beauftragt"))</f>
        <v/>
      </c>
      <c r="V262" s="15">
        <f>IF(A262="","",J262+U262)</f>
        <v/>
      </c>
      <c r="W262" s="15">
        <f>IF(A262="","",SUMIFS('13_Ausgangsrechnungen'!$G:$G,'13_Ausgangsrechnungen'!$C:$C,A262))</f>
        <v/>
      </c>
      <c r="X262" s="15">
        <f>IF(A262="","",SUMIFS('11_Material'!$L:$L,'11_Material'!$C:$C,A262))</f>
        <v/>
      </c>
      <c r="Y262" s="15">
        <f>IF(A262="","",SUMIFS('14_Eingangsrechnungen'!$F:$F,'14_Eingangsrechnungen'!$C:$C,A262,'14_Eingangsrechnungen'!$E:$E,"Nachunternehmer"))</f>
        <v/>
      </c>
      <c r="Z262" s="15">
        <f>IF(A262="","",SUMIFS('10_Stunden'!$K:$K,'10_Stunden'!$C:$C,A262))</f>
        <v/>
      </c>
      <c r="AA262" s="15">
        <f>IF(A262="","",X262+Y262+Z262+SUMIFS('14_Eingangsrechnungen'!$F:$F,'14_Eingangsrechnungen'!$C:$C,A262,'14_Eingangsrechnungen'!$E:$E,"Gerät")+SUMIFS('14_Eingangsrechnungen'!$F:$F,'14_Eingangsrechnungen'!$C:$C,A262,'14_Eingangsrechnungen'!$E:$E,"Dienstleistung"))</f>
        <v/>
      </c>
      <c r="AB262" s="15">
        <f>IF(A262="","",W262-AA262)</f>
        <v/>
      </c>
      <c r="AC262" s="19">
        <f>IF(OR(A262="",W262=0),"",AB262/W262)</f>
        <v/>
      </c>
      <c r="AD262" s="19">
        <f>IF(OR(A262="",V262=0),"",W262/V262)</f>
        <v/>
      </c>
      <c r="AE262" s="15">
        <f>IF(A262="","",MAX(0,V262-W262))</f>
        <v/>
      </c>
      <c r="AF262" s="15">
        <f>IF(A262="","",SUMIFS('13_Ausgangsrechnungen'!$R:$R,'13_Ausgangsrechnungen'!$C:$C,A262))</f>
        <v/>
      </c>
    </row>
    <row r="263">
      <c r="A263" s="30" t="inlineStr"/>
      <c r="B263" s="30" t="inlineStr"/>
      <c r="C263" s="30" t="inlineStr"/>
      <c r="D263" s="30" t="inlineStr"/>
      <c r="E263" s="30" t="inlineStr"/>
      <c r="F263" s="30" t="inlineStr"/>
      <c r="G263" s="38" t="inlineStr"/>
      <c r="H263" s="38" t="inlineStr"/>
      <c r="I263" s="38" t="inlineStr"/>
      <c r="J263" s="34" t="inlineStr"/>
      <c r="K263" s="34" t="inlineStr"/>
      <c r="L263" s="34" t="inlineStr"/>
      <c r="M263" s="34" t="inlineStr"/>
      <c r="N263" s="34" t="inlineStr"/>
      <c r="O263" s="34" t="inlineStr"/>
      <c r="P263" s="32" t="inlineStr"/>
      <c r="Q263" s="30" t="inlineStr"/>
      <c r="R263" s="30" t="inlineStr"/>
      <c r="S263" s="30" t="inlineStr"/>
      <c r="T263" s="30" t="inlineStr"/>
      <c r="U263" s="15">
        <f>IF(A263="","",SUMIFS('07_Nachtraege'!$E:$E,'07_Nachtraege'!$B:$B,A263,'07_Nachtraege'!$F:$F,"beauftragt"))</f>
        <v/>
      </c>
      <c r="V263" s="15">
        <f>IF(A263="","",J263+U263)</f>
        <v/>
      </c>
      <c r="W263" s="15">
        <f>IF(A263="","",SUMIFS('13_Ausgangsrechnungen'!$G:$G,'13_Ausgangsrechnungen'!$C:$C,A263))</f>
        <v/>
      </c>
      <c r="X263" s="15">
        <f>IF(A263="","",SUMIFS('11_Material'!$L:$L,'11_Material'!$C:$C,A263))</f>
        <v/>
      </c>
      <c r="Y263" s="15">
        <f>IF(A263="","",SUMIFS('14_Eingangsrechnungen'!$F:$F,'14_Eingangsrechnungen'!$C:$C,A263,'14_Eingangsrechnungen'!$E:$E,"Nachunternehmer"))</f>
        <v/>
      </c>
      <c r="Z263" s="15">
        <f>IF(A263="","",SUMIFS('10_Stunden'!$K:$K,'10_Stunden'!$C:$C,A263))</f>
        <v/>
      </c>
      <c r="AA263" s="15">
        <f>IF(A263="","",X263+Y263+Z263+SUMIFS('14_Eingangsrechnungen'!$F:$F,'14_Eingangsrechnungen'!$C:$C,A263,'14_Eingangsrechnungen'!$E:$E,"Gerät")+SUMIFS('14_Eingangsrechnungen'!$F:$F,'14_Eingangsrechnungen'!$C:$C,A263,'14_Eingangsrechnungen'!$E:$E,"Dienstleistung"))</f>
        <v/>
      </c>
      <c r="AB263" s="15">
        <f>IF(A263="","",W263-AA263)</f>
        <v/>
      </c>
      <c r="AC263" s="19">
        <f>IF(OR(A263="",W263=0),"",AB263/W263)</f>
        <v/>
      </c>
      <c r="AD263" s="19">
        <f>IF(OR(A263="",V263=0),"",W263/V263)</f>
        <v/>
      </c>
      <c r="AE263" s="15">
        <f>IF(A263="","",MAX(0,V263-W263))</f>
        <v/>
      </c>
      <c r="AF263" s="15">
        <f>IF(A263="","",SUMIFS('13_Ausgangsrechnungen'!$R:$R,'13_Ausgangsrechnungen'!$C:$C,A263))</f>
        <v/>
      </c>
    </row>
    <row r="264">
      <c r="A264" s="30" t="inlineStr"/>
      <c r="B264" s="30" t="inlineStr"/>
      <c r="C264" s="30" t="inlineStr"/>
      <c r="D264" s="30" t="inlineStr"/>
      <c r="E264" s="30" t="inlineStr"/>
      <c r="F264" s="30" t="inlineStr"/>
      <c r="G264" s="38" t="inlineStr"/>
      <c r="H264" s="38" t="inlineStr"/>
      <c r="I264" s="38" t="inlineStr"/>
      <c r="J264" s="34" t="inlineStr"/>
      <c r="K264" s="34" t="inlineStr"/>
      <c r="L264" s="34" t="inlineStr"/>
      <c r="M264" s="34" t="inlineStr"/>
      <c r="N264" s="34" t="inlineStr"/>
      <c r="O264" s="34" t="inlineStr"/>
      <c r="P264" s="32" t="inlineStr"/>
      <c r="Q264" s="30" t="inlineStr"/>
      <c r="R264" s="30" t="inlineStr"/>
      <c r="S264" s="30" t="inlineStr"/>
      <c r="T264" s="30" t="inlineStr"/>
      <c r="U264" s="15">
        <f>IF(A264="","",SUMIFS('07_Nachtraege'!$E:$E,'07_Nachtraege'!$B:$B,A264,'07_Nachtraege'!$F:$F,"beauftragt"))</f>
        <v/>
      </c>
      <c r="V264" s="15">
        <f>IF(A264="","",J264+U264)</f>
        <v/>
      </c>
      <c r="W264" s="15">
        <f>IF(A264="","",SUMIFS('13_Ausgangsrechnungen'!$G:$G,'13_Ausgangsrechnungen'!$C:$C,A264))</f>
        <v/>
      </c>
      <c r="X264" s="15">
        <f>IF(A264="","",SUMIFS('11_Material'!$L:$L,'11_Material'!$C:$C,A264))</f>
        <v/>
      </c>
      <c r="Y264" s="15">
        <f>IF(A264="","",SUMIFS('14_Eingangsrechnungen'!$F:$F,'14_Eingangsrechnungen'!$C:$C,A264,'14_Eingangsrechnungen'!$E:$E,"Nachunternehmer"))</f>
        <v/>
      </c>
      <c r="Z264" s="15">
        <f>IF(A264="","",SUMIFS('10_Stunden'!$K:$K,'10_Stunden'!$C:$C,A264))</f>
        <v/>
      </c>
      <c r="AA264" s="15">
        <f>IF(A264="","",X264+Y264+Z264+SUMIFS('14_Eingangsrechnungen'!$F:$F,'14_Eingangsrechnungen'!$C:$C,A264,'14_Eingangsrechnungen'!$E:$E,"Gerät")+SUMIFS('14_Eingangsrechnungen'!$F:$F,'14_Eingangsrechnungen'!$C:$C,A264,'14_Eingangsrechnungen'!$E:$E,"Dienstleistung"))</f>
        <v/>
      </c>
      <c r="AB264" s="15">
        <f>IF(A264="","",W264-AA264)</f>
        <v/>
      </c>
      <c r="AC264" s="19">
        <f>IF(OR(A264="",W264=0),"",AB264/W264)</f>
        <v/>
      </c>
      <c r="AD264" s="19">
        <f>IF(OR(A264="",V264=0),"",W264/V264)</f>
        <v/>
      </c>
      <c r="AE264" s="15">
        <f>IF(A264="","",MAX(0,V264-W264))</f>
        <v/>
      </c>
      <c r="AF264" s="15">
        <f>IF(A264="","",SUMIFS('13_Ausgangsrechnungen'!$R:$R,'13_Ausgangsrechnungen'!$C:$C,A264))</f>
        <v/>
      </c>
    </row>
    <row r="265">
      <c r="A265" s="30" t="inlineStr"/>
      <c r="B265" s="30" t="inlineStr"/>
      <c r="C265" s="30" t="inlineStr"/>
      <c r="D265" s="30" t="inlineStr"/>
      <c r="E265" s="30" t="inlineStr"/>
      <c r="F265" s="30" t="inlineStr"/>
      <c r="G265" s="38" t="inlineStr"/>
      <c r="H265" s="38" t="inlineStr"/>
      <c r="I265" s="38" t="inlineStr"/>
      <c r="J265" s="34" t="inlineStr"/>
      <c r="K265" s="34" t="inlineStr"/>
      <c r="L265" s="34" t="inlineStr"/>
      <c r="M265" s="34" t="inlineStr"/>
      <c r="N265" s="34" t="inlineStr"/>
      <c r="O265" s="34" t="inlineStr"/>
      <c r="P265" s="32" t="inlineStr"/>
      <c r="Q265" s="30" t="inlineStr"/>
      <c r="R265" s="30" t="inlineStr"/>
      <c r="S265" s="30" t="inlineStr"/>
      <c r="T265" s="30" t="inlineStr"/>
      <c r="U265" s="15">
        <f>IF(A265="","",SUMIFS('07_Nachtraege'!$E:$E,'07_Nachtraege'!$B:$B,A265,'07_Nachtraege'!$F:$F,"beauftragt"))</f>
        <v/>
      </c>
      <c r="V265" s="15">
        <f>IF(A265="","",J265+U265)</f>
        <v/>
      </c>
      <c r="W265" s="15">
        <f>IF(A265="","",SUMIFS('13_Ausgangsrechnungen'!$G:$G,'13_Ausgangsrechnungen'!$C:$C,A265))</f>
        <v/>
      </c>
      <c r="X265" s="15">
        <f>IF(A265="","",SUMIFS('11_Material'!$L:$L,'11_Material'!$C:$C,A265))</f>
        <v/>
      </c>
      <c r="Y265" s="15">
        <f>IF(A265="","",SUMIFS('14_Eingangsrechnungen'!$F:$F,'14_Eingangsrechnungen'!$C:$C,A265,'14_Eingangsrechnungen'!$E:$E,"Nachunternehmer"))</f>
        <v/>
      </c>
      <c r="Z265" s="15">
        <f>IF(A265="","",SUMIFS('10_Stunden'!$K:$K,'10_Stunden'!$C:$C,A265))</f>
        <v/>
      </c>
      <c r="AA265" s="15">
        <f>IF(A265="","",X265+Y265+Z265+SUMIFS('14_Eingangsrechnungen'!$F:$F,'14_Eingangsrechnungen'!$C:$C,A265,'14_Eingangsrechnungen'!$E:$E,"Gerät")+SUMIFS('14_Eingangsrechnungen'!$F:$F,'14_Eingangsrechnungen'!$C:$C,A265,'14_Eingangsrechnungen'!$E:$E,"Dienstleistung"))</f>
        <v/>
      </c>
      <c r="AB265" s="15">
        <f>IF(A265="","",W265-AA265)</f>
        <v/>
      </c>
      <c r="AC265" s="19">
        <f>IF(OR(A265="",W265=0),"",AB265/W265)</f>
        <v/>
      </c>
      <c r="AD265" s="19">
        <f>IF(OR(A265="",V265=0),"",W265/V265)</f>
        <v/>
      </c>
      <c r="AE265" s="15">
        <f>IF(A265="","",MAX(0,V265-W265))</f>
        <v/>
      </c>
      <c r="AF265" s="15">
        <f>IF(A265="","",SUMIFS('13_Ausgangsrechnungen'!$R:$R,'13_Ausgangsrechnungen'!$C:$C,A265))</f>
        <v/>
      </c>
    </row>
    <row r="266">
      <c r="A266" s="30" t="inlineStr"/>
      <c r="B266" s="30" t="inlineStr"/>
      <c r="C266" s="30" t="inlineStr"/>
      <c r="D266" s="30" t="inlineStr"/>
      <c r="E266" s="30" t="inlineStr"/>
      <c r="F266" s="30" t="inlineStr"/>
      <c r="G266" s="38" t="inlineStr"/>
      <c r="H266" s="38" t="inlineStr"/>
      <c r="I266" s="38" t="inlineStr"/>
      <c r="J266" s="34" t="inlineStr"/>
      <c r="K266" s="34" t="inlineStr"/>
      <c r="L266" s="34" t="inlineStr"/>
      <c r="M266" s="34" t="inlineStr"/>
      <c r="N266" s="34" t="inlineStr"/>
      <c r="O266" s="34" t="inlineStr"/>
      <c r="P266" s="32" t="inlineStr"/>
      <c r="Q266" s="30" t="inlineStr"/>
      <c r="R266" s="30" t="inlineStr"/>
      <c r="S266" s="30" t="inlineStr"/>
      <c r="T266" s="30" t="inlineStr"/>
      <c r="U266" s="15">
        <f>IF(A266="","",SUMIFS('07_Nachtraege'!$E:$E,'07_Nachtraege'!$B:$B,A266,'07_Nachtraege'!$F:$F,"beauftragt"))</f>
        <v/>
      </c>
      <c r="V266" s="15">
        <f>IF(A266="","",J266+U266)</f>
        <v/>
      </c>
      <c r="W266" s="15">
        <f>IF(A266="","",SUMIFS('13_Ausgangsrechnungen'!$G:$G,'13_Ausgangsrechnungen'!$C:$C,A266))</f>
        <v/>
      </c>
      <c r="X266" s="15">
        <f>IF(A266="","",SUMIFS('11_Material'!$L:$L,'11_Material'!$C:$C,A266))</f>
        <v/>
      </c>
      <c r="Y266" s="15">
        <f>IF(A266="","",SUMIFS('14_Eingangsrechnungen'!$F:$F,'14_Eingangsrechnungen'!$C:$C,A266,'14_Eingangsrechnungen'!$E:$E,"Nachunternehmer"))</f>
        <v/>
      </c>
      <c r="Z266" s="15">
        <f>IF(A266="","",SUMIFS('10_Stunden'!$K:$K,'10_Stunden'!$C:$C,A266))</f>
        <v/>
      </c>
      <c r="AA266" s="15">
        <f>IF(A266="","",X266+Y266+Z266+SUMIFS('14_Eingangsrechnungen'!$F:$F,'14_Eingangsrechnungen'!$C:$C,A266,'14_Eingangsrechnungen'!$E:$E,"Gerät")+SUMIFS('14_Eingangsrechnungen'!$F:$F,'14_Eingangsrechnungen'!$C:$C,A266,'14_Eingangsrechnungen'!$E:$E,"Dienstleistung"))</f>
        <v/>
      </c>
      <c r="AB266" s="15">
        <f>IF(A266="","",W266-AA266)</f>
        <v/>
      </c>
      <c r="AC266" s="19">
        <f>IF(OR(A266="",W266=0),"",AB266/W266)</f>
        <v/>
      </c>
      <c r="AD266" s="19">
        <f>IF(OR(A266="",V266=0),"",W266/V266)</f>
        <v/>
      </c>
      <c r="AE266" s="15">
        <f>IF(A266="","",MAX(0,V266-W266))</f>
        <v/>
      </c>
      <c r="AF266" s="15">
        <f>IF(A266="","",SUMIFS('13_Ausgangsrechnungen'!$R:$R,'13_Ausgangsrechnungen'!$C:$C,A266))</f>
        <v/>
      </c>
    </row>
    <row r="267">
      <c r="A267" s="30" t="inlineStr"/>
      <c r="B267" s="30" t="inlineStr"/>
      <c r="C267" s="30" t="inlineStr"/>
      <c r="D267" s="30" t="inlineStr"/>
      <c r="E267" s="30" t="inlineStr"/>
      <c r="F267" s="30" t="inlineStr"/>
      <c r="G267" s="38" t="inlineStr"/>
      <c r="H267" s="38" t="inlineStr"/>
      <c r="I267" s="38" t="inlineStr"/>
      <c r="J267" s="34" t="inlineStr"/>
      <c r="K267" s="34" t="inlineStr"/>
      <c r="L267" s="34" t="inlineStr"/>
      <c r="M267" s="34" t="inlineStr"/>
      <c r="N267" s="34" t="inlineStr"/>
      <c r="O267" s="34" t="inlineStr"/>
      <c r="P267" s="32" t="inlineStr"/>
      <c r="Q267" s="30" t="inlineStr"/>
      <c r="R267" s="30" t="inlineStr"/>
      <c r="S267" s="30" t="inlineStr"/>
      <c r="T267" s="30" t="inlineStr"/>
      <c r="U267" s="15">
        <f>IF(A267="","",SUMIFS('07_Nachtraege'!$E:$E,'07_Nachtraege'!$B:$B,A267,'07_Nachtraege'!$F:$F,"beauftragt"))</f>
        <v/>
      </c>
      <c r="V267" s="15">
        <f>IF(A267="","",J267+U267)</f>
        <v/>
      </c>
      <c r="W267" s="15">
        <f>IF(A267="","",SUMIFS('13_Ausgangsrechnungen'!$G:$G,'13_Ausgangsrechnungen'!$C:$C,A267))</f>
        <v/>
      </c>
      <c r="X267" s="15">
        <f>IF(A267="","",SUMIFS('11_Material'!$L:$L,'11_Material'!$C:$C,A267))</f>
        <v/>
      </c>
      <c r="Y267" s="15">
        <f>IF(A267="","",SUMIFS('14_Eingangsrechnungen'!$F:$F,'14_Eingangsrechnungen'!$C:$C,A267,'14_Eingangsrechnungen'!$E:$E,"Nachunternehmer"))</f>
        <v/>
      </c>
      <c r="Z267" s="15">
        <f>IF(A267="","",SUMIFS('10_Stunden'!$K:$K,'10_Stunden'!$C:$C,A267))</f>
        <v/>
      </c>
      <c r="AA267" s="15">
        <f>IF(A267="","",X267+Y267+Z267+SUMIFS('14_Eingangsrechnungen'!$F:$F,'14_Eingangsrechnungen'!$C:$C,A267,'14_Eingangsrechnungen'!$E:$E,"Gerät")+SUMIFS('14_Eingangsrechnungen'!$F:$F,'14_Eingangsrechnungen'!$C:$C,A267,'14_Eingangsrechnungen'!$E:$E,"Dienstleistung"))</f>
        <v/>
      </c>
      <c r="AB267" s="15">
        <f>IF(A267="","",W267-AA267)</f>
        <v/>
      </c>
      <c r="AC267" s="19">
        <f>IF(OR(A267="",W267=0),"",AB267/W267)</f>
        <v/>
      </c>
      <c r="AD267" s="19">
        <f>IF(OR(A267="",V267=0),"",W267/V267)</f>
        <v/>
      </c>
      <c r="AE267" s="15">
        <f>IF(A267="","",MAX(0,V267-W267))</f>
        <v/>
      </c>
      <c r="AF267" s="15">
        <f>IF(A267="","",SUMIFS('13_Ausgangsrechnungen'!$R:$R,'13_Ausgangsrechnungen'!$C:$C,A267))</f>
        <v/>
      </c>
    </row>
    <row r="268">
      <c r="A268" s="30" t="inlineStr"/>
      <c r="B268" s="30" t="inlineStr"/>
      <c r="C268" s="30" t="inlineStr"/>
      <c r="D268" s="30" t="inlineStr"/>
      <c r="E268" s="30" t="inlineStr"/>
      <c r="F268" s="30" t="inlineStr"/>
      <c r="G268" s="38" t="inlineStr"/>
      <c r="H268" s="38" t="inlineStr"/>
      <c r="I268" s="38" t="inlineStr"/>
      <c r="J268" s="34" t="inlineStr"/>
      <c r="K268" s="34" t="inlineStr"/>
      <c r="L268" s="34" t="inlineStr"/>
      <c r="M268" s="34" t="inlineStr"/>
      <c r="N268" s="34" t="inlineStr"/>
      <c r="O268" s="34" t="inlineStr"/>
      <c r="P268" s="32" t="inlineStr"/>
      <c r="Q268" s="30" t="inlineStr"/>
      <c r="R268" s="30" t="inlineStr"/>
      <c r="S268" s="30" t="inlineStr"/>
      <c r="T268" s="30" t="inlineStr"/>
      <c r="U268" s="15">
        <f>IF(A268="","",SUMIFS('07_Nachtraege'!$E:$E,'07_Nachtraege'!$B:$B,A268,'07_Nachtraege'!$F:$F,"beauftragt"))</f>
        <v/>
      </c>
      <c r="V268" s="15">
        <f>IF(A268="","",J268+U268)</f>
        <v/>
      </c>
      <c r="W268" s="15">
        <f>IF(A268="","",SUMIFS('13_Ausgangsrechnungen'!$G:$G,'13_Ausgangsrechnungen'!$C:$C,A268))</f>
        <v/>
      </c>
      <c r="X268" s="15">
        <f>IF(A268="","",SUMIFS('11_Material'!$L:$L,'11_Material'!$C:$C,A268))</f>
        <v/>
      </c>
      <c r="Y268" s="15">
        <f>IF(A268="","",SUMIFS('14_Eingangsrechnungen'!$F:$F,'14_Eingangsrechnungen'!$C:$C,A268,'14_Eingangsrechnungen'!$E:$E,"Nachunternehmer"))</f>
        <v/>
      </c>
      <c r="Z268" s="15">
        <f>IF(A268="","",SUMIFS('10_Stunden'!$K:$K,'10_Stunden'!$C:$C,A268))</f>
        <v/>
      </c>
      <c r="AA268" s="15">
        <f>IF(A268="","",X268+Y268+Z268+SUMIFS('14_Eingangsrechnungen'!$F:$F,'14_Eingangsrechnungen'!$C:$C,A268,'14_Eingangsrechnungen'!$E:$E,"Gerät")+SUMIFS('14_Eingangsrechnungen'!$F:$F,'14_Eingangsrechnungen'!$C:$C,A268,'14_Eingangsrechnungen'!$E:$E,"Dienstleistung"))</f>
        <v/>
      </c>
      <c r="AB268" s="15">
        <f>IF(A268="","",W268-AA268)</f>
        <v/>
      </c>
      <c r="AC268" s="19">
        <f>IF(OR(A268="",W268=0),"",AB268/W268)</f>
        <v/>
      </c>
      <c r="AD268" s="19">
        <f>IF(OR(A268="",V268=0),"",W268/V268)</f>
        <v/>
      </c>
      <c r="AE268" s="15">
        <f>IF(A268="","",MAX(0,V268-W268))</f>
        <v/>
      </c>
      <c r="AF268" s="15">
        <f>IF(A268="","",SUMIFS('13_Ausgangsrechnungen'!$R:$R,'13_Ausgangsrechnungen'!$C:$C,A268))</f>
        <v/>
      </c>
    </row>
    <row r="269">
      <c r="A269" s="30" t="inlineStr"/>
      <c r="B269" s="30" t="inlineStr"/>
      <c r="C269" s="30" t="inlineStr"/>
      <c r="D269" s="30" t="inlineStr"/>
      <c r="E269" s="30" t="inlineStr"/>
      <c r="F269" s="30" t="inlineStr"/>
      <c r="G269" s="38" t="inlineStr"/>
      <c r="H269" s="38" t="inlineStr"/>
      <c r="I269" s="38" t="inlineStr"/>
      <c r="J269" s="34" t="inlineStr"/>
      <c r="K269" s="34" t="inlineStr"/>
      <c r="L269" s="34" t="inlineStr"/>
      <c r="M269" s="34" t="inlineStr"/>
      <c r="N269" s="34" t="inlineStr"/>
      <c r="O269" s="34" t="inlineStr"/>
      <c r="P269" s="32" t="inlineStr"/>
      <c r="Q269" s="30" t="inlineStr"/>
      <c r="R269" s="30" t="inlineStr"/>
      <c r="S269" s="30" t="inlineStr"/>
      <c r="T269" s="30" t="inlineStr"/>
      <c r="U269" s="15">
        <f>IF(A269="","",SUMIFS('07_Nachtraege'!$E:$E,'07_Nachtraege'!$B:$B,A269,'07_Nachtraege'!$F:$F,"beauftragt"))</f>
        <v/>
      </c>
      <c r="V269" s="15">
        <f>IF(A269="","",J269+U269)</f>
        <v/>
      </c>
      <c r="W269" s="15">
        <f>IF(A269="","",SUMIFS('13_Ausgangsrechnungen'!$G:$G,'13_Ausgangsrechnungen'!$C:$C,A269))</f>
        <v/>
      </c>
      <c r="X269" s="15">
        <f>IF(A269="","",SUMIFS('11_Material'!$L:$L,'11_Material'!$C:$C,A269))</f>
        <v/>
      </c>
      <c r="Y269" s="15">
        <f>IF(A269="","",SUMIFS('14_Eingangsrechnungen'!$F:$F,'14_Eingangsrechnungen'!$C:$C,A269,'14_Eingangsrechnungen'!$E:$E,"Nachunternehmer"))</f>
        <v/>
      </c>
      <c r="Z269" s="15">
        <f>IF(A269="","",SUMIFS('10_Stunden'!$K:$K,'10_Stunden'!$C:$C,A269))</f>
        <v/>
      </c>
      <c r="AA269" s="15">
        <f>IF(A269="","",X269+Y269+Z269+SUMIFS('14_Eingangsrechnungen'!$F:$F,'14_Eingangsrechnungen'!$C:$C,A269,'14_Eingangsrechnungen'!$E:$E,"Gerät")+SUMIFS('14_Eingangsrechnungen'!$F:$F,'14_Eingangsrechnungen'!$C:$C,A269,'14_Eingangsrechnungen'!$E:$E,"Dienstleistung"))</f>
        <v/>
      </c>
      <c r="AB269" s="15">
        <f>IF(A269="","",W269-AA269)</f>
        <v/>
      </c>
      <c r="AC269" s="19">
        <f>IF(OR(A269="",W269=0),"",AB269/W269)</f>
        <v/>
      </c>
      <c r="AD269" s="19">
        <f>IF(OR(A269="",V269=0),"",W269/V269)</f>
        <v/>
      </c>
      <c r="AE269" s="15">
        <f>IF(A269="","",MAX(0,V269-W269))</f>
        <v/>
      </c>
      <c r="AF269" s="15">
        <f>IF(A269="","",SUMIFS('13_Ausgangsrechnungen'!$R:$R,'13_Ausgangsrechnungen'!$C:$C,A269))</f>
        <v/>
      </c>
    </row>
    <row r="270">
      <c r="A270" s="30" t="inlineStr"/>
      <c r="B270" s="30" t="inlineStr"/>
      <c r="C270" s="30" t="inlineStr"/>
      <c r="D270" s="30" t="inlineStr"/>
      <c r="E270" s="30" t="inlineStr"/>
      <c r="F270" s="30" t="inlineStr"/>
      <c r="G270" s="38" t="inlineStr"/>
      <c r="H270" s="38" t="inlineStr"/>
      <c r="I270" s="38" t="inlineStr"/>
      <c r="J270" s="34" t="inlineStr"/>
      <c r="K270" s="34" t="inlineStr"/>
      <c r="L270" s="34" t="inlineStr"/>
      <c r="M270" s="34" t="inlineStr"/>
      <c r="N270" s="34" t="inlineStr"/>
      <c r="O270" s="34" t="inlineStr"/>
      <c r="P270" s="32" t="inlineStr"/>
      <c r="Q270" s="30" t="inlineStr"/>
      <c r="R270" s="30" t="inlineStr"/>
      <c r="S270" s="30" t="inlineStr"/>
      <c r="T270" s="30" t="inlineStr"/>
      <c r="U270" s="15">
        <f>IF(A270="","",SUMIFS('07_Nachtraege'!$E:$E,'07_Nachtraege'!$B:$B,A270,'07_Nachtraege'!$F:$F,"beauftragt"))</f>
        <v/>
      </c>
      <c r="V270" s="15">
        <f>IF(A270="","",J270+U270)</f>
        <v/>
      </c>
      <c r="W270" s="15">
        <f>IF(A270="","",SUMIFS('13_Ausgangsrechnungen'!$G:$G,'13_Ausgangsrechnungen'!$C:$C,A270))</f>
        <v/>
      </c>
      <c r="X270" s="15">
        <f>IF(A270="","",SUMIFS('11_Material'!$L:$L,'11_Material'!$C:$C,A270))</f>
        <v/>
      </c>
      <c r="Y270" s="15">
        <f>IF(A270="","",SUMIFS('14_Eingangsrechnungen'!$F:$F,'14_Eingangsrechnungen'!$C:$C,A270,'14_Eingangsrechnungen'!$E:$E,"Nachunternehmer"))</f>
        <v/>
      </c>
      <c r="Z270" s="15">
        <f>IF(A270="","",SUMIFS('10_Stunden'!$K:$K,'10_Stunden'!$C:$C,A270))</f>
        <v/>
      </c>
      <c r="AA270" s="15">
        <f>IF(A270="","",X270+Y270+Z270+SUMIFS('14_Eingangsrechnungen'!$F:$F,'14_Eingangsrechnungen'!$C:$C,A270,'14_Eingangsrechnungen'!$E:$E,"Gerät")+SUMIFS('14_Eingangsrechnungen'!$F:$F,'14_Eingangsrechnungen'!$C:$C,A270,'14_Eingangsrechnungen'!$E:$E,"Dienstleistung"))</f>
        <v/>
      </c>
      <c r="AB270" s="15">
        <f>IF(A270="","",W270-AA270)</f>
        <v/>
      </c>
      <c r="AC270" s="19">
        <f>IF(OR(A270="",W270=0),"",AB270/W270)</f>
        <v/>
      </c>
      <c r="AD270" s="19">
        <f>IF(OR(A270="",V270=0),"",W270/V270)</f>
        <v/>
      </c>
      <c r="AE270" s="15">
        <f>IF(A270="","",MAX(0,V270-W270))</f>
        <v/>
      </c>
      <c r="AF270" s="15">
        <f>IF(A270="","",SUMIFS('13_Ausgangsrechnungen'!$R:$R,'13_Ausgangsrechnungen'!$C:$C,A270))</f>
        <v/>
      </c>
    </row>
    <row r="271">
      <c r="A271" s="30" t="inlineStr"/>
      <c r="B271" s="30" t="inlineStr"/>
      <c r="C271" s="30" t="inlineStr"/>
      <c r="D271" s="30" t="inlineStr"/>
      <c r="E271" s="30" t="inlineStr"/>
      <c r="F271" s="30" t="inlineStr"/>
      <c r="G271" s="38" t="inlineStr"/>
      <c r="H271" s="38" t="inlineStr"/>
      <c r="I271" s="38" t="inlineStr"/>
      <c r="J271" s="34" t="inlineStr"/>
      <c r="K271" s="34" t="inlineStr"/>
      <c r="L271" s="34" t="inlineStr"/>
      <c r="M271" s="34" t="inlineStr"/>
      <c r="N271" s="34" t="inlineStr"/>
      <c r="O271" s="34" t="inlineStr"/>
      <c r="P271" s="32" t="inlineStr"/>
      <c r="Q271" s="30" t="inlineStr"/>
      <c r="R271" s="30" t="inlineStr"/>
      <c r="S271" s="30" t="inlineStr"/>
      <c r="T271" s="30" t="inlineStr"/>
      <c r="U271" s="15">
        <f>IF(A271="","",SUMIFS('07_Nachtraege'!$E:$E,'07_Nachtraege'!$B:$B,A271,'07_Nachtraege'!$F:$F,"beauftragt"))</f>
        <v/>
      </c>
      <c r="V271" s="15">
        <f>IF(A271="","",J271+U271)</f>
        <v/>
      </c>
      <c r="W271" s="15">
        <f>IF(A271="","",SUMIFS('13_Ausgangsrechnungen'!$G:$G,'13_Ausgangsrechnungen'!$C:$C,A271))</f>
        <v/>
      </c>
      <c r="X271" s="15">
        <f>IF(A271="","",SUMIFS('11_Material'!$L:$L,'11_Material'!$C:$C,A271))</f>
        <v/>
      </c>
      <c r="Y271" s="15">
        <f>IF(A271="","",SUMIFS('14_Eingangsrechnungen'!$F:$F,'14_Eingangsrechnungen'!$C:$C,A271,'14_Eingangsrechnungen'!$E:$E,"Nachunternehmer"))</f>
        <v/>
      </c>
      <c r="Z271" s="15">
        <f>IF(A271="","",SUMIFS('10_Stunden'!$K:$K,'10_Stunden'!$C:$C,A271))</f>
        <v/>
      </c>
      <c r="AA271" s="15">
        <f>IF(A271="","",X271+Y271+Z271+SUMIFS('14_Eingangsrechnungen'!$F:$F,'14_Eingangsrechnungen'!$C:$C,A271,'14_Eingangsrechnungen'!$E:$E,"Gerät")+SUMIFS('14_Eingangsrechnungen'!$F:$F,'14_Eingangsrechnungen'!$C:$C,A271,'14_Eingangsrechnungen'!$E:$E,"Dienstleistung"))</f>
        <v/>
      </c>
      <c r="AB271" s="15">
        <f>IF(A271="","",W271-AA271)</f>
        <v/>
      </c>
      <c r="AC271" s="19">
        <f>IF(OR(A271="",W271=0),"",AB271/W271)</f>
        <v/>
      </c>
      <c r="AD271" s="19">
        <f>IF(OR(A271="",V271=0),"",W271/V271)</f>
        <v/>
      </c>
      <c r="AE271" s="15">
        <f>IF(A271="","",MAX(0,V271-W271))</f>
        <v/>
      </c>
      <c r="AF271" s="15">
        <f>IF(A271="","",SUMIFS('13_Ausgangsrechnungen'!$R:$R,'13_Ausgangsrechnungen'!$C:$C,A271))</f>
        <v/>
      </c>
    </row>
    <row r="272">
      <c r="A272" s="30" t="inlineStr"/>
      <c r="B272" s="30" t="inlineStr"/>
      <c r="C272" s="30" t="inlineStr"/>
      <c r="D272" s="30" t="inlineStr"/>
      <c r="E272" s="30" t="inlineStr"/>
      <c r="F272" s="30" t="inlineStr"/>
      <c r="G272" s="38" t="inlineStr"/>
      <c r="H272" s="38" t="inlineStr"/>
      <c r="I272" s="38" t="inlineStr"/>
      <c r="J272" s="34" t="inlineStr"/>
      <c r="K272" s="34" t="inlineStr"/>
      <c r="L272" s="34" t="inlineStr"/>
      <c r="M272" s="34" t="inlineStr"/>
      <c r="N272" s="34" t="inlineStr"/>
      <c r="O272" s="34" t="inlineStr"/>
      <c r="P272" s="32" t="inlineStr"/>
      <c r="Q272" s="30" t="inlineStr"/>
      <c r="R272" s="30" t="inlineStr"/>
      <c r="S272" s="30" t="inlineStr"/>
      <c r="T272" s="30" t="inlineStr"/>
      <c r="U272" s="15">
        <f>IF(A272="","",SUMIFS('07_Nachtraege'!$E:$E,'07_Nachtraege'!$B:$B,A272,'07_Nachtraege'!$F:$F,"beauftragt"))</f>
        <v/>
      </c>
      <c r="V272" s="15">
        <f>IF(A272="","",J272+U272)</f>
        <v/>
      </c>
      <c r="W272" s="15">
        <f>IF(A272="","",SUMIFS('13_Ausgangsrechnungen'!$G:$G,'13_Ausgangsrechnungen'!$C:$C,A272))</f>
        <v/>
      </c>
      <c r="X272" s="15">
        <f>IF(A272="","",SUMIFS('11_Material'!$L:$L,'11_Material'!$C:$C,A272))</f>
        <v/>
      </c>
      <c r="Y272" s="15">
        <f>IF(A272="","",SUMIFS('14_Eingangsrechnungen'!$F:$F,'14_Eingangsrechnungen'!$C:$C,A272,'14_Eingangsrechnungen'!$E:$E,"Nachunternehmer"))</f>
        <v/>
      </c>
      <c r="Z272" s="15">
        <f>IF(A272="","",SUMIFS('10_Stunden'!$K:$K,'10_Stunden'!$C:$C,A272))</f>
        <v/>
      </c>
      <c r="AA272" s="15">
        <f>IF(A272="","",X272+Y272+Z272+SUMIFS('14_Eingangsrechnungen'!$F:$F,'14_Eingangsrechnungen'!$C:$C,A272,'14_Eingangsrechnungen'!$E:$E,"Gerät")+SUMIFS('14_Eingangsrechnungen'!$F:$F,'14_Eingangsrechnungen'!$C:$C,A272,'14_Eingangsrechnungen'!$E:$E,"Dienstleistung"))</f>
        <v/>
      </c>
      <c r="AB272" s="15">
        <f>IF(A272="","",W272-AA272)</f>
        <v/>
      </c>
      <c r="AC272" s="19">
        <f>IF(OR(A272="",W272=0),"",AB272/W272)</f>
        <v/>
      </c>
      <c r="AD272" s="19">
        <f>IF(OR(A272="",V272=0),"",W272/V272)</f>
        <v/>
      </c>
      <c r="AE272" s="15">
        <f>IF(A272="","",MAX(0,V272-W272))</f>
        <v/>
      </c>
      <c r="AF272" s="15">
        <f>IF(A272="","",SUMIFS('13_Ausgangsrechnungen'!$R:$R,'13_Ausgangsrechnungen'!$C:$C,A272))</f>
        <v/>
      </c>
    </row>
    <row r="273">
      <c r="A273" s="30" t="inlineStr"/>
      <c r="B273" s="30" t="inlineStr"/>
      <c r="C273" s="30" t="inlineStr"/>
      <c r="D273" s="30" t="inlineStr"/>
      <c r="E273" s="30" t="inlineStr"/>
      <c r="F273" s="30" t="inlineStr"/>
      <c r="G273" s="38" t="inlineStr"/>
      <c r="H273" s="38" t="inlineStr"/>
      <c r="I273" s="38" t="inlineStr"/>
      <c r="J273" s="34" t="inlineStr"/>
      <c r="K273" s="34" t="inlineStr"/>
      <c r="L273" s="34" t="inlineStr"/>
      <c r="M273" s="34" t="inlineStr"/>
      <c r="N273" s="34" t="inlineStr"/>
      <c r="O273" s="34" t="inlineStr"/>
      <c r="P273" s="32" t="inlineStr"/>
      <c r="Q273" s="30" t="inlineStr"/>
      <c r="R273" s="30" t="inlineStr"/>
      <c r="S273" s="30" t="inlineStr"/>
      <c r="T273" s="30" t="inlineStr"/>
      <c r="U273" s="15">
        <f>IF(A273="","",SUMIFS('07_Nachtraege'!$E:$E,'07_Nachtraege'!$B:$B,A273,'07_Nachtraege'!$F:$F,"beauftragt"))</f>
        <v/>
      </c>
      <c r="V273" s="15">
        <f>IF(A273="","",J273+U273)</f>
        <v/>
      </c>
      <c r="W273" s="15">
        <f>IF(A273="","",SUMIFS('13_Ausgangsrechnungen'!$G:$G,'13_Ausgangsrechnungen'!$C:$C,A273))</f>
        <v/>
      </c>
      <c r="X273" s="15">
        <f>IF(A273="","",SUMIFS('11_Material'!$L:$L,'11_Material'!$C:$C,A273))</f>
        <v/>
      </c>
      <c r="Y273" s="15">
        <f>IF(A273="","",SUMIFS('14_Eingangsrechnungen'!$F:$F,'14_Eingangsrechnungen'!$C:$C,A273,'14_Eingangsrechnungen'!$E:$E,"Nachunternehmer"))</f>
        <v/>
      </c>
      <c r="Z273" s="15">
        <f>IF(A273="","",SUMIFS('10_Stunden'!$K:$K,'10_Stunden'!$C:$C,A273))</f>
        <v/>
      </c>
      <c r="AA273" s="15">
        <f>IF(A273="","",X273+Y273+Z273+SUMIFS('14_Eingangsrechnungen'!$F:$F,'14_Eingangsrechnungen'!$C:$C,A273,'14_Eingangsrechnungen'!$E:$E,"Gerät")+SUMIFS('14_Eingangsrechnungen'!$F:$F,'14_Eingangsrechnungen'!$C:$C,A273,'14_Eingangsrechnungen'!$E:$E,"Dienstleistung"))</f>
        <v/>
      </c>
      <c r="AB273" s="15">
        <f>IF(A273="","",W273-AA273)</f>
        <v/>
      </c>
      <c r="AC273" s="19">
        <f>IF(OR(A273="",W273=0),"",AB273/W273)</f>
        <v/>
      </c>
      <c r="AD273" s="19">
        <f>IF(OR(A273="",V273=0),"",W273/V273)</f>
        <v/>
      </c>
      <c r="AE273" s="15">
        <f>IF(A273="","",MAX(0,V273-W273))</f>
        <v/>
      </c>
      <c r="AF273" s="15">
        <f>IF(A273="","",SUMIFS('13_Ausgangsrechnungen'!$R:$R,'13_Ausgangsrechnungen'!$C:$C,A273))</f>
        <v/>
      </c>
    </row>
    <row r="274">
      <c r="A274" s="30" t="inlineStr"/>
      <c r="B274" s="30" t="inlineStr"/>
      <c r="C274" s="30" t="inlineStr"/>
      <c r="D274" s="30" t="inlineStr"/>
      <c r="E274" s="30" t="inlineStr"/>
      <c r="F274" s="30" t="inlineStr"/>
      <c r="G274" s="38" t="inlineStr"/>
      <c r="H274" s="38" t="inlineStr"/>
      <c r="I274" s="38" t="inlineStr"/>
      <c r="J274" s="34" t="inlineStr"/>
      <c r="K274" s="34" t="inlineStr"/>
      <c r="L274" s="34" t="inlineStr"/>
      <c r="M274" s="34" t="inlineStr"/>
      <c r="N274" s="34" t="inlineStr"/>
      <c r="O274" s="34" t="inlineStr"/>
      <c r="P274" s="32" t="inlineStr"/>
      <c r="Q274" s="30" t="inlineStr"/>
      <c r="R274" s="30" t="inlineStr"/>
      <c r="S274" s="30" t="inlineStr"/>
      <c r="T274" s="30" t="inlineStr"/>
      <c r="U274" s="15">
        <f>IF(A274="","",SUMIFS('07_Nachtraege'!$E:$E,'07_Nachtraege'!$B:$B,A274,'07_Nachtraege'!$F:$F,"beauftragt"))</f>
        <v/>
      </c>
      <c r="V274" s="15">
        <f>IF(A274="","",J274+U274)</f>
        <v/>
      </c>
      <c r="W274" s="15">
        <f>IF(A274="","",SUMIFS('13_Ausgangsrechnungen'!$G:$G,'13_Ausgangsrechnungen'!$C:$C,A274))</f>
        <v/>
      </c>
      <c r="X274" s="15">
        <f>IF(A274="","",SUMIFS('11_Material'!$L:$L,'11_Material'!$C:$C,A274))</f>
        <v/>
      </c>
      <c r="Y274" s="15">
        <f>IF(A274="","",SUMIFS('14_Eingangsrechnungen'!$F:$F,'14_Eingangsrechnungen'!$C:$C,A274,'14_Eingangsrechnungen'!$E:$E,"Nachunternehmer"))</f>
        <v/>
      </c>
      <c r="Z274" s="15">
        <f>IF(A274="","",SUMIFS('10_Stunden'!$K:$K,'10_Stunden'!$C:$C,A274))</f>
        <v/>
      </c>
      <c r="AA274" s="15">
        <f>IF(A274="","",X274+Y274+Z274+SUMIFS('14_Eingangsrechnungen'!$F:$F,'14_Eingangsrechnungen'!$C:$C,A274,'14_Eingangsrechnungen'!$E:$E,"Gerät")+SUMIFS('14_Eingangsrechnungen'!$F:$F,'14_Eingangsrechnungen'!$C:$C,A274,'14_Eingangsrechnungen'!$E:$E,"Dienstleistung"))</f>
        <v/>
      </c>
      <c r="AB274" s="15">
        <f>IF(A274="","",W274-AA274)</f>
        <v/>
      </c>
      <c r="AC274" s="19">
        <f>IF(OR(A274="",W274=0),"",AB274/W274)</f>
        <v/>
      </c>
      <c r="AD274" s="19">
        <f>IF(OR(A274="",V274=0),"",W274/V274)</f>
        <v/>
      </c>
      <c r="AE274" s="15">
        <f>IF(A274="","",MAX(0,V274-W274))</f>
        <v/>
      </c>
      <c r="AF274" s="15">
        <f>IF(A274="","",SUMIFS('13_Ausgangsrechnungen'!$R:$R,'13_Ausgangsrechnungen'!$C:$C,A274))</f>
        <v/>
      </c>
    </row>
    <row r="275">
      <c r="A275" s="30" t="inlineStr"/>
      <c r="B275" s="30" t="inlineStr"/>
      <c r="C275" s="30" t="inlineStr"/>
      <c r="D275" s="30" t="inlineStr"/>
      <c r="E275" s="30" t="inlineStr"/>
      <c r="F275" s="30" t="inlineStr"/>
      <c r="G275" s="38" t="inlineStr"/>
      <c r="H275" s="38" t="inlineStr"/>
      <c r="I275" s="38" t="inlineStr"/>
      <c r="J275" s="34" t="inlineStr"/>
      <c r="K275" s="34" t="inlineStr"/>
      <c r="L275" s="34" t="inlineStr"/>
      <c r="M275" s="34" t="inlineStr"/>
      <c r="N275" s="34" t="inlineStr"/>
      <c r="O275" s="34" t="inlineStr"/>
      <c r="P275" s="32" t="inlineStr"/>
      <c r="Q275" s="30" t="inlineStr"/>
      <c r="R275" s="30" t="inlineStr"/>
      <c r="S275" s="30" t="inlineStr"/>
      <c r="T275" s="30" t="inlineStr"/>
      <c r="U275" s="15">
        <f>IF(A275="","",SUMIFS('07_Nachtraege'!$E:$E,'07_Nachtraege'!$B:$B,A275,'07_Nachtraege'!$F:$F,"beauftragt"))</f>
        <v/>
      </c>
      <c r="V275" s="15">
        <f>IF(A275="","",J275+U275)</f>
        <v/>
      </c>
      <c r="W275" s="15">
        <f>IF(A275="","",SUMIFS('13_Ausgangsrechnungen'!$G:$G,'13_Ausgangsrechnungen'!$C:$C,A275))</f>
        <v/>
      </c>
      <c r="X275" s="15">
        <f>IF(A275="","",SUMIFS('11_Material'!$L:$L,'11_Material'!$C:$C,A275))</f>
        <v/>
      </c>
      <c r="Y275" s="15">
        <f>IF(A275="","",SUMIFS('14_Eingangsrechnungen'!$F:$F,'14_Eingangsrechnungen'!$C:$C,A275,'14_Eingangsrechnungen'!$E:$E,"Nachunternehmer"))</f>
        <v/>
      </c>
      <c r="Z275" s="15">
        <f>IF(A275="","",SUMIFS('10_Stunden'!$K:$K,'10_Stunden'!$C:$C,A275))</f>
        <v/>
      </c>
      <c r="AA275" s="15">
        <f>IF(A275="","",X275+Y275+Z275+SUMIFS('14_Eingangsrechnungen'!$F:$F,'14_Eingangsrechnungen'!$C:$C,A275,'14_Eingangsrechnungen'!$E:$E,"Gerät")+SUMIFS('14_Eingangsrechnungen'!$F:$F,'14_Eingangsrechnungen'!$C:$C,A275,'14_Eingangsrechnungen'!$E:$E,"Dienstleistung"))</f>
        <v/>
      </c>
      <c r="AB275" s="15">
        <f>IF(A275="","",W275-AA275)</f>
        <v/>
      </c>
      <c r="AC275" s="19">
        <f>IF(OR(A275="",W275=0),"",AB275/W275)</f>
        <v/>
      </c>
      <c r="AD275" s="19">
        <f>IF(OR(A275="",V275=0),"",W275/V275)</f>
        <v/>
      </c>
      <c r="AE275" s="15">
        <f>IF(A275="","",MAX(0,V275-W275))</f>
        <v/>
      </c>
      <c r="AF275" s="15">
        <f>IF(A275="","",SUMIFS('13_Ausgangsrechnungen'!$R:$R,'13_Ausgangsrechnungen'!$C:$C,A275))</f>
        <v/>
      </c>
    </row>
    <row r="276">
      <c r="A276" s="30" t="inlineStr"/>
      <c r="B276" s="30" t="inlineStr"/>
      <c r="C276" s="30" t="inlineStr"/>
      <c r="D276" s="30" t="inlineStr"/>
      <c r="E276" s="30" t="inlineStr"/>
      <c r="F276" s="30" t="inlineStr"/>
      <c r="G276" s="38" t="inlineStr"/>
      <c r="H276" s="38" t="inlineStr"/>
      <c r="I276" s="38" t="inlineStr"/>
      <c r="J276" s="34" t="inlineStr"/>
      <c r="K276" s="34" t="inlineStr"/>
      <c r="L276" s="34" t="inlineStr"/>
      <c r="M276" s="34" t="inlineStr"/>
      <c r="N276" s="34" t="inlineStr"/>
      <c r="O276" s="34" t="inlineStr"/>
      <c r="P276" s="32" t="inlineStr"/>
      <c r="Q276" s="30" t="inlineStr"/>
      <c r="R276" s="30" t="inlineStr"/>
      <c r="S276" s="30" t="inlineStr"/>
      <c r="T276" s="30" t="inlineStr"/>
      <c r="U276" s="15">
        <f>IF(A276="","",SUMIFS('07_Nachtraege'!$E:$E,'07_Nachtraege'!$B:$B,A276,'07_Nachtraege'!$F:$F,"beauftragt"))</f>
        <v/>
      </c>
      <c r="V276" s="15">
        <f>IF(A276="","",J276+U276)</f>
        <v/>
      </c>
      <c r="W276" s="15">
        <f>IF(A276="","",SUMIFS('13_Ausgangsrechnungen'!$G:$G,'13_Ausgangsrechnungen'!$C:$C,A276))</f>
        <v/>
      </c>
      <c r="X276" s="15">
        <f>IF(A276="","",SUMIFS('11_Material'!$L:$L,'11_Material'!$C:$C,A276))</f>
        <v/>
      </c>
      <c r="Y276" s="15">
        <f>IF(A276="","",SUMIFS('14_Eingangsrechnungen'!$F:$F,'14_Eingangsrechnungen'!$C:$C,A276,'14_Eingangsrechnungen'!$E:$E,"Nachunternehmer"))</f>
        <v/>
      </c>
      <c r="Z276" s="15">
        <f>IF(A276="","",SUMIFS('10_Stunden'!$K:$K,'10_Stunden'!$C:$C,A276))</f>
        <v/>
      </c>
      <c r="AA276" s="15">
        <f>IF(A276="","",X276+Y276+Z276+SUMIFS('14_Eingangsrechnungen'!$F:$F,'14_Eingangsrechnungen'!$C:$C,A276,'14_Eingangsrechnungen'!$E:$E,"Gerät")+SUMIFS('14_Eingangsrechnungen'!$F:$F,'14_Eingangsrechnungen'!$C:$C,A276,'14_Eingangsrechnungen'!$E:$E,"Dienstleistung"))</f>
        <v/>
      </c>
      <c r="AB276" s="15">
        <f>IF(A276="","",W276-AA276)</f>
        <v/>
      </c>
      <c r="AC276" s="19">
        <f>IF(OR(A276="",W276=0),"",AB276/W276)</f>
        <v/>
      </c>
      <c r="AD276" s="19">
        <f>IF(OR(A276="",V276=0),"",W276/V276)</f>
        <v/>
      </c>
      <c r="AE276" s="15">
        <f>IF(A276="","",MAX(0,V276-W276))</f>
        <v/>
      </c>
      <c r="AF276" s="15">
        <f>IF(A276="","",SUMIFS('13_Ausgangsrechnungen'!$R:$R,'13_Ausgangsrechnungen'!$C:$C,A276))</f>
        <v/>
      </c>
    </row>
    <row r="277">
      <c r="A277" s="30" t="inlineStr"/>
      <c r="B277" s="30" t="inlineStr"/>
      <c r="C277" s="30" t="inlineStr"/>
      <c r="D277" s="30" t="inlineStr"/>
      <c r="E277" s="30" t="inlineStr"/>
      <c r="F277" s="30" t="inlineStr"/>
      <c r="G277" s="38" t="inlineStr"/>
      <c r="H277" s="38" t="inlineStr"/>
      <c r="I277" s="38" t="inlineStr"/>
      <c r="J277" s="34" t="inlineStr"/>
      <c r="K277" s="34" t="inlineStr"/>
      <c r="L277" s="34" t="inlineStr"/>
      <c r="M277" s="34" t="inlineStr"/>
      <c r="N277" s="34" t="inlineStr"/>
      <c r="O277" s="34" t="inlineStr"/>
      <c r="P277" s="32" t="inlineStr"/>
      <c r="Q277" s="30" t="inlineStr"/>
      <c r="R277" s="30" t="inlineStr"/>
      <c r="S277" s="30" t="inlineStr"/>
      <c r="T277" s="30" t="inlineStr"/>
      <c r="U277" s="15">
        <f>IF(A277="","",SUMIFS('07_Nachtraege'!$E:$E,'07_Nachtraege'!$B:$B,A277,'07_Nachtraege'!$F:$F,"beauftragt"))</f>
        <v/>
      </c>
      <c r="V277" s="15">
        <f>IF(A277="","",J277+U277)</f>
        <v/>
      </c>
      <c r="W277" s="15">
        <f>IF(A277="","",SUMIFS('13_Ausgangsrechnungen'!$G:$G,'13_Ausgangsrechnungen'!$C:$C,A277))</f>
        <v/>
      </c>
      <c r="X277" s="15">
        <f>IF(A277="","",SUMIFS('11_Material'!$L:$L,'11_Material'!$C:$C,A277))</f>
        <v/>
      </c>
      <c r="Y277" s="15">
        <f>IF(A277="","",SUMIFS('14_Eingangsrechnungen'!$F:$F,'14_Eingangsrechnungen'!$C:$C,A277,'14_Eingangsrechnungen'!$E:$E,"Nachunternehmer"))</f>
        <v/>
      </c>
      <c r="Z277" s="15">
        <f>IF(A277="","",SUMIFS('10_Stunden'!$K:$K,'10_Stunden'!$C:$C,A277))</f>
        <v/>
      </c>
      <c r="AA277" s="15">
        <f>IF(A277="","",X277+Y277+Z277+SUMIFS('14_Eingangsrechnungen'!$F:$F,'14_Eingangsrechnungen'!$C:$C,A277,'14_Eingangsrechnungen'!$E:$E,"Gerät")+SUMIFS('14_Eingangsrechnungen'!$F:$F,'14_Eingangsrechnungen'!$C:$C,A277,'14_Eingangsrechnungen'!$E:$E,"Dienstleistung"))</f>
        <v/>
      </c>
      <c r="AB277" s="15">
        <f>IF(A277="","",W277-AA277)</f>
        <v/>
      </c>
      <c r="AC277" s="19">
        <f>IF(OR(A277="",W277=0),"",AB277/W277)</f>
        <v/>
      </c>
      <c r="AD277" s="19">
        <f>IF(OR(A277="",V277=0),"",W277/V277)</f>
        <v/>
      </c>
      <c r="AE277" s="15">
        <f>IF(A277="","",MAX(0,V277-W277))</f>
        <v/>
      </c>
      <c r="AF277" s="15">
        <f>IF(A277="","",SUMIFS('13_Ausgangsrechnungen'!$R:$R,'13_Ausgangsrechnungen'!$C:$C,A277))</f>
        <v/>
      </c>
    </row>
    <row r="278">
      <c r="A278" s="30" t="inlineStr"/>
      <c r="B278" s="30" t="inlineStr"/>
      <c r="C278" s="30" t="inlineStr"/>
      <c r="D278" s="30" t="inlineStr"/>
      <c r="E278" s="30" t="inlineStr"/>
      <c r="F278" s="30" t="inlineStr"/>
      <c r="G278" s="38" t="inlineStr"/>
      <c r="H278" s="38" t="inlineStr"/>
      <c r="I278" s="38" t="inlineStr"/>
      <c r="J278" s="34" t="inlineStr"/>
      <c r="K278" s="34" t="inlineStr"/>
      <c r="L278" s="34" t="inlineStr"/>
      <c r="M278" s="34" t="inlineStr"/>
      <c r="N278" s="34" t="inlineStr"/>
      <c r="O278" s="34" t="inlineStr"/>
      <c r="P278" s="32" t="inlineStr"/>
      <c r="Q278" s="30" t="inlineStr"/>
      <c r="R278" s="30" t="inlineStr"/>
      <c r="S278" s="30" t="inlineStr"/>
      <c r="T278" s="30" t="inlineStr"/>
      <c r="U278" s="15">
        <f>IF(A278="","",SUMIFS('07_Nachtraege'!$E:$E,'07_Nachtraege'!$B:$B,A278,'07_Nachtraege'!$F:$F,"beauftragt"))</f>
        <v/>
      </c>
      <c r="V278" s="15">
        <f>IF(A278="","",J278+U278)</f>
        <v/>
      </c>
      <c r="W278" s="15">
        <f>IF(A278="","",SUMIFS('13_Ausgangsrechnungen'!$G:$G,'13_Ausgangsrechnungen'!$C:$C,A278))</f>
        <v/>
      </c>
      <c r="X278" s="15">
        <f>IF(A278="","",SUMIFS('11_Material'!$L:$L,'11_Material'!$C:$C,A278))</f>
        <v/>
      </c>
      <c r="Y278" s="15">
        <f>IF(A278="","",SUMIFS('14_Eingangsrechnungen'!$F:$F,'14_Eingangsrechnungen'!$C:$C,A278,'14_Eingangsrechnungen'!$E:$E,"Nachunternehmer"))</f>
        <v/>
      </c>
      <c r="Z278" s="15">
        <f>IF(A278="","",SUMIFS('10_Stunden'!$K:$K,'10_Stunden'!$C:$C,A278))</f>
        <v/>
      </c>
      <c r="AA278" s="15">
        <f>IF(A278="","",X278+Y278+Z278+SUMIFS('14_Eingangsrechnungen'!$F:$F,'14_Eingangsrechnungen'!$C:$C,A278,'14_Eingangsrechnungen'!$E:$E,"Gerät")+SUMIFS('14_Eingangsrechnungen'!$F:$F,'14_Eingangsrechnungen'!$C:$C,A278,'14_Eingangsrechnungen'!$E:$E,"Dienstleistung"))</f>
        <v/>
      </c>
      <c r="AB278" s="15">
        <f>IF(A278="","",W278-AA278)</f>
        <v/>
      </c>
      <c r="AC278" s="19">
        <f>IF(OR(A278="",W278=0),"",AB278/W278)</f>
        <v/>
      </c>
      <c r="AD278" s="19">
        <f>IF(OR(A278="",V278=0),"",W278/V278)</f>
        <v/>
      </c>
      <c r="AE278" s="15">
        <f>IF(A278="","",MAX(0,V278-W278))</f>
        <v/>
      </c>
      <c r="AF278" s="15">
        <f>IF(A278="","",SUMIFS('13_Ausgangsrechnungen'!$R:$R,'13_Ausgangsrechnungen'!$C:$C,A278))</f>
        <v/>
      </c>
    </row>
    <row r="279">
      <c r="A279" s="30" t="inlineStr"/>
      <c r="B279" s="30" t="inlineStr"/>
      <c r="C279" s="30" t="inlineStr"/>
      <c r="D279" s="30" t="inlineStr"/>
      <c r="E279" s="30" t="inlineStr"/>
      <c r="F279" s="30" t="inlineStr"/>
      <c r="G279" s="38" t="inlineStr"/>
      <c r="H279" s="38" t="inlineStr"/>
      <c r="I279" s="38" t="inlineStr"/>
      <c r="J279" s="34" t="inlineStr"/>
      <c r="K279" s="34" t="inlineStr"/>
      <c r="L279" s="34" t="inlineStr"/>
      <c r="M279" s="34" t="inlineStr"/>
      <c r="N279" s="34" t="inlineStr"/>
      <c r="O279" s="34" t="inlineStr"/>
      <c r="P279" s="32" t="inlineStr"/>
      <c r="Q279" s="30" t="inlineStr"/>
      <c r="R279" s="30" t="inlineStr"/>
      <c r="S279" s="30" t="inlineStr"/>
      <c r="T279" s="30" t="inlineStr"/>
      <c r="U279" s="15">
        <f>IF(A279="","",SUMIFS('07_Nachtraege'!$E:$E,'07_Nachtraege'!$B:$B,A279,'07_Nachtraege'!$F:$F,"beauftragt"))</f>
        <v/>
      </c>
      <c r="V279" s="15">
        <f>IF(A279="","",J279+U279)</f>
        <v/>
      </c>
      <c r="W279" s="15">
        <f>IF(A279="","",SUMIFS('13_Ausgangsrechnungen'!$G:$G,'13_Ausgangsrechnungen'!$C:$C,A279))</f>
        <v/>
      </c>
      <c r="X279" s="15">
        <f>IF(A279="","",SUMIFS('11_Material'!$L:$L,'11_Material'!$C:$C,A279))</f>
        <v/>
      </c>
      <c r="Y279" s="15">
        <f>IF(A279="","",SUMIFS('14_Eingangsrechnungen'!$F:$F,'14_Eingangsrechnungen'!$C:$C,A279,'14_Eingangsrechnungen'!$E:$E,"Nachunternehmer"))</f>
        <v/>
      </c>
      <c r="Z279" s="15">
        <f>IF(A279="","",SUMIFS('10_Stunden'!$K:$K,'10_Stunden'!$C:$C,A279))</f>
        <v/>
      </c>
      <c r="AA279" s="15">
        <f>IF(A279="","",X279+Y279+Z279+SUMIFS('14_Eingangsrechnungen'!$F:$F,'14_Eingangsrechnungen'!$C:$C,A279,'14_Eingangsrechnungen'!$E:$E,"Gerät")+SUMIFS('14_Eingangsrechnungen'!$F:$F,'14_Eingangsrechnungen'!$C:$C,A279,'14_Eingangsrechnungen'!$E:$E,"Dienstleistung"))</f>
        <v/>
      </c>
      <c r="AB279" s="15">
        <f>IF(A279="","",W279-AA279)</f>
        <v/>
      </c>
      <c r="AC279" s="19">
        <f>IF(OR(A279="",W279=0),"",AB279/W279)</f>
        <v/>
      </c>
      <c r="AD279" s="19">
        <f>IF(OR(A279="",V279=0),"",W279/V279)</f>
        <v/>
      </c>
      <c r="AE279" s="15">
        <f>IF(A279="","",MAX(0,V279-W279))</f>
        <v/>
      </c>
      <c r="AF279" s="15">
        <f>IF(A279="","",SUMIFS('13_Ausgangsrechnungen'!$R:$R,'13_Ausgangsrechnungen'!$C:$C,A279))</f>
        <v/>
      </c>
    </row>
    <row r="280">
      <c r="A280" s="30" t="inlineStr"/>
      <c r="B280" s="30" t="inlineStr"/>
      <c r="C280" s="30" t="inlineStr"/>
      <c r="D280" s="30" t="inlineStr"/>
      <c r="E280" s="30" t="inlineStr"/>
      <c r="F280" s="30" t="inlineStr"/>
      <c r="G280" s="38" t="inlineStr"/>
      <c r="H280" s="38" t="inlineStr"/>
      <c r="I280" s="38" t="inlineStr"/>
      <c r="J280" s="34" t="inlineStr"/>
      <c r="K280" s="34" t="inlineStr"/>
      <c r="L280" s="34" t="inlineStr"/>
      <c r="M280" s="34" t="inlineStr"/>
      <c r="N280" s="34" t="inlineStr"/>
      <c r="O280" s="34" t="inlineStr"/>
      <c r="P280" s="32" t="inlineStr"/>
      <c r="Q280" s="30" t="inlineStr"/>
      <c r="R280" s="30" t="inlineStr"/>
      <c r="S280" s="30" t="inlineStr"/>
      <c r="T280" s="30" t="inlineStr"/>
      <c r="U280" s="15">
        <f>IF(A280="","",SUMIFS('07_Nachtraege'!$E:$E,'07_Nachtraege'!$B:$B,A280,'07_Nachtraege'!$F:$F,"beauftragt"))</f>
        <v/>
      </c>
      <c r="V280" s="15">
        <f>IF(A280="","",J280+U280)</f>
        <v/>
      </c>
      <c r="W280" s="15">
        <f>IF(A280="","",SUMIFS('13_Ausgangsrechnungen'!$G:$G,'13_Ausgangsrechnungen'!$C:$C,A280))</f>
        <v/>
      </c>
      <c r="X280" s="15">
        <f>IF(A280="","",SUMIFS('11_Material'!$L:$L,'11_Material'!$C:$C,A280))</f>
        <v/>
      </c>
      <c r="Y280" s="15">
        <f>IF(A280="","",SUMIFS('14_Eingangsrechnungen'!$F:$F,'14_Eingangsrechnungen'!$C:$C,A280,'14_Eingangsrechnungen'!$E:$E,"Nachunternehmer"))</f>
        <v/>
      </c>
      <c r="Z280" s="15">
        <f>IF(A280="","",SUMIFS('10_Stunden'!$K:$K,'10_Stunden'!$C:$C,A280))</f>
        <v/>
      </c>
      <c r="AA280" s="15">
        <f>IF(A280="","",X280+Y280+Z280+SUMIFS('14_Eingangsrechnungen'!$F:$F,'14_Eingangsrechnungen'!$C:$C,A280,'14_Eingangsrechnungen'!$E:$E,"Gerät")+SUMIFS('14_Eingangsrechnungen'!$F:$F,'14_Eingangsrechnungen'!$C:$C,A280,'14_Eingangsrechnungen'!$E:$E,"Dienstleistung"))</f>
        <v/>
      </c>
      <c r="AB280" s="15">
        <f>IF(A280="","",W280-AA280)</f>
        <v/>
      </c>
      <c r="AC280" s="19">
        <f>IF(OR(A280="",W280=0),"",AB280/W280)</f>
        <v/>
      </c>
      <c r="AD280" s="19">
        <f>IF(OR(A280="",V280=0),"",W280/V280)</f>
        <v/>
      </c>
      <c r="AE280" s="15">
        <f>IF(A280="","",MAX(0,V280-W280))</f>
        <v/>
      </c>
      <c r="AF280" s="15">
        <f>IF(A280="","",SUMIFS('13_Ausgangsrechnungen'!$R:$R,'13_Ausgangsrechnungen'!$C:$C,A280))</f>
        <v/>
      </c>
    </row>
    <row r="281">
      <c r="A281" s="30" t="inlineStr"/>
      <c r="B281" s="30" t="inlineStr"/>
      <c r="C281" s="30" t="inlineStr"/>
      <c r="D281" s="30" t="inlineStr"/>
      <c r="E281" s="30" t="inlineStr"/>
      <c r="F281" s="30" t="inlineStr"/>
      <c r="G281" s="38" t="inlineStr"/>
      <c r="H281" s="38" t="inlineStr"/>
      <c r="I281" s="38" t="inlineStr"/>
      <c r="J281" s="34" t="inlineStr"/>
      <c r="K281" s="34" t="inlineStr"/>
      <c r="L281" s="34" t="inlineStr"/>
      <c r="M281" s="34" t="inlineStr"/>
      <c r="N281" s="34" t="inlineStr"/>
      <c r="O281" s="34" t="inlineStr"/>
      <c r="P281" s="32" t="inlineStr"/>
      <c r="Q281" s="30" t="inlineStr"/>
      <c r="R281" s="30" t="inlineStr"/>
      <c r="S281" s="30" t="inlineStr"/>
      <c r="T281" s="30" t="inlineStr"/>
      <c r="U281" s="15">
        <f>IF(A281="","",SUMIFS('07_Nachtraege'!$E:$E,'07_Nachtraege'!$B:$B,A281,'07_Nachtraege'!$F:$F,"beauftragt"))</f>
        <v/>
      </c>
      <c r="V281" s="15">
        <f>IF(A281="","",J281+U281)</f>
        <v/>
      </c>
      <c r="W281" s="15">
        <f>IF(A281="","",SUMIFS('13_Ausgangsrechnungen'!$G:$G,'13_Ausgangsrechnungen'!$C:$C,A281))</f>
        <v/>
      </c>
      <c r="X281" s="15">
        <f>IF(A281="","",SUMIFS('11_Material'!$L:$L,'11_Material'!$C:$C,A281))</f>
        <v/>
      </c>
      <c r="Y281" s="15">
        <f>IF(A281="","",SUMIFS('14_Eingangsrechnungen'!$F:$F,'14_Eingangsrechnungen'!$C:$C,A281,'14_Eingangsrechnungen'!$E:$E,"Nachunternehmer"))</f>
        <v/>
      </c>
      <c r="Z281" s="15">
        <f>IF(A281="","",SUMIFS('10_Stunden'!$K:$K,'10_Stunden'!$C:$C,A281))</f>
        <v/>
      </c>
      <c r="AA281" s="15">
        <f>IF(A281="","",X281+Y281+Z281+SUMIFS('14_Eingangsrechnungen'!$F:$F,'14_Eingangsrechnungen'!$C:$C,A281,'14_Eingangsrechnungen'!$E:$E,"Gerät")+SUMIFS('14_Eingangsrechnungen'!$F:$F,'14_Eingangsrechnungen'!$C:$C,A281,'14_Eingangsrechnungen'!$E:$E,"Dienstleistung"))</f>
        <v/>
      </c>
      <c r="AB281" s="15">
        <f>IF(A281="","",W281-AA281)</f>
        <v/>
      </c>
      <c r="AC281" s="19">
        <f>IF(OR(A281="",W281=0),"",AB281/W281)</f>
        <v/>
      </c>
      <c r="AD281" s="19">
        <f>IF(OR(A281="",V281=0),"",W281/V281)</f>
        <v/>
      </c>
      <c r="AE281" s="15">
        <f>IF(A281="","",MAX(0,V281-W281))</f>
        <v/>
      </c>
      <c r="AF281" s="15">
        <f>IF(A281="","",SUMIFS('13_Ausgangsrechnungen'!$R:$R,'13_Ausgangsrechnungen'!$C:$C,A281))</f>
        <v/>
      </c>
    </row>
    <row r="282">
      <c r="A282" s="30" t="inlineStr"/>
      <c r="B282" s="30" t="inlineStr"/>
      <c r="C282" s="30" t="inlineStr"/>
      <c r="D282" s="30" t="inlineStr"/>
      <c r="E282" s="30" t="inlineStr"/>
      <c r="F282" s="30" t="inlineStr"/>
      <c r="G282" s="38" t="inlineStr"/>
      <c r="H282" s="38" t="inlineStr"/>
      <c r="I282" s="38" t="inlineStr"/>
      <c r="J282" s="34" t="inlineStr"/>
      <c r="K282" s="34" t="inlineStr"/>
      <c r="L282" s="34" t="inlineStr"/>
      <c r="M282" s="34" t="inlineStr"/>
      <c r="N282" s="34" t="inlineStr"/>
      <c r="O282" s="34" t="inlineStr"/>
      <c r="P282" s="32" t="inlineStr"/>
      <c r="Q282" s="30" t="inlineStr"/>
      <c r="R282" s="30" t="inlineStr"/>
      <c r="S282" s="30" t="inlineStr"/>
      <c r="T282" s="30" t="inlineStr"/>
      <c r="U282" s="15">
        <f>IF(A282="","",SUMIFS('07_Nachtraege'!$E:$E,'07_Nachtraege'!$B:$B,A282,'07_Nachtraege'!$F:$F,"beauftragt"))</f>
        <v/>
      </c>
      <c r="V282" s="15">
        <f>IF(A282="","",J282+U282)</f>
        <v/>
      </c>
      <c r="W282" s="15">
        <f>IF(A282="","",SUMIFS('13_Ausgangsrechnungen'!$G:$G,'13_Ausgangsrechnungen'!$C:$C,A282))</f>
        <v/>
      </c>
      <c r="X282" s="15">
        <f>IF(A282="","",SUMIFS('11_Material'!$L:$L,'11_Material'!$C:$C,A282))</f>
        <v/>
      </c>
      <c r="Y282" s="15">
        <f>IF(A282="","",SUMIFS('14_Eingangsrechnungen'!$F:$F,'14_Eingangsrechnungen'!$C:$C,A282,'14_Eingangsrechnungen'!$E:$E,"Nachunternehmer"))</f>
        <v/>
      </c>
      <c r="Z282" s="15">
        <f>IF(A282="","",SUMIFS('10_Stunden'!$K:$K,'10_Stunden'!$C:$C,A282))</f>
        <v/>
      </c>
      <c r="AA282" s="15">
        <f>IF(A282="","",X282+Y282+Z282+SUMIFS('14_Eingangsrechnungen'!$F:$F,'14_Eingangsrechnungen'!$C:$C,A282,'14_Eingangsrechnungen'!$E:$E,"Gerät")+SUMIFS('14_Eingangsrechnungen'!$F:$F,'14_Eingangsrechnungen'!$C:$C,A282,'14_Eingangsrechnungen'!$E:$E,"Dienstleistung"))</f>
        <v/>
      </c>
      <c r="AB282" s="15">
        <f>IF(A282="","",W282-AA282)</f>
        <v/>
      </c>
      <c r="AC282" s="19">
        <f>IF(OR(A282="",W282=0),"",AB282/W282)</f>
        <v/>
      </c>
      <c r="AD282" s="19">
        <f>IF(OR(A282="",V282=0),"",W282/V282)</f>
        <v/>
      </c>
      <c r="AE282" s="15">
        <f>IF(A282="","",MAX(0,V282-W282))</f>
        <v/>
      </c>
      <c r="AF282" s="15">
        <f>IF(A282="","",SUMIFS('13_Ausgangsrechnungen'!$R:$R,'13_Ausgangsrechnungen'!$C:$C,A282))</f>
        <v/>
      </c>
    </row>
    <row r="283">
      <c r="A283" s="30" t="inlineStr"/>
      <c r="B283" s="30" t="inlineStr"/>
      <c r="C283" s="30" t="inlineStr"/>
      <c r="D283" s="30" t="inlineStr"/>
      <c r="E283" s="30" t="inlineStr"/>
      <c r="F283" s="30" t="inlineStr"/>
      <c r="G283" s="38" t="inlineStr"/>
      <c r="H283" s="38" t="inlineStr"/>
      <c r="I283" s="38" t="inlineStr"/>
      <c r="J283" s="34" t="inlineStr"/>
      <c r="K283" s="34" t="inlineStr"/>
      <c r="L283" s="34" t="inlineStr"/>
      <c r="M283" s="34" t="inlineStr"/>
      <c r="N283" s="34" t="inlineStr"/>
      <c r="O283" s="34" t="inlineStr"/>
      <c r="P283" s="32" t="inlineStr"/>
      <c r="Q283" s="30" t="inlineStr"/>
      <c r="R283" s="30" t="inlineStr"/>
      <c r="S283" s="30" t="inlineStr"/>
      <c r="T283" s="30" t="inlineStr"/>
      <c r="U283" s="15">
        <f>IF(A283="","",SUMIFS('07_Nachtraege'!$E:$E,'07_Nachtraege'!$B:$B,A283,'07_Nachtraege'!$F:$F,"beauftragt"))</f>
        <v/>
      </c>
      <c r="V283" s="15">
        <f>IF(A283="","",J283+U283)</f>
        <v/>
      </c>
      <c r="W283" s="15">
        <f>IF(A283="","",SUMIFS('13_Ausgangsrechnungen'!$G:$G,'13_Ausgangsrechnungen'!$C:$C,A283))</f>
        <v/>
      </c>
      <c r="X283" s="15">
        <f>IF(A283="","",SUMIFS('11_Material'!$L:$L,'11_Material'!$C:$C,A283))</f>
        <v/>
      </c>
      <c r="Y283" s="15">
        <f>IF(A283="","",SUMIFS('14_Eingangsrechnungen'!$F:$F,'14_Eingangsrechnungen'!$C:$C,A283,'14_Eingangsrechnungen'!$E:$E,"Nachunternehmer"))</f>
        <v/>
      </c>
      <c r="Z283" s="15">
        <f>IF(A283="","",SUMIFS('10_Stunden'!$K:$K,'10_Stunden'!$C:$C,A283))</f>
        <v/>
      </c>
      <c r="AA283" s="15">
        <f>IF(A283="","",X283+Y283+Z283+SUMIFS('14_Eingangsrechnungen'!$F:$F,'14_Eingangsrechnungen'!$C:$C,A283,'14_Eingangsrechnungen'!$E:$E,"Gerät")+SUMIFS('14_Eingangsrechnungen'!$F:$F,'14_Eingangsrechnungen'!$C:$C,A283,'14_Eingangsrechnungen'!$E:$E,"Dienstleistung"))</f>
        <v/>
      </c>
      <c r="AB283" s="15">
        <f>IF(A283="","",W283-AA283)</f>
        <v/>
      </c>
      <c r="AC283" s="19">
        <f>IF(OR(A283="",W283=0),"",AB283/W283)</f>
        <v/>
      </c>
      <c r="AD283" s="19">
        <f>IF(OR(A283="",V283=0),"",W283/V283)</f>
        <v/>
      </c>
      <c r="AE283" s="15">
        <f>IF(A283="","",MAX(0,V283-W283))</f>
        <v/>
      </c>
      <c r="AF283" s="15">
        <f>IF(A283="","",SUMIFS('13_Ausgangsrechnungen'!$R:$R,'13_Ausgangsrechnungen'!$C:$C,A283))</f>
        <v/>
      </c>
    </row>
    <row r="284">
      <c r="A284" s="30" t="inlineStr"/>
      <c r="B284" s="30" t="inlineStr"/>
      <c r="C284" s="30" t="inlineStr"/>
      <c r="D284" s="30" t="inlineStr"/>
      <c r="E284" s="30" t="inlineStr"/>
      <c r="F284" s="30" t="inlineStr"/>
      <c r="G284" s="38" t="inlineStr"/>
      <c r="H284" s="38" t="inlineStr"/>
      <c r="I284" s="38" t="inlineStr"/>
      <c r="J284" s="34" t="inlineStr"/>
      <c r="K284" s="34" t="inlineStr"/>
      <c r="L284" s="34" t="inlineStr"/>
      <c r="M284" s="34" t="inlineStr"/>
      <c r="N284" s="34" t="inlineStr"/>
      <c r="O284" s="34" t="inlineStr"/>
      <c r="P284" s="32" t="inlineStr"/>
      <c r="Q284" s="30" t="inlineStr"/>
      <c r="R284" s="30" t="inlineStr"/>
      <c r="S284" s="30" t="inlineStr"/>
      <c r="T284" s="30" t="inlineStr"/>
      <c r="U284" s="15">
        <f>IF(A284="","",SUMIFS('07_Nachtraege'!$E:$E,'07_Nachtraege'!$B:$B,A284,'07_Nachtraege'!$F:$F,"beauftragt"))</f>
        <v/>
      </c>
      <c r="V284" s="15">
        <f>IF(A284="","",J284+U284)</f>
        <v/>
      </c>
      <c r="W284" s="15">
        <f>IF(A284="","",SUMIFS('13_Ausgangsrechnungen'!$G:$G,'13_Ausgangsrechnungen'!$C:$C,A284))</f>
        <v/>
      </c>
      <c r="X284" s="15">
        <f>IF(A284="","",SUMIFS('11_Material'!$L:$L,'11_Material'!$C:$C,A284))</f>
        <v/>
      </c>
      <c r="Y284" s="15">
        <f>IF(A284="","",SUMIFS('14_Eingangsrechnungen'!$F:$F,'14_Eingangsrechnungen'!$C:$C,A284,'14_Eingangsrechnungen'!$E:$E,"Nachunternehmer"))</f>
        <v/>
      </c>
      <c r="Z284" s="15">
        <f>IF(A284="","",SUMIFS('10_Stunden'!$K:$K,'10_Stunden'!$C:$C,A284))</f>
        <v/>
      </c>
      <c r="AA284" s="15">
        <f>IF(A284="","",X284+Y284+Z284+SUMIFS('14_Eingangsrechnungen'!$F:$F,'14_Eingangsrechnungen'!$C:$C,A284,'14_Eingangsrechnungen'!$E:$E,"Gerät")+SUMIFS('14_Eingangsrechnungen'!$F:$F,'14_Eingangsrechnungen'!$C:$C,A284,'14_Eingangsrechnungen'!$E:$E,"Dienstleistung"))</f>
        <v/>
      </c>
      <c r="AB284" s="15">
        <f>IF(A284="","",W284-AA284)</f>
        <v/>
      </c>
      <c r="AC284" s="19">
        <f>IF(OR(A284="",W284=0),"",AB284/W284)</f>
        <v/>
      </c>
      <c r="AD284" s="19">
        <f>IF(OR(A284="",V284=0),"",W284/V284)</f>
        <v/>
      </c>
      <c r="AE284" s="15">
        <f>IF(A284="","",MAX(0,V284-W284))</f>
        <v/>
      </c>
      <c r="AF284" s="15">
        <f>IF(A284="","",SUMIFS('13_Ausgangsrechnungen'!$R:$R,'13_Ausgangsrechnungen'!$C:$C,A284))</f>
        <v/>
      </c>
    </row>
    <row r="285">
      <c r="A285" s="30" t="inlineStr"/>
      <c r="B285" s="30" t="inlineStr"/>
      <c r="C285" s="30" t="inlineStr"/>
      <c r="D285" s="30" t="inlineStr"/>
      <c r="E285" s="30" t="inlineStr"/>
      <c r="F285" s="30" t="inlineStr"/>
      <c r="G285" s="38" t="inlineStr"/>
      <c r="H285" s="38" t="inlineStr"/>
      <c r="I285" s="38" t="inlineStr"/>
      <c r="J285" s="34" t="inlineStr"/>
      <c r="K285" s="34" t="inlineStr"/>
      <c r="L285" s="34" t="inlineStr"/>
      <c r="M285" s="34" t="inlineStr"/>
      <c r="N285" s="34" t="inlineStr"/>
      <c r="O285" s="34" t="inlineStr"/>
      <c r="P285" s="32" t="inlineStr"/>
      <c r="Q285" s="30" t="inlineStr"/>
      <c r="R285" s="30" t="inlineStr"/>
      <c r="S285" s="30" t="inlineStr"/>
      <c r="T285" s="30" t="inlineStr"/>
      <c r="U285" s="15">
        <f>IF(A285="","",SUMIFS('07_Nachtraege'!$E:$E,'07_Nachtraege'!$B:$B,A285,'07_Nachtraege'!$F:$F,"beauftragt"))</f>
        <v/>
      </c>
      <c r="V285" s="15">
        <f>IF(A285="","",J285+U285)</f>
        <v/>
      </c>
      <c r="W285" s="15">
        <f>IF(A285="","",SUMIFS('13_Ausgangsrechnungen'!$G:$G,'13_Ausgangsrechnungen'!$C:$C,A285))</f>
        <v/>
      </c>
      <c r="X285" s="15">
        <f>IF(A285="","",SUMIFS('11_Material'!$L:$L,'11_Material'!$C:$C,A285))</f>
        <v/>
      </c>
      <c r="Y285" s="15">
        <f>IF(A285="","",SUMIFS('14_Eingangsrechnungen'!$F:$F,'14_Eingangsrechnungen'!$C:$C,A285,'14_Eingangsrechnungen'!$E:$E,"Nachunternehmer"))</f>
        <v/>
      </c>
      <c r="Z285" s="15">
        <f>IF(A285="","",SUMIFS('10_Stunden'!$K:$K,'10_Stunden'!$C:$C,A285))</f>
        <v/>
      </c>
      <c r="AA285" s="15">
        <f>IF(A285="","",X285+Y285+Z285+SUMIFS('14_Eingangsrechnungen'!$F:$F,'14_Eingangsrechnungen'!$C:$C,A285,'14_Eingangsrechnungen'!$E:$E,"Gerät")+SUMIFS('14_Eingangsrechnungen'!$F:$F,'14_Eingangsrechnungen'!$C:$C,A285,'14_Eingangsrechnungen'!$E:$E,"Dienstleistung"))</f>
        <v/>
      </c>
      <c r="AB285" s="15">
        <f>IF(A285="","",W285-AA285)</f>
        <v/>
      </c>
      <c r="AC285" s="19">
        <f>IF(OR(A285="",W285=0),"",AB285/W285)</f>
        <v/>
      </c>
      <c r="AD285" s="19">
        <f>IF(OR(A285="",V285=0),"",W285/V285)</f>
        <v/>
      </c>
      <c r="AE285" s="15">
        <f>IF(A285="","",MAX(0,V285-W285))</f>
        <v/>
      </c>
      <c r="AF285" s="15">
        <f>IF(A285="","",SUMIFS('13_Ausgangsrechnungen'!$R:$R,'13_Ausgangsrechnungen'!$C:$C,A285))</f>
        <v/>
      </c>
    </row>
    <row r="286">
      <c r="A286" s="30" t="inlineStr"/>
      <c r="B286" s="30" t="inlineStr"/>
      <c r="C286" s="30" t="inlineStr"/>
      <c r="D286" s="30" t="inlineStr"/>
      <c r="E286" s="30" t="inlineStr"/>
      <c r="F286" s="30" t="inlineStr"/>
      <c r="G286" s="38" t="inlineStr"/>
      <c r="H286" s="38" t="inlineStr"/>
      <c r="I286" s="38" t="inlineStr"/>
      <c r="J286" s="34" t="inlineStr"/>
      <c r="K286" s="34" t="inlineStr"/>
      <c r="L286" s="34" t="inlineStr"/>
      <c r="M286" s="34" t="inlineStr"/>
      <c r="N286" s="34" t="inlineStr"/>
      <c r="O286" s="34" t="inlineStr"/>
      <c r="P286" s="32" t="inlineStr"/>
      <c r="Q286" s="30" t="inlineStr"/>
      <c r="R286" s="30" t="inlineStr"/>
      <c r="S286" s="30" t="inlineStr"/>
      <c r="T286" s="30" t="inlineStr"/>
      <c r="U286" s="15">
        <f>IF(A286="","",SUMIFS('07_Nachtraege'!$E:$E,'07_Nachtraege'!$B:$B,A286,'07_Nachtraege'!$F:$F,"beauftragt"))</f>
        <v/>
      </c>
      <c r="V286" s="15">
        <f>IF(A286="","",J286+U286)</f>
        <v/>
      </c>
      <c r="W286" s="15">
        <f>IF(A286="","",SUMIFS('13_Ausgangsrechnungen'!$G:$G,'13_Ausgangsrechnungen'!$C:$C,A286))</f>
        <v/>
      </c>
      <c r="X286" s="15">
        <f>IF(A286="","",SUMIFS('11_Material'!$L:$L,'11_Material'!$C:$C,A286))</f>
        <v/>
      </c>
      <c r="Y286" s="15">
        <f>IF(A286="","",SUMIFS('14_Eingangsrechnungen'!$F:$F,'14_Eingangsrechnungen'!$C:$C,A286,'14_Eingangsrechnungen'!$E:$E,"Nachunternehmer"))</f>
        <v/>
      </c>
      <c r="Z286" s="15">
        <f>IF(A286="","",SUMIFS('10_Stunden'!$K:$K,'10_Stunden'!$C:$C,A286))</f>
        <v/>
      </c>
      <c r="AA286" s="15">
        <f>IF(A286="","",X286+Y286+Z286+SUMIFS('14_Eingangsrechnungen'!$F:$F,'14_Eingangsrechnungen'!$C:$C,A286,'14_Eingangsrechnungen'!$E:$E,"Gerät")+SUMIFS('14_Eingangsrechnungen'!$F:$F,'14_Eingangsrechnungen'!$C:$C,A286,'14_Eingangsrechnungen'!$E:$E,"Dienstleistung"))</f>
        <v/>
      </c>
      <c r="AB286" s="15">
        <f>IF(A286="","",W286-AA286)</f>
        <v/>
      </c>
      <c r="AC286" s="19">
        <f>IF(OR(A286="",W286=0),"",AB286/W286)</f>
        <v/>
      </c>
      <c r="AD286" s="19">
        <f>IF(OR(A286="",V286=0),"",W286/V286)</f>
        <v/>
      </c>
      <c r="AE286" s="15">
        <f>IF(A286="","",MAX(0,V286-W286))</f>
        <v/>
      </c>
      <c r="AF286" s="15">
        <f>IF(A286="","",SUMIFS('13_Ausgangsrechnungen'!$R:$R,'13_Ausgangsrechnungen'!$C:$C,A286))</f>
        <v/>
      </c>
    </row>
    <row r="287">
      <c r="A287" s="30" t="inlineStr"/>
      <c r="B287" s="30" t="inlineStr"/>
      <c r="C287" s="30" t="inlineStr"/>
      <c r="D287" s="30" t="inlineStr"/>
      <c r="E287" s="30" t="inlineStr"/>
      <c r="F287" s="30" t="inlineStr"/>
      <c r="G287" s="38" t="inlineStr"/>
      <c r="H287" s="38" t="inlineStr"/>
      <c r="I287" s="38" t="inlineStr"/>
      <c r="J287" s="34" t="inlineStr"/>
      <c r="K287" s="34" t="inlineStr"/>
      <c r="L287" s="34" t="inlineStr"/>
      <c r="M287" s="34" t="inlineStr"/>
      <c r="N287" s="34" t="inlineStr"/>
      <c r="O287" s="34" t="inlineStr"/>
      <c r="P287" s="32" t="inlineStr"/>
      <c r="Q287" s="30" t="inlineStr"/>
      <c r="R287" s="30" t="inlineStr"/>
      <c r="S287" s="30" t="inlineStr"/>
      <c r="T287" s="30" t="inlineStr"/>
      <c r="U287" s="15">
        <f>IF(A287="","",SUMIFS('07_Nachtraege'!$E:$E,'07_Nachtraege'!$B:$B,A287,'07_Nachtraege'!$F:$F,"beauftragt"))</f>
        <v/>
      </c>
      <c r="V287" s="15">
        <f>IF(A287="","",J287+U287)</f>
        <v/>
      </c>
      <c r="W287" s="15">
        <f>IF(A287="","",SUMIFS('13_Ausgangsrechnungen'!$G:$G,'13_Ausgangsrechnungen'!$C:$C,A287))</f>
        <v/>
      </c>
      <c r="X287" s="15">
        <f>IF(A287="","",SUMIFS('11_Material'!$L:$L,'11_Material'!$C:$C,A287))</f>
        <v/>
      </c>
      <c r="Y287" s="15">
        <f>IF(A287="","",SUMIFS('14_Eingangsrechnungen'!$F:$F,'14_Eingangsrechnungen'!$C:$C,A287,'14_Eingangsrechnungen'!$E:$E,"Nachunternehmer"))</f>
        <v/>
      </c>
      <c r="Z287" s="15">
        <f>IF(A287="","",SUMIFS('10_Stunden'!$K:$K,'10_Stunden'!$C:$C,A287))</f>
        <v/>
      </c>
      <c r="AA287" s="15">
        <f>IF(A287="","",X287+Y287+Z287+SUMIFS('14_Eingangsrechnungen'!$F:$F,'14_Eingangsrechnungen'!$C:$C,A287,'14_Eingangsrechnungen'!$E:$E,"Gerät")+SUMIFS('14_Eingangsrechnungen'!$F:$F,'14_Eingangsrechnungen'!$C:$C,A287,'14_Eingangsrechnungen'!$E:$E,"Dienstleistung"))</f>
        <v/>
      </c>
      <c r="AB287" s="15">
        <f>IF(A287="","",W287-AA287)</f>
        <v/>
      </c>
      <c r="AC287" s="19">
        <f>IF(OR(A287="",W287=0),"",AB287/W287)</f>
        <v/>
      </c>
      <c r="AD287" s="19">
        <f>IF(OR(A287="",V287=0),"",W287/V287)</f>
        <v/>
      </c>
      <c r="AE287" s="15">
        <f>IF(A287="","",MAX(0,V287-W287))</f>
        <v/>
      </c>
      <c r="AF287" s="15">
        <f>IF(A287="","",SUMIFS('13_Ausgangsrechnungen'!$R:$R,'13_Ausgangsrechnungen'!$C:$C,A287))</f>
        <v/>
      </c>
    </row>
    <row r="288">
      <c r="A288" s="30" t="inlineStr"/>
      <c r="B288" s="30" t="inlineStr"/>
      <c r="C288" s="30" t="inlineStr"/>
      <c r="D288" s="30" t="inlineStr"/>
      <c r="E288" s="30" t="inlineStr"/>
      <c r="F288" s="30" t="inlineStr"/>
      <c r="G288" s="38" t="inlineStr"/>
      <c r="H288" s="38" t="inlineStr"/>
      <c r="I288" s="38" t="inlineStr"/>
      <c r="J288" s="34" t="inlineStr"/>
      <c r="K288" s="34" t="inlineStr"/>
      <c r="L288" s="34" t="inlineStr"/>
      <c r="M288" s="34" t="inlineStr"/>
      <c r="N288" s="34" t="inlineStr"/>
      <c r="O288" s="34" t="inlineStr"/>
      <c r="P288" s="32" t="inlineStr"/>
      <c r="Q288" s="30" t="inlineStr"/>
      <c r="R288" s="30" t="inlineStr"/>
      <c r="S288" s="30" t="inlineStr"/>
      <c r="T288" s="30" t="inlineStr"/>
      <c r="U288" s="15">
        <f>IF(A288="","",SUMIFS('07_Nachtraege'!$E:$E,'07_Nachtraege'!$B:$B,A288,'07_Nachtraege'!$F:$F,"beauftragt"))</f>
        <v/>
      </c>
      <c r="V288" s="15">
        <f>IF(A288="","",J288+U288)</f>
        <v/>
      </c>
      <c r="W288" s="15">
        <f>IF(A288="","",SUMIFS('13_Ausgangsrechnungen'!$G:$G,'13_Ausgangsrechnungen'!$C:$C,A288))</f>
        <v/>
      </c>
      <c r="X288" s="15">
        <f>IF(A288="","",SUMIFS('11_Material'!$L:$L,'11_Material'!$C:$C,A288))</f>
        <v/>
      </c>
      <c r="Y288" s="15">
        <f>IF(A288="","",SUMIFS('14_Eingangsrechnungen'!$F:$F,'14_Eingangsrechnungen'!$C:$C,A288,'14_Eingangsrechnungen'!$E:$E,"Nachunternehmer"))</f>
        <v/>
      </c>
      <c r="Z288" s="15">
        <f>IF(A288="","",SUMIFS('10_Stunden'!$K:$K,'10_Stunden'!$C:$C,A288))</f>
        <v/>
      </c>
      <c r="AA288" s="15">
        <f>IF(A288="","",X288+Y288+Z288+SUMIFS('14_Eingangsrechnungen'!$F:$F,'14_Eingangsrechnungen'!$C:$C,A288,'14_Eingangsrechnungen'!$E:$E,"Gerät")+SUMIFS('14_Eingangsrechnungen'!$F:$F,'14_Eingangsrechnungen'!$C:$C,A288,'14_Eingangsrechnungen'!$E:$E,"Dienstleistung"))</f>
        <v/>
      </c>
      <c r="AB288" s="15">
        <f>IF(A288="","",W288-AA288)</f>
        <v/>
      </c>
      <c r="AC288" s="19">
        <f>IF(OR(A288="",W288=0),"",AB288/W288)</f>
        <v/>
      </c>
      <c r="AD288" s="19">
        <f>IF(OR(A288="",V288=0),"",W288/V288)</f>
        <v/>
      </c>
      <c r="AE288" s="15">
        <f>IF(A288="","",MAX(0,V288-W288))</f>
        <v/>
      </c>
      <c r="AF288" s="15">
        <f>IF(A288="","",SUMIFS('13_Ausgangsrechnungen'!$R:$R,'13_Ausgangsrechnungen'!$C:$C,A288))</f>
        <v/>
      </c>
    </row>
    <row r="289">
      <c r="A289" s="30" t="inlineStr"/>
      <c r="B289" s="30" t="inlineStr"/>
      <c r="C289" s="30" t="inlineStr"/>
      <c r="D289" s="30" t="inlineStr"/>
      <c r="E289" s="30" t="inlineStr"/>
      <c r="F289" s="30" t="inlineStr"/>
      <c r="G289" s="38" t="inlineStr"/>
      <c r="H289" s="38" t="inlineStr"/>
      <c r="I289" s="38" t="inlineStr"/>
      <c r="J289" s="34" t="inlineStr"/>
      <c r="K289" s="34" t="inlineStr"/>
      <c r="L289" s="34" t="inlineStr"/>
      <c r="M289" s="34" t="inlineStr"/>
      <c r="N289" s="34" t="inlineStr"/>
      <c r="O289" s="34" t="inlineStr"/>
      <c r="P289" s="32" t="inlineStr"/>
      <c r="Q289" s="30" t="inlineStr"/>
      <c r="R289" s="30" t="inlineStr"/>
      <c r="S289" s="30" t="inlineStr"/>
      <c r="T289" s="30" t="inlineStr"/>
      <c r="U289" s="15">
        <f>IF(A289="","",SUMIFS('07_Nachtraege'!$E:$E,'07_Nachtraege'!$B:$B,A289,'07_Nachtraege'!$F:$F,"beauftragt"))</f>
        <v/>
      </c>
      <c r="V289" s="15">
        <f>IF(A289="","",J289+U289)</f>
        <v/>
      </c>
      <c r="W289" s="15">
        <f>IF(A289="","",SUMIFS('13_Ausgangsrechnungen'!$G:$G,'13_Ausgangsrechnungen'!$C:$C,A289))</f>
        <v/>
      </c>
      <c r="X289" s="15">
        <f>IF(A289="","",SUMIFS('11_Material'!$L:$L,'11_Material'!$C:$C,A289))</f>
        <v/>
      </c>
      <c r="Y289" s="15">
        <f>IF(A289="","",SUMIFS('14_Eingangsrechnungen'!$F:$F,'14_Eingangsrechnungen'!$C:$C,A289,'14_Eingangsrechnungen'!$E:$E,"Nachunternehmer"))</f>
        <v/>
      </c>
      <c r="Z289" s="15">
        <f>IF(A289="","",SUMIFS('10_Stunden'!$K:$K,'10_Stunden'!$C:$C,A289))</f>
        <v/>
      </c>
      <c r="AA289" s="15">
        <f>IF(A289="","",X289+Y289+Z289+SUMIFS('14_Eingangsrechnungen'!$F:$F,'14_Eingangsrechnungen'!$C:$C,A289,'14_Eingangsrechnungen'!$E:$E,"Gerät")+SUMIFS('14_Eingangsrechnungen'!$F:$F,'14_Eingangsrechnungen'!$C:$C,A289,'14_Eingangsrechnungen'!$E:$E,"Dienstleistung"))</f>
        <v/>
      </c>
      <c r="AB289" s="15">
        <f>IF(A289="","",W289-AA289)</f>
        <v/>
      </c>
      <c r="AC289" s="19">
        <f>IF(OR(A289="",W289=0),"",AB289/W289)</f>
        <v/>
      </c>
      <c r="AD289" s="19">
        <f>IF(OR(A289="",V289=0),"",W289/V289)</f>
        <v/>
      </c>
      <c r="AE289" s="15">
        <f>IF(A289="","",MAX(0,V289-W289))</f>
        <v/>
      </c>
      <c r="AF289" s="15">
        <f>IF(A289="","",SUMIFS('13_Ausgangsrechnungen'!$R:$R,'13_Ausgangsrechnungen'!$C:$C,A289))</f>
        <v/>
      </c>
    </row>
    <row r="290">
      <c r="A290" s="30" t="inlineStr"/>
      <c r="B290" s="30" t="inlineStr"/>
      <c r="C290" s="30" t="inlineStr"/>
      <c r="D290" s="30" t="inlineStr"/>
      <c r="E290" s="30" t="inlineStr"/>
      <c r="F290" s="30" t="inlineStr"/>
      <c r="G290" s="38" t="inlineStr"/>
      <c r="H290" s="38" t="inlineStr"/>
      <c r="I290" s="38" t="inlineStr"/>
      <c r="J290" s="34" t="inlineStr"/>
      <c r="K290" s="34" t="inlineStr"/>
      <c r="L290" s="34" t="inlineStr"/>
      <c r="M290" s="34" t="inlineStr"/>
      <c r="N290" s="34" t="inlineStr"/>
      <c r="O290" s="34" t="inlineStr"/>
      <c r="P290" s="32" t="inlineStr"/>
      <c r="Q290" s="30" t="inlineStr"/>
      <c r="R290" s="30" t="inlineStr"/>
      <c r="S290" s="30" t="inlineStr"/>
      <c r="T290" s="30" t="inlineStr"/>
      <c r="U290" s="15">
        <f>IF(A290="","",SUMIFS('07_Nachtraege'!$E:$E,'07_Nachtraege'!$B:$B,A290,'07_Nachtraege'!$F:$F,"beauftragt"))</f>
        <v/>
      </c>
      <c r="V290" s="15">
        <f>IF(A290="","",J290+U290)</f>
        <v/>
      </c>
      <c r="W290" s="15">
        <f>IF(A290="","",SUMIFS('13_Ausgangsrechnungen'!$G:$G,'13_Ausgangsrechnungen'!$C:$C,A290))</f>
        <v/>
      </c>
      <c r="X290" s="15">
        <f>IF(A290="","",SUMIFS('11_Material'!$L:$L,'11_Material'!$C:$C,A290))</f>
        <v/>
      </c>
      <c r="Y290" s="15">
        <f>IF(A290="","",SUMIFS('14_Eingangsrechnungen'!$F:$F,'14_Eingangsrechnungen'!$C:$C,A290,'14_Eingangsrechnungen'!$E:$E,"Nachunternehmer"))</f>
        <v/>
      </c>
      <c r="Z290" s="15">
        <f>IF(A290="","",SUMIFS('10_Stunden'!$K:$K,'10_Stunden'!$C:$C,A290))</f>
        <v/>
      </c>
      <c r="AA290" s="15">
        <f>IF(A290="","",X290+Y290+Z290+SUMIFS('14_Eingangsrechnungen'!$F:$F,'14_Eingangsrechnungen'!$C:$C,A290,'14_Eingangsrechnungen'!$E:$E,"Gerät")+SUMIFS('14_Eingangsrechnungen'!$F:$F,'14_Eingangsrechnungen'!$C:$C,A290,'14_Eingangsrechnungen'!$E:$E,"Dienstleistung"))</f>
        <v/>
      </c>
      <c r="AB290" s="15">
        <f>IF(A290="","",W290-AA290)</f>
        <v/>
      </c>
      <c r="AC290" s="19">
        <f>IF(OR(A290="",W290=0),"",AB290/W290)</f>
        <v/>
      </c>
      <c r="AD290" s="19">
        <f>IF(OR(A290="",V290=0),"",W290/V290)</f>
        <v/>
      </c>
      <c r="AE290" s="15">
        <f>IF(A290="","",MAX(0,V290-W290))</f>
        <v/>
      </c>
      <c r="AF290" s="15">
        <f>IF(A290="","",SUMIFS('13_Ausgangsrechnungen'!$R:$R,'13_Ausgangsrechnungen'!$C:$C,A290))</f>
        <v/>
      </c>
    </row>
    <row r="291">
      <c r="A291" s="30" t="inlineStr"/>
      <c r="B291" s="30" t="inlineStr"/>
      <c r="C291" s="30" t="inlineStr"/>
      <c r="D291" s="30" t="inlineStr"/>
      <c r="E291" s="30" t="inlineStr"/>
      <c r="F291" s="30" t="inlineStr"/>
      <c r="G291" s="38" t="inlineStr"/>
      <c r="H291" s="38" t="inlineStr"/>
      <c r="I291" s="38" t="inlineStr"/>
      <c r="J291" s="34" t="inlineStr"/>
      <c r="K291" s="34" t="inlineStr"/>
      <c r="L291" s="34" t="inlineStr"/>
      <c r="M291" s="34" t="inlineStr"/>
      <c r="N291" s="34" t="inlineStr"/>
      <c r="O291" s="34" t="inlineStr"/>
      <c r="P291" s="32" t="inlineStr"/>
      <c r="Q291" s="30" t="inlineStr"/>
      <c r="R291" s="30" t="inlineStr"/>
      <c r="S291" s="30" t="inlineStr"/>
      <c r="T291" s="30" t="inlineStr"/>
      <c r="U291" s="15">
        <f>IF(A291="","",SUMIFS('07_Nachtraege'!$E:$E,'07_Nachtraege'!$B:$B,A291,'07_Nachtraege'!$F:$F,"beauftragt"))</f>
        <v/>
      </c>
      <c r="V291" s="15">
        <f>IF(A291="","",J291+U291)</f>
        <v/>
      </c>
      <c r="W291" s="15">
        <f>IF(A291="","",SUMIFS('13_Ausgangsrechnungen'!$G:$G,'13_Ausgangsrechnungen'!$C:$C,A291))</f>
        <v/>
      </c>
      <c r="X291" s="15">
        <f>IF(A291="","",SUMIFS('11_Material'!$L:$L,'11_Material'!$C:$C,A291))</f>
        <v/>
      </c>
      <c r="Y291" s="15">
        <f>IF(A291="","",SUMIFS('14_Eingangsrechnungen'!$F:$F,'14_Eingangsrechnungen'!$C:$C,A291,'14_Eingangsrechnungen'!$E:$E,"Nachunternehmer"))</f>
        <v/>
      </c>
      <c r="Z291" s="15">
        <f>IF(A291="","",SUMIFS('10_Stunden'!$K:$K,'10_Stunden'!$C:$C,A291))</f>
        <v/>
      </c>
      <c r="AA291" s="15">
        <f>IF(A291="","",X291+Y291+Z291+SUMIFS('14_Eingangsrechnungen'!$F:$F,'14_Eingangsrechnungen'!$C:$C,A291,'14_Eingangsrechnungen'!$E:$E,"Gerät")+SUMIFS('14_Eingangsrechnungen'!$F:$F,'14_Eingangsrechnungen'!$C:$C,A291,'14_Eingangsrechnungen'!$E:$E,"Dienstleistung"))</f>
        <v/>
      </c>
      <c r="AB291" s="15">
        <f>IF(A291="","",W291-AA291)</f>
        <v/>
      </c>
      <c r="AC291" s="19">
        <f>IF(OR(A291="",W291=0),"",AB291/W291)</f>
        <v/>
      </c>
      <c r="AD291" s="19">
        <f>IF(OR(A291="",V291=0),"",W291/V291)</f>
        <v/>
      </c>
      <c r="AE291" s="15">
        <f>IF(A291="","",MAX(0,V291-W291))</f>
        <v/>
      </c>
      <c r="AF291" s="15">
        <f>IF(A291="","",SUMIFS('13_Ausgangsrechnungen'!$R:$R,'13_Ausgangsrechnungen'!$C:$C,A291))</f>
        <v/>
      </c>
    </row>
    <row r="292">
      <c r="A292" s="30" t="inlineStr"/>
      <c r="B292" s="30" t="inlineStr"/>
      <c r="C292" s="30" t="inlineStr"/>
      <c r="D292" s="30" t="inlineStr"/>
      <c r="E292" s="30" t="inlineStr"/>
      <c r="F292" s="30" t="inlineStr"/>
      <c r="G292" s="38" t="inlineStr"/>
      <c r="H292" s="38" t="inlineStr"/>
      <c r="I292" s="38" t="inlineStr"/>
      <c r="J292" s="34" t="inlineStr"/>
      <c r="K292" s="34" t="inlineStr"/>
      <c r="L292" s="34" t="inlineStr"/>
      <c r="M292" s="34" t="inlineStr"/>
      <c r="N292" s="34" t="inlineStr"/>
      <c r="O292" s="34" t="inlineStr"/>
      <c r="P292" s="32" t="inlineStr"/>
      <c r="Q292" s="30" t="inlineStr"/>
      <c r="R292" s="30" t="inlineStr"/>
      <c r="S292" s="30" t="inlineStr"/>
      <c r="T292" s="30" t="inlineStr"/>
      <c r="U292" s="15">
        <f>IF(A292="","",SUMIFS('07_Nachtraege'!$E:$E,'07_Nachtraege'!$B:$B,A292,'07_Nachtraege'!$F:$F,"beauftragt"))</f>
        <v/>
      </c>
      <c r="V292" s="15">
        <f>IF(A292="","",J292+U292)</f>
        <v/>
      </c>
      <c r="W292" s="15">
        <f>IF(A292="","",SUMIFS('13_Ausgangsrechnungen'!$G:$G,'13_Ausgangsrechnungen'!$C:$C,A292))</f>
        <v/>
      </c>
      <c r="X292" s="15">
        <f>IF(A292="","",SUMIFS('11_Material'!$L:$L,'11_Material'!$C:$C,A292))</f>
        <v/>
      </c>
      <c r="Y292" s="15">
        <f>IF(A292="","",SUMIFS('14_Eingangsrechnungen'!$F:$F,'14_Eingangsrechnungen'!$C:$C,A292,'14_Eingangsrechnungen'!$E:$E,"Nachunternehmer"))</f>
        <v/>
      </c>
      <c r="Z292" s="15">
        <f>IF(A292="","",SUMIFS('10_Stunden'!$K:$K,'10_Stunden'!$C:$C,A292))</f>
        <v/>
      </c>
      <c r="AA292" s="15">
        <f>IF(A292="","",X292+Y292+Z292+SUMIFS('14_Eingangsrechnungen'!$F:$F,'14_Eingangsrechnungen'!$C:$C,A292,'14_Eingangsrechnungen'!$E:$E,"Gerät")+SUMIFS('14_Eingangsrechnungen'!$F:$F,'14_Eingangsrechnungen'!$C:$C,A292,'14_Eingangsrechnungen'!$E:$E,"Dienstleistung"))</f>
        <v/>
      </c>
      <c r="AB292" s="15">
        <f>IF(A292="","",W292-AA292)</f>
        <v/>
      </c>
      <c r="AC292" s="19">
        <f>IF(OR(A292="",W292=0),"",AB292/W292)</f>
        <v/>
      </c>
      <c r="AD292" s="19">
        <f>IF(OR(A292="",V292=0),"",W292/V292)</f>
        <v/>
      </c>
      <c r="AE292" s="15">
        <f>IF(A292="","",MAX(0,V292-W292))</f>
        <v/>
      </c>
      <c r="AF292" s="15">
        <f>IF(A292="","",SUMIFS('13_Ausgangsrechnungen'!$R:$R,'13_Ausgangsrechnungen'!$C:$C,A292))</f>
        <v/>
      </c>
    </row>
    <row r="293">
      <c r="A293" s="30" t="inlineStr"/>
      <c r="B293" s="30" t="inlineStr"/>
      <c r="C293" s="30" t="inlineStr"/>
      <c r="D293" s="30" t="inlineStr"/>
      <c r="E293" s="30" t="inlineStr"/>
      <c r="F293" s="30" t="inlineStr"/>
      <c r="G293" s="38" t="inlineStr"/>
      <c r="H293" s="38" t="inlineStr"/>
      <c r="I293" s="38" t="inlineStr"/>
      <c r="J293" s="34" t="inlineStr"/>
      <c r="K293" s="34" t="inlineStr"/>
      <c r="L293" s="34" t="inlineStr"/>
      <c r="M293" s="34" t="inlineStr"/>
      <c r="N293" s="34" t="inlineStr"/>
      <c r="O293" s="34" t="inlineStr"/>
      <c r="P293" s="32" t="inlineStr"/>
      <c r="Q293" s="30" t="inlineStr"/>
      <c r="R293" s="30" t="inlineStr"/>
      <c r="S293" s="30" t="inlineStr"/>
      <c r="T293" s="30" t="inlineStr"/>
      <c r="U293" s="15">
        <f>IF(A293="","",SUMIFS('07_Nachtraege'!$E:$E,'07_Nachtraege'!$B:$B,A293,'07_Nachtraege'!$F:$F,"beauftragt"))</f>
        <v/>
      </c>
      <c r="V293" s="15">
        <f>IF(A293="","",J293+U293)</f>
        <v/>
      </c>
      <c r="W293" s="15">
        <f>IF(A293="","",SUMIFS('13_Ausgangsrechnungen'!$G:$G,'13_Ausgangsrechnungen'!$C:$C,A293))</f>
        <v/>
      </c>
      <c r="X293" s="15">
        <f>IF(A293="","",SUMIFS('11_Material'!$L:$L,'11_Material'!$C:$C,A293))</f>
        <v/>
      </c>
      <c r="Y293" s="15">
        <f>IF(A293="","",SUMIFS('14_Eingangsrechnungen'!$F:$F,'14_Eingangsrechnungen'!$C:$C,A293,'14_Eingangsrechnungen'!$E:$E,"Nachunternehmer"))</f>
        <v/>
      </c>
      <c r="Z293" s="15">
        <f>IF(A293="","",SUMIFS('10_Stunden'!$K:$K,'10_Stunden'!$C:$C,A293))</f>
        <v/>
      </c>
      <c r="AA293" s="15">
        <f>IF(A293="","",X293+Y293+Z293+SUMIFS('14_Eingangsrechnungen'!$F:$F,'14_Eingangsrechnungen'!$C:$C,A293,'14_Eingangsrechnungen'!$E:$E,"Gerät")+SUMIFS('14_Eingangsrechnungen'!$F:$F,'14_Eingangsrechnungen'!$C:$C,A293,'14_Eingangsrechnungen'!$E:$E,"Dienstleistung"))</f>
        <v/>
      </c>
      <c r="AB293" s="15">
        <f>IF(A293="","",W293-AA293)</f>
        <v/>
      </c>
      <c r="AC293" s="19">
        <f>IF(OR(A293="",W293=0),"",AB293/W293)</f>
        <v/>
      </c>
      <c r="AD293" s="19">
        <f>IF(OR(A293="",V293=0),"",W293/V293)</f>
        <v/>
      </c>
      <c r="AE293" s="15">
        <f>IF(A293="","",MAX(0,V293-W293))</f>
        <v/>
      </c>
      <c r="AF293" s="15">
        <f>IF(A293="","",SUMIFS('13_Ausgangsrechnungen'!$R:$R,'13_Ausgangsrechnungen'!$C:$C,A293))</f>
        <v/>
      </c>
    </row>
    <row r="294">
      <c r="A294" s="30" t="inlineStr"/>
      <c r="B294" s="30" t="inlineStr"/>
      <c r="C294" s="30" t="inlineStr"/>
      <c r="D294" s="30" t="inlineStr"/>
      <c r="E294" s="30" t="inlineStr"/>
      <c r="F294" s="30" t="inlineStr"/>
      <c r="G294" s="38" t="inlineStr"/>
      <c r="H294" s="38" t="inlineStr"/>
      <c r="I294" s="38" t="inlineStr"/>
      <c r="J294" s="34" t="inlineStr"/>
      <c r="K294" s="34" t="inlineStr"/>
      <c r="L294" s="34" t="inlineStr"/>
      <c r="M294" s="34" t="inlineStr"/>
      <c r="N294" s="34" t="inlineStr"/>
      <c r="O294" s="34" t="inlineStr"/>
      <c r="P294" s="32" t="inlineStr"/>
      <c r="Q294" s="30" t="inlineStr"/>
      <c r="R294" s="30" t="inlineStr"/>
      <c r="S294" s="30" t="inlineStr"/>
      <c r="T294" s="30" t="inlineStr"/>
      <c r="U294" s="15">
        <f>IF(A294="","",SUMIFS('07_Nachtraege'!$E:$E,'07_Nachtraege'!$B:$B,A294,'07_Nachtraege'!$F:$F,"beauftragt"))</f>
        <v/>
      </c>
      <c r="V294" s="15">
        <f>IF(A294="","",J294+U294)</f>
        <v/>
      </c>
      <c r="W294" s="15">
        <f>IF(A294="","",SUMIFS('13_Ausgangsrechnungen'!$G:$G,'13_Ausgangsrechnungen'!$C:$C,A294))</f>
        <v/>
      </c>
      <c r="X294" s="15">
        <f>IF(A294="","",SUMIFS('11_Material'!$L:$L,'11_Material'!$C:$C,A294))</f>
        <v/>
      </c>
      <c r="Y294" s="15">
        <f>IF(A294="","",SUMIFS('14_Eingangsrechnungen'!$F:$F,'14_Eingangsrechnungen'!$C:$C,A294,'14_Eingangsrechnungen'!$E:$E,"Nachunternehmer"))</f>
        <v/>
      </c>
      <c r="Z294" s="15">
        <f>IF(A294="","",SUMIFS('10_Stunden'!$K:$K,'10_Stunden'!$C:$C,A294))</f>
        <v/>
      </c>
      <c r="AA294" s="15">
        <f>IF(A294="","",X294+Y294+Z294+SUMIFS('14_Eingangsrechnungen'!$F:$F,'14_Eingangsrechnungen'!$C:$C,A294,'14_Eingangsrechnungen'!$E:$E,"Gerät")+SUMIFS('14_Eingangsrechnungen'!$F:$F,'14_Eingangsrechnungen'!$C:$C,A294,'14_Eingangsrechnungen'!$E:$E,"Dienstleistung"))</f>
        <v/>
      </c>
      <c r="AB294" s="15">
        <f>IF(A294="","",W294-AA294)</f>
        <v/>
      </c>
      <c r="AC294" s="19">
        <f>IF(OR(A294="",W294=0),"",AB294/W294)</f>
        <v/>
      </c>
      <c r="AD294" s="19">
        <f>IF(OR(A294="",V294=0),"",W294/V294)</f>
        <v/>
      </c>
      <c r="AE294" s="15">
        <f>IF(A294="","",MAX(0,V294-W294))</f>
        <v/>
      </c>
      <c r="AF294" s="15">
        <f>IF(A294="","",SUMIFS('13_Ausgangsrechnungen'!$R:$R,'13_Ausgangsrechnungen'!$C:$C,A294))</f>
        <v/>
      </c>
    </row>
    <row r="295">
      <c r="A295" s="30" t="inlineStr"/>
      <c r="B295" s="30" t="inlineStr"/>
      <c r="C295" s="30" t="inlineStr"/>
      <c r="D295" s="30" t="inlineStr"/>
      <c r="E295" s="30" t="inlineStr"/>
      <c r="F295" s="30" t="inlineStr"/>
      <c r="G295" s="38" t="inlineStr"/>
      <c r="H295" s="38" t="inlineStr"/>
      <c r="I295" s="38" t="inlineStr"/>
      <c r="J295" s="34" t="inlineStr"/>
      <c r="K295" s="34" t="inlineStr"/>
      <c r="L295" s="34" t="inlineStr"/>
      <c r="M295" s="34" t="inlineStr"/>
      <c r="N295" s="34" t="inlineStr"/>
      <c r="O295" s="34" t="inlineStr"/>
      <c r="P295" s="32" t="inlineStr"/>
      <c r="Q295" s="30" t="inlineStr"/>
      <c r="R295" s="30" t="inlineStr"/>
      <c r="S295" s="30" t="inlineStr"/>
      <c r="T295" s="30" t="inlineStr"/>
      <c r="U295" s="15">
        <f>IF(A295="","",SUMIFS('07_Nachtraege'!$E:$E,'07_Nachtraege'!$B:$B,A295,'07_Nachtraege'!$F:$F,"beauftragt"))</f>
        <v/>
      </c>
      <c r="V295" s="15">
        <f>IF(A295="","",J295+U295)</f>
        <v/>
      </c>
      <c r="W295" s="15">
        <f>IF(A295="","",SUMIFS('13_Ausgangsrechnungen'!$G:$G,'13_Ausgangsrechnungen'!$C:$C,A295))</f>
        <v/>
      </c>
      <c r="X295" s="15">
        <f>IF(A295="","",SUMIFS('11_Material'!$L:$L,'11_Material'!$C:$C,A295))</f>
        <v/>
      </c>
      <c r="Y295" s="15">
        <f>IF(A295="","",SUMIFS('14_Eingangsrechnungen'!$F:$F,'14_Eingangsrechnungen'!$C:$C,A295,'14_Eingangsrechnungen'!$E:$E,"Nachunternehmer"))</f>
        <v/>
      </c>
      <c r="Z295" s="15">
        <f>IF(A295="","",SUMIFS('10_Stunden'!$K:$K,'10_Stunden'!$C:$C,A295))</f>
        <v/>
      </c>
      <c r="AA295" s="15">
        <f>IF(A295="","",X295+Y295+Z295+SUMIFS('14_Eingangsrechnungen'!$F:$F,'14_Eingangsrechnungen'!$C:$C,A295,'14_Eingangsrechnungen'!$E:$E,"Gerät")+SUMIFS('14_Eingangsrechnungen'!$F:$F,'14_Eingangsrechnungen'!$C:$C,A295,'14_Eingangsrechnungen'!$E:$E,"Dienstleistung"))</f>
        <v/>
      </c>
      <c r="AB295" s="15">
        <f>IF(A295="","",W295-AA295)</f>
        <v/>
      </c>
      <c r="AC295" s="19">
        <f>IF(OR(A295="",W295=0),"",AB295/W295)</f>
        <v/>
      </c>
      <c r="AD295" s="19">
        <f>IF(OR(A295="",V295=0),"",W295/V295)</f>
        <v/>
      </c>
      <c r="AE295" s="15">
        <f>IF(A295="","",MAX(0,V295-W295))</f>
        <v/>
      </c>
      <c r="AF295" s="15">
        <f>IF(A295="","",SUMIFS('13_Ausgangsrechnungen'!$R:$R,'13_Ausgangsrechnungen'!$C:$C,A295))</f>
        <v/>
      </c>
    </row>
    <row r="296">
      <c r="A296" s="30" t="inlineStr"/>
      <c r="B296" s="30" t="inlineStr"/>
      <c r="C296" s="30" t="inlineStr"/>
      <c r="D296" s="30" t="inlineStr"/>
      <c r="E296" s="30" t="inlineStr"/>
      <c r="F296" s="30" t="inlineStr"/>
      <c r="G296" s="38" t="inlineStr"/>
      <c r="H296" s="38" t="inlineStr"/>
      <c r="I296" s="38" t="inlineStr"/>
      <c r="J296" s="34" t="inlineStr"/>
      <c r="K296" s="34" t="inlineStr"/>
      <c r="L296" s="34" t="inlineStr"/>
      <c r="M296" s="34" t="inlineStr"/>
      <c r="N296" s="34" t="inlineStr"/>
      <c r="O296" s="34" t="inlineStr"/>
      <c r="P296" s="32" t="inlineStr"/>
      <c r="Q296" s="30" t="inlineStr"/>
      <c r="R296" s="30" t="inlineStr"/>
      <c r="S296" s="30" t="inlineStr"/>
      <c r="T296" s="30" t="inlineStr"/>
      <c r="U296" s="15">
        <f>IF(A296="","",SUMIFS('07_Nachtraege'!$E:$E,'07_Nachtraege'!$B:$B,A296,'07_Nachtraege'!$F:$F,"beauftragt"))</f>
        <v/>
      </c>
      <c r="V296" s="15">
        <f>IF(A296="","",J296+U296)</f>
        <v/>
      </c>
      <c r="W296" s="15">
        <f>IF(A296="","",SUMIFS('13_Ausgangsrechnungen'!$G:$G,'13_Ausgangsrechnungen'!$C:$C,A296))</f>
        <v/>
      </c>
      <c r="X296" s="15">
        <f>IF(A296="","",SUMIFS('11_Material'!$L:$L,'11_Material'!$C:$C,A296))</f>
        <v/>
      </c>
      <c r="Y296" s="15">
        <f>IF(A296="","",SUMIFS('14_Eingangsrechnungen'!$F:$F,'14_Eingangsrechnungen'!$C:$C,A296,'14_Eingangsrechnungen'!$E:$E,"Nachunternehmer"))</f>
        <v/>
      </c>
      <c r="Z296" s="15">
        <f>IF(A296="","",SUMIFS('10_Stunden'!$K:$K,'10_Stunden'!$C:$C,A296))</f>
        <v/>
      </c>
      <c r="AA296" s="15">
        <f>IF(A296="","",X296+Y296+Z296+SUMIFS('14_Eingangsrechnungen'!$F:$F,'14_Eingangsrechnungen'!$C:$C,A296,'14_Eingangsrechnungen'!$E:$E,"Gerät")+SUMIFS('14_Eingangsrechnungen'!$F:$F,'14_Eingangsrechnungen'!$C:$C,A296,'14_Eingangsrechnungen'!$E:$E,"Dienstleistung"))</f>
        <v/>
      </c>
      <c r="AB296" s="15">
        <f>IF(A296="","",W296-AA296)</f>
        <v/>
      </c>
      <c r="AC296" s="19">
        <f>IF(OR(A296="",W296=0),"",AB296/W296)</f>
        <v/>
      </c>
      <c r="AD296" s="19">
        <f>IF(OR(A296="",V296=0),"",W296/V296)</f>
        <v/>
      </c>
      <c r="AE296" s="15">
        <f>IF(A296="","",MAX(0,V296-W296))</f>
        <v/>
      </c>
      <c r="AF296" s="15">
        <f>IF(A296="","",SUMIFS('13_Ausgangsrechnungen'!$R:$R,'13_Ausgangsrechnungen'!$C:$C,A296))</f>
        <v/>
      </c>
    </row>
    <row r="297">
      <c r="A297" s="30" t="inlineStr"/>
      <c r="B297" s="30" t="inlineStr"/>
      <c r="C297" s="30" t="inlineStr"/>
      <c r="D297" s="30" t="inlineStr"/>
      <c r="E297" s="30" t="inlineStr"/>
      <c r="F297" s="30" t="inlineStr"/>
      <c r="G297" s="38" t="inlineStr"/>
      <c r="H297" s="38" t="inlineStr"/>
      <c r="I297" s="38" t="inlineStr"/>
      <c r="J297" s="34" t="inlineStr"/>
      <c r="K297" s="34" t="inlineStr"/>
      <c r="L297" s="34" t="inlineStr"/>
      <c r="M297" s="34" t="inlineStr"/>
      <c r="N297" s="34" t="inlineStr"/>
      <c r="O297" s="34" t="inlineStr"/>
      <c r="P297" s="32" t="inlineStr"/>
      <c r="Q297" s="30" t="inlineStr"/>
      <c r="R297" s="30" t="inlineStr"/>
      <c r="S297" s="30" t="inlineStr"/>
      <c r="T297" s="30" t="inlineStr"/>
      <c r="U297" s="15">
        <f>IF(A297="","",SUMIFS('07_Nachtraege'!$E:$E,'07_Nachtraege'!$B:$B,A297,'07_Nachtraege'!$F:$F,"beauftragt"))</f>
        <v/>
      </c>
      <c r="V297" s="15">
        <f>IF(A297="","",J297+U297)</f>
        <v/>
      </c>
      <c r="W297" s="15">
        <f>IF(A297="","",SUMIFS('13_Ausgangsrechnungen'!$G:$G,'13_Ausgangsrechnungen'!$C:$C,A297))</f>
        <v/>
      </c>
      <c r="X297" s="15">
        <f>IF(A297="","",SUMIFS('11_Material'!$L:$L,'11_Material'!$C:$C,A297))</f>
        <v/>
      </c>
      <c r="Y297" s="15">
        <f>IF(A297="","",SUMIFS('14_Eingangsrechnungen'!$F:$F,'14_Eingangsrechnungen'!$C:$C,A297,'14_Eingangsrechnungen'!$E:$E,"Nachunternehmer"))</f>
        <v/>
      </c>
      <c r="Z297" s="15">
        <f>IF(A297="","",SUMIFS('10_Stunden'!$K:$K,'10_Stunden'!$C:$C,A297))</f>
        <v/>
      </c>
      <c r="AA297" s="15">
        <f>IF(A297="","",X297+Y297+Z297+SUMIFS('14_Eingangsrechnungen'!$F:$F,'14_Eingangsrechnungen'!$C:$C,A297,'14_Eingangsrechnungen'!$E:$E,"Gerät")+SUMIFS('14_Eingangsrechnungen'!$F:$F,'14_Eingangsrechnungen'!$C:$C,A297,'14_Eingangsrechnungen'!$E:$E,"Dienstleistung"))</f>
        <v/>
      </c>
      <c r="AB297" s="15">
        <f>IF(A297="","",W297-AA297)</f>
        <v/>
      </c>
      <c r="AC297" s="19">
        <f>IF(OR(A297="",W297=0),"",AB297/W297)</f>
        <v/>
      </c>
      <c r="AD297" s="19">
        <f>IF(OR(A297="",V297=0),"",W297/V297)</f>
        <v/>
      </c>
      <c r="AE297" s="15">
        <f>IF(A297="","",MAX(0,V297-W297))</f>
        <v/>
      </c>
      <c r="AF297" s="15">
        <f>IF(A297="","",SUMIFS('13_Ausgangsrechnungen'!$R:$R,'13_Ausgangsrechnungen'!$C:$C,A297))</f>
        <v/>
      </c>
    </row>
    <row r="298">
      <c r="A298" s="30" t="inlineStr"/>
      <c r="B298" s="30" t="inlineStr"/>
      <c r="C298" s="30" t="inlineStr"/>
      <c r="D298" s="30" t="inlineStr"/>
      <c r="E298" s="30" t="inlineStr"/>
      <c r="F298" s="30" t="inlineStr"/>
      <c r="G298" s="38" t="inlineStr"/>
      <c r="H298" s="38" t="inlineStr"/>
      <c r="I298" s="38" t="inlineStr"/>
      <c r="J298" s="34" t="inlineStr"/>
      <c r="K298" s="34" t="inlineStr"/>
      <c r="L298" s="34" t="inlineStr"/>
      <c r="M298" s="34" t="inlineStr"/>
      <c r="N298" s="34" t="inlineStr"/>
      <c r="O298" s="34" t="inlineStr"/>
      <c r="P298" s="32" t="inlineStr"/>
      <c r="Q298" s="30" t="inlineStr"/>
      <c r="R298" s="30" t="inlineStr"/>
      <c r="S298" s="30" t="inlineStr"/>
      <c r="T298" s="30" t="inlineStr"/>
      <c r="U298" s="15">
        <f>IF(A298="","",SUMIFS('07_Nachtraege'!$E:$E,'07_Nachtraege'!$B:$B,A298,'07_Nachtraege'!$F:$F,"beauftragt"))</f>
        <v/>
      </c>
      <c r="V298" s="15">
        <f>IF(A298="","",J298+U298)</f>
        <v/>
      </c>
      <c r="W298" s="15">
        <f>IF(A298="","",SUMIFS('13_Ausgangsrechnungen'!$G:$G,'13_Ausgangsrechnungen'!$C:$C,A298))</f>
        <v/>
      </c>
      <c r="X298" s="15">
        <f>IF(A298="","",SUMIFS('11_Material'!$L:$L,'11_Material'!$C:$C,A298))</f>
        <v/>
      </c>
      <c r="Y298" s="15">
        <f>IF(A298="","",SUMIFS('14_Eingangsrechnungen'!$F:$F,'14_Eingangsrechnungen'!$C:$C,A298,'14_Eingangsrechnungen'!$E:$E,"Nachunternehmer"))</f>
        <v/>
      </c>
      <c r="Z298" s="15">
        <f>IF(A298="","",SUMIFS('10_Stunden'!$K:$K,'10_Stunden'!$C:$C,A298))</f>
        <v/>
      </c>
      <c r="AA298" s="15">
        <f>IF(A298="","",X298+Y298+Z298+SUMIFS('14_Eingangsrechnungen'!$F:$F,'14_Eingangsrechnungen'!$C:$C,A298,'14_Eingangsrechnungen'!$E:$E,"Gerät")+SUMIFS('14_Eingangsrechnungen'!$F:$F,'14_Eingangsrechnungen'!$C:$C,A298,'14_Eingangsrechnungen'!$E:$E,"Dienstleistung"))</f>
        <v/>
      </c>
      <c r="AB298" s="15">
        <f>IF(A298="","",W298-AA298)</f>
        <v/>
      </c>
      <c r="AC298" s="19">
        <f>IF(OR(A298="",W298=0),"",AB298/W298)</f>
        <v/>
      </c>
      <c r="AD298" s="19">
        <f>IF(OR(A298="",V298=0),"",W298/V298)</f>
        <v/>
      </c>
      <c r="AE298" s="15">
        <f>IF(A298="","",MAX(0,V298-W298))</f>
        <v/>
      </c>
      <c r="AF298" s="15">
        <f>IF(A298="","",SUMIFS('13_Ausgangsrechnungen'!$R:$R,'13_Ausgangsrechnungen'!$C:$C,A298))</f>
        <v/>
      </c>
    </row>
    <row r="299">
      <c r="A299" s="30" t="inlineStr"/>
      <c r="B299" s="30" t="inlineStr"/>
      <c r="C299" s="30" t="inlineStr"/>
      <c r="D299" s="30" t="inlineStr"/>
      <c r="E299" s="30" t="inlineStr"/>
      <c r="F299" s="30" t="inlineStr"/>
      <c r="G299" s="38" t="inlineStr"/>
      <c r="H299" s="38" t="inlineStr"/>
      <c r="I299" s="38" t="inlineStr"/>
      <c r="J299" s="34" t="inlineStr"/>
      <c r="K299" s="34" t="inlineStr"/>
      <c r="L299" s="34" t="inlineStr"/>
      <c r="M299" s="34" t="inlineStr"/>
      <c r="N299" s="34" t="inlineStr"/>
      <c r="O299" s="34" t="inlineStr"/>
      <c r="P299" s="32" t="inlineStr"/>
      <c r="Q299" s="30" t="inlineStr"/>
      <c r="R299" s="30" t="inlineStr"/>
      <c r="S299" s="30" t="inlineStr"/>
      <c r="T299" s="30" t="inlineStr"/>
      <c r="U299" s="15">
        <f>IF(A299="","",SUMIFS('07_Nachtraege'!$E:$E,'07_Nachtraege'!$B:$B,A299,'07_Nachtraege'!$F:$F,"beauftragt"))</f>
        <v/>
      </c>
      <c r="V299" s="15">
        <f>IF(A299="","",J299+U299)</f>
        <v/>
      </c>
      <c r="W299" s="15">
        <f>IF(A299="","",SUMIFS('13_Ausgangsrechnungen'!$G:$G,'13_Ausgangsrechnungen'!$C:$C,A299))</f>
        <v/>
      </c>
      <c r="X299" s="15">
        <f>IF(A299="","",SUMIFS('11_Material'!$L:$L,'11_Material'!$C:$C,A299))</f>
        <v/>
      </c>
      <c r="Y299" s="15">
        <f>IF(A299="","",SUMIFS('14_Eingangsrechnungen'!$F:$F,'14_Eingangsrechnungen'!$C:$C,A299,'14_Eingangsrechnungen'!$E:$E,"Nachunternehmer"))</f>
        <v/>
      </c>
      <c r="Z299" s="15">
        <f>IF(A299="","",SUMIFS('10_Stunden'!$K:$K,'10_Stunden'!$C:$C,A299))</f>
        <v/>
      </c>
      <c r="AA299" s="15">
        <f>IF(A299="","",X299+Y299+Z299+SUMIFS('14_Eingangsrechnungen'!$F:$F,'14_Eingangsrechnungen'!$C:$C,A299,'14_Eingangsrechnungen'!$E:$E,"Gerät")+SUMIFS('14_Eingangsrechnungen'!$F:$F,'14_Eingangsrechnungen'!$C:$C,A299,'14_Eingangsrechnungen'!$E:$E,"Dienstleistung"))</f>
        <v/>
      </c>
      <c r="AB299" s="15">
        <f>IF(A299="","",W299-AA299)</f>
        <v/>
      </c>
      <c r="AC299" s="19">
        <f>IF(OR(A299="",W299=0),"",AB299/W299)</f>
        <v/>
      </c>
      <c r="AD299" s="19">
        <f>IF(OR(A299="",V299=0),"",W299/V299)</f>
        <v/>
      </c>
      <c r="AE299" s="15">
        <f>IF(A299="","",MAX(0,V299-W299))</f>
        <v/>
      </c>
      <c r="AF299" s="15">
        <f>IF(A299="","",SUMIFS('13_Ausgangsrechnungen'!$R:$R,'13_Ausgangsrechnungen'!$C:$C,A299))</f>
        <v/>
      </c>
    </row>
    <row r="300">
      <c r="A300" s="30" t="inlineStr"/>
      <c r="B300" s="30" t="inlineStr"/>
      <c r="C300" s="30" t="inlineStr"/>
      <c r="D300" s="30" t="inlineStr"/>
      <c r="E300" s="30" t="inlineStr"/>
      <c r="F300" s="30" t="inlineStr"/>
      <c r="G300" s="38" t="inlineStr"/>
      <c r="H300" s="38" t="inlineStr"/>
      <c r="I300" s="38" t="inlineStr"/>
      <c r="J300" s="34" t="inlineStr"/>
      <c r="K300" s="34" t="inlineStr"/>
      <c r="L300" s="34" t="inlineStr"/>
      <c r="M300" s="34" t="inlineStr"/>
      <c r="N300" s="34" t="inlineStr"/>
      <c r="O300" s="34" t="inlineStr"/>
      <c r="P300" s="32" t="inlineStr"/>
      <c r="Q300" s="30" t="inlineStr"/>
      <c r="R300" s="30" t="inlineStr"/>
      <c r="S300" s="30" t="inlineStr"/>
      <c r="T300" s="30" t="inlineStr"/>
      <c r="U300" s="15">
        <f>IF(A300="","",SUMIFS('07_Nachtraege'!$E:$E,'07_Nachtraege'!$B:$B,A300,'07_Nachtraege'!$F:$F,"beauftragt"))</f>
        <v/>
      </c>
      <c r="V300" s="15">
        <f>IF(A300="","",J300+U300)</f>
        <v/>
      </c>
      <c r="W300" s="15">
        <f>IF(A300="","",SUMIFS('13_Ausgangsrechnungen'!$G:$G,'13_Ausgangsrechnungen'!$C:$C,A300))</f>
        <v/>
      </c>
      <c r="X300" s="15">
        <f>IF(A300="","",SUMIFS('11_Material'!$L:$L,'11_Material'!$C:$C,A300))</f>
        <v/>
      </c>
      <c r="Y300" s="15">
        <f>IF(A300="","",SUMIFS('14_Eingangsrechnungen'!$F:$F,'14_Eingangsrechnungen'!$C:$C,A300,'14_Eingangsrechnungen'!$E:$E,"Nachunternehmer"))</f>
        <v/>
      </c>
      <c r="Z300" s="15">
        <f>IF(A300="","",SUMIFS('10_Stunden'!$K:$K,'10_Stunden'!$C:$C,A300))</f>
        <v/>
      </c>
      <c r="AA300" s="15">
        <f>IF(A300="","",X300+Y300+Z300+SUMIFS('14_Eingangsrechnungen'!$F:$F,'14_Eingangsrechnungen'!$C:$C,A300,'14_Eingangsrechnungen'!$E:$E,"Gerät")+SUMIFS('14_Eingangsrechnungen'!$F:$F,'14_Eingangsrechnungen'!$C:$C,A300,'14_Eingangsrechnungen'!$E:$E,"Dienstleistung"))</f>
        <v/>
      </c>
      <c r="AB300" s="15">
        <f>IF(A300="","",W300-AA300)</f>
        <v/>
      </c>
      <c r="AC300" s="19">
        <f>IF(OR(A300="",W300=0),"",AB300/W300)</f>
        <v/>
      </c>
      <c r="AD300" s="19">
        <f>IF(OR(A300="",V300=0),"",W300/V300)</f>
        <v/>
      </c>
      <c r="AE300" s="15">
        <f>IF(A300="","",MAX(0,V300-W300))</f>
        <v/>
      </c>
      <c r="AF300" s="15">
        <f>IF(A300="","",SUMIFS('13_Ausgangsrechnungen'!$R:$R,'13_Ausgangsrechnungen'!$C:$C,A300))</f>
        <v/>
      </c>
    </row>
    <row r="301">
      <c r="A301" s="30" t="inlineStr"/>
      <c r="B301" s="30" t="inlineStr"/>
      <c r="C301" s="30" t="inlineStr"/>
      <c r="D301" s="30" t="inlineStr"/>
      <c r="E301" s="30" t="inlineStr"/>
      <c r="F301" s="30" t="inlineStr"/>
      <c r="G301" s="38" t="inlineStr"/>
      <c r="H301" s="38" t="inlineStr"/>
      <c r="I301" s="38" t="inlineStr"/>
      <c r="J301" s="34" t="inlineStr"/>
      <c r="K301" s="34" t="inlineStr"/>
      <c r="L301" s="34" t="inlineStr"/>
      <c r="M301" s="34" t="inlineStr"/>
      <c r="N301" s="34" t="inlineStr"/>
      <c r="O301" s="34" t="inlineStr"/>
      <c r="P301" s="32" t="inlineStr"/>
      <c r="Q301" s="30" t="inlineStr"/>
      <c r="R301" s="30" t="inlineStr"/>
      <c r="S301" s="30" t="inlineStr"/>
      <c r="T301" s="30" t="inlineStr"/>
      <c r="U301" s="15">
        <f>IF(A301="","",SUMIFS('07_Nachtraege'!$E:$E,'07_Nachtraege'!$B:$B,A301,'07_Nachtraege'!$F:$F,"beauftragt"))</f>
        <v/>
      </c>
      <c r="V301" s="15">
        <f>IF(A301="","",J301+U301)</f>
        <v/>
      </c>
      <c r="W301" s="15">
        <f>IF(A301="","",SUMIFS('13_Ausgangsrechnungen'!$G:$G,'13_Ausgangsrechnungen'!$C:$C,A301))</f>
        <v/>
      </c>
      <c r="X301" s="15">
        <f>IF(A301="","",SUMIFS('11_Material'!$L:$L,'11_Material'!$C:$C,A301))</f>
        <v/>
      </c>
      <c r="Y301" s="15">
        <f>IF(A301="","",SUMIFS('14_Eingangsrechnungen'!$F:$F,'14_Eingangsrechnungen'!$C:$C,A301,'14_Eingangsrechnungen'!$E:$E,"Nachunternehmer"))</f>
        <v/>
      </c>
      <c r="Z301" s="15">
        <f>IF(A301="","",SUMIFS('10_Stunden'!$K:$K,'10_Stunden'!$C:$C,A301))</f>
        <v/>
      </c>
      <c r="AA301" s="15">
        <f>IF(A301="","",X301+Y301+Z301+SUMIFS('14_Eingangsrechnungen'!$F:$F,'14_Eingangsrechnungen'!$C:$C,A301,'14_Eingangsrechnungen'!$E:$E,"Gerät")+SUMIFS('14_Eingangsrechnungen'!$F:$F,'14_Eingangsrechnungen'!$C:$C,A301,'14_Eingangsrechnungen'!$E:$E,"Dienstleistung"))</f>
        <v/>
      </c>
      <c r="AB301" s="15">
        <f>IF(A301="","",W301-AA301)</f>
        <v/>
      </c>
      <c r="AC301" s="19">
        <f>IF(OR(A301="",W301=0),"",AB301/W301)</f>
        <v/>
      </c>
      <c r="AD301" s="19">
        <f>IF(OR(A301="",V301=0),"",W301/V301)</f>
        <v/>
      </c>
      <c r="AE301" s="15">
        <f>IF(A301="","",MAX(0,V301-W301))</f>
        <v/>
      </c>
      <c r="AF301" s="15">
        <f>IF(A301="","",SUMIFS('13_Ausgangsrechnungen'!$R:$R,'13_Ausgangsrechnungen'!$C:$C,A301))</f>
        <v/>
      </c>
    </row>
    <row r="302">
      <c r="A302" s="30" t="inlineStr"/>
      <c r="B302" s="30" t="inlineStr"/>
      <c r="C302" s="30" t="inlineStr"/>
      <c r="D302" s="30" t="inlineStr"/>
      <c r="E302" s="30" t="inlineStr"/>
      <c r="F302" s="30" t="inlineStr"/>
      <c r="G302" s="38" t="inlineStr"/>
      <c r="H302" s="38" t="inlineStr"/>
      <c r="I302" s="38" t="inlineStr"/>
      <c r="J302" s="34" t="inlineStr"/>
      <c r="K302" s="34" t="inlineStr"/>
      <c r="L302" s="34" t="inlineStr"/>
      <c r="M302" s="34" t="inlineStr"/>
      <c r="N302" s="34" t="inlineStr"/>
      <c r="O302" s="34" t="inlineStr"/>
      <c r="P302" s="32" t="inlineStr"/>
      <c r="Q302" s="30" t="inlineStr"/>
      <c r="R302" s="30" t="inlineStr"/>
      <c r="S302" s="30" t="inlineStr"/>
      <c r="T302" s="30" t="inlineStr"/>
      <c r="U302" s="15">
        <f>IF(A302="","",SUMIFS('07_Nachtraege'!$E:$E,'07_Nachtraege'!$B:$B,A302,'07_Nachtraege'!$F:$F,"beauftragt"))</f>
        <v/>
      </c>
      <c r="V302" s="15">
        <f>IF(A302="","",J302+U302)</f>
        <v/>
      </c>
      <c r="W302" s="15">
        <f>IF(A302="","",SUMIFS('13_Ausgangsrechnungen'!$G:$G,'13_Ausgangsrechnungen'!$C:$C,A302))</f>
        <v/>
      </c>
      <c r="X302" s="15">
        <f>IF(A302="","",SUMIFS('11_Material'!$L:$L,'11_Material'!$C:$C,A302))</f>
        <v/>
      </c>
      <c r="Y302" s="15">
        <f>IF(A302="","",SUMIFS('14_Eingangsrechnungen'!$F:$F,'14_Eingangsrechnungen'!$C:$C,A302,'14_Eingangsrechnungen'!$E:$E,"Nachunternehmer"))</f>
        <v/>
      </c>
      <c r="Z302" s="15">
        <f>IF(A302="","",SUMIFS('10_Stunden'!$K:$K,'10_Stunden'!$C:$C,A302))</f>
        <v/>
      </c>
      <c r="AA302" s="15">
        <f>IF(A302="","",X302+Y302+Z302+SUMIFS('14_Eingangsrechnungen'!$F:$F,'14_Eingangsrechnungen'!$C:$C,A302,'14_Eingangsrechnungen'!$E:$E,"Gerät")+SUMIFS('14_Eingangsrechnungen'!$F:$F,'14_Eingangsrechnungen'!$C:$C,A302,'14_Eingangsrechnungen'!$E:$E,"Dienstleistung"))</f>
        <v/>
      </c>
      <c r="AB302" s="15">
        <f>IF(A302="","",W302-AA302)</f>
        <v/>
      </c>
      <c r="AC302" s="19">
        <f>IF(OR(A302="",W302=0),"",AB302/W302)</f>
        <v/>
      </c>
      <c r="AD302" s="19">
        <f>IF(OR(A302="",V302=0),"",W302/V302)</f>
        <v/>
      </c>
      <c r="AE302" s="15">
        <f>IF(A302="","",MAX(0,V302-W302))</f>
        <v/>
      </c>
      <c r="AF302" s="15">
        <f>IF(A302="","",SUMIFS('13_Ausgangsrechnungen'!$R:$R,'13_Ausgangsrechnungen'!$C:$C,A302))</f>
        <v/>
      </c>
    </row>
    <row r="303">
      <c r="A303" s="30" t="inlineStr"/>
      <c r="B303" s="30" t="inlineStr"/>
      <c r="C303" s="30" t="inlineStr"/>
      <c r="D303" s="30" t="inlineStr"/>
      <c r="E303" s="30" t="inlineStr"/>
      <c r="F303" s="30" t="inlineStr"/>
      <c r="G303" s="38" t="inlineStr"/>
      <c r="H303" s="38" t="inlineStr"/>
      <c r="I303" s="38" t="inlineStr"/>
      <c r="J303" s="34" t="inlineStr"/>
      <c r="K303" s="34" t="inlineStr"/>
      <c r="L303" s="34" t="inlineStr"/>
      <c r="M303" s="34" t="inlineStr"/>
      <c r="N303" s="34" t="inlineStr"/>
      <c r="O303" s="34" t="inlineStr"/>
      <c r="P303" s="32" t="inlineStr"/>
      <c r="Q303" s="30" t="inlineStr"/>
      <c r="R303" s="30" t="inlineStr"/>
      <c r="S303" s="30" t="inlineStr"/>
      <c r="T303" s="30" t="inlineStr"/>
      <c r="U303" s="15">
        <f>IF(A303="","",SUMIFS('07_Nachtraege'!$E:$E,'07_Nachtraege'!$B:$B,A303,'07_Nachtraege'!$F:$F,"beauftragt"))</f>
        <v/>
      </c>
      <c r="V303" s="15">
        <f>IF(A303="","",J303+U303)</f>
        <v/>
      </c>
      <c r="W303" s="15">
        <f>IF(A303="","",SUMIFS('13_Ausgangsrechnungen'!$G:$G,'13_Ausgangsrechnungen'!$C:$C,A303))</f>
        <v/>
      </c>
      <c r="X303" s="15">
        <f>IF(A303="","",SUMIFS('11_Material'!$L:$L,'11_Material'!$C:$C,A303))</f>
        <v/>
      </c>
      <c r="Y303" s="15">
        <f>IF(A303="","",SUMIFS('14_Eingangsrechnungen'!$F:$F,'14_Eingangsrechnungen'!$C:$C,A303,'14_Eingangsrechnungen'!$E:$E,"Nachunternehmer"))</f>
        <v/>
      </c>
      <c r="Z303" s="15">
        <f>IF(A303="","",SUMIFS('10_Stunden'!$K:$K,'10_Stunden'!$C:$C,A303))</f>
        <v/>
      </c>
      <c r="AA303" s="15">
        <f>IF(A303="","",X303+Y303+Z303+SUMIFS('14_Eingangsrechnungen'!$F:$F,'14_Eingangsrechnungen'!$C:$C,A303,'14_Eingangsrechnungen'!$E:$E,"Gerät")+SUMIFS('14_Eingangsrechnungen'!$F:$F,'14_Eingangsrechnungen'!$C:$C,A303,'14_Eingangsrechnungen'!$E:$E,"Dienstleistung"))</f>
        <v/>
      </c>
      <c r="AB303" s="15">
        <f>IF(A303="","",W303-AA303)</f>
        <v/>
      </c>
      <c r="AC303" s="19">
        <f>IF(OR(A303="",W303=0),"",AB303/W303)</f>
        <v/>
      </c>
      <c r="AD303" s="19">
        <f>IF(OR(A303="",V303=0),"",W303/V303)</f>
        <v/>
      </c>
      <c r="AE303" s="15">
        <f>IF(A303="","",MAX(0,V303-W303))</f>
        <v/>
      </c>
      <c r="AF303" s="15">
        <f>IF(A303="","",SUMIFS('13_Ausgangsrechnungen'!$R:$R,'13_Ausgangsrechnungen'!$C:$C,A303))</f>
        <v/>
      </c>
    </row>
    <row r="304">
      <c r="A304" s="30" t="inlineStr"/>
      <c r="B304" s="30" t="inlineStr"/>
      <c r="C304" s="30" t="inlineStr"/>
      <c r="D304" s="30" t="inlineStr"/>
      <c r="E304" s="30" t="inlineStr"/>
      <c r="F304" s="30" t="inlineStr"/>
      <c r="G304" s="38" t="inlineStr"/>
      <c r="H304" s="38" t="inlineStr"/>
      <c r="I304" s="38" t="inlineStr"/>
      <c r="J304" s="34" t="inlineStr"/>
      <c r="K304" s="34" t="inlineStr"/>
      <c r="L304" s="34" t="inlineStr"/>
      <c r="M304" s="34" t="inlineStr"/>
      <c r="N304" s="34" t="inlineStr"/>
      <c r="O304" s="34" t="inlineStr"/>
      <c r="P304" s="32" t="inlineStr"/>
      <c r="Q304" s="30" t="inlineStr"/>
      <c r="R304" s="30" t="inlineStr"/>
      <c r="S304" s="30" t="inlineStr"/>
      <c r="T304" s="30" t="inlineStr"/>
      <c r="U304" s="15">
        <f>IF(A304="","",SUMIFS('07_Nachtraege'!$E:$E,'07_Nachtraege'!$B:$B,A304,'07_Nachtraege'!$F:$F,"beauftragt"))</f>
        <v/>
      </c>
      <c r="V304" s="15">
        <f>IF(A304="","",J304+U304)</f>
        <v/>
      </c>
      <c r="W304" s="15">
        <f>IF(A304="","",SUMIFS('13_Ausgangsrechnungen'!$G:$G,'13_Ausgangsrechnungen'!$C:$C,A304))</f>
        <v/>
      </c>
      <c r="X304" s="15">
        <f>IF(A304="","",SUMIFS('11_Material'!$L:$L,'11_Material'!$C:$C,A304))</f>
        <v/>
      </c>
      <c r="Y304" s="15">
        <f>IF(A304="","",SUMIFS('14_Eingangsrechnungen'!$F:$F,'14_Eingangsrechnungen'!$C:$C,A304,'14_Eingangsrechnungen'!$E:$E,"Nachunternehmer"))</f>
        <v/>
      </c>
      <c r="Z304" s="15">
        <f>IF(A304="","",SUMIFS('10_Stunden'!$K:$K,'10_Stunden'!$C:$C,A304))</f>
        <v/>
      </c>
      <c r="AA304" s="15">
        <f>IF(A304="","",X304+Y304+Z304+SUMIFS('14_Eingangsrechnungen'!$F:$F,'14_Eingangsrechnungen'!$C:$C,A304,'14_Eingangsrechnungen'!$E:$E,"Gerät")+SUMIFS('14_Eingangsrechnungen'!$F:$F,'14_Eingangsrechnungen'!$C:$C,A304,'14_Eingangsrechnungen'!$E:$E,"Dienstleistung"))</f>
        <v/>
      </c>
      <c r="AB304" s="15">
        <f>IF(A304="","",W304-AA304)</f>
        <v/>
      </c>
      <c r="AC304" s="19">
        <f>IF(OR(A304="",W304=0),"",AB304/W304)</f>
        <v/>
      </c>
      <c r="AD304" s="19">
        <f>IF(OR(A304="",V304=0),"",W304/V304)</f>
        <v/>
      </c>
      <c r="AE304" s="15">
        <f>IF(A304="","",MAX(0,V304-W304))</f>
        <v/>
      </c>
      <c r="AF304" s="15">
        <f>IF(A304="","",SUMIFS('13_Ausgangsrechnungen'!$R:$R,'13_Ausgangsrechnungen'!$C:$C,A304))</f>
        <v/>
      </c>
    </row>
    <row r="305">
      <c r="A305" s="30" t="inlineStr"/>
      <c r="B305" s="30" t="inlineStr"/>
      <c r="C305" s="30" t="inlineStr"/>
      <c r="D305" s="30" t="inlineStr"/>
      <c r="E305" s="30" t="inlineStr"/>
      <c r="F305" s="30" t="inlineStr"/>
      <c r="G305" s="38" t="inlineStr"/>
      <c r="H305" s="38" t="inlineStr"/>
      <c r="I305" s="38" t="inlineStr"/>
      <c r="J305" s="34" t="inlineStr"/>
      <c r="K305" s="34" t="inlineStr"/>
      <c r="L305" s="34" t="inlineStr"/>
      <c r="M305" s="34" t="inlineStr"/>
      <c r="N305" s="34" t="inlineStr"/>
      <c r="O305" s="34" t="inlineStr"/>
      <c r="P305" s="32" t="inlineStr"/>
      <c r="Q305" s="30" t="inlineStr"/>
      <c r="R305" s="30" t="inlineStr"/>
      <c r="S305" s="30" t="inlineStr"/>
      <c r="T305" s="30" t="inlineStr"/>
      <c r="U305" s="15">
        <f>IF(A305="","",SUMIFS('07_Nachtraege'!$E:$E,'07_Nachtraege'!$B:$B,A305,'07_Nachtraege'!$F:$F,"beauftragt"))</f>
        <v/>
      </c>
      <c r="V305" s="15">
        <f>IF(A305="","",J305+U305)</f>
        <v/>
      </c>
      <c r="W305" s="15">
        <f>IF(A305="","",SUMIFS('13_Ausgangsrechnungen'!$G:$G,'13_Ausgangsrechnungen'!$C:$C,A305))</f>
        <v/>
      </c>
      <c r="X305" s="15">
        <f>IF(A305="","",SUMIFS('11_Material'!$L:$L,'11_Material'!$C:$C,A305))</f>
        <v/>
      </c>
      <c r="Y305" s="15">
        <f>IF(A305="","",SUMIFS('14_Eingangsrechnungen'!$F:$F,'14_Eingangsrechnungen'!$C:$C,A305,'14_Eingangsrechnungen'!$E:$E,"Nachunternehmer"))</f>
        <v/>
      </c>
      <c r="Z305" s="15">
        <f>IF(A305="","",SUMIFS('10_Stunden'!$K:$K,'10_Stunden'!$C:$C,A305))</f>
        <v/>
      </c>
      <c r="AA305" s="15">
        <f>IF(A305="","",X305+Y305+Z305+SUMIFS('14_Eingangsrechnungen'!$F:$F,'14_Eingangsrechnungen'!$C:$C,A305,'14_Eingangsrechnungen'!$E:$E,"Gerät")+SUMIFS('14_Eingangsrechnungen'!$F:$F,'14_Eingangsrechnungen'!$C:$C,A305,'14_Eingangsrechnungen'!$E:$E,"Dienstleistung"))</f>
        <v/>
      </c>
      <c r="AB305" s="15">
        <f>IF(A305="","",W305-AA305)</f>
        <v/>
      </c>
      <c r="AC305" s="19">
        <f>IF(OR(A305="",W305=0),"",AB305/W305)</f>
        <v/>
      </c>
      <c r="AD305" s="19">
        <f>IF(OR(A305="",V305=0),"",W305/V305)</f>
        <v/>
      </c>
      <c r="AE305" s="15">
        <f>IF(A305="","",MAX(0,V305-W305))</f>
        <v/>
      </c>
      <c r="AF305" s="15">
        <f>IF(A305="","",SUMIFS('13_Ausgangsrechnungen'!$R:$R,'13_Ausgangsrechnungen'!$C:$C,A305))</f>
        <v/>
      </c>
    </row>
    <row r="306">
      <c r="A306" s="30" t="inlineStr"/>
      <c r="B306" s="30" t="inlineStr"/>
      <c r="C306" s="30" t="inlineStr"/>
      <c r="D306" s="30" t="inlineStr"/>
      <c r="E306" s="30" t="inlineStr"/>
      <c r="F306" s="30" t="inlineStr"/>
      <c r="G306" s="38" t="inlineStr"/>
      <c r="H306" s="38" t="inlineStr"/>
      <c r="I306" s="38" t="inlineStr"/>
      <c r="J306" s="34" t="inlineStr"/>
      <c r="K306" s="34" t="inlineStr"/>
      <c r="L306" s="34" t="inlineStr"/>
      <c r="M306" s="34" t="inlineStr"/>
      <c r="N306" s="34" t="inlineStr"/>
      <c r="O306" s="34" t="inlineStr"/>
      <c r="P306" s="32" t="inlineStr"/>
      <c r="Q306" s="30" t="inlineStr"/>
      <c r="R306" s="30" t="inlineStr"/>
      <c r="S306" s="30" t="inlineStr"/>
      <c r="T306" s="30" t="inlineStr"/>
      <c r="U306" s="15">
        <f>IF(A306="","",SUMIFS('07_Nachtraege'!$E:$E,'07_Nachtraege'!$B:$B,A306,'07_Nachtraege'!$F:$F,"beauftragt"))</f>
        <v/>
      </c>
      <c r="V306" s="15">
        <f>IF(A306="","",J306+U306)</f>
        <v/>
      </c>
      <c r="W306" s="15">
        <f>IF(A306="","",SUMIFS('13_Ausgangsrechnungen'!$G:$G,'13_Ausgangsrechnungen'!$C:$C,A306))</f>
        <v/>
      </c>
      <c r="X306" s="15">
        <f>IF(A306="","",SUMIFS('11_Material'!$L:$L,'11_Material'!$C:$C,A306))</f>
        <v/>
      </c>
      <c r="Y306" s="15">
        <f>IF(A306="","",SUMIFS('14_Eingangsrechnungen'!$F:$F,'14_Eingangsrechnungen'!$C:$C,A306,'14_Eingangsrechnungen'!$E:$E,"Nachunternehmer"))</f>
        <v/>
      </c>
      <c r="Z306" s="15">
        <f>IF(A306="","",SUMIFS('10_Stunden'!$K:$K,'10_Stunden'!$C:$C,A306))</f>
        <v/>
      </c>
      <c r="AA306" s="15">
        <f>IF(A306="","",X306+Y306+Z306+SUMIFS('14_Eingangsrechnungen'!$F:$F,'14_Eingangsrechnungen'!$C:$C,A306,'14_Eingangsrechnungen'!$E:$E,"Gerät")+SUMIFS('14_Eingangsrechnungen'!$F:$F,'14_Eingangsrechnungen'!$C:$C,A306,'14_Eingangsrechnungen'!$E:$E,"Dienstleistung"))</f>
        <v/>
      </c>
      <c r="AB306" s="15">
        <f>IF(A306="","",W306-AA306)</f>
        <v/>
      </c>
      <c r="AC306" s="19">
        <f>IF(OR(A306="",W306=0),"",AB306/W306)</f>
        <v/>
      </c>
      <c r="AD306" s="19">
        <f>IF(OR(A306="",V306=0),"",W306/V306)</f>
        <v/>
      </c>
      <c r="AE306" s="15">
        <f>IF(A306="","",MAX(0,V306-W306))</f>
        <v/>
      </c>
      <c r="AF306" s="15">
        <f>IF(A306="","",SUMIFS('13_Ausgangsrechnungen'!$R:$R,'13_Ausgangsrechnungen'!$C:$C,A306))</f>
        <v/>
      </c>
    </row>
    <row r="307">
      <c r="A307" s="30" t="inlineStr"/>
      <c r="B307" s="30" t="inlineStr"/>
      <c r="C307" s="30" t="inlineStr"/>
      <c r="D307" s="30" t="inlineStr"/>
      <c r="E307" s="30" t="inlineStr"/>
      <c r="F307" s="30" t="inlineStr"/>
      <c r="G307" s="38" t="inlineStr"/>
      <c r="H307" s="38" t="inlineStr"/>
      <c r="I307" s="38" t="inlineStr"/>
      <c r="J307" s="34" t="inlineStr"/>
      <c r="K307" s="34" t="inlineStr"/>
      <c r="L307" s="34" t="inlineStr"/>
      <c r="M307" s="34" t="inlineStr"/>
      <c r="N307" s="34" t="inlineStr"/>
      <c r="O307" s="34" t="inlineStr"/>
      <c r="P307" s="32" t="inlineStr"/>
      <c r="Q307" s="30" t="inlineStr"/>
      <c r="R307" s="30" t="inlineStr"/>
      <c r="S307" s="30" t="inlineStr"/>
      <c r="T307" s="30" t="inlineStr"/>
      <c r="U307" s="15">
        <f>IF(A307="","",SUMIFS('07_Nachtraege'!$E:$E,'07_Nachtraege'!$B:$B,A307,'07_Nachtraege'!$F:$F,"beauftragt"))</f>
        <v/>
      </c>
      <c r="V307" s="15">
        <f>IF(A307="","",J307+U307)</f>
        <v/>
      </c>
      <c r="W307" s="15">
        <f>IF(A307="","",SUMIFS('13_Ausgangsrechnungen'!$G:$G,'13_Ausgangsrechnungen'!$C:$C,A307))</f>
        <v/>
      </c>
      <c r="X307" s="15">
        <f>IF(A307="","",SUMIFS('11_Material'!$L:$L,'11_Material'!$C:$C,A307))</f>
        <v/>
      </c>
      <c r="Y307" s="15">
        <f>IF(A307="","",SUMIFS('14_Eingangsrechnungen'!$F:$F,'14_Eingangsrechnungen'!$C:$C,A307,'14_Eingangsrechnungen'!$E:$E,"Nachunternehmer"))</f>
        <v/>
      </c>
      <c r="Z307" s="15">
        <f>IF(A307="","",SUMIFS('10_Stunden'!$K:$K,'10_Stunden'!$C:$C,A307))</f>
        <v/>
      </c>
      <c r="AA307" s="15">
        <f>IF(A307="","",X307+Y307+Z307+SUMIFS('14_Eingangsrechnungen'!$F:$F,'14_Eingangsrechnungen'!$C:$C,A307,'14_Eingangsrechnungen'!$E:$E,"Gerät")+SUMIFS('14_Eingangsrechnungen'!$F:$F,'14_Eingangsrechnungen'!$C:$C,A307,'14_Eingangsrechnungen'!$E:$E,"Dienstleistung"))</f>
        <v/>
      </c>
      <c r="AB307" s="15">
        <f>IF(A307="","",W307-AA307)</f>
        <v/>
      </c>
      <c r="AC307" s="19">
        <f>IF(OR(A307="",W307=0),"",AB307/W307)</f>
        <v/>
      </c>
      <c r="AD307" s="19">
        <f>IF(OR(A307="",V307=0),"",W307/V307)</f>
        <v/>
      </c>
      <c r="AE307" s="15">
        <f>IF(A307="","",MAX(0,V307-W307))</f>
        <v/>
      </c>
      <c r="AF307" s="15">
        <f>IF(A307="","",SUMIFS('13_Ausgangsrechnungen'!$R:$R,'13_Ausgangsrechnungen'!$C:$C,A307))</f>
        <v/>
      </c>
    </row>
    <row r="308">
      <c r="A308" s="30" t="inlineStr"/>
      <c r="B308" s="30" t="inlineStr"/>
      <c r="C308" s="30" t="inlineStr"/>
      <c r="D308" s="30" t="inlineStr"/>
      <c r="E308" s="30" t="inlineStr"/>
      <c r="F308" s="30" t="inlineStr"/>
      <c r="G308" s="38" t="inlineStr"/>
      <c r="H308" s="38" t="inlineStr"/>
      <c r="I308" s="38" t="inlineStr"/>
      <c r="J308" s="34" t="inlineStr"/>
      <c r="K308" s="34" t="inlineStr"/>
      <c r="L308" s="34" t="inlineStr"/>
      <c r="M308" s="34" t="inlineStr"/>
      <c r="N308" s="34" t="inlineStr"/>
      <c r="O308" s="34" t="inlineStr"/>
      <c r="P308" s="32" t="inlineStr"/>
      <c r="Q308" s="30" t="inlineStr"/>
      <c r="R308" s="30" t="inlineStr"/>
      <c r="S308" s="30" t="inlineStr"/>
      <c r="T308" s="30" t="inlineStr"/>
      <c r="U308" s="15">
        <f>IF(A308="","",SUMIFS('07_Nachtraege'!$E:$E,'07_Nachtraege'!$B:$B,A308,'07_Nachtraege'!$F:$F,"beauftragt"))</f>
        <v/>
      </c>
      <c r="V308" s="15">
        <f>IF(A308="","",J308+U308)</f>
        <v/>
      </c>
      <c r="W308" s="15">
        <f>IF(A308="","",SUMIFS('13_Ausgangsrechnungen'!$G:$G,'13_Ausgangsrechnungen'!$C:$C,A308))</f>
        <v/>
      </c>
      <c r="X308" s="15">
        <f>IF(A308="","",SUMIFS('11_Material'!$L:$L,'11_Material'!$C:$C,A308))</f>
        <v/>
      </c>
      <c r="Y308" s="15">
        <f>IF(A308="","",SUMIFS('14_Eingangsrechnungen'!$F:$F,'14_Eingangsrechnungen'!$C:$C,A308,'14_Eingangsrechnungen'!$E:$E,"Nachunternehmer"))</f>
        <v/>
      </c>
      <c r="Z308" s="15">
        <f>IF(A308="","",SUMIFS('10_Stunden'!$K:$K,'10_Stunden'!$C:$C,A308))</f>
        <v/>
      </c>
      <c r="AA308" s="15">
        <f>IF(A308="","",X308+Y308+Z308+SUMIFS('14_Eingangsrechnungen'!$F:$F,'14_Eingangsrechnungen'!$C:$C,A308,'14_Eingangsrechnungen'!$E:$E,"Gerät")+SUMIFS('14_Eingangsrechnungen'!$F:$F,'14_Eingangsrechnungen'!$C:$C,A308,'14_Eingangsrechnungen'!$E:$E,"Dienstleistung"))</f>
        <v/>
      </c>
      <c r="AB308" s="15">
        <f>IF(A308="","",W308-AA308)</f>
        <v/>
      </c>
      <c r="AC308" s="19">
        <f>IF(OR(A308="",W308=0),"",AB308/W308)</f>
        <v/>
      </c>
      <c r="AD308" s="19">
        <f>IF(OR(A308="",V308=0),"",W308/V308)</f>
        <v/>
      </c>
      <c r="AE308" s="15">
        <f>IF(A308="","",MAX(0,V308-W308))</f>
        <v/>
      </c>
      <c r="AF308" s="15">
        <f>IF(A308="","",SUMIFS('13_Ausgangsrechnungen'!$R:$R,'13_Ausgangsrechnungen'!$C:$C,A308))</f>
        <v/>
      </c>
    </row>
    <row r="309">
      <c r="A309" s="30" t="inlineStr"/>
      <c r="B309" s="30" t="inlineStr"/>
      <c r="C309" s="30" t="inlineStr"/>
      <c r="D309" s="30" t="inlineStr"/>
      <c r="E309" s="30" t="inlineStr"/>
      <c r="F309" s="30" t="inlineStr"/>
      <c r="G309" s="38" t="inlineStr"/>
      <c r="H309" s="38" t="inlineStr"/>
      <c r="I309" s="38" t="inlineStr"/>
      <c r="J309" s="34" t="inlineStr"/>
      <c r="K309" s="34" t="inlineStr"/>
      <c r="L309" s="34" t="inlineStr"/>
      <c r="M309" s="34" t="inlineStr"/>
      <c r="N309" s="34" t="inlineStr"/>
      <c r="O309" s="34" t="inlineStr"/>
      <c r="P309" s="32" t="inlineStr"/>
      <c r="Q309" s="30" t="inlineStr"/>
      <c r="R309" s="30" t="inlineStr"/>
      <c r="S309" s="30" t="inlineStr"/>
      <c r="T309" s="30" t="inlineStr"/>
      <c r="U309" s="15">
        <f>IF(A309="","",SUMIFS('07_Nachtraege'!$E:$E,'07_Nachtraege'!$B:$B,A309,'07_Nachtraege'!$F:$F,"beauftragt"))</f>
        <v/>
      </c>
      <c r="V309" s="15">
        <f>IF(A309="","",J309+U309)</f>
        <v/>
      </c>
      <c r="W309" s="15">
        <f>IF(A309="","",SUMIFS('13_Ausgangsrechnungen'!$G:$G,'13_Ausgangsrechnungen'!$C:$C,A309))</f>
        <v/>
      </c>
      <c r="X309" s="15">
        <f>IF(A309="","",SUMIFS('11_Material'!$L:$L,'11_Material'!$C:$C,A309))</f>
        <v/>
      </c>
      <c r="Y309" s="15">
        <f>IF(A309="","",SUMIFS('14_Eingangsrechnungen'!$F:$F,'14_Eingangsrechnungen'!$C:$C,A309,'14_Eingangsrechnungen'!$E:$E,"Nachunternehmer"))</f>
        <v/>
      </c>
      <c r="Z309" s="15">
        <f>IF(A309="","",SUMIFS('10_Stunden'!$K:$K,'10_Stunden'!$C:$C,A309))</f>
        <v/>
      </c>
      <c r="AA309" s="15">
        <f>IF(A309="","",X309+Y309+Z309+SUMIFS('14_Eingangsrechnungen'!$F:$F,'14_Eingangsrechnungen'!$C:$C,A309,'14_Eingangsrechnungen'!$E:$E,"Gerät")+SUMIFS('14_Eingangsrechnungen'!$F:$F,'14_Eingangsrechnungen'!$C:$C,A309,'14_Eingangsrechnungen'!$E:$E,"Dienstleistung"))</f>
        <v/>
      </c>
      <c r="AB309" s="15">
        <f>IF(A309="","",W309-AA309)</f>
        <v/>
      </c>
      <c r="AC309" s="19">
        <f>IF(OR(A309="",W309=0),"",AB309/W309)</f>
        <v/>
      </c>
      <c r="AD309" s="19">
        <f>IF(OR(A309="",V309=0),"",W309/V309)</f>
        <v/>
      </c>
      <c r="AE309" s="15">
        <f>IF(A309="","",MAX(0,V309-W309))</f>
        <v/>
      </c>
      <c r="AF309" s="15">
        <f>IF(A309="","",SUMIFS('13_Ausgangsrechnungen'!$R:$R,'13_Ausgangsrechnungen'!$C:$C,A309))</f>
        <v/>
      </c>
    </row>
    <row r="310">
      <c r="A310" s="30" t="inlineStr"/>
      <c r="B310" s="30" t="inlineStr"/>
      <c r="C310" s="30" t="inlineStr"/>
      <c r="D310" s="30" t="inlineStr"/>
      <c r="E310" s="30" t="inlineStr"/>
      <c r="F310" s="30" t="inlineStr"/>
      <c r="G310" s="38" t="inlineStr"/>
      <c r="H310" s="38" t="inlineStr"/>
      <c r="I310" s="38" t="inlineStr"/>
      <c r="J310" s="34" t="inlineStr"/>
      <c r="K310" s="34" t="inlineStr"/>
      <c r="L310" s="34" t="inlineStr"/>
      <c r="M310" s="34" t="inlineStr"/>
      <c r="N310" s="34" t="inlineStr"/>
      <c r="O310" s="34" t="inlineStr"/>
      <c r="P310" s="32" t="inlineStr"/>
      <c r="Q310" s="30" t="inlineStr"/>
      <c r="R310" s="30" t="inlineStr"/>
      <c r="S310" s="30" t="inlineStr"/>
      <c r="T310" s="30" t="inlineStr"/>
      <c r="U310" s="15">
        <f>IF(A310="","",SUMIFS('07_Nachtraege'!$E:$E,'07_Nachtraege'!$B:$B,A310,'07_Nachtraege'!$F:$F,"beauftragt"))</f>
        <v/>
      </c>
      <c r="V310" s="15">
        <f>IF(A310="","",J310+U310)</f>
        <v/>
      </c>
      <c r="W310" s="15">
        <f>IF(A310="","",SUMIFS('13_Ausgangsrechnungen'!$G:$G,'13_Ausgangsrechnungen'!$C:$C,A310))</f>
        <v/>
      </c>
      <c r="X310" s="15">
        <f>IF(A310="","",SUMIFS('11_Material'!$L:$L,'11_Material'!$C:$C,A310))</f>
        <v/>
      </c>
      <c r="Y310" s="15">
        <f>IF(A310="","",SUMIFS('14_Eingangsrechnungen'!$F:$F,'14_Eingangsrechnungen'!$C:$C,A310,'14_Eingangsrechnungen'!$E:$E,"Nachunternehmer"))</f>
        <v/>
      </c>
      <c r="Z310" s="15">
        <f>IF(A310="","",SUMIFS('10_Stunden'!$K:$K,'10_Stunden'!$C:$C,A310))</f>
        <v/>
      </c>
      <c r="AA310" s="15">
        <f>IF(A310="","",X310+Y310+Z310+SUMIFS('14_Eingangsrechnungen'!$F:$F,'14_Eingangsrechnungen'!$C:$C,A310,'14_Eingangsrechnungen'!$E:$E,"Gerät")+SUMIFS('14_Eingangsrechnungen'!$F:$F,'14_Eingangsrechnungen'!$C:$C,A310,'14_Eingangsrechnungen'!$E:$E,"Dienstleistung"))</f>
        <v/>
      </c>
      <c r="AB310" s="15">
        <f>IF(A310="","",W310-AA310)</f>
        <v/>
      </c>
      <c r="AC310" s="19">
        <f>IF(OR(A310="",W310=0),"",AB310/W310)</f>
        <v/>
      </c>
      <c r="AD310" s="19">
        <f>IF(OR(A310="",V310=0),"",W310/V310)</f>
        <v/>
      </c>
      <c r="AE310" s="15">
        <f>IF(A310="","",MAX(0,V310-W310))</f>
        <v/>
      </c>
      <c r="AF310" s="15">
        <f>IF(A310="","",SUMIFS('13_Ausgangsrechnungen'!$R:$R,'13_Ausgangsrechnungen'!$C:$C,A310))</f>
        <v/>
      </c>
    </row>
    <row r="311">
      <c r="A311" s="30" t="inlineStr"/>
      <c r="B311" s="30" t="inlineStr"/>
      <c r="C311" s="30" t="inlineStr"/>
      <c r="D311" s="30" t="inlineStr"/>
      <c r="E311" s="30" t="inlineStr"/>
      <c r="F311" s="30" t="inlineStr"/>
      <c r="G311" s="38" t="inlineStr"/>
      <c r="H311" s="38" t="inlineStr"/>
      <c r="I311" s="38" t="inlineStr"/>
      <c r="J311" s="34" t="inlineStr"/>
      <c r="K311" s="34" t="inlineStr"/>
      <c r="L311" s="34" t="inlineStr"/>
      <c r="M311" s="34" t="inlineStr"/>
      <c r="N311" s="34" t="inlineStr"/>
      <c r="O311" s="34" t="inlineStr"/>
      <c r="P311" s="32" t="inlineStr"/>
      <c r="Q311" s="30" t="inlineStr"/>
      <c r="R311" s="30" t="inlineStr"/>
      <c r="S311" s="30" t="inlineStr"/>
      <c r="T311" s="30" t="inlineStr"/>
      <c r="U311" s="15">
        <f>IF(A311="","",SUMIFS('07_Nachtraege'!$E:$E,'07_Nachtraege'!$B:$B,A311,'07_Nachtraege'!$F:$F,"beauftragt"))</f>
        <v/>
      </c>
      <c r="V311" s="15">
        <f>IF(A311="","",J311+U311)</f>
        <v/>
      </c>
      <c r="W311" s="15">
        <f>IF(A311="","",SUMIFS('13_Ausgangsrechnungen'!$G:$G,'13_Ausgangsrechnungen'!$C:$C,A311))</f>
        <v/>
      </c>
      <c r="X311" s="15">
        <f>IF(A311="","",SUMIFS('11_Material'!$L:$L,'11_Material'!$C:$C,A311))</f>
        <v/>
      </c>
      <c r="Y311" s="15">
        <f>IF(A311="","",SUMIFS('14_Eingangsrechnungen'!$F:$F,'14_Eingangsrechnungen'!$C:$C,A311,'14_Eingangsrechnungen'!$E:$E,"Nachunternehmer"))</f>
        <v/>
      </c>
      <c r="Z311" s="15">
        <f>IF(A311="","",SUMIFS('10_Stunden'!$K:$K,'10_Stunden'!$C:$C,A311))</f>
        <v/>
      </c>
      <c r="AA311" s="15">
        <f>IF(A311="","",X311+Y311+Z311+SUMIFS('14_Eingangsrechnungen'!$F:$F,'14_Eingangsrechnungen'!$C:$C,A311,'14_Eingangsrechnungen'!$E:$E,"Gerät")+SUMIFS('14_Eingangsrechnungen'!$F:$F,'14_Eingangsrechnungen'!$C:$C,A311,'14_Eingangsrechnungen'!$E:$E,"Dienstleistung"))</f>
        <v/>
      </c>
      <c r="AB311" s="15">
        <f>IF(A311="","",W311-AA311)</f>
        <v/>
      </c>
      <c r="AC311" s="19">
        <f>IF(OR(A311="",W311=0),"",AB311/W311)</f>
        <v/>
      </c>
      <c r="AD311" s="19">
        <f>IF(OR(A311="",V311=0),"",W311/V311)</f>
        <v/>
      </c>
      <c r="AE311" s="15">
        <f>IF(A311="","",MAX(0,V311-W311))</f>
        <v/>
      </c>
      <c r="AF311" s="15">
        <f>IF(A311="","",SUMIFS('13_Ausgangsrechnungen'!$R:$R,'13_Ausgangsrechnungen'!$C:$C,A311))</f>
        <v/>
      </c>
    </row>
    <row r="312">
      <c r="A312" s="30" t="inlineStr"/>
      <c r="B312" s="30" t="inlineStr"/>
      <c r="C312" s="30" t="inlineStr"/>
      <c r="D312" s="30" t="inlineStr"/>
      <c r="E312" s="30" t="inlineStr"/>
      <c r="F312" s="30" t="inlineStr"/>
      <c r="G312" s="38" t="inlineStr"/>
      <c r="H312" s="38" t="inlineStr"/>
      <c r="I312" s="38" t="inlineStr"/>
      <c r="J312" s="34" t="inlineStr"/>
      <c r="K312" s="34" t="inlineStr"/>
      <c r="L312" s="34" t="inlineStr"/>
      <c r="M312" s="34" t="inlineStr"/>
      <c r="N312" s="34" t="inlineStr"/>
      <c r="O312" s="34" t="inlineStr"/>
      <c r="P312" s="32" t="inlineStr"/>
      <c r="Q312" s="30" t="inlineStr"/>
      <c r="R312" s="30" t="inlineStr"/>
      <c r="S312" s="30" t="inlineStr"/>
      <c r="T312" s="30" t="inlineStr"/>
      <c r="U312" s="15">
        <f>IF(A312="","",SUMIFS('07_Nachtraege'!$E:$E,'07_Nachtraege'!$B:$B,A312,'07_Nachtraege'!$F:$F,"beauftragt"))</f>
        <v/>
      </c>
      <c r="V312" s="15">
        <f>IF(A312="","",J312+U312)</f>
        <v/>
      </c>
      <c r="W312" s="15">
        <f>IF(A312="","",SUMIFS('13_Ausgangsrechnungen'!$G:$G,'13_Ausgangsrechnungen'!$C:$C,A312))</f>
        <v/>
      </c>
      <c r="X312" s="15">
        <f>IF(A312="","",SUMIFS('11_Material'!$L:$L,'11_Material'!$C:$C,A312))</f>
        <v/>
      </c>
      <c r="Y312" s="15">
        <f>IF(A312="","",SUMIFS('14_Eingangsrechnungen'!$F:$F,'14_Eingangsrechnungen'!$C:$C,A312,'14_Eingangsrechnungen'!$E:$E,"Nachunternehmer"))</f>
        <v/>
      </c>
      <c r="Z312" s="15">
        <f>IF(A312="","",SUMIFS('10_Stunden'!$K:$K,'10_Stunden'!$C:$C,A312))</f>
        <v/>
      </c>
      <c r="AA312" s="15">
        <f>IF(A312="","",X312+Y312+Z312+SUMIFS('14_Eingangsrechnungen'!$F:$F,'14_Eingangsrechnungen'!$C:$C,A312,'14_Eingangsrechnungen'!$E:$E,"Gerät")+SUMIFS('14_Eingangsrechnungen'!$F:$F,'14_Eingangsrechnungen'!$C:$C,A312,'14_Eingangsrechnungen'!$E:$E,"Dienstleistung"))</f>
        <v/>
      </c>
      <c r="AB312" s="15">
        <f>IF(A312="","",W312-AA312)</f>
        <v/>
      </c>
      <c r="AC312" s="19">
        <f>IF(OR(A312="",W312=0),"",AB312/W312)</f>
        <v/>
      </c>
      <c r="AD312" s="19">
        <f>IF(OR(A312="",V312=0),"",W312/V312)</f>
        <v/>
      </c>
      <c r="AE312" s="15">
        <f>IF(A312="","",MAX(0,V312-W312))</f>
        <v/>
      </c>
      <c r="AF312" s="15">
        <f>IF(A312="","",SUMIFS('13_Ausgangsrechnungen'!$R:$R,'13_Ausgangsrechnungen'!$C:$C,A312))</f>
        <v/>
      </c>
    </row>
    <row r="313">
      <c r="A313" s="30" t="inlineStr"/>
      <c r="B313" s="30" t="inlineStr"/>
      <c r="C313" s="30" t="inlineStr"/>
      <c r="D313" s="30" t="inlineStr"/>
      <c r="E313" s="30" t="inlineStr"/>
      <c r="F313" s="30" t="inlineStr"/>
      <c r="G313" s="38" t="inlineStr"/>
      <c r="H313" s="38" t="inlineStr"/>
      <c r="I313" s="38" t="inlineStr"/>
      <c r="J313" s="34" t="inlineStr"/>
      <c r="K313" s="34" t="inlineStr"/>
      <c r="L313" s="34" t="inlineStr"/>
      <c r="M313" s="34" t="inlineStr"/>
      <c r="N313" s="34" t="inlineStr"/>
      <c r="O313" s="34" t="inlineStr"/>
      <c r="P313" s="32" t="inlineStr"/>
      <c r="Q313" s="30" t="inlineStr"/>
      <c r="R313" s="30" t="inlineStr"/>
      <c r="S313" s="30" t="inlineStr"/>
      <c r="T313" s="30" t="inlineStr"/>
      <c r="U313" s="15">
        <f>IF(A313="","",SUMIFS('07_Nachtraege'!$E:$E,'07_Nachtraege'!$B:$B,A313,'07_Nachtraege'!$F:$F,"beauftragt"))</f>
        <v/>
      </c>
      <c r="V313" s="15">
        <f>IF(A313="","",J313+U313)</f>
        <v/>
      </c>
      <c r="W313" s="15">
        <f>IF(A313="","",SUMIFS('13_Ausgangsrechnungen'!$G:$G,'13_Ausgangsrechnungen'!$C:$C,A313))</f>
        <v/>
      </c>
      <c r="X313" s="15">
        <f>IF(A313="","",SUMIFS('11_Material'!$L:$L,'11_Material'!$C:$C,A313))</f>
        <v/>
      </c>
      <c r="Y313" s="15">
        <f>IF(A313="","",SUMIFS('14_Eingangsrechnungen'!$F:$F,'14_Eingangsrechnungen'!$C:$C,A313,'14_Eingangsrechnungen'!$E:$E,"Nachunternehmer"))</f>
        <v/>
      </c>
      <c r="Z313" s="15">
        <f>IF(A313="","",SUMIFS('10_Stunden'!$K:$K,'10_Stunden'!$C:$C,A313))</f>
        <v/>
      </c>
      <c r="AA313" s="15">
        <f>IF(A313="","",X313+Y313+Z313+SUMIFS('14_Eingangsrechnungen'!$F:$F,'14_Eingangsrechnungen'!$C:$C,A313,'14_Eingangsrechnungen'!$E:$E,"Gerät")+SUMIFS('14_Eingangsrechnungen'!$F:$F,'14_Eingangsrechnungen'!$C:$C,A313,'14_Eingangsrechnungen'!$E:$E,"Dienstleistung"))</f>
        <v/>
      </c>
      <c r="AB313" s="15">
        <f>IF(A313="","",W313-AA313)</f>
        <v/>
      </c>
      <c r="AC313" s="19">
        <f>IF(OR(A313="",W313=0),"",AB313/W313)</f>
        <v/>
      </c>
      <c r="AD313" s="19">
        <f>IF(OR(A313="",V313=0),"",W313/V313)</f>
        <v/>
      </c>
      <c r="AE313" s="15">
        <f>IF(A313="","",MAX(0,V313-W313))</f>
        <v/>
      </c>
      <c r="AF313" s="15">
        <f>IF(A313="","",SUMIFS('13_Ausgangsrechnungen'!$R:$R,'13_Ausgangsrechnungen'!$C:$C,A313))</f>
        <v/>
      </c>
    </row>
    <row r="314">
      <c r="A314" s="30" t="inlineStr"/>
      <c r="B314" s="30" t="inlineStr"/>
      <c r="C314" s="30" t="inlineStr"/>
      <c r="D314" s="30" t="inlineStr"/>
      <c r="E314" s="30" t="inlineStr"/>
      <c r="F314" s="30" t="inlineStr"/>
      <c r="G314" s="38" t="inlineStr"/>
      <c r="H314" s="38" t="inlineStr"/>
      <c r="I314" s="38" t="inlineStr"/>
      <c r="J314" s="34" t="inlineStr"/>
      <c r="K314" s="34" t="inlineStr"/>
      <c r="L314" s="34" t="inlineStr"/>
      <c r="M314" s="34" t="inlineStr"/>
      <c r="N314" s="34" t="inlineStr"/>
      <c r="O314" s="34" t="inlineStr"/>
      <c r="P314" s="32" t="inlineStr"/>
      <c r="Q314" s="30" t="inlineStr"/>
      <c r="R314" s="30" t="inlineStr"/>
      <c r="S314" s="30" t="inlineStr"/>
      <c r="T314" s="30" t="inlineStr"/>
      <c r="U314" s="15">
        <f>IF(A314="","",SUMIFS('07_Nachtraege'!$E:$E,'07_Nachtraege'!$B:$B,A314,'07_Nachtraege'!$F:$F,"beauftragt"))</f>
        <v/>
      </c>
      <c r="V314" s="15">
        <f>IF(A314="","",J314+U314)</f>
        <v/>
      </c>
      <c r="W314" s="15">
        <f>IF(A314="","",SUMIFS('13_Ausgangsrechnungen'!$G:$G,'13_Ausgangsrechnungen'!$C:$C,A314))</f>
        <v/>
      </c>
      <c r="X314" s="15">
        <f>IF(A314="","",SUMIFS('11_Material'!$L:$L,'11_Material'!$C:$C,A314))</f>
        <v/>
      </c>
      <c r="Y314" s="15">
        <f>IF(A314="","",SUMIFS('14_Eingangsrechnungen'!$F:$F,'14_Eingangsrechnungen'!$C:$C,A314,'14_Eingangsrechnungen'!$E:$E,"Nachunternehmer"))</f>
        <v/>
      </c>
      <c r="Z314" s="15">
        <f>IF(A314="","",SUMIFS('10_Stunden'!$K:$K,'10_Stunden'!$C:$C,A314))</f>
        <v/>
      </c>
      <c r="AA314" s="15">
        <f>IF(A314="","",X314+Y314+Z314+SUMIFS('14_Eingangsrechnungen'!$F:$F,'14_Eingangsrechnungen'!$C:$C,A314,'14_Eingangsrechnungen'!$E:$E,"Gerät")+SUMIFS('14_Eingangsrechnungen'!$F:$F,'14_Eingangsrechnungen'!$C:$C,A314,'14_Eingangsrechnungen'!$E:$E,"Dienstleistung"))</f>
        <v/>
      </c>
      <c r="AB314" s="15">
        <f>IF(A314="","",W314-AA314)</f>
        <v/>
      </c>
      <c r="AC314" s="19">
        <f>IF(OR(A314="",W314=0),"",AB314/W314)</f>
        <v/>
      </c>
      <c r="AD314" s="19">
        <f>IF(OR(A314="",V314=0),"",W314/V314)</f>
        <v/>
      </c>
      <c r="AE314" s="15">
        <f>IF(A314="","",MAX(0,V314-W314))</f>
        <v/>
      </c>
      <c r="AF314" s="15">
        <f>IF(A314="","",SUMIFS('13_Ausgangsrechnungen'!$R:$R,'13_Ausgangsrechnungen'!$C:$C,A314))</f>
        <v/>
      </c>
    </row>
    <row r="315">
      <c r="A315" s="30" t="inlineStr"/>
      <c r="B315" s="30" t="inlineStr"/>
      <c r="C315" s="30" t="inlineStr"/>
      <c r="D315" s="30" t="inlineStr"/>
      <c r="E315" s="30" t="inlineStr"/>
      <c r="F315" s="30" t="inlineStr"/>
      <c r="G315" s="38" t="inlineStr"/>
      <c r="H315" s="38" t="inlineStr"/>
      <c r="I315" s="38" t="inlineStr"/>
      <c r="J315" s="34" t="inlineStr"/>
      <c r="K315" s="34" t="inlineStr"/>
      <c r="L315" s="34" t="inlineStr"/>
      <c r="M315" s="34" t="inlineStr"/>
      <c r="N315" s="34" t="inlineStr"/>
      <c r="O315" s="34" t="inlineStr"/>
      <c r="P315" s="32" t="inlineStr"/>
      <c r="Q315" s="30" t="inlineStr"/>
      <c r="R315" s="30" t="inlineStr"/>
      <c r="S315" s="30" t="inlineStr"/>
      <c r="T315" s="30" t="inlineStr"/>
      <c r="U315" s="15">
        <f>IF(A315="","",SUMIFS('07_Nachtraege'!$E:$E,'07_Nachtraege'!$B:$B,A315,'07_Nachtraege'!$F:$F,"beauftragt"))</f>
        <v/>
      </c>
      <c r="V315" s="15">
        <f>IF(A315="","",J315+U315)</f>
        <v/>
      </c>
      <c r="W315" s="15">
        <f>IF(A315="","",SUMIFS('13_Ausgangsrechnungen'!$G:$G,'13_Ausgangsrechnungen'!$C:$C,A315))</f>
        <v/>
      </c>
      <c r="X315" s="15">
        <f>IF(A315="","",SUMIFS('11_Material'!$L:$L,'11_Material'!$C:$C,A315))</f>
        <v/>
      </c>
      <c r="Y315" s="15">
        <f>IF(A315="","",SUMIFS('14_Eingangsrechnungen'!$F:$F,'14_Eingangsrechnungen'!$C:$C,A315,'14_Eingangsrechnungen'!$E:$E,"Nachunternehmer"))</f>
        <v/>
      </c>
      <c r="Z315" s="15">
        <f>IF(A315="","",SUMIFS('10_Stunden'!$K:$K,'10_Stunden'!$C:$C,A315))</f>
        <v/>
      </c>
      <c r="AA315" s="15">
        <f>IF(A315="","",X315+Y315+Z315+SUMIFS('14_Eingangsrechnungen'!$F:$F,'14_Eingangsrechnungen'!$C:$C,A315,'14_Eingangsrechnungen'!$E:$E,"Gerät")+SUMIFS('14_Eingangsrechnungen'!$F:$F,'14_Eingangsrechnungen'!$C:$C,A315,'14_Eingangsrechnungen'!$E:$E,"Dienstleistung"))</f>
        <v/>
      </c>
      <c r="AB315" s="15">
        <f>IF(A315="","",W315-AA315)</f>
        <v/>
      </c>
      <c r="AC315" s="19">
        <f>IF(OR(A315="",W315=0),"",AB315/W315)</f>
        <v/>
      </c>
      <c r="AD315" s="19">
        <f>IF(OR(A315="",V315=0),"",W315/V315)</f>
        <v/>
      </c>
      <c r="AE315" s="15">
        <f>IF(A315="","",MAX(0,V315-W315))</f>
        <v/>
      </c>
      <c r="AF315" s="15">
        <f>IF(A315="","",SUMIFS('13_Ausgangsrechnungen'!$R:$R,'13_Ausgangsrechnungen'!$C:$C,A315))</f>
        <v/>
      </c>
    </row>
    <row r="316">
      <c r="A316" s="30" t="inlineStr"/>
      <c r="B316" s="30" t="inlineStr"/>
      <c r="C316" s="30" t="inlineStr"/>
      <c r="D316" s="30" t="inlineStr"/>
      <c r="E316" s="30" t="inlineStr"/>
      <c r="F316" s="30" t="inlineStr"/>
      <c r="G316" s="38" t="inlineStr"/>
      <c r="H316" s="38" t="inlineStr"/>
      <c r="I316" s="38" t="inlineStr"/>
      <c r="J316" s="34" t="inlineStr"/>
      <c r="K316" s="34" t="inlineStr"/>
      <c r="L316" s="34" t="inlineStr"/>
      <c r="M316" s="34" t="inlineStr"/>
      <c r="N316" s="34" t="inlineStr"/>
      <c r="O316" s="34" t="inlineStr"/>
      <c r="P316" s="32" t="inlineStr"/>
      <c r="Q316" s="30" t="inlineStr"/>
      <c r="R316" s="30" t="inlineStr"/>
      <c r="S316" s="30" t="inlineStr"/>
      <c r="T316" s="30" t="inlineStr"/>
      <c r="U316" s="15">
        <f>IF(A316="","",SUMIFS('07_Nachtraege'!$E:$E,'07_Nachtraege'!$B:$B,A316,'07_Nachtraege'!$F:$F,"beauftragt"))</f>
        <v/>
      </c>
      <c r="V316" s="15">
        <f>IF(A316="","",J316+U316)</f>
        <v/>
      </c>
      <c r="W316" s="15">
        <f>IF(A316="","",SUMIFS('13_Ausgangsrechnungen'!$G:$G,'13_Ausgangsrechnungen'!$C:$C,A316))</f>
        <v/>
      </c>
      <c r="X316" s="15">
        <f>IF(A316="","",SUMIFS('11_Material'!$L:$L,'11_Material'!$C:$C,A316))</f>
        <v/>
      </c>
      <c r="Y316" s="15">
        <f>IF(A316="","",SUMIFS('14_Eingangsrechnungen'!$F:$F,'14_Eingangsrechnungen'!$C:$C,A316,'14_Eingangsrechnungen'!$E:$E,"Nachunternehmer"))</f>
        <v/>
      </c>
      <c r="Z316" s="15">
        <f>IF(A316="","",SUMIFS('10_Stunden'!$K:$K,'10_Stunden'!$C:$C,A316))</f>
        <v/>
      </c>
      <c r="AA316" s="15">
        <f>IF(A316="","",X316+Y316+Z316+SUMIFS('14_Eingangsrechnungen'!$F:$F,'14_Eingangsrechnungen'!$C:$C,A316,'14_Eingangsrechnungen'!$E:$E,"Gerät")+SUMIFS('14_Eingangsrechnungen'!$F:$F,'14_Eingangsrechnungen'!$C:$C,A316,'14_Eingangsrechnungen'!$E:$E,"Dienstleistung"))</f>
        <v/>
      </c>
      <c r="AB316" s="15">
        <f>IF(A316="","",W316-AA316)</f>
        <v/>
      </c>
      <c r="AC316" s="19">
        <f>IF(OR(A316="",W316=0),"",AB316/W316)</f>
        <v/>
      </c>
      <c r="AD316" s="19">
        <f>IF(OR(A316="",V316=0),"",W316/V316)</f>
        <v/>
      </c>
      <c r="AE316" s="15">
        <f>IF(A316="","",MAX(0,V316-W316))</f>
        <v/>
      </c>
      <c r="AF316" s="15">
        <f>IF(A316="","",SUMIFS('13_Ausgangsrechnungen'!$R:$R,'13_Ausgangsrechnungen'!$C:$C,A316))</f>
        <v/>
      </c>
    </row>
    <row r="317">
      <c r="A317" s="30" t="inlineStr"/>
      <c r="B317" s="30" t="inlineStr"/>
      <c r="C317" s="30" t="inlineStr"/>
      <c r="D317" s="30" t="inlineStr"/>
      <c r="E317" s="30" t="inlineStr"/>
      <c r="F317" s="30" t="inlineStr"/>
      <c r="G317" s="38" t="inlineStr"/>
      <c r="H317" s="38" t="inlineStr"/>
      <c r="I317" s="38" t="inlineStr"/>
      <c r="J317" s="34" t="inlineStr"/>
      <c r="K317" s="34" t="inlineStr"/>
      <c r="L317" s="34" t="inlineStr"/>
      <c r="M317" s="34" t="inlineStr"/>
      <c r="N317" s="34" t="inlineStr"/>
      <c r="O317" s="34" t="inlineStr"/>
      <c r="P317" s="32" t="inlineStr"/>
      <c r="Q317" s="30" t="inlineStr"/>
      <c r="R317" s="30" t="inlineStr"/>
      <c r="S317" s="30" t="inlineStr"/>
      <c r="T317" s="30" t="inlineStr"/>
      <c r="U317" s="15">
        <f>IF(A317="","",SUMIFS('07_Nachtraege'!$E:$E,'07_Nachtraege'!$B:$B,A317,'07_Nachtraege'!$F:$F,"beauftragt"))</f>
        <v/>
      </c>
      <c r="V317" s="15">
        <f>IF(A317="","",J317+U317)</f>
        <v/>
      </c>
      <c r="W317" s="15">
        <f>IF(A317="","",SUMIFS('13_Ausgangsrechnungen'!$G:$G,'13_Ausgangsrechnungen'!$C:$C,A317))</f>
        <v/>
      </c>
      <c r="X317" s="15">
        <f>IF(A317="","",SUMIFS('11_Material'!$L:$L,'11_Material'!$C:$C,A317))</f>
        <v/>
      </c>
      <c r="Y317" s="15">
        <f>IF(A317="","",SUMIFS('14_Eingangsrechnungen'!$F:$F,'14_Eingangsrechnungen'!$C:$C,A317,'14_Eingangsrechnungen'!$E:$E,"Nachunternehmer"))</f>
        <v/>
      </c>
      <c r="Z317" s="15">
        <f>IF(A317="","",SUMIFS('10_Stunden'!$K:$K,'10_Stunden'!$C:$C,A317))</f>
        <v/>
      </c>
      <c r="AA317" s="15">
        <f>IF(A317="","",X317+Y317+Z317+SUMIFS('14_Eingangsrechnungen'!$F:$F,'14_Eingangsrechnungen'!$C:$C,A317,'14_Eingangsrechnungen'!$E:$E,"Gerät")+SUMIFS('14_Eingangsrechnungen'!$F:$F,'14_Eingangsrechnungen'!$C:$C,A317,'14_Eingangsrechnungen'!$E:$E,"Dienstleistung"))</f>
        <v/>
      </c>
      <c r="AB317" s="15">
        <f>IF(A317="","",W317-AA317)</f>
        <v/>
      </c>
      <c r="AC317" s="19">
        <f>IF(OR(A317="",W317=0),"",AB317/W317)</f>
        <v/>
      </c>
      <c r="AD317" s="19">
        <f>IF(OR(A317="",V317=0),"",W317/V317)</f>
        <v/>
      </c>
      <c r="AE317" s="15">
        <f>IF(A317="","",MAX(0,V317-W317))</f>
        <v/>
      </c>
      <c r="AF317" s="15">
        <f>IF(A317="","",SUMIFS('13_Ausgangsrechnungen'!$R:$R,'13_Ausgangsrechnungen'!$C:$C,A317))</f>
        <v/>
      </c>
    </row>
    <row r="318">
      <c r="A318" s="30" t="inlineStr"/>
      <c r="B318" s="30" t="inlineStr"/>
      <c r="C318" s="30" t="inlineStr"/>
      <c r="D318" s="30" t="inlineStr"/>
      <c r="E318" s="30" t="inlineStr"/>
      <c r="F318" s="30" t="inlineStr"/>
      <c r="G318" s="38" t="inlineStr"/>
      <c r="H318" s="38" t="inlineStr"/>
      <c r="I318" s="38" t="inlineStr"/>
      <c r="J318" s="34" t="inlineStr"/>
      <c r="K318" s="34" t="inlineStr"/>
      <c r="L318" s="34" t="inlineStr"/>
      <c r="M318" s="34" t="inlineStr"/>
      <c r="N318" s="34" t="inlineStr"/>
      <c r="O318" s="34" t="inlineStr"/>
      <c r="P318" s="32" t="inlineStr"/>
      <c r="Q318" s="30" t="inlineStr"/>
      <c r="R318" s="30" t="inlineStr"/>
      <c r="S318" s="30" t="inlineStr"/>
      <c r="T318" s="30" t="inlineStr"/>
      <c r="U318" s="15">
        <f>IF(A318="","",SUMIFS('07_Nachtraege'!$E:$E,'07_Nachtraege'!$B:$B,A318,'07_Nachtraege'!$F:$F,"beauftragt"))</f>
        <v/>
      </c>
      <c r="V318" s="15">
        <f>IF(A318="","",J318+U318)</f>
        <v/>
      </c>
      <c r="W318" s="15">
        <f>IF(A318="","",SUMIFS('13_Ausgangsrechnungen'!$G:$G,'13_Ausgangsrechnungen'!$C:$C,A318))</f>
        <v/>
      </c>
      <c r="X318" s="15">
        <f>IF(A318="","",SUMIFS('11_Material'!$L:$L,'11_Material'!$C:$C,A318))</f>
        <v/>
      </c>
      <c r="Y318" s="15">
        <f>IF(A318="","",SUMIFS('14_Eingangsrechnungen'!$F:$F,'14_Eingangsrechnungen'!$C:$C,A318,'14_Eingangsrechnungen'!$E:$E,"Nachunternehmer"))</f>
        <v/>
      </c>
      <c r="Z318" s="15">
        <f>IF(A318="","",SUMIFS('10_Stunden'!$K:$K,'10_Stunden'!$C:$C,A318))</f>
        <v/>
      </c>
      <c r="AA318" s="15">
        <f>IF(A318="","",X318+Y318+Z318+SUMIFS('14_Eingangsrechnungen'!$F:$F,'14_Eingangsrechnungen'!$C:$C,A318,'14_Eingangsrechnungen'!$E:$E,"Gerät")+SUMIFS('14_Eingangsrechnungen'!$F:$F,'14_Eingangsrechnungen'!$C:$C,A318,'14_Eingangsrechnungen'!$E:$E,"Dienstleistung"))</f>
        <v/>
      </c>
      <c r="AB318" s="15">
        <f>IF(A318="","",W318-AA318)</f>
        <v/>
      </c>
      <c r="AC318" s="19">
        <f>IF(OR(A318="",W318=0),"",AB318/W318)</f>
        <v/>
      </c>
      <c r="AD318" s="19">
        <f>IF(OR(A318="",V318=0),"",W318/V318)</f>
        <v/>
      </c>
      <c r="AE318" s="15">
        <f>IF(A318="","",MAX(0,V318-W318))</f>
        <v/>
      </c>
      <c r="AF318" s="15">
        <f>IF(A318="","",SUMIFS('13_Ausgangsrechnungen'!$R:$R,'13_Ausgangsrechnungen'!$C:$C,A318))</f>
        <v/>
      </c>
    </row>
    <row r="319">
      <c r="A319" s="30" t="inlineStr"/>
      <c r="B319" s="30" t="inlineStr"/>
      <c r="C319" s="30" t="inlineStr"/>
      <c r="D319" s="30" t="inlineStr"/>
      <c r="E319" s="30" t="inlineStr"/>
      <c r="F319" s="30" t="inlineStr"/>
      <c r="G319" s="38" t="inlineStr"/>
      <c r="H319" s="38" t="inlineStr"/>
      <c r="I319" s="38" t="inlineStr"/>
      <c r="J319" s="34" t="inlineStr"/>
      <c r="K319" s="34" t="inlineStr"/>
      <c r="L319" s="34" t="inlineStr"/>
      <c r="M319" s="34" t="inlineStr"/>
      <c r="N319" s="34" t="inlineStr"/>
      <c r="O319" s="34" t="inlineStr"/>
      <c r="P319" s="32" t="inlineStr"/>
      <c r="Q319" s="30" t="inlineStr"/>
      <c r="R319" s="30" t="inlineStr"/>
      <c r="S319" s="30" t="inlineStr"/>
      <c r="T319" s="30" t="inlineStr"/>
      <c r="U319" s="15">
        <f>IF(A319="","",SUMIFS('07_Nachtraege'!$E:$E,'07_Nachtraege'!$B:$B,A319,'07_Nachtraege'!$F:$F,"beauftragt"))</f>
        <v/>
      </c>
      <c r="V319" s="15">
        <f>IF(A319="","",J319+U319)</f>
        <v/>
      </c>
      <c r="W319" s="15">
        <f>IF(A319="","",SUMIFS('13_Ausgangsrechnungen'!$G:$G,'13_Ausgangsrechnungen'!$C:$C,A319))</f>
        <v/>
      </c>
      <c r="X319" s="15">
        <f>IF(A319="","",SUMIFS('11_Material'!$L:$L,'11_Material'!$C:$C,A319))</f>
        <v/>
      </c>
      <c r="Y319" s="15">
        <f>IF(A319="","",SUMIFS('14_Eingangsrechnungen'!$F:$F,'14_Eingangsrechnungen'!$C:$C,A319,'14_Eingangsrechnungen'!$E:$E,"Nachunternehmer"))</f>
        <v/>
      </c>
      <c r="Z319" s="15">
        <f>IF(A319="","",SUMIFS('10_Stunden'!$K:$K,'10_Stunden'!$C:$C,A319))</f>
        <v/>
      </c>
      <c r="AA319" s="15">
        <f>IF(A319="","",X319+Y319+Z319+SUMIFS('14_Eingangsrechnungen'!$F:$F,'14_Eingangsrechnungen'!$C:$C,A319,'14_Eingangsrechnungen'!$E:$E,"Gerät")+SUMIFS('14_Eingangsrechnungen'!$F:$F,'14_Eingangsrechnungen'!$C:$C,A319,'14_Eingangsrechnungen'!$E:$E,"Dienstleistung"))</f>
        <v/>
      </c>
      <c r="AB319" s="15">
        <f>IF(A319="","",W319-AA319)</f>
        <v/>
      </c>
      <c r="AC319" s="19">
        <f>IF(OR(A319="",W319=0),"",AB319/W319)</f>
        <v/>
      </c>
      <c r="AD319" s="19">
        <f>IF(OR(A319="",V319=0),"",W319/V319)</f>
        <v/>
      </c>
      <c r="AE319" s="15">
        <f>IF(A319="","",MAX(0,V319-W319))</f>
        <v/>
      </c>
      <c r="AF319" s="15">
        <f>IF(A319="","",SUMIFS('13_Ausgangsrechnungen'!$R:$R,'13_Ausgangsrechnungen'!$C:$C,A319))</f>
        <v/>
      </c>
    </row>
    <row r="320">
      <c r="A320" s="30" t="inlineStr"/>
      <c r="B320" s="30" t="inlineStr"/>
      <c r="C320" s="30" t="inlineStr"/>
      <c r="D320" s="30" t="inlineStr"/>
      <c r="E320" s="30" t="inlineStr"/>
      <c r="F320" s="30" t="inlineStr"/>
      <c r="G320" s="38" t="inlineStr"/>
      <c r="H320" s="38" t="inlineStr"/>
      <c r="I320" s="38" t="inlineStr"/>
      <c r="J320" s="34" t="inlineStr"/>
      <c r="K320" s="34" t="inlineStr"/>
      <c r="L320" s="34" t="inlineStr"/>
      <c r="M320" s="34" t="inlineStr"/>
      <c r="N320" s="34" t="inlineStr"/>
      <c r="O320" s="34" t="inlineStr"/>
      <c r="P320" s="32" t="inlineStr"/>
      <c r="Q320" s="30" t="inlineStr"/>
      <c r="R320" s="30" t="inlineStr"/>
      <c r="S320" s="30" t="inlineStr"/>
      <c r="T320" s="30" t="inlineStr"/>
      <c r="U320" s="15">
        <f>IF(A320="","",SUMIFS('07_Nachtraege'!$E:$E,'07_Nachtraege'!$B:$B,A320,'07_Nachtraege'!$F:$F,"beauftragt"))</f>
        <v/>
      </c>
      <c r="V320" s="15">
        <f>IF(A320="","",J320+U320)</f>
        <v/>
      </c>
      <c r="W320" s="15">
        <f>IF(A320="","",SUMIFS('13_Ausgangsrechnungen'!$G:$G,'13_Ausgangsrechnungen'!$C:$C,A320))</f>
        <v/>
      </c>
      <c r="X320" s="15">
        <f>IF(A320="","",SUMIFS('11_Material'!$L:$L,'11_Material'!$C:$C,A320))</f>
        <v/>
      </c>
      <c r="Y320" s="15">
        <f>IF(A320="","",SUMIFS('14_Eingangsrechnungen'!$F:$F,'14_Eingangsrechnungen'!$C:$C,A320,'14_Eingangsrechnungen'!$E:$E,"Nachunternehmer"))</f>
        <v/>
      </c>
      <c r="Z320" s="15">
        <f>IF(A320="","",SUMIFS('10_Stunden'!$K:$K,'10_Stunden'!$C:$C,A320))</f>
        <v/>
      </c>
      <c r="AA320" s="15">
        <f>IF(A320="","",X320+Y320+Z320+SUMIFS('14_Eingangsrechnungen'!$F:$F,'14_Eingangsrechnungen'!$C:$C,A320,'14_Eingangsrechnungen'!$E:$E,"Gerät")+SUMIFS('14_Eingangsrechnungen'!$F:$F,'14_Eingangsrechnungen'!$C:$C,A320,'14_Eingangsrechnungen'!$E:$E,"Dienstleistung"))</f>
        <v/>
      </c>
      <c r="AB320" s="15">
        <f>IF(A320="","",W320-AA320)</f>
        <v/>
      </c>
      <c r="AC320" s="19">
        <f>IF(OR(A320="",W320=0),"",AB320/W320)</f>
        <v/>
      </c>
      <c r="AD320" s="19">
        <f>IF(OR(A320="",V320=0),"",W320/V320)</f>
        <v/>
      </c>
      <c r="AE320" s="15">
        <f>IF(A320="","",MAX(0,V320-W320))</f>
        <v/>
      </c>
      <c r="AF320" s="15">
        <f>IF(A320="","",SUMIFS('13_Ausgangsrechnungen'!$R:$R,'13_Ausgangsrechnungen'!$C:$C,A320))</f>
        <v/>
      </c>
    </row>
    <row r="321">
      <c r="A321" s="30" t="inlineStr"/>
      <c r="B321" s="30" t="inlineStr"/>
      <c r="C321" s="30" t="inlineStr"/>
      <c r="D321" s="30" t="inlineStr"/>
      <c r="E321" s="30" t="inlineStr"/>
      <c r="F321" s="30" t="inlineStr"/>
      <c r="G321" s="38" t="inlineStr"/>
      <c r="H321" s="38" t="inlineStr"/>
      <c r="I321" s="38" t="inlineStr"/>
      <c r="J321" s="34" t="inlineStr"/>
      <c r="K321" s="34" t="inlineStr"/>
      <c r="L321" s="34" t="inlineStr"/>
      <c r="M321" s="34" t="inlineStr"/>
      <c r="N321" s="34" t="inlineStr"/>
      <c r="O321" s="34" t="inlineStr"/>
      <c r="P321" s="32" t="inlineStr"/>
      <c r="Q321" s="30" t="inlineStr"/>
      <c r="R321" s="30" t="inlineStr"/>
      <c r="S321" s="30" t="inlineStr"/>
      <c r="T321" s="30" t="inlineStr"/>
      <c r="U321" s="15">
        <f>IF(A321="","",SUMIFS('07_Nachtraege'!$E:$E,'07_Nachtraege'!$B:$B,A321,'07_Nachtraege'!$F:$F,"beauftragt"))</f>
        <v/>
      </c>
      <c r="V321" s="15">
        <f>IF(A321="","",J321+U321)</f>
        <v/>
      </c>
      <c r="W321" s="15">
        <f>IF(A321="","",SUMIFS('13_Ausgangsrechnungen'!$G:$G,'13_Ausgangsrechnungen'!$C:$C,A321))</f>
        <v/>
      </c>
      <c r="X321" s="15">
        <f>IF(A321="","",SUMIFS('11_Material'!$L:$L,'11_Material'!$C:$C,A321))</f>
        <v/>
      </c>
      <c r="Y321" s="15">
        <f>IF(A321="","",SUMIFS('14_Eingangsrechnungen'!$F:$F,'14_Eingangsrechnungen'!$C:$C,A321,'14_Eingangsrechnungen'!$E:$E,"Nachunternehmer"))</f>
        <v/>
      </c>
      <c r="Z321" s="15">
        <f>IF(A321="","",SUMIFS('10_Stunden'!$K:$K,'10_Stunden'!$C:$C,A321))</f>
        <v/>
      </c>
      <c r="AA321" s="15">
        <f>IF(A321="","",X321+Y321+Z321+SUMIFS('14_Eingangsrechnungen'!$F:$F,'14_Eingangsrechnungen'!$C:$C,A321,'14_Eingangsrechnungen'!$E:$E,"Gerät")+SUMIFS('14_Eingangsrechnungen'!$F:$F,'14_Eingangsrechnungen'!$C:$C,A321,'14_Eingangsrechnungen'!$E:$E,"Dienstleistung"))</f>
        <v/>
      </c>
      <c r="AB321" s="15">
        <f>IF(A321="","",W321-AA321)</f>
        <v/>
      </c>
      <c r="AC321" s="19">
        <f>IF(OR(A321="",W321=0),"",AB321/W321)</f>
        <v/>
      </c>
      <c r="AD321" s="19">
        <f>IF(OR(A321="",V321=0),"",W321/V321)</f>
        <v/>
      </c>
      <c r="AE321" s="15">
        <f>IF(A321="","",MAX(0,V321-W321))</f>
        <v/>
      </c>
      <c r="AF321" s="15">
        <f>IF(A321="","",SUMIFS('13_Ausgangsrechnungen'!$R:$R,'13_Ausgangsrechnungen'!$C:$C,A321))</f>
        <v/>
      </c>
    </row>
    <row r="322">
      <c r="A322" s="30" t="inlineStr"/>
      <c r="B322" s="30" t="inlineStr"/>
      <c r="C322" s="30" t="inlineStr"/>
      <c r="D322" s="30" t="inlineStr"/>
      <c r="E322" s="30" t="inlineStr"/>
      <c r="F322" s="30" t="inlineStr"/>
      <c r="G322" s="38" t="inlineStr"/>
      <c r="H322" s="38" t="inlineStr"/>
      <c r="I322" s="38" t="inlineStr"/>
      <c r="J322" s="34" t="inlineStr"/>
      <c r="K322" s="34" t="inlineStr"/>
      <c r="L322" s="34" t="inlineStr"/>
      <c r="M322" s="34" t="inlineStr"/>
      <c r="N322" s="34" t="inlineStr"/>
      <c r="O322" s="34" t="inlineStr"/>
      <c r="P322" s="32" t="inlineStr"/>
      <c r="Q322" s="30" t="inlineStr"/>
      <c r="R322" s="30" t="inlineStr"/>
      <c r="S322" s="30" t="inlineStr"/>
      <c r="T322" s="30" t="inlineStr"/>
      <c r="U322" s="15">
        <f>IF(A322="","",SUMIFS('07_Nachtraege'!$E:$E,'07_Nachtraege'!$B:$B,A322,'07_Nachtraege'!$F:$F,"beauftragt"))</f>
        <v/>
      </c>
      <c r="V322" s="15">
        <f>IF(A322="","",J322+U322)</f>
        <v/>
      </c>
      <c r="W322" s="15">
        <f>IF(A322="","",SUMIFS('13_Ausgangsrechnungen'!$G:$G,'13_Ausgangsrechnungen'!$C:$C,A322))</f>
        <v/>
      </c>
      <c r="X322" s="15">
        <f>IF(A322="","",SUMIFS('11_Material'!$L:$L,'11_Material'!$C:$C,A322))</f>
        <v/>
      </c>
      <c r="Y322" s="15">
        <f>IF(A322="","",SUMIFS('14_Eingangsrechnungen'!$F:$F,'14_Eingangsrechnungen'!$C:$C,A322,'14_Eingangsrechnungen'!$E:$E,"Nachunternehmer"))</f>
        <v/>
      </c>
      <c r="Z322" s="15">
        <f>IF(A322="","",SUMIFS('10_Stunden'!$K:$K,'10_Stunden'!$C:$C,A322))</f>
        <v/>
      </c>
      <c r="AA322" s="15">
        <f>IF(A322="","",X322+Y322+Z322+SUMIFS('14_Eingangsrechnungen'!$F:$F,'14_Eingangsrechnungen'!$C:$C,A322,'14_Eingangsrechnungen'!$E:$E,"Gerät")+SUMIFS('14_Eingangsrechnungen'!$F:$F,'14_Eingangsrechnungen'!$C:$C,A322,'14_Eingangsrechnungen'!$E:$E,"Dienstleistung"))</f>
        <v/>
      </c>
      <c r="AB322" s="15">
        <f>IF(A322="","",W322-AA322)</f>
        <v/>
      </c>
      <c r="AC322" s="19">
        <f>IF(OR(A322="",W322=0),"",AB322/W322)</f>
        <v/>
      </c>
      <c r="AD322" s="19">
        <f>IF(OR(A322="",V322=0),"",W322/V322)</f>
        <v/>
      </c>
      <c r="AE322" s="15">
        <f>IF(A322="","",MAX(0,V322-W322))</f>
        <v/>
      </c>
      <c r="AF322" s="15">
        <f>IF(A322="","",SUMIFS('13_Ausgangsrechnungen'!$R:$R,'13_Ausgangsrechnungen'!$C:$C,A322))</f>
        <v/>
      </c>
    </row>
    <row r="323">
      <c r="A323" s="30" t="inlineStr"/>
      <c r="B323" s="30" t="inlineStr"/>
      <c r="C323" s="30" t="inlineStr"/>
      <c r="D323" s="30" t="inlineStr"/>
      <c r="E323" s="30" t="inlineStr"/>
      <c r="F323" s="30" t="inlineStr"/>
      <c r="G323" s="38" t="inlineStr"/>
      <c r="H323" s="38" t="inlineStr"/>
      <c r="I323" s="38" t="inlineStr"/>
      <c r="J323" s="34" t="inlineStr"/>
      <c r="K323" s="34" t="inlineStr"/>
      <c r="L323" s="34" t="inlineStr"/>
      <c r="M323" s="34" t="inlineStr"/>
      <c r="N323" s="34" t="inlineStr"/>
      <c r="O323" s="34" t="inlineStr"/>
      <c r="P323" s="32" t="inlineStr"/>
      <c r="Q323" s="30" t="inlineStr"/>
      <c r="R323" s="30" t="inlineStr"/>
      <c r="S323" s="30" t="inlineStr"/>
      <c r="T323" s="30" t="inlineStr"/>
      <c r="U323" s="15">
        <f>IF(A323="","",SUMIFS('07_Nachtraege'!$E:$E,'07_Nachtraege'!$B:$B,A323,'07_Nachtraege'!$F:$F,"beauftragt"))</f>
        <v/>
      </c>
      <c r="V323" s="15">
        <f>IF(A323="","",J323+U323)</f>
        <v/>
      </c>
      <c r="W323" s="15">
        <f>IF(A323="","",SUMIFS('13_Ausgangsrechnungen'!$G:$G,'13_Ausgangsrechnungen'!$C:$C,A323))</f>
        <v/>
      </c>
      <c r="X323" s="15">
        <f>IF(A323="","",SUMIFS('11_Material'!$L:$L,'11_Material'!$C:$C,A323))</f>
        <v/>
      </c>
      <c r="Y323" s="15">
        <f>IF(A323="","",SUMIFS('14_Eingangsrechnungen'!$F:$F,'14_Eingangsrechnungen'!$C:$C,A323,'14_Eingangsrechnungen'!$E:$E,"Nachunternehmer"))</f>
        <v/>
      </c>
      <c r="Z323" s="15">
        <f>IF(A323="","",SUMIFS('10_Stunden'!$K:$K,'10_Stunden'!$C:$C,A323))</f>
        <v/>
      </c>
      <c r="AA323" s="15">
        <f>IF(A323="","",X323+Y323+Z323+SUMIFS('14_Eingangsrechnungen'!$F:$F,'14_Eingangsrechnungen'!$C:$C,A323,'14_Eingangsrechnungen'!$E:$E,"Gerät")+SUMIFS('14_Eingangsrechnungen'!$F:$F,'14_Eingangsrechnungen'!$C:$C,A323,'14_Eingangsrechnungen'!$E:$E,"Dienstleistung"))</f>
        <v/>
      </c>
      <c r="AB323" s="15">
        <f>IF(A323="","",W323-AA323)</f>
        <v/>
      </c>
      <c r="AC323" s="19">
        <f>IF(OR(A323="",W323=0),"",AB323/W323)</f>
        <v/>
      </c>
      <c r="AD323" s="19">
        <f>IF(OR(A323="",V323=0),"",W323/V323)</f>
        <v/>
      </c>
      <c r="AE323" s="15">
        <f>IF(A323="","",MAX(0,V323-W323))</f>
        <v/>
      </c>
      <c r="AF323" s="15">
        <f>IF(A323="","",SUMIFS('13_Ausgangsrechnungen'!$R:$R,'13_Ausgangsrechnungen'!$C:$C,A323))</f>
        <v/>
      </c>
    </row>
    <row r="324">
      <c r="A324" s="30" t="inlineStr"/>
      <c r="B324" s="30" t="inlineStr"/>
      <c r="C324" s="30" t="inlineStr"/>
      <c r="D324" s="30" t="inlineStr"/>
      <c r="E324" s="30" t="inlineStr"/>
      <c r="F324" s="30" t="inlineStr"/>
      <c r="G324" s="38" t="inlineStr"/>
      <c r="H324" s="38" t="inlineStr"/>
      <c r="I324" s="38" t="inlineStr"/>
      <c r="J324" s="34" t="inlineStr"/>
      <c r="K324" s="34" t="inlineStr"/>
      <c r="L324" s="34" t="inlineStr"/>
      <c r="M324" s="34" t="inlineStr"/>
      <c r="N324" s="34" t="inlineStr"/>
      <c r="O324" s="34" t="inlineStr"/>
      <c r="P324" s="32" t="inlineStr"/>
      <c r="Q324" s="30" t="inlineStr"/>
      <c r="R324" s="30" t="inlineStr"/>
      <c r="S324" s="30" t="inlineStr"/>
      <c r="T324" s="30" t="inlineStr"/>
      <c r="U324" s="15">
        <f>IF(A324="","",SUMIFS('07_Nachtraege'!$E:$E,'07_Nachtraege'!$B:$B,A324,'07_Nachtraege'!$F:$F,"beauftragt"))</f>
        <v/>
      </c>
      <c r="V324" s="15">
        <f>IF(A324="","",J324+U324)</f>
        <v/>
      </c>
      <c r="W324" s="15">
        <f>IF(A324="","",SUMIFS('13_Ausgangsrechnungen'!$G:$G,'13_Ausgangsrechnungen'!$C:$C,A324))</f>
        <v/>
      </c>
      <c r="X324" s="15">
        <f>IF(A324="","",SUMIFS('11_Material'!$L:$L,'11_Material'!$C:$C,A324))</f>
        <v/>
      </c>
      <c r="Y324" s="15">
        <f>IF(A324="","",SUMIFS('14_Eingangsrechnungen'!$F:$F,'14_Eingangsrechnungen'!$C:$C,A324,'14_Eingangsrechnungen'!$E:$E,"Nachunternehmer"))</f>
        <v/>
      </c>
      <c r="Z324" s="15">
        <f>IF(A324="","",SUMIFS('10_Stunden'!$K:$K,'10_Stunden'!$C:$C,A324))</f>
        <v/>
      </c>
      <c r="AA324" s="15">
        <f>IF(A324="","",X324+Y324+Z324+SUMIFS('14_Eingangsrechnungen'!$F:$F,'14_Eingangsrechnungen'!$C:$C,A324,'14_Eingangsrechnungen'!$E:$E,"Gerät")+SUMIFS('14_Eingangsrechnungen'!$F:$F,'14_Eingangsrechnungen'!$C:$C,A324,'14_Eingangsrechnungen'!$E:$E,"Dienstleistung"))</f>
        <v/>
      </c>
      <c r="AB324" s="15">
        <f>IF(A324="","",W324-AA324)</f>
        <v/>
      </c>
      <c r="AC324" s="19">
        <f>IF(OR(A324="",W324=0),"",AB324/W324)</f>
        <v/>
      </c>
      <c r="AD324" s="19">
        <f>IF(OR(A324="",V324=0),"",W324/V324)</f>
        <v/>
      </c>
      <c r="AE324" s="15">
        <f>IF(A324="","",MAX(0,V324-W324))</f>
        <v/>
      </c>
      <c r="AF324" s="15">
        <f>IF(A324="","",SUMIFS('13_Ausgangsrechnungen'!$R:$R,'13_Ausgangsrechnungen'!$C:$C,A324))</f>
        <v/>
      </c>
    </row>
    <row r="325">
      <c r="A325" s="30" t="inlineStr"/>
      <c r="B325" s="30" t="inlineStr"/>
      <c r="C325" s="30" t="inlineStr"/>
      <c r="D325" s="30" t="inlineStr"/>
      <c r="E325" s="30" t="inlineStr"/>
      <c r="F325" s="30" t="inlineStr"/>
      <c r="G325" s="38" t="inlineStr"/>
      <c r="H325" s="38" t="inlineStr"/>
      <c r="I325" s="38" t="inlineStr"/>
      <c r="J325" s="34" t="inlineStr"/>
      <c r="K325" s="34" t="inlineStr"/>
      <c r="L325" s="34" t="inlineStr"/>
      <c r="M325" s="34" t="inlineStr"/>
      <c r="N325" s="34" t="inlineStr"/>
      <c r="O325" s="34" t="inlineStr"/>
      <c r="P325" s="32" t="inlineStr"/>
      <c r="Q325" s="30" t="inlineStr"/>
      <c r="R325" s="30" t="inlineStr"/>
      <c r="S325" s="30" t="inlineStr"/>
      <c r="T325" s="30" t="inlineStr"/>
      <c r="U325" s="15">
        <f>IF(A325="","",SUMIFS('07_Nachtraege'!$E:$E,'07_Nachtraege'!$B:$B,A325,'07_Nachtraege'!$F:$F,"beauftragt"))</f>
        <v/>
      </c>
      <c r="V325" s="15">
        <f>IF(A325="","",J325+U325)</f>
        <v/>
      </c>
      <c r="W325" s="15">
        <f>IF(A325="","",SUMIFS('13_Ausgangsrechnungen'!$G:$G,'13_Ausgangsrechnungen'!$C:$C,A325))</f>
        <v/>
      </c>
      <c r="X325" s="15">
        <f>IF(A325="","",SUMIFS('11_Material'!$L:$L,'11_Material'!$C:$C,A325))</f>
        <v/>
      </c>
      <c r="Y325" s="15">
        <f>IF(A325="","",SUMIFS('14_Eingangsrechnungen'!$F:$F,'14_Eingangsrechnungen'!$C:$C,A325,'14_Eingangsrechnungen'!$E:$E,"Nachunternehmer"))</f>
        <v/>
      </c>
      <c r="Z325" s="15">
        <f>IF(A325="","",SUMIFS('10_Stunden'!$K:$K,'10_Stunden'!$C:$C,A325))</f>
        <v/>
      </c>
      <c r="AA325" s="15">
        <f>IF(A325="","",X325+Y325+Z325+SUMIFS('14_Eingangsrechnungen'!$F:$F,'14_Eingangsrechnungen'!$C:$C,A325,'14_Eingangsrechnungen'!$E:$E,"Gerät")+SUMIFS('14_Eingangsrechnungen'!$F:$F,'14_Eingangsrechnungen'!$C:$C,A325,'14_Eingangsrechnungen'!$E:$E,"Dienstleistung"))</f>
        <v/>
      </c>
      <c r="AB325" s="15">
        <f>IF(A325="","",W325-AA325)</f>
        <v/>
      </c>
      <c r="AC325" s="19">
        <f>IF(OR(A325="",W325=0),"",AB325/W325)</f>
        <v/>
      </c>
      <c r="AD325" s="19">
        <f>IF(OR(A325="",V325=0),"",W325/V325)</f>
        <v/>
      </c>
      <c r="AE325" s="15">
        <f>IF(A325="","",MAX(0,V325-W325))</f>
        <v/>
      </c>
      <c r="AF325" s="15">
        <f>IF(A325="","",SUMIFS('13_Ausgangsrechnungen'!$R:$R,'13_Ausgangsrechnungen'!$C:$C,A325))</f>
        <v/>
      </c>
    </row>
    <row r="326">
      <c r="A326" s="30" t="inlineStr"/>
      <c r="B326" s="30" t="inlineStr"/>
      <c r="C326" s="30" t="inlineStr"/>
      <c r="D326" s="30" t="inlineStr"/>
      <c r="E326" s="30" t="inlineStr"/>
      <c r="F326" s="30" t="inlineStr"/>
      <c r="G326" s="38" t="inlineStr"/>
      <c r="H326" s="38" t="inlineStr"/>
      <c r="I326" s="38" t="inlineStr"/>
      <c r="J326" s="34" t="inlineStr"/>
      <c r="K326" s="34" t="inlineStr"/>
      <c r="L326" s="34" t="inlineStr"/>
      <c r="M326" s="34" t="inlineStr"/>
      <c r="N326" s="34" t="inlineStr"/>
      <c r="O326" s="34" t="inlineStr"/>
      <c r="P326" s="32" t="inlineStr"/>
      <c r="Q326" s="30" t="inlineStr"/>
      <c r="R326" s="30" t="inlineStr"/>
      <c r="S326" s="30" t="inlineStr"/>
      <c r="T326" s="30" t="inlineStr"/>
      <c r="U326" s="15">
        <f>IF(A326="","",SUMIFS('07_Nachtraege'!$E:$E,'07_Nachtraege'!$B:$B,A326,'07_Nachtraege'!$F:$F,"beauftragt"))</f>
        <v/>
      </c>
      <c r="V326" s="15">
        <f>IF(A326="","",J326+U326)</f>
        <v/>
      </c>
      <c r="W326" s="15">
        <f>IF(A326="","",SUMIFS('13_Ausgangsrechnungen'!$G:$G,'13_Ausgangsrechnungen'!$C:$C,A326))</f>
        <v/>
      </c>
      <c r="X326" s="15">
        <f>IF(A326="","",SUMIFS('11_Material'!$L:$L,'11_Material'!$C:$C,A326))</f>
        <v/>
      </c>
      <c r="Y326" s="15">
        <f>IF(A326="","",SUMIFS('14_Eingangsrechnungen'!$F:$F,'14_Eingangsrechnungen'!$C:$C,A326,'14_Eingangsrechnungen'!$E:$E,"Nachunternehmer"))</f>
        <v/>
      </c>
      <c r="Z326" s="15">
        <f>IF(A326="","",SUMIFS('10_Stunden'!$K:$K,'10_Stunden'!$C:$C,A326))</f>
        <v/>
      </c>
      <c r="AA326" s="15">
        <f>IF(A326="","",X326+Y326+Z326+SUMIFS('14_Eingangsrechnungen'!$F:$F,'14_Eingangsrechnungen'!$C:$C,A326,'14_Eingangsrechnungen'!$E:$E,"Gerät")+SUMIFS('14_Eingangsrechnungen'!$F:$F,'14_Eingangsrechnungen'!$C:$C,A326,'14_Eingangsrechnungen'!$E:$E,"Dienstleistung"))</f>
        <v/>
      </c>
      <c r="AB326" s="15">
        <f>IF(A326="","",W326-AA326)</f>
        <v/>
      </c>
      <c r="AC326" s="19">
        <f>IF(OR(A326="",W326=0),"",AB326/W326)</f>
        <v/>
      </c>
      <c r="AD326" s="19">
        <f>IF(OR(A326="",V326=0),"",W326/V326)</f>
        <v/>
      </c>
      <c r="AE326" s="15">
        <f>IF(A326="","",MAX(0,V326-W326))</f>
        <v/>
      </c>
      <c r="AF326" s="15">
        <f>IF(A326="","",SUMIFS('13_Ausgangsrechnungen'!$R:$R,'13_Ausgangsrechnungen'!$C:$C,A326))</f>
        <v/>
      </c>
    </row>
    <row r="327">
      <c r="A327" s="30" t="inlineStr"/>
      <c r="B327" s="30" t="inlineStr"/>
      <c r="C327" s="30" t="inlineStr"/>
      <c r="D327" s="30" t="inlineStr"/>
      <c r="E327" s="30" t="inlineStr"/>
      <c r="F327" s="30" t="inlineStr"/>
      <c r="G327" s="38" t="inlineStr"/>
      <c r="H327" s="38" t="inlineStr"/>
      <c r="I327" s="38" t="inlineStr"/>
      <c r="J327" s="34" t="inlineStr"/>
      <c r="K327" s="34" t="inlineStr"/>
      <c r="L327" s="34" t="inlineStr"/>
      <c r="M327" s="34" t="inlineStr"/>
      <c r="N327" s="34" t="inlineStr"/>
      <c r="O327" s="34" t="inlineStr"/>
      <c r="P327" s="32" t="inlineStr"/>
      <c r="Q327" s="30" t="inlineStr"/>
      <c r="R327" s="30" t="inlineStr"/>
      <c r="S327" s="30" t="inlineStr"/>
      <c r="T327" s="30" t="inlineStr"/>
      <c r="U327" s="15">
        <f>IF(A327="","",SUMIFS('07_Nachtraege'!$E:$E,'07_Nachtraege'!$B:$B,A327,'07_Nachtraege'!$F:$F,"beauftragt"))</f>
        <v/>
      </c>
      <c r="V327" s="15">
        <f>IF(A327="","",J327+U327)</f>
        <v/>
      </c>
      <c r="W327" s="15">
        <f>IF(A327="","",SUMIFS('13_Ausgangsrechnungen'!$G:$G,'13_Ausgangsrechnungen'!$C:$C,A327))</f>
        <v/>
      </c>
      <c r="X327" s="15">
        <f>IF(A327="","",SUMIFS('11_Material'!$L:$L,'11_Material'!$C:$C,A327))</f>
        <v/>
      </c>
      <c r="Y327" s="15">
        <f>IF(A327="","",SUMIFS('14_Eingangsrechnungen'!$F:$F,'14_Eingangsrechnungen'!$C:$C,A327,'14_Eingangsrechnungen'!$E:$E,"Nachunternehmer"))</f>
        <v/>
      </c>
      <c r="Z327" s="15">
        <f>IF(A327="","",SUMIFS('10_Stunden'!$K:$K,'10_Stunden'!$C:$C,A327))</f>
        <v/>
      </c>
      <c r="AA327" s="15">
        <f>IF(A327="","",X327+Y327+Z327+SUMIFS('14_Eingangsrechnungen'!$F:$F,'14_Eingangsrechnungen'!$C:$C,A327,'14_Eingangsrechnungen'!$E:$E,"Gerät")+SUMIFS('14_Eingangsrechnungen'!$F:$F,'14_Eingangsrechnungen'!$C:$C,A327,'14_Eingangsrechnungen'!$E:$E,"Dienstleistung"))</f>
        <v/>
      </c>
      <c r="AB327" s="15">
        <f>IF(A327="","",W327-AA327)</f>
        <v/>
      </c>
      <c r="AC327" s="19">
        <f>IF(OR(A327="",W327=0),"",AB327/W327)</f>
        <v/>
      </c>
      <c r="AD327" s="19">
        <f>IF(OR(A327="",V327=0),"",W327/V327)</f>
        <v/>
      </c>
      <c r="AE327" s="15">
        <f>IF(A327="","",MAX(0,V327-W327))</f>
        <v/>
      </c>
      <c r="AF327" s="15">
        <f>IF(A327="","",SUMIFS('13_Ausgangsrechnungen'!$R:$R,'13_Ausgangsrechnungen'!$C:$C,A327))</f>
        <v/>
      </c>
    </row>
    <row r="328">
      <c r="A328" s="30" t="inlineStr"/>
      <c r="B328" s="30" t="inlineStr"/>
      <c r="C328" s="30" t="inlineStr"/>
      <c r="D328" s="30" t="inlineStr"/>
      <c r="E328" s="30" t="inlineStr"/>
      <c r="F328" s="30" t="inlineStr"/>
      <c r="G328" s="38" t="inlineStr"/>
      <c r="H328" s="38" t="inlineStr"/>
      <c r="I328" s="38" t="inlineStr"/>
      <c r="J328" s="34" t="inlineStr"/>
      <c r="K328" s="34" t="inlineStr"/>
      <c r="L328" s="34" t="inlineStr"/>
      <c r="M328" s="34" t="inlineStr"/>
      <c r="N328" s="34" t="inlineStr"/>
      <c r="O328" s="34" t="inlineStr"/>
      <c r="P328" s="32" t="inlineStr"/>
      <c r="Q328" s="30" t="inlineStr"/>
      <c r="R328" s="30" t="inlineStr"/>
      <c r="S328" s="30" t="inlineStr"/>
      <c r="T328" s="30" t="inlineStr"/>
      <c r="U328" s="15">
        <f>IF(A328="","",SUMIFS('07_Nachtraege'!$E:$E,'07_Nachtraege'!$B:$B,A328,'07_Nachtraege'!$F:$F,"beauftragt"))</f>
        <v/>
      </c>
      <c r="V328" s="15">
        <f>IF(A328="","",J328+U328)</f>
        <v/>
      </c>
      <c r="W328" s="15">
        <f>IF(A328="","",SUMIFS('13_Ausgangsrechnungen'!$G:$G,'13_Ausgangsrechnungen'!$C:$C,A328))</f>
        <v/>
      </c>
      <c r="X328" s="15">
        <f>IF(A328="","",SUMIFS('11_Material'!$L:$L,'11_Material'!$C:$C,A328))</f>
        <v/>
      </c>
      <c r="Y328" s="15">
        <f>IF(A328="","",SUMIFS('14_Eingangsrechnungen'!$F:$F,'14_Eingangsrechnungen'!$C:$C,A328,'14_Eingangsrechnungen'!$E:$E,"Nachunternehmer"))</f>
        <v/>
      </c>
      <c r="Z328" s="15">
        <f>IF(A328="","",SUMIFS('10_Stunden'!$K:$K,'10_Stunden'!$C:$C,A328))</f>
        <v/>
      </c>
      <c r="AA328" s="15">
        <f>IF(A328="","",X328+Y328+Z328+SUMIFS('14_Eingangsrechnungen'!$F:$F,'14_Eingangsrechnungen'!$C:$C,A328,'14_Eingangsrechnungen'!$E:$E,"Gerät")+SUMIFS('14_Eingangsrechnungen'!$F:$F,'14_Eingangsrechnungen'!$C:$C,A328,'14_Eingangsrechnungen'!$E:$E,"Dienstleistung"))</f>
        <v/>
      </c>
      <c r="AB328" s="15">
        <f>IF(A328="","",W328-AA328)</f>
        <v/>
      </c>
      <c r="AC328" s="19">
        <f>IF(OR(A328="",W328=0),"",AB328/W328)</f>
        <v/>
      </c>
      <c r="AD328" s="19">
        <f>IF(OR(A328="",V328=0),"",W328/V328)</f>
        <v/>
      </c>
      <c r="AE328" s="15">
        <f>IF(A328="","",MAX(0,V328-W328))</f>
        <v/>
      </c>
      <c r="AF328" s="15">
        <f>IF(A328="","",SUMIFS('13_Ausgangsrechnungen'!$R:$R,'13_Ausgangsrechnungen'!$C:$C,A328))</f>
        <v/>
      </c>
    </row>
    <row r="329">
      <c r="A329" s="30" t="inlineStr"/>
      <c r="B329" s="30" t="inlineStr"/>
      <c r="C329" s="30" t="inlineStr"/>
      <c r="D329" s="30" t="inlineStr"/>
      <c r="E329" s="30" t="inlineStr"/>
      <c r="F329" s="30" t="inlineStr"/>
      <c r="G329" s="38" t="inlineStr"/>
      <c r="H329" s="38" t="inlineStr"/>
      <c r="I329" s="38" t="inlineStr"/>
      <c r="J329" s="34" t="inlineStr"/>
      <c r="K329" s="34" t="inlineStr"/>
      <c r="L329" s="34" t="inlineStr"/>
      <c r="M329" s="34" t="inlineStr"/>
      <c r="N329" s="34" t="inlineStr"/>
      <c r="O329" s="34" t="inlineStr"/>
      <c r="P329" s="32" t="inlineStr"/>
      <c r="Q329" s="30" t="inlineStr"/>
      <c r="R329" s="30" t="inlineStr"/>
      <c r="S329" s="30" t="inlineStr"/>
      <c r="T329" s="30" t="inlineStr"/>
      <c r="U329" s="15">
        <f>IF(A329="","",SUMIFS('07_Nachtraege'!$E:$E,'07_Nachtraege'!$B:$B,A329,'07_Nachtraege'!$F:$F,"beauftragt"))</f>
        <v/>
      </c>
      <c r="V329" s="15">
        <f>IF(A329="","",J329+U329)</f>
        <v/>
      </c>
      <c r="W329" s="15">
        <f>IF(A329="","",SUMIFS('13_Ausgangsrechnungen'!$G:$G,'13_Ausgangsrechnungen'!$C:$C,A329))</f>
        <v/>
      </c>
      <c r="X329" s="15">
        <f>IF(A329="","",SUMIFS('11_Material'!$L:$L,'11_Material'!$C:$C,A329))</f>
        <v/>
      </c>
      <c r="Y329" s="15">
        <f>IF(A329="","",SUMIFS('14_Eingangsrechnungen'!$F:$F,'14_Eingangsrechnungen'!$C:$C,A329,'14_Eingangsrechnungen'!$E:$E,"Nachunternehmer"))</f>
        <v/>
      </c>
      <c r="Z329" s="15">
        <f>IF(A329="","",SUMIFS('10_Stunden'!$K:$K,'10_Stunden'!$C:$C,A329))</f>
        <v/>
      </c>
      <c r="AA329" s="15">
        <f>IF(A329="","",X329+Y329+Z329+SUMIFS('14_Eingangsrechnungen'!$F:$F,'14_Eingangsrechnungen'!$C:$C,A329,'14_Eingangsrechnungen'!$E:$E,"Gerät")+SUMIFS('14_Eingangsrechnungen'!$F:$F,'14_Eingangsrechnungen'!$C:$C,A329,'14_Eingangsrechnungen'!$E:$E,"Dienstleistung"))</f>
        <v/>
      </c>
      <c r="AB329" s="15">
        <f>IF(A329="","",W329-AA329)</f>
        <v/>
      </c>
      <c r="AC329" s="19">
        <f>IF(OR(A329="",W329=0),"",AB329/W329)</f>
        <v/>
      </c>
      <c r="AD329" s="19">
        <f>IF(OR(A329="",V329=0),"",W329/V329)</f>
        <v/>
      </c>
      <c r="AE329" s="15">
        <f>IF(A329="","",MAX(0,V329-W329))</f>
        <v/>
      </c>
      <c r="AF329" s="15">
        <f>IF(A329="","",SUMIFS('13_Ausgangsrechnungen'!$R:$R,'13_Ausgangsrechnungen'!$C:$C,A329))</f>
        <v/>
      </c>
    </row>
    <row r="330">
      <c r="A330" s="30" t="inlineStr"/>
      <c r="B330" s="30" t="inlineStr"/>
      <c r="C330" s="30" t="inlineStr"/>
      <c r="D330" s="30" t="inlineStr"/>
      <c r="E330" s="30" t="inlineStr"/>
      <c r="F330" s="30" t="inlineStr"/>
      <c r="G330" s="38" t="inlineStr"/>
      <c r="H330" s="38" t="inlineStr"/>
      <c r="I330" s="38" t="inlineStr"/>
      <c r="J330" s="34" t="inlineStr"/>
      <c r="K330" s="34" t="inlineStr"/>
      <c r="L330" s="34" t="inlineStr"/>
      <c r="M330" s="34" t="inlineStr"/>
      <c r="N330" s="34" t="inlineStr"/>
      <c r="O330" s="34" t="inlineStr"/>
      <c r="P330" s="32" t="inlineStr"/>
      <c r="Q330" s="30" t="inlineStr"/>
      <c r="R330" s="30" t="inlineStr"/>
      <c r="S330" s="30" t="inlineStr"/>
      <c r="T330" s="30" t="inlineStr"/>
      <c r="U330" s="15">
        <f>IF(A330="","",SUMIFS('07_Nachtraege'!$E:$E,'07_Nachtraege'!$B:$B,A330,'07_Nachtraege'!$F:$F,"beauftragt"))</f>
        <v/>
      </c>
      <c r="V330" s="15">
        <f>IF(A330="","",J330+U330)</f>
        <v/>
      </c>
      <c r="W330" s="15">
        <f>IF(A330="","",SUMIFS('13_Ausgangsrechnungen'!$G:$G,'13_Ausgangsrechnungen'!$C:$C,A330))</f>
        <v/>
      </c>
      <c r="X330" s="15">
        <f>IF(A330="","",SUMIFS('11_Material'!$L:$L,'11_Material'!$C:$C,A330))</f>
        <v/>
      </c>
      <c r="Y330" s="15">
        <f>IF(A330="","",SUMIFS('14_Eingangsrechnungen'!$F:$F,'14_Eingangsrechnungen'!$C:$C,A330,'14_Eingangsrechnungen'!$E:$E,"Nachunternehmer"))</f>
        <v/>
      </c>
      <c r="Z330" s="15">
        <f>IF(A330="","",SUMIFS('10_Stunden'!$K:$K,'10_Stunden'!$C:$C,A330))</f>
        <v/>
      </c>
      <c r="AA330" s="15">
        <f>IF(A330="","",X330+Y330+Z330+SUMIFS('14_Eingangsrechnungen'!$F:$F,'14_Eingangsrechnungen'!$C:$C,A330,'14_Eingangsrechnungen'!$E:$E,"Gerät")+SUMIFS('14_Eingangsrechnungen'!$F:$F,'14_Eingangsrechnungen'!$C:$C,A330,'14_Eingangsrechnungen'!$E:$E,"Dienstleistung"))</f>
        <v/>
      </c>
      <c r="AB330" s="15">
        <f>IF(A330="","",W330-AA330)</f>
        <v/>
      </c>
      <c r="AC330" s="19">
        <f>IF(OR(A330="",W330=0),"",AB330/W330)</f>
        <v/>
      </c>
      <c r="AD330" s="19">
        <f>IF(OR(A330="",V330=0),"",W330/V330)</f>
        <v/>
      </c>
      <c r="AE330" s="15">
        <f>IF(A330="","",MAX(0,V330-W330))</f>
        <v/>
      </c>
      <c r="AF330" s="15">
        <f>IF(A330="","",SUMIFS('13_Ausgangsrechnungen'!$R:$R,'13_Ausgangsrechnungen'!$C:$C,A330))</f>
        <v/>
      </c>
    </row>
    <row r="331">
      <c r="A331" s="30" t="inlineStr"/>
      <c r="B331" s="30" t="inlineStr"/>
      <c r="C331" s="30" t="inlineStr"/>
      <c r="D331" s="30" t="inlineStr"/>
      <c r="E331" s="30" t="inlineStr"/>
      <c r="F331" s="30" t="inlineStr"/>
      <c r="G331" s="38" t="inlineStr"/>
      <c r="H331" s="38" t="inlineStr"/>
      <c r="I331" s="38" t="inlineStr"/>
      <c r="J331" s="34" t="inlineStr"/>
      <c r="K331" s="34" t="inlineStr"/>
      <c r="L331" s="34" t="inlineStr"/>
      <c r="M331" s="34" t="inlineStr"/>
      <c r="N331" s="34" t="inlineStr"/>
      <c r="O331" s="34" t="inlineStr"/>
      <c r="P331" s="32" t="inlineStr"/>
      <c r="Q331" s="30" t="inlineStr"/>
      <c r="R331" s="30" t="inlineStr"/>
      <c r="S331" s="30" t="inlineStr"/>
      <c r="T331" s="30" t="inlineStr"/>
      <c r="U331" s="15">
        <f>IF(A331="","",SUMIFS('07_Nachtraege'!$E:$E,'07_Nachtraege'!$B:$B,A331,'07_Nachtraege'!$F:$F,"beauftragt"))</f>
        <v/>
      </c>
      <c r="V331" s="15">
        <f>IF(A331="","",J331+U331)</f>
        <v/>
      </c>
      <c r="W331" s="15">
        <f>IF(A331="","",SUMIFS('13_Ausgangsrechnungen'!$G:$G,'13_Ausgangsrechnungen'!$C:$C,A331))</f>
        <v/>
      </c>
      <c r="X331" s="15">
        <f>IF(A331="","",SUMIFS('11_Material'!$L:$L,'11_Material'!$C:$C,A331))</f>
        <v/>
      </c>
      <c r="Y331" s="15">
        <f>IF(A331="","",SUMIFS('14_Eingangsrechnungen'!$F:$F,'14_Eingangsrechnungen'!$C:$C,A331,'14_Eingangsrechnungen'!$E:$E,"Nachunternehmer"))</f>
        <v/>
      </c>
      <c r="Z331" s="15">
        <f>IF(A331="","",SUMIFS('10_Stunden'!$K:$K,'10_Stunden'!$C:$C,A331))</f>
        <v/>
      </c>
      <c r="AA331" s="15">
        <f>IF(A331="","",X331+Y331+Z331+SUMIFS('14_Eingangsrechnungen'!$F:$F,'14_Eingangsrechnungen'!$C:$C,A331,'14_Eingangsrechnungen'!$E:$E,"Gerät")+SUMIFS('14_Eingangsrechnungen'!$F:$F,'14_Eingangsrechnungen'!$C:$C,A331,'14_Eingangsrechnungen'!$E:$E,"Dienstleistung"))</f>
        <v/>
      </c>
      <c r="AB331" s="15">
        <f>IF(A331="","",W331-AA331)</f>
        <v/>
      </c>
      <c r="AC331" s="19">
        <f>IF(OR(A331="",W331=0),"",AB331/W331)</f>
        <v/>
      </c>
      <c r="AD331" s="19">
        <f>IF(OR(A331="",V331=0),"",W331/V331)</f>
        <v/>
      </c>
      <c r="AE331" s="15">
        <f>IF(A331="","",MAX(0,V331-W331))</f>
        <v/>
      </c>
      <c r="AF331" s="15">
        <f>IF(A331="","",SUMIFS('13_Ausgangsrechnungen'!$R:$R,'13_Ausgangsrechnungen'!$C:$C,A331))</f>
        <v/>
      </c>
    </row>
    <row r="332">
      <c r="A332" s="30" t="inlineStr"/>
      <c r="B332" s="30" t="inlineStr"/>
      <c r="C332" s="30" t="inlineStr"/>
      <c r="D332" s="30" t="inlineStr"/>
      <c r="E332" s="30" t="inlineStr"/>
      <c r="F332" s="30" t="inlineStr"/>
      <c r="G332" s="38" t="inlineStr"/>
      <c r="H332" s="38" t="inlineStr"/>
      <c r="I332" s="38" t="inlineStr"/>
      <c r="J332" s="34" t="inlineStr"/>
      <c r="K332" s="34" t="inlineStr"/>
      <c r="L332" s="34" t="inlineStr"/>
      <c r="M332" s="34" t="inlineStr"/>
      <c r="N332" s="34" t="inlineStr"/>
      <c r="O332" s="34" t="inlineStr"/>
      <c r="P332" s="32" t="inlineStr"/>
      <c r="Q332" s="30" t="inlineStr"/>
      <c r="R332" s="30" t="inlineStr"/>
      <c r="S332" s="30" t="inlineStr"/>
      <c r="T332" s="30" t="inlineStr"/>
      <c r="U332" s="15">
        <f>IF(A332="","",SUMIFS('07_Nachtraege'!$E:$E,'07_Nachtraege'!$B:$B,A332,'07_Nachtraege'!$F:$F,"beauftragt"))</f>
        <v/>
      </c>
      <c r="V332" s="15">
        <f>IF(A332="","",J332+U332)</f>
        <v/>
      </c>
      <c r="W332" s="15">
        <f>IF(A332="","",SUMIFS('13_Ausgangsrechnungen'!$G:$G,'13_Ausgangsrechnungen'!$C:$C,A332))</f>
        <v/>
      </c>
      <c r="X332" s="15">
        <f>IF(A332="","",SUMIFS('11_Material'!$L:$L,'11_Material'!$C:$C,A332))</f>
        <v/>
      </c>
      <c r="Y332" s="15">
        <f>IF(A332="","",SUMIFS('14_Eingangsrechnungen'!$F:$F,'14_Eingangsrechnungen'!$C:$C,A332,'14_Eingangsrechnungen'!$E:$E,"Nachunternehmer"))</f>
        <v/>
      </c>
      <c r="Z332" s="15">
        <f>IF(A332="","",SUMIFS('10_Stunden'!$K:$K,'10_Stunden'!$C:$C,A332))</f>
        <v/>
      </c>
      <c r="AA332" s="15">
        <f>IF(A332="","",X332+Y332+Z332+SUMIFS('14_Eingangsrechnungen'!$F:$F,'14_Eingangsrechnungen'!$C:$C,A332,'14_Eingangsrechnungen'!$E:$E,"Gerät")+SUMIFS('14_Eingangsrechnungen'!$F:$F,'14_Eingangsrechnungen'!$C:$C,A332,'14_Eingangsrechnungen'!$E:$E,"Dienstleistung"))</f>
        <v/>
      </c>
      <c r="AB332" s="15">
        <f>IF(A332="","",W332-AA332)</f>
        <v/>
      </c>
      <c r="AC332" s="19">
        <f>IF(OR(A332="",W332=0),"",AB332/W332)</f>
        <v/>
      </c>
      <c r="AD332" s="19">
        <f>IF(OR(A332="",V332=0),"",W332/V332)</f>
        <v/>
      </c>
      <c r="AE332" s="15">
        <f>IF(A332="","",MAX(0,V332-W332))</f>
        <v/>
      </c>
      <c r="AF332" s="15">
        <f>IF(A332="","",SUMIFS('13_Ausgangsrechnungen'!$R:$R,'13_Ausgangsrechnungen'!$C:$C,A332))</f>
        <v/>
      </c>
    </row>
    <row r="333">
      <c r="A333" s="30" t="inlineStr"/>
      <c r="B333" s="30" t="inlineStr"/>
      <c r="C333" s="30" t="inlineStr"/>
      <c r="D333" s="30" t="inlineStr"/>
      <c r="E333" s="30" t="inlineStr"/>
      <c r="F333" s="30" t="inlineStr"/>
      <c r="G333" s="38" t="inlineStr"/>
      <c r="H333" s="38" t="inlineStr"/>
      <c r="I333" s="38" t="inlineStr"/>
      <c r="J333" s="34" t="inlineStr"/>
      <c r="K333" s="34" t="inlineStr"/>
      <c r="L333" s="34" t="inlineStr"/>
      <c r="M333" s="34" t="inlineStr"/>
      <c r="N333" s="34" t="inlineStr"/>
      <c r="O333" s="34" t="inlineStr"/>
      <c r="P333" s="32" t="inlineStr"/>
      <c r="Q333" s="30" t="inlineStr"/>
      <c r="R333" s="30" t="inlineStr"/>
      <c r="S333" s="30" t="inlineStr"/>
      <c r="T333" s="30" t="inlineStr"/>
      <c r="U333" s="15">
        <f>IF(A333="","",SUMIFS('07_Nachtraege'!$E:$E,'07_Nachtraege'!$B:$B,A333,'07_Nachtraege'!$F:$F,"beauftragt"))</f>
        <v/>
      </c>
      <c r="V333" s="15">
        <f>IF(A333="","",J333+U333)</f>
        <v/>
      </c>
      <c r="W333" s="15">
        <f>IF(A333="","",SUMIFS('13_Ausgangsrechnungen'!$G:$G,'13_Ausgangsrechnungen'!$C:$C,A333))</f>
        <v/>
      </c>
      <c r="X333" s="15">
        <f>IF(A333="","",SUMIFS('11_Material'!$L:$L,'11_Material'!$C:$C,A333))</f>
        <v/>
      </c>
      <c r="Y333" s="15">
        <f>IF(A333="","",SUMIFS('14_Eingangsrechnungen'!$F:$F,'14_Eingangsrechnungen'!$C:$C,A333,'14_Eingangsrechnungen'!$E:$E,"Nachunternehmer"))</f>
        <v/>
      </c>
      <c r="Z333" s="15">
        <f>IF(A333="","",SUMIFS('10_Stunden'!$K:$K,'10_Stunden'!$C:$C,A333))</f>
        <v/>
      </c>
      <c r="AA333" s="15">
        <f>IF(A333="","",X333+Y333+Z333+SUMIFS('14_Eingangsrechnungen'!$F:$F,'14_Eingangsrechnungen'!$C:$C,A333,'14_Eingangsrechnungen'!$E:$E,"Gerät")+SUMIFS('14_Eingangsrechnungen'!$F:$F,'14_Eingangsrechnungen'!$C:$C,A333,'14_Eingangsrechnungen'!$E:$E,"Dienstleistung"))</f>
        <v/>
      </c>
      <c r="AB333" s="15">
        <f>IF(A333="","",W333-AA333)</f>
        <v/>
      </c>
      <c r="AC333" s="19">
        <f>IF(OR(A333="",W333=0),"",AB333/W333)</f>
        <v/>
      </c>
      <c r="AD333" s="19">
        <f>IF(OR(A333="",V333=0),"",W333/V333)</f>
        <v/>
      </c>
      <c r="AE333" s="15">
        <f>IF(A333="","",MAX(0,V333-W333))</f>
        <v/>
      </c>
      <c r="AF333" s="15">
        <f>IF(A333="","",SUMIFS('13_Ausgangsrechnungen'!$R:$R,'13_Ausgangsrechnungen'!$C:$C,A333))</f>
        <v/>
      </c>
    </row>
    <row r="334">
      <c r="A334" s="30" t="inlineStr"/>
      <c r="B334" s="30" t="inlineStr"/>
      <c r="C334" s="30" t="inlineStr"/>
      <c r="D334" s="30" t="inlineStr"/>
      <c r="E334" s="30" t="inlineStr"/>
      <c r="F334" s="30" t="inlineStr"/>
      <c r="G334" s="38" t="inlineStr"/>
      <c r="H334" s="38" t="inlineStr"/>
      <c r="I334" s="38" t="inlineStr"/>
      <c r="J334" s="34" t="inlineStr"/>
      <c r="K334" s="34" t="inlineStr"/>
      <c r="L334" s="34" t="inlineStr"/>
      <c r="M334" s="34" t="inlineStr"/>
      <c r="N334" s="34" t="inlineStr"/>
      <c r="O334" s="34" t="inlineStr"/>
      <c r="P334" s="32" t="inlineStr"/>
      <c r="Q334" s="30" t="inlineStr"/>
      <c r="R334" s="30" t="inlineStr"/>
      <c r="S334" s="30" t="inlineStr"/>
      <c r="T334" s="30" t="inlineStr"/>
      <c r="U334" s="15">
        <f>IF(A334="","",SUMIFS('07_Nachtraege'!$E:$E,'07_Nachtraege'!$B:$B,A334,'07_Nachtraege'!$F:$F,"beauftragt"))</f>
        <v/>
      </c>
      <c r="V334" s="15">
        <f>IF(A334="","",J334+U334)</f>
        <v/>
      </c>
      <c r="W334" s="15">
        <f>IF(A334="","",SUMIFS('13_Ausgangsrechnungen'!$G:$G,'13_Ausgangsrechnungen'!$C:$C,A334))</f>
        <v/>
      </c>
      <c r="X334" s="15">
        <f>IF(A334="","",SUMIFS('11_Material'!$L:$L,'11_Material'!$C:$C,A334))</f>
        <v/>
      </c>
      <c r="Y334" s="15">
        <f>IF(A334="","",SUMIFS('14_Eingangsrechnungen'!$F:$F,'14_Eingangsrechnungen'!$C:$C,A334,'14_Eingangsrechnungen'!$E:$E,"Nachunternehmer"))</f>
        <v/>
      </c>
      <c r="Z334" s="15">
        <f>IF(A334="","",SUMIFS('10_Stunden'!$K:$K,'10_Stunden'!$C:$C,A334))</f>
        <v/>
      </c>
      <c r="AA334" s="15">
        <f>IF(A334="","",X334+Y334+Z334+SUMIFS('14_Eingangsrechnungen'!$F:$F,'14_Eingangsrechnungen'!$C:$C,A334,'14_Eingangsrechnungen'!$E:$E,"Gerät")+SUMIFS('14_Eingangsrechnungen'!$F:$F,'14_Eingangsrechnungen'!$C:$C,A334,'14_Eingangsrechnungen'!$E:$E,"Dienstleistung"))</f>
        <v/>
      </c>
      <c r="AB334" s="15">
        <f>IF(A334="","",W334-AA334)</f>
        <v/>
      </c>
      <c r="AC334" s="19">
        <f>IF(OR(A334="",W334=0),"",AB334/W334)</f>
        <v/>
      </c>
      <c r="AD334" s="19">
        <f>IF(OR(A334="",V334=0),"",W334/V334)</f>
        <v/>
      </c>
      <c r="AE334" s="15">
        <f>IF(A334="","",MAX(0,V334-W334))</f>
        <v/>
      </c>
      <c r="AF334" s="15">
        <f>IF(A334="","",SUMIFS('13_Ausgangsrechnungen'!$R:$R,'13_Ausgangsrechnungen'!$C:$C,A334))</f>
        <v/>
      </c>
    </row>
    <row r="335">
      <c r="A335" s="30" t="inlineStr"/>
      <c r="B335" s="30" t="inlineStr"/>
      <c r="C335" s="30" t="inlineStr"/>
      <c r="D335" s="30" t="inlineStr"/>
      <c r="E335" s="30" t="inlineStr"/>
      <c r="F335" s="30" t="inlineStr"/>
      <c r="G335" s="38" t="inlineStr"/>
      <c r="H335" s="38" t="inlineStr"/>
      <c r="I335" s="38" t="inlineStr"/>
      <c r="J335" s="34" t="inlineStr"/>
      <c r="K335" s="34" t="inlineStr"/>
      <c r="L335" s="34" t="inlineStr"/>
      <c r="M335" s="34" t="inlineStr"/>
      <c r="N335" s="34" t="inlineStr"/>
      <c r="O335" s="34" t="inlineStr"/>
      <c r="P335" s="32" t="inlineStr"/>
      <c r="Q335" s="30" t="inlineStr"/>
      <c r="R335" s="30" t="inlineStr"/>
      <c r="S335" s="30" t="inlineStr"/>
      <c r="T335" s="30" t="inlineStr"/>
      <c r="U335" s="15">
        <f>IF(A335="","",SUMIFS('07_Nachtraege'!$E:$E,'07_Nachtraege'!$B:$B,A335,'07_Nachtraege'!$F:$F,"beauftragt"))</f>
        <v/>
      </c>
      <c r="V335" s="15">
        <f>IF(A335="","",J335+U335)</f>
        <v/>
      </c>
      <c r="W335" s="15">
        <f>IF(A335="","",SUMIFS('13_Ausgangsrechnungen'!$G:$G,'13_Ausgangsrechnungen'!$C:$C,A335))</f>
        <v/>
      </c>
      <c r="X335" s="15">
        <f>IF(A335="","",SUMIFS('11_Material'!$L:$L,'11_Material'!$C:$C,A335))</f>
        <v/>
      </c>
      <c r="Y335" s="15">
        <f>IF(A335="","",SUMIFS('14_Eingangsrechnungen'!$F:$F,'14_Eingangsrechnungen'!$C:$C,A335,'14_Eingangsrechnungen'!$E:$E,"Nachunternehmer"))</f>
        <v/>
      </c>
      <c r="Z335" s="15">
        <f>IF(A335="","",SUMIFS('10_Stunden'!$K:$K,'10_Stunden'!$C:$C,A335))</f>
        <v/>
      </c>
      <c r="AA335" s="15">
        <f>IF(A335="","",X335+Y335+Z335+SUMIFS('14_Eingangsrechnungen'!$F:$F,'14_Eingangsrechnungen'!$C:$C,A335,'14_Eingangsrechnungen'!$E:$E,"Gerät")+SUMIFS('14_Eingangsrechnungen'!$F:$F,'14_Eingangsrechnungen'!$C:$C,A335,'14_Eingangsrechnungen'!$E:$E,"Dienstleistung"))</f>
        <v/>
      </c>
      <c r="AB335" s="15">
        <f>IF(A335="","",W335-AA335)</f>
        <v/>
      </c>
      <c r="AC335" s="19">
        <f>IF(OR(A335="",W335=0),"",AB335/W335)</f>
        <v/>
      </c>
      <c r="AD335" s="19">
        <f>IF(OR(A335="",V335=0),"",W335/V335)</f>
        <v/>
      </c>
      <c r="AE335" s="15">
        <f>IF(A335="","",MAX(0,V335-W335))</f>
        <v/>
      </c>
      <c r="AF335" s="15">
        <f>IF(A335="","",SUMIFS('13_Ausgangsrechnungen'!$R:$R,'13_Ausgangsrechnungen'!$C:$C,A335))</f>
        <v/>
      </c>
    </row>
    <row r="336">
      <c r="A336" s="30" t="inlineStr"/>
      <c r="B336" s="30" t="inlineStr"/>
      <c r="C336" s="30" t="inlineStr"/>
      <c r="D336" s="30" t="inlineStr"/>
      <c r="E336" s="30" t="inlineStr"/>
      <c r="F336" s="30" t="inlineStr"/>
      <c r="G336" s="38" t="inlineStr"/>
      <c r="H336" s="38" t="inlineStr"/>
      <c r="I336" s="38" t="inlineStr"/>
      <c r="J336" s="34" t="inlineStr"/>
      <c r="K336" s="34" t="inlineStr"/>
      <c r="L336" s="34" t="inlineStr"/>
      <c r="M336" s="34" t="inlineStr"/>
      <c r="N336" s="34" t="inlineStr"/>
      <c r="O336" s="34" t="inlineStr"/>
      <c r="P336" s="32" t="inlineStr"/>
      <c r="Q336" s="30" t="inlineStr"/>
      <c r="R336" s="30" t="inlineStr"/>
      <c r="S336" s="30" t="inlineStr"/>
      <c r="T336" s="30" t="inlineStr"/>
      <c r="U336" s="15">
        <f>IF(A336="","",SUMIFS('07_Nachtraege'!$E:$E,'07_Nachtraege'!$B:$B,A336,'07_Nachtraege'!$F:$F,"beauftragt"))</f>
        <v/>
      </c>
      <c r="V336" s="15">
        <f>IF(A336="","",J336+U336)</f>
        <v/>
      </c>
      <c r="W336" s="15">
        <f>IF(A336="","",SUMIFS('13_Ausgangsrechnungen'!$G:$G,'13_Ausgangsrechnungen'!$C:$C,A336))</f>
        <v/>
      </c>
      <c r="X336" s="15">
        <f>IF(A336="","",SUMIFS('11_Material'!$L:$L,'11_Material'!$C:$C,A336))</f>
        <v/>
      </c>
      <c r="Y336" s="15">
        <f>IF(A336="","",SUMIFS('14_Eingangsrechnungen'!$F:$F,'14_Eingangsrechnungen'!$C:$C,A336,'14_Eingangsrechnungen'!$E:$E,"Nachunternehmer"))</f>
        <v/>
      </c>
      <c r="Z336" s="15">
        <f>IF(A336="","",SUMIFS('10_Stunden'!$K:$K,'10_Stunden'!$C:$C,A336))</f>
        <v/>
      </c>
      <c r="AA336" s="15">
        <f>IF(A336="","",X336+Y336+Z336+SUMIFS('14_Eingangsrechnungen'!$F:$F,'14_Eingangsrechnungen'!$C:$C,A336,'14_Eingangsrechnungen'!$E:$E,"Gerät")+SUMIFS('14_Eingangsrechnungen'!$F:$F,'14_Eingangsrechnungen'!$C:$C,A336,'14_Eingangsrechnungen'!$E:$E,"Dienstleistung"))</f>
        <v/>
      </c>
      <c r="AB336" s="15">
        <f>IF(A336="","",W336-AA336)</f>
        <v/>
      </c>
      <c r="AC336" s="19">
        <f>IF(OR(A336="",W336=0),"",AB336/W336)</f>
        <v/>
      </c>
      <c r="AD336" s="19">
        <f>IF(OR(A336="",V336=0),"",W336/V336)</f>
        <v/>
      </c>
      <c r="AE336" s="15">
        <f>IF(A336="","",MAX(0,V336-W336))</f>
        <v/>
      </c>
      <c r="AF336" s="15">
        <f>IF(A336="","",SUMIFS('13_Ausgangsrechnungen'!$R:$R,'13_Ausgangsrechnungen'!$C:$C,A336))</f>
        <v/>
      </c>
    </row>
    <row r="337">
      <c r="A337" s="30" t="inlineStr"/>
      <c r="B337" s="30" t="inlineStr"/>
      <c r="C337" s="30" t="inlineStr"/>
      <c r="D337" s="30" t="inlineStr"/>
      <c r="E337" s="30" t="inlineStr"/>
      <c r="F337" s="30" t="inlineStr"/>
      <c r="G337" s="38" t="inlineStr"/>
      <c r="H337" s="38" t="inlineStr"/>
      <c r="I337" s="38" t="inlineStr"/>
      <c r="J337" s="34" t="inlineStr"/>
      <c r="K337" s="34" t="inlineStr"/>
      <c r="L337" s="34" t="inlineStr"/>
      <c r="M337" s="34" t="inlineStr"/>
      <c r="N337" s="34" t="inlineStr"/>
      <c r="O337" s="34" t="inlineStr"/>
      <c r="P337" s="32" t="inlineStr"/>
      <c r="Q337" s="30" t="inlineStr"/>
      <c r="R337" s="30" t="inlineStr"/>
      <c r="S337" s="30" t="inlineStr"/>
      <c r="T337" s="30" t="inlineStr"/>
      <c r="U337" s="15">
        <f>IF(A337="","",SUMIFS('07_Nachtraege'!$E:$E,'07_Nachtraege'!$B:$B,A337,'07_Nachtraege'!$F:$F,"beauftragt"))</f>
        <v/>
      </c>
      <c r="V337" s="15">
        <f>IF(A337="","",J337+U337)</f>
        <v/>
      </c>
      <c r="W337" s="15">
        <f>IF(A337="","",SUMIFS('13_Ausgangsrechnungen'!$G:$G,'13_Ausgangsrechnungen'!$C:$C,A337))</f>
        <v/>
      </c>
      <c r="X337" s="15">
        <f>IF(A337="","",SUMIFS('11_Material'!$L:$L,'11_Material'!$C:$C,A337))</f>
        <v/>
      </c>
      <c r="Y337" s="15">
        <f>IF(A337="","",SUMIFS('14_Eingangsrechnungen'!$F:$F,'14_Eingangsrechnungen'!$C:$C,A337,'14_Eingangsrechnungen'!$E:$E,"Nachunternehmer"))</f>
        <v/>
      </c>
      <c r="Z337" s="15">
        <f>IF(A337="","",SUMIFS('10_Stunden'!$K:$K,'10_Stunden'!$C:$C,A337))</f>
        <v/>
      </c>
      <c r="AA337" s="15">
        <f>IF(A337="","",X337+Y337+Z337+SUMIFS('14_Eingangsrechnungen'!$F:$F,'14_Eingangsrechnungen'!$C:$C,A337,'14_Eingangsrechnungen'!$E:$E,"Gerät")+SUMIFS('14_Eingangsrechnungen'!$F:$F,'14_Eingangsrechnungen'!$C:$C,A337,'14_Eingangsrechnungen'!$E:$E,"Dienstleistung"))</f>
        <v/>
      </c>
      <c r="AB337" s="15">
        <f>IF(A337="","",W337-AA337)</f>
        <v/>
      </c>
      <c r="AC337" s="19">
        <f>IF(OR(A337="",W337=0),"",AB337/W337)</f>
        <v/>
      </c>
      <c r="AD337" s="19">
        <f>IF(OR(A337="",V337=0),"",W337/V337)</f>
        <v/>
      </c>
      <c r="AE337" s="15">
        <f>IF(A337="","",MAX(0,V337-W337))</f>
        <v/>
      </c>
      <c r="AF337" s="15">
        <f>IF(A337="","",SUMIFS('13_Ausgangsrechnungen'!$R:$R,'13_Ausgangsrechnungen'!$C:$C,A337))</f>
        <v/>
      </c>
    </row>
    <row r="338">
      <c r="A338" s="30" t="inlineStr"/>
      <c r="B338" s="30" t="inlineStr"/>
      <c r="C338" s="30" t="inlineStr"/>
      <c r="D338" s="30" t="inlineStr"/>
      <c r="E338" s="30" t="inlineStr"/>
      <c r="F338" s="30" t="inlineStr"/>
      <c r="G338" s="38" t="inlineStr"/>
      <c r="H338" s="38" t="inlineStr"/>
      <c r="I338" s="38" t="inlineStr"/>
      <c r="J338" s="34" t="inlineStr"/>
      <c r="K338" s="34" t="inlineStr"/>
      <c r="L338" s="34" t="inlineStr"/>
      <c r="M338" s="34" t="inlineStr"/>
      <c r="N338" s="34" t="inlineStr"/>
      <c r="O338" s="34" t="inlineStr"/>
      <c r="P338" s="32" t="inlineStr"/>
      <c r="Q338" s="30" t="inlineStr"/>
      <c r="R338" s="30" t="inlineStr"/>
      <c r="S338" s="30" t="inlineStr"/>
      <c r="T338" s="30" t="inlineStr"/>
      <c r="U338" s="15">
        <f>IF(A338="","",SUMIFS('07_Nachtraege'!$E:$E,'07_Nachtraege'!$B:$B,A338,'07_Nachtraege'!$F:$F,"beauftragt"))</f>
        <v/>
      </c>
      <c r="V338" s="15">
        <f>IF(A338="","",J338+U338)</f>
        <v/>
      </c>
      <c r="W338" s="15">
        <f>IF(A338="","",SUMIFS('13_Ausgangsrechnungen'!$G:$G,'13_Ausgangsrechnungen'!$C:$C,A338))</f>
        <v/>
      </c>
      <c r="X338" s="15">
        <f>IF(A338="","",SUMIFS('11_Material'!$L:$L,'11_Material'!$C:$C,A338))</f>
        <v/>
      </c>
      <c r="Y338" s="15">
        <f>IF(A338="","",SUMIFS('14_Eingangsrechnungen'!$F:$F,'14_Eingangsrechnungen'!$C:$C,A338,'14_Eingangsrechnungen'!$E:$E,"Nachunternehmer"))</f>
        <v/>
      </c>
      <c r="Z338" s="15">
        <f>IF(A338="","",SUMIFS('10_Stunden'!$K:$K,'10_Stunden'!$C:$C,A338))</f>
        <v/>
      </c>
      <c r="AA338" s="15">
        <f>IF(A338="","",X338+Y338+Z338+SUMIFS('14_Eingangsrechnungen'!$F:$F,'14_Eingangsrechnungen'!$C:$C,A338,'14_Eingangsrechnungen'!$E:$E,"Gerät")+SUMIFS('14_Eingangsrechnungen'!$F:$F,'14_Eingangsrechnungen'!$C:$C,A338,'14_Eingangsrechnungen'!$E:$E,"Dienstleistung"))</f>
        <v/>
      </c>
      <c r="AB338" s="15">
        <f>IF(A338="","",W338-AA338)</f>
        <v/>
      </c>
      <c r="AC338" s="19">
        <f>IF(OR(A338="",W338=0),"",AB338/W338)</f>
        <v/>
      </c>
      <c r="AD338" s="19">
        <f>IF(OR(A338="",V338=0),"",W338/V338)</f>
        <v/>
      </c>
      <c r="AE338" s="15">
        <f>IF(A338="","",MAX(0,V338-W338))</f>
        <v/>
      </c>
      <c r="AF338" s="15">
        <f>IF(A338="","",SUMIFS('13_Ausgangsrechnungen'!$R:$R,'13_Ausgangsrechnungen'!$C:$C,A338))</f>
        <v/>
      </c>
    </row>
    <row r="339">
      <c r="A339" s="30" t="inlineStr"/>
      <c r="B339" s="30" t="inlineStr"/>
      <c r="C339" s="30" t="inlineStr"/>
      <c r="D339" s="30" t="inlineStr"/>
      <c r="E339" s="30" t="inlineStr"/>
      <c r="F339" s="30" t="inlineStr"/>
      <c r="G339" s="38" t="inlineStr"/>
      <c r="H339" s="38" t="inlineStr"/>
      <c r="I339" s="38" t="inlineStr"/>
      <c r="J339" s="34" t="inlineStr"/>
      <c r="K339" s="34" t="inlineStr"/>
      <c r="L339" s="34" t="inlineStr"/>
      <c r="M339" s="34" t="inlineStr"/>
      <c r="N339" s="34" t="inlineStr"/>
      <c r="O339" s="34" t="inlineStr"/>
      <c r="P339" s="32" t="inlineStr"/>
      <c r="Q339" s="30" t="inlineStr"/>
      <c r="R339" s="30" t="inlineStr"/>
      <c r="S339" s="30" t="inlineStr"/>
      <c r="T339" s="30" t="inlineStr"/>
      <c r="U339" s="15">
        <f>IF(A339="","",SUMIFS('07_Nachtraege'!$E:$E,'07_Nachtraege'!$B:$B,A339,'07_Nachtraege'!$F:$F,"beauftragt"))</f>
        <v/>
      </c>
      <c r="V339" s="15">
        <f>IF(A339="","",J339+U339)</f>
        <v/>
      </c>
      <c r="W339" s="15">
        <f>IF(A339="","",SUMIFS('13_Ausgangsrechnungen'!$G:$G,'13_Ausgangsrechnungen'!$C:$C,A339))</f>
        <v/>
      </c>
      <c r="X339" s="15">
        <f>IF(A339="","",SUMIFS('11_Material'!$L:$L,'11_Material'!$C:$C,A339))</f>
        <v/>
      </c>
      <c r="Y339" s="15">
        <f>IF(A339="","",SUMIFS('14_Eingangsrechnungen'!$F:$F,'14_Eingangsrechnungen'!$C:$C,A339,'14_Eingangsrechnungen'!$E:$E,"Nachunternehmer"))</f>
        <v/>
      </c>
      <c r="Z339" s="15">
        <f>IF(A339="","",SUMIFS('10_Stunden'!$K:$K,'10_Stunden'!$C:$C,A339))</f>
        <v/>
      </c>
      <c r="AA339" s="15">
        <f>IF(A339="","",X339+Y339+Z339+SUMIFS('14_Eingangsrechnungen'!$F:$F,'14_Eingangsrechnungen'!$C:$C,A339,'14_Eingangsrechnungen'!$E:$E,"Gerät")+SUMIFS('14_Eingangsrechnungen'!$F:$F,'14_Eingangsrechnungen'!$C:$C,A339,'14_Eingangsrechnungen'!$E:$E,"Dienstleistung"))</f>
        <v/>
      </c>
      <c r="AB339" s="15">
        <f>IF(A339="","",W339-AA339)</f>
        <v/>
      </c>
      <c r="AC339" s="19">
        <f>IF(OR(A339="",W339=0),"",AB339/W339)</f>
        <v/>
      </c>
      <c r="AD339" s="19">
        <f>IF(OR(A339="",V339=0),"",W339/V339)</f>
        <v/>
      </c>
      <c r="AE339" s="15">
        <f>IF(A339="","",MAX(0,V339-W339))</f>
        <v/>
      </c>
      <c r="AF339" s="15">
        <f>IF(A339="","",SUMIFS('13_Ausgangsrechnungen'!$R:$R,'13_Ausgangsrechnungen'!$C:$C,A339))</f>
        <v/>
      </c>
    </row>
    <row r="340">
      <c r="A340" s="30" t="inlineStr"/>
      <c r="B340" s="30" t="inlineStr"/>
      <c r="C340" s="30" t="inlineStr"/>
      <c r="D340" s="30" t="inlineStr"/>
      <c r="E340" s="30" t="inlineStr"/>
      <c r="F340" s="30" t="inlineStr"/>
      <c r="G340" s="38" t="inlineStr"/>
      <c r="H340" s="38" t="inlineStr"/>
      <c r="I340" s="38" t="inlineStr"/>
      <c r="J340" s="34" t="inlineStr"/>
      <c r="K340" s="34" t="inlineStr"/>
      <c r="L340" s="34" t="inlineStr"/>
      <c r="M340" s="34" t="inlineStr"/>
      <c r="N340" s="34" t="inlineStr"/>
      <c r="O340" s="34" t="inlineStr"/>
      <c r="P340" s="32" t="inlineStr"/>
      <c r="Q340" s="30" t="inlineStr"/>
      <c r="R340" s="30" t="inlineStr"/>
      <c r="S340" s="30" t="inlineStr"/>
      <c r="T340" s="30" t="inlineStr"/>
      <c r="U340" s="15">
        <f>IF(A340="","",SUMIFS('07_Nachtraege'!$E:$E,'07_Nachtraege'!$B:$B,A340,'07_Nachtraege'!$F:$F,"beauftragt"))</f>
        <v/>
      </c>
      <c r="V340" s="15">
        <f>IF(A340="","",J340+U340)</f>
        <v/>
      </c>
      <c r="W340" s="15">
        <f>IF(A340="","",SUMIFS('13_Ausgangsrechnungen'!$G:$G,'13_Ausgangsrechnungen'!$C:$C,A340))</f>
        <v/>
      </c>
      <c r="X340" s="15">
        <f>IF(A340="","",SUMIFS('11_Material'!$L:$L,'11_Material'!$C:$C,A340))</f>
        <v/>
      </c>
      <c r="Y340" s="15">
        <f>IF(A340="","",SUMIFS('14_Eingangsrechnungen'!$F:$F,'14_Eingangsrechnungen'!$C:$C,A340,'14_Eingangsrechnungen'!$E:$E,"Nachunternehmer"))</f>
        <v/>
      </c>
      <c r="Z340" s="15">
        <f>IF(A340="","",SUMIFS('10_Stunden'!$K:$K,'10_Stunden'!$C:$C,A340))</f>
        <v/>
      </c>
      <c r="AA340" s="15">
        <f>IF(A340="","",X340+Y340+Z340+SUMIFS('14_Eingangsrechnungen'!$F:$F,'14_Eingangsrechnungen'!$C:$C,A340,'14_Eingangsrechnungen'!$E:$E,"Gerät")+SUMIFS('14_Eingangsrechnungen'!$F:$F,'14_Eingangsrechnungen'!$C:$C,A340,'14_Eingangsrechnungen'!$E:$E,"Dienstleistung"))</f>
        <v/>
      </c>
      <c r="AB340" s="15">
        <f>IF(A340="","",W340-AA340)</f>
        <v/>
      </c>
      <c r="AC340" s="19">
        <f>IF(OR(A340="",W340=0),"",AB340/W340)</f>
        <v/>
      </c>
      <c r="AD340" s="19">
        <f>IF(OR(A340="",V340=0),"",W340/V340)</f>
        <v/>
      </c>
      <c r="AE340" s="15">
        <f>IF(A340="","",MAX(0,V340-W340))</f>
        <v/>
      </c>
      <c r="AF340" s="15">
        <f>IF(A340="","",SUMIFS('13_Ausgangsrechnungen'!$R:$R,'13_Ausgangsrechnungen'!$C:$C,A340))</f>
        <v/>
      </c>
    </row>
    <row r="341">
      <c r="A341" s="30" t="inlineStr"/>
      <c r="B341" s="30" t="inlineStr"/>
      <c r="C341" s="30" t="inlineStr"/>
      <c r="D341" s="30" t="inlineStr"/>
      <c r="E341" s="30" t="inlineStr"/>
      <c r="F341" s="30" t="inlineStr"/>
      <c r="G341" s="38" t="inlineStr"/>
      <c r="H341" s="38" t="inlineStr"/>
      <c r="I341" s="38" t="inlineStr"/>
      <c r="J341" s="34" t="inlineStr"/>
      <c r="K341" s="34" t="inlineStr"/>
      <c r="L341" s="34" t="inlineStr"/>
      <c r="M341" s="34" t="inlineStr"/>
      <c r="N341" s="34" t="inlineStr"/>
      <c r="O341" s="34" t="inlineStr"/>
      <c r="P341" s="32" t="inlineStr"/>
      <c r="Q341" s="30" t="inlineStr"/>
      <c r="R341" s="30" t="inlineStr"/>
      <c r="S341" s="30" t="inlineStr"/>
      <c r="T341" s="30" t="inlineStr"/>
      <c r="U341" s="15">
        <f>IF(A341="","",SUMIFS('07_Nachtraege'!$E:$E,'07_Nachtraege'!$B:$B,A341,'07_Nachtraege'!$F:$F,"beauftragt"))</f>
        <v/>
      </c>
      <c r="V341" s="15">
        <f>IF(A341="","",J341+U341)</f>
        <v/>
      </c>
      <c r="W341" s="15">
        <f>IF(A341="","",SUMIFS('13_Ausgangsrechnungen'!$G:$G,'13_Ausgangsrechnungen'!$C:$C,A341))</f>
        <v/>
      </c>
      <c r="X341" s="15">
        <f>IF(A341="","",SUMIFS('11_Material'!$L:$L,'11_Material'!$C:$C,A341))</f>
        <v/>
      </c>
      <c r="Y341" s="15">
        <f>IF(A341="","",SUMIFS('14_Eingangsrechnungen'!$F:$F,'14_Eingangsrechnungen'!$C:$C,A341,'14_Eingangsrechnungen'!$E:$E,"Nachunternehmer"))</f>
        <v/>
      </c>
      <c r="Z341" s="15">
        <f>IF(A341="","",SUMIFS('10_Stunden'!$K:$K,'10_Stunden'!$C:$C,A341))</f>
        <v/>
      </c>
      <c r="AA341" s="15">
        <f>IF(A341="","",X341+Y341+Z341+SUMIFS('14_Eingangsrechnungen'!$F:$F,'14_Eingangsrechnungen'!$C:$C,A341,'14_Eingangsrechnungen'!$E:$E,"Gerät")+SUMIFS('14_Eingangsrechnungen'!$F:$F,'14_Eingangsrechnungen'!$C:$C,A341,'14_Eingangsrechnungen'!$E:$E,"Dienstleistung"))</f>
        <v/>
      </c>
      <c r="AB341" s="15">
        <f>IF(A341="","",W341-AA341)</f>
        <v/>
      </c>
      <c r="AC341" s="19">
        <f>IF(OR(A341="",W341=0),"",AB341/W341)</f>
        <v/>
      </c>
      <c r="AD341" s="19">
        <f>IF(OR(A341="",V341=0),"",W341/V341)</f>
        <v/>
      </c>
      <c r="AE341" s="15">
        <f>IF(A341="","",MAX(0,V341-W341))</f>
        <v/>
      </c>
      <c r="AF341" s="15">
        <f>IF(A341="","",SUMIFS('13_Ausgangsrechnungen'!$R:$R,'13_Ausgangsrechnungen'!$C:$C,A341))</f>
        <v/>
      </c>
    </row>
    <row r="342">
      <c r="A342" s="30" t="inlineStr"/>
      <c r="B342" s="30" t="inlineStr"/>
      <c r="C342" s="30" t="inlineStr"/>
      <c r="D342" s="30" t="inlineStr"/>
      <c r="E342" s="30" t="inlineStr"/>
      <c r="F342" s="30" t="inlineStr"/>
      <c r="G342" s="38" t="inlineStr"/>
      <c r="H342" s="38" t="inlineStr"/>
      <c r="I342" s="38" t="inlineStr"/>
      <c r="J342" s="34" t="inlineStr"/>
      <c r="K342" s="34" t="inlineStr"/>
      <c r="L342" s="34" t="inlineStr"/>
      <c r="M342" s="34" t="inlineStr"/>
      <c r="N342" s="34" t="inlineStr"/>
      <c r="O342" s="34" t="inlineStr"/>
      <c r="P342" s="32" t="inlineStr"/>
      <c r="Q342" s="30" t="inlineStr"/>
      <c r="R342" s="30" t="inlineStr"/>
      <c r="S342" s="30" t="inlineStr"/>
      <c r="T342" s="30" t="inlineStr"/>
      <c r="U342" s="15">
        <f>IF(A342="","",SUMIFS('07_Nachtraege'!$E:$E,'07_Nachtraege'!$B:$B,A342,'07_Nachtraege'!$F:$F,"beauftragt"))</f>
        <v/>
      </c>
      <c r="V342" s="15">
        <f>IF(A342="","",J342+U342)</f>
        <v/>
      </c>
      <c r="W342" s="15">
        <f>IF(A342="","",SUMIFS('13_Ausgangsrechnungen'!$G:$G,'13_Ausgangsrechnungen'!$C:$C,A342))</f>
        <v/>
      </c>
      <c r="X342" s="15">
        <f>IF(A342="","",SUMIFS('11_Material'!$L:$L,'11_Material'!$C:$C,A342))</f>
        <v/>
      </c>
      <c r="Y342" s="15">
        <f>IF(A342="","",SUMIFS('14_Eingangsrechnungen'!$F:$F,'14_Eingangsrechnungen'!$C:$C,A342,'14_Eingangsrechnungen'!$E:$E,"Nachunternehmer"))</f>
        <v/>
      </c>
      <c r="Z342" s="15">
        <f>IF(A342="","",SUMIFS('10_Stunden'!$K:$K,'10_Stunden'!$C:$C,A342))</f>
        <v/>
      </c>
      <c r="AA342" s="15">
        <f>IF(A342="","",X342+Y342+Z342+SUMIFS('14_Eingangsrechnungen'!$F:$F,'14_Eingangsrechnungen'!$C:$C,A342,'14_Eingangsrechnungen'!$E:$E,"Gerät")+SUMIFS('14_Eingangsrechnungen'!$F:$F,'14_Eingangsrechnungen'!$C:$C,A342,'14_Eingangsrechnungen'!$E:$E,"Dienstleistung"))</f>
        <v/>
      </c>
      <c r="AB342" s="15">
        <f>IF(A342="","",W342-AA342)</f>
        <v/>
      </c>
      <c r="AC342" s="19">
        <f>IF(OR(A342="",W342=0),"",AB342/W342)</f>
        <v/>
      </c>
      <c r="AD342" s="19">
        <f>IF(OR(A342="",V342=0),"",W342/V342)</f>
        <v/>
      </c>
      <c r="AE342" s="15">
        <f>IF(A342="","",MAX(0,V342-W342))</f>
        <v/>
      </c>
      <c r="AF342" s="15">
        <f>IF(A342="","",SUMIFS('13_Ausgangsrechnungen'!$R:$R,'13_Ausgangsrechnungen'!$C:$C,A342))</f>
        <v/>
      </c>
    </row>
    <row r="343">
      <c r="A343" s="30" t="inlineStr"/>
      <c r="B343" s="30" t="inlineStr"/>
      <c r="C343" s="30" t="inlineStr"/>
      <c r="D343" s="30" t="inlineStr"/>
      <c r="E343" s="30" t="inlineStr"/>
      <c r="F343" s="30" t="inlineStr"/>
      <c r="G343" s="38" t="inlineStr"/>
      <c r="H343" s="38" t="inlineStr"/>
      <c r="I343" s="38" t="inlineStr"/>
      <c r="J343" s="34" t="inlineStr"/>
      <c r="K343" s="34" t="inlineStr"/>
      <c r="L343" s="34" t="inlineStr"/>
      <c r="M343" s="34" t="inlineStr"/>
      <c r="N343" s="34" t="inlineStr"/>
      <c r="O343" s="34" t="inlineStr"/>
      <c r="P343" s="32" t="inlineStr"/>
      <c r="Q343" s="30" t="inlineStr"/>
      <c r="R343" s="30" t="inlineStr"/>
      <c r="S343" s="30" t="inlineStr"/>
      <c r="T343" s="30" t="inlineStr"/>
      <c r="U343" s="15">
        <f>IF(A343="","",SUMIFS('07_Nachtraege'!$E:$E,'07_Nachtraege'!$B:$B,A343,'07_Nachtraege'!$F:$F,"beauftragt"))</f>
        <v/>
      </c>
      <c r="V343" s="15">
        <f>IF(A343="","",J343+U343)</f>
        <v/>
      </c>
      <c r="W343" s="15">
        <f>IF(A343="","",SUMIFS('13_Ausgangsrechnungen'!$G:$G,'13_Ausgangsrechnungen'!$C:$C,A343))</f>
        <v/>
      </c>
      <c r="X343" s="15">
        <f>IF(A343="","",SUMIFS('11_Material'!$L:$L,'11_Material'!$C:$C,A343))</f>
        <v/>
      </c>
      <c r="Y343" s="15">
        <f>IF(A343="","",SUMIFS('14_Eingangsrechnungen'!$F:$F,'14_Eingangsrechnungen'!$C:$C,A343,'14_Eingangsrechnungen'!$E:$E,"Nachunternehmer"))</f>
        <v/>
      </c>
      <c r="Z343" s="15">
        <f>IF(A343="","",SUMIFS('10_Stunden'!$K:$K,'10_Stunden'!$C:$C,A343))</f>
        <v/>
      </c>
      <c r="AA343" s="15">
        <f>IF(A343="","",X343+Y343+Z343+SUMIFS('14_Eingangsrechnungen'!$F:$F,'14_Eingangsrechnungen'!$C:$C,A343,'14_Eingangsrechnungen'!$E:$E,"Gerät")+SUMIFS('14_Eingangsrechnungen'!$F:$F,'14_Eingangsrechnungen'!$C:$C,A343,'14_Eingangsrechnungen'!$E:$E,"Dienstleistung"))</f>
        <v/>
      </c>
      <c r="AB343" s="15">
        <f>IF(A343="","",W343-AA343)</f>
        <v/>
      </c>
      <c r="AC343" s="19">
        <f>IF(OR(A343="",W343=0),"",AB343/W343)</f>
        <v/>
      </c>
      <c r="AD343" s="19">
        <f>IF(OR(A343="",V343=0),"",W343/V343)</f>
        <v/>
      </c>
      <c r="AE343" s="15">
        <f>IF(A343="","",MAX(0,V343-W343))</f>
        <v/>
      </c>
      <c r="AF343" s="15">
        <f>IF(A343="","",SUMIFS('13_Ausgangsrechnungen'!$R:$R,'13_Ausgangsrechnungen'!$C:$C,A343))</f>
        <v/>
      </c>
    </row>
    <row r="344">
      <c r="A344" s="30" t="inlineStr"/>
      <c r="B344" s="30" t="inlineStr"/>
      <c r="C344" s="30" t="inlineStr"/>
      <c r="D344" s="30" t="inlineStr"/>
      <c r="E344" s="30" t="inlineStr"/>
      <c r="F344" s="30" t="inlineStr"/>
      <c r="G344" s="38" t="inlineStr"/>
      <c r="H344" s="38" t="inlineStr"/>
      <c r="I344" s="38" t="inlineStr"/>
      <c r="J344" s="34" t="inlineStr"/>
      <c r="K344" s="34" t="inlineStr"/>
      <c r="L344" s="34" t="inlineStr"/>
      <c r="M344" s="34" t="inlineStr"/>
      <c r="N344" s="34" t="inlineStr"/>
      <c r="O344" s="34" t="inlineStr"/>
      <c r="P344" s="32" t="inlineStr"/>
      <c r="Q344" s="30" t="inlineStr"/>
      <c r="R344" s="30" t="inlineStr"/>
      <c r="S344" s="30" t="inlineStr"/>
      <c r="T344" s="30" t="inlineStr"/>
      <c r="U344" s="15">
        <f>IF(A344="","",SUMIFS('07_Nachtraege'!$E:$E,'07_Nachtraege'!$B:$B,A344,'07_Nachtraege'!$F:$F,"beauftragt"))</f>
        <v/>
      </c>
      <c r="V344" s="15">
        <f>IF(A344="","",J344+U344)</f>
        <v/>
      </c>
      <c r="W344" s="15">
        <f>IF(A344="","",SUMIFS('13_Ausgangsrechnungen'!$G:$G,'13_Ausgangsrechnungen'!$C:$C,A344))</f>
        <v/>
      </c>
      <c r="X344" s="15">
        <f>IF(A344="","",SUMIFS('11_Material'!$L:$L,'11_Material'!$C:$C,A344))</f>
        <v/>
      </c>
      <c r="Y344" s="15">
        <f>IF(A344="","",SUMIFS('14_Eingangsrechnungen'!$F:$F,'14_Eingangsrechnungen'!$C:$C,A344,'14_Eingangsrechnungen'!$E:$E,"Nachunternehmer"))</f>
        <v/>
      </c>
      <c r="Z344" s="15">
        <f>IF(A344="","",SUMIFS('10_Stunden'!$K:$K,'10_Stunden'!$C:$C,A344))</f>
        <v/>
      </c>
      <c r="AA344" s="15">
        <f>IF(A344="","",X344+Y344+Z344+SUMIFS('14_Eingangsrechnungen'!$F:$F,'14_Eingangsrechnungen'!$C:$C,A344,'14_Eingangsrechnungen'!$E:$E,"Gerät")+SUMIFS('14_Eingangsrechnungen'!$F:$F,'14_Eingangsrechnungen'!$C:$C,A344,'14_Eingangsrechnungen'!$E:$E,"Dienstleistung"))</f>
        <v/>
      </c>
      <c r="AB344" s="15">
        <f>IF(A344="","",W344-AA344)</f>
        <v/>
      </c>
      <c r="AC344" s="19">
        <f>IF(OR(A344="",W344=0),"",AB344/W344)</f>
        <v/>
      </c>
      <c r="AD344" s="19">
        <f>IF(OR(A344="",V344=0),"",W344/V344)</f>
        <v/>
      </c>
      <c r="AE344" s="15">
        <f>IF(A344="","",MAX(0,V344-W344))</f>
        <v/>
      </c>
      <c r="AF344" s="15">
        <f>IF(A344="","",SUMIFS('13_Ausgangsrechnungen'!$R:$R,'13_Ausgangsrechnungen'!$C:$C,A344))</f>
        <v/>
      </c>
    </row>
    <row r="345">
      <c r="A345" s="30" t="inlineStr"/>
      <c r="B345" s="30" t="inlineStr"/>
      <c r="C345" s="30" t="inlineStr"/>
      <c r="D345" s="30" t="inlineStr"/>
      <c r="E345" s="30" t="inlineStr"/>
      <c r="F345" s="30" t="inlineStr"/>
      <c r="G345" s="38" t="inlineStr"/>
      <c r="H345" s="38" t="inlineStr"/>
      <c r="I345" s="38" t="inlineStr"/>
      <c r="J345" s="34" t="inlineStr"/>
      <c r="K345" s="34" t="inlineStr"/>
      <c r="L345" s="34" t="inlineStr"/>
      <c r="M345" s="34" t="inlineStr"/>
      <c r="N345" s="34" t="inlineStr"/>
      <c r="O345" s="34" t="inlineStr"/>
      <c r="P345" s="32" t="inlineStr"/>
      <c r="Q345" s="30" t="inlineStr"/>
      <c r="R345" s="30" t="inlineStr"/>
      <c r="S345" s="30" t="inlineStr"/>
      <c r="T345" s="30" t="inlineStr"/>
      <c r="U345" s="15">
        <f>IF(A345="","",SUMIFS('07_Nachtraege'!$E:$E,'07_Nachtraege'!$B:$B,A345,'07_Nachtraege'!$F:$F,"beauftragt"))</f>
        <v/>
      </c>
      <c r="V345" s="15">
        <f>IF(A345="","",J345+U345)</f>
        <v/>
      </c>
      <c r="W345" s="15">
        <f>IF(A345="","",SUMIFS('13_Ausgangsrechnungen'!$G:$G,'13_Ausgangsrechnungen'!$C:$C,A345))</f>
        <v/>
      </c>
      <c r="X345" s="15">
        <f>IF(A345="","",SUMIFS('11_Material'!$L:$L,'11_Material'!$C:$C,A345))</f>
        <v/>
      </c>
      <c r="Y345" s="15">
        <f>IF(A345="","",SUMIFS('14_Eingangsrechnungen'!$F:$F,'14_Eingangsrechnungen'!$C:$C,A345,'14_Eingangsrechnungen'!$E:$E,"Nachunternehmer"))</f>
        <v/>
      </c>
      <c r="Z345" s="15">
        <f>IF(A345="","",SUMIFS('10_Stunden'!$K:$K,'10_Stunden'!$C:$C,A345))</f>
        <v/>
      </c>
      <c r="AA345" s="15">
        <f>IF(A345="","",X345+Y345+Z345+SUMIFS('14_Eingangsrechnungen'!$F:$F,'14_Eingangsrechnungen'!$C:$C,A345,'14_Eingangsrechnungen'!$E:$E,"Gerät")+SUMIFS('14_Eingangsrechnungen'!$F:$F,'14_Eingangsrechnungen'!$C:$C,A345,'14_Eingangsrechnungen'!$E:$E,"Dienstleistung"))</f>
        <v/>
      </c>
      <c r="AB345" s="15">
        <f>IF(A345="","",W345-AA345)</f>
        <v/>
      </c>
      <c r="AC345" s="19">
        <f>IF(OR(A345="",W345=0),"",AB345/W345)</f>
        <v/>
      </c>
      <c r="AD345" s="19">
        <f>IF(OR(A345="",V345=0),"",W345/V345)</f>
        <v/>
      </c>
      <c r="AE345" s="15">
        <f>IF(A345="","",MAX(0,V345-W345))</f>
        <v/>
      </c>
      <c r="AF345" s="15">
        <f>IF(A345="","",SUMIFS('13_Ausgangsrechnungen'!$R:$R,'13_Ausgangsrechnungen'!$C:$C,A345))</f>
        <v/>
      </c>
    </row>
    <row r="346">
      <c r="A346" s="30" t="inlineStr"/>
      <c r="B346" s="30" t="inlineStr"/>
      <c r="C346" s="30" t="inlineStr"/>
      <c r="D346" s="30" t="inlineStr"/>
      <c r="E346" s="30" t="inlineStr"/>
      <c r="F346" s="30" t="inlineStr"/>
      <c r="G346" s="38" t="inlineStr"/>
      <c r="H346" s="38" t="inlineStr"/>
      <c r="I346" s="38" t="inlineStr"/>
      <c r="J346" s="34" t="inlineStr"/>
      <c r="K346" s="34" t="inlineStr"/>
      <c r="L346" s="34" t="inlineStr"/>
      <c r="M346" s="34" t="inlineStr"/>
      <c r="N346" s="34" t="inlineStr"/>
      <c r="O346" s="34" t="inlineStr"/>
      <c r="P346" s="32" t="inlineStr"/>
      <c r="Q346" s="30" t="inlineStr"/>
      <c r="R346" s="30" t="inlineStr"/>
      <c r="S346" s="30" t="inlineStr"/>
      <c r="T346" s="30" t="inlineStr"/>
      <c r="U346" s="15">
        <f>IF(A346="","",SUMIFS('07_Nachtraege'!$E:$E,'07_Nachtraege'!$B:$B,A346,'07_Nachtraege'!$F:$F,"beauftragt"))</f>
        <v/>
      </c>
      <c r="V346" s="15">
        <f>IF(A346="","",J346+U346)</f>
        <v/>
      </c>
      <c r="W346" s="15">
        <f>IF(A346="","",SUMIFS('13_Ausgangsrechnungen'!$G:$G,'13_Ausgangsrechnungen'!$C:$C,A346))</f>
        <v/>
      </c>
      <c r="X346" s="15">
        <f>IF(A346="","",SUMIFS('11_Material'!$L:$L,'11_Material'!$C:$C,A346))</f>
        <v/>
      </c>
      <c r="Y346" s="15">
        <f>IF(A346="","",SUMIFS('14_Eingangsrechnungen'!$F:$F,'14_Eingangsrechnungen'!$C:$C,A346,'14_Eingangsrechnungen'!$E:$E,"Nachunternehmer"))</f>
        <v/>
      </c>
      <c r="Z346" s="15">
        <f>IF(A346="","",SUMIFS('10_Stunden'!$K:$K,'10_Stunden'!$C:$C,A346))</f>
        <v/>
      </c>
      <c r="AA346" s="15">
        <f>IF(A346="","",X346+Y346+Z346+SUMIFS('14_Eingangsrechnungen'!$F:$F,'14_Eingangsrechnungen'!$C:$C,A346,'14_Eingangsrechnungen'!$E:$E,"Gerät")+SUMIFS('14_Eingangsrechnungen'!$F:$F,'14_Eingangsrechnungen'!$C:$C,A346,'14_Eingangsrechnungen'!$E:$E,"Dienstleistung"))</f>
        <v/>
      </c>
      <c r="AB346" s="15">
        <f>IF(A346="","",W346-AA346)</f>
        <v/>
      </c>
      <c r="AC346" s="19">
        <f>IF(OR(A346="",W346=0),"",AB346/W346)</f>
        <v/>
      </c>
      <c r="AD346" s="19">
        <f>IF(OR(A346="",V346=0),"",W346/V346)</f>
        <v/>
      </c>
      <c r="AE346" s="15">
        <f>IF(A346="","",MAX(0,V346-W346))</f>
        <v/>
      </c>
      <c r="AF346" s="15">
        <f>IF(A346="","",SUMIFS('13_Ausgangsrechnungen'!$R:$R,'13_Ausgangsrechnungen'!$C:$C,A346))</f>
        <v/>
      </c>
    </row>
    <row r="347">
      <c r="A347" s="30" t="inlineStr"/>
      <c r="B347" s="30" t="inlineStr"/>
      <c r="C347" s="30" t="inlineStr"/>
      <c r="D347" s="30" t="inlineStr"/>
      <c r="E347" s="30" t="inlineStr"/>
      <c r="F347" s="30" t="inlineStr"/>
      <c r="G347" s="38" t="inlineStr"/>
      <c r="H347" s="38" t="inlineStr"/>
      <c r="I347" s="38" t="inlineStr"/>
      <c r="J347" s="34" t="inlineStr"/>
      <c r="K347" s="34" t="inlineStr"/>
      <c r="L347" s="34" t="inlineStr"/>
      <c r="M347" s="34" t="inlineStr"/>
      <c r="N347" s="34" t="inlineStr"/>
      <c r="O347" s="34" t="inlineStr"/>
      <c r="P347" s="32" t="inlineStr"/>
      <c r="Q347" s="30" t="inlineStr"/>
      <c r="R347" s="30" t="inlineStr"/>
      <c r="S347" s="30" t="inlineStr"/>
      <c r="T347" s="30" t="inlineStr"/>
      <c r="U347" s="15">
        <f>IF(A347="","",SUMIFS('07_Nachtraege'!$E:$E,'07_Nachtraege'!$B:$B,A347,'07_Nachtraege'!$F:$F,"beauftragt"))</f>
        <v/>
      </c>
      <c r="V347" s="15">
        <f>IF(A347="","",J347+U347)</f>
        <v/>
      </c>
      <c r="W347" s="15">
        <f>IF(A347="","",SUMIFS('13_Ausgangsrechnungen'!$G:$G,'13_Ausgangsrechnungen'!$C:$C,A347))</f>
        <v/>
      </c>
      <c r="X347" s="15">
        <f>IF(A347="","",SUMIFS('11_Material'!$L:$L,'11_Material'!$C:$C,A347))</f>
        <v/>
      </c>
      <c r="Y347" s="15">
        <f>IF(A347="","",SUMIFS('14_Eingangsrechnungen'!$F:$F,'14_Eingangsrechnungen'!$C:$C,A347,'14_Eingangsrechnungen'!$E:$E,"Nachunternehmer"))</f>
        <v/>
      </c>
      <c r="Z347" s="15">
        <f>IF(A347="","",SUMIFS('10_Stunden'!$K:$K,'10_Stunden'!$C:$C,A347))</f>
        <v/>
      </c>
      <c r="AA347" s="15">
        <f>IF(A347="","",X347+Y347+Z347+SUMIFS('14_Eingangsrechnungen'!$F:$F,'14_Eingangsrechnungen'!$C:$C,A347,'14_Eingangsrechnungen'!$E:$E,"Gerät")+SUMIFS('14_Eingangsrechnungen'!$F:$F,'14_Eingangsrechnungen'!$C:$C,A347,'14_Eingangsrechnungen'!$E:$E,"Dienstleistung"))</f>
        <v/>
      </c>
      <c r="AB347" s="15">
        <f>IF(A347="","",W347-AA347)</f>
        <v/>
      </c>
      <c r="AC347" s="19">
        <f>IF(OR(A347="",W347=0),"",AB347/W347)</f>
        <v/>
      </c>
      <c r="AD347" s="19">
        <f>IF(OR(A347="",V347=0),"",W347/V347)</f>
        <v/>
      </c>
      <c r="AE347" s="15">
        <f>IF(A347="","",MAX(0,V347-W347))</f>
        <v/>
      </c>
      <c r="AF347" s="15">
        <f>IF(A347="","",SUMIFS('13_Ausgangsrechnungen'!$R:$R,'13_Ausgangsrechnungen'!$C:$C,A347))</f>
        <v/>
      </c>
    </row>
    <row r="348">
      <c r="A348" s="30" t="inlineStr"/>
      <c r="B348" s="30" t="inlineStr"/>
      <c r="C348" s="30" t="inlineStr"/>
      <c r="D348" s="30" t="inlineStr"/>
      <c r="E348" s="30" t="inlineStr"/>
      <c r="F348" s="30" t="inlineStr"/>
      <c r="G348" s="38" t="inlineStr"/>
      <c r="H348" s="38" t="inlineStr"/>
      <c r="I348" s="38" t="inlineStr"/>
      <c r="J348" s="34" t="inlineStr"/>
      <c r="K348" s="34" t="inlineStr"/>
      <c r="L348" s="34" t="inlineStr"/>
      <c r="M348" s="34" t="inlineStr"/>
      <c r="N348" s="34" t="inlineStr"/>
      <c r="O348" s="34" t="inlineStr"/>
      <c r="P348" s="32" t="inlineStr"/>
      <c r="Q348" s="30" t="inlineStr"/>
      <c r="R348" s="30" t="inlineStr"/>
      <c r="S348" s="30" t="inlineStr"/>
      <c r="T348" s="30" t="inlineStr"/>
      <c r="U348" s="15">
        <f>IF(A348="","",SUMIFS('07_Nachtraege'!$E:$E,'07_Nachtraege'!$B:$B,A348,'07_Nachtraege'!$F:$F,"beauftragt"))</f>
        <v/>
      </c>
      <c r="V348" s="15">
        <f>IF(A348="","",J348+U348)</f>
        <v/>
      </c>
      <c r="W348" s="15">
        <f>IF(A348="","",SUMIFS('13_Ausgangsrechnungen'!$G:$G,'13_Ausgangsrechnungen'!$C:$C,A348))</f>
        <v/>
      </c>
      <c r="X348" s="15">
        <f>IF(A348="","",SUMIFS('11_Material'!$L:$L,'11_Material'!$C:$C,A348))</f>
        <v/>
      </c>
      <c r="Y348" s="15">
        <f>IF(A348="","",SUMIFS('14_Eingangsrechnungen'!$F:$F,'14_Eingangsrechnungen'!$C:$C,A348,'14_Eingangsrechnungen'!$E:$E,"Nachunternehmer"))</f>
        <v/>
      </c>
      <c r="Z348" s="15">
        <f>IF(A348="","",SUMIFS('10_Stunden'!$K:$K,'10_Stunden'!$C:$C,A348))</f>
        <v/>
      </c>
      <c r="AA348" s="15">
        <f>IF(A348="","",X348+Y348+Z348+SUMIFS('14_Eingangsrechnungen'!$F:$F,'14_Eingangsrechnungen'!$C:$C,A348,'14_Eingangsrechnungen'!$E:$E,"Gerät")+SUMIFS('14_Eingangsrechnungen'!$F:$F,'14_Eingangsrechnungen'!$C:$C,A348,'14_Eingangsrechnungen'!$E:$E,"Dienstleistung"))</f>
        <v/>
      </c>
      <c r="AB348" s="15">
        <f>IF(A348="","",W348-AA348)</f>
        <v/>
      </c>
      <c r="AC348" s="19">
        <f>IF(OR(A348="",W348=0),"",AB348/W348)</f>
        <v/>
      </c>
      <c r="AD348" s="19">
        <f>IF(OR(A348="",V348=0),"",W348/V348)</f>
        <v/>
      </c>
      <c r="AE348" s="15">
        <f>IF(A348="","",MAX(0,V348-W348))</f>
        <v/>
      </c>
      <c r="AF348" s="15">
        <f>IF(A348="","",SUMIFS('13_Ausgangsrechnungen'!$R:$R,'13_Ausgangsrechnungen'!$C:$C,A348))</f>
        <v/>
      </c>
    </row>
    <row r="349">
      <c r="A349" s="30" t="inlineStr"/>
      <c r="B349" s="30" t="inlineStr"/>
      <c r="C349" s="30" t="inlineStr"/>
      <c r="D349" s="30" t="inlineStr"/>
      <c r="E349" s="30" t="inlineStr"/>
      <c r="F349" s="30" t="inlineStr"/>
      <c r="G349" s="38" t="inlineStr"/>
      <c r="H349" s="38" t="inlineStr"/>
      <c r="I349" s="38" t="inlineStr"/>
      <c r="J349" s="34" t="inlineStr"/>
      <c r="K349" s="34" t="inlineStr"/>
      <c r="L349" s="34" t="inlineStr"/>
      <c r="M349" s="34" t="inlineStr"/>
      <c r="N349" s="34" t="inlineStr"/>
      <c r="O349" s="34" t="inlineStr"/>
      <c r="P349" s="32" t="inlineStr"/>
      <c r="Q349" s="30" t="inlineStr"/>
      <c r="R349" s="30" t="inlineStr"/>
      <c r="S349" s="30" t="inlineStr"/>
      <c r="T349" s="30" t="inlineStr"/>
      <c r="U349" s="15">
        <f>IF(A349="","",SUMIFS('07_Nachtraege'!$E:$E,'07_Nachtraege'!$B:$B,A349,'07_Nachtraege'!$F:$F,"beauftragt"))</f>
        <v/>
      </c>
      <c r="V349" s="15">
        <f>IF(A349="","",J349+U349)</f>
        <v/>
      </c>
      <c r="W349" s="15">
        <f>IF(A349="","",SUMIFS('13_Ausgangsrechnungen'!$G:$G,'13_Ausgangsrechnungen'!$C:$C,A349))</f>
        <v/>
      </c>
      <c r="X349" s="15">
        <f>IF(A349="","",SUMIFS('11_Material'!$L:$L,'11_Material'!$C:$C,A349))</f>
        <v/>
      </c>
      <c r="Y349" s="15">
        <f>IF(A349="","",SUMIFS('14_Eingangsrechnungen'!$F:$F,'14_Eingangsrechnungen'!$C:$C,A349,'14_Eingangsrechnungen'!$E:$E,"Nachunternehmer"))</f>
        <v/>
      </c>
      <c r="Z349" s="15">
        <f>IF(A349="","",SUMIFS('10_Stunden'!$K:$K,'10_Stunden'!$C:$C,A349))</f>
        <v/>
      </c>
      <c r="AA349" s="15">
        <f>IF(A349="","",X349+Y349+Z349+SUMIFS('14_Eingangsrechnungen'!$F:$F,'14_Eingangsrechnungen'!$C:$C,A349,'14_Eingangsrechnungen'!$E:$E,"Gerät")+SUMIFS('14_Eingangsrechnungen'!$F:$F,'14_Eingangsrechnungen'!$C:$C,A349,'14_Eingangsrechnungen'!$E:$E,"Dienstleistung"))</f>
        <v/>
      </c>
      <c r="AB349" s="15">
        <f>IF(A349="","",W349-AA349)</f>
        <v/>
      </c>
      <c r="AC349" s="19">
        <f>IF(OR(A349="",W349=0),"",AB349/W349)</f>
        <v/>
      </c>
      <c r="AD349" s="19">
        <f>IF(OR(A349="",V349=0),"",W349/V349)</f>
        <v/>
      </c>
      <c r="AE349" s="15">
        <f>IF(A349="","",MAX(0,V349-W349))</f>
        <v/>
      </c>
      <c r="AF349" s="15">
        <f>IF(A349="","",SUMIFS('13_Ausgangsrechnungen'!$R:$R,'13_Ausgangsrechnungen'!$C:$C,A349))</f>
        <v/>
      </c>
    </row>
    <row r="350">
      <c r="A350" s="30" t="inlineStr"/>
      <c r="B350" s="30" t="inlineStr"/>
      <c r="C350" s="30" t="inlineStr"/>
      <c r="D350" s="30" t="inlineStr"/>
      <c r="E350" s="30" t="inlineStr"/>
      <c r="F350" s="30" t="inlineStr"/>
      <c r="G350" s="38" t="inlineStr"/>
      <c r="H350" s="38" t="inlineStr"/>
      <c r="I350" s="38" t="inlineStr"/>
      <c r="J350" s="34" t="inlineStr"/>
      <c r="K350" s="34" t="inlineStr"/>
      <c r="L350" s="34" t="inlineStr"/>
      <c r="M350" s="34" t="inlineStr"/>
      <c r="N350" s="34" t="inlineStr"/>
      <c r="O350" s="34" t="inlineStr"/>
      <c r="P350" s="32" t="inlineStr"/>
      <c r="Q350" s="30" t="inlineStr"/>
      <c r="R350" s="30" t="inlineStr"/>
      <c r="S350" s="30" t="inlineStr"/>
      <c r="T350" s="30" t="inlineStr"/>
      <c r="U350" s="15">
        <f>IF(A350="","",SUMIFS('07_Nachtraege'!$E:$E,'07_Nachtraege'!$B:$B,A350,'07_Nachtraege'!$F:$F,"beauftragt"))</f>
        <v/>
      </c>
      <c r="V350" s="15">
        <f>IF(A350="","",J350+U350)</f>
        <v/>
      </c>
      <c r="W350" s="15">
        <f>IF(A350="","",SUMIFS('13_Ausgangsrechnungen'!$G:$G,'13_Ausgangsrechnungen'!$C:$C,A350))</f>
        <v/>
      </c>
      <c r="X350" s="15">
        <f>IF(A350="","",SUMIFS('11_Material'!$L:$L,'11_Material'!$C:$C,A350))</f>
        <v/>
      </c>
      <c r="Y350" s="15">
        <f>IF(A350="","",SUMIFS('14_Eingangsrechnungen'!$F:$F,'14_Eingangsrechnungen'!$C:$C,A350,'14_Eingangsrechnungen'!$E:$E,"Nachunternehmer"))</f>
        <v/>
      </c>
      <c r="Z350" s="15">
        <f>IF(A350="","",SUMIFS('10_Stunden'!$K:$K,'10_Stunden'!$C:$C,A350))</f>
        <v/>
      </c>
      <c r="AA350" s="15">
        <f>IF(A350="","",X350+Y350+Z350+SUMIFS('14_Eingangsrechnungen'!$F:$F,'14_Eingangsrechnungen'!$C:$C,A350,'14_Eingangsrechnungen'!$E:$E,"Gerät")+SUMIFS('14_Eingangsrechnungen'!$F:$F,'14_Eingangsrechnungen'!$C:$C,A350,'14_Eingangsrechnungen'!$E:$E,"Dienstleistung"))</f>
        <v/>
      </c>
      <c r="AB350" s="15">
        <f>IF(A350="","",W350-AA350)</f>
        <v/>
      </c>
      <c r="AC350" s="19">
        <f>IF(OR(A350="",W350=0),"",AB350/W350)</f>
        <v/>
      </c>
      <c r="AD350" s="19">
        <f>IF(OR(A350="",V350=0),"",W350/V350)</f>
        <v/>
      </c>
      <c r="AE350" s="15">
        <f>IF(A350="","",MAX(0,V350-W350))</f>
        <v/>
      </c>
      <c r="AF350" s="15">
        <f>IF(A350="","",SUMIFS('13_Ausgangsrechnungen'!$R:$R,'13_Ausgangsrechnungen'!$C:$C,A350))</f>
        <v/>
      </c>
    </row>
    <row r="351">
      <c r="A351" s="30" t="inlineStr"/>
      <c r="B351" s="30" t="inlineStr"/>
      <c r="C351" s="30" t="inlineStr"/>
      <c r="D351" s="30" t="inlineStr"/>
      <c r="E351" s="30" t="inlineStr"/>
      <c r="F351" s="30" t="inlineStr"/>
      <c r="G351" s="38" t="inlineStr"/>
      <c r="H351" s="38" t="inlineStr"/>
      <c r="I351" s="38" t="inlineStr"/>
      <c r="J351" s="34" t="inlineStr"/>
      <c r="K351" s="34" t="inlineStr"/>
      <c r="L351" s="34" t="inlineStr"/>
      <c r="M351" s="34" t="inlineStr"/>
      <c r="N351" s="34" t="inlineStr"/>
      <c r="O351" s="34" t="inlineStr"/>
      <c r="P351" s="32" t="inlineStr"/>
      <c r="Q351" s="30" t="inlineStr"/>
      <c r="R351" s="30" t="inlineStr"/>
      <c r="S351" s="30" t="inlineStr"/>
      <c r="T351" s="30" t="inlineStr"/>
      <c r="U351" s="15">
        <f>IF(A351="","",SUMIFS('07_Nachtraege'!$E:$E,'07_Nachtraege'!$B:$B,A351,'07_Nachtraege'!$F:$F,"beauftragt"))</f>
        <v/>
      </c>
      <c r="V351" s="15">
        <f>IF(A351="","",J351+U351)</f>
        <v/>
      </c>
      <c r="W351" s="15">
        <f>IF(A351="","",SUMIFS('13_Ausgangsrechnungen'!$G:$G,'13_Ausgangsrechnungen'!$C:$C,A351))</f>
        <v/>
      </c>
      <c r="X351" s="15">
        <f>IF(A351="","",SUMIFS('11_Material'!$L:$L,'11_Material'!$C:$C,A351))</f>
        <v/>
      </c>
      <c r="Y351" s="15">
        <f>IF(A351="","",SUMIFS('14_Eingangsrechnungen'!$F:$F,'14_Eingangsrechnungen'!$C:$C,A351,'14_Eingangsrechnungen'!$E:$E,"Nachunternehmer"))</f>
        <v/>
      </c>
      <c r="Z351" s="15">
        <f>IF(A351="","",SUMIFS('10_Stunden'!$K:$K,'10_Stunden'!$C:$C,A351))</f>
        <v/>
      </c>
      <c r="AA351" s="15">
        <f>IF(A351="","",X351+Y351+Z351+SUMIFS('14_Eingangsrechnungen'!$F:$F,'14_Eingangsrechnungen'!$C:$C,A351,'14_Eingangsrechnungen'!$E:$E,"Gerät")+SUMIFS('14_Eingangsrechnungen'!$F:$F,'14_Eingangsrechnungen'!$C:$C,A351,'14_Eingangsrechnungen'!$E:$E,"Dienstleistung"))</f>
        <v/>
      </c>
      <c r="AB351" s="15">
        <f>IF(A351="","",W351-AA351)</f>
        <v/>
      </c>
      <c r="AC351" s="19">
        <f>IF(OR(A351="",W351=0),"",AB351/W351)</f>
        <v/>
      </c>
      <c r="AD351" s="19">
        <f>IF(OR(A351="",V351=0),"",W351/V351)</f>
        <v/>
      </c>
      <c r="AE351" s="15">
        <f>IF(A351="","",MAX(0,V351-W351))</f>
        <v/>
      </c>
      <c r="AF351" s="15">
        <f>IF(A351="","",SUMIFS('13_Ausgangsrechnungen'!$R:$R,'13_Ausgangsrechnungen'!$C:$C,A351))</f>
        <v/>
      </c>
    </row>
    <row r="352">
      <c r="A352" s="30" t="inlineStr"/>
      <c r="B352" s="30" t="inlineStr"/>
      <c r="C352" s="30" t="inlineStr"/>
      <c r="D352" s="30" t="inlineStr"/>
      <c r="E352" s="30" t="inlineStr"/>
      <c r="F352" s="30" t="inlineStr"/>
      <c r="G352" s="38" t="inlineStr"/>
      <c r="H352" s="38" t="inlineStr"/>
      <c r="I352" s="38" t="inlineStr"/>
      <c r="J352" s="34" t="inlineStr"/>
      <c r="K352" s="34" t="inlineStr"/>
      <c r="L352" s="34" t="inlineStr"/>
      <c r="M352" s="34" t="inlineStr"/>
      <c r="N352" s="34" t="inlineStr"/>
      <c r="O352" s="34" t="inlineStr"/>
      <c r="P352" s="32" t="inlineStr"/>
      <c r="Q352" s="30" t="inlineStr"/>
      <c r="R352" s="30" t="inlineStr"/>
      <c r="S352" s="30" t="inlineStr"/>
      <c r="T352" s="30" t="inlineStr"/>
      <c r="U352" s="15">
        <f>IF(A352="","",SUMIFS('07_Nachtraege'!$E:$E,'07_Nachtraege'!$B:$B,A352,'07_Nachtraege'!$F:$F,"beauftragt"))</f>
        <v/>
      </c>
      <c r="V352" s="15">
        <f>IF(A352="","",J352+U352)</f>
        <v/>
      </c>
      <c r="W352" s="15">
        <f>IF(A352="","",SUMIFS('13_Ausgangsrechnungen'!$G:$G,'13_Ausgangsrechnungen'!$C:$C,A352))</f>
        <v/>
      </c>
      <c r="X352" s="15">
        <f>IF(A352="","",SUMIFS('11_Material'!$L:$L,'11_Material'!$C:$C,A352))</f>
        <v/>
      </c>
      <c r="Y352" s="15">
        <f>IF(A352="","",SUMIFS('14_Eingangsrechnungen'!$F:$F,'14_Eingangsrechnungen'!$C:$C,A352,'14_Eingangsrechnungen'!$E:$E,"Nachunternehmer"))</f>
        <v/>
      </c>
      <c r="Z352" s="15">
        <f>IF(A352="","",SUMIFS('10_Stunden'!$K:$K,'10_Stunden'!$C:$C,A352))</f>
        <v/>
      </c>
      <c r="AA352" s="15">
        <f>IF(A352="","",X352+Y352+Z352+SUMIFS('14_Eingangsrechnungen'!$F:$F,'14_Eingangsrechnungen'!$C:$C,A352,'14_Eingangsrechnungen'!$E:$E,"Gerät")+SUMIFS('14_Eingangsrechnungen'!$F:$F,'14_Eingangsrechnungen'!$C:$C,A352,'14_Eingangsrechnungen'!$E:$E,"Dienstleistung"))</f>
        <v/>
      </c>
      <c r="AB352" s="15">
        <f>IF(A352="","",W352-AA352)</f>
        <v/>
      </c>
      <c r="AC352" s="19">
        <f>IF(OR(A352="",W352=0),"",AB352/W352)</f>
        <v/>
      </c>
      <c r="AD352" s="19">
        <f>IF(OR(A352="",V352=0),"",W352/V352)</f>
        <v/>
      </c>
      <c r="AE352" s="15">
        <f>IF(A352="","",MAX(0,V352-W352))</f>
        <v/>
      </c>
      <c r="AF352" s="15">
        <f>IF(A352="","",SUMIFS('13_Ausgangsrechnungen'!$R:$R,'13_Ausgangsrechnungen'!$C:$C,A352))</f>
        <v/>
      </c>
    </row>
    <row r="353">
      <c r="A353" s="30" t="inlineStr"/>
      <c r="B353" s="30" t="inlineStr"/>
      <c r="C353" s="30" t="inlineStr"/>
      <c r="D353" s="30" t="inlineStr"/>
      <c r="E353" s="30" t="inlineStr"/>
      <c r="F353" s="30" t="inlineStr"/>
      <c r="G353" s="38" t="inlineStr"/>
      <c r="H353" s="38" t="inlineStr"/>
      <c r="I353" s="38" t="inlineStr"/>
      <c r="J353" s="34" t="inlineStr"/>
      <c r="K353" s="34" t="inlineStr"/>
      <c r="L353" s="34" t="inlineStr"/>
      <c r="M353" s="34" t="inlineStr"/>
      <c r="N353" s="34" t="inlineStr"/>
      <c r="O353" s="34" t="inlineStr"/>
      <c r="P353" s="32" t="inlineStr"/>
      <c r="Q353" s="30" t="inlineStr"/>
      <c r="R353" s="30" t="inlineStr"/>
      <c r="S353" s="30" t="inlineStr"/>
      <c r="T353" s="30" t="inlineStr"/>
      <c r="U353" s="15">
        <f>IF(A353="","",SUMIFS('07_Nachtraege'!$E:$E,'07_Nachtraege'!$B:$B,A353,'07_Nachtraege'!$F:$F,"beauftragt"))</f>
        <v/>
      </c>
      <c r="V353" s="15">
        <f>IF(A353="","",J353+U353)</f>
        <v/>
      </c>
      <c r="W353" s="15">
        <f>IF(A353="","",SUMIFS('13_Ausgangsrechnungen'!$G:$G,'13_Ausgangsrechnungen'!$C:$C,A353))</f>
        <v/>
      </c>
      <c r="X353" s="15">
        <f>IF(A353="","",SUMIFS('11_Material'!$L:$L,'11_Material'!$C:$C,A353))</f>
        <v/>
      </c>
      <c r="Y353" s="15">
        <f>IF(A353="","",SUMIFS('14_Eingangsrechnungen'!$F:$F,'14_Eingangsrechnungen'!$C:$C,A353,'14_Eingangsrechnungen'!$E:$E,"Nachunternehmer"))</f>
        <v/>
      </c>
      <c r="Z353" s="15">
        <f>IF(A353="","",SUMIFS('10_Stunden'!$K:$K,'10_Stunden'!$C:$C,A353))</f>
        <v/>
      </c>
      <c r="AA353" s="15">
        <f>IF(A353="","",X353+Y353+Z353+SUMIFS('14_Eingangsrechnungen'!$F:$F,'14_Eingangsrechnungen'!$C:$C,A353,'14_Eingangsrechnungen'!$E:$E,"Gerät")+SUMIFS('14_Eingangsrechnungen'!$F:$F,'14_Eingangsrechnungen'!$C:$C,A353,'14_Eingangsrechnungen'!$E:$E,"Dienstleistung"))</f>
        <v/>
      </c>
      <c r="AB353" s="15">
        <f>IF(A353="","",W353-AA353)</f>
        <v/>
      </c>
      <c r="AC353" s="19">
        <f>IF(OR(A353="",W353=0),"",AB353/W353)</f>
        <v/>
      </c>
      <c r="AD353" s="19">
        <f>IF(OR(A353="",V353=0),"",W353/V353)</f>
        <v/>
      </c>
      <c r="AE353" s="15">
        <f>IF(A353="","",MAX(0,V353-W353))</f>
        <v/>
      </c>
      <c r="AF353" s="15">
        <f>IF(A353="","",SUMIFS('13_Ausgangsrechnungen'!$R:$R,'13_Ausgangsrechnungen'!$C:$C,A353))</f>
        <v/>
      </c>
    </row>
    <row r="354">
      <c r="A354" s="30" t="inlineStr"/>
      <c r="B354" s="30" t="inlineStr"/>
      <c r="C354" s="30" t="inlineStr"/>
      <c r="D354" s="30" t="inlineStr"/>
      <c r="E354" s="30" t="inlineStr"/>
      <c r="F354" s="30" t="inlineStr"/>
      <c r="G354" s="38" t="inlineStr"/>
      <c r="H354" s="38" t="inlineStr"/>
      <c r="I354" s="38" t="inlineStr"/>
      <c r="J354" s="34" t="inlineStr"/>
      <c r="K354" s="34" t="inlineStr"/>
      <c r="L354" s="34" t="inlineStr"/>
      <c r="M354" s="34" t="inlineStr"/>
      <c r="N354" s="34" t="inlineStr"/>
      <c r="O354" s="34" t="inlineStr"/>
      <c r="P354" s="32" t="inlineStr"/>
      <c r="Q354" s="30" t="inlineStr"/>
      <c r="R354" s="30" t="inlineStr"/>
      <c r="S354" s="30" t="inlineStr"/>
      <c r="T354" s="30" t="inlineStr"/>
      <c r="U354" s="15">
        <f>IF(A354="","",SUMIFS('07_Nachtraege'!$E:$E,'07_Nachtraege'!$B:$B,A354,'07_Nachtraege'!$F:$F,"beauftragt"))</f>
        <v/>
      </c>
      <c r="V354" s="15">
        <f>IF(A354="","",J354+U354)</f>
        <v/>
      </c>
      <c r="W354" s="15">
        <f>IF(A354="","",SUMIFS('13_Ausgangsrechnungen'!$G:$G,'13_Ausgangsrechnungen'!$C:$C,A354))</f>
        <v/>
      </c>
      <c r="X354" s="15">
        <f>IF(A354="","",SUMIFS('11_Material'!$L:$L,'11_Material'!$C:$C,A354))</f>
        <v/>
      </c>
      <c r="Y354" s="15">
        <f>IF(A354="","",SUMIFS('14_Eingangsrechnungen'!$F:$F,'14_Eingangsrechnungen'!$C:$C,A354,'14_Eingangsrechnungen'!$E:$E,"Nachunternehmer"))</f>
        <v/>
      </c>
      <c r="Z354" s="15">
        <f>IF(A354="","",SUMIFS('10_Stunden'!$K:$K,'10_Stunden'!$C:$C,A354))</f>
        <v/>
      </c>
      <c r="AA354" s="15">
        <f>IF(A354="","",X354+Y354+Z354+SUMIFS('14_Eingangsrechnungen'!$F:$F,'14_Eingangsrechnungen'!$C:$C,A354,'14_Eingangsrechnungen'!$E:$E,"Gerät")+SUMIFS('14_Eingangsrechnungen'!$F:$F,'14_Eingangsrechnungen'!$C:$C,A354,'14_Eingangsrechnungen'!$E:$E,"Dienstleistung"))</f>
        <v/>
      </c>
      <c r="AB354" s="15">
        <f>IF(A354="","",W354-AA354)</f>
        <v/>
      </c>
      <c r="AC354" s="19">
        <f>IF(OR(A354="",W354=0),"",AB354/W354)</f>
        <v/>
      </c>
      <c r="AD354" s="19">
        <f>IF(OR(A354="",V354=0),"",W354/V354)</f>
        <v/>
      </c>
      <c r="AE354" s="15">
        <f>IF(A354="","",MAX(0,V354-W354))</f>
        <v/>
      </c>
      <c r="AF354" s="15">
        <f>IF(A354="","",SUMIFS('13_Ausgangsrechnungen'!$R:$R,'13_Ausgangsrechnungen'!$C:$C,A354))</f>
        <v/>
      </c>
    </row>
    <row r="355">
      <c r="A355" s="30" t="inlineStr"/>
      <c r="B355" s="30" t="inlineStr"/>
      <c r="C355" s="30" t="inlineStr"/>
      <c r="D355" s="30" t="inlineStr"/>
      <c r="E355" s="30" t="inlineStr"/>
      <c r="F355" s="30" t="inlineStr"/>
      <c r="G355" s="38" t="inlineStr"/>
      <c r="H355" s="38" t="inlineStr"/>
      <c r="I355" s="38" t="inlineStr"/>
      <c r="J355" s="34" t="inlineStr"/>
      <c r="K355" s="34" t="inlineStr"/>
      <c r="L355" s="34" t="inlineStr"/>
      <c r="M355" s="34" t="inlineStr"/>
      <c r="N355" s="34" t="inlineStr"/>
      <c r="O355" s="34" t="inlineStr"/>
      <c r="P355" s="32" t="inlineStr"/>
      <c r="Q355" s="30" t="inlineStr"/>
      <c r="R355" s="30" t="inlineStr"/>
      <c r="S355" s="30" t="inlineStr"/>
      <c r="T355" s="30" t="inlineStr"/>
      <c r="U355" s="15">
        <f>IF(A355="","",SUMIFS('07_Nachtraege'!$E:$E,'07_Nachtraege'!$B:$B,A355,'07_Nachtraege'!$F:$F,"beauftragt"))</f>
        <v/>
      </c>
      <c r="V355" s="15">
        <f>IF(A355="","",J355+U355)</f>
        <v/>
      </c>
      <c r="W355" s="15">
        <f>IF(A355="","",SUMIFS('13_Ausgangsrechnungen'!$G:$G,'13_Ausgangsrechnungen'!$C:$C,A355))</f>
        <v/>
      </c>
      <c r="X355" s="15">
        <f>IF(A355="","",SUMIFS('11_Material'!$L:$L,'11_Material'!$C:$C,A355))</f>
        <v/>
      </c>
      <c r="Y355" s="15">
        <f>IF(A355="","",SUMIFS('14_Eingangsrechnungen'!$F:$F,'14_Eingangsrechnungen'!$C:$C,A355,'14_Eingangsrechnungen'!$E:$E,"Nachunternehmer"))</f>
        <v/>
      </c>
      <c r="Z355" s="15">
        <f>IF(A355="","",SUMIFS('10_Stunden'!$K:$K,'10_Stunden'!$C:$C,A355))</f>
        <v/>
      </c>
      <c r="AA355" s="15">
        <f>IF(A355="","",X355+Y355+Z355+SUMIFS('14_Eingangsrechnungen'!$F:$F,'14_Eingangsrechnungen'!$C:$C,A355,'14_Eingangsrechnungen'!$E:$E,"Gerät")+SUMIFS('14_Eingangsrechnungen'!$F:$F,'14_Eingangsrechnungen'!$C:$C,A355,'14_Eingangsrechnungen'!$E:$E,"Dienstleistung"))</f>
        <v/>
      </c>
      <c r="AB355" s="15">
        <f>IF(A355="","",W355-AA355)</f>
        <v/>
      </c>
      <c r="AC355" s="19">
        <f>IF(OR(A355="",W355=0),"",AB355/W355)</f>
        <v/>
      </c>
      <c r="AD355" s="19">
        <f>IF(OR(A355="",V355=0),"",W355/V355)</f>
        <v/>
      </c>
      <c r="AE355" s="15">
        <f>IF(A355="","",MAX(0,V355-W355))</f>
        <v/>
      </c>
      <c r="AF355" s="15">
        <f>IF(A355="","",SUMIFS('13_Ausgangsrechnungen'!$R:$R,'13_Ausgangsrechnungen'!$C:$C,A355))</f>
        <v/>
      </c>
    </row>
    <row r="356">
      <c r="A356" s="30" t="inlineStr"/>
      <c r="B356" s="30" t="inlineStr"/>
      <c r="C356" s="30" t="inlineStr"/>
      <c r="D356" s="30" t="inlineStr"/>
      <c r="E356" s="30" t="inlineStr"/>
      <c r="F356" s="30" t="inlineStr"/>
      <c r="G356" s="38" t="inlineStr"/>
      <c r="H356" s="38" t="inlineStr"/>
      <c r="I356" s="38" t="inlineStr"/>
      <c r="J356" s="34" t="inlineStr"/>
      <c r="K356" s="34" t="inlineStr"/>
      <c r="L356" s="34" t="inlineStr"/>
      <c r="M356" s="34" t="inlineStr"/>
      <c r="N356" s="34" t="inlineStr"/>
      <c r="O356" s="34" t="inlineStr"/>
      <c r="P356" s="32" t="inlineStr"/>
      <c r="Q356" s="30" t="inlineStr"/>
      <c r="R356" s="30" t="inlineStr"/>
      <c r="S356" s="30" t="inlineStr"/>
      <c r="T356" s="30" t="inlineStr"/>
      <c r="U356" s="15">
        <f>IF(A356="","",SUMIFS('07_Nachtraege'!$E:$E,'07_Nachtraege'!$B:$B,A356,'07_Nachtraege'!$F:$F,"beauftragt"))</f>
        <v/>
      </c>
      <c r="V356" s="15">
        <f>IF(A356="","",J356+U356)</f>
        <v/>
      </c>
      <c r="W356" s="15">
        <f>IF(A356="","",SUMIFS('13_Ausgangsrechnungen'!$G:$G,'13_Ausgangsrechnungen'!$C:$C,A356))</f>
        <v/>
      </c>
      <c r="X356" s="15">
        <f>IF(A356="","",SUMIFS('11_Material'!$L:$L,'11_Material'!$C:$C,A356))</f>
        <v/>
      </c>
      <c r="Y356" s="15">
        <f>IF(A356="","",SUMIFS('14_Eingangsrechnungen'!$F:$F,'14_Eingangsrechnungen'!$C:$C,A356,'14_Eingangsrechnungen'!$E:$E,"Nachunternehmer"))</f>
        <v/>
      </c>
      <c r="Z356" s="15">
        <f>IF(A356="","",SUMIFS('10_Stunden'!$K:$K,'10_Stunden'!$C:$C,A356))</f>
        <v/>
      </c>
      <c r="AA356" s="15">
        <f>IF(A356="","",X356+Y356+Z356+SUMIFS('14_Eingangsrechnungen'!$F:$F,'14_Eingangsrechnungen'!$C:$C,A356,'14_Eingangsrechnungen'!$E:$E,"Gerät")+SUMIFS('14_Eingangsrechnungen'!$F:$F,'14_Eingangsrechnungen'!$C:$C,A356,'14_Eingangsrechnungen'!$E:$E,"Dienstleistung"))</f>
        <v/>
      </c>
      <c r="AB356" s="15">
        <f>IF(A356="","",W356-AA356)</f>
        <v/>
      </c>
      <c r="AC356" s="19">
        <f>IF(OR(A356="",W356=0),"",AB356/W356)</f>
        <v/>
      </c>
      <c r="AD356" s="19">
        <f>IF(OR(A356="",V356=0),"",W356/V356)</f>
        <v/>
      </c>
      <c r="AE356" s="15">
        <f>IF(A356="","",MAX(0,V356-W356))</f>
        <v/>
      </c>
      <c r="AF356" s="15">
        <f>IF(A356="","",SUMIFS('13_Ausgangsrechnungen'!$R:$R,'13_Ausgangsrechnungen'!$C:$C,A356))</f>
        <v/>
      </c>
    </row>
    <row r="357">
      <c r="A357" s="30" t="inlineStr"/>
      <c r="B357" s="30" t="inlineStr"/>
      <c r="C357" s="30" t="inlineStr"/>
      <c r="D357" s="30" t="inlineStr"/>
      <c r="E357" s="30" t="inlineStr"/>
      <c r="F357" s="30" t="inlineStr"/>
      <c r="G357" s="38" t="inlineStr"/>
      <c r="H357" s="38" t="inlineStr"/>
      <c r="I357" s="38" t="inlineStr"/>
      <c r="J357" s="34" t="inlineStr"/>
      <c r="K357" s="34" t="inlineStr"/>
      <c r="L357" s="34" t="inlineStr"/>
      <c r="M357" s="34" t="inlineStr"/>
      <c r="N357" s="34" t="inlineStr"/>
      <c r="O357" s="34" t="inlineStr"/>
      <c r="P357" s="32" t="inlineStr"/>
      <c r="Q357" s="30" t="inlineStr"/>
      <c r="R357" s="30" t="inlineStr"/>
      <c r="S357" s="30" t="inlineStr"/>
      <c r="T357" s="30" t="inlineStr"/>
      <c r="U357" s="15">
        <f>IF(A357="","",SUMIFS('07_Nachtraege'!$E:$E,'07_Nachtraege'!$B:$B,A357,'07_Nachtraege'!$F:$F,"beauftragt"))</f>
        <v/>
      </c>
      <c r="V357" s="15">
        <f>IF(A357="","",J357+U357)</f>
        <v/>
      </c>
      <c r="W357" s="15">
        <f>IF(A357="","",SUMIFS('13_Ausgangsrechnungen'!$G:$G,'13_Ausgangsrechnungen'!$C:$C,A357))</f>
        <v/>
      </c>
      <c r="X357" s="15">
        <f>IF(A357="","",SUMIFS('11_Material'!$L:$L,'11_Material'!$C:$C,A357))</f>
        <v/>
      </c>
      <c r="Y357" s="15">
        <f>IF(A357="","",SUMIFS('14_Eingangsrechnungen'!$F:$F,'14_Eingangsrechnungen'!$C:$C,A357,'14_Eingangsrechnungen'!$E:$E,"Nachunternehmer"))</f>
        <v/>
      </c>
      <c r="Z357" s="15">
        <f>IF(A357="","",SUMIFS('10_Stunden'!$K:$K,'10_Stunden'!$C:$C,A357))</f>
        <v/>
      </c>
      <c r="AA357" s="15">
        <f>IF(A357="","",X357+Y357+Z357+SUMIFS('14_Eingangsrechnungen'!$F:$F,'14_Eingangsrechnungen'!$C:$C,A357,'14_Eingangsrechnungen'!$E:$E,"Gerät")+SUMIFS('14_Eingangsrechnungen'!$F:$F,'14_Eingangsrechnungen'!$C:$C,A357,'14_Eingangsrechnungen'!$E:$E,"Dienstleistung"))</f>
        <v/>
      </c>
      <c r="AB357" s="15">
        <f>IF(A357="","",W357-AA357)</f>
        <v/>
      </c>
      <c r="AC357" s="19">
        <f>IF(OR(A357="",W357=0),"",AB357/W357)</f>
        <v/>
      </c>
      <c r="AD357" s="19">
        <f>IF(OR(A357="",V357=0),"",W357/V357)</f>
        <v/>
      </c>
      <c r="AE357" s="15">
        <f>IF(A357="","",MAX(0,V357-W357))</f>
        <v/>
      </c>
      <c r="AF357" s="15">
        <f>IF(A357="","",SUMIFS('13_Ausgangsrechnungen'!$R:$R,'13_Ausgangsrechnungen'!$C:$C,A357))</f>
        <v/>
      </c>
    </row>
    <row r="358">
      <c r="A358" s="30" t="inlineStr"/>
      <c r="B358" s="30" t="inlineStr"/>
      <c r="C358" s="30" t="inlineStr"/>
      <c r="D358" s="30" t="inlineStr"/>
      <c r="E358" s="30" t="inlineStr"/>
      <c r="F358" s="30" t="inlineStr"/>
      <c r="G358" s="38" t="inlineStr"/>
      <c r="H358" s="38" t="inlineStr"/>
      <c r="I358" s="38" t="inlineStr"/>
      <c r="J358" s="34" t="inlineStr"/>
      <c r="K358" s="34" t="inlineStr"/>
      <c r="L358" s="34" t="inlineStr"/>
      <c r="M358" s="34" t="inlineStr"/>
      <c r="N358" s="34" t="inlineStr"/>
      <c r="O358" s="34" t="inlineStr"/>
      <c r="P358" s="32" t="inlineStr"/>
      <c r="Q358" s="30" t="inlineStr"/>
      <c r="R358" s="30" t="inlineStr"/>
      <c r="S358" s="30" t="inlineStr"/>
      <c r="T358" s="30" t="inlineStr"/>
      <c r="U358" s="15">
        <f>IF(A358="","",SUMIFS('07_Nachtraege'!$E:$E,'07_Nachtraege'!$B:$B,A358,'07_Nachtraege'!$F:$F,"beauftragt"))</f>
        <v/>
      </c>
      <c r="V358" s="15">
        <f>IF(A358="","",J358+U358)</f>
        <v/>
      </c>
      <c r="W358" s="15">
        <f>IF(A358="","",SUMIFS('13_Ausgangsrechnungen'!$G:$G,'13_Ausgangsrechnungen'!$C:$C,A358))</f>
        <v/>
      </c>
      <c r="X358" s="15">
        <f>IF(A358="","",SUMIFS('11_Material'!$L:$L,'11_Material'!$C:$C,A358))</f>
        <v/>
      </c>
      <c r="Y358" s="15">
        <f>IF(A358="","",SUMIFS('14_Eingangsrechnungen'!$F:$F,'14_Eingangsrechnungen'!$C:$C,A358,'14_Eingangsrechnungen'!$E:$E,"Nachunternehmer"))</f>
        <v/>
      </c>
      <c r="Z358" s="15">
        <f>IF(A358="","",SUMIFS('10_Stunden'!$K:$K,'10_Stunden'!$C:$C,A358))</f>
        <v/>
      </c>
      <c r="AA358" s="15">
        <f>IF(A358="","",X358+Y358+Z358+SUMIFS('14_Eingangsrechnungen'!$F:$F,'14_Eingangsrechnungen'!$C:$C,A358,'14_Eingangsrechnungen'!$E:$E,"Gerät")+SUMIFS('14_Eingangsrechnungen'!$F:$F,'14_Eingangsrechnungen'!$C:$C,A358,'14_Eingangsrechnungen'!$E:$E,"Dienstleistung"))</f>
        <v/>
      </c>
      <c r="AB358" s="15">
        <f>IF(A358="","",W358-AA358)</f>
        <v/>
      </c>
      <c r="AC358" s="19">
        <f>IF(OR(A358="",W358=0),"",AB358/W358)</f>
        <v/>
      </c>
      <c r="AD358" s="19">
        <f>IF(OR(A358="",V358=0),"",W358/V358)</f>
        <v/>
      </c>
      <c r="AE358" s="15">
        <f>IF(A358="","",MAX(0,V358-W358))</f>
        <v/>
      </c>
      <c r="AF358" s="15">
        <f>IF(A358="","",SUMIFS('13_Ausgangsrechnungen'!$R:$R,'13_Ausgangsrechnungen'!$C:$C,A358))</f>
        <v/>
      </c>
    </row>
    <row r="359">
      <c r="A359" s="30" t="inlineStr"/>
      <c r="B359" s="30" t="inlineStr"/>
      <c r="C359" s="30" t="inlineStr"/>
      <c r="D359" s="30" t="inlineStr"/>
      <c r="E359" s="30" t="inlineStr"/>
      <c r="F359" s="30" t="inlineStr"/>
      <c r="G359" s="38" t="inlineStr"/>
      <c r="H359" s="38" t="inlineStr"/>
      <c r="I359" s="38" t="inlineStr"/>
      <c r="J359" s="34" t="inlineStr"/>
      <c r="K359" s="34" t="inlineStr"/>
      <c r="L359" s="34" t="inlineStr"/>
      <c r="M359" s="34" t="inlineStr"/>
      <c r="N359" s="34" t="inlineStr"/>
      <c r="O359" s="34" t="inlineStr"/>
      <c r="P359" s="32" t="inlineStr"/>
      <c r="Q359" s="30" t="inlineStr"/>
      <c r="R359" s="30" t="inlineStr"/>
      <c r="S359" s="30" t="inlineStr"/>
      <c r="T359" s="30" t="inlineStr"/>
      <c r="U359" s="15">
        <f>IF(A359="","",SUMIFS('07_Nachtraege'!$E:$E,'07_Nachtraege'!$B:$B,A359,'07_Nachtraege'!$F:$F,"beauftragt"))</f>
        <v/>
      </c>
      <c r="V359" s="15">
        <f>IF(A359="","",J359+U359)</f>
        <v/>
      </c>
      <c r="W359" s="15">
        <f>IF(A359="","",SUMIFS('13_Ausgangsrechnungen'!$G:$G,'13_Ausgangsrechnungen'!$C:$C,A359))</f>
        <v/>
      </c>
      <c r="X359" s="15">
        <f>IF(A359="","",SUMIFS('11_Material'!$L:$L,'11_Material'!$C:$C,A359))</f>
        <v/>
      </c>
      <c r="Y359" s="15">
        <f>IF(A359="","",SUMIFS('14_Eingangsrechnungen'!$F:$F,'14_Eingangsrechnungen'!$C:$C,A359,'14_Eingangsrechnungen'!$E:$E,"Nachunternehmer"))</f>
        <v/>
      </c>
      <c r="Z359" s="15">
        <f>IF(A359="","",SUMIFS('10_Stunden'!$K:$K,'10_Stunden'!$C:$C,A359))</f>
        <v/>
      </c>
      <c r="AA359" s="15">
        <f>IF(A359="","",X359+Y359+Z359+SUMIFS('14_Eingangsrechnungen'!$F:$F,'14_Eingangsrechnungen'!$C:$C,A359,'14_Eingangsrechnungen'!$E:$E,"Gerät")+SUMIFS('14_Eingangsrechnungen'!$F:$F,'14_Eingangsrechnungen'!$C:$C,A359,'14_Eingangsrechnungen'!$E:$E,"Dienstleistung"))</f>
        <v/>
      </c>
      <c r="AB359" s="15">
        <f>IF(A359="","",W359-AA359)</f>
        <v/>
      </c>
      <c r="AC359" s="19">
        <f>IF(OR(A359="",W359=0),"",AB359/W359)</f>
        <v/>
      </c>
      <c r="AD359" s="19">
        <f>IF(OR(A359="",V359=0),"",W359/V359)</f>
        <v/>
      </c>
      <c r="AE359" s="15">
        <f>IF(A359="","",MAX(0,V359-W359))</f>
        <v/>
      </c>
      <c r="AF359" s="15">
        <f>IF(A359="","",SUMIFS('13_Ausgangsrechnungen'!$R:$R,'13_Ausgangsrechnungen'!$C:$C,A359))</f>
        <v/>
      </c>
    </row>
    <row r="360">
      <c r="A360" s="30" t="inlineStr"/>
      <c r="B360" s="30" t="inlineStr"/>
      <c r="C360" s="30" t="inlineStr"/>
      <c r="D360" s="30" t="inlineStr"/>
      <c r="E360" s="30" t="inlineStr"/>
      <c r="F360" s="30" t="inlineStr"/>
      <c r="G360" s="38" t="inlineStr"/>
      <c r="H360" s="38" t="inlineStr"/>
      <c r="I360" s="38" t="inlineStr"/>
      <c r="J360" s="34" t="inlineStr"/>
      <c r="K360" s="34" t="inlineStr"/>
      <c r="L360" s="34" t="inlineStr"/>
      <c r="M360" s="34" t="inlineStr"/>
      <c r="N360" s="34" t="inlineStr"/>
      <c r="O360" s="34" t="inlineStr"/>
      <c r="P360" s="32" t="inlineStr"/>
      <c r="Q360" s="30" t="inlineStr"/>
      <c r="R360" s="30" t="inlineStr"/>
      <c r="S360" s="30" t="inlineStr"/>
      <c r="T360" s="30" t="inlineStr"/>
      <c r="U360" s="15">
        <f>IF(A360="","",SUMIFS('07_Nachtraege'!$E:$E,'07_Nachtraege'!$B:$B,A360,'07_Nachtraege'!$F:$F,"beauftragt"))</f>
        <v/>
      </c>
      <c r="V360" s="15">
        <f>IF(A360="","",J360+U360)</f>
        <v/>
      </c>
      <c r="W360" s="15">
        <f>IF(A360="","",SUMIFS('13_Ausgangsrechnungen'!$G:$G,'13_Ausgangsrechnungen'!$C:$C,A360))</f>
        <v/>
      </c>
      <c r="X360" s="15">
        <f>IF(A360="","",SUMIFS('11_Material'!$L:$L,'11_Material'!$C:$C,A360))</f>
        <v/>
      </c>
      <c r="Y360" s="15">
        <f>IF(A360="","",SUMIFS('14_Eingangsrechnungen'!$F:$F,'14_Eingangsrechnungen'!$C:$C,A360,'14_Eingangsrechnungen'!$E:$E,"Nachunternehmer"))</f>
        <v/>
      </c>
      <c r="Z360" s="15">
        <f>IF(A360="","",SUMIFS('10_Stunden'!$K:$K,'10_Stunden'!$C:$C,A360))</f>
        <v/>
      </c>
      <c r="AA360" s="15">
        <f>IF(A360="","",X360+Y360+Z360+SUMIFS('14_Eingangsrechnungen'!$F:$F,'14_Eingangsrechnungen'!$C:$C,A360,'14_Eingangsrechnungen'!$E:$E,"Gerät")+SUMIFS('14_Eingangsrechnungen'!$F:$F,'14_Eingangsrechnungen'!$C:$C,A360,'14_Eingangsrechnungen'!$E:$E,"Dienstleistung"))</f>
        <v/>
      </c>
      <c r="AB360" s="15">
        <f>IF(A360="","",W360-AA360)</f>
        <v/>
      </c>
      <c r="AC360" s="19">
        <f>IF(OR(A360="",W360=0),"",AB360/W360)</f>
        <v/>
      </c>
      <c r="AD360" s="19">
        <f>IF(OR(A360="",V360=0),"",W360/V360)</f>
        <v/>
      </c>
      <c r="AE360" s="15">
        <f>IF(A360="","",MAX(0,V360-W360))</f>
        <v/>
      </c>
      <c r="AF360" s="15">
        <f>IF(A360="","",SUMIFS('13_Ausgangsrechnungen'!$R:$R,'13_Ausgangsrechnungen'!$C:$C,A360))</f>
        <v/>
      </c>
    </row>
    <row r="361">
      <c r="A361" s="30" t="inlineStr"/>
      <c r="B361" s="30" t="inlineStr"/>
      <c r="C361" s="30" t="inlineStr"/>
      <c r="D361" s="30" t="inlineStr"/>
      <c r="E361" s="30" t="inlineStr"/>
      <c r="F361" s="30" t="inlineStr"/>
      <c r="G361" s="38" t="inlineStr"/>
      <c r="H361" s="38" t="inlineStr"/>
      <c r="I361" s="38" t="inlineStr"/>
      <c r="J361" s="34" t="inlineStr"/>
      <c r="K361" s="34" t="inlineStr"/>
      <c r="L361" s="34" t="inlineStr"/>
      <c r="M361" s="34" t="inlineStr"/>
      <c r="N361" s="34" t="inlineStr"/>
      <c r="O361" s="34" t="inlineStr"/>
      <c r="P361" s="32" t="inlineStr"/>
      <c r="Q361" s="30" t="inlineStr"/>
      <c r="R361" s="30" t="inlineStr"/>
      <c r="S361" s="30" t="inlineStr"/>
      <c r="T361" s="30" t="inlineStr"/>
      <c r="U361" s="15">
        <f>IF(A361="","",SUMIFS('07_Nachtraege'!$E:$E,'07_Nachtraege'!$B:$B,A361,'07_Nachtraege'!$F:$F,"beauftragt"))</f>
        <v/>
      </c>
      <c r="V361" s="15">
        <f>IF(A361="","",J361+U361)</f>
        <v/>
      </c>
      <c r="W361" s="15">
        <f>IF(A361="","",SUMIFS('13_Ausgangsrechnungen'!$G:$G,'13_Ausgangsrechnungen'!$C:$C,A361))</f>
        <v/>
      </c>
      <c r="X361" s="15">
        <f>IF(A361="","",SUMIFS('11_Material'!$L:$L,'11_Material'!$C:$C,A361))</f>
        <v/>
      </c>
      <c r="Y361" s="15">
        <f>IF(A361="","",SUMIFS('14_Eingangsrechnungen'!$F:$F,'14_Eingangsrechnungen'!$C:$C,A361,'14_Eingangsrechnungen'!$E:$E,"Nachunternehmer"))</f>
        <v/>
      </c>
      <c r="Z361" s="15">
        <f>IF(A361="","",SUMIFS('10_Stunden'!$K:$K,'10_Stunden'!$C:$C,A361))</f>
        <v/>
      </c>
      <c r="AA361" s="15">
        <f>IF(A361="","",X361+Y361+Z361+SUMIFS('14_Eingangsrechnungen'!$F:$F,'14_Eingangsrechnungen'!$C:$C,A361,'14_Eingangsrechnungen'!$E:$E,"Gerät")+SUMIFS('14_Eingangsrechnungen'!$F:$F,'14_Eingangsrechnungen'!$C:$C,A361,'14_Eingangsrechnungen'!$E:$E,"Dienstleistung"))</f>
        <v/>
      </c>
      <c r="AB361" s="15">
        <f>IF(A361="","",W361-AA361)</f>
        <v/>
      </c>
      <c r="AC361" s="19">
        <f>IF(OR(A361="",W361=0),"",AB361/W361)</f>
        <v/>
      </c>
      <c r="AD361" s="19">
        <f>IF(OR(A361="",V361=0),"",W361/V361)</f>
        <v/>
      </c>
      <c r="AE361" s="15">
        <f>IF(A361="","",MAX(0,V361-W361))</f>
        <v/>
      </c>
      <c r="AF361" s="15">
        <f>IF(A361="","",SUMIFS('13_Ausgangsrechnungen'!$R:$R,'13_Ausgangsrechnungen'!$C:$C,A361))</f>
        <v/>
      </c>
    </row>
    <row r="362">
      <c r="A362" s="30" t="inlineStr"/>
      <c r="B362" s="30" t="inlineStr"/>
      <c r="C362" s="30" t="inlineStr"/>
      <c r="D362" s="30" t="inlineStr"/>
      <c r="E362" s="30" t="inlineStr"/>
      <c r="F362" s="30" t="inlineStr"/>
      <c r="G362" s="38" t="inlineStr"/>
      <c r="H362" s="38" t="inlineStr"/>
      <c r="I362" s="38" t="inlineStr"/>
      <c r="J362" s="34" t="inlineStr"/>
      <c r="K362" s="34" t="inlineStr"/>
      <c r="L362" s="34" t="inlineStr"/>
      <c r="M362" s="34" t="inlineStr"/>
      <c r="N362" s="34" t="inlineStr"/>
      <c r="O362" s="34" t="inlineStr"/>
      <c r="P362" s="32" t="inlineStr"/>
      <c r="Q362" s="30" t="inlineStr"/>
      <c r="R362" s="30" t="inlineStr"/>
      <c r="S362" s="30" t="inlineStr"/>
      <c r="T362" s="30" t="inlineStr"/>
      <c r="U362" s="15">
        <f>IF(A362="","",SUMIFS('07_Nachtraege'!$E:$E,'07_Nachtraege'!$B:$B,A362,'07_Nachtraege'!$F:$F,"beauftragt"))</f>
        <v/>
      </c>
      <c r="V362" s="15">
        <f>IF(A362="","",J362+U362)</f>
        <v/>
      </c>
      <c r="W362" s="15">
        <f>IF(A362="","",SUMIFS('13_Ausgangsrechnungen'!$G:$G,'13_Ausgangsrechnungen'!$C:$C,A362))</f>
        <v/>
      </c>
      <c r="X362" s="15">
        <f>IF(A362="","",SUMIFS('11_Material'!$L:$L,'11_Material'!$C:$C,A362))</f>
        <v/>
      </c>
      <c r="Y362" s="15">
        <f>IF(A362="","",SUMIFS('14_Eingangsrechnungen'!$F:$F,'14_Eingangsrechnungen'!$C:$C,A362,'14_Eingangsrechnungen'!$E:$E,"Nachunternehmer"))</f>
        <v/>
      </c>
      <c r="Z362" s="15">
        <f>IF(A362="","",SUMIFS('10_Stunden'!$K:$K,'10_Stunden'!$C:$C,A362))</f>
        <v/>
      </c>
      <c r="AA362" s="15">
        <f>IF(A362="","",X362+Y362+Z362+SUMIFS('14_Eingangsrechnungen'!$F:$F,'14_Eingangsrechnungen'!$C:$C,A362,'14_Eingangsrechnungen'!$E:$E,"Gerät")+SUMIFS('14_Eingangsrechnungen'!$F:$F,'14_Eingangsrechnungen'!$C:$C,A362,'14_Eingangsrechnungen'!$E:$E,"Dienstleistung"))</f>
        <v/>
      </c>
      <c r="AB362" s="15">
        <f>IF(A362="","",W362-AA362)</f>
        <v/>
      </c>
      <c r="AC362" s="19">
        <f>IF(OR(A362="",W362=0),"",AB362/W362)</f>
        <v/>
      </c>
      <c r="AD362" s="19">
        <f>IF(OR(A362="",V362=0),"",W362/V362)</f>
        <v/>
      </c>
      <c r="AE362" s="15">
        <f>IF(A362="","",MAX(0,V362-W362))</f>
        <v/>
      </c>
      <c r="AF362" s="15">
        <f>IF(A362="","",SUMIFS('13_Ausgangsrechnungen'!$R:$R,'13_Ausgangsrechnungen'!$C:$C,A362))</f>
        <v/>
      </c>
    </row>
    <row r="363">
      <c r="A363" s="30" t="inlineStr"/>
      <c r="B363" s="30" t="inlineStr"/>
      <c r="C363" s="30" t="inlineStr"/>
      <c r="D363" s="30" t="inlineStr"/>
      <c r="E363" s="30" t="inlineStr"/>
      <c r="F363" s="30" t="inlineStr"/>
      <c r="G363" s="38" t="inlineStr"/>
      <c r="H363" s="38" t="inlineStr"/>
      <c r="I363" s="38" t="inlineStr"/>
      <c r="J363" s="34" t="inlineStr"/>
      <c r="K363" s="34" t="inlineStr"/>
      <c r="L363" s="34" t="inlineStr"/>
      <c r="M363" s="34" t="inlineStr"/>
      <c r="N363" s="34" t="inlineStr"/>
      <c r="O363" s="34" t="inlineStr"/>
      <c r="P363" s="32" t="inlineStr"/>
      <c r="Q363" s="30" t="inlineStr"/>
      <c r="R363" s="30" t="inlineStr"/>
      <c r="S363" s="30" t="inlineStr"/>
      <c r="T363" s="30" t="inlineStr"/>
      <c r="U363" s="15">
        <f>IF(A363="","",SUMIFS('07_Nachtraege'!$E:$E,'07_Nachtraege'!$B:$B,A363,'07_Nachtraege'!$F:$F,"beauftragt"))</f>
        <v/>
      </c>
      <c r="V363" s="15">
        <f>IF(A363="","",J363+U363)</f>
        <v/>
      </c>
      <c r="W363" s="15">
        <f>IF(A363="","",SUMIFS('13_Ausgangsrechnungen'!$G:$G,'13_Ausgangsrechnungen'!$C:$C,A363))</f>
        <v/>
      </c>
      <c r="X363" s="15">
        <f>IF(A363="","",SUMIFS('11_Material'!$L:$L,'11_Material'!$C:$C,A363))</f>
        <v/>
      </c>
      <c r="Y363" s="15">
        <f>IF(A363="","",SUMIFS('14_Eingangsrechnungen'!$F:$F,'14_Eingangsrechnungen'!$C:$C,A363,'14_Eingangsrechnungen'!$E:$E,"Nachunternehmer"))</f>
        <v/>
      </c>
      <c r="Z363" s="15">
        <f>IF(A363="","",SUMIFS('10_Stunden'!$K:$K,'10_Stunden'!$C:$C,A363))</f>
        <v/>
      </c>
      <c r="AA363" s="15">
        <f>IF(A363="","",X363+Y363+Z363+SUMIFS('14_Eingangsrechnungen'!$F:$F,'14_Eingangsrechnungen'!$C:$C,A363,'14_Eingangsrechnungen'!$E:$E,"Gerät")+SUMIFS('14_Eingangsrechnungen'!$F:$F,'14_Eingangsrechnungen'!$C:$C,A363,'14_Eingangsrechnungen'!$E:$E,"Dienstleistung"))</f>
        <v/>
      </c>
      <c r="AB363" s="15">
        <f>IF(A363="","",W363-AA363)</f>
        <v/>
      </c>
      <c r="AC363" s="19">
        <f>IF(OR(A363="",W363=0),"",AB363/W363)</f>
        <v/>
      </c>
      <c r="AD363" s="19">
        <f>IF(OR(A363="",V363=0),"",W363/V363)</f>
        <v/>
      </c>
      <c r="AE363" s="15">
        <f>IF(A363="","",MAX(0,V363-W363))</f>
        <v/>
      </c>
      <c r="AF363" s="15">
        <f>IF(A363="","",SUMIFS('13_Ausgangsrechnungen'!$R:$R,'13_Ausgangsrechnungen'!$C:$C,A363))</f>
        <v/>
      </c>
    </row>
    <row r="364">
      <c r="A364" s="30" t="inlineStr"/>
      <c r="B364" s="30" t="inlineStr"/>
      <c r="C364" s="30" t="inlineStr"/>
      <c r="D364" s="30" t="inlineStr"/>
      <c r="E364" s="30" t="inlineStr"/>
      <c r="F364" s="30" t="inlineStr"/>
      <c r="G364" s="38" t="inlineStr"/>
      <c r="H364" s="38" t="inlineStr"/>
      <c r="I364" s="38" t="inlineStr"/>
      <c r="J364" s="34" t="inlineStr"/>
      <c r="K364" s="34" t="inlineStr"/>
      <c r="L364" s="34" t="inlineStr"/>
      <c r="M364" s="34" t="inlineStr"/>
      <c r="N364" s="34" t="inlineStr"/>
      <c r="O364" s="34" t="inlineStr"/>
      <c r="P364" s="32" t="inlineStr"/>
      <c r="Q364" s="30" t="inlineStr"/>
      <c r="R364" s="30" t="inlineStr"/>
      <c r="S364" s="30" t="inlineStr"/>
      <c r="T364" s="30" t="inlineStr"/>
      <c r="U364" s="15">
        <f>IF(A364="","",SUMIFS('07_Nachtraege'!$E:$E,'07_Nachtraege'!$B:$B,A364,'07_Nachtraege'!$F:$F,"beauftragt"))</f>
        <v/>
      </c>
      <c r="V364" s="15">
        <f>IF(A364="","",J364+U364)</f>
        <v/>
      </c>
      <c r="W364" s="15">
        <f>IF(A364="","",SUMIFS('13_Ausgangsrechnungen'!$G:$G,'13_Ausgangsrechnungen'!$C:$C,A364))</f>
        <v/>
      </c>
      <c r="X364" s="15">
        <f>IF(A364="","",SUMIFS('11_Material'!$L:$L,'11_Material'!$C:$C,A364))</f>
        <v/>
      </c>
      <c r="Y364" s="15">
        <f>IF(A364="","",SUMIFS('14_Eingangsrechnungen'!$F:$F,'14_Eingangsrechnungen'!$C:$C,A364,'14_Eingangsrechnungen'!$E:$E,"Nachunternehmer"))</f>
        <v/>
      </c>
      <c r="Z364" s="15">
        <f>IF(A364="","",SUMIFS('10_Stunden'!$K:$K,'10_Stunden'!$C:$C,A364))</f>
        <v/>
      </c>
      <c r="AA364" s="15">
        <f>IF(A364="","",X364+Y364+Z364+SUMIFS('14_Eingangsrechnungen'!$F:$F,'14_Eingangsrechnungen'!$C:$C,A364,'14_Eingangsrechnungen'!$E:$E,"Gerät")+SUMIFS('14_Eingangsrechnungen'!$F:$F,'14_Eingangsrechnungen'!$C:$C,A364,'14_Eingangsrechnungen'!$E:$E,"Dienstleistung"))</f>
        <v/>
      </c>
      <c r="AB364" s="15">
        <f>IF(A364="","",W364-AA364)</f>
        <v/>
      </c>
      <c r="AC364" s="19">
        <f>IF(OR(A364="",W364=0),"",AB364/W364)</f>
        <v/>
      </c>
      <c r="AD364" s="19">
        <f>IF(OR(A364="",V364=0),"",W364/V364)</f>
        <v/>
      </c>
      <c r="AE364" s="15">
        <f>IF(A364="","",MAX(0,V364-W364))</f>
        <v/>
      </c>
      <c r="AF364" s="15">
        <f>IF(A364="","",SUMIFS('13_Ausgangsrechnungen'!$R:$R,'13_Ausgangsrechnungen'!$C:$C,A364))</f>
        <v/>
      </c>
    </row>
    <row r="365">
      <c r="A365" s="30" t="inlineStr"/>
      <c r="B365" s="30" t="inlineStr"/>
      <c r="C365" s="30" t="inlineStr"/>
      <c r="D365" s="30" t="inlineStr"/>
      <c r="E365" s="30" t="inlineStr"/>
      <c r="F365" s="30" t="inlineStr"/>
      <c r="G365" s="38" t="inlineStr"/>
      <c r="H365" s="38" t="inlineStr"/>
      <c r="I365" s="38" t="inlineStr"/>
      <c r="J365" s="34" t="inlineStr"/>
      <c r="K365" s="34" t="inlineStr"/>
      <c r="L365" s="34" t="inlineStr"/>
      <c r="M365" s="34" t="inlineStr"/>
      <c r="N365" s="34" t="inlineStr"/>
      <c r="O365" s="34" t="inlineStr"/>
      <c r="P365" s="32" t="inlineStr"/>
      <c r="Q365" s="30" t="inlineStr"/>
      <c r="R365" s="30" t="inlineStr"/>
      <c r="S365" s="30" t="inlineStr"/>
      <c r="T365" s="30" t="inlineStr"/>
      <c r="U365" s="15">
        <f>IF(A365="","",SUMIFS('07_Nachtraege'!$E:$E,'07_Nachtraege'!$B:$B,A365,'07_Nachtraege'!$F:$F,"beauftragt"))</f>
        <v/>
      </c>
      <c r="V365" s="15">
        <f>IF(A365="","",J365+U365)</f>
        <v/>
      </c>
      <c r="W365" s="15">
        <f>IF(A365="","",SUMIFS('13_Ausgangsrechnungen'!$G:$G,'13_Ausgangsrechnungen'!$C:$C,A365))</f>
        <v/>
      </c>
      <c r="X365" s="15">
        <f>IF(A365="","",SUMIFS('11_Material'!$L:$L,'11_Material'!$C:$C,A365))</f>
        <v/>
      </c>
      <c r="Y365" s="15">
        <f>IF(A365="","",SUMIFS('14_Eingangsrechnungen'!$F:$F,'14_Eingangsrechnungen'!$C:$C,A365,'14_Eingangsrechnungen'!$E:$E,"Nachunternehmer"))</f>
        <v/>
      </c>
      <c r="Z365" s="15">
        <f>IF(A365="","",SUMIFS('10_Stunden'!$K:$K,'10_Stunden'!$C:$C,A365))</f>
        <v/>
      </c>
      <c r="AA365" s="15">
        <f>IF(A365="","",X365+Y365+Z365+SUMIFS('14_Eingangsrechnungen'!$F:$F,'14_Eingangsrechnungen'!$C:$C,A365,'14_Eingangsrechnungen'!$E:$E,"Gerät")+SUMIFS('14_Eingangsrechnungen'!$F:$F,'14_Eingangsrechnungen'!$C:$C,A365,'14_Eingangsrechnungen'!$E:$E,"Dienstleistung"))</f>
        <v/>
      </c>
      <c r="AB365" s="15">
        <f>IF(A365="","",W365-AA365)</f>
        <v/>
      </c>
      <c r="AC365" s="19">
        <f>IF(OR(A365="",W365=0),"",AB365/W365)</f>
        <v/>
      </c>
      <c r="AD365" s="19">
        <f>IF(OR(A365="",V365=0),"",W365/V365)</f>
        <v/>
      </c>
      <c r="AE365" s="15">
        <f>IF(A365="","",MAX(0,V365-W365))</f>
        <v/>
      </c>
      <c r="AF365" s="15">
        <f>IF(A365="","",SUMIFS('13_Ausgangsrechnungen'!$R:$R,'13_Ausgangsrechnungen'!$C:$C,A365))</f>
        <v/>
      </c>
    </row>
    <row r="366">
      <c r="A366" s="30" t="inlineStr"/>
      <c r="B366" s="30" t="inlineStr"/>
      <c r="C366" s="30" t="inlineStr"/>
      <c r="D366" s="30" t="inlineStr"/>
      <c r="E366" s="30" t="inlineStr"/>
      <c r="F366" s="30" t="inlineStr"/>
      <c r="G366" s="38" t="inlineStr"/>
      <c r="H366" s="38" t="inlineStr"/>
      <c r="I366" s="38" t="inlineStr"/>
      <c r="J366" s="34" t="inlineStr"/>
      <c r="K366" s="34" t="inlineStr"/>
      <c r="L366" s="34" t="inlineStr"/>
      <c r="M366" s="34" t="inlineStr"/>
      <c r="N366" s="34" t="inlineStr"/>
      <c r="O366" s="34" t="inlineStr"/>
      <c r="P366" s="32" t="inlineStr"/>
      <c r="Q366" s="30" t="inlineStr"/>
      <c r="R366" s="30" t="inlineStr"/>
      <c r="S366" s="30" t="inlineStr"/>
      <c r="T366" s="30" t="inlineStr"/>
      <c r="U366" s="15">
        <f>IF(A366="","",SUMIFS('07_Nachtraege'!$E:$E,'07_Nachtraege'!$B:$B,A366,'07_Nachtraege'!$F:$F,"beauftragt"))</f>
        <v/>
      </c>
      <c r="V366" s="15">
        <f>IF(A366="","",J366+U366)</f>
        <v/>
      </c>
      <c r="W366" s="15">
        <f>IF(A366="","",SUMIFS('13_Ausgangsrechnungen'!$G:$G,'13_Ausgangsrechnungen'!$C:$C,A366))</f>
        <v/>
      </c>
      <c r="X366" s="15">
        <f>IF(A366="","",SUMIFS('11_Material'!$L:$L,'11_Material'!$C:$C,A366))</f>
        <v/>
      </c>
      <c r="Y366" s="15">
        <f>IF(A366="","",SUMIFS('14_Eingangsrechnungen'!$F:$F,'14_Eingangsrechnungen'!$C:$C,A366,'14_Eingangsrechnungen'!$E:$E,"Nachunternehmer"))</f>
        <v/>
      </c>
      <c r="Z366" s="15">
        <f>IF(A366="","",SUMIFS('10_Stunden'!$K:$K,'10_Stunden'!$C:$C,A366))</f>
        <v/>
      </c>
      <c r="AA366" s="15">
        <f>IF(A366="","",X366+Y366+Z366+SUMIFS('14_Eingangsrechnungen'!$F:$F,'14_Eingangsrechnungen'!$C:$C,A366,'14_Eingangsrechnungen'!$E:$E,"Gerät")+SUMIFS('14_Eingangsrechnungen'!$F:$F,'14_Eingangsrechnungen'!$C:$C,A366,'14_Eingangsrechnungen'!$E:$E,"Dienstleistung"))</f>
        <v/>
      </c>
      <c r="AB366" s="15">
        <f>IF(A366="","",W366-AA366)</f>
        <v/>
      </c>
      <c r="AC366" s="19">
        <f>IF(OR(A366="",W366=0),"",AB366/W366)</f>
        <v/>
      </c>
      <c r="AD366" s="19">
        <f>IF(OR(A366="",V366=0),"",W366/V366)</f>
        <v/>
      </c>
      <c r="AE366" s="15">
        <f>IF(A366="","",MAX(0,V366-W366))</f>
        <v/>
      </c>
      <c r="AF366" s="15">
        <f>IF(A366="","",SUMIFS('13_Ausgangsrechnungen'!$R:$R,'13_Ausgangsrechnungen'!$C:$C,A366))</f>
        <v/>
      </c>
    </row>
    <row r="367">
      <c r="A367" s="30" t="inlineStr"/>
      <c r="B367" s="30" t="inlineStr"/>
      <c r="C367" s="30" t="inlineStr"/>
      <c r="D367" s="30" t="inlineStr"/>
      <c r="E367" s="30" t="inlineStr"/>
      <c r="F367" s="30" t="inlineStr"/>
      <c r="G367" s="38" t="inlineStr"/>
      <c r="H367" s="38" t="inlineStr"/>
      <c r="I367" s="38" t="inlineStr"/>
      <c r="J367" s="34" t="inlineStr"/>
      <c r="K367" s="34" t="inlineStr"/>
      <c r="L367" s="34" t="inlineStr"/>
      <c r="M367" s="34" t="inlineStr"/>
      <c r="N367" s="34" t="inlineStr"/>
      <c r="O367" s="34" t="inlineStr"/>
      <c r="P367" s="32" t="inlineStr"/>
      <c r="Q367" s="30" t="inlineStr"/>
      <c r="R367" s="30" t="inlineStr"/>
      <c r="S367" s="30" t="inlineStr"/>
      <c r="T367" s="30" t="inlineStr"/>
      <c r="U367" s="15">
        <f>IF(A367="","",SUMIFS('07_Nachtraege'!$E:$E,'07_Nachtraege'!$B:$B,A367,'07_Nachtraege'!$F:$F,"beauftragt"))</f>
        <v/>
      </c>
      <c r="V367" s="15">
        <f>IF(A367="","",J367+U367)</f>
        <v/>
      </c>
      <c r="W367" s="15">
        <f>IF(A367="","",SUMIFS('13_Ausgangsrechnungen'!$G:$G,'13_Ausgangsrechnungen'!$C:$C,A367))</f>
        <v/>
      </c>
      <c r="X367" s="15">
        <f>IF(A367="","",SUMIFS('11_Material'!$L:$L,'11_Material'!$C:$C,A367))</f>
        <v/>
      </c>
      <c r="Y367" s="15">
        <f>IF(A367="","",SUMIFS('14_Eingangsrechnungen'!$F:$F,'14_Eingangsrechnungen'!$C:$C,A367,'14_Eingangsrechnungen'!$E:$E,"Nachunternehmer"))</f>
        <v/>
      </c>
      <c r="Z367" s="15">
        <f>IF(A367="","",SUMIFS('10_Stunden'!$K:$K,'10_Stunden'!$C:$C,A367))</f>
        <v/>
      </c>
      <c r="AA367" s="15">
        <f>IF(A367="","",X367+Y367+Z367+SUMIFS('14_Eingangsrechnungen'!$F:$F,'14_Eingangsrechnungen'!$C:$C,A367,'14_Eingangsrechnungen'!$E:$E,"Gerät")+SUMIFS('14_Eingangsrechnungen'!$F:$F,'14_Eingangsrechnungen'!$C:$C,A367,'14_Eingangsrechnungen'!$E:$E,"Dienstleistung"))</f>
        <v/>
      </c>
      <c r="AB367" s="15">
        <f>IF(A367="","",W367-AA367)</f>
        <v/>
      </c>
      <c r="AC367" s="19">
        <f>IF(OR(A367="",W367=0),"",AB367/W367)</f>
        <v/>
      </c>
      <c r="AD367" s="19">
        <f>IF(OR(A367="",V367=0),"",W367/V367)</f>
        <v/>
      </c>
      <c r="AE367" s="15">
        <f>IF(A367="","",MAX(0,V367-W367))</f>
        <v/>
      </c>
      <c r="AF367" s="15">
        <f>IF(A367="","",SUMIFS('13_Ausgangsrechnungen'!$R:$R,'13_Ausgangsrechnungen'!$C:$C,A367))</f>
        <v/>
      </c>
    </row>
    <row r="368">
      <c r="A368" s="30" t="inlineStr"/>
      <c r="B368" s="30" t="inlineStr"/>
      <c r="C368" s="30" t="inlineStr"/>
      <c r="D368" s="30" t="inlineStr"/>
      <c r="E368" s="30" t="inlineStr"/>
      <c r="F368" s="30" t="inlineStr"/>
      <c r="G368" s="38" t="inlineStr"/>
      <c r="H368" s="38" t="inlineStr"/>
      <c r="I368" s="38" t="inlineStr"/>
      <c r="J368" s="34" t="inlineStr"/>
      <c r="K368" s="34" t="inlineStr"/>
      <c r="L368" s="34" t="inlineStr"/>
      <c r="M368" s="34" t="inlineStr"/>
      <c r="N368" s="34" t="inlineStr"/>
      <c r="O368" s="34" t="inlineStr"/>
      <c r="P368" s="32" t="inlineStr"/>
      <c r="Q368" s="30" t="inlineStr"/>
      <c r="R368" s="30" t="inlineStr"/>
      <c r="S368" s="30" t="inlineStr"/>
      <c r="T368" s="30" t="inlineStr"/>
      <c r="U368" s="15">
        <f>IF(A368="","",SUMIFS('07_Nachtraege'!$E:$E,'07_Nachtraege'!$B:$B,A368,'07_Nachtraege'!$F:$F,"beauftragt"))</f>
        <v/>
      </c>
      <c r="V368" s="15">
        <f>IF(A368="","",J368+U368)</f>
        <v/>
      </c>
      <c r="W368" s="15">
        <f>IF(A368="","",SUMIFS('13_Ausgangsrechnungen'!$G:$G,'13_Ausgangsrechnungen'!$C:$C,A368))</f>
        <v/>
      </c>
      <c r="X368" s="15">
        <f>IF(A368="","",SUMIFS('11_Material'!$L:$L,'11_Material'!$C:$C,A368))</f>
        <v/>
      </c>
      <c r="Y368" s="15">
        <f>IF(A368="","",SUMIFS('14_Eingangsrechnungen'!$F:$F,'14_Eingangsrechnungen'!$C:$C,A368,'14_Eingangsrechnungen'!$E:$E,"Nachunternehmer"))</f>
        <v/>
      </c>
      <c r="Z368" s="15">
        <f>IF(A368="","",SUMIFS('10_Stunden'!$K:$K,'10_Stunden'!$C:$C,A368))</f>
        <v/>
      </c>
      <c r="AA368" s="15">
        <f>IF(A368="","",X368+Y368+Z368+SUMIFS('14_Eingangsrechnungen'!$F:$F,'14_Eingangsrechnungen'!$C:$C,A368,'14_Eingangsrechnungen'!$E:$E,"Gerät")+SUMIFS('14_Eingangsrechnungen'!$F:$F,'14_Eingangsrechnungen'!$C:$C,A368,'14_Eingangsrechnungen'!$E:$E,"Dienstleistung"))</f>
        <v/>
      </c>
      <c r="AB368" s="15">
        <f>IF(A368="","",W368-AA368)</f>
        <v/>
      </c>
      <c r="AC368" s="19">
        <f>IF(OR(A368="",W368=0),"",AB368/W368)</f>
        <v/>
      </c>
      <c r="AD368" s="19">
        <f>IF(OR(A368="",V368=0),"",W368/V368)</f>
        <v/>
      </c>
      <c r="AE368" s="15">
        <f>IF(A368="","",MAX(0,V368-W368))</f>
        <v/>
      </c>
      <c r="AF368" s="15">
        <f>IF(A368="","",SUMIFS('13_Ausgangsrechnungen'!$R:$R,'13_Ausgangsrechnungen'!$C:$C,A368))</f>
        <v/>
      </c>
    </row>
    <row r="369">
      <c r="A369" s="30" t="inlineStr"/>
      <c r="B369" s="30" t="inlineStr"/>
      <c r="C369" s="30" t="inlineStr"/>
      <c r="D369" s="30" t="inlineStr"/>
      <c r="E369" s="30" t="inlineStr"/>
      <c r="F369" s="30" t="inlineStr"/>
      <c r="G369" s="38" t="inlineStr"/>
      <c r="H369" s="38" t="inlineStr"/>
      <c r="I369" s="38" t="inlineStr"/>
      <c r="J369" s="34" t="inlineStr"/>
      <c r="K369" s="34" t="inlineStr"/>
      <c r="L369" s="34" t="inlineStr"/>
      <c r="M369" s="34" t="inlineStr"/>
      <c r="N369" s="34" t="inlineStr"/>
      <c r="O369" s="34" t="inlineStr"/>
      <c r="P369" s="32" t="inlineStr"/>
      <c r="Q369" s="30" t="inlineStr"/>
      <c r="R369" s="30" t="inlineStr"/>
      <c r="S369" s="30" t="inlineStr"/>
      <c r="T369" s="30" t="inlineStr"/>
      <c r="U369" s="15">
        <f>IF(A369="","",SUMIFS('07_Nachtraege'!$E:$E,'07_Nachtraege'!$B:$B,A369,'07_Nachtraege'!$F:$F,"beauftragt"))</f>
        <v/>
      </c>
      <c r="V369" s="15">
        <f>IF(A369="","",J369+U369)</f>
        <v/>
      </c>
      <c r="W369" s="15">
        <f>IF(A369="","",SUMIFS('13_Ausgangsrechnungen'!$G:$G,'13_Ausgangsrechnungen'!$C:$C,A369))</f>
        <v/>
      </c>
      <c r="X369" s="15">
        <f>IF(A369="","",SUMIFS('11_Material'!$L:$L,'11_Material'!$C:$C,A369))</f>
        <v/>
      </c>
      <c r="Y369" s="15">
        <f>IF(A369="","",SUMIFS('14_Eingangsrechnungen'!$F:$F,'14_Eingangsrechnungen'!$C:$C,A369,'14_Eingangsrechnungen'!$E:$E,"Nachunternehmer"))</f>
        <v/>
      </c>
      <c r="Z369" s="15">
        <f>IF(A369="","",SUMIFS('10_Stunden'!$K:$K,'10_Stunden'!$C:$C,A369))</f>
        <v/>
      </c>
      <c r="AA369" s="15">
        <f>IF(A369="","",X369+Y369+Z369+SUMIFS('14_Eingangsrechnungen'!$F:$F,'14_Eingangsrechnungen'!$C:$C,A369,'14_Eingangsrechnungen'!$E:$E,"Gerät")+SUMIFS('14_Eingangsrechnungen'!$F:$F,'14_Eingangsrechnungen'!$C:$C,A369,'14_Eingangsrechnungen'!$E:$E,"Dienstleistung"))</f>
        <v/>
      </c>
      <c r="AB369" s="15">
        <f>IF(A369="","",W369-AA369)</f>
        <v/>
      </c>
      <c r="AC369" s="19">
        <f>IF(OR(A369="",W369=0),"",AB369/W369)</f>
        <v/>
      </c>
      <c r="AD369" s="19">
        <f>IF(OR(A369="",V369=0),"",W369/V369)</f>
        <v/>
      </c>
      <c r="AE369" s="15">
        <f>IF(A369="","",MAX(0,V369-W369))</f>
        <v/>
      </c>
      <c r="AF369" s="15">
        <f>IF(A369="","",SUMIFS('13_Ausgangsrechnungen'!$R:$R,'13_Ausgangsrechnungen'!$C:$C,A369))</f>
        <v/>
      </c>
    </row>
    <row r="370">
      <c r="A370" s="30" t="inlineStr"/>
      <c r="B370" s="30" t="inlineStr"/>
      <c r="C370" s="30" t="inlineStr"/>
      <c r="D370" s="30" t="inlineStr"/>
      <c r="E370" s="30" t="inlineStr"/>
      <c r="F370" s="30" t="inlineStr"/>
      <c r="G370" s="38" t="inlineStr"/>
      <c r="H370" s="38" t="inlineStr"/>
      <c r="I370" s="38" t="inlineStr"/>
      <c r="J370" s="34" t="inlineStr"/>
      <c r="K370" s="34" t="inlineStr"/>
      <c r="L370" s="34" t="inlineStr"/>
      <c r="M370" s="34" t="inlineStr"/>
      <c r="N370" s="34" t="inlineStr"/>
      <c r="O370" s="34" t="inlineStr"/>
      <c r="P370" s="32" t="inlineStr"/>
      <c r="Q370" s="30" t="inlineStr"/>
      <c r="R370" s="30" t="inlineStr"/>
      <c r="S370" s="30" t="inlineStr"/>
      <c r="T370" s="30" t="inlineStr"/>
      <c r="U370" s="15">
        <f>IF(A370="","",SUMIFS('07_Nachtraege'!$E:$E,'07_Nachtraege'!$B:$B,A370,'07_Nachtraege'!$F:$F,"beauftragt"))</f>
        <v/>
      </c>
      <c r="V370" s="15">
        <f>IF(A370="","",J370+U370)</f>
        <v/>
      </c>
      <c r="W370" s="15">
        <f>IF(A370="","",SUMIFS('13_Ausgangsrechnungen'!$G:$G,'13_Ausgangsrechnungen'!$C:$C,A370))</f>
        <v/>
      </c>
      <c r="X370" s="15">
        <f>IF(A370="","",SUMIFS('11_Material'!$L:$L,'11_Material'!$C:$C,A370))</f>
        <v/>
      </c>
      <c r="Y370" s="15">
        <f>IF(A370="","",SUMIFS('14_Eingangsrechnungen'!$F:$F,'14_Eingangsrechnungen'!$C:$C,A370,'14_Eingangsrechnungen'!$E:$E,"Nachunternehmer"))</f>
        <v/>
      </c>
      <c r="Z370" s="15">
        <f>IF(A370="","",SUMIFS('10_Stunden'!$K:$K,'10_Stunden'!$C:$C,A370))</f>
        <v/>
      </c>
      <c r="AA370" s="15">
        <f>IF(A370="","",X370+Y370+Z370+SUMIFS('14_Eingangsrechnungen'!$F:$F,'14_Eingangsrechnungen'!$C:$C,A370,'14_Eingangsrechnungen'!$E:$E,"Gerät")+SUMIFS('14_Eingangsrechnungen'!$F:$F,'14_Eingangsrechnungen'!$C:$C,A370,'14_Eingangsrechnungen'!$E:$E,"Dienstleistung"))</f>
        <v/>
      </c>
      <c r="AB370" s="15">
        <f>IF(A370="","",W370-AA370)</f>
        <v/>
      </c>
      <c r="AC370" s="19">
        <f>IF(OR(A370="",W370=0),"",AB370/W370)</f>
        <v/>
      </c>
      <c r="AD370" s="19">
        <f>IF(OR(A370="",V370=0),"",W370/V370)</f>
        <v/>
      </c>
      <c r="AE370" s="15">
        <f>IF(A370="","",MAX(0,V370-W370))</f>
        <v/>
      </c>
      <c r="AF370" s="15">
        <f>IF(A370="","",SUMIFS('13_Ausgangsrechnungen'!$R:$R,'13_Ausgangsrechnungen'!$C:$C,A370))</f>
        <v/>
      </c>
    </row>
    <row r="371">
      <c r="A371" s="30" t="inlineStr"/>
      <c r="B371" s="30" t="inlineStr"/>
      <c r="C371" s="30" t="inlineStr"/>
      <c r="D371" s="30" t="inlineStr"/>
      <c r="E371" s="30" t="inlineStr"/>
      <c r="F371" s="30" t="inlineStr"/>
      <c r="G371" s="38" t="inlineStr"/>
      <c r="H371" s="38" t="inlineStr"/>
      <c r="I371" s="38" t="inlineStr"/>
      <c r="J371" s="34" t="inlineStr"/>
      <c r="K371" s="34" t="inlineStr"/>
      <c r="L371" s="34" t="inlineStr"/>
      <c r="M371" s="34" t="inlineStr"/>
      <c r="N371" s="34" t="inlineStr"/>
      <c r="O371" s="34" t="inlineStr"/>
      <c r="P371" s="32" t="inlineStr"/>
      <c r="Q371" s="30" t="inlineStr"/>
      <c r="R371" s="30" t="inlineStr"/>
      <c r="S371" s="30" t="inlineStr"/>
      <c r="T371" s="30" t="inlineStr"/>
      <c r="U371" s="15">
        <f>IF(A371="","",SUMIFS('07_Nachtraege'!$E:$E,'07_Nachtraege'!$B:$B,A371,'07_Nachtraege'!$F:$F,"beauftragt"))</f>
        <v/>
      </c>
      <c r="V371" s="15">
        <f>IF(A371="","",J371+U371)</f>
        <v/>
      </c>
      <c r="W371" s="15">
        <f>IF(A371="","",SUMIFS('13_Ausgangsrechnungen'!$G:$G,'13_Ausgangsrechnungen'!$C:$C,A371))</f>
        <v/>
      </c>
      <c r="X371" s="15">
        <f>IF(A371="","",SUMIFS('11_Material'!$L:$L,'11_Material'!$C:$C,A371))</f>
        <v/>
      </c>
      <c r="Y371" s="15">
        <f>IF(A371="","",SUMIFS('14_Eingangsrechnungen'!$F:$F,'14_Eingangsrechnungen'!$C:$C,A371,'14_Eingangsrechnungen'!$E:$E,"Nachunternehmer"))</f>
        <v/>
      </c>
      <c r="Z371" s="15">
        <f>IF(A371="","",SUMIFS('10_Stunden'!$K:$K,'10_Stunden'!$C:$C,A371))</f>
        <v/>
      </c>
      <c r="AA371" s="15">
        <f>IF(A371="","",X371+Y371+Z371+SUMIFS('14_Eingangsrechnungen'!$F:$F,'14_Eingangsrechnungen'!$C:$C,A371,'14_Eingangsrechnungen'!$E:$E,"Gerät")+SUMIFS('14_Eingangsrechnungen'!$F:$F,'14_Eingangsrechnungen'!$C:$C,A371,'14_Eingangsrechnungen'!$E:$E,"Dienstleistung"))</f>
        <v/>
      </c>
      <c r="AB371" s="15">
        <f>IF(A371="","",W371-AA371)</f>
        <v/>
      </c>
      <c r="AC371" s="19">
        <f>IF(OR(A371="",W371=0),"",AB371/W371)</f>
        <v/>
      </c>
      <c r="AD371" s="19">
        <f>IF(OR(A371="",V371=0),"",W371/V371)</f>
        <v/>
      </c>
      <c r="AE371" s="15">
        <f>IF(A371="","",MAX(0,V371-W371))</f>
        <v/>
      </c>
      <c r="AF371" s="15">
        <f>IF(A371="","",SUMIFS('13_Ausgangsrechnungen'!$R:$R,'13_Ausgangsrechnungen'!$C:$C,A371))</f>
        <v/>
      </c>
    </row>
    <row r="372">
      <c r="A372" s="30" t="inlineStr"/>
      <c r="B372" s="30" t="inlineStr"/>
      <c r="C372" s="30" t="inlineStr"/>
      <c r="D372" s="30" t="inlineStr"/>
      <c r="E372" s="30" t="inlineStr"/>
      <c r="F372" s="30" t="inlineStr"/>
      <c r="G372" s="38" t="inlineStr"/>
      <c r="H372" s="38" t="inlineStr"/>
      <c r="I372" s="38" t="inlineStr"/>
      <c r="J372" s="34" t="inlineStr"/>
      <c r="K372" s="34" t="inlineStr"/>
      <c r="L372" s="34" t="inlineStr"/>
      <c r="M372" s="34" t="inlineStr"/>
      <c r="N372" s="34" t="inlineStr"/>
      <c r="O372" s="34" t="inlineStr"/>
      <c r="P372" s="32" t="inlineStr"/>
      <c r="Q372" s="30" t="inlineStr"/>
      <c r="R372" s="30" t="inlineStr"/>
      <c r="S372" s="30" t="inlineStr"/>
      <c r="T372" s="30" t="inlineStr"/>
      <c r="U372" s="15">
        <f>IF(A372="","",SUMIFS('07_Nachtraege'!$E:$E,'07_Nachtraege'!$B:$B,A372,'07_Nachtraege'!$F:$F,"beauftragt"))</f>
        <v/>
      </c>
      <c r="V372" s="15">
        <f>IF(A372="","",J372+U372)</f>
        <v/>
      </c>
      <c r="W372" s="15">
        <f>IF(A372="","",SUMIFS('13_Ausgangsrechnungen'!$G:$G,'13_Ausgangsrechnungen'!$C:$C,A372))</f>
        <v/>
      </c>
      <c r="X372" s="15">
        <f>IF(A372="","",SUMIFS('11_Material'!$L:$L,'11_Material'!$C:$C,A372))</f>
        <v/>
      </c>
      <c r="Y372" s="15">
        <f>IF(A372="","",SUMIFS('14_Eingangsrechnungen'!$F:$F,'14_Eingangsrechnungen'!$C:$C,A372,'14_Eingangsrechnungen'!$E:$E,"Nachunternehmer"))</f>
        <v/>
      </c>
      <c r="Z372" s="15">
        <f>IF(A372="","",SUMIFS('10_Stunden'!$K:$K,'10_Stunden'!$C:$C,A372))</f>
        <v/>
      </c>
      <c r="AA372" s="15">
        <f>IF(A372="","",X372+Y372+Z372+SUMIFS('14_Eingangsrechnungen'!$F:$F,'14_Eingangsrechnungen'!$C:$C,A372,'14_Eingangsrechnungen'!$E:$E,"Gerät")+SUMIFS('14_Eingangsrechnungen'!$F:$F,'14_Eingangsrechnungen'!$C:$C,A372,'14_Eingangsrechnungen'!$E:$E,"Dienstleistung"))</f>
        <v/>
      </c>
      <c r="AB372" s="15">
        <f>IF(A372="","",W372-AA372)</f>
        <v/>
      </c>
      <c r="AC372" s="19">
        <f>IF(OR(A372="",W372=0),"",AB372/W372)</f>
        <v/>
      </c>
      <c r="AD372" s="19">
        <f>IF(OR(A372="",V372=0),"",W372/V372)</f>
        <v/>
      </c>
      <c r="AE372" s="15">
        <f>IF(A372="","",MAX(0,V372-W372))</f>
        <v/>
      </c>
      <c r="AF372" s="15">
        <f>IF(A372="","",SUMIFS('13_Ausgangsrechnungen'!$R:$R,'13_Ausgangsrechnungen'!$C:$C,A372))</f>
        <v/>
      </c>
    </row>
    <row r="373">
      <c r="A373" s="30" t="inlineStr"/>
      <c r="B373" s="30" t="inlineStr"/>
      <c r="C373" s="30" t="inlineStr"/>
      <c r="D373" s="30" t="inlineStr"/>
      <c r="E373" s="30" t="inlineStr"/>
      <c r="F373" s="30" t="inlineStr"/>
      <c r="G373" s="38" t="inlineStr"/>
      <c r="H373" s="38" t="inlineStr"/>
      <c r="I373" s="38" t="inlineStr"/>
      <c r="J373" s="34" t="inlineStr"/>
      <c r="K373" s="34" t="inlineStr"/>
      <c r="L373" s="34" t="inlineStr"/>
      <c r="M373" s="34" t="inlineStr"/>
      <c r="N373" s="34" t="inlineStr"/>
      <c r="O373" s="34" t="inlineStr"/>
      <c r="P373" s="32" t="inlineStr"/>
      <c r="Q373" s="30" t="inlineStr"/>
      <c r="R373" s="30" t="inlineStr"/>
      <c r="S373" s="30" t="inlineStr"/>
      <c r="T373" s="30" t="inlineStr"/>
      <c r="U373" s="15">
        <f>IF(A373="","",SUMIFS('07_Nachtraege'!$E:$E,'07_Nachtraege'!$B:$B,A373,'07_Nachtraege'!$F:$F,"beauftragt"))</f>
        <v/>
      </c>
      <c r="V373" s="15">
        <f>IF(A373="","",J373+U373)</f>
        <v/>
      </c>
      <c r="W373" s="15">
        <f>IF(A373="","",SUMIFS('13_Ausgangsrechnungen'!$G:$G,'13_Ausgangsrechnungen'!$C:$C,A373))</f>
        <v/>
      </c>
      <c r="X373" s="15">
        <f>IF(A373="","",SUMIFS('11_Material'!$L:$L,'11_Material'!$C:$C,A373))</f>
        <v/>
      </c>
      <c r="Y373" s="15">
        <f>IF(A373="","",SUMIFS('14_Eingangsrechnungen'!$F:$F,'14_Eingangsrechnungen'!$C:$C,A373,'14_Eingangsrechnungen'!$E:$E,"Nachunternehmer"))</f>
        <v/>
      </c>
      <c r="Z373" s="15">
        <f>IF(A373="","",SUMIFS('10_Stunden'!$K:$K,'10_Stunden'!$C:$C,A373))</f>
        <v/>
      </c>
      <c r="AA373" s="15">
        <f>IF(A373="","",X373+Y373+Z373+SUMIFS('14_Eingangsrechnungen'!$F:$F,'14_Eingangsrechnungen'!$C:$C,A373,'14_Eingangsrechnungen'!$E:$E,"Gerät")+SUMIFS('14_Eingangsrechnungen'!$F:$F,'14_Eingangsrechnungen'!$C:$C,A373,'14_Eingangsrechnungen'!$E:$E,"Dienstleistung"))</f>
        <v/>
      </c>
      <c r="AB373" s="15">
        <f>IF(A373="","",W373-AA373)</f>
        <v/>
      </c>
      <c r="AC373" s="19">
        <f>IF(OR(A373="",W373=0),"",AB373/W373)</f>
        <v/>
      </c>
      <c r="AD373" s="19">
        <f>IF(OR(A373="",V373=0),"",W373/V373)</f>
        <v/>
      </c>
      <c r="AE373" s="15">
        <f>IF(A373="","",MAX(0,V373-W373))</f>
        <v/>
      </c>
      <c r="AF373" s="15">
        <f>IF(A373="","",SUMIFS('13_Ausgangsrechnungen'!$R:$R,'13_Ausgangsrechnungen'!$C:$C,A373))</f>
        <v/>
      </c>
    </row>
    <row r="374">
      <c r="A374" s="30" t="inlineStr"/>
      <c r="B374" s="30" t="inlineStr"/>
      <c r="C374" s="30" t="inlineStr"/>
      <c r="D374" s="30" t="inlineStr"/>
      <c r="E374" s="30" t="inlineStr"/>
      <c r="F374" s="30" t="inlineStr"/>
      <c r="G374" s="38" t="inlineStr"/>
      <c r="H374" s="38" t="inlineStr"/>
      <c r="I374" s="38" t="inlineStr"/>
      <c r="J374" s="34" t="inlineStr"/>
      <c r="K374" s="34" t="inlineStr"/>
      <c r="L374" s="34" t="inlineStr"/>
      <c r="M374" s="34" t="inlineStr"/>
      <c r="N374" s="34" t="inlineStr"/>
      <c r="O374" s="34" t="inlineStr"/>
      <c r="P374" s="32" t="inlineStr"/>
      <c r="Q374" s="30" t="inlineStr"/>
      <c r="R374" s="30" t="inlineStr"/>
      <c r="S374" s="30" t="inlineStr"/>
      <c r="T374" s="30" t="inlineStr"/>
      <c r="U374" s="15">
        <f>IF(A374="","",SUMIFS('07_Nachtraege'!$E:$E,'07_Nachtraege'!$B:$B,A374,'07_Nachtraege'!$F:$F,"beauftragt"))</f>
        <v/>
      </c>
      <c r="V374" s="15">
        <f>IF(A374="","",J374+U374)</f>
        <v/>
      </c>
      <c r="W374" s="15">
        <f>IF(A374="","",SUMIFS('13_Ausgangsrechnungen'!$G:$G,'13_Ausgangsrechnungen'!$C:$C,A374))</f>
        <v/>
      </c>
      <c r="X374" s="15">
        <f>IF(A374="","",SUMIFS('11_Material'!$L:$L,'11_Material'!$C:$C,A374))</f>
        <v/>
      </c>
      <c r="Y374" s="15">
        <f>IF(A374="","",SUMIFS('14_Eingangsrechnungen'!$F:$F,'14_Eingangsrechnungen'!$C:$C,A374,'14_Eingangsrechnungen'!$E:$E,"Nachunternehmer"))</f>
        <v/>
      </c>
      <c r="Z374" s="15">
        <f>IF(A374="","",SUMIFS('10_Stunden'!$K:$K,'10_Stunden'!$C:$C,A374))</f>
        <v/>
      </c>
      <c r="AA374" s="15">
        <f>IF(A374="","",X374+Y374+Z374+SUMIFS('14_Eingangsrechnungen'!$F:$F,'14_Eingangsrechnungen'!$C:$C,A374,'14_Eingangsrechnungen'!$E:$E,"Gerät")+SUMIFS('14_Eingangsrechnungen'!$F:$F,'14_Eingangsrechnungen'!$C:$C,A374,'14_Eingangsrechnungen'!$E:$E,"Dienstleistung"))</f>
        <v/>
      </c>
      <c r="AB374" s="15">
        <f>IF(A374="","",W374-AA374)</f>
        <v/>
      </c>
      <c r="AC374" s="19">
        <f>IF(OR(A374="",W374=0),"",AB374/W374)</f>
        <v/>
      </c>
      <c r="AD374" s="19">
        <f>IF(OR(A374="",V374=0),"",W374/V374)</f>
        <v/>
      </c>
      <c r="AE374" s="15">
        <f>IF(A374="","",MAX(0,V374-W374))</f>
        <v/>
      </c>
      <c r="AF374" s="15">
        <f>IF(A374="","",SUMIFS('13_Ausgangsrechnungen'!$R:$R,'13_Ausgangsrechnungen'!$C:$C,A374))</f>
        <v/>
      </c>
    </row>
    <row r="375">
      <c r="A375" s="30" t="inlineStr"/>
      <c r="B375" s="30" t="inlineStr"/>
      <c r="C375" s="30" t="inlineStr"/>
      <c r="D375" s="30" t="inlineStr"/>
      <c r="E375" s="30" t="inlineStr"/>
      <c r="F375" s="30" t="inlineStr"/>
      <c r="G375" s="38" t="inlineStr"/>
      <c r="H375" s="38" t="inlineStr"/>
      <c r="I375" s="38" t="inlineStr"/>
      <c r="J375" s="34" t="inlineStr"/>
      <c r="K375" s="34" t="inlineStr"/>
      <c r="L375" s="34" t="inlineStr"/>
      <c r="M375" s="34" t="inlineStr"/>
      <c r="N375" s="34" t="inlineStr"/>
      <c r="O375" s="34" t="inlineStr"/>
      <c r="P375" s="32" t="inlineStr"/>
      <c r="Q375" s="30" t="inlineStr"/>
      <c r="R375" s="30" t="inlineStr"/>
      <c r="S375" s="30" t="inlineStr"/>
      <c r="T375" s="30" t="inlineStr"/>
      <c r="U375" s="15">
        <f>IF(A375="","",SUMIFS('07_Nachtraege'!$E:$E,'07_Nachtraege'!$B:$B,A375,'07_Nachtraege'!$F:$F,"beauftragt"))</f>
        <v/>
      </c>
      <c r="V375" s="15">
        <f>IF(A375="","",J375+U375)</f>
        <v/>
      </c>
      <c r="W375" s="15">
        <f>IF(A375="","",SUMIFS('13_Ausgangsrechnungen'!$G:$G,'13_Ausgangsrechnungen'!$C:$C,A375))</f>
        <v/>
      </c>
      <c r="X375" s="15">
        <f>IF(A375="","",SUMIFS('11_Material'!$L:$L,'11_Material'!$C:$C,A375))</f>
        <v/>
      </c>
      <c r="Y375" s="15">
        <f>IF(A375="","",SUMIFS('14_Eingangsrechnungen'!$F:$F,'14_Eingangsrechnungen'!$C:$C,A375,'14_Eingangsrechnungen'!$E:$E,"Nachunternehmer"))</f>
        <v/>
      </c>
      <c r="Z375" s="15">
        <f>IF(A375="","",SUMIFS('10_Stunden'!$K:$K,'10_Stunden'!$C:$C,A375))</f>
        <v/>
      </c>
      <c r="AA375" s="15">
        <f>IF(A375="","",X375+Y375+Z375+SUMIFS('14_Eingangsrechnungen'!$F:$F,'14_Eingangsrechnungen'!$C:$C,A375,'14_Eingangsrechnungen'!$E:$E,"Gerät")+SUMIFS('14_Eingangsrechnungen'!$F:$F,'14_Eingangsrechnungen'!$C:$C,A375,'14_Eingangsrechnungen'!$E:$E,"Dienstleistung"))</f>
        <v/>
      </c>
      <c r="AB375" s="15">
        <f>IF(A375="","",W375-AA375)</f>
        <v/>
      </c>
      <c r="AC375" s="19">
        <f>IF(OR(A375="",W375=0),"",AB375/W375)</f>
        <v/>
      </c>
      <c r="AD375" s="19">
        <f>IF(OR(A375="",V375=0),"",W375/V375)</f>
        <v/>
      </c>
      <c r="AE375" s="15">
        <f>IF(A375="","",MAX(0,V375-W375))</f>
        <v/>
      </c>
      <c r="AF375" s="15">
        <f>IF(A375="","",SUMIFS('13_Ausgangsrechnungen'!$R:$R,'13_Ausgangsrechnungen'!$C:$C,A375))</f>
        <v/>
      </c>
    </row>
    <row r="376">
      <c r="A376" s="30" t="inlineStr"/>
      <c r="B376" s="30" t="inlineStr"/>
      <c r="C376" s="30" t="inlineStr"/>
      <c r="D376" s="30" t="inlineStr"/>
      <c r="E376" s="30" t="inlineStr"/>
      <c r="F376" s="30" t="inlineStr"/>
      <c r="G376" s="38" t="inlineStr"/>
      <c r="H376" s="38" t="inlineStr"/>
      <c r="I376" s="38" t="inlineStr"/>
      <c r="J376" s="34" t="inlineStr"/>
      <c r="K376" s="34" t="inlineStr"/>
      <c r="L376" s="34" t="inlineStr"/>
      <c r="M376" s="34" t="inlineStr"/>
      <c r="N376" s="34" t="inlineStr"/>
      <c r="O376" s="34" t="inlineStr"/>
      <c r="P376" s="32" t="inlineStr"/>
      <c r="Q376" s="30" t="inlineStr"/>
      <c r="R376" s="30" t="inlineStr"/>
      <c r="S376" s="30" t="inlineStr"/>
      <c r="T376" s="30" t="inlineStr"/>
      <c r="U376" s="15">
        <f>IF(A376="","",SUMIFS('07_Nachtraege'!$E:$E,'07_Nachtraege'!$B:$B,A376,'07_Nachtraege'!$F:$F,"beauftragt"))</f>
        <v/>
      </c>
      <c r="V376" s="15">
        <f>IF(A376="","",J376+U376)</f>
        <v/>
      </c>
      <c r="W376" s="15">
        <f>IF(A376="","",SUMIFS('13_Ausgangsrechnungen'!$G:$G,'13_Ausgangsrechnungen'!$C:$C,A376))</f>
        <v/>
      </c>
      <c r="X376" s="15">
        <f>IF(A376="","",SUMIFS('11_Material'!$L:$L,'11_Material'!$C:$C,A376))</f>
        <v/>
      </c>
      <c r="Y376" s="15">
        <f>IF(A376="","",SUMIFS('14_Eingangsrechnungen'!$F:$F,'14_Eingangsrechnungen'!$C:$C,A376,'14_Eingangsrechnungen'!$E:$E,"Nachunternehmer"))</f>
        <v/>
      </c>
      <c r="Z376" s="15">
        <f>IF(A376="","",SUMIFS('10_Stunden'!$K:$K,'10_Stunden'!$C:$C,A376))</f>
        <v/>
      </c>
      <c r="AA376" s="15">
        <f>IF(A376="","",X376+Y376+Z376+SUMIFS('14_Eingangsrechnungen'!$F:$F,'14_Eingangsrechnungen'!$C:$C,A376,'14_Eingangsrechnungen'!$E:$E,"Gerät")+SUMIFS('14_Eingangsrechnungen'!$F:$F,'14_Eingangsrechnungen'!$C:$C,A376,'14_Eingangsrechnungen'!$E:$E,"Dienstleistung"))</f>
        <v/>
      </c>
      <c r="AB376" s="15">
        <f>IF(A376="","",W376-AA376)</f>
        <v/>
      </c>
      <c r="AC376" s="19">
        <f>IF(OR(A376="",W376=0),"",AB376/W376)</f>
        <v/>
      </c>
      <c r="AD376" s="19">
        <f>IF(OR(A376="",V376=0),"",W376/V376)</f>
        <v/>
      </c>
      <c r="AE376" s="15">
        <f>IF(A376="","",MAX(0,V376-W376))</f>
        <v/>
      </c>
      <c r="AF376" s="15">
        <f>IF(A376="","",SUMIFS('13_Ausgangsrechnungen'!$R:$R,'13_Ausgangsrechnungen'!$C:$C,A376))</f>
        <v/>
      </c>
    </row>
    <row r="377">
      <c r="A377" s="30" t="inlineStr"/>
      <c r="B377" s="30" t="inlineStr"/>
      <c r="C377" s="30" t="inlineStr"/>
      <c r="D377" s="30" t="inlineStr"/>
      <c r="E377" s="30" t="inlineStr"/>
      <c r="F377" s="30" t="inlineStr"/>
      <c r="G377" s="38" t="inlineStr"/>
      <c r="H377" s="38" t="inlineStr"/>
      <c r="I377" s="38" t="inlineStr"/>
      <c r="J377" s="34" t="inlineStr"/>
      <c r="K377" s="34" t="inlineStr"/>
      <c r="L377" s="34" t="inlineStr"/>
      <c r="M377" s="34" t="inlineStr"/>
      <c r="N377" s="34" t="inlineStr"/>
      <c r="O377" s="34" t="inlineStr"/>
      <c r="P377" s="32" t="inlineStr"/>
      <c r="Q377" s="30" t="inlineStr"/>
      <c r="R377" s="30" t="inlineStr"/>
      <c r="S377" s="30" t="inlineStr"/>
      <c r="T377" s="30" t="inlineStr"/>
      <c r="U377" s="15">
        <f>IF(A377="","",SUMIFS('07_Nachtraege'!$E:$E,'07_Nachtraege'!$B:$B,A377,'07_Nachtraege'!$F:$F,"beauftragt"))</f>
        <v/>
      </c>
      <c r="V377" s="15">
        <f>IF(A377="","",J377+U377)</f>
        <v/>
      </c>
      <c r="W377" s="15">
        <f>IF(A377="","",SUMIFS('13_Ausgangsrechnungen'!$G:$G,'13_Ausgangsrechnungen'!$C:$C,A377))</f>
        <v/>
      </c>
      <c r="X377" s="15">
        <f>IF(A377="","",SUMIFS('11_Material'!$L:$L,'11_Material'!$C:$C,A377))</f>
        <v/>
      </c>
      <c r="Y377" s="15">
        <f>IF(A377="","",SUMIFS('14_Eingangsrechnungen'!$F:$F,'14_Eingangsrechnungen'!$C:$C,A377,'14_Eingangsrechnungen'!$E:$E,"Nachunternehmer"))</f>
        <v/>
      </c>
      <c r="Z377" s="15">
        <f>IF(A377="","",SUMIFS('10_Stunden'!$K:$K,'10_Stunden'!$C:$C,A377))</f>
        <v/>
      </c>
      <c r="AA377" s="15">
        <f>IF(A377="","",X377+Y377+Z377+SUMIFS('14_Eingangsrechnungen'!$F:$F,'14_Eingangsrechnungen'!$C:$C,A377,'14_Eingangsrechnungen'!$E:$E,"Gerät")+SUMIFS('14_Eingangsrechnungen'!$F:$F,'14_Eingangsrechnungen'!$C:$C,A377,'14_Eingangsrechnungen'!$E:$E,"Dienstleistung"))</f>
        <v/>
      </c>
      <c r="AB377" s="15">
        <f>IF(A377="","",W377-AA377)</f>
        <v/>
      </c>
      <c r="AC377" s="19">
        <f>IF(OR(A377="",W377=0),"",AB377/W377)</f>
        <v/>
      </c>
      <c r="AD377" s="19">
        <f>IF(OR(A377="",V377=0),"",W377/V377)</f>
        <v/>
      </c>
      <c r="AE377" s="15">
        <f>IF(A377="","",MAX(0,V377-W377))</f>
        <v/>
      </c>
      <c r="AF377" s="15">
        <f>IF(A377="","",SUMIFS('13_Ausgangsrechnungen'!$R:$R,'13_Ausgangsrechnungen'!$C:$C,A377))</f>
        <v/>
      </c>
    </row>
    <row r="378">
      <c r="A378" s="30" t="inlineStr"/>
      <c r="B378" s="30" t="inlineStr"/>
      <c r="C378" s="30" t="inlineStr"/>
      <c r="D378" s="30" t="inlineStr"/>
      <c r="E378" s="30" t="inlineStr"/>
      <c r="F378" s="30" t="inlineStr"/>
      <c r="G378" s="38" t="inlineStr"/>
      <c r="H378" s="38" t="inlineStr"/>
      <c r="I378" s="38" t="inlineStr"/>
      <c r="J378" s="34" t="inlineStr"/>
      <c r="K378" s="34" t="inlineStr"/>
      <c r="L378" s="34" t="inlineStr"/>
      <c r="M378" s="34" t="inlineStr"/>
      <c r="N378" s="34" t="inlineStr"/>
      <c r="O378" s="34" t="inlineStr"/>
      <c r="P378" s="32" t="inlineStr"/>
      <c r="Q378" s="30" t="inlineStr"/>
      <c r="R378" s="30" t="inlineStr"/>
      <c r="S378" s="30" t="inlineStr"/>
      <c r="T378" s="30" t="inlineStr"/>
      <c r="U378" s="15">
        <f>IF(A378="","",SUMIFS('07_Nachtraege'!$E:$E,'07_Nachtraege'!$B:$B,A378,'07_Nachtraege'!$F:$F,"beauftragt"))</f>
        <v/>
      </c>
      <c r="V378" s="15">
        <f>IF(A378="","",J378+U378)</f>
        <v/>
      </c>
      <c r="W378" s="15">
        <f>IF(A378="","",SUMIFS('13_Ausgangsrechnungen'!$G:$G,'13_Ausgangsrechnungen'!$C:$C,A378))</f>
        <v/>
      </c>
      <c r="X378" s="15">
        <f>IF(A378="","",SUMIFS('11_Material'!$L:$L,'11_Material'!$C:$C,A378))</f>
        <v/>
      </c>
      <c r="Y378" s="15">
        <f>IF(A378="","",SUMIFS('14_Eingangsrechnungen'!$F:$F,'14_Eingangsrechnungen'!$C:$C,A378,'14_Eingangsrechnungen'!$E:$E,"Nachunternehmer"))</f>
        <v/>
      </c>
      <c r="Z378" s="15">
        <f>IF(A378="","",SUMIFS('10_Stunden'!$K:$K,'10_Stunden'!$C:$C,A378))</f>
        <v/>
      </c>
      <c r="AA378" s="15">
        <f>IF(A378="","",X378+Y378+Z378+SUMIFS('14_Eingangsrechnungen'!$F:$F,'14_Eingangsrechnungen'!$C:$C,A378,'14_Eingangsrechnungen'!$E:$E,"Gerät")+SUMIFS('14_Eingangsrechnungen'!$F:$F,'14_Eingangsrechnungen'!$C:$C,A378,'14_Eingangsrechnungen'!$E:$E,"Dienstleistung"))</f>
        <v/>
      </c>
      <c r="AB378" s="15">
        <f>IF(A378="","",W378-AA378)</f>
        <v/>
      </c>
      <c r="AC378" s="19">
        <f>IF(OR(A378="",W378=0),"",AB378/W378)</f>
        <v/>
      </c>
      <c r="AD378" s="19">
        <f>IF(OR(A378="",V378=0),"",W378/V378)</f>
        <v/>
      </c>
      <c r="AE378" s="15">
        <f>IF(A378="","",MAX(0,V378-W378))</f>
        <v/>
      </c>
      <c r="AF378" s="15">
        <f>IF(A378="","",SUMIFS('13_Ausgangsrechnungen'!$R:$R,'13_Ausgangsrechnungen'!$C:$C,A378))</f>
        <v/>
      </c>
    </row>
    <row r="379">
      <c r="A379" s="30" t="inlineStr"/>
      <c r="B379" s="30" t="inlineStr"/>
      <c r="C379" s="30" t="inlineStr"/>
      <c r="D379" s="30" t="inlineStr"/>
      <c r="E379" s="30" t="inlineStr"/>
      <c r="F379" s="30" t="inlineStr"/>
      <c r="G379" s="38" t="inlineStr"/>
      <c r="H379" s="38" t="inlineStr"/>
      <c r="I379" s="38" t="inlineStr"/>
      <c r="J379" s="34" t="inlineStr"/>
      <c r="K379" s="34" t="inlineStr"/>
      <c r="L379" s="34" t="inlineStr"/>
      <c r="M379" s="34" t="inlineStr"/>
      <c r="N379" s="34" t="inlineStr"/>
      <c r="O379" s="34" t="inlineStr"/>
      <c r="P379" s="32" t="inlineStr"/>
      <c r="Q379" s="30" t="inlineStr"/>
      <c r="R379" s="30" t="inlineStr"/>
      <c r="S379" s="30" t="inlineStr"/>
      <c r="T379" s="30" t="inlineStr"/>
      <c r="U379" s="15">
        <f>IF(A379="","",SUMIFS('07_Nachtraege'!$E:$E,'07_Nachtraege'!$B:$B,A379,'07_Nachtraege'!$F:$F,"beauftragt"))</f>
        <v/>
      </c>
      <c r="V379" s="15">
        <f>IF(A379="","",J379+U379)</f>
        <v/>
      </c>
      <c r="W379" s="15">
        <f>IF(A379="","",SUMIFS('13_Ausgangsrechnungen'!$G:$G,'13_Ausgangsrechnungen'!$C:$C,A379))</f>
        <v/>
      </c>
      <c r="X379" s="15">
        <f>IF(A379="","",SUMIFS('11_Material'!$L:$L,'11_Material'!$C:$C,A379))</f>
        <v/>
      </c>
      <c r="Y379" s="15">
        <f>IF(A379="","",SUMIFS('14_Eingangsrechnungen'!$F:$F,'14_Eingangsrechnungen'!$C:$C,A379,'14_Eingangsrechnungen'!$E:$E,"Nachunternehmer"))</f>
        <v/>
      </c>
      <c r="Z379" s="15">
        <f>IF(A379="","",SUMIFS('10_Stunden'!$K:$K,'10_Stunden'!$C:$C,A379))</f>
        <v/>
      </c>
      <c r="AA379" s="15">
        <f>IF(A379="","",X379+Y379+Z379+SUMIFS('14_Eingangsrechnungen'!$F:$F,'14_Eingangsrechnungen'!$C:$C,A379,'14_Eingangsrechnungen'!$E:$E,"Gerät")+SUMIFS('14_Eingangsrechnungen'!$F:$F,'14_Eingangsrechnungen'!$C:$C,A379,'14_Eingangsrechnungen'!$E:$E,"Dienstleistung"))</f>
        <v/>
      </c>
      <c r="AB379" s="15">
        <f>IF(A379="","",W379-AA379)</f>
        <v/>
      </c>
      <c r="AC379" s="19">
        <f>IF(OR(A379="",W379=0),"",AB379/W379)</f>
        <v/>
      </c>
      <c r="AD379" s="19">
        <f>IF(OR(A379="",V379=0),"",W379/V379)</f>
        <v/>
      </c>
      <c r="AE379" s="15">
        <f>IF(A379="","",MAX(0,V379-W379))</f>
        <v/>
      </c>
      <c r="AF379" s="15">
        <f>IF(A379="","",SUMIFS('13_Ausgangsrechnungen'!$R:$R,'13_Ausgangsrechnungen'!$C:$C,A379))</f>
        <v/>
      </c>
    </row>
    <row r="380">
      <c r="A380" s="30" t="inlineStr"/>
      <c r="B380" s="30" t="inlineStr"/>
      <c r="C380" s="30" t="inlineStr"/>
      <c r="D380" s="30" t="inlineStr"/>
      <c r="E380" s="30" t="inlineStr"/>
      <c r="F380" s="30" t="inlineStr"/>
      <c r="G380" s="38" t="inlineStr"/>
      <c r="H380" s="38" t="inlineStr"/>
      <c r="I380" s="38" t="inlineStr"/>
      <c r="J380" s="34" t="inlineStr"/>
      <c r="K380" s="34" t="inlineStr"/>
      <c r="L380" s="34" t="inlineStr"/>
      <c r="M380" s="34" t="inlineStr"/>
      <c r="N380" s="34" t="inlineStr"/>
      <c r="O380" s="34" t="inlineStr"/>
      <c r="P380" s="32" t="inlineStr"/>
      <c r="Q380" s="30" t="inlineStr"/>
      <c r="R380" s="30" t="inlineStr"/>
      <c r="S380" s="30" t="inlineStr"/>
      <c r="T380" s="30" t="inlineStr"/>
      <c r="U380" s="15">
        <f>IF(A380="","",SUMIFS('07_Nachtraege'!$E:$E,'07_Nachtraege'!$B:$B,A380,'07_Nachtraege'!$F:$F,"beauftragt"))</f>
        <v/>
      </c>
      <c r="V380" s="15">
        <f>IF(A380="","",J380+U380)</f>
        <v/>
      </c>
      <c r="W380" s="15">
        <f>IF(A380="","",SUMIFS('13_Ausgangsrechnungen'!$G:$G,'13_Ausgangsrechnungen'!$C:$C,A380))</f>
        <v/>
      </c>
      <c r="X380" s="15">
        <f>IF(A380="","",SUMIFS('11_Material'!$L:$L,'11_Material'!$C:$C,A380))</f>
        <v/>
      </c>
      <c r="Y380" s="15">
        <f>IF(A380="","",SUMIFS('14_Eingangsrechnungen'!$F:$F,'14_Eingangsrechnungen'!$C:$C,A380,'14_Eingangsrechnungen'!$E:$E,"Nachunternehmer"))</f>
        <v/>
      </c>
      <c r="Z380" s="15">
        <f>IF(A380="","",SUMIFS('10_Stunden'!$K:$K,'10_Stunden'!$C:$C,A380))</f>
        <v/>
      </c>
      <c r="AA380" s="15">
        <f>IF(A380="","",X380+Y380+Z380+SUMIFS('14_Eingangsrechnungen'!$F:$F,'14_Eingangsrechnungen'!$C:$C,A380,'14_Eingangsrechnungen'!$E:$E,"Gerät")+SUMIFS('14_Eingangsrechnungen'!$F:$F,'14_Eingangsrechnungen'!$C:$C,A380,'14_Eingangsrechnungen'!$E:$E,"Dienstleistung"))</f>
        <v/>
      </c>
      <c r="AB380" s="15">
        <f>IF(A380="","",W380-AA380)</f>
        <v/>
      </c>
      <c r="AC380" s="19">
        <f>IF(OR(A380="",W380=0),"",AB380/W380)</f>
        <v/>
      </c>
      <c r="AD380" s="19">
        <f>IF(OR(A380="",V380=0),"",W380/V380)</f>
        <v/>
      </c>
      <c r="AE380" s="15">
        <f>IF(A380="","",MAX(0,V380-W380))</f>
        <v/>
      </c>
      <c r="AF380" s="15">
        <f>IF(A380="","",SUMIFS('13_Ausgangsrechnungen'!$R:$R,'13_Ausgangsrechnungen'!$C:$C,A380))</f>
        <v/>
      </c>
    </row>
    <row r="381">
      <c r="A381" s="30" t="inlineStr"/>
      <c r="B381" s="30" t="inlineStr"/>
      <c r="C381" s="30" t="inlineStr"/>
      <c r="D381" s="30" t="inlineStr"/>
      <c r="E381" s="30" t="inlineStr"/>
      <c r="F381" s="30" t="inlineStr"/>
      <c r="G381" s="38" t="inlineStr"/>
      <c r="H381" s="38" t="inlineStr"/>
      <c r="I381" s="38" t="inlineStr"/>
      <c r="J381" s="34" t="inlineStr"/>
      <c r="K381" s="34" t="inlineStr"/>
      <c r="L381" s="34" t="inlineStr"/>
      <c r="M381" s="34" t="inlineStr"/>
      <c r="N381" s="34" t="inlineStr"/>
      <c r="O381" s="34" t="inlineStr"/>
      <c r="P381" s="32" t="inlineStr"/>
      <c r="Q381" s="30" t="inlineStr"/>
      <c r="R381" s="30" t="inlineStr"/>
      <c r="S381" s="30" t="inlineStr"/>
      <c r="T381" s="30" t="inlineStr"/>
      <c r="U381" s="15">
        <f>IF(A381="","",SUMIFS('07_Nachtraege'!$E:$E,'07_Nachtraege'!$B:$B,A381,'07_Nachtraege'!$F:$F,"beauftragt"))</f>
        <v/>
      </c>
      <c r="V381" s="15">
        <f>IF(A381="","",J381+U381)</f>
        <v/>
      </c>
      <c r="W381" s="15">
        <f>IF(A381="","",SUMIFS('13_Ausgangsrechnungen'!$G:$G,'13_Ausgangsrechnungen'!$C:$C,A381))</f>
        <v/>
      </c>
      <c r="X381" s="15">
        <f>IF(A381="","",SUMIFS('11_Material'!$L:$L,'11_Material'!$C:$C,A381))</f>
        <v/>
      </c>
      <c r="Y381" s="15">
        <f>IF(A381="","",SUMIFS('14_Eingangsrechnungen'!$F:$F,'14_Eingangsrechnungen'!$C:$C,A381,'14_Eingangsrechnungen'!$E:$E,"Nachunternehmer"))</f>
        <v/>
      </c>
      <c r="Z381" s="15">
        <f>IF(A381="","",SUMIFS('10_Stunden'!$K:$K,'10_Stunden'!$C:$C,A381))</f>
        <v/>
      </c>
      <c r="AA381" s="15">
        <f>IF(A381="","",X381+Y381+Z381+SUMIFS('14_Eingangsrechnungen'!$F:$F,'14_Eingangsrechnungen'!$C:$C,A381,'14_Eingangsrechnungen'!$E:$E,"Gerät")+SUMIFS('14_Eingangsrechnungen'!$F:$F,'14_Eingangsrechnungen'!$C:$C,A381,'14_Eingangsrechnungen'!$E:$E,"Dienstleistung"))</f>
        <v/>
      </c>
      <c r="AB381" s="15">
        <f>IF(A381="","",W381-AA381)</f>
        <v/>
      </c>
      <c r="AC381" s="19">
        <f>IF(OR(A381="",W381=0),"",AB381/W381)</f>
        <v/>
      </c>
      <c r="AD381" s="19">
        <f>IF(OR(A381="",V381=0),"",W381/V381)</f>
        <v/>
      </c>
      <c r="AE381" s="15">
        <f>IF(A381="","",MAX(0,V381-W381))</f>
        <v/>
      </c>
      <c r="AF381" s="15">
        <f>IF(A381="","",SUMIFS('13_Ausgangsrechnungen'!$R:$R,'13_Ausgangsrechnungen'!$C:$C,A381))</f>
        <v/>
      </c>
    </row>
    <row r="382">
      <c r="A382" s="30" t="inlineStr"/>
      <c r="B382" s="30" t="inlineStr"/>
      <c r="C382" s="30" t="inlineStr"/>
      <c r="D382" s="30" t="inlineStr"/>
      <c r="E382" s="30" t="inlineStr"/>
      <c r="F382" s="30" t="inlineStr"/>
      <c r="G382" s="38" t="inlineStr"/>
      <c r="H382" s="38" t="inlineStr"/>
      <c r="I382" s="38" t="inlineStr"/>
      <c r="J382" s="34" t="inlineStr"/>
      <c r="K382" s="34" t="inlineStr"/>
      <c r="L382" s="34" t="inlineStr"/>
      <c r="M382" s="34" t="inlineStr"/>
      <c r="N382" s="34" t="inlineStr"/>
      <c r="O382" s="34" t="inlineStr"/>
      <c r="P382" s="32" t="inlineStr"/>
      <c r="Q382" s="30" t="inlineStr"/>
      <c r="R382" s="30" t="inlineStr"/>
      <c r="S382" s="30" t="inlineStr"/>
      <c r="T382" s="30" t="inlineStr"/>
      <c r="U382" s="15">
        <f>IF(A382="","",SUMIFS('07_Nachtraege'!$E:$E,'07_Nachtraege'!$B:$B,A382,'07_Nachtraege'!$F:$F,"beauftragt"))</f>
        <v/>
      </c>
      <c r="V382" s="15">
        <f>IF(A382="","",J382+U382)</f>
        <v/>
      </c>
      <c r="W382" s="15">
        <f>IF(A382="","",SUMIFS('13_Ausgangsrechnungen'!$G:$G,'13_Ausgangsrechnungen'!$C:$C,A382))</f>
        <v/>
      </c>
      <c r="X382" s="15">
        <f>IF(A382="","",SUMIFS('11_Material'!$L:$L,'11_Material'!$C:$C,A382))</f>
        <v/>
      </c>
      <c r="Y382" s="15">
        <f>IF(A382="","",SUMIFS('14_Eingangsrechnungen'!$F:$F,'14_Eingangsrechnungen'!$C:$C,A382,'14_Eingangsrechnungen'!$E:$E,"Nachunternehmer"))</f>
        <v/>
      </c>
      <c r="Z382" s="15">
        <f>IF(A382="","",SUMIFS('10_Stunden'!$K:$K,'10_Stunden'!$C:$C,A382))</f>
        <v/>
      </c>
      <c r="AA382" s="15">
        <f>IF(A382="","",X382+Y382+Z382+SUMIFS('14_Eingangsrechnungen'!$F:$F,'14_Eingangsrechnungen'!$C:$C,A382,'14_Eingangsrechnungen'!$E:$E,"Gerät")+SUMIFS('14_Eingangsrechnungen'!$F:$F,'14_Eingangsrechnungen'!$C:$C,A382,'14_Eingangsrechnungen'!$E:$E,"Dienstleistung"))</f>
        <v/>
      </c>
      <c r="AB382" s="15">
        <f>IF(A382="","",W382-AA382)</f>
        <v/>
      </c>
      <c r="AC382" s="19">
        <f>IF(OR(A382="",W382=0),"",AB382/W382)</f>
        <v/>
      </c>
      <c r="AD382" s="19">
        <f>IF(OR(A382="",V382=0),"",W382/V382)</f>
        <v/>
      </c>
      <c r="AE382" s="15">
        <f>IF(A382="","",MAX(0,V382-W382))</f>
        <v/>
      </c>
      <c r="AF382" s="15">
        <f>IF(A382="","",SUMIFS('13_Ausgangsrechnungen'!$R:$R,'13_Ausgangsrechnungen'!$C:$C,A382))</f>
        <v/>
      </c>
    </row>
    <row r="383">
      <c r="A383" s="30" t="inlineStr"/>
      <c r="B383" s="30" t="inlineStr"/>
      <c r="C383" s="30" t="inlineStr"/>
      <c r="D383" s="30" t="inlineStr"/>
      <c r="E383" s="30" t="inlineStr"/>
      <c r="F383" s="30" t="inlineStr"/>
      <c r="G383" s="38" t="inlineStr"/>
      <c r="H383" s="38" t="inlineStr"/>
      <c r="I383" s="38" t="inlineStr"/>
      <c r="J383" s="34" t="inlineStr"/>
      <c r="K383" s="34" t="inlineStr"/>
      <c r="L383" s="34" t="inlineStr"/>
      <c r="M383" s="34" t="inlineStr"/>
      <c r="N383" s="34" t="inlineStr"/>
      <c r="O383" s="34" t="inlineStr"/>
      <c r="P383" s="32" t="inlineStr"/>
      <c r="Q383" s="30" t="inlineStr"/>
      <c r="R383" s="30" t="inlineStr"/>
      <c r="S383" s="30" t="inlineStr"/>
      <c r="T383" s="30" t="inlineStr"/>
      <c r="U383" s="15">
        <f>IF(A383="","",SUMIFS('07_Nachtraege'!$E:$E,'07_Nachtraege'!$B:$B,A383,'07_Nachtraege'!$F:$F,"beauftragt"))</f>
        <v/>
      </c>
      <c r="V383" s="15">
        <f>IF(A383="","",J383+U383)</f>
        <v/>
      </c>
      <c r="W383" s="15">
        <f>IF(A383="","",SUMIFS('13_Ausgangsrechnungen'!$G:$G,'13_Ausgangsrechnungen'!$C:$C,A383))</f>
        <v/>
      </c>
      <c r="X383" s="15">
        <f>IF(A383="","",SUMIFS('11_Material'!$L:$L,'11_Material'!$C:$C,A383))</f>
        <v/>
      </c>
      <c r="Y383" s="15">
        <f>IF(A383="","",SUMIFS('14_Eingangsrechnungen'!$F:$F,'14_Eingangsrechnungen'!$C:$C,A383,'14_Eingangsrechnungen'!$E:$E,"Nachunternehmer"))</f>
        <v/>
      </c>
      <c r="Z383" s="15">
        <f>IF(A383="","",SUMIFS('10_Stunden'!$K:$K,'10_Stunden'!$C:$C,A383))</f>
        <v/>
      </c>
      <c r="AA383" s="15">
        <f>IF(A383="","",X383+Y383+Z383+SUMIFS('14_Eingangsrechnungen'!$F:$F,'14_Eingangsrechnungen'!$C:$C,A383,'14_Eingangsrechnungen'!$E:$E,"Gerät")+SUMIFS('14_Eingangsrechnungen'!$F:$F,'14_Eingangsrechnungen'!$C:$C,A383,'14_Eingangsrechnungen'!$E:$E,"Dienstleistung"))</f>
        <v/>
      </c>
      <c r="AB383" s="15">
        <f>IF(A383="","",W383-AA383)</f>
        <v/>
      </c>
      <c r="AC383" s="19">
        <f>IF(OR(A383="",W383=0),"",AB383/W383)</f>
        <v/>
      </c>
      <c r="AD383" s="19">
        <f>IF(OR(A383="",V383=0),"",W383/V383)</f>
        <v/>
      </c>
      <c r="AE383" s="15">
        <f>IF(A383="","",MAX(0,V383-W383))</f>
        <v/>
      </c>
      <c r="AF383" s="15">
        <f>IF(A383="","",SUMIFS('13_Ausgangsrechnungen'!$R:$R,'13_Ausgangsrechnungen'!$C:$C,A383))</f>
        <v/>
      </c>
    </row>
    <row r="384">
      <c r="A384" s="30" t="inlineStr"/>
      <c r="B384" s="30" t="inlineStr"/>
      <c r="C384" s="30" t="inlineStr"/>
      <c r="D384" s="30" t="inlineStr"/>
      <c r="E384" s="30" t="inlineStr"/>
      <c r="F384" s="30" t="inlineStr"/>
      <c r="G384" s="38" t="inlineStr"/>
      <c r="H384" s="38" t="inlineStr"/>
      <c r="I384" s="38" t="inlineStr"/>
      <c r="J384" s="34" t="inlineStr"/>
      <c r="K384" s="34" t="inlineStr"/>
      <c r="L384" s="34" t="inlineStr"/>
      <c r="M384" s="34" t="inlineStr"/>
      <c r="N384" s="34" t="inlineStr"/>
      <c r="O384" s="34" t="inlineStr"/>
      <c r="P384" s="32" t="inlineStr"/>
      <c r="Q384" s="30" t="inlineStr"/>
      <c r="R384" s="30" t="inlineStr"/>
      <c r="S384" s="30" t="inlineStr"/>
      <c r="T384" s="30" t="inlineStr"/>
      <c r="U384" s="15">
        <f>IF(A384="","",SUMIFS('07_Nachtraege'!$E:$E,'07_Nachtraege'!$B:$B,A384,'07_Nachtraege'!$F:$F,"beauftragt"))</f>
        <v/>
      </c>
      <c r="V384" s="15">
        <f>IF(A384="","",J384+U384)</f>
        <v/>
      </c>
      <c r="W384" s="15">
        <f>IF(A384="","",SUMIFS('13_Ausgangsrechnungen'!$G:$G,'13_Ausgangsrechnungen'!$C:$C,A384))</f>
        <v/>
      </c>
      <c r="X384" s="15">
        <f>IF(A384="","",SUMIFS('11_Material'!$L:$L,'11_Material'!$C:$C,A384))</f>
        <v/>
      </c>
      <c r="Y384" s="15">
        <f>IF(A384="","",SUMIFS('14_Eingangsrechnungen'!$F:$F,'14_Eingangsrechnungen'!$C:$C,A384,'14_Eingangsrechnungen'!$E:$E,"Nachunternehmer"))</f>
        <v/>
      </c>
      <c r="Z384" s="15">
        <f>IF(A384="","",SUMIFS('10_Stunden'!$K:$K,'10_Stunden'!$C:$C,A384))</f>
        <v/>
      </c>
      <c r="AA384" s="15">
        <f>IF(A384="","",X384+Y384+Z384+SUMIFS('14_Eingangsrechnungen'!$F:$F,'14_Eingangsrechnungen'!$C:$C,A384,'14_Eingangsrechnungen'!$E:$E,"Gerät")+SUMIFS('14_Eingangsrechnungen'!$F:$F,'14_Eingangsrechnungen'!$C:$C,A384,'14_Eingangsrechnungen'!$E:$E,"Dienstleistung"))</f>
        <v/>
      </c>
      <c r="AB384" s="15">
        <f>IF(A384="","",W384-AA384)</f>
        <v/>
      </c>
      <c r="AC384" s="19">
        <f>IF(OR(A384="",W384=0),"",AB384/W384)</f>
        <v/>
      </c>
      <c r="AD384" s="19">
        <f>IF(OR(A384="",V384=0),"",W384/V384)</f>
        <v/>
      </c>
      <c r="AE384" s="15">
        <f>IF(A384="","",MAX(0,V384-W384))</f>
        <v/>
      </c>
      <c r="AF384" s="15">
        <f>IF(A384="","",SUMIFS('13_Ausgangsrechnungen'!$R:$R,'13_Ausgangsrechnungen'!$C:$C,A384))</f>
        <v/>
      </c>
    </row>
    <row r="385">
      <c r="A385" s="30" t="inlineStr"/>
      <c r="B385" s="30" t="inlineStr"/>
      <c r="C385" s="30" t="inlineStr"/>
      <c r="D385" s="30" t="inlineStr"/>
      <c r="E385" s="30" t="inlineStr"/>
      <c r="F385" s="30" t="inlineStr"/>
      <c r="G385" s="38" t="inlineStr"/>
      <c r="H385" s="38" t="inlineStr"/>
      <c r="I385" s="38" t="inlineStr"/>
      <c r="J385" s="34" t="inlineStr"/>
      <c r="K385" s="34" t="inlineStr"/>
      <c r="L385" s="34" t="inlineStr"/>
      <c r="M385" s="34" t="inlineStr"/>
      <c r="N385" s="34" t="inlineStr"/>
      <c r="O385" s="34" t="inlineStr"/>
      <c r="P385" s="32" t="inlineStr"/>
      <c r="Q385" s="30" t="inlineStr"/>
      <c r="R385" s="30" t="inlineStr"/>
      <c r="S385" s="30" t="inlineStr"/>
      <c r="T385" s="30" t="inlineStr"/>
      <c r="U385" s="15">
        <f>IF(A385="","",SUMIFS('07_Nachtraege'!$E:$E,'07_Nachtraege'!$B:$B,A385,'07_Nachtraege'!$F:$F,"beauftragt"))</f>
        <v/>
      </c>
      <c r="V385" s="15">
        <f>IF(A385="","",J385+U385)</f>
        <v/>
      </c>
      <c r="W385" s="15">
        <f>IF(A385="","",SUMIFS('13_Ausgangsrechnungen'!$G:$G,'13_Ausgangsrechnungen'!$C:$C,A385))</f>
        <v/>
      </c>
      <c r="X385" s="15">
        <f>IF(A385="","",SUMIFS('11_Material'!$L:$L,'11_Material'!$C:$C,A385))</f>
        <v/>
      </c>
      <c r="Y385" s="15">
        <f>IF(A385="","",SUMIFS('14_Eingangsrechnungen'!$F:$F,'14_Eingangsrechnungen'!$C:$C,A385,'14_Eingangsrechnungen'!$E:$E,"Nachunternehmer"))</f>
        <v/>
      </c>
      <c r="Z385" s="15">
        <f>IF(A385="","",SUMIFS('10_Stunden'!$K:$K,'10_Stunden'!$C:$C,A385))</f>
        <v/>
      </c>
      <c r="AA385" s="15">
        <f>IF(A385="","",X385+Y385+Z385+SUMIFS('14_Eingangsrechnungen'!$F:$F,'14_Eingangsrechnungen'!$C:$C,A385,'14_Eingangsrechnungen'!$E:$E,"Gerät")+SUMIFS('14_Eingangsrechnungen'!$F:$F,'14_Eingangsrechnungen'!$C:$C,A385,'14_Eingangsrechnungen'!$E:$E,"Dienstleistung"))</f>
        <v/>
      </c>
      <c r="AB385" s="15">
        <f>IF(A385="","",W385-AA385)</f>
        <v/>
      </c>
      <c r="AC385" s="19">
        <f>IF(OR(A385="",W385=0),"",AB385/W385)</f>
        <v/>
      </c>
      <c r="AD385" s="19">
        <f>IF(OR(A385="",V385=0),"",W385/V385)</f>
        <v/>
      </c>
      <c r="AE385" s="15">
        <f>IF(A385="","",MAX(0,V385-W385))</f>
        <v/>
      </c>
      <c r="AF385" s="15">
        <f>IF(A385="","",SUMIFS('13_Ausgangsrechnungen'!$R:$R,'13_Ausgangsrechnungen'!$C:$C,A385))</f>
        <v/>
      </c>
    </row>
    <row r="386">
      <c r="A386" s="30" t="inlineStr"/>
      <c r="B386" s="30" t="inlineStr"/>
      <c r="C386" s="30" t="inlineStr"/>
      <c r="D386" s="30" t="inlineStr"/>
      <c r="E386" s="30" t="inlineStr"/>
      <c r="F386" s="30" t="inlineStr"/>
      <c r="G386" s="38" t="inlineStr"/>
      <c r="H386" s="38" t="inlineStr"/>
      <c r="I386" s="38" t="inlineStr"/>
      <c r="J386" s="34" t="inlineStr"/>
      <c r="K386" s="34" t="inlineStr"/>
      <c r="L386" s="34" t="inlineStr"/>
      <c r="M386" s="34" t="inlineStr"/>
      <c r="N386" s="34" t="inlineStr"/>
      <c r="O386" s="34" t="inlineStr"/>
      <c r="P386" s="32" t="inlineStr"/>
      <c r="Q386" s="30" t="inlineStr"/>
      <c r="R386" s="30" t="inlineStr"/>
      <c r="S386" s="30" t="inlineStr"/>
      <c r="T386" s="30" t="inlineStr"/>
      <c r="U386" s="15">
        <f>IF(A386="","",SUMIFS('07_Nachtraege'!$E:$E,'07_Nachtraege'!$B:$B,A386,'07_Nachtraege'!$F:$F,"beauftragt"))</f>
        <v/>
      </c>
      <c r="V386" s="15">
        <f>IF(A386="","",J386+U386)</f>
        <v/>
      </c>
      <c r="W386" s="15">
        <f>IF(A386="","",SUMIFS('13_Ausgangsrechnungen'!$G:$G,'13_Ausgangsrechnungen'!$C:$C,A386))</f>
        <v/>
      </c>
      <c r="X386" s="15">
        <f>IF(A386="","",SUMIFS('11_Material'!$L:$L,'11_Material'!$C:$C,A386))</f>
        <v/>
      </c>
      <c r="Y386" s="15">
        <f>IF(A386="","",SUMIFS('14_Eingangsrechnungen'!$F:$F,'14_Eingangsrechnungen'!$C:$C,A386,'14_Eingangsrechnungen'!$E:$E,"Nachunternehmer"))</f>
        <v/>
      </c>
      <c r="Z386" s="15">
        <f>IF(A386="","",SUMIFS('10_Stunden'!$K:$K,'10_Stunden'!$C:$C,A386))</f>
        <v/>
      </c>
      <c r="AA386" s="15">
        <f>IF(A386="","",X386+Y386+Z386+SUMIFS('14_Eingangsrechnungen'!$F:$F,'14_Eingangsrechnungen'!$C:$C,A386,'14_Eingangsrechnungen'!$E:$E,"Gerät")+SUMIFS('14_Eingangsrechnungen'!$F:$F,'14_Eingangsrechnungen'!$C:$C,A386,'14_Eingangsrechnungen'!$E:$E,"Dienstleistung"))</f>
        <v/>
      </c>
      <c r="AB386" s="15">
        <f>IF(A386="","",W386-AA386)</f>
        <v/>
      </c>
      <c r="AC386" s="19">
        <f>IF(OR(A386="",W386=0),"",AB386/W386)</f>
        <v/>
      </c>
      <c r="AD386" s="19">
        <f>IF(OR(A386="",V386=0),"",W386/V386)</f>
        <v/>
      </c>
      <c r="AE386" s="15">
        <f>IF(A386="","",MAX(0,V386-W386))</f>
        <v/>
      </c>
      <c r="AF386" s="15">
        <f>IF(A386="","",SUMIFS('13_Ausgangsrechnungen'!$R:$R,'13_Ausgangsrechnungen'!$C:$C,A386))</f>
        <v/>
      </c>
    </row>
    <row r="387">
      <c r="A387" s="30" t="inlineStr"/>
      <c r="B387" s="30" t="inlineStr"/>
      <c r="C387" s="30" t="inlineStr"/>
      <c r="D387" s="30" t="inlineStr"/>
      <c r="E387" s="30" t="inlineStr"/>
      <c r="F387" s="30" t="inlineStr"/>
      <c r="G387" s="38" t="inlineStr"/>
      <c r="H387" s="38" t="inlineStr"/>
      <c r="I387" s="38" t="inlineStr"/>
      <c r="J387" s="34" t="inlineStr"/>
      <c r="K387" s="34" t="inlineStr"/>
      <c r="L387" s="34" t="inlineStr"/>
      <c r="M387" s="34" t="inlineStr"/>
      <c r="N387" s="34" t="inlineStr"/>
      <c r="O387" s="34" t="inlineStr"/>
      <c r="P387" s="32" t="inlineStr"/>
      <c r="Q387" s="30" t="inlineStr"/>
      <c r="R387" s="30" t="inlineStr"/>
      <c r="S387" s="30" t="inlineStr"/>
      <c r="T387" s="30" t="inlineStr"/>
      <c r="U387" s="15">
        <f>IF(A387="","",SUMIFS('07_Nachtraege'!$E:$E,'07_Nachtraege'!$B:$B,A387,'07_Nachtraege'!$F:$F,"beauftragt"))</f>
        <v/>
      </c>
      <c r="V387" s="15">
        <f>IF(A387="","",J387+U387)</f>
        <v/>
      </c>
      <c r="W387" s="15">
        <f>IF(A387="","",SUMIFS('13_Ausgangsrechnungen'!$G:$G,'13_Ausgangsrechnungen'!$C:$C,A387))</f>
        <v/>
      </c>
      <c r="X387" s="15">
        <f>IF(A387="","",SUMIFS('11_Material'!$L:$L,'11_Material'!$C:$C,A387))</f>
        <v/>
      </c>
      <c r="Y387" s="15">
        <f>IF(A387="","",SUMIFS('14_Eingangsrechnungen'!$F:$F,'14_Eingangsrechnungen'!$C:$C,A387,'14_Eingangsrechnungen'!$E:$E,"Nachunternehmer"))</f>
        <v/>
      </c>
      <c r="Z387" s="15">
        <f>IF(A387="","",SUMIFS('10_Stunden'!$K:$K,'10_Stunden'!$C:$C,A387))</f>
        <v/>
      </c>
      <c r="AA387" s="15">
        <f>IF(A387="","",X387+Y387+Z387+SUMIFS('14_Eingangsrechnungen'!$F:$F,'14_Eingangsrechnungen'!$C:$C,A387,'14_Eingangsrechnungen'!$E:$E,"Gerät")+SUMIFS('14_Eingangsrechnungen'!$F:$F,'14_Eingangsrechnungen'!$C:$C,A387,'14_Eingangsrechnungen'!$E:$E,"Dienstleistung"))</f>
        <v/>
      </c>
      <c r="AB387" s="15">
        <f>IF(A387="","",W387-AA387)</f>
        <v/>
      </c>
      <c r="AC387" s="19">
        <f>IF(OR(A387="",W387=0),"",AB387/W387)</f>
        <v/>
      </c>
      <c r="AD387" s="19">
        <f>IF(OR(A387="",V387=0),"",W387/V387)</f>
        <v/>
      </c>
      <c r="AE387" s="15">
        <f>IF(A387="","",MAX(0,V387-W387))</f>
        <v/>
      </c>
      <c r="AF387" s="15">
        <f>IF(A387="","",SUMIFS('13_Ausgangsrechnungen'!$R:$R,'13_Ausgangsrechnungen'!$C:$C,A387))</f>
        <v/>
      </c>
    </row>
    <row r="388">
      <c r="A388" s="30" t="inlineStr"/>
      <c r="B388" s="30" t="inlineStr"/>
      <c r="C388" s="30" t="inlineStr"/>
      <c r="D388" s="30" t="inlineStr"/>
      <c r="E388" s="30" t="inlineStr"/>
      <c r="F388" s="30" t="inlineStr"/>
      <c r="G388" s="38" t="inlineStr"/>
      <c r="H388" s="38" t="inlineStr"/>
      <c r="I388" s="38" t="inlineStr"/>
      <c r="J388" s="34" t="inlineStr"/>
      <c r="K388" s="34" t="inlineStr"/>
      <c r="L388" s="34" t="inlineStr"/>
      <c r="M388" s="34" t="inlineStr"/>
      <c r="N388" s="34" t="inlineStr"/>
      <c r="O388" s="34" t="inlineStr"/>
      <c r="P388" s="32" t="inlineStr"/>
      <c r="Q388" s="30" t="inlineStr"/>
      <c r="R388" s="30" t="inlineStr"/>
      <c r="S388" s="30" t="inlineStr"/>
      <c r="T388" s="30" t="inlineStr"/>
      <c r="U388" s="15">
        <f>IF(A388="","",SUMIFS('07_Nachtraege'!$E:$E,'07_Nachtraege'!$B:$B,A388,'07_Nachtraege'!$F:$F,"beauftragt"))</f>
        <v/>
      </c>
      <c r="V388" s="15">
        <f>IF(A388="","",J388+U388)</f>
        <v/>
      </c>
      <c r="W388" s="15">
        <f>IF(A388="","",SUMIFS('13_Ausgangsrechnungen'!$G:$G,'13_Ausgangsrechnungen'!$C:$C,A388))</f>
        <v/>
      </c>
      <c r="X388" s="15">
        <f>IF(A388="","",SUMIFS('11_Material'!$L:$L,'11_Material'!$C:$C,A388))</f>
        <v/>
      </c>
      <c r="Y388" s="15">
        <f>IF(A388="","",SUMIFS('14_Eingangsrechnungen'!$F:$F,'14_Eingangsrechnungen'!$C:$C,A388,'14_Eingangsrechnungen'!$E:$E,"Nachunternehmer"))</f>
        <v/>
      </c>
      <c r="Z388" s="15">
        <f>IF(A388="","",SUMIFS('10_Stunden'!$K:$K,'10_Stunden'!$C:$C,A388))</f>
        <v/>
      </c>
      <c r="AA388" s="15">
        <f>IF(A388="","",X388+Y388+Z388+SUMIFS('14_Eingangsrechnungen'!$F:$F,'14_Eingangsrechnungen'!$C:$C,A388,'14_Eingangsrechnungen'!$E:$E,"Gerät")+SUMIFS('14_Eingangsrechnungen'!$F:$F,'14_Eingangsrechnungen'!$C:$C,A388,'14_Eingangsrechnungen'!$E:$E,"Dienstleistung"))</f>
        <v/>
      </c>
      <c r="AB388" s="15">
        <f>IF(A388="","",W388-AA388)</f>
        <v/>
      </c>
      <c r="AC388" s="19">
        <f>IF(OR(A388="",W388=0),"",AB388/W388)</f>
        <v/>
      </c>
      <c r="AD388" s="19">
        <f>IF(OR(A388="",V388=0),"",W388/V388)</f>
        <v/>
      </c>
      <c r="AE388" s="15">
        <f>IF(A388="","",MAX(0,V388-W388))</f>
        <v/>
      </c>
      <c r="AF388" s="15">
        <f>IF(A388="","",SUMIFS('13_Ausgangsrechnungen'!$R:$R,'13_Ausgangsrechnungen'!$C:$C,A388))</f>
        <v/>
      </c>
    </row>
    <row r="389">
      <c r="A389" s="30" t="inlineStr"/>
      <c r="B389" s="30" t="inlineStr"/>
      <c r="C389" s="30" t="inlineStr"/>
      <c r="D389" s="30" t="inlineStr"/>
      <c r="E389" s="30" t="inlineStr"/>
      <c r="F389" s="30" t="inlineStr"/>
      <c r="G389" s="38" t="inlineStr"/>
      <c r="H389" s="38" t="inlineStr"/>
      <c r="I389" s="38" t="inlineStr"/>
      <c r="J389" s="34" t="inlineStr"/>
      <c r="K389" s="34" t="inlineStr"/>
      <c r="L389" s="34" t="inlineStr"/>
      <c r="M389" s="34" t="inlineStr"/>
      <c r="N389" s="34" t="inlineStr"/>
      <c r="O389" s="34" t="inlineStr"/>
      <c r="P389" s="32" t="inlineStr"/>
      <c r="Q389" s="30" t="inlineStr"/>
      <c r="R389" s="30" t="inlineStr"/>
      <c r="S389" s="30" t="inlineStr"/>
      <c r="T389" s="30" t="inlineStr"/>
      <c r="U389" s="15">
        <f>IF(A389="","",SUMIFS('07_Nachtraege'!$E:$E,'07_Nachtraege'!$B:$B,A389,'07_Nachtraege'!$F:$F,"beauftragt"))</f>
        <v/>
      </c>
      <c r="V389" s="15">
        <f>IF(A389="","",J389+U389)</f>
        <v/>
      </c>
      <c r="W389" s="15">
        <f>IF(A389="","",SUMIFS('13_Ausgangsrechnungen'!$G:$G,'13_Ausgangsrechnungen'!$C:$C,A389))</f>
        <v/>
      </c>
      <c r="X389" s="15">
        <f>IF(A389="","",SUMIFS('11_Material'!$L:$L,'11_Material'!$C:$C,A389))</f>
        <v/>
      </c>
      <c r="Y389" s="15">
        <f>IF(A389="","",SUMIFS('14_Eingangsrechnungen'!$F:$F,'14_Eingangsrechnungen'!$C:$C,A389,'14_Eingangsrechnungen'!$E:$E,"Nachunternehmer"))</f>
        <v/>
      </c>
      <c r="Z389" s="15">
        <f>IF(A389="","",SUMIFS('10_Stunden'!$K:$K,'10_Stunden'!$C:$C,A389))</f>
        <v/>
      </c>
      <c r="AA389" s="15">
        <f>IF(A389="","",X389+Y389+Z389+SUMIFS('14_Eingangsrechnungen'!$F:$F,'14_Eingangsrechnungen'!$C:$C,A389,'14_Eingangsrechnungen'!$E:$E,"Gerät")+SUMIFS('14_Eingangsrechnungen'!$F:$F,'14_Eingangsrechnungen'!$C:$C,A389,'14_Eingangsrechnungen'!$E:$E,"Dienstleistung"))</f>
        <v/>
      </c>
      <c r="AB389" s="15">
        <f>IF(A389="","",W389-AA389)</f>
        <v/>
      </c>
      <c r="AC389" s="19">
        <f>IF(OR(A389="",W389=0),"",AB389/W389)</f>
        <v/>
      </c>
      <c r="AD389" s="19">
        <f>IF(OR(A389="",V389=0),"",W389/V389)</f>
        <v/>
      </c>
      <c r="AE389" s="15">
        <f>IF(A389="","",MAX(0,V389-W389))</f>
        <v/>
      </c>
      <c r="AF389" s="15">
        <f>IF(A389="","",SUMIFS('13_Ausgangsrechnungen'!$R:$R,'13_Ausgangsrechnungen'!$C:$C,A389))</f>
        <v/>
      </c>
    </row>
    <row r="390">
      <c r="A390" s="30" t="inlineStr"/>
      <c r="B390" s="30" t="inlineStr"/>
      <c r="C390" s="30" t="inlineStr"/>
      <c r="D390" s="30" t="inlineStr"/>
      <c r="E390" s="30" t="inlineStr"/>
      <c r="F390" s="30" t="inlineStr"/>
      <c r="G390" s="38" t="inlineStr"/>
      <c r="H390" s="38" t="inlineStr"/>
      <c r="I390" s="38" t="inlineStr"/>
      <c r="J390" s="34" t="inlineStr"/>
      <c r="K390" s="34" t="inlineStr"/>
      <c r="L390" s="34" t="inlineStr"/>
      <c r="M390" s="34" t="inlineStr"/>
      <c r="N390" s="34" t="inlineStr"/>
      <c r="O390" s="34" t="inlineStr"/>
      <c r="P390" s="32" t="inlineStr"/>
      <c r="Q390" s="30" t="inlineStr"/>
      <c r="R390" s="30" t="inlineStr"/>
      <c r="S390" s="30" t="inlineStr"/>
      <c r="T390" s="30" t="inlineStr"/>
      <c r="U390" s="15">
        <f>IF(A390="","",SUMIFS('07_Nachtraege'!$E:$E,'07_Nachtraege'!$B:$B,A390,'07_Nachtraege'!$F:$F,"beauftragt"))</f>
        <v/>
      </c>
      <c r="V390" s="15">
        <f>IF(A390="","",J390+U390)</f>
        <v/>
      </c>
      <c r="W390" s="15">
        <f>IF(A390="","",SUMIFS('13_Ausgangsrechnungen'!$G:$G,'13_Ausgangsrechnungen'!$C:$C,A390))</f>
        <v/>
      </c>
      <c r="X390" s="15">
        <f>IF(A390="","",SUMIFS('11_Material'!$L:$L,'11_Material'!$C:$C,A390))</f>
        <v/>
      </c>
      <c r="Y390" s="15">
        <f>IF(A390="","",SUMIFS('14_Eingangsrechnungen'!$F:$F,'14_Eingangsrechnungen'!$C:$C,A390,'14_Eingangsrechnungen'!$E:$E,"Nachunternehmer"))</f>
        <v/>
      </c>
      <c r="Z390" s="15">
        <f>IF(A390="","",SUMIFS('10_Stunden'!$K:$K,'10_Stunden'!$C:$C,A390))</f>
        <v/>
      </c>
      <c r="AA390" s="15">
        <f>IF(A390="","",X390+Y390+Z390+SUMIFS('14_Eingangsrechnungen'!$F:$F,'14_Eingangsrechnungen'!$C:$C,A390,'14_Eingangsrechnungen'!$E:$E,"Gerät")+SUMIFS('14_Eingangsrechnungen'!$F:$F,'14_Eingangsrechnungen'!$C:$C,A390,'14_Eingangsrechnungen'!$E:$E,"Dienstleistung"))</f>
        <v/>
      </c>
      <c r="AB390" s="15">
        <f>IF(A390="","",W390-AA390)</f>
        <v/>
      </c>
      <c r="AC390" s="19">
        <f>IF(OR(A390="",W390=0),"",AB390/W390)</f>
        <v/>
      </c>
      <c r="AD390" s="19">
        <f>IF(OR(A390="",V390=0),"",W390/V390)</f>
        <v/>
      </c>
      <c r="AE390" s="15">
        <f>IF(A390="","",MAX(0,V390-W390))</f>
        <v/>
      </c>
      <c r="AF390" s="15">
        <f>IF(A390="","",SUMIFS('13_Ausgangsrechnungen'!$R:$R,'13_Ausgangsrechnungen'!$C:$C,A390))</f>
        <v/>
      </c>
    </row>
    <row r="391">
      <c r="A391" s="30" t="inlineStr"/>
      <c r="B391" s="30" t="inlineStr"/>
      <c r="C391" s="30" t="inlineStr"/>
      <c r="D391" s="30" t="inlineStr"/>
      <c r="E391" s="30" t="inlineStr"/>
      <c r="F391" s="30" t="inlineStr"/>
      <c r="G391" s="38" t="inlineStr"/>
      <c r="H391" s="38" t="inlineStr"/>
      <c r="I391" s="38" t="inlineStr"/>
      <c r="J391" s="34" t="inlineStr"/>
      <c r="K391" s="34" t="inlineStr"/>
      <c r="L391" s="34" t="inlineStr"/>
      <c r="M391" s="34" t="inlineStr"/>
      <c r="N391" s="34" t="inlineStr"/>
      <c r="O391" s="34" t="inlineStr"/>
      <c r="P391" s="32" t="inlineStr"/>
      <c r="Q391" s="30" t="inlineStr"/>
      <c r="R391" s="30" t="inlineStr"/>
      <c r="S391" s="30" t="inlineStr"/>
      <c r="T391" s="30" t="inlineStr"/>
      <c r="U391" s="15">
        <f>IF(A391="","",SUMIFS('07_Nachtraege'!$E:$E,'07_Nachtraege'!$B:$B,A391,'07_Nachtraege'!$F:$F,"beauftragt"))</f>
        <v/>
      </c>
      <c r="V391" s="15">
        <f>IF(A391="","",J391+U391)</f>
        <v/>
      </c>
      <c r="W391" s="15">
        <f>IF(A391="","",SUMIFS('13_Ausgangsrechnungen'!$G:$G,'13_Ausgangsrechnungen'!$C:$C,A391))</f>
        <v/>
      </c>
      <c r="X391" s="15">
        <f>IF(A391="","",SUMIFS('11_Material'!$L:$L,'11_Material'!$C:$C,A391))</f>
        <v/>
      </c>
      <c r="Y391" s="15">
        <f>IF(A391="","",SUMIFS('14_Eingangsrechnungen'!$F:$F,'14_Eingangsrechnungen'!$C:$C,A391,'14_Eingangsrechnungen'!$E:$E,"Nachunternehmer"))</f>
        <v/>
      </c>
      <c r="Z391" s="15">
        <f>IF(A391="","",SUMIFS('10_Stunden'!$K:$K,'10_Stunden'!$C:$C,A391))</f>
        <v/>
      </c>
      <c r="AA391" s="15">
        <f>IF(A391="","",X391+Y391+Z391+SUMIFS('14_Eingangsrechnungen'!$F:$F,'14_Eingangsrechnungen'!$C:$C,A391,'14_Eingangsrechnungen'!$E:$E,"Gerät")+SUMIFS('14_Eingangsrechnungen'!$F:$F,'14_Eingangsrechnungen'!$C:$C,A391,'14_Eingangsrechnungen'!$E:$E,"Dienstleistung"))</f>
        <v/>
      </c>
      <c r="AB391" s="15">
        <f>IF(A391="","",W391-AA391)</f>
        <v/>
      </c>
      <c r="AC391" s="19">
        <f>IF(OR(A391="",W391=0),"",AB391/W391)</f>
        <v/>
      </c>
      <c r="AD391" s="19">
        <f>IF(OR(A391="",V391=0),"",W391/V391)</f>
        <v/>
      </c>
      <c r="AE391" s="15">
        <f>IF(A391="","",MAX(0,V391-W391))</f>
        <v/>
      </c>
      <c r="AF391" s="15">
        <f>IF(A391="","",SUMIFS('13_Ausgangsrechnungen'!$R:$R,'13_Ausgangsrechnungen'!$C:$C,A391))</f>
        <v/>
      </c>
    </row>
    <row r="392">
      <c r="A392" s="30" t="inlineStr"/>
      <c r="B392" s="30" t="inlineStr"/>
      <c r="C392" s="30" t="inlineStr"/>
      <c r="D392" s="30" t="inlineStr"/>
      <c r="E392" s="30" t="inlineStr"/>
      <c r="F392" s="30" t="inlineStr"/>
      <c r="G392" s="38" t="inlineStr"/>
      <c r="H392" s="38" t="inlineStr"/>
      <c r="I392" s="38" t="inlineStr"/>
      <c r="J392" s="34" t="inlineStr"/>
      <c r="K392" s="34" t="inlineStr"/>
      <c r="L392" s="34" t="inlineStr"/>
      <c r="M392" s="34" t="inlineStr"/>
      <c r="N392" s="34" t="inlineStr"/>
      <c r="O392" s="34" t="inlineStr"/>
      <c r="P392" s="32" t="inlineStr"/>
      <c r="Q392" s="30" t="inlineStr"/>
      <c r="R392" s="30" t="inlineStr"/>
      <c r="S392" s="30" t="inlineStr"/>
      <c r="T392" s="30" t="inlineStr"/>
      <c r="U392" s="15">
        <f>IF(A392="","",SUMIFS('07_Nachtraege'!$E:$E,'07_Nachtraege'!$B:$B,A392,'07_Nachtraege'!$F:$F,"beauftragt"))</f>
        <v/>
      </c>
      <c r="V392" s="15">
        <f>IF(A392="","",J392+U392)</f>
        <v/>
      </c>
      <c r="W392" s="15">
        <f>IF(A392="","",SUMIFS('13_Ausgangsrechnungen'!$G:$G,'13_Ausgangsrechnungen'!$C:$C,A392))</f>
        <v/>
      </c>
      <c r="X392" s="15">
        <f>IF(A392="","",SUMIFS('11_Material'!$L:$L,'11_Material'!$C:$C,A392))</f>
        <v/>
      </c>
      <c r="Y392" s="15">
        <f>IF(A392="","",SUMIFS('14_Eingangsrechnungen'!$F:$F,'14_Eingangsrechnungen'!$C:$C,A392,'14_Eingangsrechnungen'!$E:$E,"Nachunternehmer"))</f>
        <v/>
      </c>
      <c r="Z392" s="15">
        <f>IF(A392="","",SUMIFS('10_Stunden'!$K:$K,'10_Stunden'!$C:$C,A392))</f>
        <v/>
      </c>
      <c r="AA392" s="15">
        <f>IF(A392="","",X392+Y392+Z392+SUMIFS('14_Eingangsrechnungen'!$F:$F,'14_Eingangsrechnungen'!$C:$C,A392,'14_Eingangsrechnungen'!$E:$E,"Gerät")+SUMIFS('14_Eingangsrechnungen'!$F:$F,'14_Eingangsrechnungen'!$C:$C,A392,'14_Eingangsrechnungen'!$E:$E,"Dienstleistung"))</f>
        <v/>
      </c>
      <c r="AB392" s="15">
        <f>IF(A392="","",W392-AA392)</f>
        <v/>
      </c>
      <c r="AC392" s="19">
        <f>IF(OR(A392="",W392=0),"",AB392/W392)</f>
        <v/>
      </c>
      <c r="AD392" s="19">
        <f>IF(OR(A392="",V392=0),"",W392/V392)</f>
        <v/>
      </c>
      <c r="AE392" s="15">
        <f>IF(A392="","",MAX(0,V392-W392))</f>
        <v/>
      </c>
      <c r="AF392" s="15">
        <f>IF(A392="","",SUMIFS('13_Ausgangsrechnungen'!$R:$R,'13_Ausgangsrechnungen'!$C:$C,A392))</f>
        <v/>
      </c>
    </row>
    <row r="393">
      <c r="A393" s="30" t="inlineStr"/>
      <c r="B393" s="30" t="inlineStr"/>
      <c r="C393" s="30" t="inlineStr"/>
      <c r="D393" s="30" t="inlineStr"/>
      <c r="E393" s="30" t="inlineStr"/>
      <c r="F393" s="30" t="inlineStr"/>
      <c r="G393" s="38" t="inlineStr"/>
      <c r="H393" s="38" t="inlineStr"/>
      <c r="I393" s="38" t="inlineStr"/>
      <c r="J393" s="34" t="inlineStr"/>
      <c r="K393" s="34" t="inlineStr"/>
      <c r="L393" s="34" t="inlineStr"/>
      <c r="M393" s="34" t="inlineStr"/>
      <c r="N393" s="34" t="inlineStr"/>
      <c r="O393" s="34" t="inlineStr"/>
      <c r="P393" s="32" t="inlineStr"/>
      <c r="Q393" s="30" t="inlineStr"/>
      <c r="R393" s="30" t="inlineStr"/>
      <c r="S393" s="30" t="inlineStr"/>
      <c r="T393" s="30" t="inlineStr"/>
      <c r="U393" s="15">
        <f>IF(A393="","",SUMIFS('07_Nachtraege'!$E:$E,'07_Nachtraege'!$B:$B,A393,'07_Nachtraege'!$F:$F,"beauftragt"))</f>
        <v/>
      </c>
      <c r="V393" s="15">
        <f>IF(A393="","",J393+U393)</f>
        <v/>
      </c>
      <c r="W393" s="15">
        <f>IF(A393="","",SUMIFS('13_Ausgangsrechnungen'!$G:$G,'13_Ausgangsrechnungen'!$C:$C,A393))</f>
        <v/>
      </c>
      <c r="X393" s="15">
        <f>IF(A393="","",SUMIFS('11_Material'!$L:$L,'11_Material'!$C:$C,A393))</f>
        <v/>
      </c>
      <c r="Y393" s="15">
        <f>IF(A393="","",SUMIFS('14_Eingangsrechnungen'!$F:$F,'14_Eingangsrechnungen'!$C:$C,A393,'14_Eingangsrechnungen'!$E:$E,"Nachunternehmer"))</f>
        <v/>
      </c>
      <c r="Z393" s="15">
        <f>IF(A393="","",SUMIFS('10_Stunden'!$K:$K,'10_Stunden'!$C:$C,A393))</f>
        <v/>
      </c>
      <c r="AA393" s="15">
        <f>IF(A393="","",X393+Y393+Z393+SUMIFS('14_Eingangsrechnungen'!$F:$F,'14_Eingangsrechnungen'!$C:$C,A393,'14_Eingangsrechnungen'!$E:$E,"Gerät")+SUMIFS('14_Eingangsrechnungen'!$F:$F,'14_Eingangsrechnungen'!$C:$C,A393,'14_Eingangsrechnungen'!$E:$E,"Dienstleistung"))</f>
        <v/>
      </c>
      <c r="AB393" s="15">
        <f>IF(A393="","",W393-AA393)</f>
        <v/>
      </c>
      <c r="AC393" s="19">
        <f>IF(OR(A393="",W393=0),"",AB393/W393)</f>
        <v/>
      </c>
      <c r="AD393" s="19">
        <f>IF(OR(A393="",V393=0),"",W393/V393)</f>
        <v/>
      </c>
      <c r="AE393" s="15">
        <f>IF(A393="","",MAX(0,V393-W393))</f>
        <v/>
      </c>
      <c r="AF393" s="15">
        <f>IF(A393="","",SUMIFS('13_Ausgangsrechnungen'!$R:$R,'13_Ausgangsrechnungen'!$C:$C,A393))</f>
        <v/>
      </c>
    </row>
    <row r="394">
      <c r="A394" s="30" t="inlineStr"/>
      <c r="B394" s="30" t="inlineStr"/>
      <c r="C394" s="30" t="inlineStr"/>
      <c r="D394" s="30" t="inlineStr"/>
      <c r="E394" s="30" t="inlineStr"/>
      <c r="F394" s="30" t="inlineStr"/>
      <c r="G394" s="38" t="inlineStr"/>
      <c r="H394" s="38" t="inlineStr"/>
      <c r="I394" s="38" t="inlineStr"/>
      <c r="J394" s="34" t="inlineStr"/>
      <c r="K394" s="34" t="inlineStr"/>
      <c r="L394" s="34" t="inlineStr"/>
      <c r="M394" s="34" t="inlineStr"/>
      <c r="N394" s="34" t="inlineStr"/>
      <c r="O394" s="34" t="inlineStr"/>
      <c r="P394" s="32" t="inlineStr"/>
      <c r="Q394" s="30" t="inlineStr"/>
      <c r="R394" s="30" t="inlineStr"/>
      <c r="S394" s="30" t="inlineStr"/>
      <c r="T394" s="30" t="inlineStr"/>
      <c r="U394" s="15">
        <f>IF(A394="","",SUMIFS('07_Nachtraege'!$E:$E,'07_Nachtraege'!$B:$B,A394,'07_Nachtraege'!$F:$F,"beauftragt"))</f>
        <v/>
      </c>
      <c r="V394" s="15">
        <f>IF(A394="","",J394+U394)</f>
        <v/>
      </c>
      <c r="W394" s="15">
        <f>IF(A394="","",SUMIFS('13_Ausgangsrechnungen'!$G:$G,'13_Ausgangsrechnungen'!$C:$C,A394))</f>
        <v/>
      </c>
      <c r="X394" s="15">
        <f>IF(A394="","",SUMIFS('11_Material'!$L:$L,'11_Material'!$C:$C,A394))</f>
        <v/>
      </c>
      <c r="Y394" s="15">
        <f>IF(A394="","",SUMIFS('14_Eingangsrechnungen'!$F:$F,'14_Eingangsrechnungen'!$C:$C,A394,'14_Eingangsrechnungen'!$E:$E,"Nachunternehmer"))</f>
        <v/>
      </c>
      <c r="Z394" s="15">
        <f>IF(A394="","",SUMIFS('10_Stunden'!$K:$K,'10_Stunden'!$C:$C,A394))</f>
        <v/>
      </c>
      <c r="AA394" s="15">
        <f>IF(A394="","",X394+Y394+Z394+SUMIFS('14_Eingangsrechnungen'!$F:$F,'14_Eingangsrechnungen'!$C:$C,A394,'14_Eingangsrechnungen'!$E:$E,"Gerät")+SUMIFS('14_Eingangsrechnungen'!$F:$F,'14_Eingangsrechnungen'!$C:$C,A394,'14_Eingangsrechnungen'!$E:$E,"Dienstleistung"))</f>
        <v/>
      </c>
      <c r="AB394" s="15">
        <f>IF(A394="","",W394-AA394)</f>
        <v/>
      </c>
      <c r="AC394" s="19">
        <f>IF(OR(A394="",W394=0),"",AB394/W394)</f>
        <v/>
      </c>
      <c r="AD394" s="19">
        <f>IF(OR(A394="",V394=0),"",W394/V394)</f>
        <v/>
      </c>
      <c r="AE394" s="15">
        <f>IF(A394="","",MAX(0,V394-W394))</f>
        <v/>
      </c>
      <c r="AF394" s="15">
        <f>IF(A394="","",SUMIFS('13_Ausgangsrechnungen'!$R:$R,'13_Ausgangsrechnungen'!$C:$C,A394))</f>
        <v/>
      </c>
    </row>
    <row r="395">
      <c r="A395" s="30" t="inlineStr"/>
      <c r="B395" s="30" t="inlineStr"/>
      <c r="C395" s="30" t="inlineStr"/>
      <c r="D395" s="30" t="inlineStr"/>
      <c r="E395" s="30" t="inlineStr"/>
      <c r="F395" s="30" t="inlineStr"/>
      <c r="G395" s="38" t="inlineStr"/>
      <c r="H395" s="38" t="inlineStr"/>
      <c r="I395" s="38" t="inlineStr"/>
      <c r="J395" s="34" t="inlineStr"/>
      <c r="K395" s="34" t="inlineStr"/>
      <c r="L395" s="34" t="inlineStr"/>
      <c r="M395" s="34" t="inlineStr"/>
      <c r="N395" s="34" t="inlineStr"/>
      <c r="O395" s="34" t="inlineStr"/>
      <c r="P395" s="32" t="inlineStr"/>
      <c r="Q395" s="30" t="inlineStr"/>
      <c r="R395" s="30" t="inlineStr"/>
      <c r="S395" s="30" t="inlineStr"/>
      <c r="T395" s="30" t="inlineStr"/>
      <c r="U395" s="15">
        <f>IF(A395="","",SUMIFS('07_Nachtraege'!$E:$E,'07_Nachtraege'!$B:$B,A395,'07_Nachtraege'!$F:$F,"beauftragt"))</f>
        <v/>
      </c>
      <c r="V395" s="15">
        <f>IF(A395="","",J395+U395)</f>
        <v/>
      </c>
      <c r="W395" s="15">
        <f>IF(A395="","",SUMIFS('13_Ausgangsrechnungen'!$G:$G,'13_Ausgangsrechnungen'!$C:$C,A395))</f>
        <v/>
      </c>
      <c r="X395" s="15">
        <f>IF(A395="","",SUMIFS('11_Material'!$L:$L,'11_Material'!$C:$C,A395))</f>
        <v/>
      </c>
      <c r="Y395" s="15">
        <f>IF(A395="","",SUMIFS('14_Eingangsrechnungen'!$F:$F,'14_Eingangsrechnungen'!$C:$C,A395,'14_Eingangsrechnungen'!$E:$E,"Nachunternehmer"))</f>
        <v/>
      </c>
      <c r="Z395" s="15">
        <f>IF(A395="","",SUMIFS('10_Stunden'!$K:$K,'10_Stunden'!$C:$C,A395))</f>
        <v/>
      </c>
      <c r="AA395" s="15">
        <f>IF(A395="","",X395+Y395+Z395+SUMIFS('14_Eingangsrechnungen'!$F:$F,'14_Eingangsrechnungen'!$C:$C,A395,'14_Eingangsrechnungen'!$E:$E,"Gerät")+SUMIFS('14_Eingangsrechnungen'!$F:$F,'14_Eingangsrechnungen'!$C:$C,A395,'14_Eingangsrechnungen'!$E:$E,"Dienstleistung"))</f>
        <v/>
      </c>
      <c r="AB395" s="15">
        <f>IF(A395="","",W395-AA395)</f>
        <v/>
      </c>
      <c r="AC395" s="19">
        <f>IF(OR(A395="",W395=0),"",AB395/W395)</f>
        <v/>
      </c>
      <c r="AD395" s="19">
        <f>IF(OR(A395="",V395=0),"",W395/V395)</f>
        <v/>
      </c>
      <c r="AE395" s="15">
        <f>IF(A395="","",MAX(0,V395-W395))</f>
        <v/>
      </c>
      <c r="AF395" s="15">
        <f>IF(A395="","",SUMIFS('13_Ausgangsrechnungen'!$R:$R,'13_Ausgangsrechnungen'!$C:$C,A395))</f>
        <v/>
      </c>
    </row>
    <row r="396">
      <c r="A396" s="30" t="inlineStr"/>
      <c r="B396" s="30" t="inlineStr"/>
      <c r="C396" s="30" t="inlineStr"/>
      <c r="D396" s="30" t="inlineStr"/>
      <c r="E396" s="30" t="inlineStr"/>
      <c r="F396" s="30" t="inlineStr"/>
      <c r="G396" s="38" t="inlineStr"/>
      <c r="H396" s="38" t="inlineStr"/>
      <c r="I396" s="38" t="inlineStr"/>
      <c r="J396" s="34" t="inlineStr"/>
      <c r="K396" s="34" t="inlineStr"/>
      <c r="L396" s="34" t="inlineStr"/>
      <c r="M396" s="34" t="inlineStr"/>
      <c r="N396" s="34" t="inlineStr"/>
      <c r="O396" s="34" t="inlineStr"/>
      <c r="P396" s="32" t="inlineStr"/>
      <c r="Q396" s="30" t="inlineStr"/>
      <c r="R396" s="30" t="inlineStr"/>
      <c r="S396" s="30" t="inlineStr"/>
      <c r="T396" s="30" t="inlineStr"/>
      <c r="U396" s="15">
        <f>IF(A396="","",SUMIFS('07_Nachtraege'!$E:$E,'07_Nachtraege'!$B:$B,A396,'07_Nachtraege'!$F:$F,"beauftragt"))</f>
        <v/>
      </c>
      <c r="V396" s="15">
        <f>IF(A396="","",J396+U396)</f>
        <v/>
      </c>
      <c r="W396" s="15">
        <f>IF(A396="","",SUMIFS('13_Ausgangsrechnungen'!$G:$G,'13_Ausgangsrechnungen'!$C:$C,A396))</f>
        <v/>
      </c>
      <c r="X396" s="15">
        <f>IF(A396="","",SUMIFS('11_Material'!$L:$L,'11_Material'!$C:$C,A396))</f>
        <v/>
      </c>
      <c r="Y396" s="15">
        <f>IF(A396="","",SUMIFS('14_Eingangsrechnungen'!$F:$F,'14_Eingangsrechnungen'!$C:$C,A396,'14_Eingangsrechnungen'!$E:$E,"Nachunternehmer"))</f>
        <v/>
      </c>
      <c r="Z396" s="15">
        <f>IF(A396="","",SUMIFS('10_Stunden'!$K:$K,'10_Stunden'!$C:$C,A396))</f>
        <v/>
      </c>
      <c r="AA396" s="15">
        <f>IF(A396="","",X396+Y396+Z396+SUMIFS('14_Eingangsrechnungen'!$F:$F,'14_Eingangsrechnungen'!$C:$C,A396,'14_Eingangsrechnungen'!$E:$E,"Gerät")+SUMIFS('14_Eingangsrechnungen'!$F:$F,'14_Eingangsrechnungen'!$C:$C,A396,'14_Eingangsrechnungen'!$E:$E,"Dienstleistung"))</f>
        <v/>
      </c>
      <c r="AB396" s="15">
        <f>IF(A396="","",W396-AA396)</f>
        <v/>
      </c>
      <c r="AC396" s="19">
        <f>IF(OR(A396="",W396=0),"",AB396/W396)</f>
        <v/>
      </c>
      <c r="AD396" s="19">
        <f>IF(OR(A396="",V396=0),"",W396/V396)</f>
        <v/>
      </c>
      <c r="AE396" s="15">
        <f>IF(A396="","",MAX(0,V396-W396))</f>
        <v/>
      </c>
      <c r="AF396" s="15">
        <f>IF(A396="","",SUMIFS('13_Ausgangsrechnungen'!$R:$R,'13_Ausgangsrechnungen'!$C:$C,A396))</f>
        <v/>
      </c>
    </row>
    <row r="397">
      <c r="A397" s="30" t="inlineStr"/>
      <c r="B397" s="30" t="inlineStr"/>
      <c r="C397" s="30" t="inlineStr"/>
      <c r="D397" s="30" t="inlineStr"/>
      <c r="E397" s="30" t="inlineStr"/>
      <c r="F397" s="30" t="inlineStr"/>
      <c r="G397" s="38" t="inlineStr"/>
      <c r="H397" s="38" t="inlineStr"/>
      <c r="I397" s="38" t="inlineStr"/>
      <c r="J397" s="34" t="inlineStr"/>
      <c r="K397" s="34" t="inlineStr"/>
      <c r="L397" s="34" t="inlineStr"/>
      <c r="M397" s="34" t="inlineStr"/>
      <c r="N397" s="34" t="inlineStr"/>
      <c r="O397" s="34" t="inlineStr"/>
      <c r="P397" s="32" t="inlineStr"/>
      <c r="Q397" s="30" t="inlineStr"/>
      <c r="R397" s="30" t="inlineStr"/>
      <c r="S397" s="30" t="inlineStr"/>
      <c r="T397" s="30" t="inlineStr"/>
      <c r="U397" s="15">
        <f>IF(A397="","",SUMIFS('07_Nachtraege'!$E:$E,'07_Nachtraege'!$B:$B,A397,'07_Nachtraege'!$F:$F,"beauftragt"))</f>
        <v/>
      </c>
      <c r="V397" s="15">
        <f>IF(A397="","",J397+U397)</f>
        <v/>
      </c>
      <c r="W397" s="15">
        <f>IF(A397="","",SUMIFS('13_Ausgangsrechnungen'!$G:$G,'13_Ausgangsrechnungen'!$C:$C,A397))</f>
        <v/>
      </c>
      <c r="X397" s="15">
        <f>IF(A397="","",SUMIFS('11_Material'!$L:$L,'11_Material'!$C:$C,A397))</f>
        <v/>
      </c>
      <c r="Y397" s="15">
        <f>IF(A397="","",SUMIFS('14_Eingangsrechnungen'!$F:$F,'14_Eingangsrechnungen'!$C:$C,A397,'14_Eingangsrechnungen'!$E:$E,"Nachunternehmer"))</f>
        <v/>
      </c>
      <c r="Z397" s="15">
        <f>IF(A397="","",SUMIFS('10_Stunden'!$K:$K,'10_Stunden'!$C:$C,A397))</f>
        <v/>
      </c>
      <c r="AA397" s="15">
        <f>IF(A397="","",X397+Y397+Z397+SUMIFS('14_Eingangsrechnungen'!$F:$F,'14_Eingangsrechnungen'!$C:$C,A397,'14_Eingangsrechnungen'!$E:$E,"Gerät")+SUMIFS('14_Eingangsrechnungen'!$F:$F,'14_Eingangsrechnungen'!$C:$C,A397,'14_Eingangsrechnungen'!$E:$E,"Dienstleistung"))</f>
        <v/>
      </c>
      <c r="AB397" s="15">
        <f>IF(A397="","",W397-AA397)</f>
        <v/>
      </c>
      <c r="AC397" s="19">
        <f>IF(OR(A397="",W397=0),"",AB397/W397)</f>
        <v/>
      </c>
      <c r="AD397" s="19">
        <f>IF(OR(A397="",V397=0),"",W397/V397)</f>
        <v/>
      </c>
      <c r="AE397" s="15">
        <f>IF(A397="","",MAX(0,V397-W397))</f>
        <v/>
      </c>
      <c r="AF397" s="15">
        <f>IF(A397="","",SUMIFS('13_Ausgangsrechnungen'!$R:$R,'13_Ausgangsrechnungen'!$C:$C,A397))</f>
        <v/>
      </c>
    </row>
    <row r="398">
      <c r="A398" s="30" t="inlineStr"/>
      <c r="B398" s="30" t="inlineStr"/>
      <c r="C398" s="30" t="inlineStr"/>
      <c r="D398" s="30" t="inlineStr"/>
      <c r="E398" s="30" t="inlineStr"/>
      <c r="F398" s="30" t="inlineStr"/>
      <c r="G398" s="38" t="inlineStr"/>
      <c r="H398" s="38" t="inlineStr"/>
      <c r="I398" s="38" t="inlineStr"/>
      <c r="J398" s="34" t="inlineStr"/>
      <c r="K398" s="34" t="inlineStr"/>
      <c r="L398" s="34" t="inlineStr"/>
      <c r="M398" s="34" t="inlineStr"/>
      <c r="N398" s="34" t="inlineStr"/>
      <c r="O398" s="34" t="inlineStr"/>
      <c r="P398" s="32" t="inlineStr"/>
      <c r="Q398" s="30" t="inlineStr"/>
      <c r="R398" s="30" t="inlineStr"/>
      <c r="S398" s="30" t="inlineStr"/>
      <c r="T398" s="30" t="inlineStr"/>
      <c r="U398" s="15">
        <f>IF(A398="","",SUMIFS('07_Nachtraege'!$E:$E,'07_Nachtraege'!$B:$B,A398,'07_Nachtraege'!$F:$F,"beauftragt"))</f>
        <v/>
      </c>
      <c r="V398" s="15">
        <f>IF(A398="","",J398+U398)</f>
        <v/>
      </c>
      <c r="W398" s="15">
        <f>IF(A398="","",SUMIFS('13_Ausgangsrechnungen'!$G:$G,'13_Ausgangsrechnungen'!$C:$C,A398))</f>
        <v/>
      </c>
      <c r="X398" s="15">
        <f>IF(A398="","",SUMIFS('11_Material'!$L:$L,'11_Material'!$C:$C,A398))</f>
        <v/>
      </c>
      <c r="Y398" s="15">
        <f>IF(A398="","",SUMIFS('14_Eingangsrechnungen'!$F:$F,'14_Eingangsrechnungen'!$C:$C,A398,'14_Eingangsrechnungen'!$E:$E,"Nachunternehmer"))</f>
        <v/>
      </c>
      <c r="Z398" s="15">
        <f>IF(A398="","",SUMIFS('10_Stunden'!$K:$K,'10_Stunden'!$C:$C,A398))</f>
        <v/>
      </c>
      <c r="AA398" s="15">
        <f>IF(A398="","",X398+Y398+Z398+SUMIFS('14_Eingangsrechnungen'!$F:$F,'14_Eingangsrechnungen'!$C:$C,A398,'14_Eingangsrechnungen'!$E:$E,"Gerät")+SUMIFS('14_Eingangsrechnungen'!$F:$F,'14_Eingangsrechnungen'!$C:$C,A398,'14_Eingangsrechnungen'!$E:$E,"Dienstleistung"))</f>
        <v/>
      </c>
      <c r="AB398" s="15">
        <f>IF(A398="","",W398-AA398)</f>
        <v/>
      </c>
      <c r="AC398" s="19">
        <f>IF(OR(A398="",W398=0),"",AB398/W398)</f>
        <v/>
      </c>
      <c r="AD398" s="19">
        <f>IF(OR(A398="",V398=0),"",W398/V398)</f>
        <v/>
      </c>
      <c r="AE398" s="15">
        <f>IF(A398="","",MAX(0,V398-W398))</f>
        <v/>
      </c>
      <c r="AF398" s="15">
        <f>IF(A398="","",SUMIFS('13_Ausgangsrechnungen'!$R:$R,'13_Ausgangsrechnungen'!$C:$C,A398))</f>
        <v/>
      </c>
    </row>
    <row r="399">
      <c r="A399" s="30" t="inlineStr"/>
      <c r="B399" s="30" t="inlineStr"/>
      <c r="C399" s="30" t="inlineStr"/>
      <c r="D399" s="30" t="inlineStr"/>
      <c r="E399" s="30" t="inlineStr"/>
      <c r="F399" s="30" t="inlineStr"/>
      <c r="G399" s="38" t="inlineStr"/>
      <c r="H399" s="38" t="inlineStr"/>
      <c r="I399" s="38" t="inlineStr"/>
      <c r="J399" s="34" t="inlineStr"/>
      <c r="K399" s="34" t="inlineStr"/>
      <c r="L399" s="34" t="inlineStr"/>
      <c r="M399" s="34" t="inlineStr"/>
      <c r="N399" s="34" t="inlineStr"/>
      <c r="O399" s="34" t="inlineStr"/>
      <c r="P399" s="32" t="inlineStr"/>
      <c r="Q399" s="30" t="inlineStr"/>
      <c r="R399" s="30" t="inlineStr"/>
      <c r="S399" s="30" t="inlineStr"/>
      <c r="T399" s="30" t="inlineStr"/>
      <c r="U399" s="15">
        <f>IF(A399="","",SUMIFS('07_Nachtraege'!$E:$E,'07_Nachtraege'!$B:$B,A399,'07_Nachtraege'!$F:$F,"beauftragt"))</f>
        <v/>
      </c>
      <c r="V399" s="15">
        <f>IF(A399="","",J399+U399)</f>
        <v/>
      </c>
      <c r="W399" s="15">
        <f>IF(A399="","",SUMIFS('13_Ausgangsrechnungen'!$G:$G,'13_Ausgangsrechnungen'!$C:$C,A399))</f>
        <v/>
      </c>
      <c r="X399" s="15">
        <f>IF(A399="","",SUMIFS('11_Material'!$L:$L,'11_Material'!$C:$C,A399))</f>
        <v/>
      </c>
      <c r="Y399" s="15">
        <f>IF(A399="","",SUMIFS('14_Eingangsrechnungen'!$F:$F,'14_Eingangsrechnungen'!$C:$C,A399,'14_Eingangsrechnungen'!$E:$E,"Nachunternehmer"))</f>
        <v/>
      </c>
      <c r="Z399" s="15">
        <f>IF(A399="","",SUMIFS('10_Stunden'!$K:$K,'10_Stunden'!$C:$C,A399))</f>
        <v/>
      </c>
      <c r="AA399" s="15">
        <f>IF(A399="","",X399+Y399+Z399+SUMIFS('14_Eingangsrechnungen'!$F:$F,'14_Eingangsrechnungen'!$C:$C,A399,'14_Eingangsrechnungen'!$E:$E,"Gerät")+SUMIFS('14_Eingangsrechnungen'!$F:$F,'14_Eingangsrechnungen'!$C:$C,A399,'14_Eingangsrechnungen'!$E:$E,"Dienstleistung"))</f>
        <v/>
      </c>
      <c r="AB399" s="15">
        <f>IF(A399="","",W399-AA399)</f>
        <v/>
      </c>
      <c r="AC399" s="19">
        <f>IF(OR(A399="",W399=0),"",AB399/W399)</f>
        <v/>
      </c>
      <c r="AD399" s="19">
        <f>IF(OR(A399="",V399=0),"",W399/V399)</f>
        <v/>
      </c>
      <c r="AE399" s="15">
        <f>IF(A399="","",MAX(0,V399-W399))</f>
        <v/>
      </c>
      <c r="AF399" s="15">
        <f>IF(A399="","",SUMIFS('13_Ausgangsrechnungen'!$R:$R,'13_Ausgangsrechnungen'!$C:$C,A399))</f>
        <v/>
      </c>
    </row>
    <row r="400">
      <c r="A400" s="30" t="inlineStr"/>
      <c r="B400" s="30" t="inlineStr"/>
      <c r="C400" s="30" t="inlineStr"/>
      <c r="D400" s="30" t="inlineStr"/>
      <c r="E400" s="30" t="inlineStr"/>
      <c r="F400" s="30" t="inlineStr"/>
      <c r="G400" s="38" t="inlineStr"/>
      <c r="H400" s="38" t="inlineStr"/>
      <c r="I400" s="38" t="inlineStr"/>
      <c r="J400" s="34" t="inlineStr"/>
      <c r="K400" s="34" t="inlineStr"/>
      <c r="L400" s="34" t="inlineStr"/>
      <c r="M400" s="34" t="inlineStr"/>
      <c r="N400" s="34" t="inlineStr"/>
      <c r="O400" s="34" t="inlineStr"/>
      <c r="P400" s="32" t="inlineStr"/>
      <c r="Q400" s="30" t="inlineStr"/>
      <c r="R400" s="30" t="inlineStr"/>
      <c r="S400" s="30" t="inlineStr"/>
      <c r="T400" s="30" t="inlineStr"/>
      <c r="U400" s="15">
        <f>IF(A400="","",SUMIFS('07_Nachtraege'!$E:$E,'07_Nachtraege'!$B:$B,A400,'07_Nachtraege'!$F:$F,"beauftragt"))</f>
        <v/>
      </c>
      <c r="V400" s="15">
        <f>IF(A400="","",J400+U400)</f>
        <v/>
      </c>
      <c r="W400" s="15">
        <f>IF(A400="","",SUMIFS('13_Ausgangsrechnungen'!$G:$G,'13_Ausgangsrechnungen'!$C:$C,A400))</f>
        <v/>
      </c>
      <c r="X400" s="15">
        <f>IF(A400="","",SUMIFS('11_Material'!$L:$L,'11_Material'!$C:$C,A400))</f>
        <v/>
      </c>
      <c r="Y400" s="15">
        <f>IF(A400="","",SUMIFS('14_Eingangsrechnungen'!$F:$F,'14_Eingangsrechnungen'!$C:$C,A400,'14_Eingangsrechnungen'!$E:$E,"Nachunternehmer"))</f>
        <v/>
      </c>
      <c r="Z400" s="15">
        <f>IF(A400="","",SUMIFS('10_Stunden'!$K:$K,'10_Stunden'!$C:$C,A400))</f>
        <v/>
      </c>
      <c r="AA400" s="15">
        <f>IF(A400="","",X400+Y400+Z400+SUMIFS('14_Eingangsrechnungen'!$F:$F,'14_Eingangsrechnungen'!$C:$C,A400,'14_Eingangsrechnungen'!$E:$E,"Gerät")+SUMIFS('14_Eingangsrechnungen'!$F:$F,'14_Eingangsrechnungen'!$C:$C,A400,'14_Eingangsrechnungen'!$E:$E,"Dienstleistung"))</f>
        <v/>
      </c>
      <c r="AB400" s="15">
        <f>IF(A400="","",W400-AA400)</f>
        <v/>
      </c>
      <c r="AC400" s="19">
        <f>IF(OR(A400="",W400=0),"",AB400/W400)</f>
        <v/>
      </c>
      <c r="AD400" s="19">
        <f>IF(OR(A400="",V400=0),"",W400/V400)</f>
        <v/>
      </c>
      <c r="AE400" s="15">
        <f>IF(A400="","",MAX(0,V400-W400))</f>
        <v/>
      </c>
      <c r="AF400" s="15">
        <f>IF(A400="","",SUMIFS('13_Ausgangsrechnungen'!$R:$R,'13_Ausgangsrechnungen'!$C:$C,A400))</f>
        <v/>
      </c>
    </row>
  </sheetData>
  <mergeCells count="2">
    <mergeCell ref="A1:AF1"/>
    <mergeCell ref="A2:AF2"/>
  </mergeCells>
  <conditionalFormatting sqref="F4:F400">
    <cfRule type="expression" priority="1" dxfId="0">
      <formula>OR(F4="bezahlt",F4="abgeschlossen",F4="angenommen")</formula>
    </cfRule>
    <cfRule type="expression" priority="2" dxfId="1">
      <formula>OR(F4="überfällig",F4="gemahnt",F4="stopp",F4="verlust")</formula>
    </cfRule>
    <cfRule type="expression" priority="3" dxfId="2">
      <formula>OR(F4="offen",F4="in Bau",F4="geplant",F4="teilbezahlt")</formula>
    </cfRule>
  </conditionalFormatting>
  <dataValidations count="6">
    <dataValidation sqref="C4:C400" showDropDown="0" showInputMessage="0" showErrorMessage="0" allowBlank="1" errorTitle="Ungültige Auswahl" error="Bitte einen Wert aus der Liste wählen." promptTitle="Liste" prompt="Auswahl" type="list">
      <formula1>=KundenNr</formula1>
    </dataValidation>
    <dataValidation sqref="D4:D400" showDropDown="0" showInputMessage="0" showErrorMessage="0" allowBlank="1" errorTitle="Ungültige Auswahl" error="Bitte einen Wert aus der Liste wählen." promptTitle="Liste" prompt="Auswahl" type="list">
      <formula1>=lstProjektArt</formula1>
    </dataValidation>
    <dataValidation sqref="E4:E400" showDropDown="0" showInputMessage="0" showErrorMessage="0" allowBlank="1" errorTitle="Ungültige Auswahl" error="Bitte einen Wert aus der Liste wählen." promptTitle="Liste" prompt="Auswahl" type="list">
      <formula1>=lstVertrag</formula1>
    </dataValidation>
    <dataValidation sqref="F4:F400" showDropDown="0" showInputMessage="0" showErrorMessage="0" allowBlank="1" errorTitle="Ungültige Auswahl" error="Bitte einen Wert aus der Liste wählen." promptTitle="Liste" prompt="Auswahl" type="list">
      <formula1>=lstProjektStatus</formula1>
    </dataValidation>
    <dataValidation sqref="Q4:Q400" showDropDown="0" showInputMessage="0" showErrorMessage="0" allowBlank="1" errorTitle="Ungültige Auswahl" error="Bitte einen Wert aus der Liste wählen." promptTitle="Liste" prompt="Auswahl" type="list">
      <formula1>=PersNr</formula1>
    </dataValidation>
    <dataValidation sqref="R4:R400" showDropDown="0" showInputMessage="0" showErrorMessage="0" allowBlank="1" errorTitle="Ungültige Auswahl" error="Bitte einen Wert aus der Liste wählen." promptTitle="Liste" prompt="Auswahl" type="list">
      <formula1>=PersNr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C5282"/>
    <outlinePr summaryBelow="1" summaryRight="1"/>
    <pageSetUpPr/>
  </sheetPr>
  <dimension ref="A1:P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2" customWidth="1" min="12" max="12"/>
    <col width="14" customWidth="1" min="13" max="13"/>
    <col width="18" customWidth="1" min="14" max="14"/>
  </cols>
  <sheetData>
    <row r="1" ht="28" customHeight="1">
      <c r="A1" s="1" t="inlineStr">
        <is>
          <t>Projekt-Soll-Ist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P1" s="3" t="n"/>
    </row>
    <row r="2" ht="18" customHeight="1">
      <c r="A2" s="4" t="inlineStr">
        <is>
          <t>Eine Zeile je Projekt — Werte kommen aus dem Projektstamm, Nachträgen und Ist-Kosten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3" t="n"/>
      <c r="P2" s="3" t="n"/>
    </row>
    <row r="3" ht="28" customHeight="1">
      <c r="A3" s="17" t="inlineStr">
        <is>
          <t>Projekt</t>
        </is>
      </c>
      <c r="B3" s="17" t="inlineStr">
        <is>
          <t>Name</t>
        </is>
      </c>
      <c r="C3" s="17" t="inlineStr">
        <is>
          <t>Auftrag aktuell</t>
        </is>
      </c>
      <c r="D3" s="17" t="inlineStr">
        <is>
          <t>Ist Leistung</t>
        </is>
      </c>
      <c r="E3" s="17" t="inlineStr">
        <is>
          <t>Budget Kosten</t>
        </is>
      </c>
      <c r="F3" s="17" t="inlineStr">
        <is>
          <t>Ist Kosten</t>
        </is>
      </c>
      <c r="G3" s="17" t="inlineStr">
        <is>
          <t>Δ Kosten</t>
        </is>
      </c>
      <c r="H3" s="17" t="inlineStr">
        <is>
          <t>DB Soll</t>
        </is>
      </c>
      <c r="I3" s="17" t="inlineStr">
        <is>
          <t>DB Ist</t>
        </is>
      </c>
      <c r="J3" s="17" t="inlineStr">
        <is>
          <t>Marge Ist</t>
        </is>
      </c>
      <c r="K3" s="17" t="inlineStr">
        <is>
          <t>Fertigstellung</t>
        </is>
      </c>
      <c r="L3" s="17" t="inlineStr">
        <is>
          <t>Restleistung</t>
        </is>
      </c>
      <c r="M3" s="17" t="inlineStr">
        <is>
          <t>OP Debitor</t>
        </is>
      </c>
      <c r="N3" s="17" t="inlineStr">
        <is>
          <t>Ampel</t>
        </is>
      </c>
      <c r="O3" s="3" t="n"/>
      <c r="P3" s="3" t="n"/>
    </row>
    <row r="4">
      <c r="A4" s="13">
        <f>IF('05_Projekte'!A4="","",'05_Projekte'!A4)</f>
        <v/>
      </c>
      <c r="B4" s="13">
        <f>IF(A4="","",'05_Projekte'!B4)</f>
        <v/>
      </c>
      <c r="C4" s="15">
        <f>IF(A4="","",'05_Projekte'!V4)</f>
        <v/>
      </c>
      <c r="D4" s="15">
        <f>IF(A4="","",'05_Projekte'!W4)</f>
        <v/>
      </c>
      <c r="E4" s="15">
        <f>IF(A4="","",'05_Projekte'!K4+'05_Projekte'!L4+'05_Projekte'!M4+'05_Projekte'!N4+'05_Projekte'!O4)</f>
        <v/>
      </c>
      <c r="F4" s="15">
        <f>IF(A4="","",'05_Projekte'!AA4)</f>
        <v/>
      </c>
      <c r="G4" s="15">
        <f>IF(A4="","",F4-E4)</f>
        <v/>
      </c>
      <c r="H4" s="15">
        <f>IF(A4="","",C4-E4)</f>
        <v/>
      </c>
      <c r="I4" s="15">
        <f>IF(A4="","",'05_Projekte'!AB4)</f>
        <v/>
      </c>
      <c r="J4" s="19">
        <f>IF(A4="","",'05_Projekte'!AD4)</f>
        <v/>
      </c>
      <c r="K4" s="19">
        <f>IF(A4="","",'05_Projekte'!AE4)</f>
        <v/>
      </c>
      <c r="L4" s="15">
        <f>IF(A4="","",'05_Projekte'!AF4)</f>
        <v/>
      </c>
      <c r="M4" s="15">
        <f>IF(A4="","",'05_Projekte'!AG4)</f>
        <v/>
      </c>
      <c r="N4" s="13">
        <f>IF(A4="","",IF(OR(J4&lt;0.08,G4&gt;0,M4&gt;50000),"PRÜFEN","OK"))</f>
        <v/>
      </c>
      <c r="O4" s="3" t="n"/>
      <c r="P4" s="3" t="n"/>
    </row>
    <row r="5">
      <c r="A5" s="13">
        <f>IF('05_Projekte'!A5="","",'05_Projekte'!A5)</f>
        <v/>
      </c>
      <c r="B5" s="13">
        <f>IF(A5="","",'05_Projekte'!B5)</f>
        <v/>
      </c>
      <c r="C5" s="15">
        <f>IF(A5="","",'05_Projekte'!V5)</f>
        <v/>
      </c>
      <c r="D5" s="15">
        <f>IF(A5="","",'05_Projekte'!W5)</f>
        <v/>
      </c>
      <c r="E5" s="15">
        <f>IF(A5="","",'05_Projekte'!K5+'05_Projekte'!L5+'05_Projekte'!M5+'05_Projekte'!N5+'05_Projekte'!O5)</f>
        <v/>
      </c>
      <c r="F5" s="15">
        <f>IF(A5="","",'05_Projekte'!AA5)</f>
        <v/>
      </c>
      <c r="G5" s="15">
        <f>IF(A5="","",F5-E5)</f>
        <v/>
      </c>
      <c r="H5" s="15">
        <f>IF(A5="","",C5-E5)</f>
        <v/>
      </c>
      <c r="I5" s="15">
        <f>IF(A5="","",'05_Projekte'!AB5)</f>
        <v/>
      </c>
      <c r="J5" s="19">
        <f>IF(A5="","",'05_Projekte'!AD5)</f>
        <v/>
      </c>
      <c r="K5" s="19">
        <f>IF(A5="","",'05_Projekte'!AE5)</f>
        <v/>
      </c>
      <c r="L5" s="15">
        <f>IF(A5="","",'05_Projekte'!AF5)</f>
        <v/>
      </c>
      <c r="M5" s="15">
        <f>IF(A5="","",'05_Projekte'!AG5)</f>
        <v/>
      </c>
      <c r="N5" s="13">
        <f>IF(A5="","",IF(OR(J5&lt;0.08,G5&gt;0,M5&gt;50000),"PRÜFEN","OK"))</f>
        <v/>
      </c>
      <c r="O5" s="3" t="n"/>
      <c r="P5" s="3" t="n"/>
    </row>
    <row r="6">
      <c r="A6" s="13">
        <f>IF('05_Projekte'!A6="","",'05_Projekte'!A6)</f>
        <v/>
      </c>
      <c r="B6" s="13">
        <f>IF(A6="","",'05_Projekte'!B6)</f>
        <v/>
      </c>
      <c r="C6" s="15">
        <f>IF(A6="","",'05_Projekte'!V6)</f>
        <v/>
      </c>
      <c r="D6" s="15">
        <f>IF(A6="","",'05_Projekte'!W6)</f>
        <v/>
      </c>
      <c r="E6" s="15">
        <f>IF(A6="","",'05_Projekte'!K6+'05_Projekte'!L6+'05_Projekte'!M6+'05_Projekte'!N6+'05_Projekte'!O6)</f>
        <v/>
      </c>
      <c r="F6" s="15">
        <f>IF(A6="","",'05_Projekte'!AA6)</f>
        <v/>
      </c>
      <c r="G6" s="15">
        <f>IF(A6="","",F6-E6)</f>
        <v/>
      </c>
      <c r="H6" s="15">
        <f>IF(A6="","",C6-E6)</f>
        <v/>
      </c>
      <c r="I6" s="15">
        <f>IF(A6="","",'05_Projekte'!AB6)</f>
        <v/>
      </c>
      <c r="J6" s="19">
        <f>IF(A6="","",'05_Projekte'!AD6)</f>
        <v/>
      </c>
      <c r="K6" s="19">
        <f>IF(A6="","",'05_Projekte'!AE6)</f>
        <v/>
      </c>
      <c r="L6" s="15">
        <f>IF(A6="","",'05_Projekte'!AF6)</f>
        <v/>
      </c>
      <c r="M6" s="15">
        <f>IF(A6="","",'05_Projekte'!AG6)</f>
        <v/>
      </c>
      <c r="N6" s="13">
        <f>IF(A6="","",IF(OR(J6&lt;0.08,G6&gt;0,M6&gt;50000),"PRÜFEN","OK"))</f>
        <v/>
      </c>
      <c r="O6" s="3" t="n"/>
      <c r="P6" s="3" t="n"/>
    </row>
    <row r="7">
      <c r="A7" s="13">
        <f>IF('05_Projekte'!A7="","",'05_Projekte'!A7)</f>
        <v/>
      </c>
      <c r="B7" s="13">
        <f>IF(A7="","",'05_Projekte'!B7)</f>
        <v/>
      </c>
      <c r="C7" s="15">
        <f>IF(A7="","",'05_Projekte'!V7)</f>
        <v/>
      </c>
      <c r="D7" s="15">
        <f>IF(A7="","",'05_Projekte'!W7)</f>
        <v/>
      </c>
      <c r="E7" s="15">
        <f>IF(A7="","",'05_Projekte'!K7+'05_Projekte'!L7+'05_Projekte'!M7+'05_Projekte'!N7+'05_Projekte'!O7)</f>
        <v/>
      </c>
      <c r="F7" s="15">
        <f>IF(A7="","",'05_Projekte'!AA7)</f>
        <v/>
      </c>
      <c r="G7" s="15">
        <f>IF(A7="","",F7-E7)</f>
        <v/>
      </c>
      <c r="H7" s="15">
        <f>IF(A7="","",C7-E7)</f>
        <v/>
      </c>
      <c r="I7" s="15">
        <f>IF(A7="","",'05_Projekte'!AB7)</f>
        <v/>
      </c>
      <c r="J7" s="19">
        <f>IF(A7="","",'05_Projekte'!AD7)</f>
        <v/>
      </c>
      <c r="K7" s="19">
        <f>IF(A7="","",'05_Projekte'!AE7)</f>
        <v/>
      </c>
      <c r="L7" s="15">
        <f>IF(A7="","",'05_Projekte'!AF7)</f>
        <v/>
      </c>
      <c r="M7" s="15">
        <f>IF(A7="","",'05_Projekte'!AG7)</f>
        <v/>
      </c>
      <c r="N7" s="13">
        <f>IF(A7="","",IF(OR(J7&lt;0.08,G7&gt;0,M7&gt;50000),"PRÜFEN","OK"))</f>
        <v/>
      </c>
    </row>
    <row r="8">
      <c r="A8" s="13">
        <f>IF('05_Projekte'!A8="","",'05_Projekte'!A8)</f>
        <v/>
      </c>
      <c r="B8" s="13">
        <f>IF(A8="","",'05_Projekte'!B8)</f>
        <v/>
      </c>
      <c r="C8" s="15">
        <f>IF(A8="","",'05_Projekte'!V8)</f>
        <v/>
      </c>
      <c r="D8" s="15">
        <f>IF(A8="","",'05_Projekte'!W8)</f>
        <v/>
      </c>
      <c r="E8" s="15">
        <f>IF(A8="","",'05_Projekte'!K8+'05_Projekte'!L8+'05_Projekte'!M8+'05_Projekte'!N8+'05_Projekte'!O8)</f>
        <v/>
      </c>
      <c r="F8" s="15">
        <f>IF(A8="","",'05_Projekte'!AA8)</f>
        <v/>
      </c>
      <c r="G8" s="15">
        <f>IF(A8="","",F8-E8)</f>
        <v/>
      </c>
      <c r="H8" s="15">
        <f>IF(A8="","",C8-E8)</f>
        <v/>
      </c>
      <c r="I8" s="15">
        <f>IF(A8="","",'05_Projekte'!AB8)</f>
        <v/>
      </c>
      <c r="J8" s="19">
        <f>IF(A8="","",'05_Projekte'!AD8)</f>
        <v/>
      </c>
      <c r="K8" s="19">
        <f>IF(A8="","",'05_Projekte'!AE8)</f>
        <v/>
      </c>
      <c r="L8" s="15">
        <f>IF(A8="","",'05_Projekte'!AF8)</f>
        <v/>
      </c>
      <c r="M8" s="15">
        <f>IF(A8="","",'05_Projekte'!AG8)</f>
        <v/>
      </c>
      <c r="N8" s="13">
        <f>IF(A8="","",IF(OR(J8&lt;0.08,G8&gt;0,M8&gt;50000),"PRÜFEN","OK"))</f>
        <v/>
      </c>
    </row>
    <row r="9">
      <c r="A9" s="13">
        <f>IF('05_Projekte'!A9="","",'05_Projekte'!A9)</f>
        <v/>
      </c>
      <c r="B9" s="13">
        <f>IF(A9="","",'05_Projekte'!B9)</f>
        <v/>
      </c>
      <c r="C9" s="15">
        <f>IF(A9="","",'05_Projekte'!V9)</f>
        <v/>
      </c>
      <c r="D9" s="15">
        <f>IF(A9="","",'05_Projekte'!W9)</f>
        <v/>
      </c>
      <c r="E9" s="15">
        <f>IF(A9="","",'05_Projekte'!K9+'05_Projekte'!L9+'05_Projekte'!M9+'05_Projekte'!N9+'05_Projekte'!O9)</f>
        <v/>
      </c>
      <c r="F9" s="15">
        <f>IF(A9="","",'05_Projekte'!AA9)</f>
        <v/>
      </c>
      <c r="G9" s="15">
        <f>IF(A9="","",F9-E9)</f>
        <v/>
      </c>
      <c r="H9" s="15">
        <f>IF(A9="","",C9-E9)</f>
        <v/>
      </c>
      <c r="I9" s="15">
        <f>IF(A9="","",'05_Projekte'!AB9)</f>
        <v/>
      </c>
      <c r="J9" s="19">
        <f>IF(A9="","",'05_Projekte'!AD9)</f>
        <v/>
      </c>
      <c r="K9" s="19">
        <f>IF(A9="","",'05_Projekte'!AE9)</f>
        <v/>
      </c>
      <c r="L9" s="15">
        <f>IF(A9="","",'05_Projekte'!AF9)</f>
        <v/>
      </c>
      <c r="M9" s="15">
        <f>IF(A9="","",'05_Projekte'!AG9)</f>
        <v/>
      </c>
      <c r="N9" s="13">
        <f>IF(A9="","",IF(OR(J9&lt;0.08,G9&gt;0,M9&gt;50000),"PRÜFEN","OK"))</f>
        <v/>
      </c>
    </row>
    <row r="10">
      <c r="A10" s="13">
        <f>IF('05_Projekte'!A10="","",'05_Projekte'!A10)</f>
        <v/>
      </c>
      <c r="B10" s="13">
        <f>IF(A10="","",'05_Projekte'!B10)</f>
        <v/>
      </c>
      <c r="C10" s="15">
        <f>IF(A10="","",'05_Projekte'!V10)</f>
        <v/>
      </c>
      <c r="D10" s="15">
        <f>IF(A10="","",'05_Projekte'!W10)</f>
        <v/>
      </c>
      <c r="E10" s="15">
        <f>IF(A10="","",'05_Projekte'!K10+'05_Projekte'!L10+'05_Projekte'!M10+'05_Projekte'!N10+'05_Projekte'!O10)</f>
        <v/>
      </c>
      <c r="F10" s="15">
        <f>IF(A10="","",'05_Projekte'!AA10)</f>
        <v/>
      </c>
      <c r="G10" s="15">
        <f>IF(A10="","",F10-E10)</f>
        <v/>
      </c>
      <c r="H10" s="15">
        <f>IF(A10="","",C10-E10)</f>
        <v/>
      </c>
      <c r="I10" s="15">
        <f>IF(A10="","",'05_Projekte'!AB10)</f>
        <v/>
      </c>
      <c r="J10" s="19">
        <f>IF(A10="","",'05_Projekte'!AD10)</f>
        <v/>
      </c>
      <c r="K10" s="19">
        <f>IF(A10="","",'05_Projekte'!AE10)</f>
        <v/>
      </c>
      <c r="L10" s="15">
        <f>IF(A10="","",'05_Projekte'!AF10)</f>
        <v/>
      </c>
      <c r="M10" s="15">
        <f>IF(A10="","",'05_Projekte'!AG10)</f>
        <v/>
      </c>
      <c r="N10" s="13">
        <f>IF(A10="","",IF(OR(J10&lt;0.08,G10&gt;0,M10&gt;50000),"PRÜFEN","OK"))</f>
        <v/>
      </c>
    </row>
    <row r="11">
      <c r="A11" s="13">
        <f>IF('05_Projekte'!A11="","",'05_Projekte'!A11)</f>
        <v/>
      </c>
      <c r="B11" s="13">
        <f>IF(A11="","",'05_Projekte'!B11)</f>
        <v/>
      </c>
      <c r="C11" s="15">
        <f>IF(A11="","",'05_Projekte'!V11)</f>
        <v/>
      </c>
      <c r="D11" s="15">
        <f>IF(A11="","",'05_Projekte'!W11)</f>
        <v/>
      </c>
      <c r="E11" s="15">
        <f>IF(A11="","",'05_Projekte'!K11+'05_Projekte'!L11+'05_Projekte'!M11+'05_Projekte'!N11+'05_Projekte'!O11)</f>
        <v/>
      </c>
      <c r="F11" s="15">
        <f>IF(A11="","",'05_Projekte'!AA11)</f>
        <v/>
      </c>
      <c r="G11" s="15">
        <f>IF(A11="","",F11-E11)</f>
        <v/>
      </c>
      <c r="H11" s="15">
        <f>IF(A11="","",C11-E11)</f>
        <v/>
      </c>
      <c r="I11" s="15">
        <f>IF(A11="","",'05_Projekte'!AB11)</f>
        <v/>
      </c>
      <c r="J11" s="19">
        <f>IF(A11="","",'05_Projekte'!AD11)</f>
        <v/>
      </c>
      <c r="K11" s="19">
        <f>IF(A11="","",'05_Projekte'!AE11)</f>
        <v/>
      </c>
      <c r="L11" s="15">
        <f>IF(A11="","",'05_Projekte'!AF11)</f>
        <v/>
      </c>
      <c r="M11" s="15">
        <f>IF(A11="","",'05_Projekte'!AG11)</f>
        <v/>
      </c>
      <c r="N11" s="13">
        <f>IF(A11="","",IF(OR(J11&lt;0.08,G11&gt;0,M11&gt;50000),"PRÜFEN","OK"))</f>
        <v/>
      </c>
    </row>
    <row r="12">
      <c r="A12" s="13">
        <f>IF('05_Projekte'!A12="","",'05_Projekte'!A12)</f>
        <v/>
      </c>
      <c r="B12" s="13">
        <f>IF(A12="","",'05_Projekte'!B12)</f>
        <v/>
      </c>
      <c r="C12" s="15">
        <f>IF(A12="","",'05_Projekte'!V12)</f>
        <v/>
      </c>
      <c r="D12" s="15">
        <f>IF(A12="","",'05_Projekte'!W12)</f>
        <v/>
      </c>
      <c r="E12" s="15">
        <f>IF(A12="","",'05_Projekte'!K12+'05_Projekte'!L12+'05_Projekte'!M12+'05_Projekte'!N12+'05_Projekte'!O12)</f>
        <v/>
      </c>
      <c r="F12" s="15">
        <f>IF(A12="","",'05_Projekte'!AA12)</f>
        <v/>
      </c>
      <c r="G12" s="15">
        <f>IF(A12="","",F12-E12)</f>
        <v/>
      </c>
      <c r="H12" s="15">
        <f>IF(A12="","",C12-E12)</f>
        <v/>
      </c>
      <c r="I12" s="15">
        <f>IF(A12="","",'05_Projekte'!AB12)</f>
        <v/>
      </c>
      <c r="J12" s="19">
        <f>IF(A12="","",'05_Projekte'!AD12)</f>
        <v/>
      </c>
      <c r="K12" s="19">
        <f>IF(A12="","",'05_Projekte'!AE12)</f>
        <v/>
      </c>
      <c r="L12" s="15">
        <f>IF(A12="","",'05_Projekte'!AF12)</f>
        <v/>
      </c>
      <c r="M12" s="15">
        <f>IF(A12="","",'05_Projekte'!AG12)</f>
        <v/>
      </c>
      <c r="N12" s="13">
        <f>IF(A12="","",IF(OR(J12&lt;0.08,G12&gt;0,M12&gt;50000),"PRÜFEN","OK"))</f>
        <v/>
      </c>
    </row>
    <row r="13">
      <c r="A13" s="13">
        <f>IF('05_Projekte'!A13="","",'05_Projekte'!A13)</f>
        <v/>
      </c>
      <c r="B13" s="13">
        <f>IF(A13="","",'05_Projekte'!B13)</f>
        <v/>
      </c>
      <c r="C13" s="15">
        <f>IF(A13="","",'05_Projekte'!V13)</f>
        <v/>
      </c>
      <c r="D13" s="15">
        <f>IF(A13="","",'05_Projekte'!W13)</f>
        <v/>
      </c>
      <c r="E13" s="15">
        <f>IF(A13="","",'05_Projekte'!K13+'05_Projekte'!L13+'05_Projekte'!M13+'05_Projekte'!N13+'05_Projekte'!O13)</f>
        <v/>
      </c>
      <c r="F13" s="15">
        <f>IF(A13="","",'05_Projekte'!AA13)</f>
        <v/>
      </c>
      <c r="G13" s="15">
        <f>IF(A13="","",F13-E13)</f>
        <v/>
      </c>
      <c r="H13" s="15">
        <f>IF(A13="","",C13-E13)</f>
        <v/>
      </c>
      <c r="I13" s="15">
        <f>IF(A13="","",'05_Projekte'!AB13)</f>
        <v/>
      </c>
      <c r="J13" s="19">
        <f>IF(A13="","",'05_Projekte'!AD13)</f>
        <v/>
      </c>
      <c r="K13" s="19">
        <f>IF(A13="","",'05_Projekte'!AE13)</f>
        <v/>
      </c>
      <c r="L13" s="15">
        <f>IF(A13="","",'05_Projekte'!AF13)</f>
        <v/>
      </c>
      <c r="M13" s="15">
        <f>IF(A13="","",'05_Projekte'!AG13)</f>
        <v/>
      </c>
      <c r="N13" s="13">
        <f>IF(A13="","",IF(OR(J13&lt;0.08,G13&gt;0,M13&gt;50000),"PRÜFEN","OK"))</f>
        <v/>
      </c>
    </row>
    <row r="14">
      <c r="A14" s="13">
        <f>IF('05_Projekte'!A14="","",'05_Projekte'!A14)</f>
        <v/>
      </c>
      <c r="B14" s="13">
        <f>IF(A14="","",'05_Projekte'!B14)</f>
        <v/>
      </c>
      <c r="C14" s="15">
        <f>IF(A14="","",'05_Projekte'!V14)</f>
        <v/>
      </c>
      <c r="D14" s="15">
        <f>IF(A14="","",'05_Projekte'!W14)</f>
        <v/>
      </c>
      <c r="E14" s="15">
        <f>IF(A14="","",'05_Projekte'!K14+'05_Projekte'!L14+'05_Projekte'!M14+'05_Projekte'!N14+'05_Projekte'!O14)</f>
        <v/>
      </c>
      <c r="F14" s="15">
        <f>IF(A14="","",'05_Projekte'!AA14)</f>
        <v/>
      </c>
      <c r="G14" s="15">
        <f>IF(A14="","",F14-E14)</f>
        <v/>
      </c>
      <c r="H14" s="15">
        <f>IF(A14="","",C14-E14)</f>
        <v/>
      </c>
      <c r="I14" s="15">
        <f>IF(A14="","",'05_Projekte'!AB14)</f>
        <v/>
      </c>
      <c r="J14" s="19">
        <f>IF(A14="","",'05_Projekte'!AD14)</f>
        <v/>
      </c>
      <c r="K14" s="19">
        <f>IF(A14="","",'05_Projekte'!AE14)</f>
        <v/>
      </c>
      <c r="L14" s="15">
        <f>IF(A14="","",'05_Projekte'!AF14)</f>
        <v/>
      </c>
      <c r="M14" s="15">
        <f>IF(A14="","",'05_Projekte'!AG14)</f>
        <v/>
      </c>
      <c r="N14" s="13">
        <f>IF(A14="","",IF(OR(J14&lt;0.08,G14&gt;0,M14&gt;50000),"PRÜFEN","OK"))</f>
        <v/>
      </c>
    </row>
    <row r="15">
      <c r="A15" s="13">
        <f>IF('05_Projekte'!A15="","",'05_Projekte'!A15)</f>
        <v/>
      </c>
      <c r="B15" s="13">
        <f>IF(A15="","",'05_Projekte'!B15)</f>
        <v/>
      </c>
      <c r="C15" s="15">
        <f>IF(A15="","",'05_Projekte'!V15)</f>
        <v/>
      </c>
      <c r="D15" s="15">
        <f>IF(A15="","",'05_Projekte'!W15)</f>
        <v/>
      </c>
      <c r="E15" s="15">
        <f>IF(A15="","",'05_Projekte'!K15+'05_Projekte'!L15+'05_Projekte'!M15+'05_Projekte'!N15+'05_Projekte'!O15)</f>
        <v/>
      </c>
      <c r="F15" s="15">
        <f>IF(A15="","",'05_Projekte'!AA15)</f>
        <v/>
      </c>
      <c r="G15" s="15">
        <f>IF(A15="","",F15-E15)</f>
        <v/>
      </c>
      <c r="H15" s="15">
        <f>IF(A15="","",C15-E15)</f>
        <v/>
      </c>
      <c r="I15" s="15">
        <f>IF(A15="","",'05_Projekte'!AB15)</f>
        <v/>
      </c>
      <c r="J15" s="19">
        <f>IF(A15="","",'05_Projekte'!AD15)</f>
        <v/>
      </c>
      <c r="K15" s="19">
        <f>IF(A15="","",'05_Projekte'!AE15)</f>
        <v/>
      </c>
      <c r="L15" s="15">
        <f>IF(A15="","",'05_Projekte'!AF15)</f>
        <v/>
      </c>
      <c r="M15" s="15">
        <f>IF(A15="","",'05_Projekte'!AG15)</f>
        <v/>
      </c>
      <c r="N15" s="13">
        <f>IF(A15="","",IF(OR(J15&lt;0.08,G15&gt;0,M15&gt;50000),"PRÜFEN","OK"))</f>
        <v/>
      </c>
    </row>
    <row r="16">
      <c r="A16" s="13">
        <f>IF('05_Projekte'!A16="","",'05_Projekte'!A16)</f>
        <v/>
      </c>
      <c r="B16" s="13">
        <f>IF(A16="","",'05_Projekte'!B16)</f>
        <v/>
      </c>
      <c r="C16" s="15">
        <f>IF(A16="","",'05_Projekte'!V16)</f>
        <v/>
      </c>
      <c r="D16" s="15">
        <f>IF(A16="","",'05_Projekte'!W16)</f>
        <v/>
      </c>
      <c r="E16" s="15">
        <f>IF(A16="","",'05_Projekte'!K16+'05_Projekte'!L16+'05_Projekte'!M16+'05_Projekte'!N16+'05_Projekte'!O16)</f>
        <v/>
      </c>
      <c r="F16" s="15">
        <f>IF(A16="","",'05_Projekte'!AA16)</f>
        <v/>
      </c>
      <c r="G16" s="15">
        <f>IF(A16="","",F16-E16)</f>
        <v/>
      </c>
      <c r="H16" s="15">
        <f>IF(A16="","",C16-E16)</f>
        <v/>
      </c>
      <c r="I16" s="15">
        <f>IF(A16="","",'05_Projekte'!AB16)</f>
        <v/>
      </c>
      <c r="J16" s="19">
        <f>IF(A16="","",'05_Projekte'!AD16)</f>
        <v/>
      </c>
      <c r="K16" s="19">
        <f>IF(A16="","",'05_Projekte'!AE16)</f>
        <v/>
      </c>
      <c r="L16" s="15">
        <f>IF(A16="","",'05_Projekte'!AF16)</f>
        <v/>
      </c>
      <c r="M16" s="15">
        <f>IF(A16="","",'05_Projekte'!AG16)</f>
        <v/>
      </c>
      <c r="N16" s="13">
        <f>IF(A16="","",IF(OR(J16&lt;0.08,G16&gt;0,M16&gt;50000),"PRÜFEN","OK"))</f>
        <v/>
      </c>
    </row>
    <row r="17">
      <c r="A17" s="13">
        <f>IF('05_Projekte'!A17="","",'05_Projekte'!A17)</f>
        <v/>
      </c>
      <c r="B17" s="13">
        <f>IF(A17="","",'05_Projekte'!B17)</f>
        <v/>
      </c>
      <c r="C17" s="15">
        <f>IF(A17="","",'05_Projekte'!V17)</f>
        <v/>
      </c>
      <c r="D17" s="15">
        <f>IF(A17="","",'05_Projekte'!W17)</f>
        <v/>
      </c>
      <c r="E17" s="15">
        <f>IF(A17="","",'05_Projekte'!K17+'05_Projekte'!L17+'05_Projekte'!M17+'05_Projekte'!N17+'05_Projekte'!O17)</f>
        <v/>
      </c>
      <c r="F17" s="15">
        <f>IF(A17="","",'05_Projekte'!AA17)</f>
        <v/>
      </c>
      <c r="G17" s="15">
        <f>IF(A17="","",F17-E17)</f>
        <v/>
      </c>
      <c r="H17" s="15">
        <f>IF(A17="","",C17-E17)</f>
        <v/>
      </c>
      <c r="I17" s="15">
        <f>IF(A17="","",'05_Projekte'!AB17)</f>
        <v/>
      </c>
      <c r="J17" s="19">
        <f>IF(A17="","",'05_Projekte'!AD17)</f>
        <v/>
      </c>
      <c r="K17" s="19">
        <f>IF(A17="","",'05_Projekte'!AE17)</f>
        <v/>
      </c>
      <c r="L17" s="15">
        <f>IF(A17="","",'05_Projekte'!AF17)</f>
        <v/>
      </c>
      <c r="M17" s="15">
        <f>IF(A17="","",'05_Projekte'!AG17)</f>
        <v/>
      </c>
      <c r="N17" s="13">
        <f>IF(A17="","",IF(OR(J17&lt;0.08,G17&gt;0,M17&gt;50000),"PRÜFEN","OK"))</f>
        <v/>
      </c>
    </row>
    <row r="18">
      <c r="A18" s="13">
        <f>IF('05_Projekte'!A18="","",'05_Projekte'!A18)</f>
        <v/>
      </c>
      <c r="B18" s="13">
        <f>IF(A18="","",'05_Projekte'!B18)</f>
        <v/>
      </c>
      <c r="C18" s="15">
        <f>IF(A18="","",'05_Projekte'!V18)</f>
        <v/>
      </c>
      <c r="D18" s="15">
        <f>IF(A18="","",'05_Projekte'!W18)</f>
        <v/>
      </c>
      <c r="E18" s="15">
        <f>IF(A18="","",'05_Projekte'!K18+'05_Projekte'!L18+'05_Projekte'!M18+'05_Projekte'!N18+'05_Projekte'!O18)</f>
        <v/>
      </c>
      <c r="F18" s="15">
        <f>IF(A18="","",'05_Projekte'!AA18)</f>
        <v/>
      </c>
      <c r="G18" s="15">
        <f>IF(A18="","",F18-E18)</f>
        <v/>
      </c>
      <c r="H18" s="15">
        <f>IF(A18="","",C18-E18)</f>
        <v/>
      </c>
      <c r="I18" s="15">
        <f>IF(A18="","",'05_Projekte'!AB18)</f>
        <v/>
      </c>
      <c r="J18" s="19">
        <f>IF(A18="","",'05_Projekte'!AD18)</f>
        <v/>
      </c>
      <c r="K18" s="19">
        <f>IF(A18="","",'05_Projekte'!AE18)</f>
        <v/>
      </c>
      <c r="L18" s="15">
        <f>IF(A18="","",'05_Projekte'!AF18)</f>
        <v/>
      </c>
      <c r="M18" s="15">
        <f>IF(A18="","",'05_Projekte'!AG18)</f>
        <v/>
      </c>
      <c r="N18" s="13">
        <f>IF(A18="","",IF(OR(J18&lt;0.08,G18&gt;0,M18&gt;50000),"PRÜFEN","OK"))</f>
        <v/>
      </c>
    </row>
    <row r="19">
      <c r="A19" s="13">
        <f>IF('05_Projekte'!A19="","",'05_Projekte'!A19)</f>
        <v/>
      </c>
      <c r="B19" s="13">
        <f>IF(A19="","",'05_Projekte'!B19)</f>
        <v/>
      </c>
      <c r="C19" s="15">
        <f>IF(A19="","",'05_Projekte'!V19)</f>
        <v/>
      </c>
      <c r="D19" s="15">
        <f>IF(A19="","",'05_Projekte'!W19)</f>
        <v/>
      </c>
      <c r="E19" s="15">
        <f>IF(A19="","",'05_Projekte'!K19+'05_Projekte'!L19+'05_Projekte'!M19+'05_Projekte'!N19+'05_Projekte'!O19)</f>
        <v/>
      </c>
      <c r="F19" s="15">
        <f>IF(A19="","",'05_Projekte'!AA19)</f>
        <v/>
      </c>
      <c r="G19" s="15">
        <f>IF(A19="","",F19-E19)</f>
        <v/>
      </c>
      <c r="H19" s="15">
        <f>IF(A19="","",C19-E19)</f>
        <v/>
      </c>
      <c r="I19" s="15">
        <f>IF(A19="","",'05_Projekte'!AB19)</f>
        <v/>
      </c>
      <c r="J19" s="19">
        <f>IF(A19="","",'05_Projekte'!AD19)</f>
        <v/>
      </c>
      <c r="K19" s="19">
        <f>IF(A19="","",'05_Projekte'!AE19)</f>
        <v/>
      </c>
      <c r="L19" s="15">
        <f>IF(A19="","",'05_Projekte'!AF19)</f>
        <v/>
      </c>
      <c r="M19" s="15">
        <f>IF(A19="","",'05_Projekte'!AG19)</f>
        <v/>
      </c>
      <c r="N19" s="13">
        <f>IF(A19="","",IF(OR(J19&lt;0.08,G19&gt;0,M19&gt;50000),"PRÜFEN","OK"))</f>
        <v/>
      </c>
    </row>
    <row r="20">
      <c r="A20" s="13">
        <f>IF('05_Projekte'!A20="","",'05_Projekte'!A20)</f>
        <v/>
      </c>
      <c r="B20" s="13">
        <f>IF(A20="","",'05_Projekte'!B20)</f>
        <v/>
      </c>
      <c r="C20" s="15">
        <f>IF(A20="","",'05_Projekte'!V20)</f>
        <v/>
      </c>
      <c r="D20" s="15">
        <f>IF(A20="","",'05_Projekte'!W20)</f>
        <v/>
      </c>
      <c r="E20" s="15">
        <f>IF(A20="","",'05_Projekte'!K20+'05_Projekte'!L20+'05_Projekte'!M20+'05_Projekte'!N20+'05_Projekte'!O20)</f>
        <v/>
      </c>
      <c r="F20" s="15">
        <f>IF(A20="","",'05_Projekte'!AA20)</f>
        <v/>
      </c>
      <c r="G20" s="15">
        <f>IF(A20="","",F20-E20)</f>
        <v/>
      </c>
      <c r="H20" s="15">
        <f>IF(A20="","",C20-E20)</f>
        <v/>
      </c>
      <c r="I20" s="15">
        <f>IF(A20="","",'05_Projekte'!AB20)</f>
        <v/>
      </c>
      <c r="J20" s="19">
        <f>IF(A20="","",'05_Projekte'!AD20)</f>
        <v/>
      </c>
      <c r="K20" s="19">
        <f>IF(A20="","",'05_Projekte'!AE20)</f>
        <v/>
      </c>
      <c r="L20" s="15">
        <f>IF(A20="","",'05_Projekte'!AF20)</f>
        <v/>
      </c>
      <c r="M20" s="15">
        <f>IF(A20="","",'05_Projekte'!AG20)</f>
        <v/>
      </c>
      <c r="N20" s="13">
        <f>IF(A20="","",IF(OR(J20&lt;0.08,G20&gt;0,M20&gt;50000),"PRÜFEN","OK"))</f>
        <v/>
      </c>
    </row>
    <row r="21">
      <c r="A21" s="13">
        <f>IF('05_Projekte'!A21="","",'05_Projekte'!A21)</f>
        <v/>
      </c>
      <c r="B21" s="13">
        <f>IF(A21="","",'05_Projekte'!B21)</f>
        <v/>
      </c>
      <c r="C21" s="15">
        <f>IF(A21="","",'05_Projekte'!V21)</f>
        <v/>
      </c>
      <c r="D21" s="15">
        <f>IF(A21="","",'05_Projekte'!W21)</f>
        <v/>
      </c>
      <c r="E21" s="15">
        <f>IF(A21="","",'05_Projekte'!K21+'05_Projekte'!L21+'05_Projekte'!M21+'05_Projekte'!N21+'05_Projekte'!O21)</f>
        <v/>
      </c>
      <c r="F21" s="15">
        <f>IF(A21="","",'05_Projekte'!AA21)</f>
        <v/>
      </c>
      <c r="G21" s="15">
        <f>IF(A21="","",F21-E21)</f>
        <v/>
      </c>
      <c r="H21" s="15">
        <f>IF(A21="","",C21-E21)</f>
        <v/>
      </c>
      <c r="I21" s="15">
        <f>IF(A21="","",'05_Projekte'!AB21)</f>
        <v/>
      </c>
      <c r="J21" s="19">
        <f>IF(A21="","",'05_Projekte'!AD21)</f>
        <v/>
      </c>
      <c r="K21" s="19">
        <f>IF(A21="","",'05_Projekte'!AE21)</f>
        <v/>
      </c>
      <c r="L21" s="15">
        <f>IF(A21="","",'05_Projekte'!AF21)</f>
        <v/>
      </c>
      <c r="M21" s="15">
        <f>IF(A21="","",'05_Projekte'!AG21)</f>
        <v/>
      </c>
      <c r="N21" s="13">
        <f>IF(A21="","",IF(OR(J21&lt;0.08,G21&gt;0,M21&gt;50000),"PRÜFEN","OK"))</f>
        <v/>
      </c>
    </row>
    <row r="22">
      <c r="A22" s="13">
        <f>IF('05_Projekte'!A22="","",'05_Projekte'!A22)</f>
        <v/>
      </c>
      <c r="B22" s="13">
        <f>IF(A22="","",'05_Projekte'!B22)</f>
        <v/>
      </c>
      <c r="C22" s="15">
        <f>IF(A22="","",'05_Projekte'!V22)</f>
        <v/>
      </c>
      <c r="D22" s="15">
        <f>IF(A22="","",'05_Projekte'!W22)</f>
        <v/>
      </c>
      <c r="E22" s="15">
        <f>IF(A22="","",'05_Projekte'!K22+'05_Projekte'!L22+'05_Projekte'!M22+'05_Projekte'!N22+'05_Projekte'!O22)</f>
        <v/>
      </c>
      <c r="F22" s="15">
        <f>IF(A22="","",'05_Projekte'!AA22)</f>
        <v/>
      </c>
      <c r="G22" s="15">
        <f>IF(A22="","",F22-E22)</f>
        <v/>
      </c>
      <c r="H22" s="15">
        <f>IF(A22="","",C22-E22)</f>
        <v/>
      </c>
      <c r="I22" s="15">
        <f>IF(A22="","",'05_Projekte'!AB22)</f>
        <v/>
      </c>
      <c r="J22" s="19">
        <f>IF(A22="","",'05_Projekte'!AD22)</f>
        <v/>
      </c>
      <c r="K22" s="19">
        <f>IF(A22="","",'05_Projekte'!AE22)</f>
        <v/>
      </c>
      <c r="L22" s="15">
        <f>IF(A22="","",'05_Projekte'!AF22)</f>
        <v/>
      </c>
      <c r="M22" s="15">
        <f>IF(A22="","",'05_Projekte'!AG22)</f>
        <v/>
      </c>
      <c r="N22" s="13">
        <f>IF(A22="","",IF(OR(J22&lt;0.08,G22&gt;0,M22&gt;50000),"PRÜFEN","OK"))</f>
        <v/>
      </c>
    </row>
    <row r="23">
      <c r="A23" s="13">
        <f>IF('05_Projekte'!A23="","",'05_Projekte'!A23)</f>
        <v/>
      </c>
      <c r="B23" s="13">
        <f>IF(A23="","",'05_Projekte'!B23)</f>
        <v/>
      </c>
      <c r="C23" s="15">
        <f>IF(A23="","",'05_Projekte'!V23)</f>
        <v/>
      </c>
      <c r="D23" s="15">
        <f>IF(A23="","",'05_Projekte'!W23)</f>
        <v/>
      </c>
      <c r="E23" s="15">
        <f>IF(A23="","",'05_Projekte'!K23+'05_Projekte'!L23+'05_Projekte'!M23+'05_Projekte'!N23+'05_Projekte'!O23)</f>
        <v/>
      </c>
      <c r="F23" s="15">
        <f>IF(A23="","",'05_Projekte'!AA23)</f>
        <v/>
      </c>
      <c r="G23" s="15">
        <f>IF(A23="","",F23-E23)</f>
        <v/>
      </c>
      <c r="H23" s="15">
        <f>IF(A23="","",C23-E23)</f>
        <v/>
      </c>
      <c r="I23" s="15">
        <f>IF(A23="","",'05_Projekte'!AB23)</f>
        <v/>
      </c>
      <c r="J23" s="19">
        <f>IF(A23="","",'05_Projekte'!AD23)</f>
        <v/>
      </c>
      <c r="K23" s="19">
        <f>IF(A23="","",'05_Projekte'!AE23)</f>
        <v/>
      </c>
      <c r="L23" s="15">
        <f>IF(A23="","",'05_Projekte'!AF23)</f>
        <v/>
      </c>
      <c r="M23" s="15">
        <f>IF(A23="","",'05_Projekte'!AG23)</f>
        <v/>
      </c>
      <c r="N23" s="13">
        <f>IF(A23="","",IF(OR(J23&lt;0.08,G23&gt;0,M23&gt;50000),"PRÜFEN","OK"))</f>
        <v/>
      </c>
    </row>
    <row r="24">
      <c r="A24" s="13">
        <f>IF('05_Projekte'!A24="","",'05_Projekte'!A24)</f>
        <v/>
      </c>
      <c r="B24" s="13">
        <f>IF(A24="","",'05_Projekte'!B24)</f>
        <v/>
      </c>
      <c r="C24" s="15">
        <f>IF(A24="","",'05_Projekte'!V24)</f>
        <v/>
      </c>
      <c r="D24" s="15">
        <f>IF(A24="","",'05_Projekte'!W24)</f>
        <v/>
      </c>
      <c r="E24" s="15">
        <f>IF(A24="","",'05_Projekte'!K24+'05_Projekte'!L24+'05_Projekte'!M24+'05_Projekte'!N24+'05_Projekte'!O24)</f>
        <v/>
      </c>
      <c r="F24" s="15">
        <f>IF(A24="","",'05_Projekte'!AA24)</f>
        <v/>
      </c>
      <c r="G24" s="15">
        <f>IF(A24="","",F24-E24)</f>
        <v/>
      </c>
      <c r="H24" s="15">
        <f>IF(A24="","",C24-E24)</f>
        <v/>
      </c>
      <c r="I24" s="15">
        <f>IF(A24="","",'05_Projekte'!AB24)</f>
        <v/>
      </c>
      <c r="J24" s="19">
        <f>IF(A24="","",'05_Projekte'!AD24)</f>
        <v/>
      </c>
      <c r="K24" s="19">
        <f>IF(A24="","",'05_Projekte'!AE24)</f>
        <v/>
      </c>
      <c r="L24" s="15">
        <f>IF(A24="","",'05_Projekte'!AF24)</f>
        <v/>
      </c>
      <c r="M24" s="15">
        <f>IF(A24="","",'05_Projekte'!AG24)</f>
        <v/>
      </c>
      <c r="N24" s="13">
        <f>IF(A24="","",IF(OR(J24&lt;0.08,G24&gt;0,M24&gt;50000),"PRÜFEN","OK"))</f>
        <v/>
      </c>
    </row>
    <row r="25">
      <c r="A25" s="13">
        <f>IF('05_Projekte'!A25="","",'05_Projekte'!A25)</f>
        <v/>
      </c>
      <c r="B25" s="13">
        <f>IF(A25="","",'05_Projekte'!B25)</f>
        <v/>
      </c>
      <c r="C25" s="15">
        <f>IF(A25="","",'05_Projekte'!V25)</f>
        <v/>
      </c>
      <c r="D25" s="15">
        <f>IF(A25="","",'05_Projekte'!W25)</f>
        <v/>
      </c>
      <c r="E25" s="15">
        <f>IF(A25="","",'05_Projekte'!K25+'05_Projekte'!L25+'05_Projekte'!M25+'05_Projekte'!N25+'05_Projekte'!O25)</f>
        <v/>
      </c>
      <c r="F25" s="15">
        <f>IF(A25="","",'05_Projekte'!AA25)</f>
        <v/>
      </c>
      <c r="G25" s="15">
        <f>IF(A25="","",F25-E25)</f>
        <v/>
      </c>
      <c r="H25" s="15">
        <f>IF(A25="","",C25-E25)</f>
        <v/>
      </c>
      <c r="I25" s="15">
        <f>IF(A25="","",'05_Projekte'!AB25)</f>
        <v/>
      </c>
      <c r="J25" s="19">
        <f>IF(A25="","",'05_Projekte'!AD25)</f>
        <v/>
      </c>
      <c r="K25" s="19">
        <f>IF(A25="","",'05_Projekte'!AE25)</f>
        <v/>
      </c>
      <c r="L25" s="15">
        <f>IF(A25="","",'05_Projekte'!AF25)</f>
        <v/>
      </c>
      <c r="M25" s="15">
        <f>IF(A25="","",'05_Projekte'!AG25)</f>
        <v/>
      </c>
      <c r="N25" s="13">
        <f>IF(A25="","",IF(OR(J25&lt;0.08,G25&gt;0,M25&gt;50000),"PRÜFEN","OK"))</f>
        <v/>
      </c>
    </row>
    <row r="26">
      <c r="A26" s="13">
        <f>IF('05_Projekte'!A26="","",'05_Projekte'!A26)</f>
        <v/>
      </c>
      <c r="B26" s="13">
        <f>IF(A26="","",'05_Projekte'!B26)</f>
        <v/>
      </c>
      <c r="C26" s="15">
        <f>IF(A26="","",'05_Projekte'!V26)</f>
        <v/>
      </c>
      <c r="D26" s="15">
        <f>IF(A26="","",'05_Projekte'!W26)</f>
        <v/>
      </c>
      <c r="E26" s="15">
        <f>IF(A26="","",'05_Projekte'!K26+'05_Projekte'!L26+'05_Projekte'!M26+'05_Projekte'!N26+'05_Projekte'!O26)</f>
        <v/>
      </c>
      <c r="F26" s="15">
        <f>IF(A26="","",'05_Projekte'!AA26)</f>
        <v/>
      </c>
      <c r="G26" s="15">
        <f>IF(A26="","",F26-E26)</f>
        <v/>
      </c>
      <c r="H26" s="15">
        <f>IF(A26="","",C26-E26)</f>
        <v/>
      </c>
      <c r="I26" s="15">
        <f>IF(A26="","",'05_Projekte'!AB26)</f>
        <v/>
      </c>
      <c r="J26" s="19">
        <f>IF(A26="","",'05_Projekte'!AD26)</f>
        <v/>
      </c>
      <c r="K26" s="19">
        <f>IF(A26="","",'05_Projekte'!AE26)</f>
        <v/>
      </c>
      <c r="L26" s="15">
        <f>IF(A26="","",'05_Projekte'!AF26)</f>
        <v/>
      </c>
      <c r="M26" s="15">
        <f>IF(A26="","",'05_Projekte'!AG26)</f>
        <v/>
      </c>
      <c r="N26" s="13">
        <f>IF(A26="","",IF(OR(J26&lt;0.08,G26&gt;0,M26&gt;50000),"PRÜFEN","OK"))</f>
        <v/>
      </c>
    </row>
    <row r="27">
      <c r="A27" s="13">
        <f>IF('05_Projekte'!A27="","",'05_Projekte'!A27)</f>
        <v/>
      </c>
      <c r="B27" s="13">
        <f>IF(A27="","",'05_Projekte'!B27)</f>
        <v/>
      </c>
      <c r="C27" s="15">
        <f>IF(A27="","",'05_Projekte'!V27)</f>
        <v/>
      </c>
      <c r="D27" s="15">
        <f>IF(A27="","",'05_Projekte'!W27)</f>
        <v/>
      </c>
      <c r="E27" s="15">
        <f>IF(A27="","",'05_Projekte'!K27+'05_Projekte'!L27+'05_Projekte'!M27+'05_Projekte'!N27+'05_Projekte'!O27)</f>
        <v/>
      </c>
      <c r="F27" s="15">
        <f>IF(A27="","",'05_Projekte'!AA27)</f>
        <v/>
      </c>
      <c r="G27" s="15">
        <f>IF(A27="","",F27-E27)</f>
        <v/>
      </c>
      <c r="H27" s="15">
        <f>IF(A27="","",C27-E27)</f>
        <v/>
      </c>
      <c r="I27" s="15">
        <f>IF(A27="","",'05_Projekte'!AB27)</f>
        <v/>
      </c>
      <c r="J27" s="19">
        <f>IF(A27="","",'05_Projekte'!AD27)</f>
        <v/>
      </c>
      <c r="K27" s="19">
        <f>IF(A27="","",'05_Projekte'!AE27)</f>
        <v/>
      </c>
      <c r="L27" s="15">
        <f>IF(A27="","",'05_Projekte'!AF27)</f>
        <v/>
      </c>
      <c r="M27" s="15">
        <f>IF(A27="","",'05_Projekte'!AG27)</f>
        <v/>
      </c>
      <c r="N27" s="13">
        <f>IF(A27="","",IF(OR(J27&lt;0.08,G27&gt;0,M27&gt;50000),"PRÜFEN","OK"))</f>
        <v/>
      </c>
    </row>
    <row r="28">
      <c r="A28" s="13">
        <f>IF('05_Projekte'!A28="","",'05_Projekte'!A28)</f>
        <v/>
      </c>
      <c r="B28" s="13">
        <f>IF(A28="","",'05_Projekte'!B28)</f>
        <v/>
      </c>
      <c r="C28" s="15">
        <f>IF(A28="","",'05_Projekte'!V28)</f>
        <v/>
      </c>
      <c r="D28" s="15">
        <f>IF(A28="","",'05_Projekte'!W28)</f>
        <v/>
      </c>
      <c r="E28" s="15">
        <f>IF(A28="","",'05_Projekte'!K28+'05_Projekte'!L28+'05_Projekte'!M28+'05_Projekte'!N28+'05_Projekte'!O28)</f>
        <v/>
      </c>
      <c r="F28" s="15">
        <f>IF(A28="","",'05_Projekte'!AA28)</f>
        <v/>
      </c>
      <c r="G28" s="15">
        <f>IF(A28="","",F28-E28)</f>
        <v/>
      </c>
      <c r="H28" s="15">
        <f>IF(A28="","",C28-E28)</f>
        <v/>
      </c>
      <c r="I28" s="15">
        <f>IF(A28="","",'05_Projekte'!AB28)</f>
        <v/>
      </c>
      <c r="J28" s="19">
        <f>IF(A28="","",'05_Projekte'!AD28)</f>
        <v/>
      </c>
      <c r="K28" s="19">
        <f>IF(A28="","",'05_Projekte'!AE28)</f>
        <v/>
      </c>
      <c r="L28" s="15">
        <f>IF(A28="","",'05_Projekte'!AF28)</f>
        <v/>
      </c>
      <c r="M28" s="15">
        <f>IF(A28="","",'05_Projekte'!AG28)</f>
        <v/>
      </c>
      <c r="N28" s="13">
        <f>IF(A28="","",IF(OR(J28&lt;0.08,G28&gt;0,M28&gt;50000),"PRÜFEN","OK"))</f>
        <v/>
      </c>
    </row>
    <row r="29">
      <c r="A29" s="13">
        <f>IF('05_Projekte'!A29="","",'05_Projekte'!A29)</f>
        <v/>
      </c>
      <c r="B29" s="13">
        <f>IF(A29="","",'05_Projekte'!B29)</f>
        <v/>
      </c>
      <c r="C29" s="15">
        <f>IF(A29="","",'05_Projekte'!V29)</f>
        <v/>
      </c>
      <c r="D29" s="15">
        <f>IF(A29="","",'05_Projekte'!W29)</f>
        <v/>
      </c>
      <c r="E29" s="15">
        <f>IF(A29="","",'05_Projekte'!K29+'05_Projekte'!L29+'05_Projekte'!M29+'05_Projekte'!N29+'05_Projekte'!O29)</f>
        <v/>
      </c>
      <c r="F29" s="15">
        <f>IF(A29="","",'05_Projekte'!AA29)</f>
        <v/>
      </c>
      <c r="G29" s="15">
        <f>IF(A29="","",F29-E29)</f>
        <v/>
      </c>
      <c r="H29" s="15">
        <f>IF(A29="","",C29-E29)</f>
        <v/>
      </c>
      <c r="I29" s="15">
        <f>IF(A29="","",'05_Projekte'!AB29)</f>
        <v/>
      </c>
      <c r="J29" s="19">
        <f>IF(A29="","",'05_Projekte'!AD29)</f>
        <v/>
      </c>
      <c r="K29" s="19">
        <f>IF(A29="","",'05_Projekte'!AE29)</f>
        <v/>
      </c>
      <c r="L29" s="15">
        <f>IF(A29="","",'05_Projekte'!AF29)</f>
        <v/>
      </c>
      <c r="M29" s="15">
        <f>IF(A29="","",'05_Projekte'!AG29)</f>
        <v/>
      </c>
      <c r="N29" s="13">
        <f>IF(A29="","",IF(OR(J29&lt;0.08,G29&gt;0,M29&gt;50000),"PRÜFEN","OK"))</f>
        <v/>
      </c>
    </row>
    <row r="30">
      <c r="A30" s="13">
        <f>IF('05_Projekte'!A30="","",'05_Projekte'!A30)</f>
        <v/>
      </c>
      <c r="B30" s="13">
        <f>IF(A30="","",'05_Projekte'!B30)</f>
        <v/>
      </c>
      <c r="C30" s="15">
        <f>IF(A30="","",'05_Projekte'!V30)</f>
        <v/>
      </c>
      <c r="D30" s="15">
        <f>IF(A30="","",'05_Projekte'!W30)</f>
        <v/>
      </c>
      <c r="E30" s="15">
        <f>IF(A30="","",'05_Projekte'!K30+'05_Projekte'!L30+'05_Projekte'!M30+'05_Projekte'!N30+'05_Projekte'!O30)</f>
        <v/>
      </c>
      <c r="F30" s="15">
        <f>IF(A30="","",'05_Projekte'!AA30)</f>
        <v/>
      </c>
      <c r="G30" s="15">
        <f>IF(A30="","",F30-E30)</f>
        <v/>
      </c>
      <c r="H30" s="15">
        <f>IF(A30="","",C30-E30)</f>
        <v/>
      </c>
      <c r="I30" s="15">
        <f>IF(A30="","",'05_Projekte'!AB30)</f>
        <v/>
      </c>
      <c r="J30" s="19">
        <f>IF(A30="","",'05_Projekte'!AD30)</f>
        <v/>
      </c>
      <c r="K30" s="19">
        <f>IF(A30="","",'05_Projekte'!AE30)</f>
        <v/>
      </c>
      <c r="L30" s="15">
        <f>IF(A30="","",'05_Projekte'!AF30)</f>
        <v/>
      </c>
      <c r="M30" s="15">
        <f>IF(A30="","",'05_Projekte'!AG30)</f>
        <v/>
      </c>
      <c r="N30" s="13">
        <f>IF(A30="","",IF(OR(J30&lt;0.08,G30&gt;0,M30&gt;50000),"PRÜFEN","OK"))</f>
        <v/>
      </c>
    </row>
    <row r="31">
      <c r="A31" s="13">
        <f>IF('05_Projekte'!A31="","",'05_Projekte'!A31)</f>
        <v/>
      </c>
      <c r="B31" s="13">
        <f>IF(A31="","",'05_Projekte'!B31)</f>
        <v/>
      </c>
      <c r="C31" s="15">
        <f>IF(A31="","",'05_Projekte'!V31)</f>
        <v/>
      </c>
      <c r="D31" s="15">
        <f>IF(A31="","",'05_Projekte'!W31)</f>
        <v/>
      </c>
      <c r="E31" s="15">
        <f>IF(A31="","",'05_Projekte'!K31+'05_Projekte'!L31+'05_Projekte'!M31+'05_Projekte'!N31+'05_Projekte'!O31)</f>
        <v/>
      </c>
      <c r="F31" s="15">
        <f>IF(A31="","",'05_Projekte'!AA31)</f>
        <v/>
      </c>
      <c r="G31" s="15">
        <f>IF(A31="","",F31-E31)</f>
        <v/>
      </c>
      <c r="H31" s="15">
        <f>IF(A31="","",C31-E31)</f>
        <v/>
      </c>
      <c r="I31" s="15">
        <f>IF(A31="","",'05_Projekte'!AB31)</f>
        <v/>
      </c>
      <c r="J31" s="19">
        <f>IF(A31="","",'05_Projekte'!AD31)</f>
        <v/>
      </c>
      <c r="K31" s="19">
        <f>IF(A31="","",'05_Projekte'!AE31)</f>
        <v/>
      </c>
      <c r="L31" s="15">
        <f>IF(A31="","",'05_Projekte'!AF31)</f>
        <v/>
      </c>
      <c r="M31" s="15">
        <f>IF(A31="","",'05_Projekte'!AG31)</f>
        <v/>
      </c>
      <c r="N31" s="13">
        <f>IF(A31="","",IF(OR(J31&lt;0.08,G31&gt;0,M31&gt;50000),"PRÜFEN","OK"))</f>
        <v/>
      </c>
    </row>
    <row r="32">
      <c r="A32" s="13">
        <f>IF('05_Projekte'!A32="","",'05_Projekte'!A32)</f>
        <v/>
      </c>
      <c r="B32" s="13">
        <f>IF(A32="","",'05_Projekte'!B32)</f>
        <v/>
      </c>
      <c r="C32" s="15">
        <f>IF(A32="","",'05_Projekte'!V32)</f>
        <v/>
      </c>
      <c r="D32" s="15">
        <f>IF(A32="","",'05_Projekte'!W32)</f>
        <v/>
      </c>
      <c r="E32" s="15">
        <f>IF(A32="","",'05_Projekte'!K32+'05_Projekte'!L32+'05_Projekte'!M32+'05_Projekte'!N32+'05_Projekte'!O32)</f>
        <v/>
      </c>
      <c r="F32" s="15">
        <f>IF(A32="","",'05_Projekte'!AA32)</f>
        <v/>
      </c>
      <c r="G32" s="15">
        <f>IF(A32="","",F32-E32)</f>
        <v/>
      </c>
      <c r="H32" s="15">
        <f>IF(A32="","",C32-E32)</f>
        <v/>
      </c>
      <c r="I32" s="15">
        <f>IF(A32="","",'05_Projekte'!AB32)</f>
        <v/>
      </c>
      <c r="J32" s="19">
        <f>IF(A32="","",'05_Projekte'!AD32)</f>
        <v/>
      </c>
      <c r="K32" s="19">
        <f>IF(A32="","",'05_Projekte'!AE32)</f>
        <v/>
      </c>
      <c r="L32" s="15">
        <f>IF(A32="","",'05_Projekte'!AF32)</f>
        <v/>
      </c>
      <c r="M32" s="15">
        <f>IF(A32="","",'05_Projekte'!AG32)</f>
        <v/>
      </c>
      <c r="N32" s="13">
        <f>IF(A32="","",IF(OR(J32&lt;0.08,G32&gt;0,M32&gt;50000),"PRÜFEN","OK"))</f>
        <v/>
      </c>
    </row>
    <row r="33">
      <c r="A33" s="13">
        <f>IF('05_Projekte'!A33="","",'05_Projekte'!A33)</f>
        <v/>
      </c>
      <c r="B33" s="13">
        <f>IF(A33="","",'05_Projekte'!B33)</f>
        <v/>
      </c>
      <c r="C33" s="15">
        <f>IF(A33="","",'05_Projekte'!V33)</f>
        <v/>
      </c>
      <c r="D33" s="15">
        <f>IF(A33="","",'05_Projekte'!W33)</f>
        <v/>
      </c>
      <c r="E33" s="15">
        <f>IF(A33="","",'05_Projekte'!K33+'05_Projekte'!L33+'05_Projekte'!M33+'05_Projekte'!N33+'05_Projekte'!O33)</f>
        <v/>
      </c>
      <c r="F33" s="15">
        <f>IF(A33="","",'05_Projekte'!AA33)</f>
        <v/>
      </c>
      <c r="G33" s="15">
        <f>IF(A33="","",F33-E33)</f>
        <v/>
      </c>
      <c r="H33" s="15">
        <f>IF(A33="","",C33-E33)</f>
        <v/>
      </c>
      <c r="I33" s="15">
        <f>IF(A33="","",'05_Projekte'!AB33)</f>
        <v/>
      </c>
      <c r="J33" s="19">
        <f>IF(A33="","",'05_Projekte'!AD33)</f>
        <v/>
      </c>
      <c r="K33" s="19">
        <f>IF(A33="","",'05_Projekte'!AE33)</f>
        <v/>
      </c>
      <c r="L33" s="15">
        <f>IF(A33="","",'05_Projekte'!AF33)</f>
        <v/>
      </c>
      <c r="M33" s="15">
        <f>IF(A33="","",'05_Projekte'!AG33)</f>
        <v/>
      </c>
      <c r="N33" s="13">
        <f>IF(A33="","",IF(OR(J33&lt;0.08,G33&gt;0,M33&gt;50000),"PRÜFEN","OK"))</f>
        <v/>
      </c>
    </row>
    <row r="34">
      <c r="A34" s="13">
        <f>IF('05_Projekte'!A34="","",'05_Projekte'!A34)</f>
        <v/>
      </c>
      <c r="B34" s="13">
        <f>IF(A34="","",'05_Projekte'!B34)</f>
        <v/>
      </c>
      <c r="C34" s="15">
        <f>IF(A34="","",'05_Projekte'!V34)</f>
        <v/>
      </c>
      <c r="D34" s="15">
        <f>IF(A34="","",'05_Projekte'!W34)</f>
        <v/>
      </c>
      <c r="E34" s="15">
        <f>IF(A34="","",'05_Projekte'!K34+'05_Projekte'!L34+'05_Projekte'!M34+'05_Projekte'!N34+'05_Projekte'!O34)</f>
        <v/>
      </c>
      <c r="F34" s="15">
        <f>IF(A34="","",'05_Projekte'!AA34)</f>
        <v/>
      </c>
      <c r="G34" s="15">
        <f>IF(A34="","",F34-E34)</f>
        <v/>
      </c>
      <c r="H34" s="15">
        <f>IF(A34="","",C34-E34)</f>
        <v/>
      </c>
      <c r="I34" s="15">
        <f>IF(A34="","",'05_Projekte'!AB34)</f>
        <v/>
      </c>
      <c r="J34" s="19">
        <f>IF(A34="","",'05_Projekte'!AD34)</f>
        <v/>
      </c>
      <c r="K34" s="19">
        <f>IF(A34="","",'05_Projekte'!AE34)</f>
        <v/>
      </c>
      <c r="L34" s="15">
        <f>IF(A34="","",'05_Projekte'!AF34)</f>
        <v/>
      </c>
      <c r="M34" s="15">
        <f>IF(A34="","",'05_Projekte'!AG34)</f>
        <v/>
      </c>
      <c r="N34" s="13">
        <f>IF(A34="","",IF(OR(J34&lt;0.08,G34&gt;0,M34&gt;50000),"PRÜFEN","OK"))</f>
        <v/>
      </c>
    </row>
    <row r="35">
      <c r="A35" s="13">
        <f>IF('05_Projekte'!A35="","",'05_Projekte'!A35)</f>
        <v/>
      </c>
      <c r="B35" s="13">
        <f>IF(A35="","",'05_Projekte'!B35)</f>
        <v/>
      </c>
      <c r="C35" s="15">
        <f>IF(A35="","",'05_Projekte'!V35)</f>
        <v/>
      </c>
      <c r="D35" s="15">
        <f>IF(A35="","",'05_Projekte'!W35)</f>
        <v/>
      </c>
      <c r="E35" s="15">
        <f>IF(A35="","",'05_Projekte'!K35+'05_Projekte'!L35+'05_Projekte'!M35+'05_Projekte'!N35+'05_Projekte'!O35)</f>
        <v/>
      </c>
      <c r="F35" s="15">
        <f>IF(A35="","",'05_Projekte'!AA35)</f>
        <v/>
      </c>
      <c r="G35" s="15">
        <f>IF(A35="","",F35-E35)</f>
        <v/>
      </c>
      <c r="H35" s="15">
        <f>IF(A35="","",C35-E35)</f>
        <v/>
      </c>
      <c r="I35" s="15">
        <f>IF(A35="","",'05_Projekte'!AB35)</f>
        <v/>
      </c>
      <c r="J35" s="19">
        <f>IF(A35="","",'05_Projekte'!AD35)</f>
        <v/>
      </c>
      <c r="K35" s="19">
        <f>IF(A35="","",'05_Projekte'!AE35)</f>
        <v/>
      </c>
      <c r="L35" s="15">
        <f>IF(A35="","",'05_Projekte'!AF35)</f>
        <v/>
      </c>
      <c r="M35" s="15">
        <f>IF(A35="","",'05_Projekte'!AG35)</f>
        <v/>
      </c>
      <c r="N35" s="13">
        <f>IF(A35="","",IF(OR(J35&lt;0.08,G35&gt;0,M35&gt;50000),"PRÜFEN","OK"))</f>
        <v/>
      </c>
    </row>
    <row r="36">
      <c r="A36" s="13">
        <f>IF('05_Projekte'!A36="","",'05_Projekte'!A36)</f>
        <v/>
      </c>
      <c r="B36" s="13">
        <f>IF(A36="","",'05_Projekte'!B36)</f>
        <v/>
      </c>
      <c r="C36" s="15">
        <f>IF(A36="","",'05_Projekte'!V36)</f>
        <v/>
      </c>
      <c r="D36" s="15">
        <f>IF(A36="","",'05_Projekte'!W36)</f>
        <v/>
      </c>
      <c r="E36" s="15">
        <f>IF(A36="","",'05_Projekte'!K36+'05_Projekte'!L36+'05_Projekte'!M36+'05_Projekte'!N36+'05_Projekte'!O36)</f>
        <v/>
      </c>
      <c r="F36" s="15">
        <f>IF(A36="","",'05_Projekte'!AA36)</f>
        <v/>
      </c>
      <c r="G36" s="15">
        <f>IF(A36="","",F36-E36)</f>
        <v/>
      </c>
      <c r="H36" s="15">
        <f>IF(A36="","",C36-E36)</f>
        <v/>
      </c>
      <c r="I36" s="15">
        <f>IF(A36="","",'05_Projekte'!AB36)</f>
        <v/>
      </c>
      <c r="J36" s="19">
        <f>IF(A36="","",'05_Projekte'!AD36)</f>
        <v/>
      </c>
      <c r="K36" s="19">
        <f>IF(A36="","",'05_Projekte'!AE36)</f>
        <v/>
      </c>
      <c r="L36" s="15">
        <f>IF(A36="","",'05_Projekte'!AF36)</f>
        <v/>
      </c>
      <c r="M36" s="15">
        <f>IF(A36="","",'05_Projekte'!AG36)</f>
        <v/>
      </c>
      <c r="N36" s="13">
        <f>IF(A36="","",IF(OR(J36&lt;0.08,G36&gt;0,M36&gt;50000),"PRÜFEN","OK"))</f>
        <v/>
      </c>
    </row>
    <row r="37">
      <c r="A37" s="13">
        <f>IF('05_Projekte'!A37="","",'05_Projekte'!A37)</f>
        <v/>
      </c>
      <c r="B37" s="13">
        <f>IF(A37="","",'05_Projekte'!B37)</f>
        <v/>
      </c>
      <c r="C37" s="15">
        <f>IF(A37="","",'05_Projekte'!V37)</f>
        <v/>
      </c>
      <c r="D37" s="15">
        <f>IF(A37="","",'05_Projekte'!W37)</f>
        <v/>
      </c>
      <c r="E37" s="15">
        <f>IF(A37="","",'05_Projekte'!K37+'05_Projekte'!L37+'05_Projekte'!M37+'05_Projekte'!N37+'05_Projekte'!O37)</f>
        <v/>
      </c>
      <c r="F37" s="15">
        <f>IF(A37="","",'05_Projekte'!AA37)</f>
        <v/>
      </c>
      <c r="G37" s="15">
        <f>IF(A37="","",F37-E37)</f>
        <v/>
      </c>
      <c r="H37" s="15">
        <f>IF(A37="","",C37-E37)</f>
        <v/>
      </c>
      <c r="I37" s="15">
        <f>IF(A37="","",'05_Projekte'!AB37)</f>
        <v/>
      </c>
      <c r="J37" s="19">
        <f>IF(A37="","",'05_Projekte'!AD37)</f>
        <v/>
      </c>
      <c r="K37" s="19">
        <f>IF(A37="","",'05_Projekte'!AE37)</f>
        <v/>
      </c>
      <c r="L37" s="15">
        <f>IF(A37="","",'05_Projekte'!AF37)</f>
        <v/>
      </c>
      <c r="M37" s="15">
        <f>IF(A37="","",'05_Projekte'!AG37)</f>
        <v/>
      </c>
      <c r="N37" s="13">
        <f>IF(A37="","",IF(OR(J37&lt;0.08,G37&gt;0,M37&gt;50000),"PRÜFEN","OK"))</f>
        <v/>
      </c>
    </row>
    <row r="38">
      <c r="A38" s="13">
        <f>IF('05_Projekte'!A38="","",'05_Projekte'!A38)</f>
        <v/>
      </c>
      <c r="B38" s="13">
        <f>IF(A38="","",'05_Projekte'!B38)</f>
        <v/>
      </c>
      <c r="C38" s="15">
        <f>IF(A38="","",'05_Projekte'!V38)</f>
        <v/>
      </c>
      <c r="D38" s="15">
        <f>IF(A38="","",'05_Projekte'!W38)</f>
        <v/>
      </c>
      <c r="E38" s="15">
        <f>IF(A38="","",'05_Projekte'!K38+'05_Projekte'!L38+'05_Projekte'!M38+'05_Projekte'!N38+'05_Projekte'!O38)</f>
        <v/>
      </c>
      <c r="F38" s="15">
        <f>IF(A38="","",'05_Projekte'!AA38)</f>
        <v/>
      </c>
      <c r="G38" s="15">
        <f>IF(A38="","",F38-E38)</f>
        <v/>
      </c>
      <c r="H38" s="15">
        <f>IF(A38="","",C38-E38)</f>
        <v/>
      </c>
      <c r="I38" s="15">
        <f>IF(A38="","",'05_Projekte'!AB38)</f>
        <v/>
      </c>
      <c r="J38" s="19">
        <f>IF(A38="","",'05_Projekte'!AD38)</f>
        <v/>
      </c>
      <c r="K38" s="19">
        <f>IF(A38="","",'05_Projekte'!AE38)</f>
        <v/>
      </c>
      <c r="L38" s="15">
        <f>IF(A38="","",'05_Projekte'!AF38)</f>
        <v/>
      </c>
      <c r="M38" s="15">
        <f>IF(A38="","",'05_Projekte'!AG38)</f>
        <v/>
      </c>
      <c r="N38" s="13">
        <f>IF(A38="","",IF(OR(J38&lt;0.08,G38&gt;0,M38&gt;50000),"PRÜFEN","OK"))</f>
        <v/>
      </c>
    </row>
    <row r="39">
      <c r="A39" s="13">
        <f>IF('05_Projekte'!A39="","",'05_Projekte'!A39)</f>
        <v/>
      </c>
      <c r="B39" s="13">
        <f>IF(A39="","",'05_Projekte'!B39)</f>
        <v/>
      </c>
      <c r="C39" s="15">
        <f>IF(A39="","",'05_Projekte'!V39)</f>
        <v/>
      </c>
      <c r="D39" s="15">
        <f>IF(A39="","",'05_Projekte'!W39)</f>
        <v/>
      </c>
      <c r="E39" s="15">
        <f>IF(A39="","",'05_Projekte'!K39+'05_Projekte'!L39+'05_Projekte'!M39+'05_Projekte'!N39+'05_Projekte'!O39)</f>
        <v/>
      </c>
      <c r="F39" s="15">
        <f>IF(A39="","",'05_Projekte'!AA39)</f>
        <v/>
      </c>
      <c r="G39" s="15">
        <f>IF(A39="","",F39-E39)</f>
        <v/>
      </c>
      <c r="H39" s="15">
        <f>IF(A39="","",C39-E39)</f>
        <v/>
      </c>
      <c r="I39" s="15">
        <f>IF(A39="","",'05_Projekte'!AB39)</f>
        <v/>
      </c>
      <c r="J39" s="19">
        <f>IF(A39="","",'05_Projekte'!AD39)</f>
        <v/>
      </c>
      <c r="K39" s="19">
        <f>IF(A39="","",'05_Projekte'!AE39)</f>
        <v/>
      </c>
      <c r="L39" s="15">
        <f>IF(A39="","",'05_Projekte'!AF39)</f>
        <v/>
      </c>
      <c r="M39" s="15">
        <f>IF(A39="","",'05_Projekte'!AG39)</f>
        <v/>
      </c>
      <c r="N39" s="13">
        <f>IF(A39="","",IF(OR(J39&lt;0.08,G39&gt;0,M39&gt;50000),"PRÜFEN","OK"))</f>
        <v/>
      </c>
    </row>
    <row r="40">
      <c r="A40" s="13">
        <f>IF('05_Projekte'!A40="","",'05_Projekte'!A40)</f>
        <v/>
      </c>
      <c r="B40" s="13">
        <f>IF(A40="","",'05_Projekte'!B40)</f>
        <v/>
      </c>
      <c r="C40" s="15">
        <f>IF(A40="","",'05_Projekte'!V40)</f>
        <v/>
      </c>
      <c r="D40" s="15">
        <f>IF(A40="","",'05_Projekte'!W40)</f>
        <v/>
      </c>
      <c r="E40" s="15">
        <f>IF(A40="","",'05_Projekte'!K40+'05_Projekte'!L40+'05_Projekte'!M40+'05_Projekte'!N40+'05_Projekte'!O40)</f>
        <v/>
      </c>
      <c r="F40" s="15">
        <f>IF(A40="","",'05_Projekte'!AA40)</f>
        <v/>
      </c>
      <c r="G40" s="15">
        <f>IF(A40="","",F40-E40)</f>
        <v/>
      </c>
      <c r="H40" s="15">
        <f>IF(A40="","",C40-E40)</f>
        <v/>
      </c>
      <c r="I40" s="15">
        <f>IF(A40="","",'05_Projekte'!AB40)</f>
        <v/>
      </c>
      <c r="J40" s="19">
        <f>IF(A40="","",'05_Projekte'!AD40)</f>
        <v/>
      </c>
      <c r="K40" s="19">
        <f>IF(A40="","",'05_Projekte'!AE40)</f>
        <v/>
      </c>
      <c r="L40" s="15">
        <f>IF(A40="","",'05_Projekte'!AF40)</f>
        <v/>
      </c>
      <c r="M40" s="15">
        <f>IF(A40="","",'05_Projekte'!AG40)</f>
        <v/>
      </c>
      <c r="N40" s="13">
        <f>IF(A40="","",IF(OR(J40&lt;0.08,G40&gt;0,M40&gt;50000),"PRÜFEN","OK"))</f>
        <v/>
      </c>
    </row>
    <row r="41">
      <c r="A41" s="13">
        <f>IF('05_Projekte'!A41="","",'05_Projekte'!A41)</f>
        <v/>
      </c>
      <c r="B41" s="13">
        <f>IF(A41="","",'05_Projekte'!B41)</f>
        <v/>
      </c>
      <c r="C41" s="15">
        <f>IF(A41="","",'05_Projekte'!V41)</f>
        <v/>
      </c>
      <c r="D41" s="15">
        <f>IF(A41="","",'05_Projekte'!W41)</f>
        <v/>
      </c>
      <c r="E41" s="15">
        <f>IF(A41="","",'05_Projekte'!K41+'05_Projekte'!L41+'05_Projekte'!M41+'05_Projekte'!N41+'05_Projekte'!O41)</f>
        <v/>
      </c>
      <c r="F41" s="15">
        <f>IF(A41="","",'05_Projekte'!AA41)</f>
        <v/>
      </c>
      <c r="G41" s="15">
        <f>IF(A41="","",F41-E41)</f>
        <v/>
      </c>
      <c r="H41" s="15">
        <f>IF(A41="","",C41-E41)</f>
        <v/>
      </c>
      <c r="I41" s="15">
        <f>IF(A41="","",'05_Projekte'!AB41)</f>
        <v/>
      </c>
      <c r="J41" s="19">
        <f>IF(A41="","",'05_Projekte'!AD41)</f>
        <v/>
      </c>
      <c r="K41" s="19">
        <f>IF(A41="","",'05_Projekte'!AE41)</f>
        <v/>
      </c>
      <c r="L41" s="15">
        <f>IF(A41="","",'05_Projekte'!AF41)</f>
        <v/>
      </c>
      <c r="M41" s="15">
        <f>IF(A41="","",'05_Projekte'!AG41)</f>
        <v/>
      </c>
      <c r="N41" s="13">
        <f>IF(A41="","",IF(OR(J41&lt;0.08,G41&gt;0,M41&gt;50000),"PRÜFEN","OK"))</f>
        <v/>
      </c>
    </row>
    <row r="42">
      <c r="A42" s="13">
        <f>IF('05_Projekte'!A42="","",'05_Projekte'!A42)</f>
        <v/>
      </c>
      <c r="B42" s="13">
        <f>IF(A42="","",'05_Projekte'!B42)</f>
        <v/>
      </c>
      <c r="C42" s="15">
        <f>IF(A42="","",'05_Projekte'!V42)</f>
        <v/>
      </c>
      <c r="D42" s="15">
        <f>IF(A42="","",'05_Projekte'!W42)</f>
        <v/>
      </c>
      <c r="E42" s="15">
        <f>IF(A42="","",'05_Projekte'!K42+'05_Projekte'!L42+'05_Projekte'!M42+'05_Projekte'!N42+'05_Projekte'!O42)</f>
        <v/>
      </c>
      <c r="F42" s="15">
        <f>IF(A42="","",'05_Projekte'!AA42)</f>
        <v/>
      </c>
      <c r="G42" s="15">
        <f>IF(A42="","",F42-E42)</f>
        <v/>
      </c>
      <c r="H42" s="15">
        <f>IF(A42="","",C42-E42)</f>
        <v/>
      </c>
      <c r="I42" s="15">
        <f>IF(A42="","",'05_Projekte'!AB42)</f>
        <v/>
      </c>
      <c r="J42" s="19">
        <f>IF(A42="","",'05_Projekte'!AD42)</f>
        <v/>
      </c>
      <c r="K42" s="19">
        <f>IF(A42="","",'05_Projekte'!AE42)</f>
        <v/>
      </c>
      <c r="L42" s="15">
        <f>IF(A42="","",'05_Projekte'!AF42)</f>
        <v/>
      </c>
      <c r="M42" s="15">
        <f>IF(A42="","",'05_Projekte'!AG42)</f>
        <v/>
      </c>
      <c r="N42" s="13">
        <f>IF(A42="","",IF(OR(J42&lt;0.08,G42&gt;0,M42&gt;50000),"PRÜFEN","OK"))</f>
        <v/>
      </c>
    </row>
    <row r="43">
      <c r="A43" s="13">
        <f>IF('05_Projekte'!A43="","",'05_Projekte'!A43)</f>
        <v/>
      </c>
      <c r="B43" s="13">
        <f>IF(A43="","",'05_Projekte'!B43)</f>
        <v/>
      </c>
      <c r="C43" s="15">
        <f>IF(A43="","",'05_Projekte'!V43)</f>
        <v/>
      </c>
      <c r="D43" s="15">
        <f>IF(A43="","",'05_Projekte'!W43)</f>
        <v/>
      </c>
      <c r="E43" s="15">
        <f>IF(A43="","",'05_Projekte'!K43+'05_Projekte'!L43+'05_Projekte'!M43+'05_Projekte'!N43+'05_Projekte'!O43)</f>
        <v/>
      </c>
      <c r="F43" s="15">
        <f>IF(A43="","",'05_Projekte'!AA43)</f>
        <v/>
      </c>
      <c r="G43" s="15">
        <f>IF(A43="","",F43-E43)</f>
        <v/>
      </c>
      <c r="H43" s="15">
        <f>IF(A43="","",C43-E43)</f>
        <v/>
      </c>
      <c r="I43" s="15">
        <f>IF(A43="","",'05_Projekte'!AB43)</f>
        <v/>
      </c>
      <c r="J43" s="19">
        <f>IF(A43="","",'05_Projekte'!AD43)</f>
        <v/>
      </c>
      <c r="K43" s="19">
        <f>IF(A43="","",'05_Projekte'!AE43)</f>
        <v/>
      </c>
      <c r="L43" s="15">
        <f>IF(A43="","",'05_Projekte'!AF43)</f>
        <v/>
      </c>
      <c r="M43" s="15">
        <f>IF(A43="","",'05_Projekte'!AG43)</f>
        <v/>
      </c>
      <c r="N43" s="13">
        <f>IF(A43="","",IF(OR(J43&lt;0.08,G43&gt;0,M43&gt;50000),"PRÜFEN","OK"))</f>
        <v/>
      </c>
    </row>
    <row r="44">
      <c r="A44" s="13">
        <f>IF('05_Projekte'!A44="","",'05_Projekte'!A44)</f>
        <v/>
      </c>
      <c r="B44" s="13">
        <f>IF(A44="","",'05_Projekte'!B44)</f>
        <v/>
      </c>
      <c r="C44" s="15">
        <f>IF(A44="","",'05_Projekte'!V44)</f>
        <v/>
      </c>
      <c r="D44" s="15">
        <f>IF(A44="","",'05_Projekte'!W44)</f>
        <v/>
      </c>
      <c r="E44" s="15">
        <f>IF(A44="","",'05_Projekte'!K44+'05_Projekte'!L44+'05_Projekte'!M44+'05_Projekte'!N44+'05_Projekte'!O44)</f>
        <v/>
      </c>
      <c r="F44" s="15">
        <f>IF(A44="","",'05_Projekte'!AA44)</f>
        <v/>
      </c>
      <c r="G44" s="15">
        <f>IF(A44="","",F44-E44)</f>
        <v/>
      </c>
      <c r="H44" s="15">
        <f>IF(A44="","",C44-E44)</f>
        <v/>
      </c>
      <c r="I44" s="15">
        <f>IF(A44="","",'05_Projekte'!AB44)</f>
        <v/>
      </c>
      <c r="J44" s="19">
        <f>IF(A44="","",'05_Projekte'!AD44)</f>
        <v/>
      </c>
      <c r="K44" s="19">
        <f>IF(A44="","",'05_Projekte'!AE44)</f>
        <v/>
      </c>
      <c r="L44" s="15">
        <f>IF(A44="","",'05_Projekte'!AF44)</f>
        <v/>
      </c>
      <c r="M44" s="15">
        <f>IF(A44="","",'05_Projekte'!AG44)</f>
        <v/>
      </c>
      <c r="N44" s="13">
        <f>IF(A44="","",IF(OR(J44&lt;0.08,G44&gt;0,M44&gt;50000),"PRÜFEN","OK"))</f>
        <v/>
      </c>
    </row>
    <row r="45">
      <c r="A45" s="13">
        <f>IF('05_Projekte'!A45="","",'05_Projekte'!A45)</f>
        <v/>
      </c>
      <c r="B45" s="13">
        <f>IF(A45="","",'05_Projekte'!B45)</f>
        <v/>
      </c>
      <c r="C45" s="15">
        <f>IF(A45="","",'05_Projekte'!V45)</f>
        <v/>
      </c>
      <c r="D45" s="15">
        <f>IF(A45="","",'05_Projekte'!W45)</f>
        <v/>
      </c>
      <c r="E45" s="15">
        <f>IF(A45="","",'05_Projekte'!K45+'05_Projekte'!L45+'05_Projekte'!M45+'05_Projekte'!N45+'05_Projekte'!O45)</f>
        <v/>
      </c>
      <c r="F45" s="15">
        <f>IF(A45="","",'05_Projekte'!AA45)</f>
        <v/>
      </c>
      <c r="G45" s="15">
        <f>IF(A45="","",F45-E45)</f>
        <v/>
      </c>
      <c r="H45" s="15">
        <f>IF(A45="","",C45-E45)</f>
        <v/>
      </c>
      <c r="I45" s="15">
        <f>IF(A45="","",'05_Projekte'!AB45)</f>
        <v/>
      </c>
      <c r="J45" s="19">
        <f>IF(A45="","",'05_Projekte'!AD45)</f>
        <v/>
      </c>
      <c r="K45" s="19">
        <f>IF(A45="","",'05_Projekte'!AE45)</f>
        <v/>
      </c>
      <c r="L45" s="15">
        <f>IF(A45="","",'05_Projekte'!AF45)</f>
        <v/>
      </c>
      <c r="M45" s="15">
        <f>IF(A45="","",'05_Projekte'!AG45)</f>
        <v/>
      </c>
      <c r="N45" s="13">
        <f>IF(A45="","",IF(OR(J45&lt;0.08,G45&gt;0,M45&gt;50000),"PRÜFEN","OK"))</f>
        <v/>
      </c>
    </row>
    <row r="46">
      <c r="A46" s="13">
        <f>IF('05_Projekte'!A46="","",'05_Projekte'!A46)</f>
        <v/>
      </c>
      <c r="B46" s="13">
        <f>IF(A46="","",'05_Projekte'!B46)</f>
        <v/>
      </c>
      <c r="C46" s="15">
        <f>IF(A46="","",'05_Projekte'!V46)</f>
        <v/>
      </c>
      <c r="D46" s="15">
        <f>IF(A46="","",'05_Projekte'!W46)</f>
        <v/>
      </c>
      <c r="E46" s="15">
        <f>IF(A46="","",'05_Projekte'!K46+'05_Projekte'!L46+'05_Projekte'!M46+'05_Projekte'!N46+'05_Projekte'!O46)</f>
        <v/>
      </c>
      <c r="F46" s="15">
        <f>IF(A46="","",'05_Projekte'!AA46)</f>
        <v/>
      </c>
      <c r="G46" s="15">
        <f>IF(A46="","",F46-E46)</f>
        <v/>
      </c>
      <c r="H46" s="15">
        <f>IF(A46="","",C46-E46)</f>
        <v/>
      </c>
      <c r="I46" s="15">
        <f>IF(A46="","",'05_Projekte'!AB46)</f>
        <v/>
      </c>
      <c r="J46" s="19">
        <f>IF(A46="","",'05_Projekte'!AD46)</f>
        <v/>
      </c>
      <c r="K46" s="19">
        <f>IF(A46="","",'05_Projekte'!AE46)</f>
        <v/>
      </c>
      <c r="L46" s="15">
        <f>IF(A46="","",'05_Projekte'!AF46)</f>
        <v/>
      </c>
      <c r="M46" s="15">
        <f>IF(A46="","",'05_Projekte'!AG46)</f>
        <v/>
      </c>
      <c r="N46" s="13">
        <f>IF(A46="","",IF(OR(J46&lt;0.08,G46&gt;0,M46&gt;50000),"PRÜFEN","OK"))</f>
        <v/>
      </c>
    </row>
    <row r="47">
      <c r="A47" s="13">
        <f>IF('05_Projekte'!A47="","",'05_Projekte'!A47)</f>
        <v/>
      </c>
      <c r="B47" s="13">
        <f>IF(A47="","",'05_Projekte'!B47)</f>
        <v/>
      </c>
      <c r="C47" s="15">
        <f>IF(A47="","",'05_Projekte'!V47)</f>
        <v/>
      </c>
      <c r="D47" s="15">
        <f>IF(A47="","",'05_Projekte'!W47)</f>
        <v/>
      </c>
      <c r="E47" s="15">
        <f>IF(A47="","",'05_Projekte'!K47+'05_Projekte'!L47+'05_Projekte'!M47+'05_Projekte'!N47+'05_Projekte'!O47)</f>
        <v/>
      </c>
      <c r="F47" s="15">
        <f>IF(A47="","",'05_Projekte'!AA47)</f>
        <v/>
      </c>
      <c r="G47" s="15">
        <f>IF(A47="","",F47-E47)</f>
        <v/>
      </c>
      <c r="H47" s="15">
        <f>IF(A47="","",C47-E47)</f>
        <v/>
      </c>
      <c r="I47" s="15">
        <f>IF(A47="","",'05_Projekte'!AB47)</f>
        <v/>
      </c>
      <c r="J47" s="19">
        <f>IF(A47="","",'05_Projekte'!AD47)</f>
        <v/>
      </c>
      <c r="K47" s="19">
        <f>IF(A47="","",'05_Projekte'!AE47)</f>
        <v/>
      </c>
      <c r="L47" s="15">
        <f>IF(A47="","",'05_Projekte'!AF47)</f>
        <v/>
      </c>
      <c r="M47" s="15">
        <f>IF(A47="","",'05_Projekte'!AG47)</f>
        <v/>
      </c>
      <c r="N47" s="13">
        <f>IF(A47="","",IF(OR(J47&lt;0.08,G47&gt;0,M47&gt;50000),"PRÜFEN","OK"))</f>
        <v/>
      </c>
    </row>
    <row r="48">
      <c r="A48" s="13">
        <f>IF('05_Projekte'!A48="","",'05_Projekte'!A48)</f>
        <v/>
      </c>
      <c r="B48" s="13">
        <f>IF(A48="","",'05_Projekte'!B48)</f>
        <v/>
      </c>
      <c r="C48" s="15">
        <f>IF(A48="","",'05_Projekte'!V48)</f>
        <v/>
      </c>
      <c r="D48" s="15">
        <f>IF(A48="","",'05_Projekte'!W48)</f>
        <v/>
      </c>
      <c r="E48" s="15">
        <f>IF(A48="","",'05_Projekte'!K48+'05_Projekte'!L48+'05_Projekte'!M48+'05_Projekte'!N48+'05_Projekte'!O48)</f>
        <v/>
      </c>
      <c r="F48" s="15">
        <f>IF(A48="","",'05_Projekte'!AA48)</f>
        <v/>
      </c>
      <c r="G48" s="15">
        <f>IF(A48="","",F48-E48)</f>
        <v/>
      </c>
      <c r="H48" s="15">
        <f>IF(A48="","",C48-E48)</f>
        <v/>
      </c>
      <c r="I48" s="15">
        <f>IF(A48="","",'05_Projekte'!AB48)</f>
        <v/>
      </c>
      <c r="J48" s="19">
        <f>IF(A48="","",'05_Projekte'!AD48)</f>
        <v/>
      </c>
      <c r="K48" s="19">
        <f>IF(A48="","",'05_Projekte'!AE48)</f>
        <v/>
      </c>
      <c r="L48" s="15">
        <f>IF(A48="","",'05_Projekte'!AF48)</f>
        <v/>
      </c>
      <c r="M48" s="15">
        <f>IF(A48="","",'05_Projekte'!AG48)</f>
        <v/>
      </c>
      <c r="N48" s="13">
        <f>IF(A48="","",IF(OR(J48&lt;0.08,G48&gt;0,M48&gt;50000),"PRÜFEN","OK"))</f>
        <v/>
      </c>
    </row>
    <row r="49">
      <c r="A49" s="13">
        <f>IF('05_Projekte'!A49="","",'05_Projekte'!A49)</f>
        <v/>
      </c>
      <c r="B49" s="13">
        <f>IF(A49="","",'05_Projekte'!B49)</f>
        <v/>
      </c>
      <c r="C49" s="15">
        <f>IF(A49="","",'05_Projekte'!V49)</f>
        <v/>
      </c>
      <c r="D49" s="15">
        <f>IF(A49="","",'05_Projekte'!W49)</f>
        <v/>
      </c>
      <c r="E49" s="15">
        <f>IF(A49="","",'05_Projekte'!K49+'05_Projekte'!L49+'05_Projekte'!M49+'05_Projekte'!N49+'05_Projekte'!O49)</f>
        <v/>
      </c>
      <c r="F49" s="15">
        <f>IF(A49="","",'05_Projekte'!AA49)</f>
        <v/>
      </c>
      <c r="G49" s="15">
        <f>IF(A49="","",F49-E49)</f>
        <v/>
      </c>
      <c r="H49" s="15">
        <f>IF(A49="","",C49-E49)</f>
        <v/>
      </c>
      <c r="I49" s="15">
        <f>IF(A49="","",'05_Projekte'!AB49)</f>
        <v/>
      </c>
      <c r="J49" s="19">
        <f>IF(A49="","",'05_Projekte'!AD49)</f>
        <v/>
      </c>
      <c r="K49" s="19">
        <f>IF(A49="","",'05_Projekte'!AE49)</f>
        <v/>
      </c>
      <c r="L49" s="15">
        <f>IF(A49="","",'05_Projekte'!AF49)</f>
        <v/>
      </c>
      <c r="M49" s="15">
        <f>IF(A49="","",'05_Projekte'!AG49)</f>
        <v/>
      </c>
      <c r="N49" s="13">
        <f>IF(A49="","",IF(OR(J49&lt;0.08,G49&gt;0,M49&gt;50000),"PRÜFEN","OK"))</f>
        <v/>
      </c>
    </row>
    <row r="50">
      <c r="A50" s="13">
        <f>IF('05_Projekte'!A50="","",'05_Projekte'!A50)</f>
        <v/>
      </c>
      <c r="B50" s="13">
        <f>IF(A50="","",'05_Projekte'!B50)</f>
        <v/>
      </c>
      <c r="C50" s="15">
        <f>IF(A50="","",'05_Projekte'!V50)</f>
        <v/>
      </c>
      <c r="D50" s="15">
        <f>IF(A50="","",'05_Projekte'!W50)</f>
        <v/>
      </c>
      <c r="E50" s="15">
        <f>IF(A50="","",'05_Projekte'!K50+'05_Projekte'!L50+'05_Projekte'!M50+'05_Projekte'!N50+'05_Projekte'!O50)</f>
        <v/>
      </c>
      <c r="F50" s="15">
        <f>IF(A50="","",'05_Projekte'!AA50)</f>
        <v/>
      </c>
      <c r="G50" s="15">
        <f>IF(A50="","",F50-E50)</f>
        <v/>
      </c>
      <c r="H50" s="15">
        <f>IF(A50="","",C50-E50)</f>
        <v/>
      </c>
      <c r="I50" s="15">
        <f>IF(A50="","",'05_Projekte'!AB50)</f>
        <v/>
      </c>
      <c r="J50" s="19">
        <f>IF(A50="","",'05_Projekte'!AD50)</f>
        <v/>
      </c>
      <c r="K50" s="19">
        <f>IF(A50="","",'05_Projekte'!AE50)</f>
        <v/>
      </c>
      <c r="L50" s="15">
        <f>IF(A50="","",'05_Projekte'!AF50)</f>
        <v/>
      </c>
      <c r="M50" s="15">
        <f>IF(A50="","",'05_Projekte'!AG50)</f>
        <v/>
      </c>
      <c r="N50" s="13">
        <f>IF(A50="","",IF(OR(J50&lt;0.08,G50&gt;0,M50&gt;50000),"PRÜFEN","OK"))</f>
        <v/>
      </c>
    </row>
    <row r="51">
      <c r="A51" s="13">
        <f>IF('05_Projekte'!A51="","",'05_Projekte'!A51)</f>
        <v/>
      </c>
      <c r="B51" s="13">
        <f>IF(A51="","",'05_Projekte'!B51)</f>
        <v/>
      </c>
      <c r="C51" s="15">
        <f>IF(A51="","",'05_Projekte'!V51)</f>
        <v/>
      </c>
      <c r="D51" s="15">
        <f>IF(A51="","",'05_Projekte'!W51)</f>
        <v/>
      </c>
      <c r="E51" s="15">
        <f>IF(A51="","",'05_Projekte'!K51+'05_Projekte'!L51+'05_Projekte'!M51+'05_Projekte'!N51+'05_Projekte'!O51)</f>
        <v/>
      </c>
      <c r="F51" s="15">
        <f>IF(A51="","",'05_Projekte'!AA51)</f>
        <v/>
      </c>
      <c r="G51" s="15">
        <f>IF(A51="","",F51-E51)</f>
        <v/>
      </c>
      <c r="H51" s="15">
        <f>IF(A51="","",C51-E51)</f>
        <v/>
      </c>
      <c r="I51" s="15">
        <f>IF(A51="","",'05_Projekte'!AB51)</f>
        <v/>
      </c>
      <c r="J51" s="19">
        <f>IF(A51="","",'05_Projekte'!AD51)</f>
        <v/>
      </c>
      <c r="K51" s="19">
        <f>IF(A51="","",'05_Projekte'!AE51)</f>
        <v/>
      </c>
      <c r="L51" s="15">
        <f>IF(A51="","",'05_Projekte'!AF51)</f>
        <v/>
      </c>
      <c r="M51" s="15">
        <f>IF(A51="","",'05_Projekte'!AG51)</f>
        <v/>
      </c>
      <c r="N51" s="13">
        <f>IF(A51="","",IF(OR(J51&lt;0.08,G51&gt;0,M51&gt;50000),"PRÜFEN","OK"))</f>
        <v/>
      </c>
    </row>
    <row r="52">
      <c r="A52" s="13">
        <f>IF('05_Projekte'!A52="","",'05_Projekte'!A52)</f>
        <v/>
      </c>
      <c r="B52" s="13">
        <f>IF(A52="","",'05_Projekte'!B52)</f>
        <v/>
      </c>
      <c r="C52" s="15">
        <f>IF(A52="","",'05_Projekte'!V52)</f>
        <v/>
      </c>
      <c r="D52" s="15">
        <f>IF(A52="","",'05_Projekte'!W52)</f>
        <v/>
      </c>
      <c r="E52" s="15">
        <f>IF(A52="","",'05_Projekte'!K52+'05_Projekte'!L52+'05_Projekte'!M52+'05_Projekte'!N52+'05_Projekte'!O52)</f>
        <v/>
      </c>
      <c r="F52" s="15">
        <f>IF(A52="","",'05_Projekte'!AA52)</f>
        <v/>
      </c>
      <c r="G52" s="15">
        <f>IF(A52="","",F52-E52)</f>
        <v/>
      </c>
      <c r="H52" s="15">
        <f>IF(A52="","",C52-E52)</f>
        <v/>
      </c>
      <c r="I52" s="15">
        <f>IF(A52="","",'05_Projekte'!AB52)</f>
        <v/>
      </c>
      <c r="J52" s="19">
        <f>IF(A52="","",'05_Projekte'!AD52)</f>
        <v/>
      </c>
      <c r="K52" s="19">
        <f>IF(A52="","",'05_Projekte'!AE52)</f>
        <v/>
      </c>
      <c r="L52" s="15">
        <f>IF(A52="","",'05_Projekte'!AF52)</f>
        <v/>
      </c>
      <c r="M52" s="15">
        <f>IF(A52="","",'05_Projekte'!AG52)</f>
        <v/>
      </c>
      <c r="N52" s="13">
        <f>IF(A52="","",IF(OR(J52&lt;0.08,G52&gt;0,M52&gt;50000),"PRÜFEN","OK"))</f>
        <v/>
      </c>
    </row>
    <row r="53">
      <c r="A53" s="13">
        <f>IF('05_Projekte'!A53="","",'05_Projekte'!A53)</f>
        <v/>
      </c>
      <c r="B53" s="13">
        <f>IF(A53="","",'05_Projekte'!B53)</f>
        <v/>
      </c>
      <c r="C53" s="15">
        <f>IF(A53="","",'05_Projekte'!V53)</f>
        <v/>
      </c>
      <c r="D53" s="15">
        <f>IF(A53="","",'05_Projekte'!W53)</f>
        <v/>
      </c>
      <c r="E53" s="15">
        <f>IF(A53="","",'05_Projekte'!K53+'05_Projekte'!L53+'05_Projekte'!M53+'05_Projekte'!N53+'05_Projekte'!O53)</f>
        <v/>
      </c>
      <c r="F53" s="15">
        <f>IF(A53="","",'05_Projekte'!AA53)</f>
        <v/>
      </c>
      <c r="G53" s="15">
        <f>IF(A53="","",F53-E53)</f>
        <v/>
      </c>
      <c r="H53" s="15">
        <f>IF(A53="","",C53-E53)</f>
        <v/>
      </c>
      <c r="I53" s="15">
        <f>IF(A53="","",'05_Projekte'!AB53)</f>
        <v/>
      </c>
      <c r="J53" s="19">
        <f>IF(A53="","",'05_Projekte'!AD53)</f>
        <v/>
      </c>
      <c r="K53" s="19">
        <f>IF(A53="","",'05_Projekte'!AE53)</f>
        <v/>
      </c>
      <c r="L53" s="15">
        <f>IF(A53="","",'05_Projekte'!AF53)</f>
        <v/>
      </c>
      <c r="M53" s="15">
        <f>IF(A53="","",'05_Projekte'!AG53)</f>
        <v/>
      </c>
      <c r="N53" s="13">
        <f>IF(A53="","",IF(OR(J53&lt;0.08,G53&gt;0,M53&gt;50000),"PRÜFEN","OK"))</f>
        <v/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C5282"/>
    <outlinePr summaryBelow="1" summaryRight="1"/>
    <pageSetUpPr/>
  </sheetPr>
  <dimension ref="A1:P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1" t="inlineStr">
        <is>
          <t>Liquiditätsplanung 13 Wochen + 12 Monate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4" t="inlineStr">
        <is>
          <t>Gelbe Zellen = Disposition ( savis, bekannte Zahlungen, Lohnlauf ). Ampel gegen Mindestliquidität aus den Stammdaten.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12" t="inlineStr">
        <is>
          <t>13-Wochen-Liquidität (rollierend)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3" t="n"/>
      <c r="P4" s="3" t="n"/>
    </row>
    <row r="5">
      <c r="A5" s="37" t="inlineStr">
        <is>
          <t>Woche ab</t>
        </is>
      </c>
      <c r="B5" s="39" t="n">
        <v>46301</v>
      </c>
      <c r="C5" s="39" t="n">
        <v>46308</v>
      </c>
      <c r="D5" s="39" t="n">
        <v>46315</v>
      </c>
      <c r="E5" s="39" t="n">
        <v>46322</v>
      </c>
      <c r="F5" s="39" t="n">
        <v>46329</v>
      </c>
      <c r="G5" s="39" t="n">
        <v>46336</v>
      </c>
      <c r="H5" s="39" t="n">
        <v>46343</v>
      </c>
      <c r="I5" s="39" t="n">
        <v>46350</v>
      </c>
      <c r="J5" s="39" t="n">
        <v>46357</v>
      </c>
      <c r="K5" s="39" t="n">
        <v>46364</v>
      </c>
      <c r="L5" s="39" t="n">
        <v>46371</v>
      </c>
      <c r="M5" s="39" t="n">
        <v>46378</v>
      </c>
      <c r="N5" s="39" t="n">
        <v>46385</v>
      </c>
      <c r="O5" s="3" t="n"/>
      <c r="P5" s="3" t="n"/>
    </row>
    <row r="6">
      <c r="A6" s="3" t="inlineStr">
        <is>
          <t>Einzahlungen Kunden erwartet</t>
        </is>
      </c>
      <c r="B6" s="34" t="n">
        <v>142000</v>
      </c>
      <c r="C6" s="34" t="n">
        <v>185000</v>
      </c>
      <c r="D6" s="34" t="n">
        <v>0</v>
      </c>
      <c r="E6" s="34" t="n">
        <v>420000</v>
      </c>
      <c r="F6" s="34" t="n">
        <v>62000</v>
      </c>
      <c r="G6" s="34" t="n">
        <v>0</v>
      </c>
      <c r="H6" s="34" t="n">
        <v>248000</v>
      </c>
      <c r="I6" s="34" t="n">
        <v>0</v>
      </c>
      <c r="J6" s="34" t="n">
        <v>310000</v>
      </c>
      <c r="K6" s="34" t="n">
        <v>95000</v>
      </c>
      <c r="L6" s="34" t="n">
        <v>0</v>
      </c>
      <c r="M6" s="34" t="n">
        <v>180000</v>
      </c>
      <c r="N6" s="34" t="n">
        <v>220000</v>
      </c>
      <c r="O6" s="15">
        <f>SUM(B6:N6)</f>
        <v/>
      </c>
      <c r="P6" s="3" t="n"/>
    </row>
    <row r="7">
      <c r="A7" s="33" t="inlineStr">
        <is>
          <t>Löhne / Soka / SV</t>
        </is>
      </c>
      <c r="B7" s="34" t="n">
        <v>0</v>
      </c>
      <c r="C7" s="34" t="n">
        <v>0</v>
      </c>
      <c r="D7" s="34" t="n">
        <v>0</v>
      </c>
      <c r="E7" s="34" t="n">
        <v>69110</v>
      </c>
      <c r="F7" s="34" t="n">
        <v>0</v>
      </c>
      <c r="G7" s="34" t="n">
        <v>0</v>
      </c>
      <c r="H7" s="34" t="n">
        <v>0</v>
      </c>
      <c r="I7" s="34" t="n">
        <v>69800</v>
      </c>
      <c r="J7" s="34" t="n">
        <v>0</v>
      </c>
      <c r="K7" s="34" t="n">
        <v>0</v>
      </c>
      <c r="L7" s="34" t="n">
        <v>0</v>
      </c>
      <c r="M7" s="34" t="n">
        <v>70500</v>
      </c>
      <c r="N7" s="34" t="n">
        <v>0</v>
      </c>
      <c r="O7" s="15">
        <f>SUM(B7:N7)</f>
        <v/>
      </c>
    </row>
    <row r="8">
      <c r="A8" s="33" t="inlineStr">
        <is>
          <t>Nachunternehmer / Kreditoren</t>
        </is>
      </c>
      <c r="B8" s="34" t="n">
        <v>23000</v>
      </c>
      <c r="C8" s="34" t="n">
        <v>18000</v>
      </c>
      <c r="D8" s="34" t="n">
        <v>45000</v>
      </c>
      <c r="E8" s="34" t="n">
        <v>28600</v>
      </c>
      <c r="F8" s="34" t="n">
        <v>15800</v>
      </c>
      <c r="G8" s="34" t="n">
        <v>12000</v>
      </c>
      <c r="H8" s="34" t="n">
        <v>34000</v>
      </c>
      <c r="I8" s="34" t="n">
        <v>22000</v>
      </c>
      <c r="J8" s="34" t="n">
        <v>41000</v>
      </c>
      <c r="K8" s="34" t="n">
        <v>19000</v>
      </c>
      <c r="L8" s="34" t="n">
        <v>15000</v>
      </c>
      <c r="M8" s="34" t="n">
        <v>28000</v>
      </c>
      <c r="N8" s="34" t="n">
        <v>21000</v>
      </c>
      <c r="O8" s="15">
        <f>SUM(B8:N8)</f>
        <v/>
      </c>
    </row>
    <row r="9">
      <c r="A9" s="33" t="inlineStr">
        <is>
          <t>Material / Baustoffe</t>
        </is>
      </c>
      <c r="B9" s="34" t="n">
        <v>14500</v>
      </c>
      <c r="C9" s="34" t="n">
        <v>26400</v>
      </c>
      <c r="D9" s="34" t="n">
        <v>8000</v>
      </c>
      <c r="E9" s="34" t="n">
        <v>6200</v>
      </c>
      <c r="F9" s="34" t="n">
        <v>18000</v>
      </c>
      <c r="G9" s="34" t="n">
        <v>22000</v>
      </c>
      <c r="H9" s="34" t="n">
        <v>31000</v>
      </c>
      <c r="I9" s="34" t="n">
        <v>16000</v>
      </c>
      <c r="J9" s="34" t="n">
        <v>27000</v>
      </c>
      <c r="K9" s="34" t="n">
        <v>14000</v>
      </c>
      <c r="L9" s="34" t="n">
        <v>9000</v>
      </c>
      <c r="M9" s="34" t="n">
        <v>24000</v>
      </c>
      <c r="N9" s="34" t="n">
        <v>17000</v>
      </c>
      <c r="O9" s="15">
        <f>SUM(B9:N9)</f>
        <v/>
      </c>
    </row>
    <row r="10">
      <c r="A10" s="33" t="inlineStr">
        <is>
          <t>Steuer / USt</t>
        </is>
      </c>
      <c r="B10" s="34" t="n">
        <v>0</v>
      </c>
      <c r="C10" s="34" t="n">
        <v>18640</v>
      </c>
      <c r="D10" s="34" t="n">
        <v>0</v>
      </c>
      <c r="E10" s="34" t="n">
        <v>0</v>
      </c>
      <c r="F10" s="34" t="n">
        <v>0</v>
      </c>
      <c r="G10" s="34" t="n">
        <v>21400</v>
      </c>
      <c r="H10" s="34" t="n">
        <v>0</v>
      </c>
      <c r="I10" s="34" t="n">
        <v>0</v>
      </c>
      <c r="J10" s="34" t="n">
        <v>0</v>
      </c>
      <c r="K10" s="34" t="n">
        <v>19800</v>
      </c>
      <c r="L10" s="34" t="n">
        <v>0</v>
      </c>
      <c r="M10" s="34" t="n">
        <v>0</v>
      </c>
      <c r="N10" s="34" t="n">
        <v>24000</v>
      </c>
      <c r="O10" s="15">
        <f>SUM(B10:N10)</f>
        <v/>
      </c>
    </row>
    <row r="11">
      <c r="A11" s="33" t="inlineStr">
        <is>
          <t>Miete, Leasing, Sonstiges</t>
        </is>
      </c>
      <c r="B11" s="34" t="n">
        <v>8200</v>
      </c>
      <c r="C11" s="34" t="n">
        <v>4500</v>
      </c>
      <c r="D11" s="34" t="n">
        <v>6200</v>
      </c>
      <c r="E11" s="34" t="n">
        <v>4800</v>
      </c>
      <c r="F11" s="34" t="n">
        <v>5100</v>
      </c>
      <c r="G11" s="34" t="n">
        <v>4300</v>
      </c>
      <c r="H11" s="34" t="n">
        <v>8900</v>
      </c>
      <c r="I11" s="34" t="n">
        <v>4700</v>
      </c>
      <c r="J11" s="34" t="n">
        <v>5200</v>
      </c>
      <c r="K11" s="34" t="n">
        <v>6100</v>
      </c>
      <c r="L11" s="34" t="n">
        <v>4400</v>
      </c>
      <c r="M11" s="34" t="n">
        <v>7800</v>
      </c>
      <c r="N11" s="34" t="n">
        <v>5000</v>
      </c>
      <c r="O11" s="15">
        <f>SUM(B11:N11)</f>
        <v/>
      </c>
    </row>
    <row r="13">
      <c r="A13" t="inlineStr">
        <is>
          <t>Anfangsbestand</t>
        </is>
      </c>
      <c r="B13" s="15">
        <f>AnfangsBank+'19_Cashflow'!I18</f>
        <v/>
      </c>
      <c r="C13" s="15">
        <f>B14</f>
        <v/>
      </c>
      <c r="D13" s="15">
        <f>C14</f>
        <v/>
      </c>
      <c r="E13" s="15">
        <f>D14</f>
        <v/>
      </c>
      <c r="F13" s="15">
        <f>E14</f>
        <v/>
      </c>
      <c r="G13" s="15">
        <f>F14</f>
        <v/>
      </c>
      <c r="H13" s="15">
        <f>G14</f>
        <v/>
      </c>
      <c r="I13" s="15">
        <f>H14</f>
        <v/>
      </c>
      <c r="J13" s="15">
        <f>I14</f>
        <v/>
      </c>
      <c r="K13" s="15">
        <f>J14</f>
        <v/>
      </c>
      <c r="L13" s="15">
        <f>K14</f>
        <v/>
      </c>
      <c r="M13" s="15">
        <f>L14</f>
        <v/>
      </c>
      <c r="N13" s="15">
        <f>M14</f>
        <v/>
      </c>
    </row>
    <row r="14">
      <c r="A14" s="40" t="inlineStr">
        <is>
          <t>Endbestand</t>
        </is>
      </c>
      <c r="B14" s="41">
        <f>B13+B6-B7-B8-B9-B10-B11</f>
        <v/>
      </c>
      <c r="C14" s="41">
        <f>C13+C6-C7-C8-C9-C10-C11</f>
        <v/>
      </c>
      <c r="D14" s="41">
        <f>D13+D6-D7-D8-D9-D10-D11</f>
        <v/>
      </c>
      <c r="E14" s="41">
        <f>E13+E6-E7-E8-E9-E10-E11</f>
        <v/>
      </c>
      <c r="F14" s="41">
        <f>F13+F6-F7-F8-F9-F10-F11</f>
        <v/>
      </c>
      <c r="G14" s="41">
        <f>G13+G6-G7-G8-G9-G10-G11</f>
        <v/>
      </c>
      <c r="H14" s="41">
        <f>H13+H6-H7-H8-H9-H10-H11</f>
        <v/>
      </c>
      <c r="I14" s="41">
        <f>I13+I6-I7-I8-I9-I10-I11</f>
        <v/>
      </c>
      <c r="J14" s="41">
        <f>J13+J6-J7-J8-J9-J10-J11</f>
        <v/>
      </c>
      <c r="K14" s="41">
        <f>K13+K6-K7-K8-K9-K10-K11</f>
        <v/>
      </c>
      <c r="L14" s="41">
        <f>L13+L6-L7-L8-L9-L10-L11</f>
        <v/>
      </c>
      <c r="M14" s="41">
        <f>M13+M6-M7-M8-M9-M10-M11</f>
        <v/>
      </c>
      <c r="N14" s="41">
        <f>N13+N6-N7-N8-N9-N10-N11</f>
        <v/>
      </c>
    </row>
    <row r="15">
      <c r="A15" t="inlineStr">
        <is>
          <t>vs. Mindestliquidität</t>
        </is>
      </c>
      <c r="B15" s="15">
        <f>B14-MindestLiq</f>
        <v/>
      </c>
      <c r="C15" s="15">
        <f>C14-MindestLiq</f>
        <v/>
      </c>
      <c r="D15" s="15">
        <f>D14-MindestLiq</f>
        <v/>
      </c>
      <c r="E15" s="15">
        <f>E14-MindestLiq</f>
        <v/>
      </c>
      <c r="F15" s="15">
        <f>F14-MindestLiq</f>
        <v/>
      </c>
      <c r="G15" s="15">
        <f>G14-MindestLiq</f>
        <v/>
      </c>
      <c r="H15" s="15">
        <f>H14-MindestLiq</f>
        <v/>
      </c>
      <c r="I15" s="15">
        <f>I14-MindestLiq</f>
        <v/>
      </c>
      <c r="J15" s="15">
        <f>J14-MindestLiq</f>
        <v/>
      </c>
      <c r="K15" s="15">
        <f>K14-MindestLiq</f>
        <v/>
      </c>
      <c r="L15" s="15">
        <f>L14-MindestLiq</f>
        <v/>
      </c>
      <c r="M15" s="15">
        <f>M14-MindestLiq</f>
        <v/>
      </c>
      <c r="N15" s="15">
        <f>N14-MindestLiq</f>
        <v/>
      </c>
    </row>
    <row r="16">
      <c r="A16" t="inlineStr">
        <is>
          <t>Status</t>
        </is>
      </c>
      <c r="B16" s="13">
        <f>IF(B14&lt;MindestLiq,"ENGPASS",IF(B14&lt;MindestLiq*1.25,"ENG","OK"))</f>
        <v/>
      </c>
      <c r="C16" s="13">
        <f>IF(C14&lt;MindestLiq,"ENGPASS",IF(C14&lt;MindestLiq*1.25,"ENG","OK"))</f>
        <v/>
      </c>
      <c r="D16" s="13">
        <f>IF(D14&lt;MindestLiq,"ENGPASS",IF(D14&lt;MindestLiq*1.25,"ENG","OK"))</f>
        <v/>
      </c>
      <c r="E16" s="13">
        <f>IF(E14&lt;MindestLiq,"ENGPASS",IF(E14&lt;MindestLiq*1.25,"ENG","OK"))</f>
        <v/>
      </c>
      <c r="F16" s="13">
        <f>IF(F14&lt;MindestLiq,"ENGPASS",IF(F14&lt;MindestLiq*1.25,"ENG","OK"))</f>
        <v/>
      </c>
      <c r="G16" s="13">
        <f>IF(G14&lt;MindestLiq,"ENGPASS",IF(G14&lt;MindestLiq*1.25,"ENG","OK"))</f>
        <v/>
      </c>
      <c r="H16" s="13">
        <f>IF(H14&lt;MindestLiq,"ENGPASS",IF(H14&lt;MindestLiq*1.25,"ENG","OK"))</f>
        <v/>
      </c>
      <c r="I16" s="13">
        <f>IF(I14&lt;MindestLiq,"ENGPASS",IF(I14&lt;MindestLiq*1.25,"ENG","OK"))</f>
        <v/>
      </c>
      <c r="J16" s="13">
        <f>IF(J14&lt;MindestLiq,"ENGPASS",IF(J14&lt;MindestLiq*1.25,"ENG","OK"))</f>
        <v/>
      </c>
      <c r="K16" s="13">
        <f>IF(K14&lt;MindestLiq,"ENGPASS",IF(K14&lt;MindestLiq*1.25,"ENG","OK"))</f>
        <v/>
      </c>
      <c r="L16" s="13">
        <f>IF(L14&lt;MindestLiq,"ENGPASS",IF(L14&lt;MindestLiq*1.25,"ENG","OK"))</f>
        <v/>
      </c>
      <c r="M16" s="13">
        <f>IF(M14&lt;MindestLiq,"ENGPASS",IF(M14&lt;MindestLiq*1.25,"ENG","OK"))</f>
        <v/>
      </c>
      <c r="N16" s="13">
        <f>IF(N14&lt;MindestLiq,"ENGPASS",IF(N14&lt;MindestLiq*1.25,"ENG","OK"))</f>
        <v/>
      </c>
    </row>
    <row r="18">
      <c r="A18" s="12" t="inlineStr">
        <is>
          <t>12-Monats-Liquidität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37" t="inlineStr">
        <is>
          <t>Monat</t>
        </is>
      </c>
      <c r="B19" s="42" t="inlineStr">
        <is>
          <t>Jan</t>
        </is>
      </c>
      <c r="C19" s="42" t="inlineStr">
        <is>
          <t>Feb</t>
        </is>
      </c>
      <c r="D19" s="42" t="inlineStr">
        <is>
          <t>Mrz</t>
        </is>
      </c>
      <c r="E19" s="42" t="inlineStr">
        <is>
          <t>Apr</t>
        </is>
      </c>
      <c r="F19" s="42" t="inlineStr">
        <is>
          <t>Mai</t>
        </is>
      </c>
      <c r="G19" s="42" t="inlineStr">
        <is>
          <t>Jun</t>
        </is>
      </c>
      <c r="H19" s="42" t="inlineStr">
        <is>
          <t>Jul</t>
        </is>
      </c>
      <c r="I19" s="42" t="inlineStr">
        <is>
          <t>Aug</t>
        </is>
      </c>
      <c r="J19" s="42" t="inlineStr">
        <is>
          <t>Sep</t>
        </is>
      </c>
      <c r="K19" s="42" t="inlineStr">
        <is>
          <t>Okt</t>
        </is>
      </c>
      <c r="L19" s="42" t="inlineStr">
        <is>
          <t>Nov</t>
        </is>
      </c>
      <c r="M19" s="42" t="inlineStr">
        <is>
          <t>Dez</t>
        </is>
      </c>
    </row>
    <row r="20">
      <c r="A20" t="inlineStr">
        <is>
          <t>Einzahlungen (Forecast brutto ca.)</t>
        </is>
      </c>
      <c r="B20" s="15">
        <f>'21_Forecast'!B20*1.19</f>
        <v/>
      </c>
      <c r="C20" s="15">
        <f>'21_Forecast'!C20*1.19</f>
        <v/>
      </c>
      <c r="D20" s="15">
        <f>'21_Forecast'!D20*1.19</f>
        <v/>
      </c>
      <c r="E20" s="15">
        <f>'21_Forecast'!E20*1.19</f>
        <v/>
      </c>
      <c r="F20" s="15">
        <f>'21_Forecast'!F20*1.19</f>
        <v/>
      </c>
      <c r="G20" s="15">
        <f>'21_Forecast'!G20*1.19</f>
        <v/>
      </c>
      <c r="H20" s="15">
        <f>'21_Forecast'!H20*1.19</f>
        <v/>
      </c>
      <c r="I20" s="15">
        <f>'21_Forecast'!I20*1.19</f>
        <v/>
      </c>
      <c r="J20" s="15">
        <f>'21_Forecast'!J20*1.19</f>
        <v/>
      </c>
      <c r="K20" s="15">
        <f>'21_Forecast'!K20*1.19</f>
        <v/>
      </c>
      <c r="L20" s="15">
        <f>'21_Forecast'!L20*1.19</f>
        <v/>
      </c>
      <c r="M20" s="15">
        <f>'21_Forecast'!M20*1.19</f>
        <v/>
      </c>
    </row>
    <row r="21">
      <c r="A21" t="inlineStr">
        <is>
          <t>Auszahlungen gesamt</t>
        </is>
      </c>
      <c r="B21" s="15">
        <f>'21_Forecast'!B21+'21_Forecast'!B22+'21_Forecast'!B23+'21_Forecast'!B24+'21_Forecast'!B25</f>
        <v/>
      </c>
      <c r="C21" s="15">
        <f>'21_Forecast'!C21+'21_Forecast'!C22+'21_Forecast'!C23+'21_Forecast'!C24+'21_Forecast'!C25</f>
        <v/>
      </c>
      <c r="D21" s="15">
        <f>'21_Forecast'!D21+'21_Forecast'!D22+'21_Forecast'!D23+'21_Forecast'!D24+'21_Forecast'!D25</f>
        <v/>
      </c>
      <c r="E21" s="15">
        <f>'21_Forecast'!E21+'21_Forecast'!E22+'21_Forecast'!E23+'21_Forecast'!E24+'21_Forecast'!E25</f>
        <v/>
      </c>
      <c r="F21" s="15">
        <f>'21_Forecast'!F21+'21_Forecast'!F22+'21_Forecast'!F23+'21_Forecast'!F24+'21_Forecast'!F25</f>
        <v/>
      </c>
      <c r="G21" s="15">
        <f>'21_Forecast'!G21+'21_Forecast'!G22+'21_Forecast'!G23+'21_Forecast'!G24+'21_Forecast'!G25</f>
        <v/>
      </c>
      <c r="H21" s="15">
        <f>'21_Forecast'!H21+'21_Forecast'!H22+'21_Forecast'!H23+'21_Forecast'!H24+'21_Forecast'!H25</f>
        <v/>
      </c>
      <c r="I21" s="15">
        <f>'21_Forecast'!I21+'21_Forecast'!I22+'21_Forecast'!I23+'21_Forecast'!I24+'21_Forecast'!I25</f>
        <v/>
      </c>
      <c r="J21" s="15">
        <f>'21_Forecast'!J21+'21_Forecast'!J22+'21_Forecast'!J23+'21_Forecast'!J24+'21_Forecast'!J25</f>
        <v/>
      </c>
      <c r="K21" s="15">
        <f>'21_Forecast'!K21+'21_Forecast'!K22+'21_Forecast'!K23+'21_Forecast'!K24+'21_Forecast'!K25</f>
        <v/>
      </c>
      <c r="L21" s="15">
        <f>'21_Forecast'!L21+'21_Forecast'!L22+'21_Forecast'!L23+'21_Forecast'!L24+'21_Forecast'!L25</f>
        <v/>
      </c>
      <c r="M21" s="15">
        <f>'21_Forecast'!M21+'21_Forecast'!M22+'21_Forecast'!M23+'21_Forecast'!M24+'21_Forecast'!M25</f>
        <v/>
      </c>
    </row>
    <row r="22">
      <c r="A22" t="inlineStr">
        <is>
          <t>Saldo Monat</t>
        </is>
      </c>
      <c r="B22" s="15">
        <f>B20-B21</f>
        <v/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5">
        <f>G20-G21</f>
        <v/>
      </c>
      <c r="H22" s="15">
        <f>H20-H21</f>
        <v/>
      </c>
      <c r="I22" s="15">
        <f>I20-I21</f>
        <v/>
      </c>
      <c r="J22" s="15">
        <f>J20-J21</f>
        <v/>
      </c>
      <c r="K22" s="15">
        <f>K20-K21</f>
        <v/>
      </c>
      <c r="L22" s="15">
        <f>L20-L21</f>
        <v/>
      </c>
      <c r="M22" s="15">
        <f>M20-M21</f>
        <v/>
      </c>
    </row>
    <row r="23">
      <c r="A23" t="inlineStr">
        <is>
          <t>Bestand kumuliert</t>
        </is>
      </c>
      <c r="B23" s="15">
        <f>AnfangsBank+B22</f>
        <v/>
      </c>
      <c r="C23" s="15">
        <f>B23+C22</f>
        <v/>
      </c>
      <c r="D23" s="15">
        <f>C23+D22</f>
        <v/>
      </c>
      <c r="E23" s="15">
        <f>D23+E22</f>
        <v/>
      </c>
      <c r="F23" s="15">
        <f>E23+F22</f>
        <v/>
      </c>
      <c r="G23" s="15">
        <f>F23+G22</f>
        <v/>
      </c>
      <c r="H23" s="15">
        <f>G23+H22</f>
        <v/>
      </c>
      <c r="I23" s="15">
        <f>H23+I22</f>
        <v/>
      </c>
      <c r="J23" s="15">
        <f>I23+J22</f>
        <v/>
      </c>
      <c r="K23" s="15">
        <f>J23+K22</f>
        <v/>
      </c>
      <c r="L23" s="15">
        <f>K23+L22</f>
        <v/>
      </c>
      <c r="M23" s="15">
        <f>L23+M22</f>
        <v/>
      </c>
    </row>
  </sheetData>
  <mergeCells count="4">
    <mergeCell ref="A18:N18"/>
    <mergeCell ref="A4:N4"/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C5282"/>
    <outlinePr summaryBelow="1" summaryRight="1"/>
    <pageSetUpPr/>
  </sheetPr>
  <dimension ref="A1:P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Cashflow-Rechnung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18" customHeight="1">
      <c r="A2" s="4" t="inlineStr">
        <is>
          <t>Operativer, investiver und finanzieller Cashflow aus Zahlungen — Monatsscheiben für das Geschäftsjahr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37" t="inlineStr">
        <is>
          <t>Position</t>
        </is>
      </c>
      <c r="B4" s="42" t="inlineStr">
        <is>
          <t>Jan</t>
        </is>
      </c>
      <c r="C4" s="42" t="inlineStr">
        <is>
          <t>Feb</t>
        </is>
      </c>
      <c r="D4" s="42" t="inlineStr">
        <is>
          <t>Mrz</t>
        </is>
      </c>
      <c r="E4" s="42" t="inlineStr">
        <is>
          <t>Apr</t>
        </is>
      </c>
      <c r="F4" s="42" t="inlineStr">
        <is>
          <t>Mai</t>
        </is>
      </c>
      <c r="G4" s="42" t="inlineStr">
        <is>
          <t>Jun</t>
        </is>
      </c>
      <c r="H4" s="42" t="inlineStr">
        <is>
          <t>Jul</t>
        </is>
      </c>
      <c r="I4" s="42" t="inlineStr">
        <is>
          <t>Aug</t>
        </is>
      </c>
      <c r="J4" s="42" t="inlineStr">
        <is>
          <t>Sep</t>
        </is>
      </c>
      <c r="K4" s="42" t="inlineStr">
        <is>
          <t>Okt</t>
        </is>
      </c>
      <c r="L4" s="42" t="inlineStr">
        <is>
          <t>Nov</t>
        </is>
      </c>
      <c r="M4" s="42" t="inlineStr">
        <is>
          <t>Dez</t>
        </is>
      </c>
      <c r="N4" s="43" t="inlineStr">
        <is>
          <t>GJ 2026</t>
        </is>
      </c>
      <c r="O4" s="3" t="n"/>
      <c r="P4" s="3" t="n"/>
    </row>
    <row r="5">
      <c r="A5" s="3" t="inlineStr">
        <is>
          <t>Einzahlungen Kunden</t>
        </is>
      </c>
      <c r="B5" s="15">
        <f>SUMIFS('15_Zahlungen'!$F:$F,'15_Zahlungen'!$C:$C,"Eingang",'15_Zahlungen'!$I:$I,1,'15_Zahlungen'!$J:$J,GJ)</f>
        <v/>
      </c>
      <c r="C5" s="15">
        <f>SUMIFS('15_Zahlungen'!$F:$F,'15_Zahlungen'!$C:$C,"Eingang",'15_Zahlungen'!$I:$I,2,'15_Zahlungen'!$J:$J,GJ)</f>
        <v/>
      </c>
      <c r="D5" s="15">
        <f>SUMIFS('15_Zahlungen'!$F:$F,'15_Zahlungen'!$C:$C,"Eingang",'15_Zahlungen'!$I:$I,3,'15_Zahlungen'!$J:$J,GJ)</f>
        <v/>
      </c>
      <c r="E5" s="15">
        <f>SUMIFS('15_Zahlungen'!$F:$F,'15_Zahlungen'!$C:$C,"Eingang",'15_Zahlungen'!$I:$I,4,'15_Zahlungen'!$J:$J,GJ)</f>
        <v/>
      </c>
      <c r="F5" s="15">
        <f>SUMIFS('15_Zahlungen'!$F:$F,'15_Zahlungen'!$C:$C,"Eingang",'15_Zahlungen'!$I:$I,5,'15_Zahlungen'!$J:$J,GJ)</f>
        <v/>
      </c>
      <c r="G5" s="15">
        <f>SUMIFS('15_Zahlungen'!$F:$F,'15_Zahlungen'!$C:$C,"Eingang",'15_Zahlungen'!$I:$I,6,'15_Zahlungen'!$J:$J,GJ)</f>
        <v/>
      </c>
      <c r="H5" s="15">
        <f>SUMIFS('15_Zahlungen'!$F:$F,'15_Zahlungen'!$C:$C,"Eingang",'15_Zahlungen'!$I:$I,7,'15_Zahlungen'!$J:$J,GJ)</f>
        <v/>
      </c>
      <c r="I5" s="15">
        <f>SUMIFS('15_Zahlungen'!$F:$F,'15_Zahlungen'!$C:$C,"Eingang",'15_Zahlungen'!$I:$I,8,'15_Zahlungen'!$J:$J,GJ)</f>
        <v/>
      </c>
      <c r="J5" s="15">
        <f>SUMIFS('15_Zahlungen'!$F:$F,'15_Zahlungen'!$C:$C,"Eingang",'15_Zahlungen'!$I:$I,9,'15_Zahlungen'!$J:$J,GJ)</f>
        <v/>
      </c>
      <c r="K5" s="15">
        <f>SUMIFS('15_Zahlungen'!$F:$F,'15_Zahlungen'!$C:$C,"Eingang",'15_Zahlungen'!$I:$I,10,'15_Zahlungen'!$J:$J,GJ)</f>
        <v/>
      </c>
      <c r="L5" s="15">
        <f>SUMIFS('15_Zahlungen'!$F:$F,'15_Zahlungen'!$C:$C,"Eingang",'15_Zahlungen'!$I:$I,11,'15_Zahlungen'!$J:$J,GJ)</f>
        <v/>
      </c>
      <c r="M5" s="15">
        <f>SUMIFS('15_Zahlungen'!$F:$F,'15_Zahlungen'!$C:$C,"Eingang",'15_Zahlungen'!$I:$I,12,'15_Zahlungen'!$J:$J,GJ)</f>
        <v/>
      </c>
      <c r="N5" s="15">
        <f>SUM(B5:M5)</f>
        <v/>
      </c>
      <c r="O5" s="3" t="n"/>
      <c r="P5" s="3" t="n"/>
    </row>
    <row r="6">
      <c r="A6" s="3" t="inlineStr">
        <is>
          <t>sonstige Einzahlungen</t>
        </is>
      </c>
      <c r="B6" s="15">
        <f>SUMIFS('15_Zahlungen'!$F:$F,'15_Zahlungen'!$C:$C,"Eingang",'15_Zahlungen'!$I:$I,1,'15_Zahlungen'!$J:$J,GJ,'15_Zahlungen'!$D:$D,"")</f>
        <v/>
      </c>
      <c r="C6" s="15">
        <f>SUMIFS('15_Zahlungen'!$F:$F,'15_Zahlungen'!$C:$C,"Eingang",'15_Zahlungen'!$I:$I,2,'15_Zahlungen'!$J:$J,GJ,'15_Zahlungen'!$D:$D,"")</f>
        <v/>
      </c>
      <c r="D6" s="15">
        <f>SUMIFS('15_Zahlungen'!$F:$F,'15_Zahlungen'!$C:$C,"Eingang",'15_Zahlungen'!$I:$I,3,'15_Zahlungen'!$J:$J,GJ,'15_Zahlungen'!$D:$D,"")</f>
        <v/>
      </c>
      <c r="E6" s="15">
        <f>SUMIFS('15_Zahlungen'!$F:$F,'15_Zahlungen'!$C:$C,"Eingang",'15_Zahlungen'!$I:$I,4,'15_Zahlungen'!$J:$J,GJ,'15_Zahlungen'!$D:$D,"")</f>
        <v/>
      </c>
      <c r="F6" s="15">
        <f>SUMIFS('15_Zahlungen'!$F:$F,'15_Zahlungen'!$C:$C,"Eingang",'15_Zahlungen'!$I:$I,5,'15_Zahlungen'!$J:$J,GJ,'15_Zahlungen'!$D:$D,"")</f>
        <v/>
      </c>
      <c r="G6" s="15">
        <f>SUMIFS('15_Zahlungen'!$F:$F,'15_Zahlungen'!$C:$C,"Eingang",'15_Zahlungen'!$I:$I,6,'15_Zahlungen'!$J:$J,GJ,'15_Zahlungen'!$D:$D,"")</f>
        <v/>
      </c>
      <c r="H6" s="15">
        <f>SUMIFS('15_Zahlungen'!$F:$F,'15_Zahlungen'!$C:$C,"Eingang",'15_Zahlungen'!$I:$I,7,'15_Zahlungen'!$J:$J,GJ,'15_Zahlungen'!$D:$D,"")</f>
        <v/>
      </c>
      <c r="I6" s="15">
        <f>SUMIFS('15_Zahlungen'!$F:$F,'15_Zahlungen'!$C:$C,"Eingang",'15_Zahlungen'!$I:$I,8,'15_Zahlungen'!$J:$J,GJ,'15_Zahlungen'!$D:$D,"")</f>
        <v/>
      </c>
      <c r="J6" s="15">
        <f>SUMIFS('15_Zahlungen'!$F:$F,'15_Zahlungen'!$C:$C,"Eingang",'15_Zahlungen'!$I:$I,9,'15_Zahlungen'!$J:$J,GJ,'15_Zahlungen'!$D:$D,"")</f>
        <v/>
      </c>
      <c r="K6" s="15">
        <f>SUMIFS('15_Zahlungen'!$F:$F,'15_Zahlungen'!$C:$C,"Eingang",'15_Zahlungen'!$I:$I,10,'15_Zahlungen'!$J:$J,GJ,'15_Zahlungen'!$D:$D,"")</f>
        <v/>
      </c>
      <c r="L6" s="15">
        <f>SUMIFS('15_Zahlungen'!$F:$F,'15_Zahlungen'!$C:$C,"Eingang",'15_Zahlungen'!$I:$I,11,'15_Zahlungen'!$J:$J,GJ,'15_Zahlungen'!$D:$D,"")</f>
        <v/>
      </c>
      <c r="M6" s="15">
        <f>SUMIFS('15_Zahlungen'!$F:$F,'15_Zahlungen'!$C:$C,"Eingang",'15_Zahlungen'!$I:$I,12,'15_Zahlungen'!$J:$J,GJ,'15_Zahlungen'!$D:$D,"")</f>
        <v/>
      </c>
      <c r="N6" s="15">
        <f>SUM(B6:M6)</f>
        <v/>
      </c>
      <c r="O6" s="3" t="n"/>
      <c r="P6" s="3" t="n"/>
    </row>
    <row r="7">
      <c r="A7" s="33" t="inlineStr">
        <is>
          <t>Auszahlungen Lieferanten / NU</t>
        </is>
      </c>
      <c r="B7" s="15">
        <f>SUMIFS('15_Zahlungen'!$F:$F,'15_Zahlungen'!$C:$C,"Ausgang",'15_Zahlungen'!$I:$I,1,'15_Zahlungen'!$J:$J,GJ)-SUMIFS('15_Zahlungen'!$F:$F,'15_Zahlungen'!$C:$C,"Ausgang",'15_Zahlungen'!$I:$I,1,'15_Zahlungen'!$J:$J,GJ,'15_Zahlungen'!$E:$E,"Personal")-SUMIFS('15_Zahlungen'!$F:$F,'15_Zahlungen'!$C:$C,"Ausgang",'15_Zahlungen'!$I:$I,1,'15_Zahlungen'!$J:$J,GJ,'15_Zahlungen'!$E:$E,"Finanzamt")-SUMIFS('15_Zahlungen'!$F:$F,'15_Zahlungen'!$C:$C,"Ausgang",'15_Zahlungen'!$I:$I,1,'15_Zahlungen'!$J:$J,GJ,'15_Zahlungen'!$E:$E,"Sozialkasse")</f>
        <v/>
      </c>
      <c r="C7" s="15">
        <f>SUMIFS('15_Zahlungen'!$F:$F,'15_Zahlungen'!$C:$C,"Ausgang",'15_Zahlungen'!$I:$I,2,'15_Zahlungen'!$J:$J,GJ)-SUMIFS('15_Zahlungen'!$F:$F,'15_Zahlungen'!$C:$C,"Ausgang",'15_Zahlungen'!$I:$I,2,'15_Zahlungen'!$J:$J,GJ,'15_Zahlungen'!$E:$E,"Personal")-SUMIFS('15_Zahlungen'!$F:$F,'15_Zahlungen'!$C:$C,"Ausgang",'15_Zahlungen'!$I:$I,2,'15_Zahlungen'!$J:$J,GJ,'15_Zahlungen'!$E:$E,"Finanzamt")-SUMIFS('15_Zahlungen'!$F:$F,'15_Zahlungen'!$C:$C,"Ausgang",'15_Zahlungen'!$I:$I,2,'15_Zahlungen'!$J:$J,GJ,'15_Zahlungen'!$E:$E,"Sozialkasse")</f>
        <v/>
      </c>
      <c r="D7" s="15">
        <f>SUMIFS('15_Zahlungen'!$F:$F,'15_Zahlungen'!$C:$C,"Ausgang",'15_Zahlungen'!$I:$I,3,'15_Zahlungen'!$J:$J,GJ)-SUMIFS('15_Zahlungen'!$F:$F,'15_Zahlungen'!$C:$C,"Ausgang",'15_Zahlungen'!$I:$I,3,'15_Zahlungen'!$J:$J,GJ,'15_Zahlungen'!$E:$E,"Personal")-SUMIFS('15_Zahlungen'!$F:$F,'15_Zahlungen'!$C:$C,"Ausgang",'15_Zahlungen'!$I:$I,3,'15_Zahlungen'!$J:$J,GJ,'15_Zahlungen'!$E:$E,"Finanzamt")-SUMIFS('15_Zahlungen'!$F:$F,'15_Zahlungen'!$C:$C,"Ausgang",'15_Zahlungen'!$I:$I,3,'15_Zahlungen'!$J:$J,GJ,'15_Zahlungen'!$E:$E,"Sozialkasse")</f>
        <v/>
      </c>
      <c r="E7" s="15">
        <f>SUMIFS('15_Zahlungen'!$F:$F,'15_Zahlungen'!$C:$C,"Ausgang",'15_Zahlungen'!$I:$I,4,'15_Zahlungen'!$J:$J,GJ)-SUMIFS('15_Zahlungen'!$F:$F,'15_Zahlungen'!$C:$C,"Ausgang",'15_Zahlungen'!$I:$I,4,'15_Zahlungen'!$J:$J,GJ,'15_Zahlungen'!$E:$E,"Personal")-SUMIFS('15_Zahlungen'!$F:$F,'15_Zahlungen'!$C:$C,"Ausgang",'15_Zahlungen'!$I:$I,4,'15_Zahlungen'!$J:$J,GJ,'15_Zahlungen'!$E:$E,"Finanzamt")-SUMIFS('15_Zahlungen'!$F:$F,'15_Zahlungen'!$C:$C,"Ausgang",'15_Zahlungen'!$I:$I,4,'15_Zahlungen'!$J:$J,GJ,'15_Zahlungen'!$E:$E,"Sozialkasse")</f>
        <v/>
      </c>
      <c r="F7" s="15">
        <f>SUMIFS('15_Zahlungen'!$F:$F,'15_Zahlungen'!$C:$C,"Ausgang",'15_Zahlungen'!$I:$I,5,'15_Zahlungen'!$J:$J,GJ)-SUMIFS('15_Zahlungen'!$F:$F,'15_Zahlungen'!$C:$C,"Ausgang",'15_Zahlungen'!$I:$I,5,'15_Zahlungen'!$J:$J,GJ,'15_Zahlungen'!$E:$E,"Personal")-SUMIFS('15_Zahlungen'!$F:$F,'15_Zahlungen'!$C:$C,"Ausgang",'15_Zahlungen'!$I:$I,5,'15_Zahlungen'!$J:$J,GJ,'15_Zahlungen'!$E:$E,"Finanzamt")-SUMIFS('15_Zahlungen'!$F:$F,'15_Zahlungen'!$C:$C,"Ausgang",'15_Zahlungen'!$I:$I,5,'15_Zahlungen'!$J:$J,GJ,'15_Zahlungen'!$E:$E,"Sozialkasse")</f>
        <v/>
      </c>
      <c r="G7" s="15">
        <f>SUMIFS('15_Zahlungen'!$F:$F,'15_Zahlungen'!$C:$C,"Ausgang",'15_Zahlungen'!$I:$I,6,'15_Zahlungen'!$J:$J,GJ)-SUMIFS('15_Zahlungen'!$F:$F,'15_Zahlungen'!$C:$C,"Ausgang",'15_Zahlungen'!$I:$I,6,'15_Zahlungen'!$J:$J,GJ,'15_Zahlungen'!$E:$E,"Personal")-SUMIFS('15_Zahlungen'!$F:$F,'15_Zahlungen'!$C:$C,"Ausgang",'15_Zahlungen'!$I:$I,6,'15_Zahlungen'!$J:$J,GJ,'15_Zahlungen'!$E:$E,"Finanzamt")-SUMIFS('15_Zahlungen'!$F:$F,'15_Zahlungen'!$C:$C,"Ausgang",'15_Zahlungen'!$I:$I,6,'15_Zahlungen'!$J:$J,GJ,'15_Zahlungen'!$E:$E,"Sozialkasse")</f>
        <v/>
      </c>
      <c r="H7" s="15">
        <f>SUMIFS('15_Zahlungen'!$F:$F,'15_Zahlungen'!$C:$C,"Ausgang",'15_Zahlungen'!$I:$I,7,'15_Zahlungen'!$J:$J,GJ)-SUMIFS('15_Zahlungen'!$F:$F,'15_Zahlungen'!$C:$C,"Ausgang",'15_Zahlungen'!$I:$I,7,'15_Zahlungen'!$J:$J,GJ,'15_Zahlungen'!$E:$E,"Personal")-SUMIFS('15_Zahlungen'!$F:$F,'15_Zahlungen'!$C:$C,"Ausgang",'15_Zahlungen'!$I:$I,7,'15_Zahlungen'!$J:$J,GJ,'15_Zahlungen'!$E:$E,"Finanzamt")-SUMIFS('15_Zahlungen'!$F:$F,'15_Zahlungen'!$C:$C,"Ausgang",'15_Zahlungen'!$I:$I,7,'15_Zahlungen'!$J:$J,GJ,'15_Zahlungen'!$E:$E,"Sozialkasse")</f>
        <v/>
      </c>
      <c r="I7" s="15">
        <f>SUMIFS('15_Zahlungen'!$F:$F,'15_Zahlungen'!$C:$C,"Ausgang",'15_Zahlungen'!$I:$I,8,'15_Zahlungen'!$J:$J,GJ)-SUMIFS('15_Zahlungen'!$F:$F,'15_Zahlungen'!$C:$C,"Ausgang",'15_Zahlungen'!$I:$I,8,'15_Zahlungen'!$J:$J,GJ,'15_Zahlungen'!$E:$E,"Personal")-SUMIFS('15_Zahlungen'!$F:$F,'15_Zahlungen'!$C:$C,"Ausgang",'15_Zahlungen'!$I:$I,8,'15_Zahlungen'!$J:$J,GJ,'15_Zahlungen'!$E:$E,"Finanzamt")-SUMIFS('15_Zahlungen'!$F:$F,'15_Zahlungen'!$C:$C,"Ausgang",'15_Zahlungen'!$I:$I,8,'15_Zahlungen'!$J:$J,GJ,'15_Zahlungen'!$E:$E,"Sozialkasse")</f>
        <v/>
      </c>
      <c r="J7" s="15">
        <f>SUMIFS('15_Zahlungen'!$F:$F,'15_Zahlungen'!$C:$C,"Ausgang",'15_Zahlungen'!$I:$I,9,'15_Zahlungen'!$J:$J,GJ)-SUMIFS('15_Zahlungen'!$F:$F,'15_Zahlungen'!$C:$C,"Ausgang",'15_Zahlungen'!$I:$I,9,'15_Zahlungen'!$J:$J,GJ,'15_Zahlungen'!$E:$E,"Personal")-SUMIFS('15_Zahlungen'!$F:$F,'15_Zahlungen'!$C:$C,"Ausgang",'15_Zahlungen'!$I:$I,9,'15_Zahlungen'!$J:$J,GJ,'15_Zahlungen'!$E:$E,"Finanzamt")-SUMIFS('15_Zahlungen'!$F:$F,'15_Zahlungen'!$C:$C,"Ausgang",'15_Zahlungen'!$I:$I,9,'15_Zahlungen'!$J:$J,GJ,'15_Zahlungen'!$E:$E,"Sozialkasse")</f>
        <v/>
      </c>
      <c r="K7" s="15">
        <f>SUMIFS('15_Zahlungen'!$F:$F,'15_Zahlungen'!$C:$C,"Ausgang",'15_Zahlungen'!$I:$I,10,'15_Zahlungen'!$J:$J,GJ)-SUMIFS('15_Zahlungen'!$F:$F,'15_Zahlungen'!$C:$C,"Ausgang",'15_Zahlungen'!$I:$I,10,'15_Zahlungen'!$J:$J,GJ,'15_Zahlungen'!$E:$E,"Personal")-SUMIFS('15_Zahlungen'!$F:$F,'15_Zahlungen'!$C:$C,"Ausgang",'15_Zahlungen'!$I:$I,10,'15_Zahlungen'!$J:$J,GJ,'15_Zahlungen'!$E:$E,"Finanzamt")-SUMIFS('15_Zahlungen'!$F:$F,'15_Zahlungen'!$C:$C,"Ausgang",'15_Zahlungen'!$I:$I,10,'15_Zahlungen'!$J:$J,GJ,'15_Zahlungen'!$E:$E,"Sozialkasse")</f>
        <v/>
      </c>
      <c r="L7" s="15">
        <f>SUMIFS('15_Zahlungen'!$F:$F,'15_Zahlungen'!$C:$C,"Ausgang",'15_Zahlungen'!$I:$I,11,'15_Zahlungen'!$J:$J,GJ)-SUMIFS('15_Zahlungen'!$F:$F,'15_Zahlungen'!$C:$C,"Ausgang",'15_Zahlungen'!$I:$I,11,'15_Zahlungen'!$J:$J,GJ,'15_Zahlungen'!$E:$E,"Personal")-SUMIFS('15_Zahlungen'!$F:$F,'15_Zahlungen'!$C:$C,"Ausgang",'15_Zahlungen'!$I:$I,11,'15_Zahlungen'!$J:$J,GJ,'15_Zahlungen'!$E:$E,"Finanzamt")-SUMIFS('15_Zahlungen'!$F:$F,'15_Zahlungen'!$C:$C,"Ausgang",'15_Zahlungen'!$I:$I,11,'15_Zahlungen'!$J:$J,GJ,'15_Zahlungen'!$E:$E,"Sozialkasse")</f>
        <v/>
      </c>
      <c r="M7" s="15">
        <f>SUMIFS('15_Zahlungen'!$F:$F,'15_Zahlungen'!$C:$C,"Ausgang",'15_Zahlungen'!$I:$I,12,'15_Zahlungen'!$J:$J,GJ)-SUMIFS('15_Zahlungen'!$F:$F,'15_Zahlungen'!$C:$C,"Ausgang",'15_Zahlungen'!$I:$I,12,'15_Zahlungen'!$J:$J,GJ,'15_Zahlungen'!$E:$E,"Personal")-SUMIFS('15_Zahlungen'!$F:$F,'15_Zahlungen'!$C:$C,"Ausgang",'15_Zahlungen'!$I:$I,12,'15_Zahlungen'!$J:$J,GJ,'15_Zahlungen'!$E:$E,"Finanzamt")-SUMIFS('15_Zahlungen'!$F:$F,'15_Zahlungen'!$C:$C,"Ausgang",'15_Zahlungen'!$I:$I,12,'15_Zahlungen'!$J:$J,GJ,'15_Zahlungen'!$E:$E,"Sozialkasse")</f>
        <v/>
      </c>
      <c r="N7" s="15">
        <f>SUM(B7:M7)</f>
        <v/>
      </c>
    </row>
    <row r="8">
      <c r="A8" s="33" t="inlineStr">
        <is>
          <t>Löhne / Gehälter</t>
        </is>
      </c>
      <c r="B8" s="15">
        <f>SUMIFS('15_Zahlungen'!$F:$F,'15_Zahlungen'!$C:$C,"Ausgang",'15_Zahlungen'!$I:$I,1,'15_Zahlungen'!$J:$J,GJ,'15_Zahlungen'!$E:$E,"Personal")</f>
        <v/>
      </c>
      <c r="C8" s="15">
        <f>SUMIFS('15_Zahlungen'!$F:$F,'15_Zahlungen'!$C:$C,"Ausgang",'15_Zahlungen'!$I:$I,2,'15_Zahlungen'!$J:$J,GJ,'15_Zahlungen'!$E:$E,"Personal")</f>
        <v/>
      </c>
      <c r="D8" s="15">
        <f>SUMIFS('15_Zahlungen'!$F:$F,'15_Zahlungen'!$C:$C,"Ausgang",'15_Zahlungen'!$I:$I,3,'15_Zahlungen'!$J:$J,GJ,'15_Zahlungen'!$E:$E,"Personal")</f>
        <v/>
      </c>
      <c r="E8" s="15">
        <f>SUMIFS('15_Zahlungen'!$F:$F,'15_Zahlungen'!$C:$C,"Ausgang",'15_Zahlungen'!$I:$I,4,'15_Zahlungen'!$J:$J,GJ,'15_Zahlungen'!$E:$E,"Personal")</f>
        <v/>
      </c>
      <c r="F8" s="15">
        <f>SUMIFS('15_Zahlungen'!$F:$F,'15_Zahlungen'!$C:$C,"Ausgang",'15_Zahlungen'!$I:$I,5,'15_Zahlungen'!$J:$J,GJ,'15_Zahlungen'!$E:$E,"Personal")</f>
        <v/>
      </c>
      <c r="G8" s="15">
        <f>SUMIFS('15_Zahlungen'!$F:$F,'15_Zahlungen'!$C:$C,"Ausgang",'15_Zahlungen'!$I:$I,6,'15_Zahlungen'!$J:$J,GJ,'15_Zahlungen'!$E:$E,"Personal")</f>
        <v/>
      </c>
      <c r="H8" s="15">
        <f>SUMIFS('15_Zahlungen'!$F:$F,'15_Zahlungen'!$C:$C,"Ausgang",'15_Zahlungen'!$I:$I,7,'15_Zahlungen'!$J:$J,GJ,'15_Zahlungen'!$E:$E,"Personal")</f>
        <v/>
      </c>
      <c r="I8" s="15">
        <f>SUMIFS('15_Zahlungen'!$F:$F,'15_Zahlungen'!$C:$C,"Ausgang",'15_Zahlungen'!$I:$I,8,'15_Zahlungen'!$J:$J,GJ,'15_Zahlungen'!$E:$E,"Personal")</f>
        <v/>
      </c>
      <c r="J8" s="15">
        <f>SUMIFS('15_Zahlungen'!$F:$F,'15_Zahlungen'!$C:$C,"Ausgang",'15_Zahlungen'!$I:$I,9,'15_Zahlungen'!$J:$J,GJ,'15_Zahlungen'!$E:$E,"Personal")</f>
        <v/>
      </c>
      <c r="K8" s="15">
        <f>SUMIFS('15_Zahlungen'!$F:$F,'15_Zahlungen'!$C:$C,"Ausgang",'15_Zahlungen'!$I:$I,10,'15_Zahlungen'!$J:$J,GJ,'15_Zahlungen'!$E:$E,"Personal")</f>
        <v/>
      </c>
      <c r="L8" s="15">
        <f>SUMIFS('15_Zahlungen'!$F:$F,'15_Zahlungen'!$C:$C,"Ausgang",'15_Zahlungen'!$I:$I,11,'15_Zahlungen'!$J:$J,GJ,'15_Zahlungen'!$E:$E,"Personal")</f>
        <v/>
      </c>
      <c r="M8" s="15">
        <f>SUMIFS('15_Zahlungen'!$F:$F,'15_Zahlungen'!$C:$C,"Ausgang",'15_Zahlungen'!$I:$I,12,'15_Zahlungen'!$J:$J,GJ,'15_Zahlungen'!$E:$E,"Personal")</f>
        <v/>
      </c>
      <c r="N8" s="15">
        <f>SUM(B8:M8)</f>
        <v/>
      </c>
    </row>
    <row r="9">
      <c r="A9" s="33" t="inlineStr">
        <is>
          <t>Steuern / SV / Soka</t>
        </is>
      </c>
      <c r="B9" s="15">
        <f>SUMIFS('15_Zahlungen'!$F:$F,'15_Zahlungen'!$C:$C,"Ausgang",'15_Zahlungen'!$I:$I,1,'15_Zahlungen'!$J:$J,GJ,'15_Zahlungen'!$E:$E,"Finanzamt")+SUMIFS('15_Zahlungen'!$F:$F,'15_Zahlungen'!$C:$C,"Ausgang",'15_Zahlungen'!$I:$I,1,'15_Zahlungen'!$J:$J,GJ,'15_Zahlungen'!$E:$E,"Sozialkasse")</f>
        <v/>
      </c>
      <c r="C9" s="15">
        <f>SUMIFS('15_Zahlungen'!$F:$F,'15_Zahlungen'!$C:$C,"Ausgang",'15_Zahlungen'!$I:$I,2,'15_Zahlungen'!$J:$J,GJ,'15_Zahlungen'!$E:$E,"Finanzamt")+SUMIFS('15_Zahlungen'!$F:$F,'15_Zahlungen'!$C:$C,"Ausgang",'15_Zahlungen'!$I:$I,2,'15_Zahlungen'!$J:$J,GJ,'15_Zahlungen'!$E:$E,"Sozialkasse")</f>
        <v/>
      </c>
      <c r="D9" s="15">
        <f>SUMIFS('15_Zahlungen'!$F:$F,'15_Zahlungen'!$C:$C,"Ausgang",'15_Zahlungen'!$I:$I,3,'15_Zahlungen'!$J:$J,GJ,'15_Zahlungen'!$E:$E,"Finanzamt")+SUMIFS('15_Zahlungen'!$F:$F,'15_Zahlungen'!$C:$C,"Ausgang",'15_Zahlungen'!$I:$I,3,'15_Zahlungen'!$J:$J,GJ,'15_Zahlungen'!$E:$E,"Sozialkasse")</f>
        <v/>
      </c>
      <c r="E9" s="15">
        <f>SUMIFS('15_Zahlungen'!$F:$F,'15_Zahlungen'!$C:$C,"Ausgang",'15_Zahlungen'!$I:$I,4,'15_Zahlungen'!$J:$J,GJ,'15_Zahlungen'!$E:$E,"Finanzamt")+SUMIFS('15_Zahlungen'!$F:$F,'15_Zahlungen'!$C:$C,"Ausgang",'15_Zahlungen'!$I:$I,4,'15_Zahlungen'!$J:$J,GJ,'15_Zahlungen'!$E:$E,"Sozialkasse")</f>
        <v/>
      </c>
      <c r="F9" s="15">
        <f>SUMIFS('15_Zahlungen'!$F:$F,'15_Zahlungen'!$C:$C,"Ausgang",'15_Zahlungen'!$I:$I,5,'15_Zahlungen'!$J:$J,GJ,'15_Zahlungen'!$E:$E,"Finanzamt")+SUMIFS('15_Zahlungen'!$F:$F,'15_Zahlungen'!$C:$C,"Ausgang",'15_Zahlungen'!$I:$I,5,'15_Zahlungen'!$J:$J,GJ,'15_Zahlungen'!$E:$E,"Sozialkasse")</f>
        <v/>
      </c>
      <c r="G9" s="15">
        <f>SUMIFS('15_Zahlungen'!$F:$F,'15_Zahlungen'!$C:$C,"Ausgang",'15_Zahlungen'!$I:$I,6,'15_Zahlungen'!$J:$J,GJ,'15_Zahlungen'!$E:$E,"Finanzamt")+SUMIFS('15_Zahlungen'!$F:$F,'15_Zahlungen'!$C:$C,"Ausgang",'15_Zahlungen'!$I:$I,6,'15_Zahlungen'!$J:$J,GJ,'15_Zahlungen'!$E:$E,"Sozialkasse")</f>
        <v/>
      </c>
      <c r="H9" s="15">
        <f>SUMIFS('15_Zahlungen'!$F:$F,'15_Zahlungen'!$C:$C,"Ausgang",'15_Zahlungen'!$I:$I,7,'15_Zahlungen'!$J:$J,GJ,'15_Zahlungen'!$E:$E,"Finanzamt")+SUMIFS('15_Zahlungen'!$F:$F,'15_Zahlungen'!$C:$C,"Ausgang",'15_Zahlungen'!$I:$I,7,'15_Zahlungen'!$J:$J,GJ,'15_Zahlungen'!$E:$E,"Sozialkasse")</f>
        <v/>
      </c>
      <c r="I9" s="15">
        <f>SUMIFS('15_Zahlungen'!$F:$F,'15_Zahlungen'!$C:$C,"Ausgang",'15_Zahlungen'!$I:$I,8,'15_Zahlungen'!$J:$J,GJ,'15_Zahlungen'!$E:$E,"Finanzamt")+SUMIFS('15_Zahlungen'!$F:$F,'15_Zahlungen'!$C:$C,"Ausgang",'15_Zahlungen'!$I:$I,8,'15_Zahlungen'!$J:$J,GJ,'15_Zahlungen'!$E:$E,"Sozialkasse")</f>
        <v/>
      </c>
      <c r="J9" s="15">
        <f>SUMIFS('15_Zahlungen'!$F:$F,'15_Zahlungen'!$C:$C,"Ausgang",'15_Zahlungen'!$I:$I,9,'15_Zahlungen'!$J:$J,GJ,'15_Zahlungen'!$E:$E,"Finanzamt")+SUMIFS('15_Zahlungen'!$F:$F,'15_Zahlungen'!$C:$C,"Ausgang",'15_Zahlungen'!$I:$I,9,'15_Zahlungen'!$J:$J,GJ,'15_Zahlungen'!$E:$E,"Sozialkasse")</f>
        <v/>
      </c>
      <c r="K9" s="15">
        <f>SUMIFS('15_Zahlungen'!$F:$F,'15_Zahlungen'!$C:$C,"Ausgang",'15_Zahlungen'!$I:$I,10,'15_Zahlungen'!$J:$J,GJ,'15_Zahlungen'!$E:$E,"Finanzamt")+SUMIFS('15_Zahlungen'!$F:$F,'15_Zahlungen'!$C:$C,"Ausgang",'15_Zahlungen'!$I:$I,10,'15_Zahlungen'!$J:$J,GJ,'15_Zahlungen'!$E:$E,"Sozialkasse")</f>
        <v/>
      </c>
      <c r="L9" s="15">
        <f>SUMIFS('15_Zahlungen'!$F:$F,'15_Zahlungen'!$C:$C,"Ausgang",'15_Zahlungen'!$I:$I,11,'15_Zahlungen'!$J:$J,GJ,'15_Zahlungen'!$E:$E,"Finanzamt")+SUMIFS('15_Zahlungen'!$F:$F,'15_Zahlungen'!$C:$C,"Ausgang",'15_Zahlungen'!$I:$I,11,'15_Zahlungen'!$J:$J,GJ,'15_Zahlungen'!$E:$E,"Sozialkasse")</f>
        <v/>
      </c>
      <c r="M9" s="15">
        <f>SUMIFS('15_Zahlungen'!$F:$F,'15_Zahlungen'!$C:$C,"Ausgang",'15_Zahlungen'!$I:$I,12,'15_Zahlungen'!$J:$J,GJ,'15_Zahlungen'!$E:$E,"Finanzamt")+SUMIFS('15_Zahlungen'!$F:$F,'15_Zahlungen'!$C:$C,"Ausgang",'15_Zahlungen'!$I:$I,12,'15_Zahlungen'!$J:$J,GJ,'15_Zahlungen'!$E:$E,"Sozialkasse")</f>
        <v/>
      </c>
      <c r="N9" s="15">
        <f>SUM(B9:M9)</f>
        <v/>
      </c>
    </row>
    <row r="10">
      <c r="A10" s="33" t="inlineStr">
        <is>
          <t>sonstige Auszahlungen</t>
        </is>
      </c>
      <c r="B10" s="15" t="inlineStr">
        <is>
          <t>0</t>
        </is>
      </c>
      <c r="C10" s="15" t="inlineStr">
        <is>
          <t>0</t>
        </is>
      </c>
      <c r="D10" s="15" t="inlineStr">
        <is>
          <t>0</t>
        </is>
      </c>
      <c r="E10" s="15" t="inlineStr">
        <is>
          <t>0</t>
        </is>
      </c>
      <c r="F10" s="15" t="inlineStr">
        <is>
          <t>0</t>
        </is>
      </c>
      <c r="G10" s="15" t="inlineStr">
        <is>
          <t>0</t>
        </is>
      </c>
      <c r="H10" s="15" t="inlineStr">
        <is>
          <t>0</t>
        </is>
      </c>
      <c r="I10" s="15" t="inlineStr">
        <is>
          <t>0</t>
        </is>
      </c>
      <c r="J10" s="15" t="inlineStr">
        <is>
          <t>0</t>
        </is>
      </c>
      <c r="K10" s="15" t="inlineStr">
        <is>
          <t>0</t>
        </is>
      </c>
      <c r="L10" s="15" t="inlineStr">
        <is>
          <t>0</t>
        </is>
      </c>
      <c r="M10" s="15" t="inlineStr">
        <is>
          <t>0</t>
        </is>
      </c>
      <c r="N10" s="15">
        <f>SUM(B10:M10)</f>
        <v/>
      </c>
    </row>
    <row r="12">
      <c r="A12" s="40" t="inlineStr">
        <is>
          <t>Cashflow operativ</t>
        </is>
      </c>
      <c r="B12" s="41">
        <f>B5+B6-B7-B8-B9-B10</f>
        <v/>
      </c>
      <c r="C12" s="41">
        <f>C5+C6-C7-C8-C9-C10</f>
        <v/>
      </c>
      <c r="D12" s="41">
        <f>D5+D6-D7-D8-D9-D10</f>
        <v/>
      </c>
      <c r="E12" s="41">
        <f>E5+E6-E7-E8-E9-E10</f>
        <v/>
      </c>
      <c r="F12" s="41">
        <f>F5+F6-F7-F8-F9-F10</f>
        <v/>
      </c>
      <c r="G12" s="41">
        <f>G5+G6-G7-G8-G9-G10</f>
        <v/>
      </c>
      <c r="H12" s="41">
        <f>H5+H6-H7-H8-H9-H10</f>
        <v/>
      </c>
      <c r="I12" s="41">
        <f>I5+I6-I7-I8-I9-I10</f>
        <v/>
      </c>
      <c r="J12" s="41">
        <f>J5+J6-J7-J8-J9-J10</f>
        <v/>
      </c>
      <c r="K12" s="41">
        <f>K5+K6-K7-K8-K9-K10</f>
        <v/>
      </c>
      <c r="L12" s="41">
        <f>L5+L6-L7-L8-L9-L10</f>
        <v/>
      </c>
      <c r="M12" s="41">
        <f>M5+M6-M7-M8-M9-M10</f>
        <v/>
      </c>
      <c r="N12" s="41">
        <f>N5+N6-N7-N8-N9-N10</f>
        <v/>
      </c>
    </row>
    <row r="14">
      <c r="A14" t="inlineStr">
        <is>
          <t>Investitionen Geräte (manuell)</t>
        </is>
      </c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15">
        <f>SUM(B14:M14)</f>
        <v/>
      </c>
    </row>
    <row r="15">
      <c r="A15" t="inlineStr">
        <is>
          <t>Kreditaufnahme / Tilgung (manuell)</t>
        </is>
      </c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15">
        <f>SUM(B15:M15)</f>
        <v/>
      </c>
    </row>
    <row r="16">
      <c r="A16" s="40" t="inlineStr">
        <is>
          <t>Cashflow gesamt</t>
        </is>
      </c>
      <c r="B16" s="15">
        <f>B12-B14+B15</f>
        <v/>
      </c>
      <c r="C16" s="15">
        <f>C12-C14+C15</f>
        <v/>
      </c>
      <c r="D16" s="15">
        <f>D12-D14+D15</f>
        <v/>
      </c>
      <c r="E16" s="15">
        <f>E12-E14+E15</f>
        <v/>
      </c>
      <c r="F16" s="15">
        <f>F12-F14+F15</f>
        <v/>
      </c>
      <c r="G16" s="15">
        <f>G12-G14+G15</f>
        <v/>
      </c>
      <c r="H16" s="15">
        <f>H12-H14+H15</f>
        <v/>
      </c>
      <c r="I16" s="15">
        <f>I12-I14+I15</f>
        <v/>
      </c>
      <c r="J16" s="15">
        <f>J12-J14+J15</f>
        <v/>
      </c>
      <c r="K16" s="15">
        <f>K12-K14+K15</f>
        <v/>
      </c>
      <c r="L16" s="15">
        <f>L12-L14+L15</f>
        <v/>
      </c>
      <c r="M16" s="15">
        <f>M12-M14+M15</f>
        <v/>
      </c>
      <c r="N16" s="15">
        <f>SUM(B16:M16)</f>
        <v/>
      </c>
    </row>
    <row r="18">
      <c r="A18" t="inlineStr">
        <is>
          <t>Endbestand Bank (kumuliert aus Anfangsbestand)</t>
        </is>
      </c>
      <c r="B18" s="15">
        <f>AnfangsBank+B16</f>
        <v/>
      </c>
      <c r="C18" s="15">
        <f>B18+C16</f>
        <v/>
      </c>
      <c r="D18" s="15">
        <f>C18+D16</f>
        <v/>
      </c>
      <c r="E18" s="15">
        <f>D18+E16</f>
        <v/>
      </c>
      <c r="F18" s="15">
        <f>E18+F16</f>
        <v/>
      </c>
      <c r="G18" s="15">
        <f>F18+G16</f>
        <v/>
      </c>
      <c r="H18" s="15">
        <f>G18+H16</f>
        <v/>
      </c>
      <c r="I18" s="15">
        <f>H18+I16</f>
        <v/>
      </c>
      <c r="J18" s="15">
        <f>I18+J16</f>
        <v/>
      </c>
      <c r="K18" s="15">
        <f>J18+K16</f>
        <v/>
      </c>
      <c r="L18" s="15">
        <f>K18+L16</f>
        <v/>
      </c>
      <c r="M18" s="15">
        <f>L18+M16</f>
        <v/>
      </c>
      <c r="N18" s="15">
        <f>M18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C5282"/>
    <outlinePr summaryBelow="1" summaryRight="1"/>
    <pageSetUpPr/>
  </sheetPr>
  <dimension ref="A1:P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1" t="inlineStr">
        <is>
          <t>Forecast Umsatz, Kosten, Ergebnis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4" t="inlineStr">
        <is>
          <t>Plan (Budget) · Forecast (rollierend) · Ist aus Rechnungen und Kosten · Abweichung für die Geschäftsleitung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37" t="inlineStr">
        <is>
          <t>Kennzahl</t>
        </is>
      </c>
      <c r="B3" s="42" t="inlineStr">
        <is>
          <t>Jan</t>
        </is>
      </c>
      <c r="C3" s="42" t="inlineStr">
        <is>
          <t>Feb</t>
        </is>
      </c>
      <c r="D3" s="42" t="inlineStr">
        <is>
          <t>Mrz</t>
        </is>
      </c>
      <c r="E3" s="42" t="inlineStr">
        <is>
          <t>Apr</t>
        </is>
      </c>
      <c r="F3" s="42" t="inlineStr">
        <is>
          <t>Mai</t>
        </is>
      </c>
      <c r="G3" s="42" t="inlineStr">
        <is>
          <t>Jun</t>
        </is>
      </c>
      <c r="H3" s="42" t="inlineStr">
        <is>
          <t>Jul</t>
        </is>
      </c>
      <c r="I3" s="42" t="inlineStr">
        <is>
          <t>Aug</t>
        </is>
      </c>
      <c r="J3" s="42" t="inlineStr">
        <is>
          <t>Sep</t>
        </is>
      </c>
      <c r="K3" s="42" t="inlineStr">
        <is>
          <t>Okt</t>
        </is>
      </c>
      <c r="L3" s="42" t="inlineStr">
        <is>
          <t>Nov</t>
        </is>
      </c>
      <c r="M3" s="42" t="inlineStr">
        <is>
          <t>Dez</t>
        </is>
      </c>
      <c r="N3" s="43" t="inlineStr">
        <is>
          <t>Jahr</t>
        </is>
      </c>
      <c r="O3" s="3" t="n"/>
      <c r="P3" s="3" t="n"/>
    </row>
    <row r="4">
      <c r="A4" s="3" t="inlineStr">
        <is>
          <t>Umsatz Plan</t>
        </is>
      </c>
      <c r="B4" s="34" t="n">
        <v>210000</v>
      </c>
      <c r="C4" s="34" t="n">
        <v>280000</v>
      </c>
      <c r="D4" s="34" t="n">
        <v>340000</v>
      </c>
      <c r="E4" s="34" t="n">
        <v>410000</v>
      </c>
      <c r="F4" s="34" t="n">
        <v>455000</v>
      </c>
      <c r="G4" s="34" t="n">
        <v>490000</v>
      </c>
      <c r="H4" s="34" t="n">
        <v>520000</v>
      </c>
      <c r="I4" s="34" t="n">
        <v>505000</v>
      </c>
      <c r="J4" s="34" t="n">
        <v>560000</v>
      </c>
      <c r="K4" s="34" t="n">
        <v>610000</v>
      </c>
      <c r="L4" s="34" t="n">
        <v>580000</v>
      </c>
      <c r="M4" s="34" t="n">
        <v>420000</v>
      </c>
      <c r="N4" s="15">
        <f>SUM(B4:M4)</f>
        <v/>
      </c>
      <c r="O4" s="3" t="n"/>
      <c r="P4" s="3" t="n"/>
    </row>
    <row r="5">
      <c r="A5" s="3" t="inlineStr">
        <is>
          <t>Material Plan</t>
        </is>
      </c>
      <c r="B5" s="34" t="n">
        <v>72000</v>
      </c>
      <c r="C5" s="34" t="n">
        <v>95000</v>
      </c>
      <c r="D5" s="34" t="n">
        <v>118000</v>
      </c>
      <c r="E5" s="34" t="n">
        <v>145000</v>
      </c>
      <c r="F5" s="34" t="n">
        <v>152000</v>
      </c>
      <c r="G5" s="34" t="n">
        <v>168000</v>
      </c>
      <c r="H5" s="34" t="n">
        <v>175000</v>
      </c>
      <c r="I5" s="34" t="n">
        <v>162000</v>
      </c>
      <c r="J5" s="34" t="n">
        <v>188000</v>
      </c>
      <c r="K5" s="34" t="n">
        <v>205000</v>
      </c>
      <c r="L5" s="34" t="n">
        <v>190000</v>
      </c>
      <c r="M5" s="34" t="n">
        <v>130000</v>
      </c>
      <c r="N5" s="15">
        <f>SUM(B5:M5)</f>
        <v/>
      </c>
      <c r="O5" s="3" t="n"/>
      <c r="P5" s="3" t="n"/>
    </row>
    <row r="6">
      <c r="A6" s="3" t="inlineStr">
        <is>
          <t>Nachunternehmer Plan</t>
        </is>
      </c>
      <c r="B6" s="34" t="n">
        <v>28000</v>
      </c>
      <c r="C6" s="34" t="n">
        <v>42000</v>
      </c>
      <c r="D6" s="34" t="n">
        <v>55000</v>
      </c>
      <c r="E6" s="34" t="n">
        <v>68000</v>
      </c>
      <c r="F6" s="34" t="n">
        <v>74000</v>
      </c>
      <c r="G6" s="34" t="n">
        <v>82000</v>
      </c>
      <c r="H6" s="34" t="n">
        <v>90000</v>
      </c>
      <c r="I6" s="34" t="n">
        <v>88000</v>
      </c>
      <c r="J6" s="34" t="n">
        <v>96000</v>
      </c>
      <c r="K6" s="34" t="n">
        <v>110000</v>
      </c>
      <c r="L6" s="34" t="n">
        <v>98000</v>
      </c>
      <c r="M6" s="34" t="n">
        <v>62000</v>
      </c>
      <c r="N6" s="15">
        <f>SUM(B6:M6)</f>
        <v/>
      </c>
      <c r="O6" s="3" t="n"/>
      <c r="P6" s="3" t="n"/>
    </row>
    <row r="7">
      <c r="A7" s="33" t="inlineStr">
        <is>
          <t>Personal Plan</t>
        </is>
      </c>
      <c r="B7" s="34" t="n">
        <v>72000</v>
      </c>
      <c r="C7" s="34" t="n">
        <v>72000</v>
      </c>
      <c r="D7" s="34" t="n">
        <v>74000</v>
      </c>
      <c r="E7" s="34" t="n">
        <v>76000</v>
      </c>
      <c r="F7" s="34" t="n">
        <v>78000</v>
      </c>
      <c r="G7" s="34" t="n">
        <v>78000</v>
      </c>
      <c r="H7" s="34" t="n">
        <v>80000</v>
      </c>
      <c r="I7" s="34" t="n">
        <v>80000</v>
      </c>
      <c r="J7" s="34" t="n">
        <v>82000</v>
      </c>
      <c r="K7" s="34" t="n">
        <v>84000</v>
      </c>
      <c r="L7" s="34" t="n">
        <v>82000</v>
      </c>
      <c r="M7" s="34" t="n">
        <v>78000</v>
      </c>
      <c r="N7" s="15">
        <f>SUM(B7:M7)</f>
        <v/>
      </c>
    </row>
    <row r="8">
      <c r="A8" s="33" t="inlineStr">
        <is>
          <t>Gerät Plan</t>
        </is>
      </c>
      <c r="B8" s="34" t="n">
        <v>12000</v>
      </c>
      <c r="C8" s="34" t="n">
        <v>14000</v>
      </c>
      <c r="D8" s="34" t="n">
        <v>16000</v>
      </c>
      <c r="E8" s="34" t="n">
        <v>18000</v>
      </c>
      <c r="F8" s="34" t="n">
        <v>19000</v>
      </c>
      <c r="G8" s="34" t="n">
        <v>21000</v>
      </c>
      <c r="H8" s="34" t="n">
        <v>22000</v>
      </c>
      <c r="I8" s="34" t="n">
        <v>21000</v>
      </c>
      <c r="J8" s="34" t="n">
        <v>24000</v>
      </c>
      <c r="K8" s="34" t="n">
        <v>26000</v>
      </c>
      <c r="L8" s="34" t="n">
        <v>23000</v>
      </c>
      <c r="M8" s="34" t="n">
        <v>18000</v>
      </c>
      <c r="N8" s="15">
        <f>SUM(B8:M8)</f>
        <v/>
      </c>
    </row>
    <row r="9">
      <c r="A9" s="33" t="inlineStr">
        <is>
          <t>Gemeinkosten Plan</t>
        </is>
      </c>
      <c r="B9" s="34" t="n">
        <v>28000</v>
      </c>
      <c r="C9" s="34" t="n">
        <v>28000</v>
      </c>
      <c r="D9" s="34" t="n">
        <v>29000</v>
      </c>
      <c r="E9" s="34" t="n">
        <v>30000</v>
      </c>
      <c r="F9" s="34" t="n">
        <v>30000</v>
      </c>
      <c r="G9" s="34" t="n">
        <v>31000</v>
      </c>
      <c r="H9" s="34" t="n">
        <v>31000</v>
      </c>
      <c r="I9" s="34" t="n">
        <v>31000</v>
      </c>
      <c r="J9" s="34" t="n">
        <v>32000</v>
      </c>
      <c r="K9" s="34" t="n">
        <v>32000</v>
      </c>
      <c r="L9" s="34" t="n">
        <v>32000</v>
      </c>
      <c r="M9" s="34" t="n">
        <v>32000</v>
      </c>
      <c r="N9" s="15">
        <f>SUM(B9:M9)</f>
        <v/>
      </c>
    </row>
    <row r="10">
      <c r="A10" t="inlineStr">
        <is>
          <t>DB I Plan (Umsatz-Mat-NU)</t>
        </is>
      </c>
      <c r="B10" s="15">
        <f>B4-B5-B6</f>
        <v/>
      </c>
      <c r="C10" s="15">
        <f>C4-C5-C6</f>
        <v/>
      </c>
      <c r="D10" s="15">
        <f>D4-D5-D6</f>
        <v/>
      </c>
      <c r="E10" s="15">
        <f>E4-E5-E6</f>
        <v/>
      </c>
      <c r="F10" s="15">
        <f>F4-F5-F6</f>
        <v/>
      </c>
      <c r="G10" s="15">
        <f>G4-G5-G6</f>
        <v/>
      </c>
      <c r="H10" s="15">
        <f>H4-H5-H6</f>
        <v/>
      </c>
      <c r="I10" s="15">
        <f>I4-I5-I6</f>
        <v/>
      </c>
      <c r="J10" s="15">
        <f>J4-J5-J6</f>
        <v/>
      </c>
      <c r="K10" s="15">
        <f>K4-K5-K6</f>
        <v/>
      </c>
      <c r="L10" s="15">
        <f>L4-L5-L6</f>
        <v/>
      </c>
      <c r="M10" s="15">
        <f>M4-M5-M6</f>
        <v/>
      </c>
      <c r="N10" s="15">
        <f>N4-N5-N6</f>
        <v/>
      </c>
    </row>
    <row r="11">
      <c r="A11" t="inlineStr">
        <is>
          <t>EBIT Plan</t>
        </is>
      </c>
      <c r="B11" s="15">
        <f>B10-B7-B8-B9</f>
        <v/>
      </c>
      <c r="C11" s="15">
        <f>C10-C7-C8-C9</f>
        <v/>
      </c>
      <c r="D11" s="15">
        <f>D10-D7-D8-D9</f>
        <v/>
      </c>
      <c r="E11" s="15">
        <f>E10-E7-E8-E9</f>
        <v/>
      </c>
      <c r="F11" s="15">
        <f>F10-F7-F8-F9</f>
        <v/>
      </c>
      <c r="G11" s="15">
        <f>G10-G7-G8-G9</f>
        <v/>
      </c>
      <c r="H11" s="15">
        <f>H10-H7-H8-H9</f>
        <v/>
      </c>
      <c r="I11" s="15">
        <f>I10-I7-I8-I9</f>
        <v/>
      </c>
      <c r="J11" s="15">
        <f>J10-J7-J8-J9</f>
        <v/>
      </c>
      <c r="K11" s="15">
        <f>K10-K7-K8-K9</f>
        <v/>
      </c>
      <c r="L11" s="15">
        <f>L10-L7-L8-L9</f>
        <v/>
      </c>
      <c r="M11" s="15">
        <f>M10-M7-M8-M9</f>
        <v/>
      </c>
      <c r="N11" s="15">
        <f>N10-N7-N8-N9</f>
        <v/>
      </c>
    </row>
    <row r="13">
      <c r="A13" s="12" t="inlineStr">
        <is>
          <t>Ist und rollierender Forecast (ab aktuellem Monat = Plan, davor Ist)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t="inlineStr">
        <is>
          <t>Umsatz Ist (AR-Netto im Monat)</t>
        </is>
      </c>
      <c r="B14" s="15">
        <f>SUMIFS('13_Ausgangsrechnungen'!$G:$G,'13_Ausgangsrechnungen'!$B:$B,"&gt;="&amp;DATE(GJ,1,1),'13_Ausgangsrechnungen'!$B:$B,"&lt;"&amp;DATE(GJ,1+1,1))</f>
        <v/>
      </c>
      <c r="C14" s="15">
        <f>SUMIFS('13_Ausgangsrechnungen'!$G:$G,'13_Ausgangsrechnungen'!$B:$B,"&gt;="&amp;DATE(GJ,2,1),'13_Ausgangsrechnungen'!$B:$B,"&lt;"&amp;DATE(GJ,2+1,1))</f>
        <v/>
      </c>
      <c r="D14" s="15">
        <f>SUMIFS('13_Ausgangsrechnungen'!$G:$G,'13_Ausgangsrechnungen'!$B:$B,"&gt;="&amp;DATE(GJ,3,1),'13_Ausgangsrechnungen'!$B:$B,"&lt;"&amp;DATE(GJ,3+1,1))</f>
        <v/>
      </c>
      <c r="E14" s="15">
        <f>SUMIFS('13_Ausgangsrechnungen'!$G:$G,'13_Ausgangsrechnungen'!$B:$B,"&gt;="&amp;DATE(GJ,4,1),'13_Ausgangsrechnungen'!$B:$B,"&lt;"&amp;DATE(GJ,4+1,1))</f>
        <v/>
      </c>
      <c r="F14" s="15">
        <f>SUMIFS('13_Ausgangsrechnungen'!$G:$G,'13_Ausgangsrechnungen'!$B:$B,"&gt;="&amp;DATE(GJ,5,1),'13_Ausgangsrechnungen'!$B:$B,"&lt;"&amp;DATE(GJ,5+1,1))</f>
        <v/>
      </c>
      <c r="G14" s="15">
        <f>SUMIFS('13_Ausgangsrechnungen'!$G:$G,'13_Ausgangsrechnungen'!$B:$B,"&gt;="&amp;DATE(GJ,6,1),'13_Ausgangsrechnungen'!$B:$B,"&lt;"&amp;DATE(GJ,6+1,1))</f>
        <v/>
      </c>
      <c r="H14" s="15">
        <f>SUMIFS('13_Ausgangsrechnungen'!$G:$G,'13_Ausgangsrechnungen'!$B:$B,"&gt;="&amp;DATE(GJ,7,1),'13_Ausgangsrechnungen'!$B:$B,"&lt;"&amp;DATE(GJ,7+1,1))</f>
        <v/>
      </c>
      <c r="I14" s="15">
        <f>SUMIFS('13_Ausgangsrechnungen'!$G:$G,'13_Ausgangsrechnungen'!$B:$B,"&gt;="&amp;DATE(GJ,8,1),'13_Ausgangsrechnungen'!$B:$B,"&lt;"&amp;DATE(GJ,8+1,1))</f>
        <v/>
      </c>
      <c r="J14" s="15">
        <f>SUMIFS('13_Ausgangsrechnungen'!$G:$G,'13_Ausgangsrechnungen'!$B:$B,"&gt;="&amp;DATE(GJ,9,1),'13_Ausgangsrechnungen'!$B:$B,"&lt;"&amp;DATE(GJ,9+1,1))</f>
        <v/>
      </c>
      <c r="K14" s="15">
        <f>SUMIFS('13_Ausgangsrechnungen'!$G:$G,'13_Ausgangsrechnungen'!$B:$B,"&gt;="&amp;DATE(GJ,10,1),'13_Ausgangsrechnungen'!$B:$B,"&lt;"&amp;DATE(GJ,10+1,1))</f>
        <v/>
      </c>
      <c r="L14" s="15">
        <f>SUMIFS('13_Ausgangsrechnungen'!$G:$G,'13_Ausgangsrechnungen'!$B:$B,"&gt;="&amp;DATE(GJ,11,1),'13_Ausgangsrechnungen'!$B:$B,"&lt;"&amp;DATE(GJ,11+1,1))</f>
        <v/>
      </c>
      <c r="M14" s="15">
        <f>SUMIFS('13_Ausgangsrechnungen'!$G:$G,'13_Ausgangsrechnungen'!$B:$B,"&gt;="&amp;DATE(GJ,12,1),'13_Ausgangsrechnungen'!$B:$B,"&lt;"&amp;DATE(GJ+1,1,1))</f>
        <v/>
      </c>
      <c r="N14" s="15">
        <f>SUM(B14:M14)</f>
        <v/>
      </c>
    </row>
    <row r="15">
      <c r="A15" t="inlineStr">
        <is>
          <t>Material Ist</t>
        </is>
      </c>
      <c r="B15" s="15">
        <f>SUMIFS('11_Material'!$L:$L,'11_Material'!$B:$B,"&gt;="&amp;DATE(GJ,1,1),'11_Material'!$B:$B,"&lt;"&amp;DATE(GJ,1+1,1))</f>
        <v/>
      </c>
      <c r="C15" s="15">
        <f>SUMIFS('11_Material'!$L:$L,'11_Material'!$B:$B,"&gt;="&amp;DATE(GJ,2,1),'11_Material'!$B:$B,"&lt;"&amp;DATE(GJ,2+1,1))</f>
        <v/>
      </c>
      <c r="D15" s="15">
        <f>SUMIFS('11_Material'!$L:$L,'11_Material'!$B:$B,"&gt;="&amp;DATE(GJ,3,1),'11_Material'!$B:$B,"&lt;"&amp;DATE(GJ,3+1,1))</f>
        <v/>
      </c>
      <c r="E15" s="15">
        <f>SUMIFS('11_Material'!$L:$L,'11_Material'!$B:$B,"&gt;="&amp;DATE(GJ,4,1),'11_Material'!$B:$B,"&lt;"&amp;DATE(GJ,4+1,1))</f>
        <v/>
      </c>
      <c r="F15" s="15">
        <f>SUMIFS('11_Material'!$L:$L,'11_Material'!$B:$B,"&gt;="&amp;DATE(GJ,5,1),'11_Material'!$B:$B,"&lt;"&amp;DATE(GJ,5+1,1))</f>
        <v/>
      </c>
      <c r="G15" s="15">
        <f>SUMIFS('11_Material'!$L:$L,'11_Material'!$B:$B,"&gt;="&amp;DATE(GJ,6,1),'11_Material'!$B:$B,"&lt;"&amp;DATE(GJ,6+1,1))</f>
        <v/>
      </c>
      <c r="H15" s="15">
        <f>SUMIFS('11_Material'!$L:$L,'11_Material'!$B:$B,"&gt;="&amp;DATE(GJ,7,1),'11_Material'!$B:$B,"&lt;"&amp;DATE(GJ,7+1,1))</f>
        <v/>
      </c>
      <c r="I15" s="15">
        <f>SUMIFS('11_Material'!$L:$L,'11_Material'!$B:$B,"&gt;="&amp;DATE(GJ,8,1),'11_Material'!$B:$B,"&lt;"&amp;DATE(GJ,8+1,1))</f>
        <v/>
      </c>
      <c r="J15" s="15">
        <f>SUMIFS('11_Material'!$L:$L,'11_Material'!$B:$B,"&gt;="&amp;DATE(GJ,9,1),'11_Material'!$B:$B,"&lt;"&amp;DATE(GJ,9+1,1))</f>
        <v/>
      </c>
      <c r="K15" s="15">
        <f>SUMIFS('11_Material'!$L:$L,'11_Material'!$B:$B,"&gt;="&amp;DATE(GJ,10,1),'11_Material'!$B:$B,"&lt;"&amp;DATE(GJ,10+1,1))</f>
        <v/>
      </c>
      <c r="L15" s="15">
        <f>SUMIFS('11_Material'!$L:$L,'11_Material'!$B:$B,"&gt;="&amp;DATE(GJ,11,1),'11_Material'!$B:$B,"&lt;"&amp;DATE(GJ,11+1,1))</f>
        <v/>
      </c>
      <c r="M15" s="15">
        <f>SUMIFS('11_Material'!$L:$L,'11_Material'!$B:$B,"&gt;="&amp;DATE(GJ,12,1),'11_Material'!$B:$B,"&lt;"&amp;DATE(GJ+1,1,1))</f>
        <v/>
      </c>
      <c r="N15" s="15">
        <f>SUM(B15:M15)</f>
        <v/>
      </c>
    </row>
    <row r="16">
      <c r="A16" t="inlineStr">
        <is>
          <t>NU Ist</t>
        </is>
      </c>
      <c r="B16" s="15">
        <f>SUMIFS('14_Eingangsrechnungen'!$F:$F,'14_Eingangsrechnungen'!$E:$E,"Nachunternehmer",'14_Eingangsrechnungen'!$B:$B,"&gt;="&amp;DATE(GJ,1,1),'14_Eingangsrechnungen'!$B:$B,"&lt;"&amp;DATE(GJ,1+1,1))</f>
        <v/>
      </c>
      <c r="C16" s="15">
        <f>SUMIFS('14_Eingangsrechnungen'!$F:$F,'14_Eingangsrechnungen'!$E:$E,"Nachunternehmer",'14_Eingangsrechnungen'!$B:$B,"&gt;="&amp;DATE(GJ,2,1),'14_Eingangsrechnungen'!$B:$B,"&lt;"&amp;DATE(GJ,2+1,1))</f>
        <v/>
      </c>
      <c r="D16" s="15">
        <f>SUMIFS('14_Eingangsrechnungen'!$F:$F,'14_Eingangsrechnungen'!$E:$E,"Nachunternehmer",'14_Eingangsrechnungen'!$B:$B,"&gt;="&amp;DATE(GJ,3,1),'14_Eingangsrechnungen'!$B:$B,"&lt;"&amp;DATE(GJ,3+1,1))</f>
        <v/>
      </c>
      <c r="E16" s="15">
        <f>SUMIFS('14_Eingangsrechnungen'!$F:$F,'14_Eingangsrechnungen'!$E:$E,"Nachunternehmer",'14_Eingangsrechnungen'!$B:$B,"&gt;="&amp;DATE(GJ,4,1),'14_Eingangsrechnungen'!$B:$B,"&lt;"&amp;DATE(GJ,4+1,1))</f>
        <v/>
      </c>
      <c r="F16" s="15">
        <f>SUMIFS('14_Eingangsrechnungen'!$F:$F,'14_Eingangsrechnungen'!$E:$E,"Nachunternehmer",'14_Eingangsrechnungen'!$B:$B,"&gt;="&amp;DATE(GJ,5,1),'14_Eingangsrechnungen'!$B:$B,"&lt;"&amp;DATE(GJ,5+1,1))</f>
        <v/>
      </c>
      <c r="G16" s="15">
        <f>SUMIFS('14_Eingangsrechnungen'!$F:$F,'14_Eingangsrechnungen'!$E:$E,"Nachunternehmer",'14_Eingangsrechnungen'!$B:$B,"&gt;="&amp;DATE(GJ,6,1),'14_Eingangsrechnungen'!$B:$B,"&lt;"&amp;DATE(GJ,6+1,1))</f>
        <v/>
      </c>
      <c r="H16" s="15">
        <f>SUMIFS('14_Eingangsrechnungen'!$F:$F,'14_Eingangsrechnungen'!$E:$E,"Nachunternehmer",'14_Eingangsrechnungen'!$B:$B,"&gt;="&amp;DATE(GJ,7,1),'14_Eingangsrechnungen'!$B:$B,"&lt;"&amp;DATE(GJ,7+1,1))</f>
        <v/>
      </c>
      <c r="I16" s="15">
        <f>SUMIFS('14_Eingangsrechnungen'!$F:$F,'14_Eingangsrechnungen'!$E:$E,"Nachunternehmer",'14_Eingangsrechnungen'!$B:$B,"&gt;="&amp;DATE(GJ,8,1),'14_Eingangsrechnungen'!$B:$B,"&lt;"&amp;DATE(GJ,8+1,1))</f>
        <v/>
      </c>
      <c r="J16" s="15">
        <f>SUMIFS('14_Eingangsrechnungen'!$F:$F,'14_Eingangsrechnungen'!$E:$E,"Nachunternehmer",'14_Eingangsrechnungen'!$B:$B,"&gt;="&amp;DATE(GJ,9,1),'14_Eingangsrechnungen'!$B:$B,"&lt;"&amp;DATE(GJ,9+1,1))</f>
        <v/>
      </c>
      <c r="K16" s="15">
        <f>SUMIFS('14_Eingangsrechnungen'!$F:$F,'14_Eingangsrechnungen'!$E:$E,"Nachunternehmer",'14_Eingangsrechnungen'!$B:$B,"&gt;="&amp;DATE(GJ,10,1),'14_Eingangsrechnungen'!$B:$B,"&lt;"&amp;DATE(GJ,10+1,1))</f>
        <v/>
      </c>
      <c r="L16" s="15">
        <f>SUMIFS('14_Eingangsrechnungen'!$F:$F,'14_Eingangsrechnungen'!$E:$E,"Nachunternehmer",'14_Eingangsrechnungen'!$B:$B,"&gt;="&amp;DATE(GJ,11,1),'14_Eingangsrechnungen'!$B:$B,"&lt;"&amp;DATE(GJ,11+1,1))</f>
        <v/>
      </c>
      <c r="M16" s="15">
        <f>SUMIFS('14_Eingangsrechnungen'!$F:$F,'14_Eingangsrechnungen'!$E:$E,"Nachunternehmer",'14_Eingangsrechnungen'!$B:$B,"&gt;="&amp;DATE(GJ,12,1),'14_Eingangsrechnungen'!$B:$B,"&lt;"&amp;DATE(GJ+1,1,1))</f>
        <v/>
      </c>
      <c r="N16" s="15">
        <f>SUM(B16:M16)</f>
        <v/>
      </c>
    </row>
    <row r="17">
      <c r="A17" t="inlineStr">
        <is>
          <t>Personal Ist (Stundenkosten + Lohnzahlung Fallback)</t>
        </is>
      </c>
      <c r="B17" s="15">
        <f>SUMIFS('10_Stunden'!$K:$K,'10_Stunden'!$B:$B,"&gt;="&amp;DATE(GJ,1,1),'10_Stunden'!$B:$B,"&lt;"&amp;DATE(GJ,1+1,1))</f>
        <v/>
      </c>
      <c r="C17" s="15">
        <f>SUMIFS('10_Stunden'!$K:$K,'10_Stunden'!$B:$B,"&gt;="&amp;DATE(GJ,2,1),'10_Stunden'!$B:$B,"&lt;"&amp;DATE(GJ,2+1,1))</f>
        <v/>
      </c>
      <c r="D17" s="15">
        <f>SUMIFS('10_Stunden'!$K:$K,'10_Stunden'!$B:$B,"&gt;="&amp;DATE(GJ,3,1),'10_Stunden'!$B:$B,"&lt;"&amp;DATE(GJ,3+1,1))</f>
        <v/>
      </c>
      <c r="E17" s="15">
        <f>SUMIFS('10_Stunden'!$K:$K,'10_Stunden'!$B:$B,"&gt;="&amp;DATE(GJ,4,1),'10_Stunden'!$B:$B,"&lt;"&amp;DATE(GJ,4+1,1))</f>
        <v/>
      </c>
      <c r="F17" s="15">
        <f>SUMIFS('10_Stunden'!$K:$K,'10_Stunden'!$B:$B,"&gt;="&amp;DATE(GJ,5,1),'10_Stunden'!$B:$B,"&lt;"&amp;DATE(GJ,5+1,1))</f>
        <v/>
      </c>
      <c r="G17" s="15">
        <f>SUMIFS('10_Stunden'!$K:$K,'10_Stunden'!$B:$B,"&gt;="&amp;DATE(GJ,6,1),'10_Stunden'!$B:$B,"&lt;"&amp;DATE(GJ,6+1,1))</f>
        <v/>
      </c>
      <c r="H17" s="15">
        <f>SUMIFS('10_Stunden'!$K:$K,'10_Stunden'!$B:$B,"&gt;="&amp;DATE(GJ,7,1),'10_Stunden'!$B:$B,"&lt;"&amp;DATE(GJ,7+1,1))</f>
        <v/>
      </c>
      <c r="I17" s="15">
        <f>SUMIFS('10_Stunden'!$K:$K,'10_Stunden'!$B:$B,"&gt;="&amp;DATE(GJ,8,1),'10_Stunden'!$B:$B,"&lt;"&amp;DATE(GJ,8+1,1))</f>
        <v/>
      </c>
      <c r="J17" s="15">
        <f>SUMIFS('10_Stunden'!$K:$K,'10_Stunden'!$B:$B,"&gt;="&amp;DATE(GJ,9,1),'10_Stunden'!$B:$B,"&lt;"&amp;DATE(GJ,9+1,1))</f>
        <v/>
      </c>
      <c r="K17" s="15">
        <f>SUMIFS('10_Stunden'!$K:$K,'10_Stunden'!$B:$B,"&gt;="&amp;DATE(GJ,10,1),'10_Stunden'!$B:$B,"&lt;"&amp;DATE(GJ,10+1,1))</f>
        <v/>
      </c>
      <c r="L17" s="15">
        <f>SUMIFS('10_Stunden'!$K:$K,'10_Stunden'!$B:$B,"&gt;="&amp;DATE(GJ,11,1),'10_Stunden'!$B:$B,"&lt;"&amp;DATE(GJ,11+1,1))</f>
        <v/>
      </c>
      <c r="M17" s="15">
        <f>SUMIFS('10_Stunden'!$K:$K,'10_Stunden'!$B:$B,"&gt;="&amp;DATE(GJ,12,1),'10_Stunden'!$B:$B,"&lt;"&amp;DATE(GJ+1,1,1))</f>
        <v/>
      </c>
      <c r="N17" s="15">
        <f>SUM(B17:M17)</f>
        <v/>
      </c>
    </row>
    <row r="19">
      <c r="A19" t="inlineStr">
        <is>
          <t>Umsatz Forecast (Ist wenn &gt;0 sonst Plan)</t>
        </is>
      </c>
    </row>
    <row r="20">
      <c r="A20" t="inlineStr">
        <is>
          <t>Umsatz Forecast</t>
        </is>
      </c>
      <c r="B20" s="15">
        <f>IF(B14&gt;0,B14,B4)</f>
        <v/>
      </c>
      <c r="C20" s="15">
        <f>IF(C14&gt;0,C14,C4)</f>
        <v/>
      </c>
      <c r="D20" s="15">
        <f>IF(D14&gt;0,D14,D4)</f>
        <v/>
      </c>
      <c r="E20" s="15">
        <f>IF(E14&gt;0,E14,E4)</f>
        <v/>
      </c>
      <c r="F20" s="15">
        <f>IF(F14&gt;0,F14,F4)</f>
        <v/>
      </c>
      <c r="G20" s="15">
        <f>IF(G14&gt;0,G14,G4)</f>
        <v/>
      </c>
      <c r="H20" s="15">
        <f>IF(H14&gt;0,H14,H4)</f>
        <v/>
      </c>
      <c r="I20" s="15">
        <f>IF(I14&gt;0,I14,I4)</f>
        <v/>
      </c>
      <c r="J20" s="15">
        <f>IF(J14&gt;0,J14,J4)</f>
        <v/>
      </c>
      <c r="K20" s="15">
        <f>IF(K14&gt;0,K14,K4)</f>
        <v/>
      </c>
      <c r="L20" s="15">
        <f>IF(L14&gt;0,L14,L4)</f>
        <v/>
      </c>
      <c r="M20" s="15">
        <f>IF(M14&gt;0,M14,M4)</f>
        <v/>
      </c>
      <c r="N20" s="15">
        <f>SUM(B20:M20)</f>
        <v/>
      </c>
    </row>
    <row r="21">
      <c r="A21" t="inlineStr">
        <is>
          <t>Material Forecast</t>
        </is>
      </c>
      <c r="B21" s="15">
        <f>IF(B15&gt;0,B15,B5)</f>
        <v/>
      </c>
      <c r="C21" s="15">
        <f>IF(C15&gt;0,C15,C5)</f>
        <v/>
      </c>
      <c r="D21" s="15">
        <f>IF(D15&gt;0,D15,D5)</f>
        <v/>
      </c>
      <c r="E21" s="15">
        <f>IF(E15&gt;0,E15,E5)</f>
        <v/>
      </c>
      <c r="F21" s="15">
        <f>IF(F15&gt;0,F15,F5)</f>
        <v/>
      </c>
      <c r="G21" s="15">
        <f>IF(G15&gt;0,G15,G5)</f>
        <v/>
      </c>
      <c r="H21" s="15">
        <f>IF(H15&gt;0,H15,H5)</f>
        <v/>
      </c>
      <c r="I21" s="15">
        <f>IF(I15&gt;0,I15,I5)</f>
        <v/>
      </c>
      <c r="J21" s="15">
        <f>IF(J15&gt;0,J15,J5)</f>
        <v/>
      </c>
      <c r="K21" s="15">
        <f>IF(K15&gt;0,K15,K5)</f>
        <v/>
      </c>
      <c r="L21" s="15">
        <f>IF(L15&gt;0,L15,L5)</f>
        <v/>
      </c>
      <c r="M21" s="15">
        <f>IF(M15&gt;0,M15,M5)</f>
        <v/>
      </c>
      <c r="N21" s="15">
        <f>SUM(B21:M21)</f>
        <v/>
      </c>
    </row>
    <row r="22">
      <c r="A22" t="inlineStr">
        <is>
          <t>NU Forecast</t>
        </is>
      </c>
      <c r="B22" s="15">
        <f>IF(B16&gt;0,B16,B6)</f>
        <v/>
      </c>
      <c r="C22" s="15">
        <f>IF(C16&gt;0,C16,C6)</f>
        <v/>
      </c>
      <c r="D22" s="15">
        <f>IF(D16&gt;0,D16,D6)</f>
        <v/>
      </c>
      <c r="E22" s="15">
        <f>IF(E16&gt;0,E16,E6)</f>
        <v/>
      </c>
      <c r="F22" s="15">
        <f>IF(F16&gt;0,F16,F6)</f>
        <v/>
      </c>
      <c r="G22" s="15">
        <f>IF(G16&gt;0,G16,G6)</f>
        <v/>
      </c>
      <c r="H22" s="15">
        <f>IF(H16&gt;0,H16,H6)</f>
        <v/>
      </c>
      <c r="I22" s="15">
        <f>IF(I16&gt;0,I16,I6)</f>
        <v/>
      </c>
      <c r="J22" s="15">
        <f>IF(J16&gt;0,J16,J6)</f>
        <v/>
      </c>
      <c r="K22" s="15">
        <f>IF(K16&gt;0,K16,K6)</f>
        <v/>
      </c>
      <c r="L22" s="15">
        <f>IF(L16&gt;0,L16,L6)</f>
        <v/>
      </c>
      <c r="M22" s="15">
        <f>IF(M16&gt;0,M16,M6)</f>
        <v/>
      </c>
      <c r="N22" s="15">
        <f>SUM(B22:M22)</f>
        <v/>
      </c>
    </row>
    <row r="23">
      <c r="A23" t="inlineStr">
        <is>
          <t>Personal Forecast</t>
        </is>
      </c>
      <c r="B23" s="15">
        <f>IF(B17&gt;0,B17,B7)</f>
        <v/>
      </c>
      <c r="C23" s="15">
        <f>IF(C17&gt;0,C17,C7)</f>
        <v/>
      </c>
      <c r="D23" s="15">
        <f>IF(D17&gt;0,D17,D7)</f>
        <v/>
      </c>
      <c r="E23" s="15">
        <f>IF(E17&gt;0,E17,E7)</f>
        <v/>
      </c>
      <c r="F23" s="15">
        <f>IF(F17&gt;0,F17,F7)</f>
        <v/>
      </c>
      <c r="G23" s="15">
        <f>IF(G17&gt;0,G17,G7)</f>
        <v/>
      </c>
      <c r="H23" s="15">
        <f>IF(H17&gt;0,H17,H7)</f>
        <v/>
      </c>
      <c r="I23" s="15">
        <f>IF(I17&gt;0,I17,I7)</f>
        <v/>
      </c>
      <c r="J23" s="15">
        <f>IF(J17&gt;0,J17,J7)</f>
        <v/>
      </c>
      <c r="K23" s="15">
        <f>IF(K17&gt;0,K17,K7)</f>
        <v/>
      </c>
      <c r="L23" s="15">
        <f>IF(L17&gt;0,L17,L7)</f>
        <v/>
      </c>
      <c r="M23" s="15">
        <f>IF(M17&gt;0,M17,M7)</f>
        <v/>
      </c>
      <c r="N23" s="15">
        <f>SUM(B23:M23)</f>
        <v/>
      </c>
    </row>
    <row r="24">
      <c r="A24" t="inlineStr">
        <is>
          <t>Gerät Forecast</t>
        </is>
      </c>
      <c r="B24" s="15">
        <f>B8</f>
        <v/>
      </c>
      <c r="C24" s="15">
        <f>C8</f>
        <v/>
      </c>
      <c r="D24" s="15">
        <f>D8</f>
        <v/>
      </c>
      <c r="E24" s="15">
        <f>E8</f>
        <v/>
      </c>
      <c r="F24" s="15">
        <f>F8</f>
        <v/>
      </c>
      <c r="G24" s="15">
        <f>G8</f>
        <v/>
      </c>
      <c r="H24" s="15">
        <f>H8</f>
        <v/>
      </c>
      <c r="I24" s="15">
        <f>I8</f>
        <v/>
      </c>
      <c r="J24" s="15">
        <f>J8</f>
        <v/>
      </c>
      <c r="K24" s="15">
        <f>K8</f>
        <v/>
      </c>
      <c r="L24" s="15">
        <f>L8</f>
        <v/>
      </c>
      <c r="M24" s="15">
        <f>M8</f>
        <v/>
      </c>
      <c r="N24" s="15">
        <f>SUM(B24:M24)</f>
        <v/>
      </c>
    </row>
    <row r="25">
      <c r="A25" t="inlineStr">
        <is>
          <t>GK Forecast</t>
        </is>
      </c>
      <c r="B25" s="15">
        <f>B9</f>
        <v/>
      </c>
      <c r="C25" s="15">
        <f>C9</f>
        <v/>
      </c>
      <c r="D25" s="15">
        <f>D9</f>
        <v/>
      </c>
      <c r="E25" s="15">
        <f>E9</f>
        <v/>
      </c>
      <c r="F25" s="15">
        <f>F9</f>
        <v/>
      </c>
      <c r="G25" s="15">
        <f>G9</f>
        <v/>
      </c>
      <c r="H25" s="15">
        <f>H9</f>
        <v/>
      </c>
      <c r="I25" s="15">
        <f>I9</f>
        <v/>
      </c>
      <c r="J25" s="15">
        <f>J9</f>
        <v/>
      </c>
      <c r="K25" s="15">
        <f>K9</f>
        <v/>
      </c>
      <c r="L25" s="15">
        <f>L9</f>
        <v/>
      </c>
      <c r="M25" s="15">
        <f>M9</f>
        <v/>
      </c>
      <c r="N25" s="15">
        <f>SUM(B25:M25)</f>
        <v/>
      </c>
    </row>
    <row r="26">
      <c r="A26" t="inlineStr">
        <is>
          <t>EBIT Forecast</t>
        </is>
      </c>
      <c r="B26" s="15">
        <f>B20-B21-B22-B23-B24-B25</f>
        <v/>
      </c>
      <c r="C26" s="15">
        <f>C20-C21-C22-C23-C24-C25</f>
        <v/>
      </c>
      <c r="D26" s="15">
        <f>D20-D21-D22-D23-D24-D25</f>
        <v/>
      </c>
      <c r="E26" s="15">
        <f>E20-E21-E22-E23-E24-E25</f>
        <v/>
      </c>
      <c r="F26" s="15">
        <f>F20-F21-F22-F23-F24-F25</f>
        <v/>
      </c>
      <c r="G26" s="15">
        <f>G20-G21-G22-G23-G24-G25</f>
        <v/>
      </c>
      <c r="H26" s="15">
        <f>H20-H21-H22-H23-H24-H25</f>
        <v/>
      </c>
      <c r="I26" s="15">
        <f>I20-I21-I22-I23-I24-I25</f>
        <v/>
      </c>
      <c r="J26" s="15">
        <f>J20-J21-J22-J23-J24-J25</f>
        <v/>
      </c>
      <c r="K26" s="15">
        <f>K20-K21-K22-K23-K24-K25</f>
        <v/>
      </c>
      <c r="L26" s="15">
        <f>L20-L21-L22-L23-L24-L25</f>
        <v/>
      </c>
      <c r="M26" s="15">
        <f>M20-M21-M22-M23-M24-M25</f>
        <v/>
      </c>
      <c r="N26" s="15">
        <f>SUM(B26:M26)</f>
        <v/>
      </c>
    </row>
    <row r="27">
      <c r="A27" t="inlineStr">
        <is>
          <t>Abweichung EBIT vs Plan</t>
        </is>
      </c>
      <c r="B27" s="15">
        <f>B26-B11</f>
        <v/>
      </c>
      <c r="C27" s="15">
        <f>C26-C11</f>
        <v/>
      </c>
      <c r="D27" s="15">
        <f>D26-D11</f>
        <v/>
      </c>
      <c r="E27" s="15">
        <f>E26-E11</f>
        <v/>
      </c>
      <c r="F27" s="15">
        <f>F26-F11</f>
        <v/>
      </c>
      <c r="G27" s="15">
        <f>G26-G11</f>
        <v/>
      </c>
      <c r="H27" s="15">
        <f>H26-H11</f>
        <v/>
      </c>
      <c r="I27" s="15">
        <f>I26-I11</f>
        <v/>
      </c>
      <c r="J27" s="15">
        <f>J26-J11</f>
        <v/>
      </c>
      <c r="K27" s="15">
        <f>K26-K11</f>
        <v/>
      </c>
      <c r="L27" s="15">
        <f>L26-L11</f>
        <v/>
      </c>
      <c r="M27" s="15">
        <f>M26-M11</f>
        <v/>
      </c>
      <c r="N27" s="15">
        <f>SUM(B27:M27)</f>
        <v/>
      </c>
    </row>
  </sheetData>
  <mergeCells count="3">
    <mergeCell ref="A1:P1"/>
    <mergeCell ref="A13:N13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C5282"/>
    <outlinePr summaryBelow="1" summaryRight="1"/>
    <pageSetUpPr/>
  </sheetPr>
  <dimension ref="A1:P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Kurz-BWA / GuV Baubetrieb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J1" s="3" t="n"/>
      <c r="K1" s="3" t="n"/>
      <c r="L1" s="3" t="n"/>
      <c r="M1" s="3" t="n"/>
      <c r="N1" s="3" t="n"/>
      <c r="O1" s="3" t="n"/>
      <c r="P1" s="3" t="n"/>
    </row>
    <row r="2" ht="18" customHeight="1">
      <c r="A2" s="4" t="inlineStr">
        <is>
          <t>Verdichtung aus Ausgangsrechnungen, Eingangsrechnungen, Stunden und Forecast-Gemeinkosten</t>
        </is>
      </c>
      <c r="B2" s="5" t="n"/>
      <c r="C2" s="5" t="n"/>
      <c r="D2" s="5" t="n"/>
      <c r="E2" s="5" t="n"/>
      <c r="F2" s="5" t="n"/>
      <c r="G2" s="5" t="n"/>
      <c r="H2" s="5" t="n"/>
      <c r="I2" s="3" t="n"/>
      <c r="J2" s="3" t="n"/>
      <c r="K2" s="3" t="n"/>
      <c r="L2" s="3" t="n"/>
      <c r="M2" s="3" t="n"/>
      <c r="N2" s="3" t="n"/>
      <c r="O2" s="3" t="n"/>
      <c r="P2" s="3" t="n"/>
    </row>
    <row r="3" ht="28" customHeight="1">
      <c r="A3" s="17" t="inlineStr">
        <is>
          <t>Position</t>
        </is>
      </c>
      <c r="B3" s="17" t="inlineStr">
        <is>
          <t>Ist GJ</t>
        </is>
      </c>
      <c r="C3" s="17" t="inlineStr">
        <is>
          <t>Forecast GJ</t>
        </is>
      </c>
      <c r="D3" s="17" t="inlineStr">
        <is>
          <t>Abw.</t>
        </is>
      </c>
      <c r="E3" s="17" t="inlineStr">
        <is>
          <t>% vom Umsatz Ist</t>
        </is>
      </c>
      <c r="F3" s="17" t="inlineStr">
        <is>
          <t>Vormonat</t>
        </is>
      </c>
      <c r="G3" s="17" t="inlineStr">
        <is>
          <t>Hinweis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3" t="inlineStr">
        <is>
          <t>Umsatzerlöse (AR netto)</t>
        </is>
      </c>
      <c r="B4" s="15">
        <f>'21_Forecast'!N14</f>
        <v/>
      </c>
      <c r="C4" s="15">
        <f>'21_Forecast'!N20</f>
        <v/>
      </c>
      <c r="D4" s="15">
        <f>IF(C4="","",B4-C4)</f>
        <v/>
      </c>
      <c r="E4" s="19">
        <f>IF($B$4=0,"",B4/$B$4)</f>
        <v/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inlineStr">
        <is>
          <t>Material / Baustoffe</t>
        </is>
      </c>
      <c r="B5" s="15">
        <f>'21_Forecast'!N15</f>
        <v/>
      </c>
      <c r="C5" s="15">
        <f>'21_Forecast'!N21</f>
        <v/>
      </c>
      <c r="D5" s="15">
        <f>IF(C5="","",B5-C5)</f>
        <v/>
      </c>
      <c r="E5" s="19">
        <f>IF($B$4=0,"",B5/$B$4)</f>
        <v/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inlineStr">
        <is>
          <t>Nachunternehmer</t>
        </is>
      </c>
      <c r="B6" s="15">
        <f>'21_Forecast'!N16</f>
        <v/>
      </c>
      <c r="C6" s="15">
        <f>'21_Forecast'!N22</f>
        <v/>
      </c>
      <c r="D6" s="15">
        <f>IF(C6="","",B6-C6)</f>
        <v/>
      </c>
      <c r="E6" s="19">
        <f>IF($B$4=0,"",B6/$B$4)</f>
        <v/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40" t="inlineStr">
        <is>
          <t>Rohertrag</t>
        </is>
      </c>
      <c r="B7" s="41">
        <f>B4-B5-B6</f>
        <v/>
      </c>
      <c r="C7" s="15">
        <f>C4-C5-C6</f>
        <v/>
      </c>
      <c r="D7" s="15">
        <f>IF(C7="","",B7-C7)</f>
        <v/>
      </c>
      <c r="E7" s="19">
        <f>IF($B$4=0,"",B7/$B$4)</f>
        <v/>
      </c>
    </row>
    <row r="8">
      <c r="A8" s="33" t="inlineStr">
        <is>
          <t>Personal (Stundenkosten)</t>
        </is>
      </c>
      <c r="B8" s="15">
        <f>'21_Forecast'!N17</f>
        <v/>
      </c>
      <c r="C8" s="15">
        <f>'21_Forecast'!N23</f>
        <v/>
      </c>
      <c r="D8" s="15">
        <f>IF(C8="","",B8-C8)</f>
        <v/>
      </c>
      <c r="E8" s="19">
        <f>IF($B$4=0,"",B8/$B$4)</f>
        <v/>
      </c>
    </row>
    <row r="9">
      <c r="A9" s="33" t="inlineStr">
        <is>
          <t>Geräte / Mieten</t>
        </is>
      </c>
      <c r="B9" s="15">
        <f>SUMIFS('14_Eingangsrechnungen'!F:F,'14_Eingangsrechnungen'!E:E,"Gerät")</f>
        <v/>
      </c>
      <c r="C9" s="15">
        <f>'21_Forecast'!N24</f>
        <v/>
      </c>
      <c r="D9" s="15">
        <f>IF(C9="","",B9-C9)</f>
        <v/>
      </c>
      <c r="E9" s="19">
        <f>IF($B$4=0,"",B9/$B$4)</f>
        <v/>
      </c>
    </row>
    <row r="10">
      <c r="A10" s="33" t="inlineStr">
        <is>
          <t>Gemeinkosten (Plan/Forecast)</t>
        </is>
      </c>
      <c r="B10" s="15">
        <f>'21_Forecast'!N9</f>
        <v/>
      </c>
      <c r="C10" s="15">
        <f>'21_Forecast'!N25</f>
        <v/>
      </c>
      <c r="D10" s="15">
        <f>IF(C10="","",B10-C10)</f>
        <v/>
      </c>
      <c r="E10" s="19">
        <f>IF($B$4=0,"",B10/$B$4)</f>
        <v/>
      </c>
    </row>
    <row r="11">
      <c r="A11" s="40" t="inlineStr">
        <is>
          <t>Betriebsergebnis / EBIT</t>
        </is>
      </c>
      <c r="B11" s="41">
        <f>B7-B8-B9-B10</f>
        <v/>
      </c>
      <c r="C11" s="15">
        <f>C7-C8-C9-C10</f>
        <v/>
      </c>
      <c r="D11" s="15">
        <f>IF(C11="","",B11-C11)</f>
        <v/>
      </c>
      <c r="E11" s="19">
        <f>IF($B$4=0,"",B11/$B$4)</f>
        <v/>
      </c>
    </row>
    <row r="12">
      <c r="A12" s="33" t="inlineStr">
        <is>
          <t>Rohertragsmarge</t>
        </is>
      </c>
      <c r="B12" s="19">
        <f>IF(B4=0,0,B7/B4)</f>
        <v/>
      </c>
      <c r="C12" s="19">
        <f>IF(C4=0,0,C7/C4)</f>
        <v/>
      </c>
      <c r="D12" s="19">
        <f>B12-C12</f>
        <v/>
      </c>
      <c r="E12" t="inlineStr"/>
    </row>
    <row r="13">
      <c r="A13" s="33" t="inlineStr">
        <is>
          <t>EBIT-Marge</t>
        </is>
      </c>
      <c r="B13" s="19">
        <f>IF(B4=0,0,B11/B4)</f>
        <v/>
      </c>
      <c r="C13" s="19">
        <f>IF(C4=0,0,C11/C4)</f>
        <v/>
      </c>
      <c r="D13" s="19">
        <f>B13-C13</f>
        <v/>
      </c>
      <c r="E13" t="inlineStr"/>
    </row>
    <row r="14">
      <c r="A14" s="33" t="inlineStr">
        <is>
          <t>Offene Forderungen brutto</t>
        </is>
      </c>
      <c r="B14" s="15">
        <f>SUM('13_Ausgangsrechnungen'!S4:S400)</f>
        <v/>
      </c>
      <c r="C14" t="inlineStr"/>
      <c r="D14" s="15">
        <f>IF(C14="","",B14-C14)</f>
        <v/>
      </c>
      <c r="E14" t="inlineStr"/>
    </row>
    <row r="15">
      <c r="A15" s="33" t="inlineStr">
        <is>
          <t>Offene Verbindlichkeiten brutto</t>
        </is>
      </c>
      <c r="B15" s="15">
        <f>SUM('14_Eingangsrechnungen'!O4:O400)</f>
        <v/>
      </c>
      <c r="C15" t="inlineStr"/>
      <c r="D15" s="15">
        <f>IF(C15="","",B15-C15)</f>
        <v/>
      </c>
      <c r="E15" t="inlineStr"/>
    </row>
    <row r="16">
      <c r="A16" s="33" t="inlineStr">
        <is>
          <t>Einbehalte gebunden</t>
        </is>
      </c>
      <c r="B16" s="15">
        <f>SUM('18_Gewaehrleistung'!F4:F400)</f>
        <v/>
      </c>
      <c r="C16" t="inlineStr"/>
      <c r="D16" s="15">
        <f>IF(C16="","",B16-C16)</f>
        <v/>
      </c>
      <c r="E16" t="inlineStr"/>
    </row>
    <row r="17">
      <c r="A17" s="33" t="inlineStr">
        <is>
          <t>Working Capital (Ford.-Verb.)</t>
        </is>
      </c>
      <c r="B17" s="15">
        <f>B14-B15</f>
        <v/>
      </c>
      <c r="C17" t="inlineStr"/>
      <c r="D17" s="15">
        <f>IF(C17="","",B17-C17)</f>
        <v/>
      </c>
      <c r="E1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F6B4F"/>
    <outlinePr summaryBelow="1" summaryRight="1"/>
    <pageSetUpPr/>
  </sheetPr>
  <dimension ref="A1:U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28" customHeight="1">
      <c r="A1" s="1" t="inlineStr">
        <is>
          <t>Offene Posten Debitoren und Kreditoren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3" t="n"/>
      <c r="M1" s="3" t="n"/>
      <c r="N1" s="3" t="n"/>
      <c r="O1" s="3" t="n"/>
      <c r="P1" s="3" t="n"/>
    </row>
    <row r="2" ht="18" customHeight="1">
      <c r="A2" s="4" t="inlineStr">
        <is>
          <t>Links Debitoren · rechts Kreditoren · Zeilen ohne Offenbetrag bleiben leer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3" t="n"/>
      <c r="L2" s="3" t="n"/>
      <c r="M2" s="3" t="n"/>
      <c r="N2" s="3" t="n"/>
      <c r="O2" s="3" t="n"/>
      <c r="P2" s="3" t="n"/>
    </row>
    <row r="3" ht="28" customHeight="1">
      <c r="A3" s="17" t="inlineStr">
        <is>
          <t>Seite</t>
        </is>
      </c>
      <c r="B3" s="17" t="inlineStr">
        <is>
          <t>Beleg</t>
        </is>
      </c>
      <c r="C3" s="17" t="inlineStr">
        <is>
          <t>Datum</t>
        </is>
      </c>
      <c r="D3" s="17" t="inlineStr">
        <is>
          <t>Partner</t>
        </is>
      </c>
      <c r="E3" s="17" t="inlineStr">
        <is>
          <t>Projekt</t>
        </is>
      </c>
      <c r="F3" s="17" t="inlineStr">
        <is>
          <t>Typ</t>
        </is>
      </c>
      <c r="G3" s="17" t="inlineStr">
        <is>
          <t>Brutto</t>
        </is>
      </c>
      <c r="H3" s="17" t="inlineStr">
        <is>
          <t>Offen</t>
        </is>
      </c>
      <c r="I3" s="17" t="inlineStr">
        <is>
          <t>Fällig</t>
        </is>
      </c>
      <c r="J3" s="17" t="inlineStr">
        <is>
          <t>Tage</t>
        </is>
      </c>
      <c r="K3" s="3" t="n"/>
      <c r="L3" s="17" t="inlineStr">
        <is>
          <t>Seite</t>
        </is>
      </c>
      <c r="M3" s="17" t="inlineStr">
        <is>
          <t>Beleg</t>
        </is>
      </c>
      <c r="N3" s="17" t="inlineStr">
        <is>
          <t>Datum</t>
        </is>
      </c>
      <c r="O3" s="17" t="inlineStr">
        <is>
          <t>Partner</t>
        </is>
      </c>
      <c r="P3" s="17" t="inlineStr">
        <is>
          <t>Projekt</t>
        </is>
      </c>
      <c r="Q3" s="17" t="inlineStr">
        <is>
          <t>Typ</t>
        </is>
      </c>
      <c r="R3" s="17" t="inlineStr">
        <is>
          <t>Brutto</t>
        </is>
      </c>
      <c r="S3" s="17" t="inlineStr">
        <is>
          <t>Offen</t>
        </is>
      </c>
      <c r="T3" s="17" t="inlineStr">
        <is>
          <t>Fällig</t>
        </is>
      </c>
      <c r="U3" s="17" t="inlineStr">
        <is>
          <t>Tage</t>
        </is>
      </c>
    </row>
    <row r="4">
      <c r="A4" s="13">
        <f>IF('13_Ausgangsrechnungen'!A4="","",IF('13_Ausgangsrechnungen'!S4&gt;0.5,"Debitor",""))</f>
        <v/>
      </c>
      <c r="B4" s="13">
        <f>IF(A4="","",'13_Ausgangsrechnungen'!A4)</f>
        <v/>
      </c>
      <c r="C4" s="44">
        <f>IF(A4="","",'13_Ausgangsrechnungen'!B4)</f>
        <v/>
      </c>
      <c r="D4" s="13">
        <f>IF(A4="","",'13_Ausgangsrechnungen'!D4)</f>
        <v/>
      </c>
      <c r="E4" s="13">
        <f>IF(A4="","",'13_Ausgangsrechnungen'!C4)</f>
        <v/>
      </c>
      <c r="F4" s="13">
        <f>IF(A4="","",'13_Ausgangsrechnungen'!E4)</f>
        <v/>
      </c>
      <c r="G4" s="15">
        <f>IF(A4="","",'13_Ausgangsrechnungen'!Q4)</f>
        <v/>
      </c>
      <c r="H4" s="15">
        <f>IF(A4="","",'13_Ausgangsrechnungen'!S4)</f>
        <v/>
      </c>
      <c r="I4" s="44">
        <f>IF(A4="","",'13_Ausgangsrechnungen'!J4)</f>
        <v/>
      </c>
      <c r="J4" s="45">
        <f>IF(A4="","",'13_Ausgangsrechnungen'!T4)</f>
        <v/>
      </c>
      <c r="K4" s="3" t="n"/>
      <c r="L4" s="13">
        <f>IF('14_Eingangsrechnungen'!A4="","",IF('14_Eingangsrechnungen'!O4&gt;0.5,"Kreditor",""))</f>
        <v/>
      </c>
      <c r="M4" s="13">
        <f>IF(L4="","",'14_Eingangsrechnungen'!A4)</f>
        <v/>
      </c>
      <c r="N4" s="44">
        <f>IF(L4="","",'14_Eingangsrechnungen'!B4)</f>
        <v/>
      </c>
      <c r="O4" s="13">
        <f>IF(L4="","",'14_Eingangsrechnungen'!D4)</f>
        <v/>
      </c>
      <c r="P4" s="13">
        <f>IF(L4="","",'14_Eingangsrechnungen'!C4)</f>
        <v/>
      </c>
      <c r="Q4" s="13">
        <f>IF(L4="","",'14_Eingangsrechnungen'!E4)</f>
        <v/>
      </c>
      <c r="R4" s="15">
        <f>IF(L4="","",'14_Eingangsrechnungen'!M4)</f>
        <v/>
      </c>
      <c r="S4" s="15">
        <f>IF(L4="","",'14_Eingangsrechnungen'!O4)</f>
        <v/>
      </c>
      <c r="T4" s="44">
        <f>IF(L4="","",'14_Eingangsrechnungen'!H4)</f>
        <v/>
      </c>
      <c r="U4" s="45">
        <f>IF(L4="","",'14_Eingangsrechnungen'!P4)</f>
        <v/>
      </c>
    </row>
    <row r="5">
      <c r="A5" s="13">
        <f>IF('13_Ausgangsrechnungen'!A5="","",IF('13_Ausgangsrechnungen'!S5&gt;0.5,"Debitor",""))</f>
        <v/>
      </c>
      <c r="B5" s="13">
        <f>IF(A5="","",'13_Ausgangsrechnungen'!A5)</f>
        <v/>
      </c>
      <c r="C5" s="44">
        <f>IF(A5="","",'13_Ausgangsrechnungen'!B5)</f>
        <v/>
      </c>
      <c r="D5" s="13">
        <f>IF(A5="","",'13_Ausgangsrechnungen'!D5)</f>
        <v/>
      </c>
      <c r="E5" s="13">
        <f>IF(A5="","",'13_Ausgangsrechnungen'!C5)</f>
        <v/>
      </c>
      <c r="F5" s="13">
        <f>IF(A5="","",'13_Ausgangsrechnungen'!E5)</f>
        <v/>
      </c>
      <c r="G5" s="15">
        <f>IF(A5="","",'13_Ausgangsrechnungen'!Q5)</f>
        <v/>
      </c>
      <c r="H5" s="15">
        <f>IF(A5="","",'13_Ausgangsrechnungen'!S5)</f>
        <v/>
      </c>
      <c r="I5" s="44">
        <f>IF(A5="","",'13_Ausgangsrechnungen'!J5)</f>
        <v/>
      </c>
      <c r="J5" s="45">
        <f>IF(A5="","",'13_Ausgangsrechnungen'!T5)</f>
        <v/>
      </c>
      <c r="K5" s="3" t="n"/>
      <c r="L5" s="13">
        <f>IF('14_Eingangsrechnungen'!A5="","",IF('14_Eingangsrechnungen'!O5&gt;0.5,"Kreditor",""))</f>
        <v/>
      </c>
      <c r="M5" s="13">
        <f>IF(L5="","",'14_Eingangsrechnungen'!A5)</f>
        <v/>
      </c>
      <c r="N5" s="44">
        <f>IF(L5="","",'14_Eingangsrechnungen'!B5)</f>
        <v/>
      </c>
      <c r="O5" s="13">
        <f>IF(L5="","",'14_Eingangsrechnungen'!D5)</f>
        <v/>
      </c>
      <c r="P5" s="13">
        <f>IF(L5="","",'14_Eingangsrechnungen'!C5)</f>
        <v/>
      </c>
      <c r="Q5" s="13">
        <f>IF(L5="","",'14_Eingangsrechnungen'!E5)</f>
        <v/>
      </c>
      <c r="R5" s="15">
        <f>IF(L5="","",'14_Eingangsrechnungen'!M5)</f>
        <v/>
      </c>
      <c r="S5" s="15">
        <f>IF(L5="","",'14_Eingangsrechnungen'!O5)</f>
        <v/>
      </c>
      <c r="T5" s="44">
        <f>IF(L5="","",'14_Eingangsrechnungen'!H5)</f>
        <v/>
      </c>
      <c r="U5" s="45">
        <f>IF(L5="","",'14_Eingangsrechnungen'!P5)</f>
        <v/>
      </c>
    </row>
    <row r="6">
      <c r="A6" s="13">
        <f>IF('13_Ausgangsrechnungen'!A6="","",IF('13_Ausgangsrechnungen'!S6&gt;0.5,"Debitor",""))</f>
        <v/>
      </c>
      <c r="B6" s="13">
        <f>IF(A6="","",'13_Ausgangsrechnungen'!A6)</f>
        <v/>
      </c>
      <c r="C6" s="44">
        <f>IF(A6="","",'13_Ausgangsrechnungen'!B6)</f>
        <v/>
      </c>
      <c r="D6" s="13">
        <f>IF(A6="","",'13_Ausgangsrechnungen'!D6)</f>
        <v/>
      </c>
      <c r="E6" s="13">
        <f>IF(A6="","",'13_Ausgangsrechnungen'!C6)</f>
        <v/>
      </c>
      <c r="F6" s="13">
        <f>IF(A6="","",'13_Ausgangsrechnungen'!E6)</f>
        <v/>
      </c>
      <c r="G6" s="15">
        <f>IF(A6="","",'13_Ausgangsrechnungen'!Q6)</f>
        <v/>
      </c>
      <c r="H6" s="15">
        <f>IF(A6="","",'13_Ausgangsrechnungen'!S6)</f>
        <v/>
      </c>
      <c r="I6" s="44">
        <f>IF(A6="","",'13_Ausgangsrechnungen'!J6)</f>
        <v/>
      </c>
      <c r="J6" s="45">
        <f>IF(A6="","",'13_Ausgangsrechnungen'!T6)</f>
        <v/>
      </c>
      <c r="K6" s="3" t="n"/>
      <c r="L6" s="13">
        <f>IF('14_Eingangsrechnungen'!A6="","",IF('14_Eingangsrechnungen'!O6&gt;0.5,"Kreditor",""))</f>
        <v/>
      </c>
      <c r="M6" s="13">
        <f>IF(L6="","",'14_Eingangsrechnungen'!A6)</f>
        <v/>
      </c>
      <c r="N6" s="44">
        <f>IF(L6="","",'14_Eingangsrechnungen'!B6)</f>
        <v/>
      </c>
      <c r="O6" s="13">
        <f>IF(L6="","",'14_Eingangsrechnungen'!D6)</f>
        <v/>
      </c>
      <c r="P6" s="13">
        <f>IF(L6="","",'14_Eingangsrechnungen'!C6)</f>
        <v/>
      </c>
      <c r="Q6" s="13">
        <f>IF(L6="","",'14_Eingangsrechnungen'!E6)</f>
        <v/>
      </c>
      <c r="R6" s="15">
        <f>IF(L6="","",'14_Eingangsrechnungen'!M6)</f>
        <v/>
      </c>
      <c r="S6" s="15">
        <f>IF(L6="","",'14_Eingangsrechnungen'!O6)</f>
        <v/>
      </c>
      <c r="T6" s="44">
        <f>IF(L6="","",'14_Eingangsrechnungen'!H6)</f>
        <v/>
      </c>
      <c r="U6" s="45">
        <f>IF(L6="","",'14_Eingangsrechnungen'!P6)</f>
        <v/>
      </c>
    </row>
    <row r="7">
      <c r="A7" s="13">
        <f>IF('13_Ausgangsrechnungen'!A7="","",IF('13_Ausgangsrechnungen'!S7&gt;0.5,"Debitor",""))</f>
        <v/>
      </c>
      <c r="B7" s="13">
        <f>IF(A7="","",'13_Ausgangsrechnungen'!A7)</f>
        <v/>
      </c>
      <c r="C7" s="44">
        <f>IF(A7="","",'13_Ausgangsrechnungen'!B7)</f>
        <v/>
      </c>
      <c r="D7" s="13">
        <f>IF(A7="","",'13_Ausgangsrechnungen'!D7)</f>
        <v/>
      </c>
      <c r="E7" s="13">
        <f>IF(A7="","",'13_Ausgangsrechnungen'!C7)</f>
        <v/>
      </c>
      <c r="F7" s="13">
        <f>IF(A7="","",'13_Ausgangsrechnungen'!E7)</f>
        <v/>
      </c>
      <c r="G7" s="15">
        <f>IF(A7="","",'13_Ausgangsrechnungen'!Q7)</f>
        <v/>
      </c>
      <c r="H7" s="15">
        <f>IF(A7="","",'13_Ausgangsrechnungen'!S7)</f>
        <v/>
      </c>
      <c r="I7" s="44">
        <f>IF(A7="","",'13_Ausgangsrechnungen'!J7)</f>
        <v/>
      </c>
      <c r="J7" s="45">
        <f>IF(A7="","",'13_Ausgangsrechnungen'!T7)</f>
        <v/>
      </c>
      <c r="L7" s="13">
        <f>IF('14_Eingangsrechnungen'!A7="","",IF('14_Eingangsrechnungen'!O7&gt;0.5,"Kreditor",""))</f>
        <v/>
      </c>
      <c r="M7" s="13">
        <f>IF(L7="","",'14_Eingangsrechnungen'!A7)</f>
        <v/>
      </c>
      <c r="N7" s="44">
        <f>IF(L7="","",'14_Eingangsrechnungen'!B7)</f>
        <v/>
      </c>
      <c r="O7" s="13">
        <f>IF(L7="","",'14_Eingangsrechnungen'!D7)</f>
        <v/>
      </c>
      <c r="P7" s="13">
        <f>IF(L7="","",'14_Eingangsrechnungen'!C7)</f>
        <v/>
      </c>
      <c r="Q7" s="13">
        <f>IF(L7="","",'14_Eingangsrechnungen'!E7)</f>
        <v/>
      </c>
      <c r="R7" s="15">
        <f>IF(L7="","",'14_Eingangsrechnungen'!M7)</f>
        <v/>
      </c>
      <c r="S7" s="15">
        <f>IF(L7="","",'14_Eingangsrechnungen'!O7)</f>
        <v/>
      </c>
      <c r="T7" s="44">
        <f>IF(L7="","",'14_Eingangsrechnungen'!H7)</f>
        <v/>
      </c>
      <c r="U7" s="45">
        <f>IF(L7="","",'14_Eingangsrechnungen'!P7)</f>
        <v/>
      </c>
    </row>
    <row r="8">
      <c r="A8" s="13">
        <f>IF('13_Ausgangsrechnungen'!A8="","",IF('13_Ausgangsrechnungen'!S8&gt;0.5,"Debitor",""))</f>
        <v/>
      </c>
      <c r="B8" s="13">
        <f>IF(A8="","",'13_Ausgangsrechnungen'!A8)</f>
        <v/>
      </c>
      <c r="C8" s="44">
        <f>IF(A8="","",'13_Ausgangsrechnungen'!B8)</f>
        <v/>
      </c>
      <c r="D8" s="13">
        <f>IF(A8="","",'13_Ausgangsrechnungen'!D8)</f>
        <v/>
      </c>
      <c r="E8" s="13">
        <f>IF(A8="","",'13_Ausgangsrechnungen'!C8)</f>
        <v/>
      </c>
      <c r="F8" s="13">
        <f>IF(A8="","",'13_Ausgangsrechnungen'!E8)</f>
        <v/>
      </c>
      <c r="G8" s="15">
        <f>IF(A8="","",'13_Ausgangsrechnungen'!Q8)</f>
        <v/>
      </c>
      <c r="H8" s="15">
        <f>IF(A8="","",'13_Ausgangsrechnungen'!S8)</f>
        <v/>
      </c>
      <c r="I8" s="44">
        <f>IF(A8="","",'13_Ausgangsrechnungen'!J8)</f>
        <v/>
      </c>
      <c r="J8" s="45">
        <f>IF(A8="","",'13_Ausgangsrechnungen'!T8)</f>
        <v/>
      </c>
      <c r="L8" s="13">
        <f>IF('14_Eingangsrechnungen'!A8="","",IF('14_Eingangsrechnungen'!O8&gt;0.5,"Kreditor",""))</f>
        <v/>
      </c>
      <c r="M8" s="13">
        <f>IF(L8="","",'14_Eingangsrechnungen'!A8)</f>
        <v/>
      </c>
      <c r="N8" s="44">
        <f>IF(L8="","",'14_Eingangsrechnungen'!B8)</f>
        <v/>
      </c>
      <c r="O8" s="13">
        <f>IF(L8="","",'14_Eingangsrechnungen'!D8)</f>
        <v/>
      </c>
      <c r="P8" s="13">
        <f>IF(L8="","",'14_Eingangsrechnungen'!C8)</f>
        <v/>
      </c>
      <c r="Q8" s="13">
        <f>IF(L8="","",'14_Eingangsrechnungen'!E8)</f>
        <v/>
      </c>
      <c r="R8" s="15">
        <f>IF(L8="","",'14_Eingangsrechnungen'!M8)</f>
        <v/>
      </c>
      <c r="S8" s="15">
        <f>IF(L8="","",'14_Eingangsrechnungen'!O8)</f>
        <v/>
      </c>
      <c r="T8" s="44">
        <f>IF(L8="","",'14_Eingangsrechnungen'!H8)</f>
        <v/>
      </c>
      <c r="U8" s="45">
        <f>IF(L8="","",'14_Eingangsrechnungen'!P8)</f>
        <v/>
      </c>
    </row>
    <row r="9">
      <c r="A9" s="13">
        <f>IF('13_Ausgangsrechnungen'!A9="","",IF('13_Ausgangsrechnungen'!S9&gt;0.5,"Debitor",""))</f>
        <v/>
      </c>
      <c r="B9" s="13">
        <f>IF(A9="","",'13_Ausgangsrechnungen'!A9)</f>
        <v/>
      </c>
      <c r="C9" s="44">
        <f>IF(A9="","",'13_Ausgangsrechnungen'!B9)</f>
        <v/>
      </c>
      <c r="D9" s="13">
        <f>IF(A9="","",'13_Ausgangsrechnungen'!D9)</f>
        <v/>
      </c>
      <c r="E9" s="13">
        <f>IF(A9="","",'13_Ausgangsrechnungen'!C9)</f>
        <v/>
      </c>
      <c r="F9" s="13">
        <f>IF(A9="","",'13_Ausgangsrechnungen'!E9)</f>
        <v/>
      </c>
      <c r="G9" s="15">
        <f>IF(A9="","",'13_Ausgangsrechnungen'!Q9)</f>
        <v/>
      </c>
      <c r="H9" s="15">
        <f>IF(A9="","",'13_Ausgangsrechnungen'!S9)</f>
        <v/>
      </c>
      <c r="I9" s="44">
        <f>IF(A9="","",'13_Ausgangsrechnungen'!J9)</f>
        <v/>
      </c>
      <c r="J9" s="45">
        <f>IF(A9="","",'13_Ausgangsrechnungen'!T9)</f>
        <v/>
      </c>
      <c r="L9" s="13">
        <f>IF('14_Eingangsrechnungen'!A9="","",IF('14_Eingangsrechnungen'!O9&gt;0.5,"Kreditor",""))</f>
        <v/>
      </c>
      <c r="M9" s="13">
        <f>IF(L9="","",'14_Eingangsrechnungen'!A9)</f>
        <v/>
      </c>
      <c r="N9" s="44">
        <f>IF(L9="","",'14_Eingangsrechnungen'!B9)</f>
        <v/>
      </c>
      <c r="O9" s="13">
        <f>IF(L9="","",'14_Eingangsrechnungen'!D9)</f>
        <v/>
      </c>
      <c r="P9" s="13">
        <f>IF(L9="","",'14_Eingangsrechnungen'!C9)</f>
        <v/>
      </c>
      <c r="Q9" s="13">
        <f>IF(L9="","",'14_Eingangsrechnungen'!E9)</f>
        <v/>
      </c>
      <c r="R9" s="15">
        <f>IF(L9="","",'14_Eingangsrechnungen'!M9)</f>
        <v/>
      </c>
      <c r="S9" s="15">
        <f>IF(L9="","",'14_Eingangsrechnungen'!O9)</f>
        <v/>
      </c>
      <c r="T9" s="44">
        <f>IF(L9="","",'14_Eingangsrechnungen'!H9)</f>
        <v/>
      </c>
      <c r="U9" s="45">
        <f>IF(L9="","",'14_Eingangsrechnungen'!P9)</f>
        <v/>
      </c>
    </row>
    <row r="10">
      <c r="A10" s="13">
        <f>IF('13_Ausgangsrechnungen'!A10="","",IF('13_Ausgangsrechnungen'!S10&gt;0.5,"Debitor",""))</f>
        <v/>
      </c>
      <c r="B10" s="13">
        <f>IF(A10="","",'13_Ausgangsrechnungen'!A10)</f>
        <v/>
      </c>
      <c r="C10" s="44">
        <f>IF(A10="","",'13_Ausgangsrechnungen'!B10)</f>
        <v/>
      </c>
      <c r="D10" s="13">
        <f>IF(A10="","",'13_Ausgangsrechnungen'!D10)</f>
        <v/>
      </c>
      <c r="E10" s="13">
        <f>IF(A10="","",'13_Ausgangsrechnungen'!C10)</f>
        <v/>
      </c>
      <c r="F10" s="13">
        <f>IF(A10="","",'13_Ausgangsrechnungen'!E10)</f>
        <v/>
      </c>
      <c r="G10" s="15">
        <f>IF(A10="","",'13_Ausgangsrechnungen'!Q10)</f>
        <v/>
      </c>
      <c r="H10" s="15">
        <f>IF(A10="","",'13_Ausgangsrechnungen'!S10)</f>
        <v/>
      </c>
      <c r="I10" s="44">
        <f>IF(A10="","",'13_Ausgangsrechnungen'!J10)</f>
        <v/>
      </c>
      <c r="J10" s="45">
        <f>IF(A10="","",'13_Ausgangsrechnungen'!T10)</f>
        <v/>
      </c>
      <c r="L10" s="13">
        <f>IF('14_Eingangsrechnungen'!A10="","",IF('14_Eingangsrechnungen'!O10&gt;0.5,"Kreditor",""))</f>
        <v/>
      </c>
      <c r="M10" s="13">
        <f>IF(L10="","",'14_Eingangsrechnungen'!A10)</f>
        <v/>
      </c>
      <c r="N10" s="44">
        <f>IF(L10="","",'14_Eingangsrechnungen'!B10)</f>
        <v/>
      </c>
      <c r="O10" s="13">
        <f>IF(L10="","",'14_Eingangsrechnungen'!D10)</f>
        <v/>
      </c>
      <c r="P10" s="13">
        <f>IF(L10="","",'14_Eingangsrechnungen'!C10)</f>
        <v/>
      </c>
      <c r="Q10" s="13">
        <f>IF(L10="","",'14_Eingangsrechnungen'!E10)</f>
        <v/>
      </c>
      <c r="R10" s="15">
        <f>IF(L10="","",'14_Eingangsrechnungen'!M10)</f>
        <v/>
      </c>
      <c r="S10" s="15">
        <f>IF(L10="","",'14_Eingangsrechnungen'!O10)</f>
        <v/>
      </c>
      <c r="T10" s="44">
        <f>IF(L10="","",'14_Eingangsrechnungen'!H10)</f>
        <v/>
      </c>
      <c r="U10" s="45">
        <f>IF(L10="","",'14_Eingangsrechnungen'!P10)</f>
        <v/>
      </c>
    </row>
    <row r="11">
      <c r="A11" s="13">
        <f>IF('13_Ausgangsrechnungen'!A11="","",IF('13_Ausgangsrechnungen'!S11&gt;0.5,"Debitor",""))</f>
        <v/>
      </c>
      <c r="B11" s="13">
        <f>IF(A11="","",'13_Ausgangsrechnungen'!A11)</f>
        <v/>
      </c>
      <c r="C11" s="44">
        <f>IF(A11="","",'13_Ausgangsrechnungen'!B11)</f>
        <v/>
      </c>
      <c r="D11" s="13">
        <f>IF(A11="","",'13_Ausgangsrechnungen'!D11)</f>
        <v/>
      </c>
      <c r="E11" s="13">
        <f>IF(A11="","",'13_Ausgangsrechnungen'!C11)</f>
        <v/>
      </c>
      <c r="F11" s="13">
        <f>IF(A11="","",'13_Ausgangsrechnungen'!E11)</f>
        <v/>
      </c>
      <c r="G11" s="15">
        <f>IF(A11="","",'13_Ausgangsrechnungen'!Q11)</f>
        <v/>
      </c>
      <c r="H11" s="15">
        <f>IF(A11="","",'13_Ausgangsrechnungen'!S11)</f>
        <v/>
      </c>
      <c r="I11" s="44">
        <f>IF(A11="","",'13_Ausgangsrechnungen'!J11)</f>
        <v/>
      </c>
      <c r="J11" s="45">
        <f>IF(A11="","",'13_Ausgangsrechnungen'!T11)</f>
        <v/>
      </c>
      <c r="L11" s="13">
        <f>IF('14_Eingangsrechnungen'!A11="","",IF('14_Eingangsrechnungen'!O11&gt;0.5,"Kreditor",""))</f>
        <v/>
      </c>
      <c r="M11" s="13">
        <f>IF(L11="","",'14_Eingangsrechnungen'!A11)</f>
        <v/>
      </c>
      <c r="N11" s="44">
        <f>IF(L11="","",'14_Eingangsrechnungen'!B11)</f>
        <v/>
      </c>
      <c r="O11" s="13">
        <f>IF(L11="","",'14_Eingangsrechnungen'!D11)</f>
        <v/>
      </c>
      <c r="P11" s="13">
        <f>IF(L11="","",'14_Eingangsrechnungen'!C11)</f>
        <v/>
      </c>
      <c r="Q11" s="13">
        <f>IF(L11="","",'14_Eingangsrechnungen'!E11)</f>
        <v/>
      </c>
      <c r="R11" s="15">
        <f>IF(L11="","",'14_Eingangsrechnungen'!M11)</f>
        <v/>
      </c>
      <c r="S11" s="15">
        <f>IF(L11="","",'14_Eingangsrechnungen'!O11)</f>
        <v/>
      </c>
      <c r="T11" s="44">
        <f>IF(L11="","",'14_Eingangsrechnungen'!H11)</f>
        <v/>
      </c>
      <c r="U11" s="45">
        <f>IF(L11="","",'14_Eingangsrechnungen'!P11)</f>
        <v/>
      </c>
    </row>
    <row r="12">
      <c r="A12" s="13">
        <f>IF('13_Ausgangsrechnungen'!A12="","",IF('13_Ausgangsrechnungen'!S12&gt;0.5,"Debitor",""))</f>
        <v/>
      </c>
      <c r="B12" s="13">
        <f>IF(A12="","",'13_Ausgangsrechnungen'!A12)</f>
        <v/>
      </c>
      <c r="C12" s="44">
        <f>IF(A12="","",'13_Ausgangsrechnungen'!B12)</f>
        <v/>
      </c>
      <c r="D12" s="13">
        <f>IF(A12="","",'13_Ausgangsrechnungen'!D12)</f>
        <v/>
      </c>
      <c r="E12" s="13">
        <f>IF(A12="","",'13_Ausgangsrechnungen'!C12)</f>
        <v/>
      </c>
      <c r="F12" s="13">
        <f>IF(A12="","",'13_Ausgangsrechnungen'!E12)</f>
        <v/>
      </c>
      <c r="G12" s="15">
        <f>IF(A12="","",'13_Ausgangsrechnungen'!Q12)</f>
        <v/>
      </c>
      <c r="H12" s="15">
        <f>IF(A12="","",'13_Ausgangsrechnungen'!S12)</f>
        <v/>
      </c>
      <c r="I12" s="44">
        <f>IF(A12="","",'13_Ausgangsrechnungen'!J12)</f>
        <v/>
      </c>
      <c r="J12" s="45">
        <f>IF(A12="","",'13_Ausgangsrechnungen'!T12)</f>
        <v/>
      </c>
      <c r="L12" s="13">
        <f>IF('14_Eingangsrechnungen'!A12="","",IF('14_Eingangsrechnungen'!O12&gt;0.5,"Kreditor",""))</f>
        <v/>
      </c>
      <c r="M12" s="13">
        <f>IF(L12="","",'14_Eingangsrechnungen'!A12)</f>
        <v/>
      </c>
      <c r="N12" s="44">
        <f>IF(L12="","",'14_Eingangsrechnungen'!B12)</f>
        <v/>
      </c>
      <c r="O12" s="13">
        <f>IF(L12="","",'14_Eingangsrechnungen'!D12)</f>
        <v/>
      </c>
      <c r="P12" s="13">
        <f>IF(L12="","",'14_Eingangsrechnungen'!C12)</f>
        <v/>
      </c>
      <c r="Q12" s="13">
        <f>IF(L12="","",'14_Eingangsrechnungen'!E12)</f>
        <v/>
      </c>
      <c r="R12" s="15">
        <f>IF(L12="","",'14_Eingangsrechnungen'!M12)</f>
        <v/>
      </c>
      <c r="S12" s="15">
        <f>IF(L12="","",'14_Eingangsrechnungen'!O12)</f>
        <v/>
      </c>
      <c r="T12" s="44">
        <f>IF(L12="","",'14_Eingangsrechnungen'!H12)</f>
        <v/>
      </c>
      <c r="U12" s="45">
        <f>IF(L12="","",'14_Eingangsrechnungen'!P12)</f>
        <v/>
      </c>
    </row>
    <row r="13">
      <c r="A13" s="13">
        <f>IF('13_Ausgangsrechnungen'!A13="","",IF('13_Ausgangsrechnungen'!S13&gt;0.5,"Debitor",""))</f>
        <v/>
      </c>
      <c r="B13" s="13">
        <f>IF(A13="","",'13_Ausgangsrechnungen'!A13)</f>
        <v/>
      </c>
      <c r="C13" s="44">
        <f>IF(A13="","",'13_Ausgangsrechnungen'!B13)</f>
        <v/>
      </c>
      <c r="D13" s="13">
        <f>IF(A13="","",'13_Ausgangsrechnungen'!D13)</f>
        <v/>
      </c>
      <c r="E13" s="13">
        <f>IF(A13="","",'13_Ausgangsrechnungen'!C13)</f>
        <v/>
      </c>
      <c r="F13" s="13">
        <f>IF(A13="","",'13_Ausgangsrechnungen'!E13)</f>
        <v/>
      </c>
      <c r="G13" s="15">
        <f>IF(A13="","",'13_Ausgangsrechnungen'!Q13)</f>
        <v/>
      </c>
      <c r="H13" s="15">
        <f>IF(A13="","",'13_Ausgangsrechnungen'!S13)</f>
        <v/>
      </c>
      <c r="I13" s="44">
        <f>IF(A13="","",'13_Ausgangsrechnungen'!J13)</f>
        <v/>
      </c>
      <c r="J13" s="45">
        <f>IF(A13="","",'13_Ausgangsrechnungen'!T13)</f>
        <v/>
      </c>
      <c r="L13" s="13">
        <f>IF('14_Eingangsrechnungen'!A13="","",IF('14_Eingangsrechnungen'!O13&gt;0.5,"Kreditor",""))</f>
        <v/>
      </c>
      <c r="M13" s="13">
        <f>IF(L13="","",'14_Eingangsrechnungen'!A13)</f>
        <v/>
      </c>
      <c r="N13" s="44">
        <f>IF(L13="","",'14_Eingangsrechnungen'!B13)</f>
        <v/>
      </c>
      <c r="O13" s="13">
        <f>IF(L13="","",'14_Eingangsrechnungen'!D13)</f>
        <v/>
      </c>
      <c r="P13" s="13">
        <f>IF(L13="","",'14_Eingangsrechnungen'!C13)</f>
        <v/>
      </c>
      <c r="Q13" s="13">
        <f>IF(L13="","",'14_Eingangsrechnungen'!E13)</f>
        <v/>
      </c>
      <c r="R13" s="15">
        <f>IF(L13="","",'14_Eingangsrechnungen'!M13)</f>
        <v/>
      </c>
      <c r="S13" s="15">
        <f>IF(L13="","",'14_Eingangsrechnungen'!O13)</f>
        <v/>
      </c>
      <c r="T13" s="44">
        <f>IF(L13="","",'14_Eingangsrechnungen'!H13)</f>
        <v/>
      </c>
      <c r="U13" s="45">
        <f>IF(L13="","",'14_Eingangsrechnungen'!P13)</f>
        <v/>
      </c>
    </row>
    <row r="14">
      <c r="A14" s="13">
        <f>IF('13_Ausgangsrechnungen'!A14="","",IF('13_Ausgangsrechnungen'!S14&gt;0.5,"Debitor",""))</f>
        <v/>
      </c>
      <c r="B14" s="13">
        <f>IF(A14="","",'13_Ausgangsrechnungen'!A14)</f>
        <v/>
      </c>
      <c r="C14" s="44">
        <f>IF(A14="","",'13_Ausgangsrechnungen'!B14)</f>
        <v/>
      </c>
      <c r="D14" s="13">
        <f>IF(A14="","",'13_Ausgangsrechnungen'!D14)</f>
        <v/>
      </c>
      <c r="E14" s="13">
        <f>IF(A14="","",'13_Ausgangsrechnungen'!C14)</f>
        <v/>
      </c>
      <c r="F14" s="13">
        <f>IF(A14="","",'13_Ausgangsrechnungen'!E14)</f>
        <v/>
      </c>
      <c r="G14" s="15">
        <f>IF(A14="","",'13_Ausgangsrechnungen'!Q14)</f>
        <v/>
      </c>
      <c r="H14" s="15">
        <f>IF(A14="","",'13_Ausgangsrechnungen'!S14)</f>
        <v/>
      </c>
      <c r="I14" s="44">
        <f>IF(A14="","",'13_Ausgangsrechnungen'!J14)</f>
        <v/>
      </c>
      <c r="J14" s="45">
        <f>IF(A14="","",'13_Ausgangsrechnungen'!T14)</f>
        <v/>
      </c>
      <c r="L14" s="13">
        <f>IF('14_Eingangsrechnungen'!A14="","",IF('14_Eingangsrechnungen'!O14&gt;0.5,"Kreditor",""))</f>
        <v/>
      </c>
      <c r="M14" s="13">
        <f>IF(L14="","",'14_Eingangsrechnungen'!A14)</f>
        <v/>
      </c>
      <c r="N14" s="44">
        <f>IF(L14="","",'14_Eingangsrechnungen'!B14)</f>
        <v/>
      </c>
      <c r="O14" s="13">
        <f>IF(L14="","",'14_Eingangsrechnungen'!D14)</f>
        <v/>
      </c>
      <c r="P14" s="13">
        <f>IF(L14="","",'14_Eingangsrechnungen'!C14)</f>
        <v/>
      </c>
      <c r="Q14" s="13">
        <f>IF(L14="","",'14_Eingangsrechnungen'!E14)</f>
        <v/>
      </c>
      <c r="R14" s="15">
        <f>IF(L14="","",'14_Eingangsrechnungen'!M14)</f>
        <v/>
      </c>
      <c r="S14" s="15">
        <f>IF(L14="","",'14_Eingangsrechnungen'!O14)</f>
        <v/>
      </c>
      <c r="T14" s="44">
        <f>IF(L14="","",'14_Eingangsrechnungen'!H14)</f>
        <v/>
      </c>
      <c r="U14" s="45">
        <f>IF(L14="","",'14_Eingangsrechnungen'!P14)</f>
        <v/>
      </c>
    </row>
    <row r="15">
      <c r="A15" s="13">
        <f>IF('13_Ausgangsrechnungen'!A15="","",IF('13_Ausgangsrechnungen'!S15&gt;0.5,"Debitor",""))</f>
        <v/>
      </c>
      <c r="B15" s="13">
        <f>IF(A15="","",'13_Ausgangsrechnungen'!A15)</f>
        <v/>
      </c>
      <c r="C15" s="44">
        <f>IF(A15="","",'13_Ausgangsrechnungen'!B15)</f>
        <v/>
      </c>
      <c r="D15" s="13">
        <f>IF(A15="","",'13_Ausgangsrechnungen'!D15)</f>
        <v/>
      </c>
      <c r="E15" s="13">
        <f>IF(A15="","",'13_Ausgangsrechnungen'!C15)</f>
        <v/>
      </c>
      <c r="F15" s="13">
        <f>IF(A15="","",'13_Ausgangsrechnungen'!E15)</f>
        <v/>
      </c>
      <c r="G15" s="15">
        <f>IF(A15="","",'13_Ausgangsrechnungen'!Q15)</f>
        <v/>
      </c>
      <c r="H15" s="15">
        <f>IF(A15="","",'13_Ausgangsrechnungen'!S15)</f>
        <v/>
      </c>
      <c r="I15" s="44">
        <f>IF(A15="","",'13_Ausgangsrechnungen'!J15)</f>
        <v/>
      </c>
      <c r="J15" s="45">
        <f>IF(A15="","",'13_Ausgangsrechnungen'!T15)</f>
        <v/>
      </c>
      <c r="L15" s="13">
        <f>IF('14_Eingangsrechnungen'!A15="","",IF('14_Eingangsrechnungen'!O15&gt;0.5,"Kreditor",""))</f>
        <v/>
      </c>
      <c r="M15" s="13">
        <f>IF(L15="","",'14_Eingangsrechnungen'!A15)</f>
        <v/>
      </c>
      <c r="N15" s="44">
        <f>IF(L15="","",'14_Eingangsrechnungen'!B15)</f>
        <v/>
      </c>
      <c r="O15" s="13">
        <f>IF(L15="","",'14_Eingangsrechnungen'!D15)</f>
        <v/>
      </c>
      <c r="P15" s="13">
        <f>IF(L15="","",'14_Eingangsrechnungen'!C15)</f>
        <v/>
      </c>
      <c r="Q15" s="13">
        <f>IF(L15="","",'14_Eingangsrechnungen'!E15)</f>
        <v/>
      </c>
      <c r="R15" s="15">
        <f>IF(L15="","",'14_Eingangsrechnungen'!M15)</f>
        <v/>
      </c>
      <c r="S15" s="15">
        <f>IF(L15="","",'14_Eingangsrechnungen'!O15)</f>
        <v/>
      </c>
      <c r="T15" s="44">
        <f>IF(L15="","",'14_Eingangsrechnungen'!H15)</f>
        <v/>
      </c>
      <c r="U15" s="45">
        <f>IF(L15="","",'14_Eingangsrechnungen'!P15)</f>
        <v/>
      </c>
    </row>
    <row r="16">
      <c r="A16" s="13">
        <f>IF('13_Ausgangsrechnungen'!A16="","",IF('13_Ausgangsrechnungen'!S16&gt;0.5,"Debitor",""))</f>
        <v/>
      </c>
      <c r="B16" s="13">
        <f>IF(A16="","",'13_Ausgangsrechnungen'!A16)</f>
        <v/>
      </c>
      <c r="C16" s="44">
        <f>IF(A16="","",'13_Ausgangsrechnungen'!B16)</f>
        <v/>
      </c>
      <c r="D16" s="13">
        <f>IF(A16="","",'13_Ausgangsrechnungen'!D16)</f>
        <v/>
      </c>
      <c r="E16" s="13">
        <f>IF(A16="","",'13_Ausgangsrechnungen'!C16)</f>
        <v/>
      </c>
      <c r="F16" s="13">
        <f>IF(A16="","",'13_Ausgangsrechnungen'!E16)</f>
        <v/>
      </c>
      <c r="G16" s="15">
        <f>IF(A16="","",'13_Ausgangsrechnungen'!Q16)</f>
        <v/>
      </c>
      <c r="H16" s="15">
        <f>IF(A16="","",'13_Ausgangsrechnungen'!S16)</f>
        <v/>
      </c>
      <c r="I16" s="44">
        <f>IF(A16="","",'13_Ausgangsrechnungen'!J16)</f>
        <v/>
      </c>
      <c r="J16" s="45">
        <f>IF(A16="","",'13_Ausgangsrechnungen'!T16)</f>
        <v/>
      </c>
      <c r="L16" s="13">
        <f>IF('14_Eingangsrechnungen'!A16="","",IF('14_Eingangsrechnungen'!O16&gt;0.5,"Kreditor",""))</f>
        <v/>
      </c>
      <c r="M16" s="13">
        <f>IF(L16="","",'14_Eingangsrechnungen'!A16)</f>
        <v/>
      </c>
      <c r="N16" s="44">
        <f>IF(L16="","",'14_Eingangsrechnungen'!B16)</f>
        <v/>
      </c>
      <c r="O16" s="13">
        <f>IF(L16="","",'14_Eingangsrechnungen'!D16)</f>
        <v/>
      </c>
      <c r="P16" s="13">
        <f>IF(L16="","",'14_Eingangsrechnungen'!C16)</f>
        <v/>
      </c>
      <c r="Q16" s="13">
        <f>IF(L16="","",'14_Eingangsrechnungen'!E16)</f>
        <v/>
      </c>
      <c r="R16" s="15">
        <f>IF(L16="","",'14_Eingangsrechnungen'!M16)</f>
        <v/>
      </c>
      <c r="S16" s="15">
        <f>IF(L16="","",'14_Eingangsrechnungen'!O16)</f>
        <v/>
      </c>
      <c r="T16" s="44">
        <f>IF(L16="","",'14_Eingangsrechnungen'!H16)</f>
        <v/>
      </c>
      <c r="U16" s="45">
        <f>IF(L16="","",'14_Eingangsrechnungen'!P16)</f>
        <v/>
      </c>
    </row>
    <row r="17">
      <c r="A17" s="13">
        <f>IF('13_Ausgangsrechnungen'!A17="","",IF('13_Ausgangsrechnungen'!S17&gt;0.5,"Debitor",""))</f>
        <v/>
      </c>
      <c r="B17" s="13">
        <f>IF(A17="","",'13_Ausgangsrechnungen'!A17)</f>
        <v/>
      </c>
      <c r="C17" s="44">
        <f>IF(A17="","",'13_Ausgangsrechnungen'!B17)</f>
        <v/>
      </c>
      <c r="D17" s="13">
        <f>IF(A17="","",'13_Ausgangsrechnungen'!D17)</f>
        <v/>
      </c>
      <c r="E17" s="13">
        <f>IF(A17="","",'13_Ausgangsrechnungen'!C17)</f>
        <v/>
      </c>
      <c r="F17" s="13">
        <f>IF(A17="","",'13_Ausgangsrechnungen'!E17)</f>
        <v/>
      </c>
      <c r="G17" s="15">
        <f>IF(A17="","",'13_Ausgangsrechnungen'!Q17)</f>
        <v/>
      </c>
      <c r="H17" s="15">
        <f>IF(A17="","",'13_Ausgangsrechnungen'!S17)</f>
        <v/>
      </c>
      <c r="I17" s="44">
        <f>IF(A17="","",'13_Ausgangsrechnungen'!J17)</f>
        <v/>
      </c>
      <c r="J17" s="45">
        <f>IF(A17="","",'13_Ausgangsrechnungen'!T17)</f>
        <v/>
      </c>
      <c r="L17" s="13">
        <f>IF('14_Eingangsrechnungen'!A17="","",IF('14_Eingangsrechnungen'!O17&gt;0.5,"Kreditor",""))</f>
        <v/>
      </c>
      <c r="M17" s="13">
        <f>IF(L17="","",'14_Eingangsrechnungen'!A17)</f>
        <v/>
      </c>
      <c r="N17" s="44">
        <f>IF(L17="","",'14_Eingangsrechnungen'!B17)</f>
        <v/>
      </c>
      <c r="O17" s="13">
        <f>IF(L17="","",'14_Eingangsrechnungen'!D17)</f>
        <v/>
      </c>
      <c r="P17" s="13">
        <f>IF(L17="","",'14_Eingangsrechnungen'!C17)</f>
        <v/>
      </c>
      <c r="Q17" s="13">
        <f>IF(L17="","",'14_Eingangsrechnungen'!E17)</f>
        <v/>
      </c>
      <c r="R17" s="15">
        <f>IF(L17="","",'14_Eingangsrechnungen'!M17)</f>
        <v/>
      </c>
      <c r="S17" s="15">
        <f>IF(L17="","",'14_Eingangsrechnungen'!O17)</f>
        <v/>
      </c>
      <c r="T17" s="44">
        <f>IF(L17="","",'14_Eingangsrechnungen'!H17)</f>
        <v/>
      </c>
      <c r="U17" s="45">
        <f>IF(L17="","",'14_Eingangsrechnungen'!P17)</f>
        <v/>
      </c>
    </row>
    <row r="18">
      <c r="A18" s="13">
        <f>IF('13_Ausgangsrechnungen'!A18="","",IF('13_Ausgangsrechnungen'!S18&gt;0.5,"Debitor",""))</f>
        <v/>
      </c>
      <c r="B18" s="13">
        <f>IF(A18="","",'13_Ausgangsrechnungen'!A18)</f>
        <v/>
      </c>
      <c r="C18" s="44">
        <f>IF(A18="","",'13_Ausgangsrechnungen'!B18)</f>
        <v/>
      </c>
      <c r="D18" s="13">
        <f>IF(A18="","",'13_Ausgangsrechnungen'!D18)</f>
        <v/>
      </c>
      <c r="E18" s="13">
        <f>IF(A18="","",'13_Ausgangsrechnungen'!C18)</f>
        <v/>
      </c>
      <c r="F18" s="13">
        <f>IF(A18="","",'13_Ausgangsrechnungen'!E18)</f>
        <v/>
      </c>
      <c r="G18" s="15">
        <f>IF(A18="","",'13_Ausgangsrechnungen'!Q18)</f>
        <v/>
      </c>
      <c r="H18" s="15">
        <f>IF(A18="","",'13_Ausgangsrechnungen'!S18)</f>
        <v/>
      </c>
      <c r="I18" s="44">
        <f>IF(A18="","",'13_Ausgangsrechnungen'!J18)</f>
        <v/>
      </c>
      <c r="J18" s="45">
        <f>IF(A18="","",'13_Ausgangsrechnungen'!T18)</f>
        <v/>
      </c>
      <c r="L18" s="13">
        <f>IF('14_Eingangsrechnungen'!A18="","",IF('14_Eingangsrechnungen'!O18&gt;0.5,"Kreditor",""))</f>
        <v/>
      </c>
      <c r="M18" s="13">
        <f>IF(L18="","",'14_Eingangsrechnungen'!A18)</f>
        <v/>
      </c>
      <c r="N18" s="44">
        <f>IF(L18="","",'14_Eingangsrechnungen'!B18)</f>
        <v/>
      </c>
      <c r="O18" s="13">
        <f>IF(L18="","",'14_Eingangsrechnungen'!D18)</f>
        <v/>
      </c>
      <c r="P18" s="13">
        <f>IF(L18="","",'14_Eingangsrechnungen'!C18)</f>
        <v/>
      </c>
      <c r="Q18" s="13">
        <f>IF(L18="","",'14_Eingangsrechnungen'!E18)</f>
        <v/>
      </c>
      <c r="R18" s="15">
        <f>IF(L18="","",'14_Eingangsrechnungen'!M18)</f>
        <v/>
      </c>
      <c r="S18" s="15">
        <f>IF(L18="","",'14_Eingangsrechnungen'!O18)</f>
        <v/>
      </c>
      <c r="T18" s="44">
        <f>IF(L18="","",'14_Eingangsrechnungen'!H18)</f>
        <v/>
      </c>
      <c r="U18" s="45">
        <f>IF(L18="","",'14_Eingangsrechnungen'!P18)</f>
        <v/>
      </c>
    </row>
    <row r="19">
      <c r="A19" s="13">
        <f>IF('13_Ausgangsrechnungen'!A19="","",IF('13_Ausgangsrechnungen'!S19&gt;0.5,"Debitor",""))</f>
        <v/>
      </c>
      <c r="B19" s="13">
        <f>IF(A19="","",'13_Ausgangsrechnungen'!A19)</f>
        <v/>
      </c>
      <c r="C19" s="44">
        <f>IF(A19="","",'13_Ausgangsrechnungen'!B19)</f>
        <v/>
      </c>
      <c r="D19" s="13">
        <f>IF(A19="","",'13_Ausgangsrechnungen'!D19)</f>
        <v/>
      </c>
      <c r="E19" s="13">
        <f>IF(A19="","",'13_Ausgangsrechnungen'!C19)</f>
        <v/>
      </c>
      <c r="F19" s="13">
        <f>IF(A19="","",'13_Ausgangsrechnungen'!E19)</f>
        <v/>
      </c>
      <c r="G19" s="15">
        <f>IF(A19="","",'13_Ausgangsrechnungen'!Q19)</f>
        <v/>
      </c>
      <c r="H19" s="15">
        <f>IF(A19="","",'13_Ausgangsrechnungen'!S19)</f>
        <v/>
      </c>
      <c r="I19" s="44">
        <f>IF(A19="","",'13_Ausgangsrechnungen'!J19)</f>
        <v/>
      </c>
      <c r="J19" s="45">
        <f>IF(A19="","",'13_Ausgangsrechnungen'!T19)</f>
        <v/>
      </c>
      <c r="L19" s="13">
        <f>IF('14_Eingangsrechnungen'!A19="","",IF('14_Eingangsrechnungen'!O19&gt;0.5,"Kreditor",""))</f>
        <v/>
      </c>
      <c r="M19" s="13">
        <f>IF(L19="","",'14_Eingangsrechnungen'!A19)</f>
        <v/>
      </c>
      <c r="N19" s="44">
        <f>IF(L19="","",'14_Eingangsrechnungen'!B19)</f>
        <v/>
      </c>
      <c r="O19" s="13">
        <f>IF(L19="","",'14_Eingangsrechnungen'!D19)</f>
        <v/>
      </c>
      <c r="P19" s="13">
        <f>IF(L19="","",'14_Eingangsrechnungen'!C19)</f>
        <v/>
      </c>
      <c r="Q19" s="13">
        <f>IF(L19="","",'14_Eingangsrechnungen'!E19)</f>
        <v/>
      </c>
      <c r="R19" s="15">
        <f>IF(L19="","",'14_Eingangsrechnungen'!M19)</f>
        <v/>
      </c>
      <c r="S19" s="15">
        <f>IF(L19="","",'14_Eingangsrechnungen'!O19)</f>
        <v/>
      </c>
      <c r="T19" s="44">
        <f>IF(L19="","",'14_Eingangsrechnungen'!H19)</f>
        <v/>
      </c>
      <c r="U19" s="45">
        <f>IF(L19="","",'14_Eingangsrechnungen'!P19)</f>
        <v/>
      </c>
    </row>
    <row r="20">
      <c r="A20" s="13">
        <f>IF('13_Ausgangsrechnungen'!A20="","",IF('13_Ausgangsrechnungen'!S20&gt;0.5,"Debitor",""))</f>
        <v/>
      </c>
      <c r="B20" s="13">
        <f>IF(A20="","",'13_Ausgangsrechnungen'!A20)</f>
        <v/>
      </c>
      <c r="C20" s="44">
        <f>IF(A20="","",'13_Ausgangsrechnungen'!B20)</f>
        <v/>
      </c>
      <c r="D20" s="13">
        <f>IF(A20="","",'13_Ausgangsrechnungen'!D20)</f>
        <v/>
      </c>
      <c r="E20" s="13">
        <f>IF(A20="","",'13_Ausgangsrechnungen'!C20)</f>
        <v/>
      </c>
      <c r="F20" s="13">
        <f>IF(A20="","",'13_Ausgangsrechnungen'!E20)</f>
        <v/>
      </c>
      <c r="G20" s="15">
        <f>IF(A20="","",'13_Ausgangsrechnungen'!Q20)</f>
        <v/>
      </c>
      <c r="H20" s="15">
        <f>IF(A20="","",'13_Ausgangsrechnungen'!S20)</f>
        <v/>
      </c>
      <c r="I20" s="44">
        <f>IF(A20="","",'13_Ausgangsrechnungen'!J20)</f>
        <v/>
      </c>
      <c r="J20" s="45">
        <f>IF(A20="","",'13_Ausgangsrechnungen'!T20)</f>
        <v/>
      </c>
      <c r="L20" s="13">
        <f>IF('14_Eingangsrechnungen'!A20="","",IF('14_Eingangsrechnungen'!O20&gt;0.5,"Kreditor",""))</f>
        <v/>
      </c>
      <c r="M20" s="13">
        <f>IF(L20="","",'14_Eingangsrechnungen'!A20)</f>
        <v/>
      </c>
      <c r="N20" s="44">
        <f>IF(L20="","",'14_Eingangsrechnungen'!B20)</f>
        <v/>
      </c>
      <c r="O20" s="13">
        <f>IF(L20="","",'14_Eingangsrechnungen'!D20)</f>
        <v/>
      </c>
      <c r="P20" s="13">
        <f>IF(L20="","",'14_Eingangsrechnungen'!C20)</f>
        <v/>
      </c>
      <c r="Q20" s="13">
        <f>IF(L20="","",'14_Eingangsrechnungen'!E20)</f>
        <v/>
      </c>
      <c r="R20" s="15">
        <f>IF(L20="","",'14_Eingangsrechnungen'!M20)</f>
        <v/>
      </c>
      <c r="S20" s="15">
        <f>IF(L20="","",'14_Eingangsrechnungen'!O20)</f>
        <v/>
      </c>
      <c r="T20" s="44">
        <f>IF(L20="","",'14_Eingangsrechnungen'!H20)</f>
        <v/>
      </c>
      <c r="U20" s="45">
        <f>IF(L20="","",'14_Eingangsrechnungen'!P20)</f>
        <v/>
      </c>
    </row>
    <row r="21">
      <c r="A21" s="13">
        <f>IF('13_Ausgangsrechnungen'!A21="","",IF('13_Ausgangsrechnungen'!S21&gt;0.5,"Debitor",""))</f>
        <v/>
      </c>
      <c r="B21" s="13">
        <f>IF(A21="","",'13_Ausgangsrechnungen'!A21)</f>
        <v/>
      </c>
      <c r="C21" s="44">
        <f>IF(A21="","",'13_Ausgangsrechnungen'!B21)</f>
        <v/>
      </c>
      <c r="D21" s="13">
        <f>IF(A21="","",'13_Ausgangsrechnungen'!D21)</f>
        <v/>
      </c>
      <c r="E21" s="13">
        <f>IF(A21="","",'13_Ausgangsrechnungen'!C21)</f>
        <v/>
      </c>
      <c r="F21" s="13">
        <f>IF(A21="","",'13_Ausgangsrechnungen'!E21)</f>
        <v/>
      </c>
      <c r="G21" s="15">
        <f>IF(A21="","",'13_Ausgangsrechnungen'!Q21)</f>
        <v/>
      </c>
      <c r="H21" s="15">
        <f>IF(A21="","",'13_Ausgangsrechnungen'!S21)</f>
        <v/>
      </c>
      <c r="I21" s="44">
        <f>IF(A21="","",'13_Ausgangsrechnungen'!J21)</f>
        <v/>
      </c>
      <c r="J21" s="45">
        <f>IF(A21="","",'13_Ausgangsrechnungen'!T21)</f>
        <v/>
      </c>
      <c r="L21" s="13">
        <f>IF('14_Eingangsrechnungen'!A21="","",IF('14_Eingangsrechnungen'!O21&gt;0.5,"Kreditor",""))</f>
        <v/>
      </c>
      <c r="M21" s="13">
        <f>IF(L21="","",'14_Eingangsrechnungen'!A21)</f>
        <v/>
      </c>
      <c r="N21" s="44">
        <f>IF(L21="","",'14_Eingangsrechnungen'!B21)</f>
        <v/>
      </c>
      <c r="O21" s="13">
        <f>IF(L21="","",'14_Eingangsrechnungen'!D21)</f>
        <v/>
      </c>
      <c r="P21" s="13">
        <f>IF(L21="","",'14_Eingangsrechnungen'!C21)</f>
        <v/>
      </c>
      <c r="Q21" s="13">
        <f>IF(L21="","",'14_Eingangsrechnungen'!E21)</f>
        <v/>
      </c>
      <c r="R21" s="15">
        <f>IF(L21="","",'14_Eingangsrechnungen'!M21)</f>
        <v/>
      </c>
      <c r="S21" s="15">
        <f>IF(L21="","",'14_Eingangsrechnungen'!O21)</f>
        <v/>
      </c>
      <c r="T21" s="44">
        <f>IF(L21="","",'14_Eingangsrechnungen'!H21)</f>
        <v/>
      </c>
      <c r="U21" s="45">
        <f>IF(L21="","",'14_Eingangsrechnungen'!P21)</f>
        <v/>
      </c>
    </row>
    <row r="22">
      <c r="A22" s="13">
        <f>IF('13_Ausgangsrechnungen'!A22="","",IF('13_Ausgangsrechnungen'!S22&gt;0.5,"Debitor",""))</f>
        <v/>
      </c>
      <c r="B22" s="13">
        <f>IF(A22="","",'13_Ausgangsrechnungen'!A22)</f>
        <v/>
      </c>
      <c r="C22" s="44">
        <f>IF(A22="","",'13_Ausgangsrechnungen'!B22)</f>
        <v/>
      </c>
      <c r="D22" s="13">
        <f>IF(A22="","",'13_Ausgangsrechnungen'!D22)</f>
        <v/>
      </c>
      <c r="E22" s="13">
        <f>IF(A22="","",'13_Ausgangsrechnungen'!C22)</f>
        <v/>
      </c>
      <c r="F22" s="13">
        <f>IF(A22="","",'13_Ausgangsrechnungen'!E22)</f>
        <v/>
      </c>
      <c r="G22" s="15">
        <f>IF(A22="","",'13_Ausgangsrechnungen'!Q22)</f>
        <v/>
      </c>
      <c r="H22" s="15">
        <f>IF(A22="","",'13_Ausgangsrechnungen'!S22)</f>
        <v/>
      </c>
      <c r="I22" s="44">
        <f>IF(A22="","",'13_Ausgangsrechnungen'!J22)</f>
        <v/>
      </c>
      <c r="J22" s="45">
        <f>IF(A22="","",'13_Ausgangsrechnungen'!T22)</f>
        <v/>
      </c>
      <c r="L22" s="13">
        <f>IF('14_Eingangsrechnungen'!A22="","",IF('14_Eingangsrechnungen'!O22&gt;0.5,"Kreditor",""))</f>
        <v/>
      </c>
      <c r="M22" s="13">
        <f>IF(L22="","",'14_Eingangsrechnungen'!A22)</f>
        <v/>
      </c>
      <c r="N22" s="44">
        <f>IF(L22="","",'14_Eingangsrechnungen'!B22)</f>
        <v/>
      </c>
      <c r="O22" s="13">
        <f>IF(L22="","",'14_Eingangsrechnungen'!D22)</f>
        <v/>
      </c>
      <c r="P22" s="13">
        <f>IF(L22="","",'14_Eingangsrechnungen'!C22)</f>
        <v/>
      </c>
      <c r="Q22" s="13">
        <f>IF(L22="","",'14_Eingangsrechnungen'!E22)</f>
        <v/>
      </c>
      <c r="R22" s="15">
        <f>IF(L22="","",'14_Eingangsrechnungen'!M22)</f>
        <v/>
      </c>
      <c r="S22" s="15">
        <f>IF(L22="","",'14_Eingangsrechnungen'!O22)</f>
        <v/>
      </c>
      <c r="T22" s="44">
        <f>IF(L22="","",'14_Eingangsrechnungen'!H22)</f>
        <v/>
      </c>
      <c r="U22" s="45">
        <f>IF(L22="","",'14_Eingangsrechnungen'!P22)</f>
        <v/>
      </c>
    </row>
    <row r="23">
      <c r="A23" s="13">
        <f>IF('13_Ausgangsrechnungen'!A23="","",IF('13_Ausgangsrechnungen'!S23&gt;0.5,"Debitor",""))</f>
        <v/>
      </c>
      <c r="B23" s="13">
        <f>IF(A23="","",'13_Ausgangsrechnungen'!A23)</f>
        <v/>
      </c>
      <c r="C23" s="44">
        <f>IF(A23="","",'13_Ausgangsrechnungen'!B23)</f>
        <v/>
      </c>
      <c r="D23" s="13">
        <f>IF(A23="","",'13_Ausgangsrechnungen'!D23)</f>
        <v/>
      </c>
      <c r="E23" s="13">
        <f>IF(A23="","",'13_Ausgangsrechnungen'!C23)</f>
        <v/>
      </c>
      <c r="F23" s="13">
        <f>IF(A23="","",'13_Ausgangsrechnungen'!E23)</f>
        <v/>
      </c>
      <c r="G23" s="15">
        <f>IF(A23="","",'13_Ausgangsrechnungen'!Q23)</f>
        <v/>
      </c>
      <c r="H23" s="15">
        <f>IF(A23="","",'13_Ausgangsrechnungen'!S23)</f>
        <v/>
      </c>
      <c r="I23" s="44">
        <f>IF(A23="","",'13_Ausgangsrechnungen'!J23)</f>
        <v/>
      </c>
      <c r="J23" s="45">
        <f>IF(A23="","",'13_Ausgangsrechnungen'!T23)</f>
        <v/>
      </c>
      <c r="L23" s="13">
        <f>IF('14_Eingangsrechnungen'!A23="","",IF('14_Eingangsrechnungen'!O23&gt;0.5,"Kreditor",""))</f>
        <v/>
      </c>
      <c r="M23" s="13">
        <f>IF(L23="","",'14_Eingangsrechnungen'!A23)</f>
        <v/>
      </c>
      <c r="N23" s="44">
        <f>IF(L23="","",'14_Eingangsrechnungen'!B23)</f>
        <v/>
      </c>
      <c r="O23" s="13">
        <f>IF(L23="","",'14_Eingangsrechnungen'!D23)</f>
        <v/>
      </c>
      <c r="P23" s="13">
        <f>IF(L23="","",'14_Eingangsrechnungen'!C23)</f>
        <v/>
      </c>
      <c r="Q23" s="13">
        <f>IF(L23="","",'14_Eingangsrechnungen'!E23)</f>
        <v/>
      </c>
      <c r="R23" s="15">
        <f>IF(L23="","",'14_Eingangsrechnungen'!M23)</f>
        <v/>
      </c>
      <c r="S23" s="15">
        <f>IF(L23="","",'14_Eingangsrechnungen'!O23)</f>
        <v/>
      </c>
      <c r="T23" s="44">
        <f>IF(L23="","",'14_Eingangsrechnungen'!H23)</f>
        <v/>
      </c>
      <c r="U23" s="45">
        <f>IF(L23="","",'14_Eingangsrechnungen'!P23)</f>
        <v/>
      </c>
    </row>
    <row r="24">
      <c r="A24" s="13">
        <f>IF('13_Ausgangsrechnungen'!A24="","",IF('13_Ausgangsrechnungen'!S24&gt;0.5,"Debitor",""))</f>
        <v/>
      </c>
      <c r="B24" s="13">
        <f>IF(A24="","",'13_Ausgangsrechnungen'!A24)</f>
        <v/>
      </c>
      <c r="C24" s="44">
        <f>IF(A24="","",'13_Ausgangsrechnungen'!B24)</f>
        <v/>
      </c>
      <c r="D24" s="13">
        <f>IF(A24="","",'13_Ausgangsrechnungen'!D24)</f>
        <v/>
      </c>
      <c r="E24" s="13">
        <f>IF(A24="","",'13_Ausgangsrechnungen'!C24)</f>
        <v/>
      </c>
      <c r="F24" s="13">
        <f>IF(A24="","",'13_Ausgangsrechnungen'!E24)</f>
        <v/>
      </c>
      <c r="G24" s="15">
        <f>IF(A24="","",'13_Ausgangsrechnungen'!Q24)</f>
        <v/>
      </c>
      <c r="H24" s="15">
        <f>IF(A24="","",'13_Ausgangsrechnungen'!S24)</f>
        <v/>
      </c>
      <c r="I24" s="44">
        <f>IF(A24="","",'13_Ausgangsrechnungen'!J24)</f>
        <v/>
      </c>
      <c r="J24" s="45">
        <f>IF(A24="","",'13_Ausgangsrechnungen'!T24)</f>
        <v/>
      </c>
      <c r="L24" s="13">
        <f>IF('14_Eingangsrechnungen'!A24="","",IF('14_Eingangsrechnungen'!O24&gt;0.5,"Kreditor",""))</f>
        <v/>
      </c>
      <c r="M24" s="13">
        <f>IF(L24="","",'14_Eingangsrechnungen'!A24)</f>
        <v/>
      </c>
      <c r="N24" s="44">
        <f>IF(L24="","",'14_Eingangsrechnungen'!B24)</f>
        <v/>
      </c>
      <c r="O24" s="13">
        <f>IF(L24="","",'14_Eingangsrechnungen'!D24)</f>
        <v/>
      </c>
      <c r="P24" s="13">
        <f>IF(L24="","",'14_Eingangsrechnungen'!C24)</f>
        <v/>
      </c>
      <c r="Q24" s="13">
        <f>IF(L24="","",'14_Eingangsrechnungen'!E24)</f>
        <v/>
      </c>
      <c r="R24" s="15">
        <f>IF(L24="","",'14_Eingangsrechnungen'!M24)</f>
        <v/>
      </c>
      <c r="S24" s="15">
        <f>IF(L24="","",'14_Eingangsrechnungen'!O24)</f>
        <v/>
      </c>
      <c r="T24" s="44">
        <f>IF(L24="","",'14_Eingangsrechnungen'!H24)</f>
        <v/>
      </c>
      <c r="U24" s="45">
        <f>IF(L24="","",'14_Eingangsrechnungen'!P24)</f>
        <v/>
      </c>
    </row>
    <row r="25">
      <c r="A25" s="13">
        <f>IF('13_Ausgangsrechnungen'!A25="","",IF('13_Ausgangsrechnungen'!S25&gt;0.5,"Debitor",""))</f>
        <v/>
      </c>
      <c r="B25" s="13">
        <f>IF(A25="","",'13_Ausgangsrechnungen'!A25)</f>
        <v/>
      </c>
      <c r="C25" s="44">
        <f>IF(A25="","",'13_Ausgangsrechnungen'!B25)</f>
        <v/>
      </c>
      <c r="D25" s="13">
        <f>IF(A25="","",'13_Ausgangsrechnungen'!D25)</f>
        <v/>
      </c>
      <c r="E25" s="13">
        <f>IF(A25="","",'13_Ausgangsrechnungen'!C25)</f>
        <v/>
      </c>
      <c r="F25" s="13">
        <f>IF(A25="","",'13_Ausgangsrechnungen'!E25)</f>
        <v/>
      </c>
      <c r="G25" s="15">
        <f>IF(A25="","",'13_Ausgangsrechnungen'!Q25)</f>
        <v/>
      </c>
      <c r="H25" s="15">
        <f>IF(A25="","",'13_Ausgangsrechnungen'!S25)</f>
        <v/>
      </c>
      <c r="I25" s="44">
        <f>IF(A25="","",'13_Ausgangsrechnungen'!J25)</f>
        <v/>
      </c>
      <c r="J25" s="45">
        <f>IF(A25="","",'13_Ausgangsrechnungen'!T25)</f>
        <v/>
      </c>
      <c r="L25" s="13">
        <f>IF('14_Eingangsrechnungen'!A25="","",IF('14_Eingangsrechnungen'!O25&gt;0.5,"Kreditor",""))</f>
        <v/>
      </c>
      <c r="M25" s="13">
        <f>IF(L25="","",'14_Eingangsrechnungen'!A25)</f>
        <v/>
      </c>
      <c r="N25" s="44">
        <f>IF(L25="","",'14_Eingangsrechnungen'!B25)</f>
        <v/>
      </c>
      <c r="O25" s="13">
        <f>IF(L25="","",'14_Eingangsrechnungen'!D25)</f>
        <v/>
      </c>
      <c r="P25" s="13">
        <f>IF(L25="","",'14_Eingangsrechnungen'!C25)</f>
        <v/>
      </c>
      <c r="Q25" s="13">
        <f>IF(L25="","",'14_Eingangsrechnungen'!E25)</f>
        <v/>
      </c>
      <c r="R25" s="15">
        <f>IF(L25="","",'14_Eingangsrechnungen'!M25)</f>
        <v/>
      </c>
      <c r="S25" s="15">
        <f>IF(L25="","",'14_Eingangsrechnungen'!O25)</f>
        <v/>
      </c>
      <c r="T25" s="44">
        <f>IF(L25="","",'14_Eingangsrechnungen'!H25)</f>
        <v/>
      </c>
      <c r="U25" s="45">
        <f>IF(L25="","",'14_Eingangsrechnungen'!P25)</f>
        <v/>
      </c>
    </row>
    <row r="26">
      <c r="A26" s="13">
        <f>IF('13_Ausgangsrechnungen'!A26="","",IF('13_Ausgangsrechnungen'!S26&gt;0.5,"Debitor",""))</f>
        <v/>
      </c>
      <c r="B26" s="13">
        <f>IF(A26="","",'13_Ausgangsrechnungen'!A26)</f>
        <v/>
      </c>
      <c r="C26" s="44">
        <f>IF(A26="","",'13_Ausgangsrechnungen'!B26)</f>
        <v/>
      </c>
      <c r="D26" s="13">
        <f>IF(A26="","",'13_Ausgangsrechnungen'!D26)</f>
        <v/>
      </c>
      <c r="E26" s="13">
        <f>IF(A26="","",'13_Ausgangsrechnungen'!C26)</f>
        <v/>
      </c>
      <c r="F26" s="13">
        <f>IF(A26="","",'13_Ausgangsrechnungen'!E26)</f>
        <v/>
      </c>
      <c r="G26" s="15">
        <f>IF(A26="","",'13_Ausgangsrechnungen'!Q26)</f>
        <v/>
      </c>
      <c r="H26" s="15">
        <f>IF(A26="","",'13_Ausgangsrechnungen'!S26)</f>
        <v/>
      </c>
      <c r="I26" s="44">
        <f>IF(A26="","",'13_Ausgangsrechnungen'!J26)</f>
        <v/>
      </c>
      <c r="J26" s="45">
        <f>IF(A26="","",'13_Ausgangsrechnungen'!T26)</f>
        <v/>
      </c>
      <c r="L26" s="13">
        <f>IF('14_Eingangsrechnungen'!A26="","",IF('14_Eingangsrechnungen'!O26&gt;0.5,"Kreditor",""))</f>
        <v/>
      </c>
      <c r="M26" s="13">
        <f>IF(L26="","",'14_Eingangsrechnungen'!A26)</f>
        <v/>
      </c>
      <c r="N26" s="44">
        <f>IF(L26="","",'14_Eingangsrechnungen'!B26)</f>
        <v/>
      </c>
      <c r="O26" s="13">
        <f>IF(L26="","",'14_Eingangsrechnungen'!D26)</f>
        <v/>
      </c>
      <c r="P26" s="13">
        <f>IF(L26="","",'14_Eingangsrechnungen'!C26)</f>
        <v/>
      </c>
      <c r="Q26" s="13">
        <f>IF(L26="","",'14_Eingangsrechnungen'!E26)</f>
        <v/>
      </c>
      <c r="R26" s="15">
        <f>IF(L26="","",'14_Eingangsrechnungen'!M26)</f>
        <v/>
      </c>
      <c r="S26" s="15">
        <f>IF(L26="","",'14_Eingangsrechnungen'!O26)</f>
        <v/>
      </c>
      <c r="T26" s="44">
        <f>IF(L26="","",'14_Eingangsrechnungen'!H26)</f>
        <v/>
      </c>
      <c r="U26" s="45">
        <f>IF(L26="","",'14_Eingangsrechnungen'!P26)</f>
        <v/>
      </c>
    </row>
    <row r="27">
      <c r="A27" s="13">
        <f>IF('13_Ausgangsrechnungen'!A27="","",IF('13_Ausgangsrechnungen'!S27&gt;0.5,"Debitor",""))</f>
        <v/>
      </c>
      <c r="B27" s="13">
        <f>IF(A27="","",'13_Ausgangsrechnungen'!A27)</f>
        <v/>
      </c>
      <c r="C27" s="44">
        <f>IF(A27="","",'13_Ausgangsrechnungen'!B27)</f>
        <v/>
      </c>
      <c r="D27" s="13">
        <f>IF(A27="","",'13_Ausgangsrechnungen'!D27)</f>
        <v/>
      </c>
      <c r="E27" s="13">
        <f>IF(A27="","",'13_Ausgangsrechnungen'!C27)</f>
        <v/>
      </c>
      <c r="F27" s="13">
        <f>IF(A27="","",'13_Ausgangsrechnungen'!E27)</f>
        <v/>
      </c>
      <c r="G27" s="15">
        <f>IF(A27="","",'13_Ausgangsrechnungen'!Q27)</f>
        <v/>
      </c>
      <c r="H27" s="15">
        <f>IF(A27="","",'13_Ausgangsrechnungen'!S27)</f>
        <v/>
      </c>
      <c r="I27" s="44">
        <f>IF(A27="","",'13_Ausgangsrechnungen'!J27)</f>
        <v/>
      </c>
      <c r="J27" s="45">
        <f>IF(A27="","",'13_Ausgangsrechnungen'!T27)</f>
        <v/>
      </c>
      <c r="L27" s="13">
        <f>IF('14_Eingangsrechnungen'!A27="","",IF('14_Eingangsrechnungen'!O27&gt;0.5,"Kreditor",""))</f>
        <v/>
      </c>
      <c r="M27" s="13">
        <f>IF(L27="","",'14_Eingangsrechnungen'!A27)</f>
        <v/>
      </c>
      <c r="N27" s="44">
        <f>IF(L27="","",'14_Eingangsrechnungen'!B27)</f>
        <v/>
      </c>
      <c r="O27" s="13">
        <f>IF(L27="","",'14_Eingangsrechnungen'!D27)</f>
        <v/>
      </c>
      <c r="P27" s="13">
        <f>IF(L27="","",'14_Eingangsrechnungen'!C27)</f>
        <v/>
      </c>
      <c r="Q27" s="13">
        <f>IF(L27="","",'14_Eingangsrechnungen'!E27)</f>
        <v/>
      </c>
      <c r="R27" s="15">
        <f>IF(L27="","",'14_Eingangsrechnungen'!M27)</f>
        <v/>
      </c>
      <c r="S27" s="15">
        <f>IF(L27="","",'14_Eingangsrechnungen'!O27)</f>
        <v/>
      </c>
      <c r="T27" s="44">
        <f>IF(L27="","",'14_Eingangsrechnungen'!H27)</f>
        <v/>
      </c>
      <c r="U27" s="45">
        <f>IF(L27="","",'14_Eingangsrechnungen'!P27)</f>
        <v/>
      </c>
    </row>
    <row r="28">
      <c r="A28" s="13">
        <f>IF('13_Ausgangsrechnungen'!A28="","",IF('13_Ausgangsrechnungen'!S28&gt;0.5,"Debitor",""))</f>
        <v/>
      </c>
      <c r="B28" s="13">
        <f>IF(A28="","",'13_Ausgangsrechnungen'!A28)</f>
        <v/>
      </c>
      <c r="C28" s="44">
        <f>IF(A28="","",'13_Ausgangsrechnungen'!B28)</f>
        <v/>
      </c>
      <c r="D28" s="13">
        <f>IF(A28="","",'13_Ausgangsrechnungen'!D28)</f>
        <v/>
      </c>
      <c r="E28" s="13">
        <f>IF(A28="","",'13_Ausgangsrechnungen'!C28)</f>
        <v/>
      </c>
      <c r="F28" s="13">
        <f>IF(A28="","",'13_Ausgangsrechnungen'!E28)</f>
        <v/>
      </c>
      <c r="G28" s="15">
        <f>IF(A28="","",'13_Ausgangsrechnungen'!Q28)</f>
        <v/>
      </c>
      <c r="H28" s="15">
        <f>IF(A28="","",'13_Ausgangsrechnungen'!S28)</f>
        <v/>
      </c>
      <c r="I28" s="44">
        <f>IF(A28="","",'13_Ausgangsrechnungen'!J28)</f>
        <v/>
      </c>
      <c r="J28" s="45">
        <f>IF(A28="","",'13_Ausgangsrechnungen'!T28)</f>
        <v/>
      </c>
      <c r="L28" s="13">
        <f>IF('14_Eingangsrechnungen'!A28="","",IF('14_Eingangsrechnungen'!O28&gt;0.5,"Kreditor",""))</f>
        <v/>
      </c>
      <c r="M28" s="13">
        <f>IF(L28="","",'14_Eingangsrechnungen'!A28)</f>
        <v/>
      </c>
      <c r="N28" s="44">
        <f>IF(L28="","",'14_Eingangsrechnungen'!B28)</f>
        <v/>
      </c>
      <c r="O28" s="13">
        <f>IF(L28="","",'14_Eingangsrechnungen'!D28)</f>
        <v/>
      </c>
      <c r="P28" s="13">
        <f>IF(L28="","",'14_Eingangsrechnungen'!C28)</f>
        <v/>
      </c>
      <c r="Q28" s="13">
        <f>IF(L28="","",'14_Eingangsrechnungen'!E28)</f>
        <v/>
      </c>
      <c r="R28" s="15">
        <f>IF(L28="","",'14_Eingangsrechnungen'!M28)</f>
        <v/>
      </c>
      <c r="S28" s="15">
        <f>IF(L28="","",'14_Eingangsrechnungen'!O28)</f>
        <v/>
      </c>
      <c r="T28" s="44">
        <f>IF(L28="","",'14_Eingangsrechnungen'!H28)</f>
        <v/>
      </c>
      <c r="U28" s="45">
        <f>IF(L28="","",'14_Eingangsrechnungen'!P28)</f>
        <v/>
      </c>
    </row>
    <row r="29">
      <c r="A29" s="13">
        <f>IF('13_Ausgangsrechnungen'!A29="","",IF('13_Ausgangsrechnungen'!S29&gt;0.5,"Debitor",""))</f>
        <v/>
      </c>
      <c r="B29" s="13">
        <f>IF(A29="","",'13_Ausgangsrechnungen'!A29)</f>
        <v/>
      </c>
      <c r="C29" s="44">
        <f>IF(A29="","",'13_Ausgangsrechnungen'!B29)</f>
        <v/>
      </c>
      <c r="D29" s="13">
        <f>IF(A29="","",'13_Ausgangsrechnungen'!D29)</f>
        <v/>
      </c>
      <c r="E29" s="13">
        <f>IF(A29="","",'13_Ausgangsrechnungen'!C29)</f>
        <v/>
      </c>
      <c r="F29" s="13">
        <f>IF(A29="","",'13_Ausgangsrechnungen'!E29)</f>
        <v/>
      </c>
      <c r="G29" s="15">
        <f>IF(A29="","",'13_Ausgangsrechnungen'!Q29)</f>
        <v/>
      </c>
      <c r="H29" s="15">
        <f>IF(A29="","",'13_Ausgangsrechnungen'!S29)</f>
        <v/>
      </c>
      <c r="I29" s="44">
        <f>IF(A29="","",'13_Ausgangsrechnungen'!J29)</f>
        <v/>
      </c>
      <c r="J29" s="45">
        <f>IF(A29="","",'13_Ausgangsrechnungen'!T29)</f>
        <v/>
      </c>
      <c r="L29" s="13">
        <f>IF('14_Eingangsrechnungen'!A29="","",IF('14_Eingangsrechnungen'!O29&gt;0.5,"Kreditor",""))</f>
        <v/>
      </c>
      <c r="M29" s="13">
        <f>IF(L29="","",'14_Eingangsrechnungen'!A29)</f>
        <v/>
      </c>
      <c r="N29" s="44">
        <f>IF(L29="","",'14_Eingangsrechnungen'!B29)</f>
        <v/>
      </c>
      <c r="O29" s="13">
        <f>IF(L29="","",'14_Eingangsrechnungen'!D29)</f>
        <v/>
      </c>
      <c r="P29" s="13">
        <f>IF(L29="","",'14_Eingangsrechnungen'!C29)</f>
        <v/>
      </c>
      <c r="Q29" s="13">
        <f>IF(L29="","",'14_Eingangsrechnungen'!E29)</f>
        <v/>
      </c>
      <c r="R29" s="15">
        <f>IF(L29="","",'14_Eingangsrechnungen'!M29)</f>
        <v/>
      </c>
      <c r="S29" s="15">
        <f>IF(L29="","",'14_Eingangsrechnungen'!O29)</f>
        <v/>
      </c>
      <c r="T29" s="44">
        <f>IF(L29="","",'14_Eingangsrechnungen'!H29)</f>
        <v/>
      </c>
      <c r="U29" s="45">
        <f>IF(L29="","",'14_Eingangsrechnungen'!P29)</f>
        <v/>
      </c>
    </row>
    <row r="30">
      <c r="A30" s="13">
        <f>IF('13_Ausgangsrechnungen'!A30="","",IF('13_Ausgangsrechnungen'!S30&gt;0.5,"Debitor",""))</f>
        <v/>
      </c>
      <c r="B30" s="13">
        <f>IF(A30="","",'13_Ausgangsrechnungen'!A30)</f>
        <v/>
      </c>
      <c r="C30" s="44">
        <f>IF(A30="","",'13_Ausgangsrechnungen'!B30)</f>
        <v/>
      </c>
      <c r="D30" s="13">
        <f>IF(A30="","",'13_Ausgangsrechnungen'!D30)</f>
        <v/>
      </c>
      <c r="E30" s="13">
        <f>IF(A30="","",'13_Ausgangsrechnungen'!C30)</f>
        <v/>
      </c>
      <c r="F30" s="13">
        <f>IF(A30="","",'13_Ausgangsrechnungen'!E30)</f>
        <v/>
      </c>
      <c r="G30" s="15">
        <f>IF(A30="","",'13_Ausgangsrechnungen'!Q30)</f>
        <v/>
      </c>
      <c r="H30" s="15">
        <f>IF(A30="","",'13_Ausgangsrechnungen'!S30)</f>
        <v/>
      </c>
      <c r="I30" s="44">
        <f>IF(A30="","",'13_Ausgangsrechnungen'!J30)</f>
        <v/>
      </c>
      <c r="J30" s="45">
        <f>IF(A30="","",'13_Ausgangsrechnungen'!T30)</f>
        <v/>
      </c>
      <c r="L30" s="13">
        <f>IF('14_Eingangsrechnungen'!A30="","",IF('14_Eingangsrechnungen'!O30&gt;0.5,"Kreditor",""))</f>
        <v/>
      </c>
      <c r="M30" s="13">
        <f>IF(L30="","",'14_Eingangsrechnungen'!A30)</f>
        <v/>
      </c>
      <c r="N30" s="44">
        <f>IF(L30="","",'14_Eingangsrechnungen'!B30)</f>
        <v/>
      </c>
      <c r="O30" s="13">
        <f>IF(L30="","",'14_Eingangsrechnungen'!D30)</f>
        <v/>
      </c>
      <c r="P30" s="13">
        <f>IF(L30="","",'14_Eingangsrechnungen'!C30)</f>
        <v/>
      </c>
      <c r="Q30" s="13">
        <f>IF(L30="","",'14_Eingangsrechnungen'!E30)</f>
        <v/>
      </c>
      <c r="R30" s="15">
        <f>IF(L30="","",'14_Eingangsrechnungen'!M30)</f>
        <v/>
      </c>
      <c r="S30" s="15">
        <f>IF(L30="","",'14_Eingangsrechnungen'!O30)</f>
        <v/>
      </c>
      <c r="T30" s="44">
        <f>IF(L30="","",'14_Eingangsrechnungen'!H30)</f>
        <v/>
      </c>
      <c r="U30" s="45">
        <f>IF(L30="","",'14_Eingangsrechnungen'!P30)</f>
        <v/>
      </c>
    </row>
    <row r="31">
      <c r="A31" s="13">
        <f>IF('13_Ausgangsrechnungen'!A31="","",IF('13_Ausgangsrechnungen'!S31&gt;0.5,"Debitor",""))</f>
        <v/>
      </c>
      <c r="B31" s="13">
        <f>IF(A31="","",'13_Ausgangsrechnungen'!A31)</f>
        <v/>
      </c>
      <c r="C31" s="44">
        <f>IF(A31="","",'13_Ausgangsrechnungen'!B31)</f>
        <v/>
      </c>
      <c r="D31" s="13">
        <f>IF(A31="","",'13_Ausgangsrechnungen'!D31)</f>
        <v/>
      </c>
      <c r="E31" s="13">
        <f>IF(A31="","",'13_Ausgangsrechnungen'!C31)</f>
        <v/>
      </c>
      <c r="F31" s="13">
        <f>IF(A31="","",'13_Ausgangsrechnungen'!E31)</f>
        <v/>
      </c>
      <c r="G31" s="15">
        <f>IF(A31="","",'13_Ausgangsrechnungen'!Q31)</f>
        <v/>
      </c>
      <c r="H31" s="15">
        <f>IF(A31="","",'13_Ausgangsrechnungen'!S31)</f>
        <v/>
      </c>
      <c r="I31" s="44">
        <f>IF(A31="","",'13_Ausgangsrechnungen'!J31)</f>
        <v/>
      </c>
      <c r="J31" s="45">
        <f>IF(A31="","",'13_Ausgangsrechnungen'!T31)</f>
        <v/>
      </c>
      <c r="L31" s="13">
        <f>IF('14_Eingangsrechnungen'!A31="","",IF('14_Eingangsrechnungen'!O31&gt;0.5,"Kreditor",""))</f>
        <v/>
      </c>
      <c r="M31" s="13">
        <f>IF(L31="","",'14_Eingangsrechnungen'!A31)</f>
        <v/>
      </c>
      <c r="N31" s="44">
        <f>IF(L31="","",'14_Eingangsrechnungen'!B31)</f>
        <v/>
      </c>
      <c r="O31" s="13">
        <f>IF(L31="","",'14_Eingangsrechnungen'!D31)</f>
        <v/>
      </c>
      <c r="P31" s="13">
        <f>IF(L31="","",'14_Eingangsrechnungen'!C31)</f>
        <v/>
      </c>
      <c r="Q31" s="13">
        <f>IF(L31="","",'14_Eingangsrechnungen'!E31)</f>
        <v/>
      </c>
      <c r="R31" s="15">
        <f>IF(L31="","",'14_Eingangsrechnungen'!M31)</f>
        <v/>
      </c>
      <c r="S31" s="15">
        <f>IF(L31="","",'14_Eingangsrechnungen'!O31)</f>
        <v/>
      </c>
      <c r="T31" s="44">
        <f>IF(L31="","",'14_Eingangsrechnungen'!H31)</f>
        <v/>
      </c>
      <c r="U31" s="45">
        <f>IF(L31="","",'14_Eingangsrechnungen'!P31)</f>
        <v/>
      </c>
    </row>
    <row r="32">
      <c r="A32" s="13">
        <f>IF('13_Ausgangsrechnungen'!A32="","",IF('13_Ausgangsrechnungen'!S32&gt;0.5,"Debitor",""))</f>
        <v/>
      </c>
      <c r="B32" s="13">
        <f>IF(A32="","",'13_Ausgangsrechnungen'!A32)</f>
        <v/>
      </c>
      <c r="C32" s="44">
        <f>IF(A32="","",'13_Ausgangsrechnungen'!B32)</f>
        <v/>
      </c>
      <c r="D32" s="13">
        <f>IF(A32="","",'13_Ausgangsrechnungen'!D32)</f>
        <v/>
      </c>
      <c r="E32" s="13">
        <f>IF(A32="","",'13_Ausgangsrechnungen'!C32)</f>
        <v/>
      </c>
      <c r="F32" s="13">
        <f>IF(A32="","",'13_Ausgangsrechnungen'!E32)</f>
        <v/>
      </c>
      <c r="G32" s="15">
        <f>IF(A32="","",'13_Ausgangsrechnungen'!Q32)</f>
        <v/>
      </c>
      <c r="H32" s="15">
        <f>IF(A32="","",'13_Ausgangsrechnungen'!S32)</f>
        <v/>
      </c>
      <c r="I32" s="44">
        <f>IF(A32="","",'13_Ausgangsrechnungen'!J32)</f>
        <v/>
      </c>
      <c r="J32" s="45">
        <f>IF(A32="","",'13_Ausgangsrechnungen'!T32)</f>
        <v/>
      </c>
      <c r="L32" s="13">
        <f>IF('14_Eingangsrechnungen'!A32="","",IF('14_Eingangsrechnungen'!O32&gt;0.5,"Kreditor",""))</f>
        <v/>
      </c>
      <c r="M32" s="13">
        <f>IF(L32="","",'14_Eingangsrechnungen'!A32)</f>
        <v/>
      </c>
      <c r="N32" s="44">
        <f>IF(L32="","",'14_Eingangsrechnungen'!B32)</f>
        <v/>
      </c>
      <c r="O32" s="13">
        <f>IF(L32="","",'14_Eingangsrechnungen'!D32)</f>
        <v/>
      </c>
      <c r="P32" s="13">
        <f>IF(L32="","",'14_Eingangsrechnungen'!C32)</f>
        <v/>
      </c>
      <c r="Q32" s="13">
        <f>IF(L32="","",'14_Eingangsrechnungen'!E32)</f>
        <v/>
      </c>
      <c r="R32" s="15">
        <f>IF(L32="","",'14_Eingangsrechnungen'!M32)</f>
        <v/>
      </c>
      <c r="S32" s="15">
        <f>IF(L32="","",'14_Eingangsrechnungen'!O32)</f>
        <v/>
      </c>
      <c r="T32" s="44">
        <f>IF(L32="","",'14_Eingangsrechnungen'!H32)</f>
        <v/>
      </c>
      <c r="U32" s="45">
        <f>IF(L32="","",'14_Eingangsrechnungen'!P32)</f>
        <v/>
      </c>
    </row>
    <row r="33">
      <c r="A33" s="13">
        <f>IF('13_Ausgangsrechnungen'!A33="","",IF('13_Ausgangsrechnungen'!S33&gt;0.5,"Debitor",""))</f>
        <v/>
      </c>
      <c r="B33" s="13">
        <f>IF(A33="","",'13_Ausgangsrechnungen'!A33)</f>
        <v/>
      </c>
      <c r="C33" s="44">
        <f>IF(A33="","",'13_Ausgangsrechnungen'!B33)</f>
        <v/>
      </c>
      <c r="D33" s="13">
        <f>IF(A33="","",'13_Ausgangsrechnungen'!D33)</f>
        <v/>
      </c>
      <c r="E33" s="13">
        <f>IF(A33="","",'13_Ausgangsrechnungen'!C33)</f>
        <v/>
      </c>
      <c r="F33" s="13">
        <f>IF(A33="","",'13_Ausgangsrechnungen'!E33)</f>
        <v/>
      </c>
      <c r="G33" s="15">
        <f>IF(A33="","",'13_Ausgangsrechnungen'!Q33)</f>
        <v/>
      </c>
      <c r="H33" s="15">
        <f>IF(A33="","",'13_Ausgangsrechnungen'!S33)</f>
        <v/>
      </c>
      <c r="I33" s="44">
        <f>IF(A33="","",'13_Ausgangsrechnungen'!J33)</f>
        <v/>
      </c>
      <c r="J33" s="45">
        <f>IF(A33="","",'13_Ausgangsrechnungen'!T33)</f>
        <v/>
      </c>
      <c r="L33" s="13">
        <f>IF('14_Eingangsrechnungen'!A33="","",IF('14_Eingangsrechnungen'!O33&gt;0.5,"Kreditor",""))</f>
        <v/>
      </c>
      <c r="M33" s="13">
        <f>IF(L33="","",'14_Eingangsrechnungen'!A33)</f>
        <v/>
      </c>
      <c r="N33" s="44">
        <f>IF(L33="","",'14_Eingangsrechnungen'!B33)</f>
        <v/>
      </c>
      <c r="O33" s="13">
        <f>IF(L33="","",'14_Eingangsrechnungen'!D33)</f>
        <v/>
      </c>
      <c r="P33" s="13">
        <f>IF(L33="","",'14_Eingangsrechnungen'!C33)</f>
        <v/>
      </c>
      <c r="Q33" s="13">
        <f>IF(L33="","",'14_Eingangsrechnungen'!E33)</f>
        <v/>
      </c>
      <c r="R33" s="15">
        <f>IF(L33="","",'14_Eingangsrechnungen'!M33)</f>
        <v/>
      </c>
      <c r="S33" s="15">
        <f>IF(L33="","",'14_Eingangsrechnungen'!O33)</f>
        <v/>
      </c>
      <c r="T33" s="44">
        <f>IF(L33="","",'14_Eingangsrechnungen'!H33)</f>
        <v/>
      </c>
      <c r="U33" s="45">
        <f>IF(L33="","",'14_Eingangsrechnungen'!P33)</f>
        <v/>
      </c>
    </row>
    <row r="34">
      <c r="A34" s="13">
        <f>IF('13_Ausgangsrechnungen'!A34="","",IF('13_Ausgangsrechnungen'!S34&gt;0.5,"Debitor",""))</f>
        <v/>
      </c>
      <c r="B34" s="13">
        <f>IF(A34="","",'13_Ausgangsrechnungen'!A34)</f>
        <v/>
      </c>
      <c r="C34" s="44">
        <f>IF(A34="","",'13_Ausgangsrechnungen'!B34)</f>
        <v/>
      </c>
      <c r="D34" s="13">
        <f>IF(A34="","",'13_Ausgangsrechnungen'!D34)</f>
        <v/>
      </c>
      <c r="E34" s="13">
        <f>IF(A34="","",'13_Ausgangsrechnungen'!C34)</f>
        <v/>
      </c>
      <c r="F34" s="13">
        <f>IF(A34="","",'13_Ausgangsrechnungen'!E34)</f>
        <v/>
      </c>
      <c r="G34" s="15">
        <f>IF(A34="","",'13_Ausgangsrechnungen'!Q34)</f>
        <v/>
      </c>
      <c r="H34" s="15">
        <f>IF(A34="","",'13_Ausgangsrechnungen'!S34)</f>
        <v/>
      </c>
      <c r="I34" s="44">
        <f>IF(A34="","",'13_Ausgangsrechnungen'!J34)</f>
        <v/>
      </c>
      <c r="J34" s="45">
        <f>IF(A34="","",'13_Ausgangsrechnungen'!T34)</f>
        <v/>
      </c>
      <c r="L34" s="13">
        <f>IF('14_Eingangsrechnungen'!A34="","",IF('14_Eingangsrechnungen'!O34&gt;0.5,"Kreditor",""))</f>
        <v/>
      </c>
      <c r="M34" s="13">
        <f>IF(L34="","",'14_Eingangsrechnungen'!A34)</f>
        <v/>
      </c>
      <c r="N34" s="44">
        <f>IF(L34="","",'14_Eingangsrechnungen'!B34)</f>
        <v/>
      </c>
      <c r="O34" s="13">
        <f>IF(L34="","",'14_Eingangsrechnungen'!D34)</f>
        <v/>
      </c>
      <c r="P34" s="13">
        <f>IF(L34="","",'14_Eingangsrechnungen'!C34)</f>
        <v/>
      </c>
      <c r="Q34" s="13">
        <f>IF(L34="","",'14_Eingangsrechnungen'!E34)</f>
        <v/>
      </c>
      <c r="R34" s="15">
        <f>IF(L34="","",'14_Eingangsrechnungen'!M34)</f>
        <v/>
      </c>
      <c r="S34" s="15">
        <f>IF(L34="","",'14_Eingangsrechnungen'!O34)</f>
        <v/>
      </c>
      <c r="T34" s="44">
        <f>IF(L34="","",'14_Eingangsrechnungen'!H34)</f>
        <v/>
      </c>
      <c r="U34" s="45">
        <f>IF(L34="","",'14_Eingangsrechnungen'!P34)</f>
        <v/>
      </c>
    </row>
    <row r="35">
      <c r="A35" s="13">
        <f>IF('13_Ausgangsrechnungen'!A35="","",IF('13_Ausgangsrechnungen'!S35&gt;0.5,"Debitor",""))</f>
        <v/>
      </c>
      <c r="B35" s="13">
        <f>IF(A35="","",'13_Ausgangsrechnungen'!A35)</f>
        <v/>
      </c>
      <c r="C35" s="44">
        <f>IF(A35="","",'13_Ausgangsrechnungen'!B35)</f>
        <v/>
      </c>
      <c r="D35" s="13">
        <f>IF(A35="","",'13_Ausgangsrechnungen'!D35)</f>
        <v/>
      </c>
      <c r="E35" s="13">
        <f>IF(A35="","",'13_Ausgangsrechnungen'!C35)</f>
        <v/>
      </c>
      <c r="F35" s="13">
        <f>IF(A35="","",'13_Ausgangsrechnungen'!E35)</f>
        <v/>
      </c>
      <c r="G35" s="15">
        <f>IF(A35="","",'13_Ausgangsrechnungen'!Q35)</f>
        <v/>
      </c>
      <c r="H35" s="15">
        <f>IF(A35="","",'13_Ausgangsrechnungen'!S35)</f>
        <v/>
      </c>
      <c r="I35" s="44">
        <f>IF(A35="","",'13_Ausgangsrechnungen'!J35)</f>
        <v/>
      </c>
      <c r="J35" s="45">
        <f>IF(A35="","",'13_Ausgangsrechnungen'!T35)</f>
        <v/>
      </c>
      <c r="L35" s="13">
        <f>IF('14_Eingangsrechnungen'!A35="","",IF('14_Eingangsrechnungen'!O35&gt;0.5,"Kreditor",""))</f>
        <v/>
      </c>
      <c r="M35" s="13">
        <f>IF(L35="","",'14_Eingangsrechnungen'!A35)</f>
        <v/>
      </c>
      <c r="N35" s="44">
        <f>IF(L35="","",'14_Eingangsrechnungen'!B35)</f>
        <v/>
      </c>
      <c r="O35" s="13">
        <f>IF(L35="","",'14_Eingangsrechnungen'!D35)</f>
        <v/>
      </c>
      <c r="P35" s="13">
        <f>IF(L35="","",'14_Eingangsrechnungen'!C35)</f>
        <v/>
      </c>
      <c r="Q35" s="13">
        <f>IF(L35="","",'14_Eingangsrechnungen'!E35)</f>
        <v/>
      </c>
      <c r="R35" s="15">
        <f>IF(L35="","",'14_Eingangsrechnungen'!M35)</f>
        <v/>
      </c>
      <c r="S35" s="15">
        <f>IF(L35="","",'14_Eingangsrechnungen'!O35)</f>
        <v/>
      </c>
      <c r="T35" s="44">
        <f>IF(L35="","",'14_Eingangsrechnungen'!H35)</f>
        <v/>
      </c>
      <c r="U35" s="45">
        <f>IF(L35="","",'14_Eingangsrechnungen'!P35)</f>
        <v/>
      </c>
    </row>
    <row r="36">
      <c r="A36" s="13">
        <f>IF('13_Ausgangsrechnungen'!A36="","",IF('13_Ausgangsrechnungen'!S36&gt;0.5,"Debitor",""))</f>
        <v/>
      </c>
      <c r="B36" s="13">
        <f>IF(A36="","",'13_Ausgangsrechnungen'!A36)</f>
        <v/>
      </c>
      <c r="C36" s="44">
        <f>IF(A36="","",'13_Ausgangsrechnungen'!B36)</f>
        <v/>
      </c>
      <c r="D36" s="13">
        <f>IF(A36="","",'13_Ausgangsrechnungen'!D36)</f>
        <v/>
      </c>
      <c r="E36" s="13">
        <f>IF(A36="","",'13_Ausgangsrechnungen'!C36)</f>
        <v/>
      </c>
      <c r="F36" s="13">
        <f>IF(A36="","",'13_Ausgangsrechnungen'!E36)</f>
        <v/>
      </c>
      <c r="G36" s="15">
        <f>IF(A36="","",'13_Ausgangsrechnungen'!Q36)</f>
        <v/>
      </c>
      <c r="H36" s="15">
        <f>IF(A36="","",'13_Ausgangsrechnungen'!S36)</f>
        <v/>
      </c>
      <c r="I36" s="44">
        <f>IF(A36="","",'13_Ausgangsrechnungen'!J36)</f>
        <v/>
      </c>
      <c r="J36" s="45">
        <f>IF(A36="","",'13_Ausgangsrechnungen'!T36)</f>
        <v/>
      </c>
      <c r="L36" s="13">
        <f>IF('14_Eingangsrechnungen'!A36="","",IF('14_Eingangsrechnungen'!O36&gt;0.5,"Kreditor",""))</f>
        <v/>
      </c>
      <c r="M36" s="13">
        <f>IF(L36="","",'14_Eingangsrechnungen'!A36)</f>
        <v/>
      </c>
      <c r="N36" s="44">
        <f>IF(L36="","",'14_Eingangsrechnungen'!B36)</f>
        <v/>
      </c>
      <c r="O36" s="13">
        <f>IF(L36="","",'14_Eingangsrechnungen'!D36)</f>
        <v/>
      </c>
      <c r="P36" s="13">
        <f>IF(L36="","",'14_Eingangsrechnungen'!C36)</f>
        <v/>
      </c>
      <c r="Q36" s="13">
        <f>IF(L36="","",'14_Eingangsrechnungen'!E36)</f>
        <v/>
      </c>
      <c r="R36" s="15">
        <f>IF(L36="","",'14_Eingangsrechnungen'!M36)</f>
        <v/>
      </c>
      <c r="S36" s="15">
        <f>IF(L36="","",'14_Eingangsrechnungen'!O36)</f>
        <v/>
      </c>
      <c r="T36" s="44">
        <f>IF(L36="","",'14_Eingangsrechnungen'!H36)</f>
        <v/>
      </c>
      <c r="U36" s="45">
        <f>IF(L36="","",'14_Eingangsrechnungen'!P36)</f>
        <v/>
      </c>
    </row>
    <row r="37">
      <c r="A37" s="13">
        <f>IF('13_Ausgangsrechnungen'!A37="","",IF('13_Ausgangsrechnungen'!S37&gt;0.5,"Debitor",""))</f>
        <v/>
      </c>
      <c r="B37" s="13">
        <f>IF(A37="","",'13_Ausgangsrechnungen'!A37)</f>
        <v/>
      </c>
      <c r="C37" s="44">
        <f>IF(A37="","",'13_Ausgangsrechnungen'!B37)</f>
        <v/>
      </c>
      <c r="D37" s="13">
        <f>IF(A37="","",'13_Ausgangsrechnungen'!D37)</f>
        <v/>
      </c>
      <c r="E37" s="13">
        <f>IF(A37="","",'13_Ausgangsrechnungen'!C37)</f>
        <v/>
      </c>
      <c r="F37" s="13">
        <f>IF(A37="","",'13_Ausgangsrechnungen'!E37)</f>
        <v/>
      </c>
      <c r="G37" s="15">
        <f>IF(A37="","",'13_Ausgangsrechnungen'!Q37)</f>
        <v/>
      </c>
      <c r="H37" s="15">
        <f>IF(A37="","",'13_Ausgangsrechnungen'!S37)</f>
        <v/>
      </c>
      <c r="I37" s="44">
        <f>IF(A37="","",'13_Ausgangsrechnungen'!J37)</f>
        <v/>
      </c>
      <c r="J37" s="45">
        <f>IF(A37="","",'13_Ausgangsrechnungen'!T37)</f>
        <v/>
      </c>
      <c r="L37" s="13">
        <f>IF('14_Eingangsrechnungen'!A37="","",IF('14_Eingangsrechnungen'!O37&gt;0.5,"Kreditor",""))</f>
        <v/>
      </c>
      <c r="M37" s="13">
        <f>IF(L37="","",'14_Eingangsrechnungen'!A37)</f>
        <v/>
      </c>
      <c r="N37" s="44">
        <f>IF(L37="","",'14_Eingangsrechnungen'!B37)</f>
        <v/>
      </c>
      <c r="O37" s="13">
        <f>IF(L37="","",'14_Eingangsrechnungen'!D37)</f>
        <v/>
      </c>
      <c r="P37" s="13">
        <f>IF(L37="","",'14_Eingangsrechnungen'!C37)</f>
        <v/>
      </c>
      <c r="Q37" s="13">
        <f>IF(L37="","",'14_Eingangsrechnungen'!E37)</f>
        <v/>
      </c>
      <c r="R37" s="15">
        <f>IF(L37="","",'14_Eingangsrechnungen'!M37)</f>
        <v/>
      </c>
      <c r="S37" s="15">
        <f>IF(L37="","",'14_Eingangsrechnungen'!O37)</f>
        <v/>
      </c>
      <c r="T37" s="44">
        <f>IF(L37="","",'14_Eingangsrechnungen'!H37)</f>
        <v/>
      </c>
      <c r="U37" s="45">
        <f>IF(L37="","",'14_Eingangsrechnungen'!P37)</f>
        <v/>
      </c>
    </row>
    <row r="38">
      <c r="A38" s="13">
        <f>IF('13_Ausgangsrechnungen'!A38="","",IF('13_Ausgangsrechnungen'!S38&gt;0.5,"Debitor",""))</f>
        <v/>
      </c>
      <c r="B38" s="13">
        <f>IF(A38="","",'13_Ausgangsrechnungen'!A38)</f>
        <v/>
      </c>
      <c r="C38" s="44">
        <f>IF(A38="","",'13_Ausgangsrechnungen'!B38)</f>
        <v/>
      </c>
      <c r="D38" s="13">
        <f>IF(A38="","",'13_Ausgangsrechnungen'!D38)</f>
        <v/>
      </c>
      <c r="E38" s="13">
        <f>IF(A38="","",'13_Ausgangsrechnungen'!C38)</f>
        <v/>
      </c>
      <c r="F38" s="13">
        <f>IF(A38="","",'13_Ausgangsrechnungen'!E38)</f>
        <v/>
      </c>
      <c r="G38" s="15">
        <f>IF(A38="","",'13_Ausgangsrechnungen'!Q38)</f>
        <v/>
      </c>
      <c r="H38" s="15">
        <f>IF(A38="","",'13_Ausgangsrechnungen'!S38)</f>
        <v/>
      </c>
      <c r="I38" s="44">
        <f>IF(A38="","",'13_Ausgangsrechnungen'!J38)</f>
        <v/>
      </c>
      <c r="J38" s="45">
        <f>IF(A38="","",'13_Ausgangsrechnungen'!T38)</f>
        <v/>
      </c>
      <c r="L38" s="13">
        <f>IF('14_Eingangsrechnungen'!A38="","",IF('14_Eingangsrechnungen'!O38&gt;0.5,"Kreditor",""))</f>
        <v/>
      </c>
      <c r="M38" s="13">
        <f>IF(L38="","",'14_Eingangsrechnungen'!A38)</f>
        <v/>
      </c>
      <c r="N38" s="44">
        <f>IF(L38="","",'14_Eingangsrechnungen'!B38)</f>
        <v/>
      </c>
      <c r="O38" s="13">
        <f>IF(L38="","",'14_Eingangsrechnungen'!D38)</f>
        <v/>
      </c>
      <c r="P38" s="13">
        <f>IF(L38="","",'14_Eingangsrechnungen'!C38)</f>
        <v/>
      </c>
      <c r="Q38" s="13">
        <f>IF(L38="","",'14_Eingangsrechnungen'!E38)</f>
        <v/>
      </c>
      <c r="R38" s="15">
        <f>IF(L38="","",'14_Eingangsrechnungen'!M38)</f>
        <v/>
      </c>
      <c r="S38" s="15">
        <f>IF(L38="","",'14_Eingangsrechnungen'!O38)</f>
        <v/>
      </c>
      <c r="T38" s="44">
        <f>IF(L38="","",'14_Eingangsrechnungen'!H38)</f>
        <v/>
      </c>
      <c r="U38" s="45">
        <f>IF(L38="","",'14_Eingangsrechnungen'!P38)</f>
        <v/>
      </c>
    </row>
    <row r="39">
      <c r="A39" s="13">
        <f>IF('13_Ausgangsrechnungen'!A39="","",IF('13_Ausgangsrechnungen'!S39&gt;0.5,"Debitor",""))</f>
        <v/>
      </c>
      <c r="B39" s="13">
        <f>IF(A39="","",'13_Ausgangsrechnungen'!A39)</f>
        <v/>
      </c>
      <c r="C39" s="44">
        <f>IF(A39="","",'13_Ausgangsrechnungen'!B39)</f>
        <v/>
      </c>
      <c r="D39" s="13">
        <f>IF(A39="","",'13_Ausgangsrechnungen'!D39)</f>
        <v/>
      </c>
      <c r="E39" s="13">
        <f>IF(A39="","",'13_Ausgangsrechnungen'!C39)</f>
        <v/>
      </c>
      <c r="F39" s="13">
        <f>IF(A39="","",'13_Ausgangsrechnungen'!E39)</f>
        <v/>
      </c>
      <c r="G39" s="15">
        <f>IF(A39="","",'13_Ausgangsrechnungen'!Q39)</f>
        <v/>
      </c>
      <c r="H39" s="15">
        <f>IF(A39="","",'13_Ausgangsrechnungen'!S39)</f>
        <v/>
      </c>
      <c r="I39" s="44">
        <f>IF(A39="","",'13_Ausgangsrechnungen'!J39)</f>
        <v/>
      </c>
      <c r="J39" s="45">
        <f>IF(A39="","",'13_Ausgangsrechnungen'!T39)</f>
        <v/>
      </c>
      <c r="L39" s="13">
        <f>IF('14_Eingangsrechnungen'!A39="","",IF('14_Eingangsrechnungen'!O39&gt;0.5,"Kreditor",""))</f>
        <v/>
      </c>
      <c r="M39" s="13">
        <f>IF(L39="","",'14_Eingangsrechnungen'!A39)</f>
        <v/>
      </c>
      <c r="N39" s="44">
        <f>IF(L39="","",'14_Eingangsrechnungen'!B39)</f>
        <v/>
      </c>
      <c r="O39" s="13">
        <f>IF(L39="","",'14_Eingangsrechnungen'!D39)</f>
        <v/>
      </c>
      <c r="P39" s="13">
        <f>IF(L39="","",'14_Eingangsrechnungen'!C39)</f>
        <v/>
      </c>
      <c r="Q39" s="13">
        <f>IF(L39="","",'14_Eingangsrechnungen'!E39)</f>
        <v/>
      </c>
      <c r="R39" s="15">
        <f>IF(L39="","",'14_Eingangsrechnungen'!M39)</f>
        <v/>
      </c>
      <c r="S39" s="15">
        <f>IF(L39="","",'14_Eingangsrechnungen'!O39)</f>
        <v/>
      </c>
      <c r="T39" s="44">
        <f>IF(L39="","",'14_Eingangsrechnungen'!H39)</f>
        <v/>
      </c>
      <c r="U39" s="45">
        <f>IF(L39="","",'14_Eingangsrechnungen'!P39)</f>
        <v/>
      </c>
    </row>
    <row r="40">
      <c r="A40" s="13">
        <f>IF('13_Ausgangsrechnungen'!A40="","",IF('13_Ausgangsrechnungen'!S40&gt;0.5,"Debitor",""))</f>
        <v/>
      </c>
      <c r="B40" s="13">
        <f>IF(A40="","",'13_Ausgangsrechnungen'!A40)</f>
        <v/>
      </c>
      <c r="C40" s="44">
        <f>IF(A40="","",'13_Ausgangsrechnungen'!B40)</f>
        <v/>
      </c>
      <c r="D40" s="13">
        <f>IF(A40="","",'13_Ausgangsrechnungen'!D40)</f>
        <v/>
      </c>
      <c r="E40" s="13">
        <f>IF(A40="","",'13_Ausgangsrechnungen'!C40)</f>
        <v/>
      </c>
      <c r="F40" s="13">
        <f>IF(A40="","",'13_Ausgangsrechnungen'!E40)</f>
        <v/>
      </c>
      <c r="G40" s="15">
        <f>IF(A40="","",'13_Ausgangsrechnungen'!Q40)</f>
        <v/>
      </c>
      <c r="H40" s="15">
        <f>IF(A40="","",'13_Ausgangsrechnungen'!S40)</f>
        <v/>
      </c>
      <c r="I40" s="44">
        <f>IF(A40="","",'13_Ausgangsrechnungen'!J40)</f>
        <v/>
      </c>
      <c r="J40" s="45">
        <f>IF(A40="","",'13_Ausgangsrechnungen'!T40)</f>
        <v/>
      </c>
      <c r="L40" s="13">
        <f>IF('14_Eingangsrechnungen'!A40="","",IF('14_Eingangsrechnungen'!O40&gt;0.5,"Kreditor",""))</f>
        <v/>
      </c>
      <c r="M40" s="13">
        <f>IF(L40="","",'14_Eingangsrechnungen'!A40)</f>
        <v/>
      </c>
      <c r="N40" s="44">
        <f>IF(L40="","",'14_Eingangsrechnungen'!B40)</f>
        <v/>
      </c>
      <c r="O40" s="13">
        <f>IF(L40="","",'14_Eingangsrechnungen'!D40)</f>
        <v/>
      </c>
      <c r="P40" s="13">
        <f>IF(L40="","",'14_Eingangsrechnungen'!C40)</f>
        <v/>
      </c>
      <c r="Q40" s="13">
        <f>IF(L40="","",'14_Eingangsrechnungen'!E40)</f>
        <v/>
      </c>
      <c r="R40" s="15">
        <f>IF(L40="","",'14_Eingangsrechnungen'!M40)</f>
        <v/>
      </c>
      <c r="S40" s="15">
        <f>IF(L40="","",'14_Eingangsrechnungen'!O40)</f>
        <v/>
      </c>
      <c r="T40" s="44">
        <f>IF(L40="","",'14_Eingangsrechnungen'!H40)</f>
        <v/>
      </c>
      <c r="U40" s="45">
        <f>IF(L40="","",'14_Eingangsrechnungen'!P40)</f>
        <v/>
      </c>
    </row>
    <row r="41">
      <c r="A41" s="13">
        <f>IF('13_Ausgangsrechnungen'!A41="","",IF('13_Ausgangsrechnungen'!S41&gt;0.5,"Debitor",""))</f>
        <v/>
      </c>
      <c r="B41" s="13">
        <f>IF(A41="","",'13_Ausgangsrechnungen'!A41)</f>
        <v/>
      </c>
      <c r="C41" s="44">
        <f>IF(A41="","",'13_Ausgangsrechnungen'!B41)</f>
        <v/>
      </c>
      <c r="D41" s="13">
        <f>IF(A41="","",'13_Ausgangsrechnungen'!D41)</f>
        <v/>
      </c>
      <c r="E41" s="13">
        <f>IF(A41="","",'13_Ausgangsrechnungen'!C41)</f>
        <v/>
      </c>
      <c r="F41" s="13">
        <f>IF(A41="","",'13_Ausgangsrechnungen'!E41)</f>
        <v/>
      </c>
      <c r="G41" s="15">
        <f>IF(A41="","",'13_Ausgangsrechnungen'!Q41)</f>
        <v/>
      </c>
      <c r="H41" s="15">
        <f>IF(A41="","",'13_Ausgangsrechnungen'!S41)</f>
        <v/>
      </c>
      <c r="I41" s="44">
        <f>IF(A41="","",'13_Ausgangsrechnungen'!J41)</f>
        <v/>
      </c>
      <c r="J41" s="45">
        <f>IF(A41="","",'13_Ausgangsrechnungen'!T41)</f>
        <v/>
      </c>
      <c r="L41" s="13">
        <f>IF('14_Eingangsrechnungen'!A41="","",IF('14_Eingangsrechnungen'!O41&gt;0.5,"Kreditor",""))</f>
        <v/>
      </c>
      <c r="M41" s="13">
        <f>IF(L41="","",'14_Eingangsrechnungen'!A41)</f>
        <v/>
      </c>
      <c r="N41" s="44">
        <f>IF(L41="","",'14_Eingangsrechnungen'!B41)</f>
        <v/>
      </c>
      <c r="O41" s="13">
        <f>IF(L41="","",'14_Eingangsrechnungen'!D41)</f>
        <v/>
      </c>
      <c r="P41" s="13">
        <f>IF(L41="","",'14_Eingangsrechnungen'!C41)</f>
        <v/>
      </c>
      <c r="Q41" s="13">
        <f>IF(L41="","",'14_Eingangsrechnungen'!E41)</f>
        <v/>
      </c>
      <c r="R41" s="15">
        <f>IF(L41="","",'14_Eingangsrechnungen'!M41)</f>
        <v/>
      </c>
      <c r="S41" s="15">
        <f>IF(L41="","",'14_Eingangsrechnungen'!O41)</f>
        <v/>
      </c>
      <c r="T41" s="44">
        <f>IF(L41="","",'14_Eingangsrechnungen'!H41)</f>
        <v/>
      </c>
      <c r="U41" s="45">
        <f>IF(L41="","",'14_Eingangsrechnungen'!P41)</f>
        <v/>
      </c>
    </row>
    <row r="42">
      <c r="A42" s="13">
        <f>IF('13_Ausgangsrechnungen'!A42="","",IF('13_Ausgangsrechnungen'!S42&gt;0.5,"Debitor",""))</f>
        <v/>
      </c>
      <c r="B42" s="13">
        <f>IF(A42="","",'13_Ausgangsrechnungen'!A42)</f>
        <v/>
      </c>
      <c r="C42" s="44">
        <f>IF(A42="","",'13_Ausgangsrechnungen'!B42)</f>
        <v/>
      </c>
      <c r="D42" s="13">
        <f>IF(A42="","",'13_Ausgangsrechnungen'!D42)</f>
        <v/>
      </c>
      <c r="E42" s="13">
        <f>IF(A42="","",'13_Ausgangsrechnungen'!C42)</f>
        <v/>
      </c>
      <c r="F42" s="13">
        <f>IF(A42="","",'13_Ausgangsrechnungen'!E42)</f>
        <v/>
      </c>
      <c r="G42" s="15">
        <f>IF(A42="","",'13_Ausgangsrechnungen'!Q42)</f>
        <v/>
      </c>
      <c r="H42" s="15">
        <f>IF(A42="","",'13_Ausgangsrechnungen'!S42)</f>
        <v/>
      </c>
      <c r="I42" s="44">
        <f>IF(A42="","",'13_Ausgangsrechnungen'!J42)</f>
        <v/>
      </c>
      <c r="J42" s="45">
        <f>IF(A42="","",'13_Ausgangsrechnungen'!T42)</f>
        <v/>
      </c>
      <c r="L42" s="13">
        <f>IF('14_Eingangsrechnungen'!A42="","",IF('14_Eingangsrechnungen'!O42&gt;0.5,"Kreditor",""))</f>
        <v/>
      </c>
      <c r="M42" s="13">
        <f>IF(L42="","",'14_Eingangsrechnungen'!A42)</f>
        <v/>
      </c>
      <c r="N42" s="44">
        <f>IF(L42="","",'14_Eingangsrechnungen'!B42)</f>
        <v/>
      </c>
      <c r="O42" s="13">
        <f>IF(L42="","",'14_Eingangsrechnungen'!D42)</f>
        <v/>
      </c>
      <c r="P42" s="13">
        <f>IF(L42="","",'14_Eingangsrechnungen'!C42)</f>
        <v/>
      </c>
      <c r="Q42" s="13">
        <f>IF(L42="","",'14_Eingangsrechnungen'!E42)</f>
        <v/>
      </c>
      <c r="R42" s="15">
        <f>IF(L42="","",'14_Eingangsrechnungen'!M42)</f>
        <v/>
      </c>
      <c r="S42" s="15">
        <f>IF(L42="","",'14_Eingangsrechnungen'!O42)</f>
        <v/>
      </c>
      <c r="T42" s="44">
        <f>IF(L42="","",'14_Eingangsrechnungen'!H42)</f>
        <v/>
      </c>
      <c r="U42" s="45">
        <f>IF(L42="","",'14_Eingangsrechnungen'!P42)</f>
        <v/>
      </c>
    </row>
    <row r="43">
      <c r="A43" s="13">
        <f>IF('13_Ausgangsrechnungen'!A43="","",IF('13_Ausgangsrechnungen'!S43&gt;0.5,"Debitor",""))</f>
        <v/>
      </c>
      <c r="B43" s="13">
        <f>IF(A43="","",'13_Ausgangsrechnungen'!A43)</f>
        <v/>
      </c>
      <c r="C43" s="44">
        <f>IF(A43="","",'13_Ausgangsrechnungen'!B43)</f>
        <v/>
      </c>
      <c r="D43" s="13">
        <f>IF(A43="","",'13_Ausgangsrechnungen'!D43)</f>
        <v/>
      </c>
      <c r="E43" s="13">
        <f>IF(A43="","",'13_Ausgangsrechnungen'!C43)</f>
        <v/>
      </c>
      <c r="F43" s="13">
        <f>IF(A43="","",'13_Ausgangsrechnungen'!E43)</f>
        <v/>
      </c>
      <c r="G43" s="15">
        <f>IF(A43="","",'13_Ausgangsrechnungen'!Q43)</f>
        <v/>
      </c>
      <c r="H43" s="15">
        <f>IF(A43="","",'13_Ausgangsrechnungen'!S43)</f>
        <v/>
      </c>
      <c r="I43" s="44">
        <f>IF(A43="","",'13_Ausgangsrechnungen'!J43)</f>
        <v/>
      </c>
      <c r="J43" s="45">
        <f>IF(A43="","",'13_Ausgangsrechnungen'!T43)</f>
        <v/>
      </c>
      <c r="L43" s="13">
        <f>IF('14_Eingangsrechnungen'!A43="","",IF('14_Eingangsrechnungen'!O43&gt;0.5,"Kreditor",""))</f>
        <v/>
      </c>
      <c r="M43" s="13">
        <f>IF(L43="","",'14_Eingangsrechnungen'!A43)</f>
        <v/>
      </c>
      <c r="N43" s="44">
        <f>IF(L43="","",'14_Eingangsrechnungen'!B43)</f>
        <v/>
      </c>
      <c r="O43" s="13">
        <f>IF(L43="","",'14_Eingangsrechnungen'!D43)</f>
        <v/>
      </c>
      <c r="P43" s="13">
        <f>IF(L43="","",'14_Eingangsrechnungen'!C43)</f>
        <v/>
      </c>
      <c r="Q43" s="13">
        <f>IF(L43="","",'14_Eingangsrechnungen'!E43)</f>
        <v/>
      </c>
      <c r="R43" s="15">
        <f>IF(L43="","",'14_Eingangsrechnungen'!M43)</f>
        <v/>
      </c>
      <c r="S43" s="15">
        <f>IF(L43="","",'14_Eingangsrechnungen'!O43)</f>
        <v/>
      </c>
      <c r="T43" s="44">
        <f>IF(L43="","",'14_Eingangsrechnungen'!H43)</f>
        <v/>
      </c>
      <c r="U43" s="45">
        <f>IF(L43="","",'14_Eingangsrechnungen'!P43)</f>
        <v/>
      </c>
    </row>
    <row r="44">
      <c r="A44" s="13">
        <f>IF('13_Ausgangsrechnungen'!A44="","",IF('13_Ausgangsrechnungen'!S44&gt;0.5,"Debitor",""))</f>
        <v/>
      </c>
      <c r="B44" s="13">
        <f>IF(A44="","",'13_Ausgangsrechnungen'!A44)</f>
        <v/>
      </c>
      <c r="C44" s="44">
        <f>IF(A44="","",'13_Ausgangsrechnungen'!B44)</f>
        <v/>
      </c>
      <c r="D44" s="13">
        <f>IF(A44="","",'13_Ausgangsrechnungen'!D44)</f>
        <v/>
      </c>
      <c r="E44" s="13">
        <f>IF(A44="","",'13_Ausgangsrechnungen'!C44)</f>
        <v/>
      </c>
      <c r="F44" s="13">
        <f>IF(A44="","",'13_Ausgangsrechnungen'!E44)</f>
        <v/>
      </c>
      <c r="G44" s="15">
        <f>IF(A44="","",'13_Ausgangsrechnungen'!Q44)</f>
        <v/>
      </c>
      <c r="H44" s="15">
        <f>IF(A44="","",'13_Ausgangsrechnungen'!S44)</f>
        <v/>
      </c>
      <c r="I44" s="44">
        <f>IF(A44="","",'13_Ausgangsrechnungen'!J44)</f>
        <v/>
      </c>
      <c r="J44" s="45">
        <f>IF(A44="","",'13_Ausgangsrechnungen'!T44)</f>
        <v/>
      </c>
      <c r="L44" s="13">
        <f>IF('14_Eingangsrechnungen'!A44="","",IF('14_Eingangsrechnungen'!O44&gt;0.5,"Kreditor",""))</f>
        <v/>
      </c>
      <c r="M44" s="13">
        <f>IF(L44="","",'14_Eingangsrechnungen'!A44)</f>
        <v/>
      </c>
      <c r="N44" s="44">
        <f>IF(L44="","",'14_Eingangsrechnungen'!B44)</f>
        <v/>
      </c>
      <c r="O44" s="13">
        <f>IF(L44="","",'14_Eingangsrechnungen'!D44)</f>
        <v/>
      </c>
      <c r="P44" s="13">
        <f>IF(L44="","",'14_Eingangsrechnungen'!C44)</f>
        <v/>
      </c>
      <c r="Q44" s="13">
        <f>IF(L44="","",'14_Eingangsrechnungen'!E44)</f>
        <v/>
      </c>
      <c r="R44" s="15">
        <f>IF(L44="","",'14_Eingangsrechnungen'!M44)</f>
        <v/>
      </c>
      <c r="S44" s="15">
        <f>IF(L44="","",'14_Eingangsrechnungen'!O44)</f>
        <v/>
      </c>
      <c r="T44" s="44">
        <f>IF(L44="","",'14_Eingangsrechnungen'!H44)</f>
        <v/>
      </c>
      <c r="U44" s="45">
        <f>IF(L44="","",'14_Eingangsrechnungen'!P44)</f>
        <v/>
      </c>
    </row>
    <row r="45">
      <c r="A45" s="13">
        <f>IF('13_Ausgangsrechnungen'!A45="","",IF('13_Ausgangsrechnungen'!S45&gt;0.5,"Debitor",""))</f>
        <v/>
      </c>
      <c r="B45" s="13">
        <f>IF(A45="","",'13_Ausgangsrechnungen'!A45)</f>
        <v/>
      </c>
      <c r="C45" s="44">
        <f>IF(A45="","",'13_Ausgangsrechnungen'!B45)</f>
        <v/>
      </c>
      <c r="D45" s="13">
        <f>IF(A45="","",'13_Ausgangsrechnungen'!D45)</f>
        <v/>
      </c>
      <c r="E45" s="13">
        <f>IF(A45="","",'13_Ausgangsrechnungen'!C45)</f>
        <v/>
      </c>
      <c r="F45" s="13">
        <f>IF(A45="","",'13_Ausgangsrechnungen'!E45)</f>
        <v/>
      </c>
      <c r="G45" s="15">
        <f>IF(A45="","",'13_Ausgangsrechnungen'!Q45)</f>
        <v/>
      </c>
      <c r="H45" s="15">
        <f>IF(A45="","",'13_Ausgangsrechnungen'!S45)</f>
        <v/>
      </c>
      <c r="I45" s="44">
        <f>IF(A45="","",'13_Ausgangsrechnungen'!J45)</f>
        <v/>
      </c>
      <c r="J45" s="45">
        <f>IF(A45="","",'13_Ausgangsrechnungen'!T45)</f>
        <v/>
      </c>
      <c r="L45" s="13">
        <f>IF('14_Eingangsrechnungen'!A45="","",IF('14_Eingangsrechnungen'!O45&gt;0.5,"Kreditor",""))</f>
        <v/>
      </c>
      <c r="M45" s="13">
        <f>IF(L45="","",'14_Eingangsrechnungen'!A45)</f>
        <v/>
      </c>
      <c r="N45" s="44">
        <f>IF(L45="","",'14_Eingangsrechnungen'!B45)</f>
        <v/>
      </c>
      <c r="O45" s="13">
        <f>IF(L45="","",'14_Eingangsrechnungen'!D45)</f>
        <v/>
      </c>
      <c r="P45" s="13">
        <f>IF(L45="","",'14_Eingangsrechnungen'!C45)</f>
        <v/>
      </c>
      <c r="Q45" s="13">
        <f>IF(L45="","",'14_Eingangsrechnungen'!E45)</f>
        <v/>
      </c>
      <c r="R45" s="15">
        <f>IF(L45="","",'14_Eingangsrechnungen'!M45)</f>
        <v/>
      </c>
      <c r="S45" s="15">
        <f>IF(L45="","",'14_Eingangsrechnungen'!O45)</f>
        <v/>
      </c>
      <c r="T45" s="44">
        <f>IF(L45="","",'14_Eingangsrechnungen'!H45)</f>
        <v/>
      </c>
      <c r="U45" s="45">
        <f>IF(L45="","",'14_Eingangsrechnungen'!P45)</f>
        <v/>
      </c>
    </row>
    <row r="46">
      <c r="A46" s="13">
        <f>IF('13_Ausgangsrechnungen'!A46="","",IF('13_Ausgangsrechnungen'!S46&gt;0.5,"Debitor",""))</f>
        <v/>
      </c>
      <c r="B46" s="13">
        <f>IF(A46="","",'13_Ausgangsrechnungen'!A46)</f>
        <v/>
      </c>
      <c r="C46" s="44">
        <f>IF(A46="","",'13_Ausgangsrechnungen'!B46)</f>
        <v/>
      </c>
      <c r="D46" s="13">
        <f>IF(A46="","",'13_Ausgangsrechnungen'!D46)</f>
        <v/>
      </c>
      <c r="E46" s="13">
        <f>IF(A46="","",'13_Ausgangsrechnungen'!C46)</f>
        <v/>
      </c>
      <c r="F46" s="13">
        <f>IF(A46="","",'13_Ausgangsrechnungen'!E46)</f>
        <v/>
      </c>
      <c r="G46" s="15">
        <f>IF(A46="","",'13_Ausgangsrechnungen'!Q46)</f>
        <v/>
      </c>
      <c r="H46" s="15">
        <f>IF(A46="","",'13_Ausgangsrechnungen'!S46)</f>
        <v/>
      </c>
      <c r="I46" s="44">
        <f>IF(A46="","",'13_Ausgangsrechnungen'!J46)</f>
        <v/>
      </c>
      <c r="J46" s="45">
        <f>IF(A46="","",'13_Ausgangsrechnungen'!T46)</f>
        <v/>
      </c>
      <c r="L46" s="13">
        <f>IF('14_Eingangsrechnungen'!A46="","",IF('14_Eingangsrechnungen'!O46&gt;0.5,"Kreditor",""))</f>
        <v/>
      </c>
      <c r="M46" s="13">
        <f>IF(L46="","",'14_Eingangsrechnungen'!A46)</f>
        <v/>
      </c>
      <c r="N46" s="44">
        <f>IF(L46="","",'14_Eingangsrechnungen'!B46)</f>
        <v/>
      </c>
      <c r="O46" s="13">
        <f>IF(L46="","",'14_Eingangsrechnungen'!D46)</f>
        <v/>
      </c>
      <c r="P46" s="13">
        <f>IF(L46="","",'14_Eingangsrechnungen'!C46)</f>
        <v/>
      </c>
      <c r="Q46" s="13">
        <f>IF(L46="","",'14_Eingangsrechnungen'!E46)</f>
        <v/>
      </c>
      <c r="R46" s="15">
        <f>IF(L46="","",'14_Eingangsrechnungen'!M46)</f>
        <v/>
      </c>
      <c r="S46" s="15">
        <f>IF(L46="","",'14_Eingangsrechnungen'!O46)</f>
        <v/>
      </c>
      <c r="T46" s="44">
        <f>IF(L46="","",'14_Eingangsrechnungen'!H46)</f>
        <v/>
      </c>
      <c r="U46" s="45">
        <f>IF(L46="","",'14_Eingangsrechnungen'!P46)</f>
        <v/>
      </c>
    </row>
    <row r="47">
      <c r="A47" s="13">
        <f>IF('13_Ausgangsrechnungen'!A47="","",IF('13_Ausgangsrechnungen'!S47&gt;0.5,"Debitor",""))</f>
        <v/>
      </c>
      <c r="B47" s="13">
        <f>IF(A47="","",'13_Ausgangsrechnungen'!A47)</f>
        <v/>
      </c>
      <c r="C47" s="44">
        <f>IF(A47="","",'13_Ausgangsrechnungen'!B47)</f>
        <v/>
      </c>
      <c r="D47" s="13">
        <f>IF(A47="","",'13_Ausgangsrechnungen'!D47)</f>
        <v/>
      </c>
      <c r="E47" s="13">
        <f>IF(A47="","",'13_Ausgangsrechnungen'!C47)</f>
        <v/>
      </c>
      <c r="F47" s="13">
        <f>IF(A47="","",'13_Ausgangsrechnungen'!E47)</f>
        <v/>
      </c>
      <c r="G47" s="15">
        <f>IF(A47="","",'13_Ausgangsrechnungen'!Q47)</f>
        <v/>
      </c>
      <c r="H47" s="15">
        <f>IF(A47="","",'13_Ausgangsrechnungen'!S47)</f>
        <v/>
      </c>
      <c r="I47" s="44">
        <f>IF(A47="","",'13_Ausgangsrechnungen'!J47)</f>
        <v/>
      </c>
      <c r="J47" s="45">
        <f>IF(A47="","",'13_Ausgangsrechnungen'!T47)</f>
        <v/>
      </c>
      <c r="L47" s="13">
        <f>IF('14_Eingangsrechnungen'!A47="","",IF('14_Eingangsrechnungen'!O47&gt;0.5,"Kreditor",""))</f>
        <v/>
      </c>
      <c r="M47" s="13">
        <f>IF(L47="","",'14_Eingangsrechnungen'!A47)</f>
        <v/>
      </c>
      <c r="N47" s="44">
        <f>IF(L47="","",'14_Eingangsrechnungen'!B47)</f>
        <v/>
      </c>
      <c r="O47" s="13">
        <f>IF(L47="","",'14_Eingangsrechnungen'!D47)</f>
        <v/>
      </c>
      <c r="P47" s="13">
        <f>IF(L47="","",'14_Eingangsrechnungen'!C47)</f>
        <v/>
      </c>
      <c r="Q47" s="13">
        <f>IF(L47="","",'14_Eingangsrechnungen'!E47)</f>
        <v/>
      </c>
      <c r="R47" s="15">
        <f>IF(L47="","",'14_Eingangsrechnungen'!M47)</f>
        <v/>
      </c>
      <c r="S47" s="15">
        <f>IF(L47="","",'14_Eingangsrechnungen'!O47)</f>
        <v/>
      </c>
      <c r="T47" s="44">
        <f>IF(L47="","",'14_Eingangsrechnungen'!H47)</f>
        <v/>
      </c>
      <c r="U47" s="45">
        <f>IF(L47="","",'14_Eingangsrechnungen'!P47)</f>
        <v/>
      </c>
    </row>
    <row r="48">
      <c r="A48" s="13">
        <f>IF('13_Ausgangsrechnungen'!A48="","",IF('13_Ausgangsrechnungen'!S48&gt;0.5,"Debitor",""))</f>
        <v/>
      </c>
      <c r="B48" s="13">
        <f>IF(A48="","",'13_Ausgangsrechnungen'!A48)</f>
        <v/>
      </c>
      <c r="C48" s="44">
        <f>IF(A48="","",'13_Ausgangsrechnungen'!B48)</f>
        <v/>
      </c>
      <c r="D48" s="13">
        <f>IF(A48="","",'13_Ausgangsrechnungen'!D48)</f>
        <v/>
      </c>
      <c r="E48" s="13">
        <f>IF(A48="","",'13_Ausgangsrechnungen'!C48)</f>
        <v/>
      </c>
      <c r="F48" s="13">
        <f>IF(A48="","",'13_Ausgangsrechnungen'!E48)</f>
        <v/>
      </c>
      <c r="G48" s="15">
        <f>IF(A48="","",'13_Ausgangsrechnungen'!Q48)</f>
        <v/>
      </c>
      <c r="H48" s="15">
        <f>IF(A48="","",'13_Ausgangsrechnungen'!S48)</f>
        <v/>
      </c>
      <c r="I48" s="44">
        <f>IF(A48="","",'13_Ausgangsrechnungen'!J48)</f>
        <v/>
      </c>
      <c r="J48" s="45">
        <f>IF(A48="","",'13_Ausgangsrechnungen'!T48)</f>
        <v/>
      </c>
      <c r="L48" s="13">
        <f>IF('14_Eingangsrechnungen'!A48="","",IF('14_Eingangsrechnungen'!O48&gt;0.5,"Kreditor",""))</f>
        <v/>
      </c>
      <c r="M48" s="13">
        <f>IF(L48="","",'14_Eingangsrechnungen'!A48)</f>
        <v/>
      </c>
      <c r="N48" s="44">
        <f>IF(L48="","",'14_Eingangsrechnungen'!B48)</f>
        <v/>
      </c>
      <c r="O48" s="13">
        <f>IF(L48="","",'14_Eingangsrechnungen'!D48)</f>
        <v/>
      </c>
      <c r="P48" s="13">
        <f>IF(L48="","",'14_Eingangsrechnungen'!C48)</f>
        <v/>
      </c>
      <c r="Q48" s="13">
        <f>IF(L48="","",'14_Eingangsrechnungen'!E48)</f>
        <v/>
      </c>
      <c r="R48" s="15">
        <f>IF(L48="","",'14_Eingangsrechnungen'!M48)</f>
        <v/>
      </c>
      <c r="S48" s="15">
        <f>IF(L48="","",'14_Eingangsrechnungen'!O48)</f>
        <v/>
      </c>
      <c r="T48" s="44">
        <f>IF(L48="","",'14_Eingangsrechnungen'!H48)</f>
        <v/>
      </c>
      <c r="U48" s="45">
        <f>IF(L48="","",'14_Eingangsrechnungen'!P48)</f>
        <v/>
      </c>
    </row>
    <row r="49">
      <c r="A49" s="13">
        <f>IF('13_Ausgangsrechnungen'!A49="","",IF('13_Ausgangsrechnungen'!S49&gt;0.5,"Debitor",""))</f>
        <v/>
      </c>
      <c r="B49" s="13">
        <f>IF(A49="","",'13_Ausgangsrechnungen'!A49)</f>
        <v/>
      </c>
      <c r="C49" s="44">
        <f>IF(A49="","",'13_Ausgangsrechnungen'!B49)</f>
        <v/>
      </c>
      <c r="D49" s="13">
        <f>IF(A49="","",'13_Ausgangsrechnungen'!D49)</f>
        <v/>
      </c>
      <c r="E49" s="13">
        <f>IF(A49="","",'13_Ausgangsrechnungen'!C49)</f>
        <v/>
      </c>
      <c r="F49" s="13">
        <f>IF(A49="","",'13_Ausgangsrechnungen'!E49)</f>
        <v/>
      </c>
      <c r="G49" s="15">
        <f>IF(A49="","",'13_Ausgangsrechnungen'!Q49)</f>
        <v/>
      </c>
      <c r="H49" s="15">
        <f>IF(A49="","",'13_Ausgangsrechnungen'!S49)</f>
        <v/>
      </c>
      <c r="I49" s="44">
        <f>IF(A49="","",'13_Ausgangsrechnungen'!J49)</f>
        <v/>
      </c>
      <c r="J49" s="45">
        <f>IF(A49="","",'13_Ausgangsrechnungen'!T49)</f>
        <v/>
      </c>
      <c r="L49" s="13">
        <f>IF('14_Eingangsrechnungen'!A49="","",IF('14_Eingangsrechnungen'!O49&gt;0.5,"Kreditor",""))</f>
        <v/>
      </c>
      <c r="M49" s="13">
        <f>IF(L49="","",'14_Eingangsrechnungen'!A49)</f>
        <v/>
      </c>
      <c r="N49" s="44">
        <f>IF(L49="","",'14_Eingangsrechnungen'!B49)</f>
        <v/>
      </c>
      <c r="O49" s="13">
        <f>IF(L49="","",'14_Eingangsrechnungen'!D49)</f>
        <v/>
      </c>
      <c r="P49" s="13">
        <f>IF(L49="","",'14_Eingangsrechnungen'!C49)</f>
        <v/>
      </c>
      <c r="Q49" s="13">
        <f>IF(L49="","",'14_Eingangsrechnungen'!E49)</f>
        <v/>
      </c>
      <c r="R49" s="15">
        <f>IF(L49="","",'14_Eingangsrechnungen'!M49)</f>
        <v/>
      </c>
      <c r="S49" s="15">
        <f>IF(L49="","",'14_Eingangsrechnungen'!O49)</f>
        <v/>
      </c>
      <c r="T49" s="44">
        <f>IF(L49="","",'14_Eingangsrechnungen'!H49)</f>
        <v/>
      </c>
      <c r="U49" s="45">
        <f>IF(L49="","",'14_Eingangsrechnungen'!P49)</f>
        <v/>
      </c>
    </row>
    <row r="50">
      <c r="A50" s="13">
        <f>IF('13_Ausgangsrechnungen'!A50="","",IF('13_Ausgangsrechnungen'!S50&gt;0.5,"Debitor",""))</f>
        <v/>
      </c>
      <c r="B50" s="13">
        <f>IF(A50="","",'13_Ausgangsrechnungen'!A50)</f>
        <v/>
      </c>
      <c r="C50" s="44">
        <f>IF(A50="","",'13_Ausgangsrechnungen'!B50)</f>
        <v/>
      </c>
      <c r="D50" s="13">
        <f>IF(A50="","",'13_Ausgangsrechnungen'!D50)</f>
        <v/>
      </c>
      <c r="E50" s="13">
        <f>IF(A50="","",'13_Ausgangsrechnungen'!C50)</f>
        <v/>
      </c>
      <c r="F50" s="13">
        <f>IF(A50="","",'13_Ausgangsrechnungen'!E50)</f>
        <v/>
      </c>
      <c r="G50" s="15">
        <f>IF(A50="","",'13_Ausgangsrechnungen'!Q50)</f>
        <v/>
      </c>
      <c r="H50" s="15">
        <f>IF(A50="","",'13_Ausgangsrechnungen'!S50)</f>
        <v/>
      </c>
      <c r="I50" s="44">
        <f>IF(A50="","",'13_Ausgangsrechnungen'!J50)</f>
        <v/>
      </c>
      <c r="J50" s="45">
        <f>IF(A50="","",'13_Ausgangsrechnungen'!T50)</f>
        <v/>
      </c>
      <c r="L50" s="13">
        <f>IF('14_Eingangsrechnungen'!A50="","",IF('14_Eingangsrechnungen'!O50&gt;0.5,"Kreditor",""))</f>
        <v/>
      </c>
      <c r="M50" s="13">
        <f>IF(L50="","",'14_Eingangsrechnungen'!A50)</f>
        <v/>
      </c>
      <c r="N50" s="44">
        <f>IF(L50="","",'14_Eingangsrechnungen'!B50)</f>
        <v/>
      </c>
      <c r="O50" s="13">
        <f>IF(L50="","",'14_Eingangsrechnungen'!D50)</f>
        <v/>
      </c>
      <c r="P50" s="13">
        <f>IF(L50="","",'14_Eingangsrechnungen'!C50)</f>
        <v/>
      </c>
      <c r="Q50" s="13">
        <f>IF(L50="","",'14_Eingangsrechnungen'!E50)</f>
        <v/>
      </c>
      <c r="R50" s="15">
        <f>IF(L50="","",'14_Eingangsrechnungen'!M50)</f>
        <v/>
      </c>
      <c r="S50" s="15">
        <f>IF(L50="","",'14_Eingangsrechnungen'!O50)</f>
        <v/>
      </c>
      <c r="T50" s="44">
        <f>IF(L50="","",'14_Eingangsrechnungen'!H50)</f>
        <v/>
      </c>
      <c r="U50" s="45">
        <f>IF(L50="","",'14_Eingangsrechnungen'!P50)</f>
        <v/>
      </c>
    </row>
    <row r="51">
      <c r="A51" s="13">
        <f>IF('13_Ausgangsrechnungen'!A51="","",IF('13_Ausgangsrechnungen'!S51&gt;0.5,"Debitor",""))</f>
        <v/>
      </c>
      <c r="B51" s="13">
        <f>IF(A51="","",'13_Ausgangsrechnungen'!A51)</f>
        <v/>
      </c>
      <c r="C51" s="44">
        <f>IF(A51="","",'13_Ausgangsrechnungen'!B51)</f>
        <v/>
      </c>
      <c r="D51" s="13">
        <f>IF(A51="","",'13_Ausgangsrechnungen'!D51)</f>
        <v/>
      </c>
      <c r="E51" s="13">
        <f>IF(A51="","",'13_Ausgangsrechnungen'!C51)</f>
        <v/>
      </c>
      <c r="F51" s="13">
        <f>IF(A51="","",'13_Ausgangsrechnungen'!E51)</f>
        <v/>
      </c>
      <c r="G51" s="15">
        <f>IF(A51="","",'13_Ausgangsrechnungen'!Q51)</f>
        <v/>
      </c>
      <c r="H51" s="15">
        <f>IF(A51="","",'13_Ausgangsrechnungen'!S51)</f>
        <v/>
      </c>
      <c r="I51" s="44">
        <f>IF(A51="","",'13_Ausgangsrechnungen'!J51)</f>
        <v/>
      </c>
      <c r="J51" s="45">
        <f>IF(A51="","",'13_Ausgangsrechnungen'!T51)</f>
        <v/>
      </c>
      <c r="L51" s="13">
        <f>IF('14_Eingangsrechnungen'!A51="","",IF('14_Eingangsrechnungen'!O51&gt;0.5,"Kreditor",""))</f>
        <v/>
      </c>
      <c r="M51" s="13">
        <f>IF(L51="","",'14_Eingangsrechnungen'!A51)</f>
        <v/>
      </c>
      <c r="N51" s="44">
        <f>IF(L51="","",'14_Eingangsrechnungen'!B51)</f>
        <v/>
      </c>
      <c r="O51" s="13">
        <f>IF(L51="","",'14_Eingangsrechnungen'!D51)</f>
        <v/>
      </c>
      <c r="P51" s="13">
        <f>IF(L51="","",'14_Eingangsrechnungen'!C51)</f>
        <v/>
      </c>
      <c r="Q51" s="13">
        <f>IF(L51="","",'14_Eingangsrechnungen'!E51)</f>
        <v/>
      </c>
      <c r="R51" s="15">
        <f>IF(L51="","",'14_Eingangsrechnungen'!M51)</f>
        <v/>
      </c>
      <c r="S51" s="15">
        <f>IF(L51="","",'14_Eingangsrechnungen'!O51)</f>
        <v/>
      </c>
      <c r="T51" s="44">
        <f>IF(L51="","",'14_Eingangsrechnungen'!H51)</f>
        <v/>
      </c>
      <c r="U51" s="45">
        <f>IF(L51="","",'14_Eingangsrechnungen'!P51)</f>
        <v/>
      </c>
    </row>
    <row r="52">
      <c r="A52" s="13">
        <f>IF('13_Ausgangsrechnungen'!A52="","",IF('13_Ausgangsrechnungen'!S52&gt;0.5,"Debitor",""))</f>
        <v/>
      </c>
      <c r="B52" s="13">
        <f>IF(A52="","",'13_Ausgangsrechnungen'!A52)</f>
        <v/>
      </c>
      <c r="C52" s="44">
        <f>IF(A52="","",'13_Ausgangsrechnungen'!B52)</f>
        <v/>
      </c>
      <c r="D52" s="13">
        <f>IF(A52="","",'13_Ausgangsrechnungen'!D52)</f>
        <v/>
      </c>
      <c r="E52" s="13">
        <f>IF(A52="","",'13_Ausgangsrechnungen'!C52)</f>
        <v/>
      </c>
      <c r="F52" s="13">
        <f>IF(A52="","",'13_Ausgangsrechnungen'!E52)</f>
        <v/>
      </c>
      <c r="G52" s="15">
        <f>IF(A52="","",'13_Ausgangsrechnungen'!Q52)</f>
        <v/>
      </c>
      <c r="H52" s="15">
        <f>IF(A52="","",'13_Ausgangsrechnungen'!S52)</f>
        <v/>
      </c>
      <c r="I52" s="44">
        <f>IF(A52="","",'13_Ausgangsrechnungen'!J52)</f>
        <v/>
      </c>
      <c r="J52" s="45">
        <f>IF(A52="","",'13_Ausgangsrechnungen'!T52)</f>
        <v/>
      </c>
      <c r="L52" s="13">
        <f>IF('14_Eingangsrechnungen'!A52="","",IF('14_Eingangsrechnungen'!O52&gt;0.5,"Kreditor",""))</f>
        <v/>
      </c>
      <c r="M52" s="13">
        <f>IF(L52="","",'14_Eingangsrechnungen'!A52)</f>
        <v/>
      </c>
      <c r="N52" s="44">
        <f>IF(L52="","",'14_Eingangsrechnungen'!B52)</f>
        <v/>
      </c>
      <c r="O52" s="13">
        <f>IF(L52="","",'14_Eingangsrechnungen'!D52)</f>
        <v/>
      </c>
      <c r="P52" s="13">
        <f>IF(L52="","",'14_Eingangsrechnungen'!C52)</f>
        <v/>
      </c>
      <c r="Q52" s="13">
        <f>IF(L52="","",'14_Eingangsrechnungen'!E52)</f>
        <v/>
      </c>
      <c r="R52" s="15">
        <f>IF(L52="","",'14_Eingangsrechnungen'!M52)</f>
        <v/>
      </c>
      <c r="S52" s="15">
        <f>IF(L52="","",'14_Eingangsrechnungen'!O52)</f>
        <v/>
      </c>
      <c r="T52" s="44">
        <f>IF(L52="","",'14_Eingangsrechnungen'!H52)</f>
        <v/>
      </c>
      <c r="U52" s="45">
        <f>IF(L52="","",'14_Eingangsrechnungen'!P52)</f>
        <v/>
      </c>
    </row>
    <row r="53">
      <c r="A53" s="13">
        <f>IF('13_Ausgangsrechnungen'!A53="","",IF('13_Ausgangsrechnungen'!S53&gt;0.5,"Debitor",""))</f>
        <v/>
      </c>
      <c r="B53" s="13">
        <f>IF(A53="","",'13_Ausgangsrechnungen'!A53)</f>
        <v/>
      </c>
      <c r="C53" s="44">
        <f>IF(A53="","",'13_Ausgangsrechnungen'!B53)</f>
        <v/>
      </c>
      <c r="D53" s="13">
        <f>IF(A53="","",'13_Ausgangsrechnungen'!D53)</f>
        <v/>
      </c>
      <c r="E53" s="13">
        <f>IF(A53="","",'13_Ausgangsrechnungen'!C53)</f>
        <v/>
      </c>
      <c r="F53" s="13">
        <f>IF(A53="","",'13_Ausgangsrechnungen'!E53)</f>
        <v/>
      </c>
      <c r="G53" s="15">
        <f>IF(A53="","",'13_Ausgangsrechnungen'!Q53)</f>
        <v/>
      </c>
      <c r="H53" s="15">
        <f>IF(A53="","",'13_Ausgangsrechnungen'!S53)</f>
        <v/>
      </c>
      <c r="I53" s="44">
        <f>IF(A53="","",'13_Ausgangsrechnungen'!J53)</f>
        <v/>
      </c>
      <c r="J53" s="45">
        <f>IF(A53="","",'13_Ausgangsrechnungen'!T53)</f>
        <v/>
      </c>
      <c r="L53" s="13">
        <f>IF('14_Eingangsrechnungen'!A53="","",IF('14_Eingangsrechnungen'!O53&gt;0.5,"Kreditor",""))</f>
        <v/>
      </c>
      <c r="M53" s="13">
        <f>IF(L53="","",'14_Eingangsrechnungen'!A53)</f>
        <v/>
      </c>
      <c r="N53" s="44">
        <f>IF(L53="","",'14_Eingangsrechnungen'!B53)</f>
        <v/>
      </c>
      <c r="O53" s="13">
        <f>IF(L53="","",'14_Eingangsrechnungen'!D53)</f>
        <v/>
      </c>
      <c r="P53" s="13">
        <f>IF(L53="","",'14_Eingangsrechnungen'!C53)</f>
        <v/>
      </c>
      <c r="Q53" s="13">
        <f>IF(L53="","",'14_Eingangsrechnungen'!E53)</f>
        <v/>
      </c>
      <c r="R53" s="15">
        <f>IF(L53="","",'14_Eingangsrechnungen'!M53)</f>
        <v/>
      </c>
      <c r="S53" s="15">
        <f>IF(L53="","",'14_Eingangsrechnungen'!O53)</f>
        <v/>
      </c>
      <c r="T53" s="44">
        <f>IF(L53="","",'14_Eingangsrechnungen'!H53)</f>
        <v/>
      </c>
      <c r="U53" s="45">
        <f>IF(L53="","",'14_Eingangsrechnungen'!P53)</f>
        <v/>
      </c>
    </row>
    <row r="54">
      <c r="A54" s="13">
        <f>IF('13_Ausgangsrechnungen'!A54="","",IF('13_Ausgangsrechnungen'!S54&gt;0.5,"Debitor",""))</f>
        <v/>
      </c>
      <c r="B54" s="13">
        <f>IF(A54="","",'13_Ausgangsrechnungen'!A54)</f>
        <v/>
      </c>
      <c r="C54" s="44">
        <f>IF(A54="","",'13_Ausgangsrechnungen'!B54)</f>
        <v/>
      </c>
      <c r="D54" s="13">
        <f>IF(A54="","",'13_Ausgangsrechnungen'!D54)</f>
        <v/>
      </c>
      <c r="E54" s="13">
        <f>IF(A54="","",'13_Ausgangsrechnungen'!C54)</f>
        <v/>
      </c>
      <c r="F54" s="13">
        <f>IF(A54="","",'13_Ausgangsrechnungen'!E54)</f>
        <v/>
      </c>
      <c r="G54" s="15">
        <f>IF(A54="","",'13_Ausgangsrechnungen'!Q54)</f>
        <v/>
      </c>
      <c r="H54" s="15">
        <f>IF(A54="","",'13_Ausgangsrechnungen'!S54)</f>
        <v/>
      </c>
      <c r="I54" s="44">
        <f>IF(A54="","",'13_Ausgangsrechnungen'!J54)</f>
        <v/>
      </c>
      <c r="J54" s="45">
        <f>IF(A54="","",'13_Ausgangsrechnungen'!T54)</f>
        <v/>
      </c>
      <c r="L54" s="13">
        <f>IF('14_Eingangsrechnungen'!A54="","",IF('14_Eingangsrechnungen'!O54&gt;0.5,"Kreditor",""))</f>
        <v/>
      </c>
      <c r="M54" s="13">
        <f>IF(L54="","",'14_Eingangsrechnungen'!A54)</f>
        <v/>
      </c>
      <c r="N54" s="44">
        <f>IF(L54="","",'14_Eingangsrechnungen'!B54)</f>
        <v/>
      </c>
      <c r="O54" s="13">
        <f>IF(L54="","",'14_Eingangsrechnungen'!D54)</f>
        <v/>
      </c>
      <c r="P54" s="13">
        <f>IF(L54="","",'14_Eingangsrechnungen'!C54)</f>
        <v/>
      </c>
      <c r="Q54" s="13">
        <f>IF(L54="","",'14_Eingangsrechnungen'!E54)</f>
        <v/>
      </c>
      <c r="R54" s="15">
        <f>IF(L54="","",'14_Eingangsrechnungen'!M54)</f>
        <v/>
      </c>
      <c r="S54" s="15">
        <f>IF(L54="","",'14_Eingangsrechnungen'!O54)</f>
        <v/>
      </c>
      <c r="T54" s="44">
        <f>IF(L54="","",'14_Eingangsrechnungen'!H54)</f>
        <v/>
      </c>
      <c r="U54" s="45">
        <f>IF(L54="","",'14_Eingangsrechnungen'!P54)</f>
        <v/>
      </c>
    </row>
    <row r="55">
      <c r="A55" s="13">
        <f>IF('13_Ausgangsrechnungen'!A55="","",IF('13_Ausgangsrechnungen'!S55&gt;0.5,"Debitor",""))</f>
        <v/>
      </c>
      <c r="B55" s="13">
        <f>IF(A55="","",'13_Ausgangsrechnungen'!A55)</f>
        <v/>
      </c>
      <c r="C55" s="44">
        <f>IF(A55="","",'13_Ausgangsrechnungen'!B55)</f>
        <v/>
      </c>
      <c r="D55" s="13">
        <f>IF(A55="","",'13_Ausgangsrechnungen'!D55)</f>
        <v/>
      </c>
      <c r="E55" s="13">
        <f>IF(A55="","",'13_Ausgangsrechnungen'!C55)</f>
        <v/>
      </c>
      <c r="F55" s="13">
        <f>IF(A55="","",'13_Ausgangsrechnungen'!E55)</f>
        <v/>
      </c>
      <c r="G55" s="15">
        <f>IF(A55="","",'13_Ausgangsrechnungen'!Q55)</f>
        <v/>
      </c>
      <c r="H55" s="15">
        <f>IF(A55="","",'13_Ausgangsrechnungen'!S55)</f>
        <v/>
      </c>
      <c r="I55" s="44">
        <f>IF(A55="","",'13_Ausgangsrechnungen'!J55)</f>
        <v/>
      </c>
      <c r="J55" s="45">
        <f>IF(A55="","",'13_Ausgangsrechnungen'!T55)</f>
        <v/>
      </c>
      <c r="L55" s="13">
        <f>IF('14_Eingangsrechnungen'!A55="","",IF('14_Eingangsrechnungen'!O55&gt;0.5,"Kreditor",""))</f>
        <v/>
      </c>
      <c r="M55" s="13">
        <f>IF(L55="","",'14_Eingangsrechnungen'!A55)</f>
        <v/>
      </c>
      <c r="N55" s="44">
        <f>IF(L55="","",'14_Eingangsrechnungen'!B55)</f>
        <v/>
      </c>
      <c r="O55" s="13">
        <f>IF(L55="","",'14_Eingangsrechnungen'!D55)</f>
        <v/>
      </c>
      <c r="P55" s="13">
        <f>IF(L55="","",'14_Eingangsrechnungen'!C55)</f>
        <v/>
      </c>
      <c r="Q55" s="13">
        <f>IF(L55="","",'14_Eingangsrechnungen'!E55)</f>
        <v/>
      </c>
      <c r="R55" s="15">
        <f>IF(L55="","",'14_Eingangsrechnungen'!M55)</f>
        <v/>
      </c>
      <c r="S55" s="15">
        <f>IF(L55="","",'14_Eingangsrechnungen'!O55)</f>
        <v/>
      </c>
      <c r="T55" s="44">
        <f>IF(L55="","",'14_Eingangsrechnungen'!H55)</f>
        <v/>
      </c>
      <c r="U55" s="45">
        <f>IF(L55="","",'14_Eingangsrechnungen'!P55)</f>
        <v/>
      </c>
    </row>
    <row r="56">
      <c r="A56" s="13">
        <f>IF('13_Ausgangsrechnungen'!A56="","",IF('13_Ausgangsrechnungen'!S56&gt;0.5,"Debitor",""))</f>
        <v/>
      </c>
      <c r="B56" s="13">
        <f>IF(A56="","",'13_Ausgangsrechnungen'!A56)</f>
        <v/>
      </c>
      <c r="C56" s="44">
        <f>IF(A56="","",'13_Ausgangsrechnungen'!B56)</f>
        <v/>
      </c>
      <c r="D56" s="13">
        <f>IF(A56="","",'13_Ausgangsrechnungen'!D56)</f>
        <v/>
      </c>
      <c r="E56" s="13">
        <f>IF(A56="","",'13_Ausgangsrechnungen'!C56)</f>
        <v/>
      </c>
      <c r="F56" s="13">
        <f>IF(A56="","",'13_Ausgangsrechnungen'!E56)</f>
        <v/>
      </c>
      <c r="G56" s="15">
        <f>IF(A56="","",'13_Ausgangsrechnungen'!Q56)</f>
        <v/>
      </c>
      <c r="H56" s="15">
        <f>IF(A56="","",'13_Ausgangsrechnungen'!S56)</f>
        <v/>
      </c>
      <c r="I56" s="44">
        <f>IF(A56="","",'13_Ausgangsrechnungen'!J56)</f>
        <v/>
      </c>
      <c r="J56" s="45">
        <f>IF(A56="","",'13_Ausgangsrechnungen'!T56)</f>
        <v/>
      </c>
      <c r="L56" s="13">
        <f>IF('14_Eingangsrechnungen'!A56="","",IF('14_Eingangsrechnungen'!O56&gt;0.5,"Kreditor",""))</f>
        <v/>
      </c>
      <c r="M56" s="13">
        <f>IF(L56="","",'14_Eingangsrechnungen'!A56)</f>
        <v/>
      </c>
      <c r="N56" s="44">
        <f>IF(L56="","",'14_Eingangsrechnungen'!B56)</f>
        <v/>
      </c>
      <c r="O56" s="13">
        <f>IF(L56="","",'14_Eingangsrechnungen'!D56)</f>
        <v/>
      </c>
      <c r="P56" s="13">
        <f>IF(L56="","",'14_Eingangsrechnungen'!C56)</f>
        <v/>
      </c>
      <c r="Q56" s="13">
        <f>IF(L56="","",'14_Eingangsrechnungen'!E56)</f>
        <v/>
      </c>
      <c r="R56" s="15">
        <f>IF(L56="","",'14_Eingangsrechnungen'!M56)</f>
        <v/>
      </c>
      <c r="S56" s="15">
        <f>IF(L56="","",'14_Eingangsrechnungen'!O56)</f>
        <v/>
      </c>
      <c r="T56" s="44">
        <f>IF(L56="","",'14_Eingangsrechnungen'!H56)</f>
        <v/>
      </c>
      <c r="U56" s="45">
        <f>IF(L56="","",'14_Eingangsrechnungen'!P56)</f>
        <v/>
      </c>
    </row>
    <row r="57">
      <c r="A57" s="13">
        <f>IF('13_Ausgangsrechnungen'!A57="","",IF('13_Ausgangsrechnungen'!S57&gt;0.5,"Debitor",""))</f>
        <v/>
      </c>
      <c r="B57" s="13">
        <f>IF(A57="","",'13_Ausgangsrechnungen'!A57)</f>
        <v/>
      </c>
      <c r="C57" s="44">
        <f>IF(A57="","",'13_Ausgangsrechnungen'!B57)</f>
        <v/>
      </c>
      <c r="D57" s="13">
        <f>IF(A57="","",'13_Ausgangsrechnungen'!D57)</f>
        <v/>
      </c>
      <c r="E57" s="13">
        <f>IF(A57="","",'13_Ausgangsrechnungen'!C57)</f>
        <v/>
      </c>
      <c r="F57" s="13">
        <f>IF(A57="","",'13_Ausgangsrechnungen'!E57)</f>
        <v/>
      </c>
      <c r="G57" s="15">
        <f>IF(A57="","",'13_Ausgangsrechnungen'!Q57)</f>
        <v/>
      </c>
      <c r="H57" s="15">
        <f>IF(A57="","",'13_Ausgangsrechnungen'!S57)</f>
        <v/>
      </c>
      <c r="I57" s="44">
        <f>IF(A57="","",'13_Ausgangsrechnungen'!J57)</f>
        <v/>
      </c>
      <c r="J57" s="45">
        <f>IF(A57="","",'13_Ausgangsrechnungen'!T57)</f>
        <v/>
      </c>
      <c r="L57" s="13">
        <f>IF('14_Eingangsrechnungen'!A57="","",IF('14_Eingangsrechnungen'!O57&gt;0.5,"Kreditor",""))</f>
        <v/>
      </c>
      <c r="M57" s="13">
        <f>IF(L57="","",'14_Eingangsrechnungen'!A57)</f>
        <v/>
      </c>
      <c r="N57" s="44">
        <f>IF(L57="","",'14_Eingangsrechnungen'!B57)</f>
        <v/>
      </c>
      <c r="O57" s="13">
        <f>IF(L57="","",'14_Eingangsrechnungen'!D57)</f>
        <v/>
      </c>
      <c r="P57" s="13">
        <f>IF(L57="","",'14_Eingangsrechnungen'!C57)</f>
        <v/>
      </c>
      <c r="Q57" s="13">
        <f>IF(L57="","",'14_Eingangsrechnungen'!E57)</f>
        <v/>
      </c>
      <c r="R57" s="15">
        <f>IF(L57="","",'14_Eingangsrechnungen'!M57)</f>
        <v/>
      </c>
      <c r="S57" s="15">
        <f>IF(L57="","",'14_Eingangsrechnungen'!O57)</f>
        <v/>
      </c>
      <c r="T57" s="44">
        <f>IF(L57="","",'14_Eingangsrechnungen'!H57)</f>
        <v/>
      </c>
      <c r="U57" s="45">
        <f>IF(L57="","",'14_Eingangsrechnungen'!P57)</f>
        <v/>
      </c>
    </row>
    <row r="58">
      <c r="A58" s="13">
        <f>IF('13_Ausgangsrechnungen'!A58="","",IF('13_Ausgangsrechnungen'!S58&gt;0.5,"Debitor",""))</f>
        <v/>
      </c>
      <c r="B58" s="13">
        <f>IF(A58="","",'13_Ausgangsrechnungen'!A58)</f>
        <v/>
      </c>
      <c r="C58" s="44">
        <f>IF(A58="","",'13_Ausgangsrechnungen'!B58)</f>
        <v/>
      </c>
      <c r="D58" s="13">
        <f>IF(A58="","",'13_Ausgangsrechnungen'!D58)</f>
        <v/>
      </c>
      <c r="E58" s="13">
        <f>IF(A58="","",'13_Ausgangsrechnungen'!C58)</f>
        <v/>
      </c>
      <c r="F58" s="13">
        <f>IF(A58="","",'13_Ausgangsrechnungen'!E58)</f>
        <v/>
      </c>
      <c r="G58" s="15">
        <f>IF(A58="","",'13_Ausgangsrechnungen'!Q58)</f>
        <v/>
      </c>
      <c r="H58" s="15">
        <f>IF(A58="","",'13_Ausgangsrechnungen'!S58)</f>
        <v/>
      </c>
      <c r="I58" s="44">
        <f>IF(A58="","",'13_Ausgangsrechnungen'!J58)</f>
        <v/>
      </c>
      <c r="J58" s="45">
        <f>IF(A58="","",'13_Ausgangsrechnungen'!T58)</f>
        <v/>
      </c>
      <c r="L58" s="13">
        <f>IF('14_Eingangsrechnungen'!A58="","",IF('14_Eingangsrechnungen'!O58&gt;0.5,"Kreditor",""))</f>
        <v/>
      </c>
      <c r="M58" s="13">
        <f>IF(L58="","",'14_Eingangsrechnungen'!A58)</f>
        <v/>
      </c>
      <c r="N58" s="44">
        <f>IF(L58="","",'14_Eingangsrechnungen'!B58)</f>
        <v/>
      </c>
      <c r="O58" s="13">
        <f>IF(L58="","",'14_Eingangsrechnungen'!D58)</f>
        <v/>
      </c>
      <c r="P58" s="13">
        <f>IF(L58="","",'14_Eingangsrechnungen'!C58)</f>
        <v/>
      </c>
      <c r="Q58" s="13">
        <f>IF(L58="","",'14_Eingangsrechnungen'!E58)</f>
        <v/>
      </c>
      <c r="R58" s="15">
        <f>IF(L58="","",'14_Eingangsrechnungen'!M58)</f>
        <v/>
      </c>
      <c r="S58" s="15">
        <f>IF(L58="","",'14_Eingangsrechnungen'!O58)</f>
        <v/>
      </c>
      <c r="T58" s="44">
        <f>IF(L58="","",'14_Eingangsrechnungen'!H58)</f>
        <v/>
      </c>
      <c r="U58" s="45">
        <f>IF(L58="","",'14_Eingangsrechnungen'!P58)</f>
        <v/>
      </c>
    </row>
    <row r="59">
      <c r="A59" s="13">
        <f>IF('13_Ausgangsrechnungen'!A59="","",IF('13_Ausgangsrechnungen'!S59&gt;0.5,"Debitor",""))</f>
        <v/>
      </c>
      <c r="B59" s="13">
        <f>IF(A59="","",'13_Ausgangsrechnungen'!A59)</f>
        <v/>
      </c>
      <c r="C59" s="44">
        <f>IF(A59="","",'13_Ausgangsrechnungen'!B59)</f>
        <v/>
      </c>
      <c r="D59" s="13">
        <f>IF(A59="","",'13_Ausgangsrechnungen'!D59)</f>
        <v/>
      </c>
      <c r="E59" s="13">
        <f>IF(A59="","",'13_Ausgangsrechnungen'!C59)</f>
        <v/>
      </c>
      <c r="F59" s="13">
        <f>IF(A59="","",'13_Ausgangsrechnungen'!E59)</f>
        <v/>
      </c>
      <c r="G59" s="15">
        <f>IF(A59="","",'13_Ausgangsrechnungen'!Q59)</f>
        <v/>
      </c>
      <c r="H59" s="15">
        <f>IF(A59="","",'13_Ausgangsrechnungen'!S59)</f>
        <v/>
      </c>
      <c r="I59" s="44">
        <f>IF(A59="","",'13_Ausgangsrechnungen'!J59)</f>
        <v/>
      </c>
      <c r="J59" s="45">
        <f>IF(A59="","",'13_Ausgangsrechnungen'!T59)</f>
        <v/>
      </c>
      <c r="L59" s="13">
        <f>IF('14_Eingangsrechnungen'!A59="","",IF('14_Eingangsrechnungen'!O59&gt;0.5,"Kreditor",""))</f>
        <v/>
      </c>
      <c r="M59" s="13">
        <f>IF(L59="","",'14_Eingangsrechnungen'!A59)</f>
        <v/>
      </c>
      <c r="N59" s="44">
        <f>IF(L59="","",'14_Eingangsrechnungen'!B59)</f>
        <v/>
      </c>
      <c r="O59" s="13">
        <f>IF(L59="","",'14_Eingangsrechnungen'!D59)</f>
        <v/>
      </c>
      <c r="P59" s="13">
        <f>IF(L59="","",'14_Eingangsrechnungen'!C59)</f>
        <v/>
      </c>
      <c r="Q59" s="13">
        <f>IF(L59="","",'14_Eingangsrechnungen'!E59)</f>
        <v/>
      </c>
      <c r="R59" s="15">
        <f>IF(L59="","",'14_Eingangsrechnungen'!M59)</f>
        <v/>
      </c>
      <c r="S59" s="15">
        <f>IF(L59="","",'14_Eingangsrechnungen'!O59)</f>
        <v/>
      </c>
      <c r="T59" s="44">
        <f>IF(L59="","",'14_Eingangsrechnungen'!H59)</f>
        <v/>
      </c>
      <c r="U59" s="45">
        <f>IF(L59="","",'14_Eingangsrechnungen'!P59)</f>
        <v/>
      </c>
    </row>
    <row r="60">
      <c r="A60" s="13">
        <f>IF('13_Ausgangsrechnungen'!A60="","",IF('13_Ausgangsrechnungen'!S60&gt;0.5,"Debitor",""))</f>
        <v/>
      </c>
      <c r="B60" s="13">
        <f>IF(A60="","",'13_Ausgangsrechnungen'!A60)</f>
        <v/>
      </c>
      <c r="C60" s="44">
        <f>IF(A60="","",'13_Ausgangsrechnungen'!B60)</f>
        <v/>
      </c>
      <c r="D60" s="13">
        <f>IF(A60="","",'13_Ausgangsrechnungen'!D60)</f>
        <v/>
      </c>
      <c r="E60" s="13">
        <f>IF(A60="","",'13_Ausgangsrechnungen'!C60)</f>
        <v/>
      </c>
      <c r="F60" s="13">
        <f>IF(A60="","",'13_Ausgangsrechnungen'!E60)</f>
        <v/>
      </c>
      <c r="G60" s="15">
        <f>IF(A60="","",'13_Ausgangsrechnungen'!Q60)</f>
        <v/>
      </c>
      <c r="H60" s="15">
        <f>IF(A60="","",'13_Ausgangsrechnungen'!S60)</f>
        <v/>
      </c>
      <c r="I60" s="44">
        <f>IF(A60="","",'13_Ausgangsrechnungen'!J60)</f>
        <v/>
      </c>
      <c r="J60" s="45">
        <f>IF(A60="","",'13_Ausgangsrechnungen'!T60)</f>
        <v/>
      </c>
      <c r="L60" s="13">
        <f>IF('14_Eingangsrechnungen'!A60="","",IF('14_Eingangsrechnungen'!O60&gt;0.5,"Kreditor",""))</f>
        <v/>
      </c>
      <c r="M60" s="13">
        <f>IF(L60="","",'14_Eingangsrechnungen'!A60)</f>
        <v/>
      </c>
      <c r="N60" s="44">
        <f>IF(L60="","",'14_Eingangsrechnungen'!B60)</f>
        <v/>
      </c>
      <c r="O60" s="13">
        <f>IF(L60="","",'14_Eingangsrechnungen'!D60)</f>
        <v/>
      </c>
      <c r="P60" s="13">
        <f>IF(L60="","",'14_Eingangsrechnungen'!C60)</f>
        <v/>
      </c>
      <c r="Q60" s="13">
        <f>IF(L60="","",'14_Eingangsrechnungen'!E60)</f>
        <v/>
      </c>
      <c r="R60" s="15">
        <f>IF(L60="","",'14_Eingangsrechnungen'!M60)</f>
        <v/>
      </c>
      <c r="S60" s="15">
        <f>IF(L60="","",'14_Eingangsrechnungen'!O60)</f>
        <v/>
      </c>
      <c r="T60" s="44">
        <f>IF(L60="","",'14_Eingangsrechnungen'!H60)</f>
        <v/>
      </c>
      <c r="U60" s="45">
        <f>IF(L60="","",'14_Eingangsrechnungen'!P60)</f>
        <v/>
      </c>
    </row>
    <row r="61">
      <c r="A61" s="13">
        <f>IF('13_Ausgangsrechnungen'!A61="","",IF('13_Ausgangsrechnungen'!S61&gt;0.5,"Debitor",""))</f>
        <v/>
      </c>
      <c r="B61" s="13">
        <f>IF(A61="","",'13_Ausgangsrechnungen'!A61)</f>
        <v/>
      </c>
      <c r="C61" s="44">
        <f>IF(A61="","",'13_Ausgangsrechnungen'!B61)</f>
        <v/>
      </c>
      <c r="D61" s="13">
        <f>IF(A61="","",'13_Ausgangsrechnungen'!D61)</f>
        <v/>
      </c>
      <c r="E61" s="13">
        <f>IF(A61="","",'13_Ausgangsrechnungen'!C61)</f>
        <v/>
      </c>
      <c r="F61" s="13">
        <f>IF(A61="","",'13_Ausgangsrechnungen'!E61)</f>
        <v/>
      </c>
      <c r="G61" s="15">
        <f>IF(A61="","",'13_Ausgangsrechnungen'!Q61)</f>
        <v/>
      </c>
      <c r="H61" s="15">
        <f>IF(A61="","",'13_Ausgangsrechnungen'!S61)</f>
        <v/>
      </c>
      <c r="I61" s="44">
        <f>IF(A61="","",'13_Ausgangsrechnungen'!J61)</f>
        <v/>
      </c>
      <c r="J61" s="45">
        <f>IF(A61="","",'13_Ausgangsrechnungen'!T61)</f>
        <v/>
      </c>
      <c r="L61" s="13">
        <f>IF('14_Eingangsrechnungen'!A61="","",IF('14_Eingangsrechnungen'!O61&gt;0.5,"Kreditor",""))</f>
        <v/>
      </c>
      <c r="M61" s="13">
        <f>IF(L61="","",'14_Eingangsrechnungen'!A61)</f>
        <v/>
      </c>
      <c r="N61" s="44">
        <f>IF(L61="","",'14_Eingangsrechnungen'!B61)</f>
        <v/>
      </c>
      <c r="O61" s="13">
        <f>IF(L61="","",'14_Eingangsrechnungen'!D61)</f>
        <v/>
      </c>
      <c r="P61" s="13">
        <f>IF(L61="","",'14_Eingangsrechnungen'!C61)</f>
        <v/>
      </c>
      <c r="Q61" s="13">
        <f>IF(L61="","",'14_Eingangsrechnungen'!E61)</f>
        <v/>
      </c>
      <c r="R61" s="15">
        <f>IF(L61="","",'14_Eingangsrechnungen'!M61)</f>
        <v/>
      </c>
      <c r="S61" s="15">
        <f>IF(L61="","",'14_Eingangsrechnungen'!O61)</f>
        <v/>
      </c>
      <c r="T61" s="44">
        <f>IF(L61="","",'14_Eingangsrechnungen'!H61)</f>
        <v/>
      </c>
      <c r="U61" s="45">
        <f>IF(L61="","",'14_Eingangsrechnungen'!P61)</f>
        <v/>
      </c>
    </row>
    <row r="62">
      <c r="A62" s="13">
        <f>IF('13_Ausgangsrechnungen'!A62="","",IF('13_Ausgangsrechnungen'!S62&gt;0.5,"Debitor",""))</f>
        <v/>
      </c>
      <c r="B62" s="13">
        <f>IF(A62="","",'13_Ausgangsrechnungen'!A62)</f>
        <v/>
      </c>
      <c r="C62" s="44">
        <f>IF(A62="","",'13_Ausgangsrechnungen'!B62)</f>
        <v/>
      </c>
      <c r="D62" s="13">
        <f>IF(A62="","",'13_Ausgangsrechnungen'!D62)</f>
        <v/>
      </c>
      <c r="E62" s="13">
        <f>IF(A62="","",'13_Ausgangsrechnungen'!C62)</f>
        <v/>
      </c>
      <c r="F62" s="13">
        <f>IF(A62="","",'13_Ausgangsrechnungen'!E62)</f>
        <v/>
      </c>
      <c r="G62" s="15">
        <f>IF(A62="","",'13_Ausgangsrechnungen'!Q62)</f>
        <v/>
      </c>
      <c r="H62" s="15">
        <f>IF(A62="","",'13_Ausgangsrechnungen'!S62)</f>
        <v/>
      </c>
      <c r="I62" s="44">
        <f>IF(A62="","",'13_Ausgangsrechnungen'!J62)</f>
        <v/>
      </c>
      <c r="J62" s="45">
        <f>IF(A62="","",'13_Ausgangsrechnungen'!T62)</f>
        <v/>
      </c>
      <c r="L62" s="13">
        <f>IF('14_Eingangsrechnungen'!A62="","",IF('14_Eingangsrechnungen'!O62&gt;0.5,"Kreditor",""))</f>
        <v/>
      </c>
      <c r="M62" s="13">
        <f>IF(L62="","",'14_Eingangsrechnungen'!A62)</f>
        <v/>
      </c>
      <c r="N62" s="44">
        <f>IF(L62="","",'14_Eingangsrechnungen'!B62)</f>
        <v/>
      </c>
      <c r="O62" s="13">
        <f>IF(L62="","",'14_Eingangsrechnungen'!D62)</f>
        <v/>
      </c>
      <c r="P62" s="13">
        <f>IF(L62="","",'14_Eingangsrechnungen'!C62)</f>
        <v/>
      </c>
      <c r="Q62" s="13">
        <f>IF(L62="","",'14_Eingangsrechnungen'!E62)</f>
        <v/>
      </c>
      <c r="R62" s="15">
        <f>IF(L62="","",'14_Eingangsrechnungen'!M62)</f>
        <v/>
      </c>
      <c r="S62" s="15">
        <f>IF(L62="","",'14_Eingangsrechnungen'!O62)</f>
        <v/>
      </c>
      <c r="T62" s="44">
        <f>IF(L62="","",'14_Eingangsrechnungen'!H62)</f>
        <v/>
      </c>
      <c r="U62" s="45">
        <f>IF(L62="","",'14_Eingangsrechnungen'!P62)</f>
        <v/>
      </c>
    </row>
    <row r="63">
      <c r="A63" s="13">
        <f>IF('13_Ausgangsrechnungen'!A63="","",IF('13_Ausgangsrechnungen'!S63&gt;0.5,"Debitor",""))</f>
        <v/>
      </c>
      <c r="B63" s="13">
        <f>IF(A63="","",'13_Ausgangsrechnungen'!A63)</f>
        <v/>
      </c>
      <c r="C63" s="44">
        <f>IF(A63="","",'13_Ausgangsrechnungen'!B63)</f>
        <v/>
      </c>
      <c r="D63" s="13">
        <f>IF(A63="","",'13_Ausgangsrechnungen'!D63)</f>
        <v/>
      </c>
      <c r="E63" s="13">
        <f>IF(A63="","",'13_Ausgangsrechnungen'!C63)</f>
        <v/>
      </c>
      <c r="F63" s="13">
        <f>IF(A63="","",'13_Ausgangsrechnungen'!E63)</f>
        <v/>
      </c>
      <c r="G63" s="15">
        <f>IF(A63="","",'13_Ausgangsrechnungen'!Q63)</f>
        <v/>
      </c>
      <c r="H63" s="15">
        <f>IF(A63="","",'13_Ausgangsrechnungen'!S63)</f>
        <v/>
      </c>
      <c r="I63" s="44">
        <f>IF(A63="","",'13_Ausgangsrechnungen'!J63)</f>
        <v/>
      </c>
      <c r="J63" s="45">
        <f>IF(A63="","",'13_Ausgangsrechnungen'!T63)</f>
        <v/>
      </c>
      <c r="L63" s="13">
        <f>IF('14_Eingangsrechnungen'!A63="","",IF('14_Eingangsrechnungen'!O63&gt;0.5,"Kreditor",""))</f>
        <v/>
      </c>
      <c r="M63" s="13">
        <f>IF(L63="","",'14_Eingangsrechnungen'!A63)</f>
        <v/>
      </c>
      <c r="N63" s="44">
        <f>IF(L63="","",'14_Eingangsrechnungen'!B63)</f>
        <v/>
      </c>
      <c r="O63" s="13">
        <f>IF(L63="","",'14_Eingangsrechnungen'!D63)</f>
        <v/>
      </c>
      <c r="P63" s="13">
        <f>IF(L63="","",'14_Eingangsrechnungen'!C63)</f>
        <v/>
      </c>
      <c r="Q63" s="13">
        <f>IF(L63="","",'14_Eingangsrechnungen'!E63)</f>
        <v/>
      </c>
      <c r="R63" s="15">
        <f>IF(L63="","",'14_Eingangsrechnungen'!M63)</f>
        <v/>
      </c>
      <c r="S63" s="15">
        <f>IF(L63="","",'14_Eingangsrechnungen'!O63)</f>
        <v/>
      </c>
      <c r="T63" s="44">
        <f>IF(L63="","",'14_Eingangsrechnungen'!H63)</f>
        <v/>
      </c>
      <c r="U63" s="45">
        <f>IF(L63="","",'14_Eingangsrechnungen'!P63)</f>
        <v/>
      </c>
    </row>
    <row r="64">
      <c r="A64" s="13">
        <f>IF('13_Ausgangsrechnungen'!A64="","",IF('13_Ausgangsrechnungen'!S64&gt;0.5,"Debitor",""))</f>
        <v/>
      </c>
      <c r="B64" s="13">
        <f>IF(A64="","",'13_Ausgangsrechnungen'!A64)</f>
        <v/>
      </c>
      <c r="C64" s="44">
        <f>IF(A64="","",'13_Ausgangsrechnungen'!B64)</f>
        <v/>
      </c>
      <c r="D64" s="13">
        <f>IF(A64="","",'13_Ausgangsrechnungen'!D64)</f>
        <v/>
      </c>
      <c r="E64" s="13">
        <f>IF(A64="","",'13_Ausgangsrechnungen'!C64)</f>
        <v/>
      </c>
      <c r="F64" s="13">
        <f>IF(A64="","",'13_Ausgangsrechnungen'!E64)</f>
        <v/>
      </c>
      <c r="G64" s="15">
        <f>IF(A64="","",'13_Ausgangsrechnungen'!Q64)</f>
        <v/>
      </c>
      <c r="H64" s="15">
        <f>IF(A64="","",'13_Ausgangsrechnungen'!S64)</f>
        <v/>
      </c>
      <c r="I64" s="44">
        <f>IF(A64="","",'13_Ausgangsrechnungen'!J64)</f>
        <v/>
      </c>
      <c r="J64" s="45">
        <f>IF(A64="","",'13_Ausgangsrechnungen'!T64)</f>
        <v/>
      </c>
      <c r="L64" s="13">
        <f>IF('14_Eingangsrechnungen'!A64="","",IF('14_Eingangsrechnungen'!O64&gt;0.5,"Kreditor",""))</f>
        <v/>
      </c>
      <c r="M64" s="13">
        <f>IF(L64="","",'14_Eingangsrechnungen'!A64)</f>
        <v/>
      </c>
      <c r="N64" s="44">
        <f>IF(L64="","",'14_Eingangsrechnungen'!B64)</f>
        <v/>
      </c>
      <c r="O64" s="13">
        <f>IF(L64="","",'14_Eingangsrechnungen'!D64)</f>
        <v/>
      </c>
      <c r="P64" s="13">
        <f>IF(L64="","",'14_Eingangsrechnungen'!C64)</f>
        <v/>
      </c>
      <c r="Q64" s="13">
        <f>IF(L64="","",'14_Eingangsrechnungen'!E64)</f>
        <v/>
      </c>
      <c r="R64" s="15">
        <f>IF(L64="","",'14_Eingangsrechnungen'!M64)</f>
        <v/>
      </c>
      <c r="S64" s="15">
        <f>IF(L64="","",'14_Eingangsrechnungen'!O64)</f>
        <v/>
      </c>
      <c r="T64" s="44">
        <f>IF(L64="","",'14_Eingangsrechnungen'!H64)</f>
        <v/>
      </c>
      <c r="U64" s="45">
        <f>IF(L64="","",'14_Eingangsrechnungen'!P64)</f>
        <v/>
      </c>
    </row>
    <row r="65">
      <c r="A65" s="13">
        <f>IF('13_Ausgangsrechnungen'!A65="","",IF('13_Ausgangsrechnungen'!S65&gt;0.5,"Debitor",""))</f>
        <v/>
      </c>
      <c r="B65" s="13">
        <f>IF(A65="","",'13_Ausgangsrechnungen'!A65)</f>
        <v/>
      </c>
      <c r="C65" s="44">
        <f>IF(A65="","",'13_Ausgangsrechnungen'!B65)</f>
        <v/>
      </c>
      <c r="D65" s="13">
        <f>IF(A65="","",'13_Ausgangsrechnungen'!D65)</f>
        <v/>
      </c>
      <c r="E65" s="13">
        <f>IF(A65="","",'13_Ausgangsrechnungen'!C65)</f>
        <v/>
      </c>
      <c r="F65" s="13">
        <f>IF(A65="","",'13_Ausgangsrechnungen'!E65)</f>
        <v/>
      </c>
      <c r="G65" s="15">
        <f>IF(A65="","",'13_Ausgangsrechnungen'!Q65)</f>
        <v/>
      </c>
      <c r="H65" s="15">
        <f>IF(A65="","",'13_Ausgangsrechnungen'!S65)</f>
        <v/>
      </c>
      <c r="I65" s="44">
        <f>IF(A65="","",'13_Ausgangsrechnungen'!J65)</f>
        <v/>
      </c>
      <c r="J65" s="45">
        <f>IF(A65="","",'13_Ausgangsrechnungen'!T65)</f>
        <v/>
      </c>
      <c r="L65" s="13">
        <f>IF('14_Eingangsrechnungen'!A65="","",IF('14_Eingangsrechnungen'!O65&gt;0.5,"Kreditor",""))</f>
        <v/>
      </c>
      <c r="M65" s="13">
        <f>IF(L65="","",'14_Eingangsrechnungen'!A65)</f>
        <v/>
      </c>
      <c r="N65" s="44">
        <f>IF(L65="","",'14_Eingangsrechnungen'!B65)</f>
        <v/>
      </c>
      <c r="O65" s="13">
        <f>IF(L65="","",'14_Eingangsrechnungen'!D65)</f>
        <v/>
      </c>
      <c r="P65" s="13">
        <f>IF(L65="","",'14_Eingangsrechnungen'!C65)</f>
        <v/>
      </c>
      <c r="Q65" s="13">
        <f>IF(L65="","",'14_Eingangsrechnungen'!E65)</f>
        <v/>
      </c>
      <c r="R65" s="15">
        <f>IF(L65="","",'14_Eingangsrechnungen'!M65)</f>
        <v/>
      </c>
      <c r="S65" s="15">
        <f>IF(L65="","",'14_Eingangsrechnungen'!O65)</f>
        <v/>
      </c>
      <c r="T65" s="44">
        <f>IF(L65="","",'14_Eingangsrechnungen'!H65)</f>
        <v/>
      </c>
      <c r="U65" s="45">
        <f>IF(L65="","",'14_Eingangsrechnungen'!P65)</f>
        <v/>
      </c>
    </row>
    <row r="66">
      <c r="A66" s="13">
        <f>IF('13_Ausgangsrechnungen'!A66="","",IF('13_Ausgangsrechnungen'!S66&gt;0.5,"Debitor",""))</f>
        <v/>
      </c>
      <c r="B66" s="13">
        <f>IF(A66="","",'13_Ausgangsrechnungen'!A66)</f>
        <v/>
      </c>
      <c r="C66" s="44">
        <f>IF(A66="","",'13_Ausgangsrechnungen'!B66)</f>
        <v/>
      </c>
      <c r="D66" s="13">
        <f>IF(A66="","",'13_Ausgangsrechnungen'!D66)</f>
        <v/>
      </c>
      <c r="E66" s="13">
        <f>IF(A66="","",'13_Ausgangsrechnungen'!C66)</f>
        <v/>
      </c>
      <c r="F66" s="13">
        <f>IF(A66="","",'13_Ausgangsrechnungen'!E66)</f>
        <v/>
      </c>
      <c r="G66" s="15">
        <f>IF(A66="","",'13_Ausgangsrechnungen'!Q66)</f>
        <v/>
      </c>
      <c r="H66" s="15">
        <f>IF(A66="","",'13_Ausgangsrechnungen'!S66)</f>
        <v/>
      </c>
      <c r="I66" s="44">
        <f>IF(A66="","",'13_Ausgangsrechnungen'!J66)</f>
        <v/>
      </c>
      <c r="J66" s="45">
        <f>IF(A66="","",'13_Ausgangsrechnungen'!T66)</f>
        <v/>
      </c>
      <c r="L66" s="13">
        <f>IF('14_Eingangsrechnungen'!A66="","",IF('14_Eingangsrechnungen'!O66&gt;0.5,"Kreditor",""))</f>
        <v/>
      </c>
      <c r="M66" s="13">
        <f>IF(L66="","",'14_Eingangsrechnungen'!A66)</f>
        <v/>
      </c>
      <c r="N66" s="44">
        <f>IF(L66="","",'14_Eingangsrechnungen'!B66)</f>
        <v/>
      </c>
      <c r="O66" s="13">
        <f>IF(L66="","",'14_Eingangsrechnungen'!D66)</f>
        <v/>
      </c>
      <c r="P66" s="13">
        <f>IF(L66="","",'14_Eingangsrechnungen'!C66)</f>
        <v/>
      </c>
      <c r="Q66" s="13">
        <f>IF(L66="","",'14_Eingangsrechnungen'!E66)</f>
        <v/>
      </c>
      <c r="R66" s="15">
        <f>IF(L66="","",'14_Eingangsrechnungen'!M66)</f>
        <v/>
      </c>
      <c r="S66" s="15">
        <f>IF(L66="","",'14_Eingangsrechnungen'!O66)</f>
        <v/>
      </c>
      <c r="T66" s="44">
        <f>IF(L66="","",'14_Eingangsrechnungen'!H66)</f>
        <v/>
      </c>
      <c r="U66" s="45">
        <f>IF(L66="","",'14_Eingangsrechnungen'!P66)</f>
        <v/>
      </c>
    </row>
    <row r="67">
      <c r="A67" s="13">
        <f>IF('13_Ausgangsrechnungen'!A67="","",IF('13_Ausgangsrechnungen'!S67&gt;0.5,"Debitor",""))</f>
        <v/>
      </c>
      <c r="B67" s="13">
        <f>IF(A67="","",'13_Ausgangsrechnungen'!A67)</f>
        <v/>
      </c>
      <c r="C67" s="44">
        <f>IF(A67="","",'13_Ausgangsrechnungen'!B67)</f>
        <v/>
      </c>
      <c r="D67" s="13">
        <f>IF(A67="","",'13_Ausgangsrechnungen'!D67)</f>
        <v/>
      </c>
      <c r="E67" s="13">
        <f>IF(A67="","",'13_Ausgangsrechnungen'!C67)</f>
        <v/>
      </c>
      <c r="F67" s="13">
        <f>IF(A67="","",'13_Ausgangsrechnungen'!E67)</f>
        <v/>
      </c>
      <c r="G67" s="15">
        <f>IF(A67="","",'13_Ausgangsrechnungen'!Q67)</f>
        <v/>
      </c>
      <c r="H67" s="15">
        <f>IF(A67="","",'13_Ausgangsrechnungen'!S67)</f>
        <v/>
      </c>
      <c r="I67" s="44">
        <f>IF(A67="","",'13_Ausgangsrechnungen'!J67)</f>
        <v/>
      </c>
      <c r="J67" s="45">
        <f>IF(A67="","",'13_Ausgangsrechnungen'!T67)</f>
        <v/>
      </c>
      <c r="L67" s="13">
        <f>IF('14_Eingangsrechnungen'!A67="","",IF('14_Eingangsrechnungen'!O67&gt;0.5,"Kreditor",""))</f>
        <v/>
      </c>
      <c r="M67" s="13">
        <f>IF(L67="","",'14_Eingangsrechnungen'!A67)</f>
        <v/>
      </c>
      <c r="N67" s="44">
        <f>IF(L67="","",'14_Eingangsrechnungen'!B67)</f>
        <v/>
      </c>
      <c r="O67" s="13">
        <f>IF(L67="","",'14_Eingangsrechnungen'!D67)</f>
        <v/>
      </c>
      <c r="P67" s="13">
        <f>IF(L67="","",'14_Eingangsrechnungen'!C67)</f>
        <v/>
      </c>
      <c r="Q67" s="13">
        <f>IF(L67="","",'14_Eingangsrechnungen'!E67)</f>
        <v/>
      </c>
      <c r="R67" s="15">
        <f>IF(L67="","",'14_Eingangsrechnungen'!M67)</f>
        <v/>
      </c>
      <c r="S67" s="15">
        <f>IF(L67="","",'14_Eingangsrechnungen'!O67)</f>
        <v/>
      </c>
      <c r="T67" s="44">
        <f>IF(L67="","",'14_Eingangsrechnungen'!H67)</f>
        <v/>
      </c>
      <c r="U67" s="45">
        <f>IF(L67="","",'14_Eingangsrechnungen'!P67)</f>
        <v/>
      </c>
    </row>
    <row r="68">
      <c r="A68" s="13">
        <f>IF('13_Ausgangsrechnungen'!A68="","",IF('13_Ausgangsrechnungen'!S68&gt;0.5,"Debitor",""))</f>
        <v/>
      </c>
      <c r="B68" s="13">
        <f>IF(A68="","",'13_Ausgangsrechnungen'!A68)</f>
        <v/>
      </c>
      <c r="C68" s="44">
        <f>IF(A68="","",'13_Ausgangsrechnungen'!B68)</f>
        <v/>
      </c>
      <c r="D68" s="13">
        <f>IF(A68="","",'13_Ausgangsrechnungen'!D68)</f>
        <v/>
      </c>
      <c r="E68" s="13">
        <f>IF(A68="","",'13_Ausgangsrechnungen'!C68)</f>
        <v/>
      </c>
      <c r="F68" s="13">
        <f>IF(A68="","",'13_Ausgangsrechnungen'!E68)</f>
        <v/>
      </c>
      <c r="G68" s="15">
        <f>IF(A68="","",'13_Ausgangsrechnungen'!Q68)</f>
        <v/>
      </c>
      <c r="H68" s="15">
        <f>IF(A68="","",'13_Ausgangsrechnungen'!S68)</f>
        <v/>
      </c>
      <c r="I68" s="44">
        <f>IF(A68="","",'13_Ausgangsrechnungen'!J68)</f>
        <v/>
      </c>
      <c r="J68" s="45">
        <f>IF(A68="","",'13_Ausgangsrechnungen'!T68)</f>
        <v/>
      </c>
      <c r="L68" s="13">
        <f>IF('14_Eingangsrechnungen'!A68="","",IF('14_Eingangsrechnungen'!O68&gt;0.5,"Kreditor",""))</f>
        <v/>
      </c>
      <c r="M68" s="13">
        <f>IF(L68="","",'14_Eingangsrechnungen'!A68)</f>
        <v/>
      </c>
      <c r="N68" s="44">
        <f>IF(L68="","",'14_Eingangsrechnungen'!B68)</f>
        <v/>
      </c>
      <c r="O68" s="13">
        <f>IF(L68="","",'14_Eingangsrechnungen'!D68)</f>
        <v/>
      </c>
      <c r="P68" s="13">
        <f>IF(L68="","",'14_Eingangsrechnungen'!C68)</f>
        <v/>
      </c>
      <c r="Q68" s="13">
        <f>IF(L68="","",'14_Eingangsrechnungen'!E68)</f>
        <v/>
      </c>
      <c r="R68" s="15">
        <f>IF(L68="","",'14_Eingangsrechnungen'!M68)</f>
        <v/>
      </c>
      <c r="S68" s="15">
        <f>IF(L68="","",'14_Eingangsrechnungen'!O68)</f>
        <v/>
      </c>
      <c r="T68" s="44">
        <f>IF(L68="","",'14_Eingangsrechnungen'!H68)</f>
        <v/>
      </c>
      <c r="U68" s="45">
        <f>IF(L68="","",'14_Eingangsrechnungen'!P68)</f>
        <v/>
      </c>
    </row>
    <row r="69">
      <c r="A69" s="13">
        <f>IF('13_Ausgangsrechnungen'!A69="","",IF('13_Ausgangsrechnungen'!S69&gt;0.5,"Debitor",""))</f>
        <v/>
      </c>
      <c r="B69" s="13">
        <f>IF(A69="","",'13_Ausgangsrechnungen'!A69)</f>
        <v/>
      </c>
      <c r="C69" s="44">
        <f>IF(A69="","",'13_Ausgangsrechnungen'!B69)</f>
        <v/>
      </c>
      <c r="D69" s="13">
        <f>IF(A69="","",'13_Ausgangsrechnungen'!D69)</f>
        <v/>
      </c>
      <c r="E69" s="13">
        <f>IF(A69="","",'13_Ausgangsrechnungen'!C69)</f>
        <v/>
      </c>
      <c r="F69" s="13">
        <f>IF(A69="","",'13_Ausgangsrechnungen'!E69)</f>
        <v/>
      </c>
      <c r="G69" s="15">
        <f>IF(A69="","",'13_Ausgangsrechnungen'!Q69)</f>
        <v/>
      </c>
      <c r="H69" s="15">
        <f>IF(A69="","",'13_Ausgangsrechnungen'!S69)</f>
        <v/>
      </c>
      <c r="I69" s="44">
        <f>IF(A69="","",'13_Ausgangsrechnungen'!J69)</f>
        <v/>
      </c>
      <c r="J69" s="45">
        <f>IF(A69="","",'13_Ausgangsrechnungen'!T69)</f>
        <v/>
      </c>
      <c r="L69" s="13">
        <f>IF('14_Eingangsrechnungen'!A69="","",IF('14_Eingangsrechnungen'!O69&gt;0.5,"Kreditor",""))</f>
        <v/>
      </c>
      <c r="M69" s="13">
        <f>IF(L69="","",'14_Eingangsrechnungen'!A69)</f>
        <v/>
      </c>
      <c r="N69" s="44">
        <f>IF(L69="","",'14_Eingangsrechnungen'!B69)</f>
        <v/>
      </c>
      <c r="O69" s="13">
        <f>IF(L69="","",'14_Eingangsrechnungen'!D69)</f>
        <v/>
      </c>
      <c r="P69" s="13">
        <f>IF(L69="","",'14_Eingangsrechnungen'!C69)</f>
        <v/>
      </c>
      <c r="Q69" s="13">
        <f>IF(L69="","",'14_Eingangsrechnungen'!E69)</f>
        <v/>
      </c>
      <c r="R69" s="15">
        <f>IF(L69="","",'14_Eingangsrechnungen'!M69)</f>
        <v/>
      </c>
      <c r="S69" s="15">
        <f>IF(L69="","",'14_Eingangsrechnungen'!O69)</f>
        <v/>
      </c>
      <c r="T69" s="44">
        <f>IF(L69="","",'14_Eingangsrechnungen'!H69)</f>
        <v/>
      </c>
      <c r="U69" s="45">
        <f>IF(L69="","",'14_Eingangsrechnungen'!P69)</f>
        <v/>
      </c>
    </row>
    <row r="70">
      <c r="A70" s="13">
        <f>IF('13_Ausgangsrechnungen'!A70="","",IF('13_Ausgangsrechnungen'!S70&gt;0.5,"Debitor",""))</f>
        <v/>
      </c>
      <c r="B70" s="13">
        <f>IF(A70="","",'13_Ausgangsrechnungen'!A70)</f>
        <v/>
      </c>
      <c r="C70" s="44">
        <f>IF(A70="","",'13_Ausgangsrechnungen'!B70)</f>
        <v/>
      </c>
      <c r="D70" s="13">
        <f>IF(A70="","",'13_Ausgangsrechnungen'!D70)</f>
        <v/>
      </c>
      <c r="E70" s="13">
        <f>IF(A70="","",'13_Ausgangsrechnungen'!C70)</f>
        <v/>
      </c>
      <c r="F70" s="13">
        <f>IF(A70="","",'13_Ausgangsrechnungen'!E70)</f>
        <v/>
      </c>
      <c r="G70" s="15">
        <f>IF(A70="","",'13_Ausgangsrechnungen'!Q70)</f>
        <v/>
      </c>
      <c r="H70" s="15">
        <f>IF(A70="","",'13_Ausgangsrechnungen'!S70)</f>
        <v/>
      </c>
      <c r="I70" s="44">
        <f>IF(A70="","",'13_Ausgangsrechnungen'!J70)</f>
        <v/>
      </c>
      <c r="J70" s="45">
        <f>IF(A70="","",'13_Ausgangsrechnungen'!T70)</f>
        <v/>
      </c>
      <c r="L70" s="13">
        <f>IF('14_Eingangsrechnungen'!A70="","",IF('14_Eingangsrechnungen'!O70&gt;0.5,"Kreditor",""))</f>
        <v/>
      </c>
      <c r="M70" s="13">
        <f>IF(L70="","",'14_Eingangsrechnungen'!A70)</f>
        <v/>
      </c>
      <c r="N70" s="44">
        <f>IF(L70="","",'14_Eingangsrechnungen'!B70)</f>
        <v/>
      </c>
      <c r="O70" s="13">
        <f>IF(L70="","",'14_Eingangsrechnungen'!D70)</f>
        <v/>
      </c>
      <c r="P70" s="13">
        <f>IF(L70="","",'14_Eingangsrechnungen'!C70)</f>
        <v/>
      </c>
      <c r="Q70" s="13">
        <f>IF(L70="","",'14_Eingangsrechnungen'!E70)</f>
        <v/>
      </c>
      <c r="R70" s="15">
        <f>IF(L70="","",'14_Eingangsrechnungen'!M70)</f>
        <v/>
      </c>
      <c r="S70" s="15">
        <f>IF(L70="","",'14_Eingangsrechnungen'!O70)</f>
        <v/>
      </c>
      <c r="T70" s="44">
        <f>IF(L70="","",'14_Eingangsrechnungen'!H70)</f>
        <v/>
      </c>
      <c r="U70" s="45">
        <f>IF(L70="","",'14_Eingangsrechnungen'!P70)</f>
        <v/>
      </c>
    </row>
    <row r="71">
      <c r="A71" s="13">
        <f>IF('13_Ausgangsrechnungen'!A71="","",IF('13_Ausgangsrechnungen'!S71&gt;0.5,"Debitor",""))</f>
        <v/>
      </c>
      <c r="B71" s="13">
        <f>IF(A71="","",'13_Ausgangsrechnungen'!A71)</f>
        <v/>
      </c>
      <c r="C71" s="44">
        <f>IF(A71="","",'13_Ausgangsrechnungen'!B71)</f>
        <v/>
      </c>
      <c r="D71" s="13">
        <f>IF(A71="","",'13_Ausgangsrechnungen'!D71)</f>
        <v/>
      </c>
      <c r="E71" s="13">
        <f>IF(A71="","",'13_Ausgangsrechnungen'!C71)</f>
        <v/>
      </c>
      <c r="F71" s="13">
        <f>IF(A71="","",'13_Ausgangsrechnungen'!E71)</f>
        <v/>
      </c>
      <c r="G71" s="15">
        <f>IF(A71="","",'13_Ausgangsrechnungen'!Q71)</f>
        <v/>
      </c>
      <c r="H71" s="15">
        <f>IF(A71="","",'13_Ausgangsrechnungen'!S71)</f>
        <v/>
      </c>
      <c r="I71" s="44">
        <f>IF(A71="","",'13_Ausgangsrechnungen'!J71)</f>
        <v/>
      </c>
      <c r="J71" s="45">
        <f>IF(A71="","",'13_Ausgangsrechnungen'!T71)</f>
        <v/>
      </c>
      <c r="L71" s="13">
        <f>IF('14_Eingangsrechnungen'!A71="","",IF('14_Eingangsrechnungen'!O71&gt;0.5,"Kreditor",""))</f>
        <v/>
      </c>
      <c r="M71" s="13">
        <f>IF(L71="","",'14_Eingangsrechnungen'!A71)</f>
        <v/>
      </c>
      <c r="N71" s="44">
        <f>IF(L71="","",'14_Eingangsrechnungen'!B71)</f>
        <v/>
      </c>
      <c r="O71" s="13">
        <f>IF(L71="","",'14_Eingangsrechnungen'!D71)</f>
        <v/>
      </c>
      <c r="P71" s="13">
        <f>IF(L71="","",'14_Eingangsrechnungen'!C71)</f>
        <v/>
      </c>
      <c r="Q71" s="13">
        <f>IF(L71="","",'14_Eingangsrechnungen'!E71)</f>
        <v/>
      </c>
      <c r="R71" s="15">
        <f>IF(L71="","",'14_Eingangsrechnungen'!M71)</f>
        <v/>
      </c>
      <c r="S71" s="15">
        <f>IF(L71="","",'14_Eingangsrechnungen'!O71)</f>
        <v/>
      </c>
      <c r="T71" s="44">
        <f>IF(L71="","",'14_Eingangsrechnungen'!H71)</f>
        <v/>
      </c>
      <c r="U71" s="45">
        <f>IF(L71="","",'14_Eingangsrechnungen'!P71)</f>
        <v/>
      </c>
    </row>
    <row r="72">
      <c r="A72" s="13">
        <f>IF('13_Ausgangsrechnungen'!A72="","",IF('13_Ausgangsrechnungen'!S72&gt;0.5,"Debitor",""))</f>
        <v/>
      </c>
      <c r="B72" s="13">
        <f>IF(A72="","",'13_Ausgangsrechnungen'!A72)</f>
        <v/>
      </c>
      <c r="C72" s="44">
        <f>IF(A72="","",'13_Ausgangsrechnungen'!B72)</f>
        <v/>
      </c>
      <c r="D72" s="13">
        <f>IF(A72="","",'13_Ausgangsrechnungen'!D72)</f>
        <v/>
      </c>
      <c r="E72" s="13">
        <f>IF(A72="","",'13_Ausgangsrechnungen'!C72)</f>
        <v/>
      </c>
      <c r="F72" s="13">
        <f>IF(A72="","",'13_Ausgangsrechnungen'!E72)</f>
        <v/>
      </c>
      <c r="G72" s="15">
        <f>IF(A72="","",'13_Ausgangsrechnungen'!Q72)</f>
        <v/>
      </c>
      <c r="H72" s="15">
        <f>IF(A72="","",'13_Ausgangsrechnungen'!S72)</f>
        <v/>
      </c>
      <c r="I72" s="44">
        <f>IF(A72="","",'13_Ausgangsrechnungen'!J72)</f>
        <v/>
      </c>
      <c r="J72" s="45">
        <f>IF(A72="","",'13_Ausgangsrechnungen'!T72)</f>
        <v/>
      </c>
      <c r="L72" s="13">
        <f>IF('14_Eingangsrechnungen'!A72="","",IF('14_Eingangsrechnungen'!O72&gt;0.5,"Kreditor",""))</f>
        <v/>
      </c>
      <c r="M72" s="13">
        <f>IF(L72="","",'14_Eingangsrechnungen'!A72)</f>
        <v/>
      </c>
      <c r="N72" s="44">
        <f>IF(L72="","",'14_Eingangsrechnungen'!B72)</f>
        <v/>
      </c>
      <c r="O72" s="13">
        <f>IF(L72="","",'14_Eingangsrechnungen'!D72)</f>
        <v/>
      </c>
      <c r="P72" s="13">
        <f>IF(L72="","",'14_Eingangsrechnungen'!C72)</f>
        <v/>
      </c>
      <c r="Q72" s="13">
        <f>IF(L72="","",'14_Eingangsrechnungen'!E72)</f>
        <v/>
      </c>
      <c r="R72" s="15">
        <f>IF(L72="","",'14_Eingangsrechnungen'!M72)</f>
        <v/>
      </c>
      <c r="S72" s="15">
        <f>IF(L72="","",'14_Eingangsrechnungen'!O72)</f>
        <v/>
      </c>
      <c r="T72" s="44">
        <f>IF(L72="","",'14_Eingangsrechnungen'!H72)</f>
        <v/>
      </c>
      <c r="U72" s="45">
        <f>IF(L72="","",'14_Eingangsrechnungen'!P72)</f>
        <v/>
      </c>
    </row>
    <row r="73">
      <c r="A73" s="13">
        <f>IF('13_Ausgangsrechnungen'!A73="","",IF('13_Ausgangsrechnungen'!S73&gt;0.5,"Debitor",""))</f>
        <v/>
      </c>
      <c r="B73" s="13">
        <f>IF(A73="","",'13_Ausgangsrechnungen'!A73)</f>
        <v/>
      </c>
      <c r="C73" s="44">
        <f>IF(A73="","",'13_Ausgangsrechnungen'!B73)</f>
        <v/>
      </c>
      <c r="D73" s="13">
        <f>IF(A73="","",'13_Ausgangsrechnungen'!D73)</f>
        <v/>
      </c>
      <c r="E73" s="13">
        <f>IF(A73="","",'13_Ausgangsrechnungen'!C73)</f>
        <v/>
      </c>
      <c r="F73" s="13">
        <f>IF(A73="","",'13_Ausgangsrechnungen'!E73)</f>
        <v/>
      </c>
      <c r="G73" s="15">
        <f>IF(A73="","",'13_Ausgangsrechnungen'!Q73)</f>
        <v/>
      </c>
      <c r="H73" s="15">
        <f>IF(A73="","",'13_Ausgangsrechnungen'!S73)</f>
        <v/>
      </c>
      <c r="I73" s="44">
        <f>IF(A73="","",'13_Ausgangsrechnungen'!J73)</f>
        <v/>
      </c>
      <c r="J73" s="45">
        <f>IF(A73="","",'13_Ausgangsrechnungen'!T73)</f>
        <v/>
      </c>
      <c r="L73" s="13">
        <f>IF('14_Eingangsrechnungen'!A73="","",IF('14_Eingangsrechnungen'!O73&gt;0.5,"Kreditor",""))</f>
        <v/>
      </c>
      <c r="M73" s="13">
        <f>IF(L73="","",'14_Eingangsrechnungen'!A73)</f>
        <v/>
      </c>
      <c r="N73" s="44">
        <f>IF(L73="","",'14_Eingangsrechnungen'!B73)</f>
        <v/>
      </c>
      <c r="O73" s="13">
        <f>IF(L73="","",'14_Eingangsrechnungen'!D73)</f>
        <v/>
      </c>
      <c r="P73" s="13">
        <f>IF(L73="","",'14_Eingangsrechnungen'!C73)</f>
        <v/>
      </c>
      <c r="Q73" s="13">
        <f>IF(L73="","",'14_Eingangsrechnungen'!E73)</f>
        <v/>
      </c>
      <c r="R73" s="15">
        <f>IF(L73="","",'14_Eingangsrechnungen'!M73)</f>
        <v/>
      </c>
      <c r="S73" s="15">
        <f>IF(L73="","",'14_Eingangsrechnungen'!O73)</f>
        <v/>
      </c>
      <c r="T73" s="44">
        <f>IF(L73="","",'14_Eingangsrechnungen'!H73)</f>
        <v/>
      </c>
      <c r="U73" s="45">
        <f>IF(L73="","",'14_Eingangsrechnungen'!P73)</f>
        <v/>
      </c>
    </row>
    <row r="74">
      <c r="A74" s="13">
        <f>IF('13_Ausgangsrechnungen'!A74="","",IF('13_Ausgangsrechnungen'!S74&gt;0.5,"Debitor",""))</f>
        <v/>
      </c>
      <c r="B74" s="13">
        <f>IF(A74="","",'13_Ausgangsrechnungen'!A74)</f>
        <v/>
      </c>
      <c r="C74" s="44">
        <f>IF(A74="","",'13_Ausgangsrechnungen'!B74)</f>
        <v/>
      </c>
      <c r="D74" s="13">
        <f>IF(A74="","",'13_Ausgangsrechnungen'!D74)</f>
        <v/>
      </c>
      <c r="E74" s="13">
        <f>IF(A74="","",'13_Ausgangsrechnungen'!C74)</f>
        <v/>
      </c>
      <c r="F74" s="13">
        <f>IF(A74="","",'13_Ausgangsrechnungen'!E74)</f>
        <v/>
      </c>
      <c r="G74" s="15">
        <f>IF(A74="","",'13_Ausgangsrechnungen'!Q74)</f>
        <v/>
      </c>
      <c r="H74" s="15">
        <f>IF(A74="","",'13_Ausgangsrechnungen'!S74)</f>
        <v/>
      </c>
      <c r="I74" s="44">
        <f>IF(A74="","",'13_Ausgangsrechnungen'!J74)</f>
        <v/>
      </c>
      <c r="J74" s="45">
        <f>IF(A74="","",'13_Ausgangsrechnungen'!T74)</f>
        <v/>
      </c>
      <c r="L74" s="13">
        <f>IF('14_Eingangsrechnungen'!A74="","",IF('14_Eingangsrechnungen'!O74&gt;0.5,"Kreditor",""))</f>
        <v/>
      </c>
      <c r="M74" s="13">
        <f>IF(L74="","",'14_Eingangsrechnungen'!A74)</f>
        <v/>
      </c>
      <c r="N74" s="44">
        <f>IF(L74="","",'14_Eingangsrechnungen'!B74)</f>
        <v/>
      </c>
      <c r="O74" s="13">
        <f>IF(L74="","",'14_Eingangsrechnungen'!D74)</f>
        <v/>
      </c>
      <c r="P74" s="13">
        <f>IF(L74="","",'14_Eingangsrechnungen'!C74)</f>
        <v/>
      </c>
      <c r="Q74" s="13">
        <f>IF(L74="","",'14_Eingangsrechnungen'!E74)</f>
        <v/>
      </c>
      <c r="R74" s="15">
        <f>IF(L74="","",'14_Eingangsrechnungen'!M74)</f>
        <v/>
      </c>
      <c r="S74" s="15">
        <f>IF(L74="","",'14_Eingangsrechnungen'!O74)</f>
        <v/>
      </c>
      <c r="T74" s="44">
        <f>IF(L74="","",'14_Eingangsrechnungen'!H74)</f>
        <v/>
      </c>
      <c r="U74" s="45">
        <f>IF(L74="","",'14_Eingangsrechnungen'!P74)</f>
        <v/>
      </c>
    </row>
    <row r="75">
      <c r="A75" s="13">
        <f>IF('13_Ausgangsrechnungen'!A75="","",IF('13_Ausgangsrechnungen'!S75&gt;0.5,"Debitor",""))</f>
        <v/>
      </c>
      <c r="B75" s="13">
        <f>IF(A75="","",'13_Ausgangsrechnungen'!A75)</f>
        <v/>
      </c>
      <c r="C75" s="44">
        <f>IF(A75="","",'13_Ausgangsrechnungen'!B75)</f>
        <v/>
      </c>
      <c r="D75" s="13">
        <f>IF(A75="","",'13_Ausgangsrechnungen'!D75)</f>
        <v/>
      </c>
      <c r="E75" s="13">
        <f>IF(A75="","",'13_Ausgangsrechnungen'!C75)</f>
        <v/>
      </c>
      <c r="F75" s="13">
        <f>IF(A75="","",'13_Ausgangsrechnungen'!E75)</f>
        <v/>
      </c>
      <c r="G75" s="15">
        <f>IF(A75="","",'13_Ausgangsrechnungen'!Q75)</f>
        <v/>
      </c>
      <c r="H75" s="15">
        <f>IF(A75="","",'13_Ausgangsrechnungen'!S75)</f>
        <v/>
      </c>
      <c r="I75" s="44">
        <f>IF(A75="","",'13_Ausgangsrechnungen'!J75)</f>
        <v/>
      </c>
      <c r="J75" s="45">
        <f>IF(A75="","",'13_Ausgangsrechnungen'!T75)</f>
        <v/>
      </c>
      <c r="L75" s="13">
        <f>IF('14_Eingangsrechnungen'!A75="","",IF('14_Eingangsrechnungen'!O75&gt;0.5,"Kreditor",""))</f>
        <v/>
      </c>
      <c r="M75" s="13">
        <f>IF(L75="","",'14_Eingangsrechnungen'!A75)</f>
        <v/>
      </c>
      <c r="N75" s="44">
        <f>IF(L75="","",'14_Eingangsrechnungen'!B75)</f>
        <v/>
      </c>
      <c r="O75" s="13">
        <f>IF(L75="","",'14_Eingangsrechnungen'!D75)</f>
        <v/>
      </c>
      <c r="P75" s="13">
        <f>IF(L75="","",'14_Eingangsrechnungen'!C75)</f>
        <v/>
      </c>
      <c r="Q75" s="13">
        <f>IF(L75="","",'14_Eingangsrechnungen'!E75)</f>
        <v/>
      </c>
      <c r="R75" s="15">
        <f>IF(L75="","",'14_Eingangsrechnungen'!M75)</f>
        <v/>
      </c>
      <c r="S75" s="15">
        <f>IF(L75="","",'14_Eingangsrechnungen'!O75)</f>
        <v/>
      </c>
      <c r="T75" s="44">
        <f>IF(L75="","",'14_Eingangsrechnungen'!H75)</f>
        <v/>
      </c>
      <c r="U75" s="45">
        <f>IF(L75="","",'14_Eingangsrechnungen'!P75)</f>
        <v/>
      </c>
    </row>
    <row r="76">
      <c r="A76" s="13">
        <f>IF('13_Ausgangsrechnungen'!A76="","",IF('13_Ausgangsrechnungen'!S76&gt;0.5,"Debitor",""))</f>
        <v/>
      </c>
      <c r="B76" s="13">
        <f>IF(A76="","",'13_Ausgangsrechnungen'!A76)</f>
        <v/>
      </c>
      <c r="C76" s="44">
        <f>IF(A76="","",'13_Ausgangsrechnungen'!B76)</f>
        <v/>
      </c>
      <c r="D76" s="13">
        <f>IF(A76="","",'13_Ausgangsrechnungen'!D76)</f>
        <v/>
      </c>
      <c r="E76" s="13">
        <f>IF(A76="","",'13_Ausgangsrechnungen'!C76)</f>
        <v/>
      </c>
      <c r="F76" s="13">
        <f>IF(A76="","",'13_Ausgangsrechnungen'!E76)</f>
        <v/>
      </c>
      <c r="G76" s="15">
        <f>IF(A76="","",'13_Ausgangsrechnungen'!Q76)</f>
        <v/>
      </c>
      <c r="H76" s="15">
        <f>IF(A76="","",'13_Ausgangsrechnungen'!S76)</f>
        <v/>
      </c>
      <c r="I76" s="44">
        <f>IF(A76="","",'13_Ausgangsrechnungen'!J76)</f>
        <v/>
      </c>
      <c r="J76" s="45">
        <f>IF(A76="","",'13_Ausgangsrechnungen'!T76)</f>
        <v/>
      </c>
      <c r="L76" s="13">
        <f>IF('14_Eingangsrechnungen'!A76="","",IF('14_Eingangsrechnungen'!O76&gt;0.5,"Kreditor",""))</f>
        <v/>
      </c>
      <c r="M76" s="13">
        <f>IF(L76="","",'14_Eingangsrechnungen'!A76)</f>
        <v/>
      </c>
      <c r="N76" s="44">
        <f>IF(L76="","",'14_Eingangsrechnungen'!B76)</f>
        <v/>
      </c>
      <c r="O76" s="13">
        <f>IF(L76="","",'14_Eingangsrechnungen'!D76)</f>
        <v/>
      </c>
      <c r="P76" s="13">
        <f>IF(L76="","",'14_Eingangsrechnungen'!C76)</f>
        <v/>
      </c>
      <c r="Q76" s="13">
        <f>IF(L76="","",'14_Eingangsrechnungen'!E76)</f>
        <v/>
      </c>
      <c r="R76" s="15">
        <f>IF(L76="","",'14_Eingangsrechnungen'!M76)</f>
        <v/>
      </c>
      <c r="S76" s="15">
        <f>IF(L76="","",'14_Eingangsrechnungen'!O76)</f>
        <v/>
      </c>
      <c r="T76" s="44">
        <f>IF(L76="","",'14_Eingangsrechnungen'!H76)</f>
        <v/>
      </c>
      <c r="U76" s="45">
        <f>IF(L76="","",'14_Eingangsrechnungen'!P76)</f>
        <v/>
      </c>
    </row>
    <row r="77">
      <c r="A77" s="13">
        <f>IF('13_Ausgangsrechnungen'!A77="","",IF('13_Ausgangsrechnungen'!S77&gt;0.5,"Debitor",""))</f>
        <v/>
      </c>
      <c r="B77" s="13">
        <f>IF(A77="","",'13_Ausgangsrechnungen'!A77)</f>
        <v/>
      </c>
      <c r="C77" s="44">
        <f>IF(A77="","",'13_Ausgangsrechnungen'!B77)</f>
        <v/>
      </c>
      <c r="D77" s="13">
        <f>IF(A77="","",'13_Ausgangsrechnungen'!D77)</f>
        <v/>
      </c>
      <c r="E77" s="13">
        <f>IF(A77="","",'13_Ausgangsrechnungen'!C77)</f>
        <v/>
      </c>
      <c r="F77" s="13">
        <f>IF(A77="","",'13_Ausgangsrechnungen'!E77)</f>
        <v/>
      </c>
      <c r="G77" s="15">
        <f>IF(A77="","",'13_Ausgangsrechnungen'!Q77)</f>
        <v/>
      </c>
      <c r="H77" s="15">
        <f>IF(A77="","",'13_Ausgangsrechnungen'!S77)</f>
        <v/>
      </c>
      <c r="I77" s="44">
        <f>IF(A77="","",'13_Ausgangsrechnungen'!J77)</f>
        <v/>
      </c>
      <c r="J77" s="45">
        <f>IF(A77="","",'13_Ausgangsrechnungen'!T77)</f>
        <v/>
      </c>
      <c r="L77" s="13">
        <f>IF('14_Eingangsrechnungen'!A77="","",IF('14_Eingangsrechnungen'!O77&gt;0.5,"Kreditor",""))</f>
        <v/>
      </c>
      <c r="M77" s="13">
        <f>IF(L77="","",'14_Eingangsrechnungen'!A77)</f>
        <v/>
      </c>
      <c r="N77" s="44">
        <f>IF(L77="","",'14_Eingangsrechnungen'!B77)</f>
        <v/>
      </c>
      <c r="O77" s="13">
        <f>IF(L77="","",'14_Eingangsrechnungen'!D77)</f>
        <v/>
      </c>
      <c r="P77" s="13">
        <f>IF(L77="","",'14_Eingangsrechnungen'!C77)</f>
        <v/>
      </c>
      <c r="Q77" s="13">
        <f>IF(L77="","",'14_Eingangsrechnungen'!E77)</f>
        <v/>
      </c>
      <c r="R77" s="15">
        <f>IF(L77="","",'14_Eingangsrechnungen'!M77)</f>
        <v/>
      </c>
      <c r="S77" s="15">
        <f>IF(L77="","",'14_Eingangsrechnungen'!O77)</f>
        <v/>
      </c>
      <c r="T77" s="44">
        <f>IF(L77="","",'14_Eingangsrechnungen'!H77)</f>
        <v/>
      </c>
      <c r="U77" s="45">
        <f>IF(L77="","",'14_Eingangsrechnungen'!P77)</f>
        <v/>
      </c>
    </row>
    <row r="78">
      <c r="A78" s="13">
        <f>IF('13_Ausgangsrechnungen'!A78="","",IF('13_Ausgangsrechnungen'!S78&gt;0.5,"Debitor",""))</f>
        <v/>
      </c>
      <c r="B78" s="13">
        <f>IF(A78="","",'13_Ausgangsrechnungen'!A78)</f>
        <v/>
      </c>
      <c r="C78" s="44">
        <f>IF(A78="","",'13_Ausgangsrechnungen'!B78)</f>
        <v/>
      </c>
      <c r="D78" s="13">
        <f>IF(A78="","",'13_Ausgangsrechnungen'!D78)</f>
        <v/>
      </c>
      <c r="E78" s="13">
        <f>IF(A78="","",'13_Ausgangsrechnungen'!C78)</f>
        <v/>
      </c>
      <c r="F78" s="13">
        <f>IF(A78="","",'13_Ausgangsrechnungen'!E78)</f>
        <v/>
      </c>
      <c r="G78" s="15">
        <f>IF(A78="","",'13_Ausgangsrechnungen'!Q78)</f>
        <v/>
      </c>
      <c r="H78" s="15">
        <f>IF(A78="","",'13_Ausgangsrechnungen'!S78)</f>
        <v/>
      </c>
      <c r="I78" s="44">
        <f>IF(A78="","",'13_Ausgangsrechnungen'!J78)</f>
        <v/>
      </c>
      <c r="J78" s="45">
        <f>IF(A78="","",'13_Ausgangsrechnungen'!T78)</f>
        <v/>
      </c>
      <c r="L78" s="13">
        <f>IF('14_Eingangsrechnungen'!A78="","",IF('14_Eingangsrechnungen'!O78&gt;0.5,"Kreditor",""))</f>
        <v/>
      </c>
      <c r="M78" s="13">
        <f>IF(L78="","",'14_Eingangsrechnungen'!A78)</f>
        <v/>
      </c>
      <c r="N78" s="44">
        <f>IF(L78="","",'14_Eingangsrechnungen'!B78)</f>
        <v/>
      </c>
      <c r="O78" s="13">
        <f>IF(L78="","",'14_Eingangsrechnungen'!D78)</f>
        <v/>
      </c>
      <c r="P78" s="13">
        <f>IF(L78="","",'14_Eingangsrechnungen'!C78)</f>
        <v/>
      </c>
      <c r="Q78" s="13">
        <f>IF(L78="","",'14_Eingangsrechnungen'!E78)</f>
        <v/>
      </c>
      <c r="R78" s="15">
        <f>IF(L78="","",'14_Eingangsrechnungen'!M78)</f>
        <v/>
      </c>
      <c r="S78" s="15">
        <f>IF(L78="","",'14_Eingangsrechnungen'!O78)</f>
        <v/>
      </c>
      <c r="T78" s="44">
        <f>IF(L78="","",'14_Eingangsrechnungen'!H78)</f>
        <v/>
      </c>
      <c r="U78" s="45">
        <f>IF(L78="","",'14_Eingangsrechnungen'!P78)</f>
        <v/>
      </c>
    </row>
    <row r="79">
      <c r="A79" s="13">
        <f>IF('13_Ausgangsrechnungen'!A79="","",IF('13_Ausgangsrechnungen'!S79&gt;0.5,"Debitor",""))</f>
        <v/>
      </c>
      <c r="B79" s="13">
        <f>IF(A79="","",'13_Ausgangsrechnungen'!A79)</f>
        <v/>
      </c>
      <c r="C79" s="44">
        <f>IF(A79="","",'13_Ausgangsrechnungen'!B79)</f>
        <v/>
      </c>
      <c r="D79" s="13">
        <f>IF(A79="","",'13_Ausgangsrechnungen'!D79)</f>
        <v/>
      </c>
      <c r="E79" s="13">
        <f>IF(A79="","",'13_Ausgangsrechnungen'!C79)</f>
        <v/>
      </c>
      <c r="F79" s="13">
        <f>IF(A79="","",'13_Ausgangsrechnungen'!E79)</f>
        <v/>
      </c>
      <c r="G79" s="15">
        <f>IF(A79="","",'13_Ausgangsrechnungen'!Q79)</f>
        <v/>
      </c>
      <c r="H79" s="15">
        <f>IF(A79="","",'13_Ausgangsrechnungen'!S79)</f>
        <v/>
      </c>
      <c r="I79" s="44">
        <f>IF(A79="","",'13_Ausgangsrechnungen'!J79)</f>
        <v/>
      </c>
      <c r="J79" s="45">
        <f>IF(A79="","",'13_Ausgangsrechnungen'!T79)</f>
        <v/>
      </c>
      <c r="L79" s="13">
        <f>IF('14_Eingangsrechnungen'!A79="","",IF('14_Eingangsrechnungen'!O79&gt;0.5,"Kreditor",""))</f>
        <v/>
      </c>
      <c r="M79" s="13">
        <f>IF(L79="","",'14_Eingangsrechnungen'!A79)</f>
        <v/>
      </c>
      <c r="N79" s="44">
        <f>IF(L79="","",'14_Eingangsrechnungen'!B79)</f>
        <v/>
      </c>
      <c r="O79" s="13">
        <f>IF(L79="","",'14_Eingangsrechnungen'!D79)</f>
        <v/>
      </c>
      <c r="P79" s="13">
        <f>IF(L79="","",'14_Eingangsrechnungen'!C79)</f>
        <v/>
      </c>
      <c r="Q79" s="13">
        <f>IF(L79="","",'14_Eingangsrechnungen'!E79)</f>
        <v/>
      </c>
      <c r="R79" s="15">
        <f>IF(L79="","",'14_Eingangsrechnungen'!M79)</f>
        <v/>
      </c>
      <c r="S79" s="15">
        <f>IF(L79="","",'14_Eingangsrechnungen'!O79)</f>
        <v/>
      </c>
      <c r="T79" s="44">
        <f>IF(L79="","",'14_Eingangsrechnungen'!H79)</f>
        <v/>
      </c>
      <c r="U79" s="45">
        <f>IF(L79="","",'14_Eingangsrechnungen'!P79)</f>
        <v/>
      </c>
    </row>
    <row r="80">
      <c r="A80" s="13">
        <f>IF('13_Ausgangsrechnungen'!A80="","",IF('13_Ausgangsrechnungen'!S80&gt;0.5,"Debitor",""))</f>
        <v/>
      </c>
      <c r="B80" s="13">
        <f>IF(A80="","",'13_Ausgangsrechnungen'!A80)</f>
        <v/>
      </c>
      <c r="C80" s="44">
        <f>IF(A80="","",'13_Ausgangsrechnungen'!B80)</f>
        <v/>
      </c>
      <c r="D80" s="13">
        <f>IF(A80="","",'13_Ausgangsrechnungen'!D80)</f>
        <v/>
      </c>
      <c r="E80" s="13">
        <f>IF(A80="","",'13_Ausgangsrechnungen'!C80)</f>
        <v/>
      </c>
      <c r="F80" s="13">
        <f>IF(A80="","",'13_Ausgangsrechnungen'!E80)</f>
        <v/>
      </c>
      <c r="G80" s="15">
        <f>IF(A80="","",'13_Ausgangsrechnungen'!Q80)</f>
        <v/>
      </c>
      <c r="H80" s="15">
        <f>IF(A80="","",'13_Ausgangsrechnungen'!S80)</f>
        <v/>
      </c>
      <c r="I80" s="44">
        <f>IF(A80="","",'13_Ausgangsrechnungen'!J80)</f>
        <v/>
      </c>
      <c r="J80" s="45">
        <f>IF(A80="","",'13_Ausgangsrechnungen'!T80)</f>
        <v/>
      </c>
      <c r="L80" s="13">
        <f>IF('14_Eingangsrechnungen'!A80="","",IF('14_Eingangsrechnungen'!O80&gt;0.5,"Kreditor",""))</f>
        <v/>
      </c>
      <c r="M80" s="13">
        <f>IF(L80="","",'14_Eingangsrechnungen'!A80)</f>
        <v/>
      </c>
      <c r="N80" s="44">
        <f>IF(L80="","",'14_Eingangsrechnungen'!B80)</f>
        <v/>
      </c>
      <c r="O80" s="13">
        <f>IF(L80="","",'14_Eingangsrechnungen'!D80)</f>
        <v/>
      </c>
      <c r="P80" s="13">
        <f>IF(L80="","",'14_Eingangsrechnungen'!C80)</f>
        <v/>
      </c>
      <c r="Q80" s="13">
        <f>IF(L80="","",'14_Eingangsrechnungen'!E80)</f>
        <v/>
      </c>
      <c r="R80" s="15">
        <f>IF(L80="","",'14_Eingangsrechnungen'!M80)</f>
        <v/>
      </c>
      <c r="S80" s="15">
        <f>IF(L80="","",'14_Eingangsrechnungen'!O80)</f>
        <v/>
      </c>
      <c r="T80" s="44">
        <f>IF(L80="","",'14_Eingangsrechnungen'!H80)</f>
        <v/>
      </c>
      <c r="U80" s="45">
        <f>IF(L80="","",'14_Eingangsrechnungen'!P80)</f>
        <v/>
      </c>
    </row>
    <row r="81">
      <c r="A81" s="13">
        <f>IF('13_Ausgangsrechnungen'!A81="","",IF('13_Ausgangsrechnungen'!S81&gt;0.5,"Debitor",""))</f>
        <v/>
      </c>
      <c r="B81" s="13">
        <f>IF(A81="","",'13_Ausgangsrechnungen'!A81)</f>
        <v/>
      </c>
      <c r="C81" s="44">
        <f>IF(A81="","",'13_Ausgangsrechnungen'!B81)</f>
        <v/>
      </c>
      <c r="D81" s="13">
        <f>IF(A81="","",'13_Ausgangsrechnungen'!D81)</f>
        <v/>
      </c>
      <c r="E81" s="13">
        <f>IF(A81="","",'13_Ausgangsrechnungen'!C81)</f>
        <v/>
      </c>
      <c r="F81" s="13">
        <f>IF(A81="","",'13_Ausgangsrechnungen'!E81)</f>
        <v/>
      </c>
      <c r="G81" s="15">
        <f>IF(A81="","",'13_Ausgangsrechnungen'!Q81)</f>
        <v/>
      </c>
      <c r="H81" s="15">
        <f>IF(A81="","",'13_Ausgangsrechnungen'!S81)</f>
        <v/>
      </c>
      <c r="I81" s="44">
        <f>IF(A81="","",'13_Ausgangsrechnungen'!J81)</f>
        <v/>
      </c>
      <c r="J81" s="45">
        <f>IF(A81="","",'13_Ausgangsrechnungen'!T81)</f>
        <v/>
      </c>
      <c r="L81" s="13">
        <f>IF('14_Eingangsrechnungen'!A81="","",IF('14_Eingangsrechnungen'!O81&gt;0.5,"Kreditor",""))</f>
        <v/>
      </c>
      <c r="M81" s="13">
        <f>IF(L81="","",'14_Eingangsrechnungen'!A81)</f>
        <v/>
      </c>
      <c r="N81" s="44">
        <f>IF(L81="","",'14_Eingangsrechnungen'!B81)</f>
        <v/>
      </c>
      <c r="O81" s="13">
        <f>IF(L81="","",'14_Eingangsrechnungen'!D81)</f>
        <v/>
      </c>
      <c r="P81" s="13">
        <f>IF(L81="","",'14_Eingangsrechnungen'!C81)</f>
        <v/>
      </c>
      <c r="Q81" s="13">
        <f>IF(L81="","",'14_Eingangsrechnungen'!E81)</f>
        <v/>
      </c>
      <c r="R81" s="15">
        <f>IF(L81="","",'14_Eingangsrechnungen'!M81)</f>
        <v/>
      </c>
      <c r="S81" s="15">
        <f>IF(L81="","",'14_Eingangsrechnungen'!O81)</f>
        <v/>
      </c>
      <c r="T81" s="44">
        <f>IF(L81="","",'14_Eingangsrechnungen'!H81)</f>
        <v/>
      </c>
      <c r="U81" s="45">
        <f>IF(L81="","",'14_Eingangsrechnungen'!P81)</f>
        <v/>
      </c>
    </row>
    <row r="82">
      <c r="A82" s="13">
        <f>IF('13_Ausgangsrechnungen'!A82="","",IF('13_Ausgangsrechnungen'!S82&gt;0.5,"Debitor",""))</f>
        <v/>
      </c>
      <c r="B82" s="13">
        <f>IF(A82="","",'13_Ausgangsrechnungen'!A82)</f>
        <v/>
      </c>
      <c r="C82" s="44">
        <f>IF(A82="","",'13_Ausgangsrechnungen'!B82)</f>
        <v/>
      </c>
      <c r="D82" s="13">
        <f>IF(A82="","",'13_Ausgangsrechnungen'!D82)</f>
        <v/>
      </c>
      <c r="E82" s="13">
        <f>IF(A82="","",'13_Ausgangsrechnungen'!C82)</f>
        <v/>
      </c>
      <c r="F82" s="13">
        <f>IF(A82="","",'13_Ausgangsrechnungen'!E82)</f>
        <v/>
      </c>
      <c r="G82" s="15">
        <f>IF(A82="","",'13_Ausgangsrechnungen'!Q82)</f>
        <v/>
      </c>
      <c r="H82" s="15">
        <f>IF(A82="","",'13_Ausgangsrechnungen'!S82)</f>
        <v/>
      </c>
      <c r="I82" s="44">
        <f>IF(A82="","",'13_Ausgangsrechnungen'!J82)</f>
        <v/>
      </c>
      <c r="J82" s="45">
        <f>IF(A82="","",'13_Ausgangsrechnungen'!T82)</f>
        <v/>
      </c>
      <c r="L82" s="13">
        <f>IF('14_Eingangsrechnungen'!A82="","",IF('14_Eingangsrechnungen'!O82&gt;0.5,"Kreditor",""))</f>
        <v/>
      </c>
      <c r="M82" s="13">
        <f>IF(L82="","",'14_Eingangsrechnungen'!A82)</f>
        <v/>
      </c>
      <c r="N82" s="44">
        <f>IF(L82="","",'14_Eingangsrechnungen'!B82)</f>
        <v/>
      </c>
      <c r="O82" s="13">
        <f>IF(L82="","",'14_Eingangsrechnungen'!D82)</f>
        <v/>
      </c>
      <c r="P82" s="13">
        <f>IF(L82="","",'14_Eingangsrechnungen'!C82)</f>
        <v/>
      </c>
      <c r="Q82" s="13">
        <f>IF(L82="","",'14_Eingangsrechnungen'!E82)</f>
        <v/>
      </c>
      <c r="R82" s="15">
        <f>IF(L82="","",'14_Eingangsrechnungen'!M82)</f>
        <v/>
      </c>
      <c r="S82" s="15">
        <f>IF(L82="","",'14_Eingangsrechnungen'!O82)</f>
        <v/>
      </c>
      <c r="T82" s="44">
        <f>IF(L82="","",'14_Eingangsrechnungen'!H82)</f>
        <v/>
      </c>
      <c r="U82" s="45">
        <f>IF(L82="","",'14_Eingangsrechnungen'!P82)</f>
        <v/>
      </c>
    </row>
    <row r="83">
      <c r="A83" s="13">
        <f>IF('13_Ausgangsrechnungen'!A83="","",IF('13_Ausgangsrechnungen'!S83&gt;0.5,"Debitor",""))</f>
        <v/>
      </c>
      <c r="B83" s="13">
        <f>IF(A83="","",'13_Ausgangsrechnungen'!A83)</f>
        <v/>
      </c>
      <c r="C83" s="44">
        <f>IF(A83="","",'13_Ausgangsrechnungen'!B83)</f>
        <v/>
      </c>
      <c r="D83" s="13">
        <f>IF(A83="","",'13_Ausgangsrechnungen'!D83)</f>
        <v/>
      </c>
      <c r="E83" s="13">
        <f>IF(A83="","",'13_Ausgangsrechnungen'!C83)</f>
        <v/>
      </c>
      <c r="F83" s="13">
        <f>IF(A83="","",'13_Ausgangsrechnungen'!E83)</f>
        <v/>
      </c>
      <c r="G83" s="15">
        <f>IF(A83="","",'13_Ausgangsrechnungen'!Q83)</f>
        <v/>
      </c>
      <c r="H83" s="15">
        <f>IF(A83="","",'13_Ausgangsrechnungen'!S83)</f>
        <v/>
      </c>
      <c r="I83" s="44">
        <f>IF(A83="","",'13_Ausgangsrechnungen'!J83)</f>
        <v/>
      </c>
      <c r="J83" s="45">
        <f>IF(A83="","",'13_Ausgangsrechnungen'!T83)</f>
        <v/>
      </c>
      <c r="L83" s="13">
        <f>IF('14_Eingangsrechnungen'!A83="","",IF('14_Eingangsrechnungen'!O83&gt;0.5,"Kreditor",""))</f>
        <v/>
      </c>
      <c r="M83" s="13">
        <f>IF(L83="","",'14_Eingangsrechnungen'!A83)</f>
        <v/>
      </c>
      <c r="N83" s="44">
        <f>IF(L83="","",'14_Eingangsrechnungen'!B83)</f>
        <v/>
      </c>
      <c r="O83" s="13">
        <f>IF(L83="","",'14_Eingangsrechnungen'!D83)</f>
        <v/>
      </c>
      <c r="P83" s="13">
        <f>IF(L83="","",'14_Eingangsrechnungen'!C83)</f>
        <v/>
      </c>
      <c r="Q83" s="13">
        <f>IF(L83="","",'14_Eingangsrechnungen'!E83)</f>
        <v/>
      </c>
      <c r="R83" s="15">
        <f>IF(L83="","",'14_Eingangsrechnungen'!M83)</f>
        <v/>
      </c>
      <c r="S83" s="15">
        <f>IF(L83="","",'14_Eingangsrechnungen'!O83)</f>
        <v/>
      </c>
      <c r="T83" s="44">
        <f>IF(L83="","",'14_Eingangsrechnungen'!H83)</f>
        <v/>
      </c>
      <c r="U83" s="45">
        <f>IF(L83="","",'14_Eingangsrechnungen'!P83)</f>
        <v/>
      </c>
    </row>
    <row r="84">
      <c r="A84" s="13">
        <f>IF('13_Ausgangsrechnungen'!A84="","",IF('13_Ausgangsrechnungen'!S84&gt;0.5,"Debitor",""))</f>
        <v/>
      </c>
      <c r="B84" s="13">
        <f>IF(A84="","",'13_Ausgangsrechnungen'!A84)</f>
        <v/>
      </c>
      <c r="C84" s="44">
        <f>IF(A84="","",'13_Ausgangsrechnungen'!B84)</f>
        <v/>
      </c>
      <c r="D84" s="13">
        <f>IF(A84="","",'13_Ausgangsrechnungen'!D84)</f>
        <v/>
      </c>
      <c r="E84" s="13">
        <f>IF(A84="","",'13_Ausgangsrechnungen'!C84)</f>
        <v/>
      </c>
      <c r="F84" s="13">
        <f>IF(A84="","",'13_Ausgangsrechnungen'!E84)</f>
        <v/>
      </c>
      <c r="G84" s="15">
        <f>IF(A84="","",'13_Ausgangsrechnungen'!Q84)</f>
        <v/>
      </c>
      <c r="H84" s="15">
        <f>IF(A84="","",'13_Ausgangsrechnungen'!S84)</f>
        <v/>
      </c>
      <c r="I84" s="44">
        <f>IF(A84="","",'13_Ausgangsrechnungen'!J84)</f>
        <v/>
      </c>
      <c r="J84" s="45">
        <f>IF(A84="","",'13_Ausgangsrechnungen'!T84)</f>
        <v/>
      </c>
      <c r="L84" s="13">
        <f>IF('14_Eingangsrechnungen'!A84="","",IF('14_Eingangsrechnungen'!O84&gt;0.5,"Kreditor",""))</f>
        <v/>
      </c>
      <c r="M84" s="13">
        <f>IF(L84="","",'14_Eingangsrechnungen'!A84)</f>
        <v/>
      </c>
      <c r="N84" s="44">
        <f>IF(L84="","",'14_Eingangsrechnungen'!B84)</f>
        <v/>
      </c>
      <c r="O84" s="13">
        <f>IF(L84="","",'14_Eingangsrechnungen'!D84)</f>
        <v/>
      </c>
      <c r="P84" s="13">
        <f>IF(L84="","",'14_Eingangsrechnungen'!C84)</f>
        <v/>
      </c>
      <c r="Q84" s="13">
        <f>IF(L84="","",'14_Eingangsrechnungen'!E84)</f>
        <v/>
      </c>
      <c r="R84" s="15">
        <f>IF(L84="","",'14_Eingangsrechnungen'!M84)</f>
        <v/>
      </c>
      <c r="S84" s="15">
        <f>IF(L84="","",'14_Eingangsrechnungen'!O84)</f>
        <v/>
      </c>
      <c r="T84" s="44">
        <f>IF(L84="","",'14_Eingangsrechnungen'!H84)</f>
        <v/>
      </c>
      <c r="U84" s="45">
        <f>IF(L84="","",'14_Eingangsrechnungen'!P84)</f>
        <v/>
      </c>
    </row>
    <row r="85">
      <c r="A85" s="13">
        <f>IF('13_Ausgangsrechnungen'!A85="","",IF('13_Ausgangsrechnungen'!S85&gt;0.5,"Debitor",""))</f>
        <v/>
      </c>
      <c r="B85" s="13">
        <f>IF(A85="","",'13_Ausgangsrechnungen'!A85)</f>
        <v/>
      </c>
      <c r="C85" s="44">
        <f>IF(A85="","",'13_Ausgangsrechnungen'!B85)</f>
        <v/>
      </c>
      <c r="D85" s="13">
        <f>IF(A85="","",'13_Ausgangsrechnungen'!D85)</f>
        <v/>
      </c>
      <c r="E85" s="13">
        <f>IF(A85="","",'13_Ausgangsrechnungen'!C85)</f>
        <v/>
      </c>
      <c r="F85" s="13">
        <f>IF(A85="","",'13_Ausgangsrechnungen'!E85)</f>
        <v/>
      </c>
      <c r="G85" s="15">
        <f>IF(A85="","",'13_Ausgangsrechnungen'!Q85)</f>
        <v/>
      </c>
      <c r="H85" s="15">
        <f>IF(A85="","",'13_Ausgangsrechnungen'!S85)</f>
        <v/>
      </c>
      <c r="I85" s="44">
        <f>IF(A85="","",'13_Ausgangsrechnungen'!J85)</f>
        <v/>
      </c>
      <c r="J85" s="45">
        <f>IF(A85="","",'13_Ausgangsrechnungen'!T85)</f>
        <v/>
      </c>
      <c r="L85" s="13">
        <f>IF('14_Eingangsrechnungen'!A85="","",IF('14_Eingangsrechnungen'!O85&gt;0.5,"Kreditor",""))</f>
        <v/>
      </c>
      <c r="M85" s="13">
        <f>IF(L85="","",'14_Eingangsrechnungen'!A85)</f>
        <v/>
      </c>
      <c r="N85" s="44">
        <f>IF(L85="","",'14_Eingangsrechnungen'!B85)</f>
        <v/>
      </c>
      <c r="O85" s="13">
        <f>IF(L85="","",'14_Eingangsrechnungen'!D85)</f>
        <v/>
      </c>
      <c r="P85" s="13">
        <f>IF(L85="","",'14_Eingangsrechnungen'!C85)</f>
        <v/>
      </c>
      <c r="Q85" s="13">
        <f>IF(L85="","",'14_Eingangsrechnungen'!E85)</f>
        <v/>
      </c>
      <c r="R85" s="15">
        <f>IF(L85="","",'14_Eingangsrechnungen'!M85)</f>
        <v/>
      </c>
      <c r="S85" s="15">
        <f>IF(L85="","",'14_Eingangsrechnungen'!O85)</f>
        <v/>
      </c>
      <c r="T85" s="44">
        <f>IF(L85="","",'14_Eingangsrechnungen'!H85)</f>
        <v/>
      </c>
      <c r="U85" s="45">
        <f>IF(L85="","",'14_Eingangsrechnungen'!P85)</f>
        <v/>
      </c>
    </row>
    <row r="86">
      <c r="A86" s="13">
        <f>IF('13_Ausgangsrechnungen'!A86="","",IF('13_Ausgangsrechnungen'!S86&gt;0.5,"Debitor",""))</f>
        <v/>
      </c>
      <c r="B86" s="13">
        <f>IF(A86="","",'13_Ausgangsrechnungen'!A86)</f>
        <v/>
      </c>
      <c r="C86" s="44">
        <f>IF(A86="","",'13_Ausgangsrechnungen'!B86)</f>
        <v/>
      </c>
      <c r="D86" s="13">
        <f>IF(A86="","",'13_Ausgangsrechnungen'!D86)</f>
        <v/>
      </c>
      <c r="E86" s="13">
        <f>IF(A86="","",'13_Ausgangsrechnungen'!C86)</f>
        <v/>
      </c>
      <c r="F86" s="13">
        <f>IF(A86="","",'13_Ausgangsrechnungen'!E86)</f>
        <v/>
      </c>
      <c r="G86" s="15">
        <f>IF(A86="","",'13_Ausgangsrechnungen'!Q86)</f>
        <v/>
      </c>
      <c r="H86" s="15">
        <f>IF(A86="","",'13_Ausgangsrechnungen'!S86)</f>
        <v/>
      </c>
      <c r="I86" s="44">
        <f>IF(A86="","",'13_Ausgangsrechnungen'!J86)</f>
        <v/>
      </c>
      <c r="J86" s="45">
        <f>IF(A86="","",'13_Ausgangsrechnungen'!T86)</f>
        <v/>
      </c>
      <c r="L86" s="13">
        <f>IF('14_Eingangsrechnungen'!A86="","",IF('14_Eingangsrechnungen'!O86&gt;0.5,"Kreditor",""))</f>
        <v/>
      </c>
      <c r="M86" s="13">
        <f>IF(L86="","",'14_Eingangsrechnungen'!A86)</f>
        <v/>
      </c>
      <c r="N86" s="44">
        <f>IF(L86="","",'14_Eingangsrechnungen'!B86)</f>
        <v/>
      </c>
      <c r="O86" s="13">
        <f>IF(L86="","",'14_Eingangsrechnungen'!D86)</f>
        <v/>
      </c>
      <c r="P86" s="13">
        <f>IF(L86="","",'14_Eingangsrechnungen'!C86)</f>
        <v/>
      </c>
      <c r="Q86" s="13">
        <f>IF(L86="","",'14_Eingangsrechnungen'!E86)</f>
        <v/>
      </c>
      <c r="R86" s="15">
        <f>IF(L86="","",'14_Eingangsrechnungen'!M86)</f>
        <v/>
      </c>
      <c r="S86" s="15">
        <f>IF(L86="","",'14_Eingangsrechnungen'!O86)</f>
        <v/>
      </c>
      <c r="T86" s="44">
        <f>IF(L86="","",'14_Eingangsrechnungen'!H86)</f>
        <v/>
      </c>
      <c r="U86" s="45">
        <f>IF(L86="","",'14_Eingangsrechnungen'!P86)</f>
        <v/>
      </c>
    </row>
    <row r="87">
      <c r="A87" s="13">
        <f>IF('13_Ausgangsrechnungen'!A87="","",IF('13_Ausgangsrechnungen'!S87&gt;0.5,"Debitor",""))</f>
        <v/>
      </c>
      <c r="B87" s="13">
        <f>IF(A87="","",'13_Ausgangsrechnungen'!A87)</f>
        <v/>
      </c>
      <c r="C87" s="44">
        <f>IF(A87="","",'13_Ausgangsrechnungen'!B87)</f>
        <v/>
      </c>
      <c r="D87" s="13">
        <f>IF(A87="","",'13_Ausgangsrechnungen'!D87)</f>
        <v/>
      </c>
      <c r="E87" s="13">
        <f>IF(A87="","",'13_Ausgangsrechnungen'!C87)</f>
        <v/>
      </c>
      <c r="F87" s="13">
        <f>IF(A87="","",'13_Ausgangsrechnungen'!E87)</f>
        <v/>
      </c>
      <c r="G87" s="15">
        <f>IF(A87="","",'13_Ausgangsrechnungen'!Q87)</f>
        <v/>
      </c>
      <c r="H87" s="15">
        <f>IF(A87="","",'13_Ausgangsrechnungen'!S87)</f>
        <v/>
      </c>
      <c r="I87" s="44">
        <f>IF(A87="","",'13_Ausgangsrechnungen'!J87)</f>
        <v/>
      </c>
      <c r="J87" s="45">
        <f>IF(A87="","",'13_Ausgangsrechnungen'!T87)</f>
        <v/>
      </c>
      <c r="L87" s="13">
        <f>IF('14_Eingangsrechnungen'!A87="","",IF('14_Eingangsrechnungen'!O87&gt;0.5,"Kreditor",""))</f>
        <v/>
      </c>
      <c r="M87" s="13">
        <f>IF(L87="","",'14_Eingangsrechnungen'!A87)</f>
        <v/>
      </c>
      <c r="N87" s="44">
        <f>IF(L87="","",'14_Eingangsrechnungen'!B87)</f>
        <v/>
      </c>
      <c r="O87" s="13">
        <f>IF(L87="","",'14_Eingangsrechnungen'!D87)</f>
        <v/>
      </c>
      <c r="P87" s="13">
        <f>IF(L87="","",'14_Eingangsrechnungen'!C87)</f>
        <v/>
      </c>
      <c r="Q87" s="13">
        <f>IF(L87="","",'14_Eingangsrechnungen'!E87)</f>
        <v/>
      </c>
      <c r="R87" s="15">
        <f>IF(L87="","",'14_Eingangsrechnungen'!M87)</f>
        <v/>
      </c>
      <c r="S87" s="15">
        <f>IF(L87="","",'14_Eingangsrechnungen'!O87)</f>
        <v/>
      </c>
      <c r="T87" s="44">
        <f>IF(L87="","",'14_Eingangsrechnungen'!H87)</f>
        <v/>
      </c>
      <c r="U87" s="45">
        <f>IF(L87="","",'14_Eingangsrechnungen'!P87)</f>
        <v/>
      </c>
    </row>
    <row r="88">
      <c r="A88" s="13">
        <f>IF('13_Ausgangsrechnungen'!A88="","",IF('13_Ausgangsrechnungen'!S88&gt;0.5,"Debitor",""))</f>
        <v/>
      </c>
      <c r="B88" s="13">
        <f>IF(A88="","",'13_Ausgangsrechnungen'!A88)</f>
        <v/>
      </c>
      <c r="C88" s="44">
        <f>IF(A88="","",'13_Ausgangsrechnungen'!B88)</f>
        <v/>
      </c>
      <c r="D88" s="13">
        <f>IF(A88="","",'13_Ausgangsrechnungen'!D88)</f>
        <v/>
      </c>
      <c r="E88" s="13">
        <f>IF(A88="","",'13_Ausgangsrechnungen'!C88)</f>
        <v/>
      </c>
      <c r="F88" s="13">
        <f>IF(A88="","",'13_Ausgangsrechnungen'!E88)</f>
        <v/>
      </c>
      <c r="G88" s="15">
        <f>IF(A88="","",'13_Ausgangsrechnungen'!Q88)</f>
        <v/>
      </c>
      <c r="H88" s="15">
        <f>IF(A88="","",'13_Ausgangsrechnungen'!S88)</f>
        <v/>
      </c>
      <c r="I88" s="44">
        <f>IF(A88="","",'13_Ausgangsrechnungen'!J88)</f>
        <v/>
      </c>
      <c r="J88" s="45">
        <f>IF(A88="","",'13_Ausgangsrechnungen'!T88)</f>
        <v/>
      </c>
      <c r="L88" s="13">
        <f>IF('14_Eingangsrechnungen'!A88="","",IF('14_Eingangsrechnungen'!O88&gt;0.5,"Kreditor",""))</f>
        <v/>
      </c>
      <c r="M88" s="13">
        <f>IF(L88="","",'14_Eingangsrechnungen'!A88)</f>
        <v/>
      </c>
      <c r="N88" s="44">
        <f>IF(L88="","",'14_Eingangsrechnungen'!B88)</f>
        <v/>
      </c>
      <c r="O88" s="13">
        <f>IF(L88="","",'14_Eingangsrechnungen'!D88)</f>
        <v/>
      </c>
      <c r="P88" s="13">
        <f>IF(L88="","",'14_Eingangsrechnungen'!C88)</f>
        <v/>
      </c>
      <c r="Q88" s="13">
        <f>IF(L88="","",'14_Eingangsrechnungen'!E88)</f>
        <v/>
      </c>
      <c r="R88" s="15">
        <f>IF(L88="","",'14_Eingangsrechnungen'!M88)</f>
        <v/>
      </c>
      <c r="S88" s="15">
        <f>IF(L88="","",'14_Eingangsrechnungen'!O88)</f>
        <v/>
      </c>
      <c r="T88" s="44">
        <f>IF(L88="","",'14_Eingangsrechnungen'!H88)</f>
        <v/>
      </c>
      <c r="U88" s="45">
        <f>IF(L88="","",'14_Eingangsrechnungen'!P88)</f>
        <v/>
      </c>
    </row>
    <row r="89">
      <c r="A89" s="13">
        <f>IF('13_Ausgangsrechnungen'!A89="","",IF('13_Ausgangsrechnungen'!S89&gt;0.5,"Debitor",""))</f>
        <v/>
      </c>
      <c r="B89" s="13">
        <f>IF(A89="","",'13_Ausgangsrechnungen'!A89)</f>
        <v/>
      </c>
      <c r="C89" s="44">
        <f>IF(A89="","",'13_Ausgangsrechnungen'!B89)</f>
        <v/>
      </c>
      <c r="D89" s="13">
        <f>IF(A89="","",'13_Ausgangsrechnungen'!D89)</f>
        <v/>
      </c>
      <c r="E89" s="13">
        <f>IF(A89="","",'13_Ausgangsrechnungen'!C89)</f>
        <v/>
      </c>
      <c r="F89" s="13">
        <f>IF(A89="","",'13_Ausgangsrechnungen'!E89)</f>
        <v/>
      </c>
      <c r="G89" s="15">
        <f>IF(A89="","",'13_Ausgangsrechnungen'!Q89)</f>
        <v/>
      </c>
      <c r="H89" s="15">
        <f>IF(A89="","",'13_Ausgangsrechnungen'!S89)</f>
        <v/>
      </c>
      <c r="I89" s="44">
        <f>IF(A89="","",'13_Ausgangsrechnungen'!J89)</f>
        <v/>
      </c>
      <c r="J89" s="45">
        <f>IF(A89="","",'13_Ausgangsrechnungen'!T89)</f>
        <v/>
      </c>
      <c r="L89" s="13">
        <f>IF('14_Eingangsrechnungen'!A89="","",IF('14_Eingangsrechnungen'!O89&gt;0.5,"Kreditor",""))</f>
        <v/>
      </c>
      <c r="M89" s="13">
        <f>IF(L89="","",'14_Eingangsrechnungen'!A89)</f>
        <v/>
      </c>
      <c r="N89" s="44">
        <f>IF(L89="","",'14_Eingangsrechnungen'!B89)</f>
        <v/>
      </c>
      <c r="O89" s="13">
        <f>IF(L89="","",'14_Eingangsrechnungen'!D89)</f>
        <v/>
      </c>
      <c r="P89" s="13">
        <f>IF(L89="","",'14_Eingangsrechnungen'!C89)</f>
        <v/>
      </c>
      <c r="Q89" s="13">
        <f>IF(L89="","",'14_Eingangsrechnungen'!E89)</f>
        <v/>
      </c>
      <c r="R89" s="15">
        <f>IF(L89="","",'14_Eingangsrechnungen'!M89)</f>
        <v/>
      </c>
      <c r="S89" s="15">
        <f>IF(L89="","",'14_Eingangsrechnungen'!O89)</f>
        <v/>
      </c>
      <c r="T89" s="44">
        <f>IF(L89="","",'14_Eingangsrechnungen'!H89)</f>
        <v/>
      </c>
      <c r="U89" s="45">
        <f>IF(L89="","",'14_Eingangsrechnungen'!P89)</f>
        <v/>
      </c>
    </row>
    <row r="90">
      <c r="A90" s="13">
        <f>IF('13_Ausgangsrechnungen'!A90="","",IF('13_Ausgangsrechnungen'!S90&gt;0.5,"Debitor",""))</f>
        <v/>
      </c>
      <c r="B90" s="13">
        <f>IF(A90="","",'13_Ausgangsrechnungen'!A90)</f>
        <v/>
      </c>
      <c r="C90" s="44">
        <f>IF(A90="","",'13_Ausgangsrechnungen'!B90)</f>
        <v/>
      </c>
      <c r="D90" s="13">
        <f>IF(A90="","",'13_Ausgangsrechnungen'!D90)</f>
        <v/>
      </c>
      <c r="E90" s="13">
        <f>IF(A90="","",'13_Ausgangsrechnungen'!C90)</f>
        <v/>
      </c>
      <c r="F90" s="13">
        <f>IF(A90="","",'13_Ausgangsrechnungen'!E90)</f>
        <v/>
      </c>
      <c r="G90" s="15">
        <f>IF(A90="","",'13_Ausgangsrechnungen'!Q90)</f>
        <v/>
      </c>
      <c r="H90" s="15">
        <f>IF(A90="","",'13_Ausgangsrechnungen'!S90)</f>
        <v/>
      </c>
      <c r="I90" s="44">
        <f>IF(A90="","",'13_Ausgangsrechnungen'!J90)</f>
        <v/>
      </c>
      <c r="J90" s="45">
        <f>IF(A90="","",'13_Ausgangsrechnungen'!T90)</f>
        <v/>
      </c>
      <c r="L90" s="13">
        <f>IF('14_Eingangsrechnungen'!A90="","",IF('14_Eingangsrechnungen'!O90&gt;0.5,"Kreditor",""))</f>
        <v/>
      </c>
      <c r="M90" s="13">
        <f>IF(L90="","",'14_Eingangsrechnungen'!A90)</f>
        <v/>
      </c>
      <c r="N90" s="44">
        <f>IF(L90="","",'14_Eingangsrechnungen'!B90)</f>
        <v/>
      </c>
      <c r="O90" s="13">
        <f>IF(L90="","",'14_Eingangsrechnungen'!D90)</f>
        <v/>
      </c>
      <c r="P90" s="13">
        <f>IF(L90="","",'14_Eingangsrechnungen'!C90)</f>
        <v/>
      </c>
      <c r="Q90" s="13">
        <f>IF(L90="","",'14_Eingangsrechnungen'!E90)</f>
        <v/>
      </c>
      <c r="R90" s="15">
        <f>IF(L90="","",'14_Eingangsrechnungen'!M90)</f>
        <v/>
      </c>
      <c r="S90" s="15">
        <f>IF(L90="","",'14_Eingangsrechnungen'!O90)</f>
        <v/>
      </c>
      <c r="T90" s="44">
        <f>IF(L90="","",'14_Eingangsrechnungen'!H90)</f>
        <v/>
      </c>
      <c r="U90" s="45">
        <f>IF(L90="","",'14_Eingangsrechnungen'!P90)</f>
        <v/>
      </c>
    </row>
    <row r="91">
      <c r="A91" s="13">
        <f>IF('13_Ausgangsrechnungen'!A91="","",IF('13_Ausgangsrechnungen'!S91&gt;0.5,"Debitor",""))</f>
        <v/>
      </c>
      <c r="B91" s="13">
        <f>IF(A91="","",'13_Ausgangsrechnungen'!A91)</f>
        <v/>
      </c>
      <c r="C91" s="44">
        <f>IF(A91="","",'13_Ausgangsrechnungen'!B91)</f>
        <v/>
      </c>
      <c r="D91" s="13">
        <f>IF(A91="","",'13_Ausgangsrechnungen'!D91)</f>
        <v/>
      </c>
      <c r="E91" s="13">
        <f>IF(A91="","",'13_Ausgangsrechnungen'!C91)</f>
        <v/>
      </c>
      <c r="F91" s="13">
        <f>IF(A91="","",'13_Ausgangsrechnungen'!E91)</f>
        <v/>
      </c>
      <c r="G91" s="15">
        <f>IF(A91="","",'13_Ausgangsrechnungen'!Q91)</f>
        <v/>
      </c>
      <c r="H91" s="15">
        <f>IF(A91="","",'13_Ausgangsrechnungen'!S91)</f>
        <v/>
      </c>
      <c r="I91" s="44">
        <f>IF(A91="","",'13_Ausgangsrechnungen'!J91)</f>
        <v/>
      </c>
      <c r="J91" s="45">
        <f>IF(A91="","",'13_Ausgangsrechnungen'!T91)</f>
        <v/>
      </c>
      <c r="L91" s="13">
        <f>IF('14_Eingangsrechnungen'!A91="","",IF('14_Eingangsrechnungen'!O91&gt;0.5,"Kreditor",""))</f>
        <v/>
      </c>
      <c r="M91" s="13">
        <f>IF(L91="","",'14_Eingangsrechnungen'!A91)</f>
        <v/>
      </c>
      <c r="N91" s="44">
        <f>IF(L91="","",'14_Eingangsrechnungen'!B91)</f>
        <v/>
      </c>
      <c r="O91" s="13">
        <f>IF(L91="","",'14_Eingangsrechnungen'!D91)</f>
        <v/>
      </c>
      <c r="P91" s="13">
        <f>IF(L91="","",'14_Eingangsrechnungen'!C91)</f>
        <v/>
      </c>
      <c r="Q91" s="13">
        <f>IF(L91="","",'14_Eingangsrechnungen'!E91)</f>
        <v/>
      </c>
      <c r="R91" s="15">
        <f>IF(L91="","",'14_Eingangsrechnungen'!M91)</f>
        <v/>
      </c>
      <c r="S91" s="15">
        <f>IF(L91="","",'14_Eingangsrechnungen'!O91)</f>
        <v/>
      </c>
      <c r="T91" s="44">
        <f>IF(L91="","",'14_Eingangsrechnungen'!H91)</f>
        <v/>
      </c>
      <c r="U91" s="45">
        <f>IF(L91="","",'14_Eingangsrechnungen'!P91)</f>
        <v/>
      </c>
    </row>
    <row r="92">
      <c r="A92" s="13">
        <f>IF('13_Ausgangsrechnungen'!A92="","",IF('13_Ausgangsrechnungen'!S92&gt;0.5,"Debitor",""))</f>
        <v/>
      </c>
      <c r="B92" s="13">
        <f>IF(A92="","",'13_Ausgangsrechnungen'!A92)</f>
        <v/>
      </c>
      <c r="C92" s="44">
        <f>IF(A92="","",'13_Ausgangsrechnungen'!B92)</f>
        <v/>
      </c>
      <c r="D92" s="13">
        <f>IF(A92="","",'13_Ausgangsrechnungen'!D92)</f>
        <v/>
      </c>
      <c r="E92" s="13">
        <f>IF(A92="","",'13_Ausgangsrechnungen'!C92)</f>
        <v/>
      </c>
      <c r="F92" s="13">
        <f>IF(A92="","",'13_Ausgangsrechnungen'!E92)</f>
        <v/>
      </c>
      <c r="G92" s="15">
        <f>IF(A92="","",'13_Ausgangsrechnungen'!Q92)</f>
        <v/>
      </c>
      <c r="H92" s="15">
        <f>IF(A92="","",'13_Ausgangsrechnungen'!S92)</f>
        <v/>
      </c>
      <c r="I92" s="44">
        <f>IF(A92="","",'13_Ausgangsrechnungen'!J92)</f>
        <v/>
      </c>
      <c r="J92" s="45">
        <f>IF(A92="","",'13_Ausgangsrechnungen'!T92)</f>
        <v/>
      </c>
      <c r="L92" s="13">
        <f>IF('14_Eingangsrechnungen'!A92="","",IF('14_Eingangsrechnungen'!O92&gt;0.5,"Kreditor",""))</f>
        <v/>
      </c>
      <c r="M92" s="13">
        <f>IF(L92="","",'14_Eingangsrechnungen'!A92)</f>
        <v/>
      </c>
      <c r="N92" s="44">
        <f>IF(L92="","",'14_Eingangsrechnungen'!B92)</f>
        <v/>
      </c>
      <c r="O92" s="13">
        <f>IF(L92="","",'14_Eingangsrechnungen'!D92)</f>
        <v/>
      </c>
      <c r="P92" s="13">
        <f>IF(L92="","",'14_Eingangsrechnungen'!C92)</f>
        <v/>
      </c>
      <c r="Q92" s="13">
        <f>IF(L92="","",'14_Eingangsrechnungen'!E92)</f>
        <v/>
      </c>
      <c r="R92" s="15">
        <f>IF(L92="","",'14_Eingangsrechnungen'!M92)</f>
        <v/>
      </c>
      <c r="S92" s="15">
        <f>IF(L92="","",'14_Eingangsrechnungen'!O92)</f>
        <v/>
      </c>
      <c r="T92" s="44">
        <f>IF(L92="","",'14_Eingangsrechnungen'!H92)</f>
        <v/>
      </c>
      <c r="U92" s="45">
        <f>IF(L92="","",'14_Eingangsrechnungen'!P92)</f>
        <v/>
      </c>
    </row>
    <row r="93">
      <c r="A93" s="13">
        <f>IF('13_Ausgangsrechnungen'!A93="","",IF('13_Ausgangsrechnungen'!S93&gt;0.5,"Debitor",""))</f>
        <v/>
      </c>
      <c r="B93" s="13">
        <f>IF(A93="","",'13_Ausgangsrechnungen'!A93)</f>
        <v/>
      </c>
      <c r="C93" s="44">
        <f>IF(A93="","",'13_Ausgangsrechnungen'!B93)</f>
        <v/>
      </c>
      <c r="D93" s="13">
        <f>IF(A93="","",'13_Ausgangsrechnungen'!D93)</f>
        <v/>
      </c>
      <c r="E93" s="13">
        <f>IF(A93="","",'13_Ausgangsrechnungen'!C93)</f>
        <v/>
      </c>
      <c r="F93" s="13">
        <f>IF(A93="","",'13_Ausgangsrechnungen'!E93)</f>
        <v/>
      </c>
      <c r="G93" s="15">
        <f>IF(A93="","",'13_Ausgangsrechnungen'!Q93)</f>
        <v/>
      </c>
      <c r="H93" s="15">
        <f>IF(A93="","",'13_Ausgangsrechnungen'!S93)</f>
        <v/>
      </c>
      <c r="I93" s="44">
        <f>IF(A93="","",'13_Ausgangsrechnungen'!J93)</f>
        <v/>
      </c>
      <c r="J93" s="45">
        <f>IF(A93="","",'13_Ausgangsrechnungen'!T93)</f>
        <v/>
      </c>
      <c r="L93" s="13">
        <f>IF('14_Eingangsrechnungen'!A93="","",IF('14_Eingangsrechnungen'!O93&gt;0.5,"Kreditor",""))</f>
        <v/>
      </c>
      <c r="M93" s="13">
        <f>IF(L93="","",'14_Eingangsrechnungen'!A93)</f>
        <v/>
      </c>
      <c r="N93" s="44">
        <f>IF(L93="","",'14_Eingangsrechnungen'!B93)</f>
        <v/>
      </c>
      <c r="O93" s="13">
        <f>IF(L93="","",'14_Eingangsrechnungen'!D93)</f>
        <v/>
      </c>
      <c r="P93" s="13">
        <f>IF(L93="","",'14_Eingangsrechnungen'!C93)</f>
        <v/>
      </c>
      <c r="Q93" s="13">
        <f>IF(L93="","",'14_Eingangsrechnungen'!E93)</f>
        <v/>
      </c>
      <c r="R93" s="15">
        <f>IF(L93="","",'14_Eingangsrechnungen'!M93)</f>
        <v/>
      </c>
      <c r="S93" s="15">
        <f>IF(L93="","",'14_Eingangsrechnungen'!O93)</f>
        <v/>
      </c>
      <c r="T93" s="44">
        <f>IF(L93="","",'14_Eingangsrechnungen'!H93)</f>
        <v/>
      </c>
      <c r="U93" s="45">
        <f>IF(L93="","",'14_Eingangsrechnungen'!P93)</f>
        <v/>
      </c>
    </row>
    <row r="94">
      <c r="A94" s="13">
        <f>IF('13_Ausgangsrechnungen'!A94="","",IF('13_Ausgangsrechnungen'!S94&gt;0.5,"Debitor",""))</f>
        <v/>
      </c>
      <c r="B94" s="13">
        <f>IF(A94="","",'13_Ausgangsrechnungen'!A94)</f>
        <v/>
      </c>
      <c r="C94" s="44">
        <f>IF(A94="","",'13_Ausgangsrechnungen'!B94)</f>
        <v/>
      </c>
      <c r="D94" s="13">
        <f>IF(A94="","",'13_Ausgangsrechnungen'!D94)</f>
        <v/>
      </c>
      <c r="E94" s="13">
        <f>IF(A94="","",'13_Ausgangsrechnungen'!C94)</f>
        <v/>
      </c>
      <c r="F94" s="13">
        <f>IF(A94="","",'13_Ausgangsrechnungen'!E94)</f>
        <v/>
      </c>
      <c r="G94" s="15">
        <f>IF(A94="","",'13_Ausgangsrechnungen'!Q94)</f>
        <v/>
      </c>
      <c r="H94" s="15">
        <f>IF(A94="","",'13_Ausgangsrechnungen'!S94)</f>
        <v/>
      </c>
      <c r="I94" s="44">
        <f>IF(A94="","",'13_Ausgangsrechnungen'!J94)</f>
        <v/>
      </c>
      <c r="J94" s="45">
        <f>IF(A94="","",'13_Ausgangsrechnungen'!T94)</f>
        <v/>
      </c>
      <c r="L94" s="13">
        <f>IF('14_Eingangsrechnungen'!A94="","",IF('14_Eingangsrechnungen'!O94&gt;0.5,"Kreditor",""))</f>
        <v/>
      </c>
      <c r="M94" s="13">
        <f>IF(L94="","",'14_Eingangsrechnungen'!A94)</f>
        <v/>
      </c>
      <c r="N94" s="44">
        <f>IF(L94="","",'14_Eingangsrechnungen'!B94)</f>
        <v/>
      </c>
      <c r="O94" s="13">
        <f>IF(L94="","",'14_Eingangsrechnungen'!D94)</f>
        <v/>
      </c>
      <c r="P94" s="13">
        <f>IF(L94="","",'14_Eingangsrechnungen'!C94)</f>
        <v/>
      </c>
      <c r="Q94" s="13">
        <f>IF(L94="","",'14_Eingangsrechnungen'!E94)</f>
        <v/>
      </c>
      <c r="R94" s="15">
        <f>IF(L94="","",'14_Eingangsrechnungen'!M94)</f>
        <v/>
      </c>
      <c r="S94" s="15">
        <f>IF(L94="","",'14_Eingangsrechnungen'!O94)</f>
        <v/>
      </c>
      <c r="T94" s="44">
        <f>IF(L94="","",'14_Eingangsrechnungen'!H94)</f>
        <v/>
      </c>
      <c r="U94" s="45">
        <f>IF(L94="","",'14_Eingangsrechnungen'!P94)</f>
        <v/>
      </c>
    </row>
    <row r="95">
      <c r="A95" s="13">
        <f>IF('13_Ausgangsrechnungen'!A95="","",IF('13_Ausgangsrechnungen'!S95&gt;0.5,"Debitor",""))</f>
        <v/>
      </c>
      <c r="B95" s="13">
        <f>IF(A95="","",'13_Ausgangsrechnungen'!A95)</f>
        <v/>
      </c>
      <c r="C95" s="44">
        <f>IF(A95="","",'13_Ausgangsrechnungen'!B95)</f>
        <v/>
      </c>
      <c r="D95" s="13">
        <f>IF(A95="","",'13_Ausgangsrechnungen'!D95)</f>
        <v/>
      </c>
      <c r="E95" s="13">
        <f>IF(A95="","",'13_Ausgangsrechnungen'!C95)</f>
        <v/>
      </c>
      <c r="F95" s="13">
        <f>IF(A95="","",'13_Ausgangsrechnungen'!E95)</f>
        <v/>
      </c>
      <c r="G95" s="15">
        <f>IF(A95="","",'13_Ausgangsrechnungen'!Q95)</f>
        <v/>
      </c>
      <c r="H95" s="15">
        <f>IF(A95="","",'13_Ausgangsrechnungen'!S95)</f>
        <v/>
      </c>
      <c r="I95" s="44">
        <f>IF(A95="","",'13_Ausgangsrechnungen'!J95)</f>
        <v/>
      </c>
      <c r="J95" s="45">
        <f>IF(A95="","",'13_Ausgangsrechnungen'!T95)</f>
        <v/>
      </c>
      <c r="L95" s="13">
        <f>IF('14_Eingangsrechnungen'!A95="","",IF('14_Eingangsrechnungen'!O95&gt;0.5,"Kreditor",""))</f>
        <v/>
      </c>
      <c r="M95" s="13">
        <f>IF(L95="","",'14_Eingangsrechnungen'!A95)</f>
        <v/>
      </c>
      <c r="N95" s="44">
        <f>IF(L95="","",'14_Eingangsrechnungen'!B95)</f>
        <v/>
      </c>
      <c r="O95" s="13">
        <f>IF(L95="","",'14_Eingangsrechnungen'!D95)</f>
        <v/>
      </c>
      <c r="P95" s="13">
        <f>IF(L95="","",'14_Eingangsrechnungen'!C95)</f>
        <v/>
      </c>
      <c r="Q95" s="13">
        <f>IF(L95="","",'14_Eingangsrechnungen'!E95)</f>
        <v/>
      </c>
      <c r="R95" s="15">
        <f>IF(L95="","",'14_Eingangsrechnungen'!M95)</f>
        <v/>
      </c>
      <c r="S95" s="15">
        <f>IF(L95="","",'14_Eingangsrechnungen'!O95)</f>
        <v/>
      </c>
      <c r="T95" s="44">
        <f>IF(L95="","",'14_Eingangsrechnungen'!H95)</f>
        <v/>
      </c>
      <c r="U95" s="45">
        <f>IF(L95="","",'14_Eingangsrechnungen'!P95)</f>
        <v/>
      </c>
    </row>
    <row r="96">
      <c r="A96" s="13">
        <f>IF('13_Ausgangsrechnungen'!A96="","",IF('13_Ausgangsrechnungen'!S96&gt;0.5,"Debitor",""))</f>
        <v/>
      </c>
      <c r="B96" s="13">
        <f>IF(A96="","",'13_Ausgangsrechnungen'!A96)</f>
        <v/>
      </c>
      <c r="C96" s="44">
        <f>IF(A96="","",'13_Ausgangsrechnungen'!B96)</f>
        <v/>
      </c>
      <c r="D96" s="13">
        <f>IF(A96="","",'13_Ausgangsrechnungen'!D96)</f>
        <v/>
      </c>
      <c r="E96" s="13">
        <f>IF(A96="","",'13_Ausgangsrechnungen'!C96)</f>
        <v/>
      </c>
      <c r="F96" s="13">
        <f>IF(A96="","",'13_Ausgangsrechnungen'!E96)</f>
        <v/>
      </c>
      <c r="G96" s="15">
        <f>IF(A96="","",'13_Ausgangsrechnungen'!Q96)</f>
        <v/>
      </c>
      <c r="H96" s="15">
        <f>IF(A96="","",'13_Ausgangsrechnungen'!S96)</f>
        <v/>
      </c>
      <c r="I96" s="44">
        <f>IF(A96="","",'13_Ausgangsrechnungen'!J96)</f>
        <v/>
      </c>
      <c r="J96" s="45">
        <f>IF(A96="","",'13_Ausgangsrechnungen'!T96)</f>
        <v/>
      </c>
      <c r="L96" s="13">
        <f>IF('14_Eingangsrechnungen'!A96="","",IF('14_Eingangsrechnungen'!O96&gt;0.5,"Kreditor",""))</f>
        <v/>
      </c>
      <c r="M96" s="13">
        <f>IF(L96="","",'14_Eingangsrechnungen'!A96)</f>
        <v/>
      </c>
      <c r="N96" s="44">
        <f>IF(L96="","",'14_Eingangsrechnungen'!B96)</f>
        <v/>
      </c>
      <c r="O96" s="13">
        <f>IF(L96="","",'14_Eingangsrechnungen'!D96)</f>
        <v/>
      </c>
      <c r="P96" s="13">
        <f>IF(L96="","",'14_Eingangsrechnungen'!C96)</f>
        <v/>
      </c>
      <c r="Q96" s="13">
        <f>IF(L96="","",'14_Eingangsrechnungen'!E96)</f>
        <v/>
      </c>
      <c r="R96" s="15">
        <f>IF(L96="","",'14_Eingangsrechnungen'!M96)</f>
        <v/>
      </c>
      <c r="S96" s="15">
        <f>IF(L96="","",'14_Eingangsrechnungen'!O96)</f>
        <v/>
      </c>
      <c r="T96" s="44">
        <f>IF(L96="","",'14_Eingangsrechnungen'!H96)</f>
        <v/>
      </c>
      <c r="U96" s="45">
        <f>IF(L96="","",'14_Eingangsrechnungen'!P96)</f>
        <v/>
      </c>
    </row>
    <row r="97">
      <c r="A97" s="13">
        <f>IF('13_Ausgangsrechnungen'!A97="","",IF('13_Ausgangsrechnungen'!S97&gt;0.5,"Debitor",""))</f>
        <v/>
      </c>
      <c r="B97" s="13">
        <f>IF(A97="","",'13_Ausgangsrechnungen'!A97)</f>
        <v/>
      </c>
      <c r="C97" s="44">
        <f>IF(A97="","",'13_Ausgangsrechnungen'!B97)</f>
        <v/>
      </c>
      <c r="D97" s="13">
        <f>IF(A97="","",'13_Ausgangsrechnungen'!D97)</f>
        <v/>
      </c>
      <c r="E97" s="13">
        <f>IF(A97="","",'13_Ausgangsrechnungen'!C97)</f>
        <v/>
      </c>
      <c r="F97" s="13">
        <f>IF(A97="","",'13_Ausgangsrechnungen'!E97)</f>
        <v/>
      </c>
      <c r="G97" s="15">
        <f>IF(A97="","",'13_Ausgangsrechnungen'!Q97)</f>
        <v/>
      </c>
      <c r="H97" s="15">
        <f>IF(A97="","",'13_Ausgangsrechnungen'!S97)</f>
        <v/>
      </c>
      <c r="I97" s="44">
        <f>IF(A97="","",'13_Ausgangsrechnungen'!J97)</f>
        <v/>
      </c>
      <c r="J97" s="45">
        <f>IF(A97="","",'13_Ausgangsrechnungen'!T97)</f>
        <v/>
      </c>
      <c r="L97" s="13">
        <f>IF('14_Eingangsrechnungen'!A97="","",IF('14_Eingangsrechnungen'!O97&gt;0.5,"Kreditor",""))</f>
        <v/>
      </c>
      <c r="M97" s="13">
        <f>IF(L97="","",'14_Eingangsrechnungen'!A97)</f>
        <v/>
      </c>
      <c r="N97" s="44">
        <f>IF(L97="","",'14_Eingangsrechnungen'!B97)</f>
        <v/>
      </c>
      <c r="O97" s="13">
        <f>IF(L97="","",'14_Eingangsrechnungen'!D97)</f>
        <v/>
      </c>
      <c r="P97" s="13">
        <f>IF(L97="","",'14_Eingangsrechnungen'!C97)</f>
        <v/>
      </c>
      <c r="Q97" s="13">
        <f>IF(L97="","",'14_Eingangsrechnungen'!E97)</f>
        <v/>
      </c>
      <c r="R97" s="15">
        <f>IF(L97="","",'14_Eingangsrechnungen'!M97)</f>
        <v/>
      </c>
      <c r="S97" s="15">
        <f>IF(L97="","",'14_Eingangsrechnungen'!O97)</f>
        <v/>
      </c>
      <c r="T97" s="44">
        <f>IF(L97="","",'14_Eingangsrechnungen'!H97)</f>
        <v/>
      </c>
      <c r="U97" s="45">
        <f>IF(L97="","",'14_Eingangsrechnungen'!P97)</f>
        <v/>
      </c>
    </row>
    <row r="98">
      <c r="A98" s="13">
        <f>IF('13_Ausgangsrechnungen'!A98="","",IF('13_Ausgangsrechnungen'!S98&gt;0.5,"Debitor",""))</f>
        <v/>
      </c>
      <c r="B98" s="13">
        <f>IF(A98="","",'13_Ausgangsrechnungen'!A98)</f>
        <v/>
      </c>
      <c r="C98" s="44">
        <f>IF(A98="","",'13_Ausgangsrechnungen'!B98)</f>
        <v/>
      </c>
      <c r="D98" s="13">
        <f>IF(A98="","",'13_Ausgangsrechnungen'!D98)</f>
        <v/>
      </c>
      <c r="E98" s="13">
        <f>IF(A98="","",'13_Ausgangsrechnungen'!C98)</f>
        <v/>
      </c>
      <c r="F98" s="13">
        <f>IF(A98="","",'13_Ausgangsrechnungen'!E98)</f>
        <v/>
      </c>
      <c r="G98" s="15">
        <f>IF(A98="","",'13_Ausgangsrechnungen'!Q98)</f>
        <v/>
      </c>
      <c r="H98" s="15">
        <f>IF(A98="","",'13_Ausgangsrechnungen'!S98)</f>
        <v/>
      </c>
      <c r="I98" s="44">
        <f>IF(A98="","",'13_Ausgangsrechnungen'!J98)</f>
        <v/>
      </c>
      <c r="J98" s="45">
        <f>IF(A98="","",'13_Ausgangsrechnungen'!T98)</f>
        <v/>
      </c>
      <c r="L98" s="13">
        <f>IF('14_Eingangsrechnungen'!A98="","",IF('14_Eingangsrechnungen'!O98&gt;0.5,"Kreditor",""))</f>
        <v/>
      </c>
      <c r="M98" s="13">
        <f>IF(L98="","",'14_Eingangsrechnungen'!A98)</f>
        <v/>
      </c>
      <c r="N98" s="44">
        <f>IF(L98="","",'14_Eingangsrechnungen'!B98)</f>
        <v/>
      </c>
      <c r="O98" s="13">
        <f>IF(L98="","",'14_Eingangsrechnungen'!D98)</f>
        <v/>
      </c>
      <c r="P98" s="13">
        <f>IF(L98="","",'14_Eingangsrechnungen'!C98)</f>
        <v/>
      </c>
      <c r="Q98" s="13">
        <f>IF(L98="","",'14_Eingangsrechnungen'!E98)</f>
        <v/>
      </c>
      <c r="R98" s="15">
        <f>IF(L98="","",'14_Eingangsrechnungen'!M98)</f>
        <v/>
      </c>
      <c r="S98" s="15">
        <f>IF(L98="","",'14_Eingangsrechnungen'!O98)</f>
        <v/>
      </c>
      <c r="T98" s="44">
        <f>IF(L98="","",'14_Eingangsrechnungen'!H98)</f>
        <v/>
      </c>
      <c r="U98" s="45">
        <f>IF(L98="","",'14_Eingangsrechnungen'!P98)</f>
        <v/>
      </c>
    </row>
    <row r="99">
      <c r="A99" s="13">
        <f>IF('13_Ausgangsrechnungen'!A99="","",IF('13_Ausgangsrechnungen'!S99&gt;0.5,"Debitor",""))</f>
        <v/>
      </c>
      <c r="B99" s="13">
        <f>IF(A99="","",'13_Ausgangsrechnungen'!A99)</f>
        <v/>
      </c>
      <c r="C99" s="44">
        <f>IF(A99="","",'13_Ausgangsrechnungen'!B99)</f>
        <v/>
      </c>
      <c r="D99" s="13">
        <f>IF(A99="","",'13_Ausgangsrechnungen'!D99)</f>
        <v/>
      </c>
      <c r="E99" s="13">
        <f>IF(A99="","",'13_Ausgangsrechnungen'!C99)</f>
        <v/>
      </c>
      <c r="F99" s="13">
        <f>IF(A99="","",'13_Ausgangsrechnungen'!E99)</f>
        <v/>
      </c>
      <c r="G99" s="15">
        <f>IF(A99="","",'13_Ausgangsrechnungen'!Q99)</f>
        <v/>
      </c>
      <c r="H99" s="15">
        <f>IF(A99="","",'13_Ausgangsrechnungen'!S99)</f>
        <v/>
      </c>
      <c r="I99" s="44">
        <f>IF(A99="","",'13_Ausgangsrechnungen'!J99)</f>
        <v/>
      </c>
      <c r="J99" s="45">
        <f>IF(A99="","",'13_Ausgangsrechnungen'!T99)</f>
        <v/>
      </c>
      <c r="L99" s="13">
        <f>IF('14_Eingangsrechnungen'!A99="","",IF('14_Eingangsrechnungen'!O99&gt;0.5,"Kreditor",""))</f>
        <v/>
      </c>
      <c r="M99" s="13">
        <f>IF(L99="","",'14_Eingangsrechnungen'!A99)</f>
        <v/>
      </c>
      <c r="N99" s="44">
        <f>IF(L99="","",'14_Eingangsrechnungen'!B99)</f>
        <v/>
      </c>
      <c r="O99" s="13">
        <f>IF(L99="","",'14_Eingangsrechnungen'!D99)</f>
        <v/>
      </c>
      <c r="P99" s="13">
        <f>IF(L99="","",'14_Eingangsrechnungen'!C99)</f>
        <v/>
      </c>
      <c r="Q99" s="13">
        <f>IF(L99="","",'14_Eingangsrechnungen'!E99)</f>
        <v/>
      </c>
      <c r="R99" s="15">
        <f>IF(L99="","",'14_Eingangsrechnungen'!M99)</f>
        <v/>
      </c>
      <c r="S99" s="15">
        <f>IF(L99="","",'14_Eingangsrechnungen'!O99)</f>
        <v/>
      </c>
      <c r="T99" s="44">
        <f>IF(L99="","",'14_Eingangsrechnungen'!H99)</f>
        <v/>
      </c>
      <c r="U99" s="45">
        <f>IF(L99="","",'14_Eingangsrechnungen'!P99)</f>
        <v/>
      </c>
    </row>
    <row r="100">
      <c r="A100" s="13">
        <f>IF('13_Ausgangsrechnungen'!A100="","",IF('13_Ausgangsrechnungen'!S100&gt;0.5,"Debitor",""))</f>
        <v/>
      </c>
      <c r="B100" s="13">
        <f>IF(A100="","",'13_Ausgangsrechnungen'!A100)</f>
        <v/>
      </c>
      <c r="C100" s="44">
        <f>IF(A100="","",'13_Ausgangsrechnungen'!B100)</f>
        <v/>
      </c>
      <c r="D100" s="13">
        <f>IF(A100="","",'13_Ausgangsrechnungen'!D100)</f>
        <v/>
      </c>
      <c r="E100" s="13">
        <f>IF(A100="","",'13_Ausgangsrechnungen'!C100)</f>
        <v/>
      </c>
      <c r="F100" s="13">
        <f>IF(A100="","",'13_Ausgangsrechnungen'!E100)</f>
        <v/>
      </c>
      <c r="G100" s="15">
        <f>IF(A100="","",'13_Ausgangsrechnungen'!Q100)</f>
        <v/>
      </c>
      <c r="H100" s="15">
        <f>IF(A100="","",'13_Ausgangsrechnungen'!S100)</f>
        <v/>
      </c>
      <c r="I100" s="44">
        <f>IF(A100="","",'13_Ausgangsrechnungen'!J100)</f>
        <v/>
      </c>
      <c r="J100" s="45">
        <f>IF(A100="","",'13_Ausgangsrechnungen'!T100)</f>
        <v/>
      </c>
      <c r="L100" s="13">
        <f>IF('14_Eingangsrechnungen'!A100="","",IF('14_Eingangsrechnungen'!O100&gt;0.5,"Kreditor",""))</f>
        <v/>
      </c>
      <c r="M100" s="13">
        <f>IF(L100="","",'14_Eingangsrechnungen'!A100)</f>
        <v/>
      </c>
      <c r="N100" s="44">
        <f>IF(L100="","",'14_Eingangsrechnungen'!B100)</f>
        <v/>
      </c>
      <c r="O100" s="13">
        <f>IF(L100="","",'14_Eingangsrechnungen'!D100)</f>
        <v/>
      </c>
      <c r="P100" s="13">
        <f>IF(L100="","",'14_Eingangsrechnungen'!C100)</f>
        <v/>
      </c>
      <c r="Q100" s="13">
        <f>IF(L100="","",'14_Eingangsrechnungen'!E100)</f>
        <v/>
      </c>
      <c r="R100" s="15">
        <f>IF(L100="","",'14_Eingangsrechnungen'!M100)</f>
        <v/>
      </c>
      <c r="S100" s="15">
        <f>IF(L100="","",'14_Eingangsrechnungen'!O100)</f>
        <v/>
      </c>
      <c r="T100" s="44">
        <f>IF(L100="","",'14_Eingangsrechnungen'!H100)</f>
        <v/>
      </c>
      <c r="U100" s="45">
        <f>IF(L100="","",'14_Eingangsrechnungen'!P100)</f>
        <v/>
      </c>
    </row>
    <row r="101">
      <c r="A101" s="13">
        <f>IF('13_Ausgangsrechnungen'!A101="","",IF('13_Ausgangsrechnungen'!S101&gt;0.5,"Debitor",""))</f>
        <v/>
      </c>
      <c r="B101" s="13">
        <f>IF(A101="","",'13_Ausgangsrechnungen'!A101)</f>
        <v/>
      </c>
      <c r="C101" s="44">
        <f>IF(A101="","",'13_Ausgangsrechnungen'!B101)</f>
        <v/>
      </c>
      <c r="D101" s="13">
        <f>IF(A101="","",'13_Ausgangsrechnungen'!D101)</f>
        <v/>
      </c>
      <c r="E101" s="13">
        <f>IF(A101="","",'13_Ausgangsrechnungen'!C101)</f>
        <v/>
      </c>
      <c r="F101" s="13">
        <f>IF(A101="","",'13_Ausgangsrechnungen'!E101)</f>
        <v/>
      </c>
      <c r="G101" s="15">
        <f>IF(A101="","",'13_Ausgangsrechnungen'!Q101)</f>
        <v/>
      </c>
      <c r="H101" s="15">
        <f>IF(A101="","",'13_Ausgangsrechnungen'!S101)</f>
        <v/>
      </c>
      <c r="I101" s="44">
        <f>IF(A101="","",'13_Ausgangsrechnungen'!J101)</f>
        <v/>
      </c>
      <c r="J101" s="45">
        <f>IF(A101="","",'13_Ausgangsrechnungen'!T101)</f>
        <v/>
      </c>
      <c r="L101" s="13">
        <f>IF('14_Eingangsrechnungen'!A101="","",IF('14_Eingangsrechnungen'!O101&gt;0.5,"Kreditor",""))</f>
        <v/>
      </c>
      <c r="M101" s="13">
        <f>IF(L101="","",'14_Eingangsrechnungen'!A101)</f>
        <v/>
      </c>
      <c r="N101" s="44">
        <f>IF(L101="","",'14_Eingangsrechnungen'!B101)</f>
        <v/>
      </c>
      <c r="O101" s="13">
        <f>IF(L101="","",'14_Eingangsrechnungen'!D101)</f>
        <v/>
      </c>
      <c r="P101" s="13">
        <f>IF(L101="","",'14_Eingangsrechnungen'!C101)</f>
        <v/>
      </c>
      <c r="Q101" s="13">
        <f>IF(L101="","",'14_Eingangsrechnungen'!E101)</f>
        <v/>
      </c>
      <c r="R101" s="15">
        <f>IF(L101="","",'14_Eingangsrechnungen'!M101)</f>
        <v/>
      </c>
      <c r="S101" s="15">
        <f>IF(L101="","",'14_Eingangsrechnungen'!O101)</f>
        <v/>
      </c>
      <c r="T101" s="44">
        <f>IF(L101="","",'14_Eingangsrechnungen'!H101)</f>
        <v/>
      </c>
      <c r="U101" s="45">
        <f>IF(L101="","",'14_Eingangsrechnungen'!P101)</f>
        <v/>
      </c>
    </row>
    <row r="102">
      <c r="A102" s="13">
        <f>IF('13_Ausgangsrechnungen'!A102="","",IF('13_Ausgangsrechnungen'!S102&gt;0.5,"Debitor",""))</f>
        <v/>
      </c>
      <c r="B102" s="13">
        <f>IF(A102="","",'13_Ausgangsrechnungen'!A102)</f>
        <v/>
      </c>
      <c r="C102" s="44">
        <f>IF(A102="","",'13_Ausgangsrechnungen'!B102)</f>
        <v/>
      </c>
      <c r="D102" s="13">
        <f>IF(A102="","",'13_Ausgangsrechnungen'!D102)</f>
        <v/>
      </c>
      <c r="E102" s="13">
        <f>IF(A102="","",'13_Ausgangsrechnungen'!C102)</f>
        <v/>
      </c>
      <c r="F102" s="13">
        <f>IF(A102="","",'13_Ausgangsrechnungen'!E102)</f>
        <v/>
      </c>
      <c r="G102" s="15">
        <f>IF(A102="","",'13_Ausgangsrechnungen'!Q102)</f>
        <v/>
      </c>
      <c r="H102" s="15">
        <f>IF(A102="","",'13_Ausgangsrechnungen'!S102)</f>
        <v/>
      </c>
      <c r="I102" s="44">
        <f>IF(A102="","",'13_Ausgangsrechnungen'!J102)</f>
        <v/>
      </c>
      <c r="J102" s="45">
        <f>IF(A102="","",'13_Ausgangsrechnungen'!T102)</f>
        <v/>
      </c>
      <c r="L102" s="13">
        <f>IF('14_Eingangsrechnungen'!A102="","",IF('14_Eingangsrechnungen'!O102&gt;0.5,"Kreditor",""))</f>
        <v/>
      </c>
      <c r="M102" s="13">
        <f>IF(L102="","",'14_Eingangsrechnungen'!A102)</f>
        <v/>
      </c>
      <c r="N102" s="44">
        <f>IF(L102="","",'14_Eingangsrechnungen'!B102)</f>
        <v/>
      </c>
      <c r="O102" s="13">
        <f>IF(L102="","",'14_Eingangsrechnungen'!D102)</f>
        <v/>
      </c>
      <c r="P102" s="13">
        <f>IF(L102="","",'14_Eingangsrechnungen'!C102)</f>
        <v/>
      </c>
      <c r="Q102" s="13">
        <f>IF(L102="","",'14_Eingangsrechnungen'!E102)</f>
        <v/>
      </c>
      <c r="R102" s="15">
        <f>IF(L102="","",'14_Eingangsrechnungen'!M102)</f>
        <v/>
      </c>
      <c r="S102" s="15">
        <f>IF(L102="","",'14_Eingangsrechnungen'!O102)</f>
        <v/>
      </c>
      <c r="T102" s="44">
        <f>IF(L102="","",'14_Eingangsrechnungen'!H102)</f>
        <v/>
      </c>
      <c r="U102" s="45">
        <f>IF(L102="","",'14_Eingangsrechnungen'!P102)</f>
        <v/>
      </c>
    </row>
    <row r="103">
      <c r="A103" s="13">
        <f>IF('13_Ausgangsrechnungen'!A103="","",IF('13_Ausgangsrechnungen'!S103&gt;0.5,"Debitor",""))</f>
        <v/>
      </c>
      <c r="B103" s="13">
        <f>IF(A103="","",'13_Ausgangsrechnungen'!A103)</f>
        <v/>
      </c>
      <c r="C103" s="44">
        <f>IF(A103="","",'13_Ausgangsrechnungen'!B103)</f>
        <v/>
      </c>
      <c r="D103" s="13">
        <f>IF(A103="","",'13_Ausgangsrechnungen'!D103)</f>
        <v/>
      </c>
      <c r="E103" s="13">
        <f>IF(A103="","",'13_Ausgangsrechnungen'!C103)</f>
        <v/>
      </c>
      <c r="F103" s="13">
        <f>IF(A103="","",'13_Ausgangsrechnungen'!E103)</f>
        <v/>
      </c>
      <c r="G103" s="15">
        <f>IF(A103="","",'13_Ausgangsrechnungen'!Q103)</f>
        <v/>
      </c>
      <c r="H103" s="15">
        <f>IF(A103="","",'13_Ausgangsrechnungen'!S103)</f>
        <v/>
      </c>
      <c r="I103" s="44">
        <f>IF(A103="","",'13_Ausgangsrechnungen'!J103)</f>
        <v/>
      </c>
      <c r="J103" s="45">
        <f>IF(A103="","",'13_Ausgangsrechnungen'!T103)</f>
        <v/>
      </c>
      <c r="L103" s="13">
        <f>IF('14_Eingangsrechnungen'!A103="","",IF('14_Eingangsrechnungen'!O103&gt;0.5,"Kreditor",""))</f>
        <v/>
      </c>
      <c r="M103" s="13">
        <f>IF(L103="","",'14_Eingangsrechnungen'!A103)</f>
        <v/>
      </c>
      <c r="N103" s="44">
        <f>IF(L103="","",'14_Eingangsrechnungen'!B103)</f>
        <v/>
      </c>
      <c r="O103" s="13">
        <f>IF(L103="","",'14_Eingangsrechnungen'!D103)</f>
        <v/>
      </c>
      <c r="P103" s="13">
        <f>IF(L103="","",'14_Eingangsrechnungen'!C103)</f>
        <v/>
      </c>
      <c r="Q103" s="13">
        <f>IF(L103="","",'14_Eingangsrechnungen'!E103)</f>
        <v/>
      </c>
      <c r="R103" s="15">
        <f>IF(L103="","",'14_Eingangsrechnungen'!M103)</f>
        <v/>
      </c>
      <c r="S103" s="15">
        <f>IF(L103="","",'14_Eingangsrechnungen'!O103)</f>
        <v/>
      </c>
      <c r="T103" s="44">
        <f>IF(L103="","",'14_Eingangsrechnungen'!H103)</f>
        <v/>
      </c>
      <c r="U103" s="45">
        <f>IF(L103="","",'14_Eingangsrechnungen'!P103)</f>
        <v/>
      </c>
    </row>
    <row r="104">
      <c r="A104" s="13">
        <f>IF('13_Ausgangsrechnungen'!A104="","",IF('13_Ausgangsrechnungen'!S104&gt;0.5,"Debitor",""))</f>
        <v/>
      </c>
      <c r="B104" s="13">
        <f>IF(A104="","",'13_Ausgangsrechnungen'!A104)</f>
        <v/>
      </c>
      <c r="C104" s="44">
        <f>IF(A104="","",'13_Ausgangsrechnungen'!B104)</f>
        <v/>
      </c>
      <c r="D104" s="13">
        <f>IF(A104="","",'13_Ausgangsrechnungen'!D104)</f>
        <v/>
      </c>
      <c r="E104" s="13">
        <f>IF(A104="","",'13_Ausgangsrechnungen'!C104)</f>
        <v/>
      </c>
      <c r="F104" s="13">
        <f>IF(A104="","",'13_Ausgangsrechnungen'!E104)</f>
        <v/>
      </c>
      <c r="G104" s="15">
        <f>IF(A104="","",'13_Ausgangsrechnungen'!Q104)</f>
        <v/>
      </c>
      <c r="H104" s="15">
        <f>IF(A104="","",'13_Ausgangsrechnungen'!S104)</f>
        <v/>
      </c>
      <c r="I104" s="44">
        <f>IF(A104="","",'13_Ausgangsrechnungen'!J104)</f>
        <v/>
      </c>
      <c r="J104" s="45">
        <f>IF(A104="","",'13_Ausgangsrechnungen'!T104)</f>
        <v/>
      </c>
      <c r="L104" s="13">
        <f>IF('14_Eingangsrechnungen'!A104="","",IF('14_Eingangsrechnungen'!O104&gt;0.5,"Kreditor",""))</f>
        <v/>
      </c>
      <c r="M104" s="13">
        <f>IF(L104="","",'14_Eingangsrechnungen'!A104)</f>
        <v/>
      </c>
      <c r="N104" s="44">
        <f>IF(L104="","",'14_Eingangsrechnungen'!B104)</f>
        <v/>
      </c>
      <c r="O104" s="13">
        <f>IF(L104="","",'14_Eingangsrechnungen'!D104)</f>
        <v/>
      </c>
      <c r="P104" s="13">
        <f>IF(L104="","",'14_Eingangsrechnungen'!C104)</f>
        <v/>
      </c>
      <c r="Q104" s="13">
        <f>IF(L104="","",'14_Eingangsrechnungen'!E104)</f>
        <v/>
      </c>
      <c r="R104" s="15">
        <f>IF(L104="","",'14_Eingangsrechnungen'!M104)</f>
        <v/>
      </c>
      <c r="S104" s="15">
        <f>IF(L104="","",'14_Eingangsrechnungen'!O104)</f>
        <v/>
      </c>
      <c r="T104" s="44">
        <f>IF(L104="","",'14_Eingangsrechnungen'!H104)</f>
        <v/>
      </c>
      <c r="U104" s="45">
        <f>IF(L104="","",'14_Eingangsrechnungen'!P104)</f>
        <v/>
      </c>
    </row>
    <row r="105">
      <c r="A105" s="13">
        <f>IF('13_Ausgangsrechnungen'!A105="","",IF('13_Ausgangsrechnungen'!S105&gt;0.5,"Debitor",""))</f>
        <v/>
      </c>
      <c r="B105" s="13">
        <f>IF(A105="","",'13_Ausgangsrechnungen'!A105)</f>
        <v/>
      </c>
      <c r="C105" s="44">
        <f>IF(A105="","",'13_Ausgangsrechnungen'!B105)</f>
        <v/>
      </c>
      <c r="D105" s="13">
        <f>IF(A105="","",'13_Ausgangsrechnungen'!D105)</f>
        <v/>
      </c>
      <c r="E105" s="13">
        <f>IF(A105="","",'13_Ausgangsrechnungen'!C105)</f>
        <v/>
      </c>
      <c r="F105" s="13">
        <f>IF(A105="","",'13_Ausgangsrechnungen'!E105)</f>
        <v/>
      </c>
      <c r="G105" s="15">
        <f>IF(A105="","",'13_Ausgangsrechnungen'!Q105)</f>
        <v/>
      </c>
      <c r="H105" s="15">
        <f>IF(A105="","",'13_Ausgangsrechnungen'!S105)</f>
        <v/>
      </c>
      <c r="I105" s="44">
        <f>IF(A105="","",'13_Ausgangsrechnungen'!J105)</f>
        <v/>
      </c>
      <c r="J105" s="45">
        <f>IF(A105="","",'13_Ausgangsrechnungen'!T105)</f>
        <v/>
      </c>
      <c r="L105" s="13">
        <f>IF('14_Eingangsrechnungen'!A105="","",IF('14_Eingangsrechnungen'!O105&gt;0.5,"Kreditor",""))</f>
        <v/>
      </c>
      <c r="M105" s="13">
        <f>IF(L105="","",'14_Eingangsrechnungen'!A105)</f>
        <v/>
      </c>
      <c r="N105" s="44">
        <f>IF(L105="","",'14_Eingangsrechnungen'!B105)</f>
        <v/>
      </c>
      <c r="O105" s="13">
        <f>IF(L105="","",'14_Eingangsrechnungen'!D105)</f>
        <v/>
      </c>
      <c r="P105" s="13">
        <f>IF(L105="","",'14_Eingangsrechnungen'!C105)</f>
        <v/>
      </c>
      <c r="Q105" s="13">
        <f>IF(L105="","",'14_Eingangsrechnungen'!E105)</f>
        <v/>
      </c>
      <c r="R105" s="15">
        <f>IF(L105="","",'14_Eingangsrechnungen'!M105)</f>
        <v/>
      </c>
      <c r="S105" s="15">
        <f>IF(L105="","",'14_Eingangsrechnungen'!O105)</f>
        <v/>
      </c>
      <c r="T105" s="44">
        <f>IF(L105="","",'14_Eingangsrechnungen'!H105)</f>
        <v/>
      </c>
      <c r="U105" s="45">
        <f>IF(L105="","",'14_Eingangsrechnungen'!P105)</f>
        <v/>
      </c>
    </row>
    <row r="106">
      <c r="A106" s="13">
        <f>IF('13_Ausgangsrechnungen'!A106="","",IF('13_Ausgangsrechnungen'!S106&gt;0.5,"Debitor",""))</f>
        <v/>
      </c>
      <c r="B106" s="13">
        <f>IF(A106="","",'13_Ausgangsrechnungen'!A106)</f>
        <v/>
      </c>
      <c r="C106" s="44">
        <f>IF(A106="","",'13_Ausgangsrechnungen'!B106)</f>
        <v/>
      </c>
      <c r="D106" s="13">
        <f>IF(A106="","",'13_Ausgangsrechnungen'!D106)</f>
        <v/>
      </c>
      <c r="E106" s="13">
        <f>IF(A106="","",'13_Ausgangsrechnungen'!C106)</f>
        <v/>
      </c>
      <c r="F106" s="13">
        <f>IF(A106="","",'13_Ausgangsrechnungen'!E106)</f>
        <v/>
      </c>
      <c r="G106" s="15">
        <f>IF(A106="","",'13_Ausgangsrechnungen'!Q106)</f>
        <v/>
      </c>
      <c r="H106" s="15">
        <f>IF(A106="","",'13_Ausgangsrechnungen'!S106)</f>
        <v/>
      </c>
      <c r="I106" s="44">
        <f>IF(A106="","",'13_Ausgangsrechnungen'!J106)</f>
        <v/>
      </c>
      <c r="J106" s="45">
        <f>IF(A106="","",'13_Ausgangsrechnungen'!T106)</f>
        <v/>
      </c>
      <c r="L106" s="13">
        <f>IF('14_Eingangsrechnungen'!A106="","",IF('14_Eingangsrechnungen'!O106&gt;0.5,"Kreditor",""))</f>
        <v/>
      </c>
      <c r="M106" s="13">
        <f>IF(L106="","",'14_Eingangsrechnungen'!A106)</f>
        <v/>
      </c>
      <c r="N106" s="44">
        <f>IF(L106="","",'14_Eingangsrechnungen'!B106)</f>
        <v/>
      </c>
      <c r="O106" s="13">
        <f>IF(L106="","",'14_Eingangsrechnungen'!D106)</f>
        <v/>
      </c>
      <c r="P106" s="13">
        <f>IF(L106="","",'14_Eingangsrechnungen'!C106)</f>
        <v/>
      </c>
      <c r="Q106" s="13">
        <f>IF(L106="","",'14_Eingangsrechnungen'!E106)</f>
        <v/>
      </c>
      <c r="R106" s="15">
        <f>IF(L106="","",'14_Eingangsrechnungen'!M106)</f>
        <v/>
      </c>
      <c r="S106" s="15">
        <f>IF(L106="","",'14_Eingangsrechnungen'!O106)</f>
        <v/>
      </c>
      <c r="T106" s="44">
        <f>IF(L106="","",'14_Eingangsrechnungen'!H106)</f>
        <v/>
      </c>
      <c r="U106" s="45">
        <f>IF(L106="","",'14_Eingangsrechnungen'!P106)</f>
        <v/>
      </c>
    </row>
    <row r="107">
      <c r="A107" s="13">
        <f>IF('13_Ausgangsrechnungen'!A107="","",IF('13_Ausgangsrechnungen'!S107&gt;0.5,"Debitor",""))</f>
        <v/>
      </c>
      <c r="B107" s="13">
        <f>IF(A107="","",'13_Ausgangsrechnungen'!A107)</f>
        <v/>
      </c>
      <c r="C107" s="44">
        <f>IF(A107="","",'13_Ausgangsrechnungen'!B107)</f>
        <v/>
      </c>
      <c r="D107" s="13">
        <f>IF(A107="","",'13_Ausgangsrechnungen'!D107)</f>
        <v/>
      </c>
      <c r="E107" s="13">
        <f>IF(A107="","",'13_Ausgangsrechnungen'!C107)</f>
        <v/>
      </c>
      <c r="F107" s="13">
        <f>IF(A107="","",'13_Ausgangsrechnungen'!E107)</f>
        <v/>
      </c>
      <c r="G107" s="15">
        <f>IF(A107="","",'13_Ausgangsrechnungen'!Q107)</f>
        <v/>
      </c>
      <c r="H107" s="15">
        <f>IF(A107="","",'13_Ausgangsrechnungen'!S107)</f>
        <v/>
      </c>
      <c r="I107" s="44">
        <f>IF(A107="","",'13_Ausgangsrechnungen'!J107)</f>
        <v/>
      </c>
      <c r="J107" s="45">
        <f>IF(A107="","",'13_Ausgangsrechnungen'!T107)</f>
        <v/>
      </c>
      <c r="L107" s="13">
        <f>IF('14_Eingangsrechnungen'!A107="","",IF('14_Eingangsrechnungen'!O107&gt;0.5,"Kreditor",""))</f>
        <v/>
      </c>
      <c r="M107" s="13">
        <f>IF(L107="","",'14_Eingangsrechnungen'!A107)</f>
        <v/>
      </c>
      <c r="N107" s="44">
        <f>IF(L107="","",'14_Eingangsrechnungen'!B107)</f>
        <v/>
      </c>
      <c r="O107" s="13">
        <f>IF(L107="","",'14_Eingangsrechnungen'!D107)</f>
        <v/>
      </c>
      <c r="P107" s="13">
        <f>IF(L107="","",'14_Eingangsrechnungen'!C107)</f>
        <v/>
      </c>
      <c r="Q107" s="13">
        <f>IF(L107="","",'14_Eingangsrechnungen'!E107)</f>
        <v/>
      </c>
      <c r="R107" s="15">
        <f>IF(L107="","",'14_Eingangsrechnungen'!M107)</f>
        <v/>
      </c>
      <c r="S107" s="15">
        <f>IF(L107="","",'14_Eingangsrechnungen'!O107)</f>
        <v/>
      </c>
      <c r="T107" s="44">
        <f>IF(L107="","",'14_Eingangsrechnungen'!H107)</f>
        <v/>
      </c>
      <c r="U107" s="45">
        <f>IF(L107="","",'14_Eingangsrechnungen'!P107)</f>
        <v/>
      </c>
    </row>
    <row r="108">
      <c r="A108" s="13">
        <f>IF('13_Ausgangsrechnungen'!A108="","",IF('13_Ausgangsrechnungen'!S108&gt;0.5,"Debitor",""))</f>
        <v/>
      </c>
      <c r="B108" s="13">
        <f>IF(A108="","",'13_Ausgangsrechnungen'!A108)</f>
        <v/>
      </c>
      <c r="C108" s="44">
        <f>IF(A108="","",'13_Ausgangsrechnungen'!B108)</f>
        <v/>
      </c>
      <c r="D108" s="13">
        <f>IF(A108="","",'13_Ausgangsrechnungen'!D108)</f>
        <v/>
      </c>
      <c r="E108" s="13">
        <f>IF(A108="","",'13_Ausgangsrechnungen'!C108)</f>
        <v/>
      </c>
      <c r="F108" s="13">
        <f>IF(A108="","",'13_Ausgangsrechnungen'!E108)</f>
        <v/>
      </c>
      <c r="G108" s="15">
        <f>IF(A108="","",'13_Ausgangsrechnungen'!Q108)</f>
        <v/>
      </c>
      <c r="H108" s="15">
        <f>IF(A108="","",'13_Ausgangsrechnungen'!S108)</f>
        <v/>
      </c>
      <c r="I108" s="44">
        <f>IF(A108="","",'13_Ausgangsrechnungen'!J108)</f>
        <v/>
      </c>
      <c r="J108" s="45">
        <f>IF(A108="","",'13_Ausgangsrechnungen'!T108)</f>
        <v/>
      </c>
      <c r="L108" s="13">
        <f>IF('14_Eingangsrechnungen'!A108="","",IF('14_Eingangsrechnungen'!O108&gt;0.5,"Kreditor",""))</f>
        <v/>
      </c>
      <c r="M108" s="13">
        <f>IF(L108="","",'14_Eingangsrechnungen'!A108)</f>
        <v/>
      </c>
      <c r="N108" s="44">
        <f>IF(L108="","",'14_Eingangsrechnungen'!B108)</f>
        <v/>
      </c>
      <c r="O108" s="13">
        <f>IF(L108="","",'14_Eingangsrechnungen'!D108)</f>
        <v/>
      </c>
      <c r="P108" s="13">
        <f>IF(L108="","",'14_Eingangsrechnungen'!C108)</f>
        <v/>
      </c>
      <c r="Q108" s="13">
        <f>IF(L108="","",'14_Eingangsrechnungen'!E108)</f>
        <v/>
      </c>
      <c r="R108" s="15">
        <f>IF(L108="","",'14_Eingangsrechnungen'!M108)</f>
        <v/>
      </c>
      <c r="S108" s="15">
        <f>IF(L108="","",'14_Eingangsrechnungen'!O108)</f>
        <v/>
      </c>
      <c r="T108" s="44">
        <f>IF(L108="","",'14_Eingangsrechnungen'!H108)</f>
        <v/>
      </c>
      <c r="U108" s="45">
        <f>IF(L108="","",'14_Eingangsrechnungen'!P108)</f>
        <v/>
      </c>
    </row>
    <row r="109">
      <c r="A109" s="13">
        <f>IF('13_Ausgangsrechnungen'!A109="","",IF('13_Ausgangsrechnungen'!S109&gt;0.5,"Debitor",""))</f>
        <v/>
      </c>
      <c r="B109" s="13">
        <f>IF(A109="","",'13_Ausgangsrechnungen'!A109)</f>
        <v/>
      </c>
      <c r="C109" s="44">
        <f>IF(A109="","",'13_Ausgangsrechnungen'!B109)</f>
        <v/>
      </c>
      <c r="D109" s="13">
        <f>IF(A109="","",'13_Ausgangsrechnungen'!D109)</f>
        <v/>
      </c>
      <c r="E109" s="13">
        <f>IF(A109="","",'13_Ausgangsrechnungen'!C109)</f>
        <v/>
      </c>
      <c r="F109" s="13">
        <f>IF(A109="","",'13_Ausgangsrechnungen'!E109)</f>
        <v/>
      </c>
      <c r="G109" s="15">
        <f>IF(A109="","",'13_Ausgangsrechnungen'!Q109)</f>
        <v/>
      </c>
      <c r="H109" s="15">
        <f>IF(A109="","",'13_Ausgangsrechnungen'!S109)</f>
        <v/>
      </c>
      <c r="I109" s="44">
        <f>IF(A109="","",'13_Ausgangsrechnungen'!J109)</f>
        <v/>
      </c>
      <c r="J109" s="45">
        <f>IF(A109="","",'13_Ausgangsrechnungen'!T109)</f>
        <v/>
      </c>
      <c r="L109" s="13">
        <f>IF('14_Eingangsrechnungen'!A109="","",IF('14_Eingangsrechnungen'!O109&gt;0.5,"Kreditor",""))</f>
        <v/>
      </c>
      <c r="M109" s="13">
        <f>IF(L109="","",'14_Eingangsrechnungen'!A109)</f>
        <v/>
      </c>
      <c r="N109" s="44">
        <f>IF(L109="","",'14_Eingangsrechnungen'!B109)</f>
        <v/>
      </c>
      <c r="O109" s="13">
        <f>IF(L109="","",'14_Eingangsrechnungen'!D109)</f>
        <v/>
      </c>
      <c r="P109" s="13">
        <f>IF(L109="","",'14_Eingangsrechnungen'!C109)</f>
        <v/>
      </c>
      <c r="Q109" s="13">
        <f>IF(L109="","",'14_Eingangsrechnungen'!E109)</f>
        <v/>
      </c>
      <c r="R109" s="15">
        <f>IF(L109="","",'14_Eingangsrechnungen'!M109)</f>
        <v/>
      </c>
      <c r="S109" s="15">
        <f>IF(L109="","",'14_Eingangsrechnungen'!O109)</f>
        <v/>
      </c>
      <c r="T109" s="44">
        <f>IF(L109="","",'14_Eingangsrechnungen'!H109)</f>
        <v/>
      </c>
      <c r="U109" s="45">
        <f>IF(L109="","",'14_Eingangsrechnungen'!P109)</f>
        <v/>
      </c>
    </row>
    <row r="110">
      <c r="A110" s="13">
        <f>IF('13_Ausgangsrechnungen'!A110="","",IF('13_Ausgangsrechnungen'!S110&gt;0.5,"Debitor",""))</f>
        <v/>
      </c>
      <c r="B110" s="13">
        <f>IF(A110="","",'13_Ausgangsrechnungen'!A110)</f>
        <v/>
      </c>
      <c r="C110" s="44">
        <f>IF(A110="","",'13_Ausgangsrechnungen'!B110)</f>
        <v/>
      </c>
      <c r="D110" s="13">
        <f>IF(A110="","",'13_Ausgangsrechnungen'!D110)</f>
        <v/>
      </c>
      <c r="E110" s="13">
        <f>IF(A110="","",'13_Ausgangsrechnungen'!C110)</f>
        <v/>
      </c>
      <c r="F110" s="13">
        <f>IF(A110="","",'13_Ausgangsrechnungen'!E110)</f>
        <v/>
      </c>
      <c r="G110" s="15">
        <f>IF(A110="","",'13_Ausgangsrechnungen'!Q110)</f>
        <v/>
      </c>
      <c r="H110" s="15">
        <f>IF(A110="","",'13_Ausgangsrechnungen'!S110)</f>
        <v/>
      </c>
      <c r="I110" s="44">
        <f>IF(A110="","",'13_Ausgangsrechnungen'!J110)</f>
        <v/>
      </c>
      <c r="J110" s="45">
        <f>IF(A110="","",'13_Ausgangsrechnungen'!T110)</f>
        <v/>
      </c>
      <c r="L110" s="13">
        <f>IF('14_Eingangsrechnungen'!A110="","",IF('14_Eingangsrechnungen'!O110&gt;0.5,"Kreditor",""))</f>
        <v/>
      </c>
      <c r="M110" s="13">
        <f>IF(L110="","",'14_Eingangsrechnungen'!A110)</f>
        <v/>
      </c>
      <c r="N110" s="44">
        <f>IF(L110="","",'14_Eingangsrechnungen'!B110)</f>
        <v/>
      </c>
      <c r="O110" s="13">
        <f>IF(L110="","",'14_Eingangsrechnungen'!D110)</f>
        <v/>
      </c>
      <c r="P110" s="13">
        <f>IF(L110="","",'14_Eingangsrechnungen'!C110)</f>
        <v/>
      </c>
      <c r="Q110" s="13">
        <f>IF(L110="","",'14_Eingangsrechnungen'!E110)</f>
        <v/>
      </c>
      <c r="R110" s="15">
        <f>IF(L110="","",'14_Eingangsrechnungen'!M110)</f>
        <v/>
      </c>
      <c r="S110" s="15">
        <f>IF(L110="","",'14_Eingangsrechnungen'!O110)</f>
        <v/>
      </c>
      <c r="T110" s="44">
        <f>IF(L110="","",'14_Eingangsrechnungen'!H110)</f>
        <v/>
      </c>
      <c r="U110" s="45">
        <f>IF(L110="","",'14_Eingangsrechnungen'!P110)</f>
        <v/>
      </c>
    </row>
    <row r="111">
      <c r="A111" s="13">
        <f>IF('13_Ausgangsrechnungen'!A111="","",IF('13_Ausgangsrechnungen'!S111&gt;0.5,"Debitor",""))</f>
        <v/>
      </c>
      <c r="B111" s="13">
        <f>IF(A111="","",'13_Ausgangsrechnungen'!A111)</f>
        <v/>
      </c>
      <c r="C111" s="44">
        <f>IF(A111="","",'13_Ausgangsrechnungen'!B111)</f>
        <v/>
      </c>
      <c r="D111" s="13">
        <f>IF(A111="","",'13_Ausgangsrechnungen'!D111)</f>
        <v/>
      </c>
      <c r="E111" s="13">
        <f>IF(A111="","",'13_Ausgangsrechnungen'!C111)</f>
        <v/>
      </c>
      <c r="F111" s="13">
        <f>IF(A111="","",'13_Ausgangsrechnungen'!E111)</f>
        <v/>
      </c>
      <c r="G111" s="15">
        <f>IF(A111="","",'13_Ausgangsrechnungen'!Q111)</f>
        <v/>
      </c>
      <c r="H111" s="15">
        <f>IF(A111="","",'13_Ausgangsrechnungen'!S111)</f>
        <v/>
      </c>
      <c r="I111" s="44">
        <f>IF(A111="","",'13_Ausgangsrechnungen'!J111)</f>
        <v/>
      </c>
      <c r="J111" s="45">
        <f>IF(A111="","",'13_Ausgangsrechnungen'!T111)</f>
        <v/>
      </c>
      <c r="L111" s="13">
        <f>IF('14_Eingangsrechnungen'!A111="","",IF('14_Eingangsrechnungen'!O111&gt;0.5,"Kreditor",""))</f>
        <v/>
      </c>
      <c r="M111" s="13">
        <f>IF(L111="","",'14_Eingangsrechnungen'!A111)</f>
        <v/>
      </c>
      <c r="N111" s="44">
        <f>IF(L111="","",'14_Eingangsrechnungen'!B111)</f>
        <v/>
      </c>
      <c r="O111" s="13">
        <f>IF(L111="","",'14_Eingangsrechnungen'!D111)</f>
        <v/>
      </c>
      <c r="P111" s="13">
        <f>IF(L111="","",'14_Eingangsrechnungen'!C111)</f>
        <v/>
      </c>
      <c r="Q111" s="13">
        <f>IF(L111="","",'14_Eingangsrechnungen'!E111)</f>
        <v/>
      </c>
      <c r="R111" s="15">
        <f>IF(L111="","",'14_Eingangsrechnungen'!M111)</f>
        <v/>
      </c>
      <c r="S111" s="15">
        <f>IF(L111="","",'14_Eingangsrechnungen'!O111)</f>
        <v/>
      </c>
      <c r="T111" s="44">
        <f>IF(L111="","",'14_Eingangsrechnungen'!H111)</f>
        <v/>
      </c>
      <c r="U111" s="45">
        <f>IF(L111="","",'14_Eingangsrechnungen'!P111)</f>
        <v/>
      </c>
    </row>
    <row r="112">
      <c r="A112" s="13">
        <f>IF('13_Ausgangsrechnungen'!A112="","",IF('13_Ausgangsrechnungen'!S112&gt;0.5,"Debitor",""))</f>
        <v/>
      </c>
      <c r="B112" s="13">
        <f>IF(A112="","",'13_Ausgangsrechnungen'!A112)</f>
        <v/>
      </c>
      <c r="C112" s="44">
        <f>IF(A112="","",'13_Ausgangsrechnungen'!B112)</f>
        <v/>
      </c>
      <c r="D112" s="13">
        <f>IF(A112="","",'13_Ausgangsrechnungen'!D112)</f>
        <v/>
      </c>
      <c r="E112" s="13">
        <f>IF(A112="","",'13_Ausgangsrechnungen'!C112)</f>
        <v/>
      </c>
      <c r="F112" s="13">
        <f>IF(A112="","",'13_Ausgangsrechnungen'!E112)</f>
        <v/>
      </c>
      <c r="G112" s="15">
        <f>IF(A112="","",'13_Ausgangsrechnungen'!Q112)</f>
        <v/>
      </c>
      <c r="H112" s="15">
        <f>IF(A112="","",'13_Ausgangsrechnungen'!S112)</f>
        <v/>
      </c>
      <c r="I112" s="44">
        <f>IF(A112="","",'13_Ausgangsrechnungen'!J112)</f>
        <v/>
      </c>
      <c r="J112" s="45">
        <f>IF(A112="","",'13_Ausgangsrechnungen'!T112)</f>
        <v/>
      </c>
      <c r="L112" s="13">
        <f>IF('14_Eingangsrechnungen'!A112="","",IF('14_Eingangsrechnungen'!O112&gt;0.5,"Kreditor",""))</f>
        <v/>
      </c>
      <c r="M112" s="13">
        <f>IF(L112="","",'14_Eingangsrechnungen'!A112)</f>
        <v/>
      </c>
      <c r="N112" s="44">
        <f>IF(L112="","",'14_Eingangsrechnungen'!B112)</f>
        <v/>
      </c>
      <c r="O112" s="13">
        <f>IF(L112="","",'14_Eingangsrechnungen'!D112)</f>
        <v/>
      </c>
      <c r="P112" s="13">
        <f>IF(L112="","",'14_Eingangsrechnungen'!C112)</f>
        <v/>
      </c>
      <c r="Q112" s="13">
        <f>IF(L112="","",'14_Eingangsrechnungen'!E112)</f>
        <v/>
      </c>
      <c r="R112" s="15">
        <f>IF(L112="","",'14_Eingangsrechnungen'!M112)</f>
        <v/>
      </c>
      <c r="S112" s="15">
        <f>IF(L112="","",'14_Eingangsrechnungen'!O112)</f>
        <v/>
      </c>
      <c r="T112" s="44">
        <f>IF(L112="","",'14_Eingangsrechnungen'!H112)</f>
        <v/>
      </c>
      <c r="U112" s="45">
        <f>IF(L112="","",'14_Eingangsrechnungen'!P112)</f>
        <v/>
      </c>
    </row>
    <row r="113">
      <c r="A113" s="13">
        <f>IF('13_Ausgangsrechnungen'!A113="","",IF('13_Ausgangsrechnungen'!S113&gt;0.5,"Debitor",""))</f>
        <v/>
      </c>
      <c r="B113" s="13">
        <f>IF(A113="","",'13_Ausgangsrechnungen'!A113)</f>
        <v/>
      </c>
      <c r="C113" s="44">
        <f>IF(A113="","",'13_Ausgangsrechnungen'!B113)</f>
        <v/>
      </c>
      <c r="D113" s="13">
        <f>IF(A113="","",'13_Ausgangsrechnungen'!D113)</f>
        <v/>
      </c>
      <c r="E113" s="13">
        <f>IF(A113="","",'13_Ausgangsrechnungen'!C113)</f>
        <v/>
      </c>
      <c r="F113" s="13">
        <f>IF(A113="","",'13_Ausgangsrechnungen'!E113)</f>
        <v/>
      </c>
      <c r="G113" s="15">
        <f>IF(A113="","",'13_Ausgangsrechnungen'!Q113)</f>
        <v/>
      </c>
      <c r="H113" s="15">
        <f>IF(A113="","",'13_Ausgangsrechnungen'!S113)</f>
        <v/>
      </c>
      <c r="I113" s="44">
        <f>IF(A113="","",'13_Ausgangsrechnungen'!J113)</f>
        <v/>
      </c>
      <c r="J113" s="45">
        <f>IF(A113="","",'13_Ausgangsrechnungen'!T113)</f>
        <v/>
      </c>
      <c r="L113" s="13">
        <f>IF('14_Eingangsrechnungen'!A113="","",IF('14_Eingangsrechnungen'!O113&gt;0.5,"Kreditor",""))</f>
        <v/>
      </c>
      <c r="M113" s="13">
        <f>IF(L113="","",'14_Eingangsrechnungen'!A113)</f>
        <v/>
      </c>
      <c r="N113" s="44">
        <f>IF(L113="","",'14_Eingangsrechnungen'!B113)</f>
        <v/>
      </c>
      <c r="O113" s="13">
        <f>IF(L113="","",'14_Eingangsrechnungen'!D113)</f>
        <v/>
      </c>
      <c r="P113" s="13">
        <f>IF(L113="","",'14_Eingangsrechnungen'!C113)</f>
        <v/>
      </c>
      <c r="Q113" s="13">
        <f>IF(L113="","",'14_Eingangsrechnungen'!E113)</f>
        <v/>
      </c>
      <c r="R113" s="15">
        <f>IF(L113="","",'14_Eingangsrechnungen'!M113)</f>
        <v/>
      </c>
      <c r="S113" s="15">
        <f>IF(L113="","",'14_Eingangsrechnungen'!O113)</f>
        <v/>
      </c>
      <c r="T113" s="44">
        <f>IF(L113="","",'14_Eingangsrechnungen'!H113)</f>
        <v/>
      </c>
      <c r="U113" s="45">
        <f>IF(L113="","",'14_Eingangsrechnungen'!P113)</f>
        <v/>
      </c>
    </row>
    <row r="114">
      <c r="A114" s="13">
        <f>IF('13_Ausgangsrechnungen'!A114="","",IF('13_Ausgangsrechnungen'!S114&gt;0.5,"Debitor",""))</f>
        <v/>
      </c>
      <c r="B114" s="13">
        <f>IF(A114="","",'13_Ausgangsrechnungen'!A114)</f>
        <v/>
      </c>
      <c r="C114" s="44">
        <f>IF(A114="","",'13_Ausgangsrechnungen'!B114)</f>
        <v/>
      </c>
      <c r="D114" s="13">
        <f>IF(A114="","",'13_Ausgangsrechnungen'!D114)</f>
        <v/>
      </c>
      <c r="E114" s="13">
        <f>IF(A114="","",'13_Ausgangsrechnungen'!C114)</f>
        <v/>
      </c>
      <c r="F114" s="13">
        <f>IF(A114="","",'13_Ausgangsrechnungen'!E114)</f>
        <v/>
      </c>
      <c r="G114" s="15">
        <f>IF(A114="","",'13_Ausgangsrechnungen'!Q114)</f>
        <v/>
      </c>
      <c r="H114" s="15">
        <f>IF(A114="","",'13_Ausgangsrechnungen'!S114)</f>
        <v/>
      </c>
      <c r="I114" s="44">
        <f>IF(A114="","",'13_Ausgangsrechnungen'!J114)</f>
        <v/>
      </c>
      <c r="J114" s="45">
        <f>IF(A114="","",'13_Ausgangsrechnungen'!T114)</f>
        <v/>
      </c>
      <c r="L114" s="13">
        <f>IF('14_Eingangsrechnungen'!A114="","",IF('14_Eingangsrechnungen'!O114&gt;0.5,"Kreditor",""))</f>
        <v/>
      </c>
      <c r="M114" s="13">
        <f>IF(L114="","",'14_Eingangsrechnungen'!A114)</f>
        <v/>
      </c>
      <c r="N114" s="44">
        <f>IF(L114="","",'14_Eingangsrechnungen'!B114)</f>
        <v/>
      </c>
      <c r="O114" s="13">
        <f>IF(L114="","",'14_Eingangsrechnungen'!D114)</f>
        <v/>
      </c>
      <c r="P114" s="13">
        <f>IF(L114="","",'14_Eingangsrechnungen'!C114)</f>
        <v/>
      </c>
      <c r="Q114" s="13">
        <f>IF(L114="","",'14_Eingangsrechnungen'!E114)</f>
        <v/>
      </c>
      <c r="R114" s="15">
        <f>IF(L114="","",'14_Eingangsrechnungen'!M114)</f>
        <v/>
      </c>
      <c r="S114" s="15">
        <f>IF(L114="","",'14_Eingangsrechnungen'!O114)</f>
        <v/>
      </c>
      <c r="T114" s="44">
        <f>IF(L114="","",'14_Eingangsrechnungen'!H114)</f>
        <v/>
      </c>
      <c r="U114" s="45">
        <f>IF(L114="","",'14_Eingangsrechnungen'!P114)</f>
        <v/>
      </c>
    </row>
    <row r="115">
      <c r="A115" s="13">
        <f>IF('13_Ausgangsrechnungen'!A115="","",IF('13_Ausgangsrechnungen'!S115&gt;0.5,"Debitor",""))</f>
        <v/>
      </c>
      <c r="B115" s="13">
        <f>IF(A115="","",'13_Ausgangsrechnungen'!A115)</f>
        <v/>
      </c>
      <c r="C115" s="44">
        <f>IF(A115="","",'13_Ausgangsrechnungen'!B115)</f>
        <v/>
      </c>
      <c r="D115" s="13">
        <f>IF(A115="","",'13_Ausgangsrechnungen'!D115)</f>
        <v/>
      </c>
      <c r="E115" s="13">
        <f>IF(A115="","",'13_Ausgangsrechnungen'!C115)</f>
        <v/>
      </c>
      <c r="F115" s="13">
        <f>IF(A115="","",'13_Ausgangsrechnungen'!E115)</f>
        <v/>
      </c>
      <c r="G115" s="15">
        <f>IF(A115="","",'13_Ausgangsrechnungen'!Q115)</f>
        <v/>
      </c>
      <c r="H115" s="15">
        <f>IF(A115="","",'13_Ausgangsrechnungen'!S115)</f>
        <v/>
      </c>
      <c r="I115" s="44">
        <f>IF(A115="","",'13_Ausgangsrechnungen'!J115)</f>
        <v/>
      </c>
      <c r="J115" s="45">
        <f>IF(A115="","",'13_Ausgangsrechnungen'!T115)</f>
        <v/>
      </c>
      <c r="L115" s="13">
        <f>IF('14_Eingangsrechnungen'!A115="","",IF('14_Eingangsrechnungen'!O115&gt;0.5,"Kreditor",""))</f>
        <v/>
      </c>
      <c r="M115" s="13">
        <f>IF(L115="","",'14_Eingangsrechnungen'!A115)</f>
        <v/>
      </c>
      <c r="N115" s="44">
        <f>IF(L115="","",'14_Eingangsrechnungen'!B115)</f>
        <v/>
      </c>
      <c r="O115" s="13">
        <f>IF(L115="","",'14_Eingangsrechnungen'!D115)</f>
        <v/>
      </c>
      <c r="P115" s="13">
        <f>IF(L115="","",'14_Eingangsrechnungen'!C115)</f>
        <v/>
      </c>
      <c r="Q115" s="13">
        <f>IF(L115="","",'14_Eingangsrechnungen'!E115)</f>
        <v/>
      </c>
      <c r="R115" s="15">
        <f>IF(L115="","",'14_Eingangsrechnungen'!M115)</f>
        <v/>
      </c>
      <c r="S115" s="15">
        <f>IF(L115="","",'14_Eingangsrechnungen'!O115)</f>
        <v/>
      </c>
      <c r="T115" s="44">
        <f>IF(L115="","",'14_Eingangsrechnungen'!H115)</f>
        <v/>
      </c>
      <c r="U115" s="45">
        <f>IF(L115="","",'14_Eingangsrechnungen'!P115)</f>
        <v/>
      </c>
    </row>
    <row r="116">
      <c r="A116" s="13">
        <f>IF('13_Ausgangsrechnungen'!A116="","",IF('13_Ausgangsrechnungen'!S116&gt;0.5,"Debitor",""))</f>
        <v/>
      </c>
      <c r="B116" s="13">
        <f>IF(A116="","",'13_Ausgangsrechnungen'!A116)</f>
        <v/>
      </c>
      <c r="C116" s="44">
        <f>IF(A116="","",'13_Ausgangsrechnungen'!B116)</f>
        <v/>
      </c>
      <c r="D116" s="13">
        <f>IF(A116="","",'13_Ausgangsrechnungen'!D116)</f>
        <v/>
      </c>
      <c r="E116" s="13">
        <f>IF(A116="","",'13_Ausgangsrechnungen'!C116)</f>
        <v/>
      </c>
      <c r="F116" s="13">
        <f>IF(A116="","",'13_Ausgangsrechnungen'!E116)</f>
        <v/>
      </c>
      <c r="G116" s="15">
        <f>IF(A116="","",'13_Ausgangsrechnungen'!Q116)</f>
        <v/>
      </c>
      <c r="H116" s="15">
        <f>IF(A116="","",'13_Ausgangsrechnungen'!S116)</f>
        <v/>
      </c>
      <c r="I116" s="44">
        <f>IF(A116="","",'13_Ausgangsrechnungen'!J116)</f>
        <v/>
      </c>
      <c r="J116" s="45">
        <f>IF(A116="","",'13_Ausgangsrechnungen'!T116)</f>
        <v/>
      </c>
      <c r="L116" s="13">
        <f>IF('14_Eingangsrechnungen'!A116="","",IF('14_Eingangsrechnungen'!O116&gt;0.5,"Kreditor",""))</f>
        <v/>
      </c>
      <c r="M116" s="13">
        <f>IF(L116="","",'14_Eingangsrechnungen'!A116)</f>
        <v/>
      </c>
      <c r="N116" s="44">
        <f>IF(L116="","",'14_Eingangsrechnungen'!B116)</f>
        <v/>
      </c>
      <c r="O116" s="13">
        <f>IF(L116="","",'14_Eingangsrechnungen'!D116)</f>
        <v/>
      </c>
      <c r="P116" s="13">
        <f>IF(L116="","",'14_Eingangsrechnungen'!C116)</f>
        <v/>
      </c>
      <c r="Q116" s="13">
        <f>IF(L116="","",'14_Eingangsrechnungen'!E116)</f>
        <v/>
      </c>
      <c r="R116" s="15">
        <f>IF(L116="","",'14_Eingangsrechnungen'!M116)</f>
        <v/>
      </c>
      <c r="S116" s="15">
        <f>IF(L116="","",'14_Eingangsrechnungen'!O116)</f>
        <v/>
      </c>
      <c r="T116" s="44">
        <f>IF(L116="","",'14_Eingangsrechnungen'!H116)</f>
        <v/>
      </c>
      <c r="U116" s="45">
        <f>IF(L116="","",'14_Eingangsrechnungen'!P116)</f>
        <v/>
      </c>
    </row>
    <row r="117">
      <c r="A117" s="13">
        <f>IF('13_Ausgangsrechnungen'!A117="","",IF('13_Ausgangsrechnungen'!S117&gt;0.5,"Debitor",""))</f>
        <v/>
      </c>
      <c r="B117" s="13">
        <f>IF(A117="","",'13_Ausgangsrechnungen'!A117)</f>
        <v/>
      </c>
      <c r="C117" s="44">
        <f>IF(A117="","",'13_Ausgangsrechnungen'!B117)</f>
        <v/>
      </c>
      <c r="D117" s="13">
        <f>IF(A117="","",'13_Ausgangsrechnungen'!D117)</f>
        <v/>
      </c>
      <c r="E117" s="13">
        <f>IF(A117="","",'13_Ausgangsrechnungen'!C117)</f>
        <v/>
      </c>
      <c r="F117" s="13">
        <f>IF(A117="","",'13_Ausgangsrechnungen'!E117)</f>
        <v/>
      </c>
      <c r="G117" s="15">
        <f>IF(A117="","",'13_Ausgangsrechnungen'!Q117)</f>
        <v/>
      </c>
      <c r="H117" s="15">
        <f>IF(A117="","",'13_Ausgangsrechnungen'!S117)</f>
        <v/>
      </c>
      <c r="I117" s="44">
        <f>IF(A117="","",'13_Ausgangsrechnungen'!J117)</f>
        <v/>
      </c>
      <c r="J117" s="45">
        <f>IF(A117="","",'13_Ausgangsrechnungen'!T117)</f>
        <v/>
      </c>
      <c r="L117" s="13">
        <f>IF('14_Eingangsrechnungen'!A117="","",IF('14_Eingangsrechnungen'!O117&gt;0.5,"Kreditor",""))</f>
        <v/>
      </c>
      <c r="M117" s="13">
        <f>IF(L117="","",'14_Eingangsrechnungen'!A117)</f>
        <v/>
      </c>
      <c r="N117" s="44">
        <f>IF(L117="","",'14_Eingangsrechnungen'!B117)</f>
        <v/>
      </c>
      <c r="O117" s="13">
        <f>IF(L117="","",'14_Eingangsrechnungen'!D117)</f>
        <v/>
      </c>
      <c r="P117" s="13">
        <f>IF(L117="","",'14_Eingangsrechnungen'!C117)</f>
        <v/>
      </c>
      <c r="Q117" s="13">
        <f>IF(L117="","",'14_Eingangsrechnungen'!E117)</f>
        <v/>
      </c>
      <c r="R117" s="15">
        <f>IF(L117="","",'14_Eingangsrechnungen'!M117)</f>
        <v/>
      </c>
      <c r="S117" s="15">
        <f>IF(L117="","",'14_Eingangsrechnungen'!O117)</f>
        <v/>
      </c>
      <c r="T117" s="44">
        <f>IF(L117="","",'14_Eingangsrechnungen'!H117)</f>
        <v/>
      </c>
      <c r="U117" s="45">
        <f>IF(L117="","",'14_Eingangsrechnungen'!P117)</f>
        <v/>
      </c>
    </row>
    <row r="118">
      <c r="A118" s="13">
        <f>IF('13_Ausgangsrechnungen'!A118="","",IF('13_Ausgangsrechnungen'!S118&gt;0.5,"Debitor",""))</f>
        <v/>
      </c>
      <c r="B118" s="13">
        <f>IF(A118="","",'13_Ausgangsrechnungen'!A118)</f>
        <v/>
      </c>
      <c r="C118" s="44">
        <f>IF(A118="","",'13_Ausgangsrechnungen'!B118)</f>
        <v/>
      </c>
      <c r="D118" s="13">
        <f>IF(A118="","",'13_Ausgangsrechnungen'!D118)</f>
        <v/>
      </c>
      <c r="E118" s="13">
        <f>IF(A118="","",'13_Ausgangsrechnungen'!C118)</f>
        <v/>
      </c>
      <c r="F118" s="13">
        <f>IF(A118="","",'13_Ausgangsrechnungen'!E118)</f>
        <v/>
      </c>
      <c r="G118" s="15">
        <f>IF(A118="","",'13_Ausgangsrechnungen'!Q118)</f>
        <v/>
      </c>
      <c r="H118" s="15">
        <f>IF(A118="","",'13_Ausgangsrechnungen'!S118)</f>
        <v/>
      </c>
      <c r="I118" s="44">
        <f>IF(A118="","",'13_Ausgangsrechnungen'!J118)</f>
        <v/>
      </c>
      <c r="J118" s="45">
        <f>IF(A118="","",'13_Ausgangsrechnungen'!T118)</f>
        <v/>
      </c>
      <c r="L118" s="13">
        <f>IF('14_Eingangsrechnungen'!A118="","",IF('14_Eingangsrechnungen'!O118&gt;0.5,"Kreditor",""))</f>
        <v/>
      </c>
      <c r="M118" s="13">
        <f>IF(L118="","",'14_Eingangsrechnungen'!A118)</f>
        <v/>
      </c>
      <c r="N118" s="44">
        <f>IF(L118="","",'14_Eingangsrechnungen'!B118)</f>
        <v/>
      </c>
      <c r="O118" s="13">
        <f>IF(L118="","",'14_Eingangsrechnungen'!D118)</f>
        <v/>
      </c>
      <c r="P118" s="13">
        <f>IF(L118="","",'14_Eingangsrechnungen'!C118)</f>
        <v/>
      </c>
      <c r="Q118" s="13">
        <f>IF(L118="","",'14_Eingangsrechnungen'!E118)</f>
        <v/>
      </c>
      <c r="R118" s="15">
        <f>IF(L118="","",'14_Eingangsrechnungen'!M118)</f>
        <v/>
      </c>
      <c r="S118" s="15">
        <f>IF(L118="","",'14_Eingangsrechnungen'!O118)</f>
        <v/>
      </c>
      <c r="T118" s="44">
        <f>IF(L118="","",'14_Eingangsrechnungen'!H118)</f>
        <v/>
      </c>
      <c r="U118" s="45">
        <f>IF(L118="","",'14_Eingangsrechnungen'!P118)</f>
        <v/>
      </c>
    </row>
    <row r="119">
      <c r="A119" s="13">
        <f>IF('13_Ausgangsrechnungen'!A119="","",IF('13_Ausgangsrechnungen'!S119&gt;0.5,"Debitor",""))</f>
        <v/>
      </c>
      <c r="B119" s="13">
        <f>IF(A119="","",'13_Ausgangsrechnungen'!A119)</f>
        <v/>
      </c>
      <c r="C119" s="44">
        <f>IF(A119="","",'13_Ausgangsrechnungen'!B119)</f>
        <v/>
      </c>
      <c r="D119" s="13">
        <f>IF(A119="","",'13_Ausgangsrechnungen'!D119)</f>
        <v/>
      </c>
      <c r="E119" s="13">
        <f>IF(A119="","",'13_Ausgangsrechnungen'!C119)</f>
        <v/>
      </c>
      <c r="F119" s="13">
        <f>IF(A119="","",'13_Ausgangsrechnungen'!E119)</f>
        <v/>
      </c>
      <c r="G119" s="15">
        <f>IF(A119="","",'13_Ausgangsrechnungen'!Q119)</f>
        <v/>
      </c>
      <c r="H119" s="15">
        <f>IF(A119="","",'13_Ausgangsrechnungen'!S119)</f>
        <v/>
      </c>
      <c r="I119" s="44">
        <f>IF(A119="","",'13_Ausgangsrechnungen'!J119)</f>
        <v/>
      </c>
      <c r="J119" s="45">
        <f>IF(A119="","",'13_Ausgangsrechnungen'!T119)</f>
        <v/>
      </c>
      <c r="L119" s="13">
        <f>IF('14_Eingangsrechnungen'!A119="","",IF('14_Eingangsrechnungen'!O119&gt;0.5,"Kreditor",""))</f>
        <v/>
      </c>
      <c r="M119" s="13">
        <f>IF(L119="","",'14_Eingangsrechnungen'!A119)</f>
        <v/>
      </c>
      <c r="N119" s="44">
        <f>IF(L119="","",'14_Eingangsrechnungen'!B119)</f>
        <v/>
      </c>
      <c r="O119" s="13">
        <f>IF(L119="","",'14_Eingangsrechnungen'!D119)</f>
        <v/>
      </c>
      <c r="P119" s="13">
        <f>IF(L119="","",'14_Eingangsrechnungen'!C119)</f>
        <v/>
      </c>
      <c r="Q119" s="13">
        <f>IF(L119="","",'14_Eingangsrechnungen'!E119)</f>
        <v/>
      </c>
      <c r="R119" s="15">
        <f>IF(L119="","",'14_Eingangsrechnungen'!M119)</f>
        <v/>
      </c>
      <c r="S119" s="15">
        <f>IF(L119="","",'14_Eingangsrechnungen'!O119)</f>
        <v/>
      </c>
      <c r="T119" s="44">
        <f>IF(L119="","",'14_Eingangsrechnungen'!H119)</f>
        <v/>
      </c>
      <c r="U119" s="45">
        <f>IF(L119="","",'14_Eingangsrechnungen'!P119)</f>
        <v/>
      </c>
    </row>
    <row r="120">
      <c r="A120" s="13">
        <f>IF('13_Ausgangsrechnungen'!A120="","",IF('13_Ausgangsrechnungen'!S120&gt;0.5,"Debitor",""))</f>
        <v/>
      </c>
      <c r="B120" s="13">
        <f>IF(A120="","",'13_Ausgangsrechnungen'!A120)</f>
        <v/>
      </c>
      <c r="C120" s="44">
        <f>IF(A120="","",'13_Ausgangsrechnungen'!B120)</f>
        <v/>
      </c>
      <c r="D120" s="13">
        <f>IF(A120="","",'13_Ausgangsrechnungen'!D120)</f>
        <v/>
      </c>
      <c r="E120" s="13">
        <f>IF(A120="","",'13_Ausgangsrechnungen'!C120)</f>
        <v/>
      </c>
      <c r="F120" s="13">
        <f>IF(A120="","",'13_Ausgangsrechnungen'!E120)</f>
        <v/>
      </c>
      <c r="G120" s="15">
        <f>IF(A120="","",'13_Ausgangsrechnungen'!Q120)</f>
        <v/>
      </c>
      <c r="H120" s="15">
        <f>IF(A120="","",'13_Ausgangsrechnungen'!S120)</f>
        <v/>
      </c>
      <c r="I120" s="44">
        <f>IF(A120="","",'13_Ausgangsrechnungen'!J120)</f>
        <v/>
      </c>
      <c r="J120" s="45">
        <f>IF(A120="","",'13_Ausgangsrechnungen'!T120)</f>
        <v/>
      </c>
      <c r="L120" s="13">
        <f>IF('14_Eingangsrechnungen'!A120="","",IF('14_Eingangsrechnungen'!O120&gt;0.5,"Kreditor",""))</f>
        <v/>
      </c>
      <c r="M120" s="13">
        <f>IF(L120="","",'14_Eingangsrechnungen'!A120)</f>
        <v/>
      </c>
      <c r="N120" s="44">
        <f>IF(L120="","",'14_Eingangsrechnungen'!B120)</f>
        <v/>
      </c>
      <c r="O120" s="13">
        <f>IF(L120="","",'14_Eingangsrechnungen'!D120)</f>
        <v/>
      </c>
      <c r="P120" s="13">
        <f>IF(L120="","",'14_Eingangsrechnungen'!C120)</f>
        <v/>
      </c>
      <c r="Q120" s="13">
        <f>IF(L120="","",'14_Eingangsrechnungen'!E120)</f>
        <v/>
      </c>
      <c r="R120" s="15">
        <f>IF(L120="","",'14_Eingangsrechnungen'!M120)</f>
        <v/>
      </c>
      <c r="S120" s="15">
        <f>IF(L120="","",'14_Eingangsrechnungen'!O120)</f>
        <v/>
      </c>
      <c r="T120" s="44">
        <f>IF(L120="","",'14_Eingangsrechnungen'!H120)</f>
        <v/>
      </c>
      <c r="U120" s="45">
        <f>IF(L120="","",'14_Eingangsrechnungen'!P120)</f>
        <v/>
      </c>
    </row>
    <row r="121">
      <c r="A121" s="13">
        <f>IF('13_Ausgangsrechnungen'!A121="","",IF('13_Ausgangsrechnungen'!S121&gt;0.5,"Debitor",""))</f>
        <v/>
      </c>
      <c r="B121" s="13">
        <f>IF(A121="","",'13_Ausgangsrechnungen'!A121)</f>
        <v/>
      </c>
      <c r="C121" s="44">
        <f>IF(A121="","",'13_Ausgangsrechnungen'!B121)</f>
        <v/>
      </c>
      <c r="D121" s="13">
        <f>IF(A121="","",'13_Ausgangsrechnungen'!D121)</f>
        <v/>
      </c>
      <c r="E121" s="13">
        <f>IF(A121="","",'13_Ausgangsrechnungen'!C121)</f>
        <v/>
      </c>
      <c r="F121" s="13">
        <f>IF(A121="","",'13_Ausgangsrechnungen'!E121)</f>
        <v/>
      </c>
      <c r="G121" s="15">
        <f>IF(A121="","",'13_Ausgangsrechnungen'!Q121)</f>
        <v/>
      </c>
      <c r="H121" s="15">
        <f>IF(A121="","",'13_Ausgangsrechnungen'!S121)</f>
        <v/>
      </c>
      <c r="I121" s="44">
        <f>IF(A121="","",'13_Ausgangsrechnungen'!J121)</f>
        <v/>
      </c>
      <c r="J121" s="45">
        <f>IF(A121="","",'13_Ausgangsrechnungen'!T121)</f>
        <v/>
      </c>
      <c r="L121" s="13">
        <f>IF('14_Eingangsrechnungen'!A121="","",IF('14_Eingangsrechnungen'!O121&gt;0.5,"Kreditor",""))</f>
        <v/>
      </c>
      <c r="M121" s="13">
        <f>IF(L121="","",'14_Eingangsrechnungen'!A121)</f>
        <v/>
      </c>
      <c r="N121" s="44">
        <f>IF(L121="","",'14_Eingangsrechnungen'!B121)</f>
        <v/>
      </c>
      <c r="O121" s="13">
        <f>IF(L121="","",'14_Eingangsrechnungen'!D121)</f>
        <v/>
      </c>
      <c r="P121" s="13">
        <f>IF(L121="","",'14_Eingangsrechnungen'!C121)</f>
        <v/>
      </c>
      <c r="Q121" s="13">
        <f>IF(L121="","",'14_Eingangsrechnungen'!E121)</f>
        <v/>
      </c>
      <c r="R121" s="15">
        <f>IF(L121="","",'14_Eingangsrechnungen'!M121)</f>
        <v/>
      </c>
      <c r="S121" s="15">
        <f>IF(L121="","",'14_Eingangsrechnungen'!O121)</f>
        <v/>
      </c>
      <c r="T121" s="44">
        <f>IF(L121="","",'14_Eingangsrechnungen'!H121)</f>
        <v/>
      </c>
      <c r="U121" s="45">
        <f>IF(L121="","",'14_Eingangsrechnungen'!P121)</f>
        <v/>
      </c>
    </row>
    <row r="122">
      <c r="A122" s="13">
        <f>IF('13_Ausgangsrechnungen'!A122="","",IF('13_Ausgangsrechnungen'!S122&gt;0.5,"Debitor",""))</f>
        <v/>
      </c>
      <c r="B122" s="13">
        <f>IF(A122="","",'13_Ausgangsrechnungen'!A122)</f>
        <v/>
      </c>
      <c r="C122" s="44">
        <f>IF(A122="","",'13_Ausgangsrechnungen'!B122)</f>
        <v/>
      </c>
      <c r="D122" s="13">
        <f>IF(A122="","",'13_Ausgangsrechnungen'!D122)</f>
        <v/>
      </c>
      <c r="E122" s="13">
        <f>IF(A122="","",'13_Ausgangsrechnungen'!C122)</f>
        <v/>
      </c>
      <c r="F122" s="13">
        <f>IF(A122="","",'13_Ausgangsrechnungen'!E122)</f>
        <v/>
      </c>
      <c r="G122" s="15">
        <f>IF(A122="","",'13_Ausgangsrechnungen'!Q122)</f>
        <v/>
      </c>
      <c r="H122" s="15">
        <f>IF(A122="","",'13_Ausgangsrechnungen'!S122)</f>
        <v/>
      </c>
      <c r="I122" s="44">
        <f>IF(A122="","",'13_Ausgangsrechnungen'!J122)</f>
        <v/>
      </c>
      <c r="J122" s="45">
        <f>IF(A122="","",'13_Ausgangsrechnungen'!T122)</f>
        <v/>
      </c>
      <c r="L122" s="13">
        <f>IF('14_Eingangsrechnungen'!A122="","",IF('14_Eingangsrechnungen'!O122&gt;0.5,"Kreditor",""))</f>
        <v/>
      </c>
      <c r="M122" s="13">
        <f>IF(L122="","",'14_Eingangsrechnungen'!A122)</f>
        <v/>
      </c>
      <c r="N122" s="44">
        <f>IF(L122="","",'14_Eingangsrechnungen'!B122)</f>
        <v/>
      </c>
      <c r="O122" s="13">
        <f>IF(L122="","",'14_Eingangsrechnungen'!D122)</f>
        <v/>
      </c>
      <c r="P122" s="13">
        <f>IF(L122="","",'14_Eingangsrechnungen'!C122)</f>
        <v/>
      </c>
      <c r="Q122" s="13">
        <f>IF(L122="","",'14_Eingangsrechnungen'!E122)</f>
        <v/>
      </c>
      <c r="R122" s="15">
        <f>IF(L122="","",'14_Eingangsrechnungen'!M122)</f>
        <v/>
      </c>
      <c r="S122" s="15">
        <f>IF(L122="","",'14_Eingangsrechnungen'!O122)</f>
        <v/>
      </c>
      <c r="T122" s="44">
        <f>IF(L122="","",'14_Eingangsrechnungen'!H122)</f>
        <v/>
      </c>
      <c r="U122" s="45">
        <f>IF(L122="","",'14_Eingangsrechnungen'!P122)</f>
        <v/>
      </c>
    </row>
    <row r="123">
      <c r="A123" s="13">
        <f>IF('13_Ausgangsrechnungen'!A123="","",IF('13_Ausgangsrechnungen'!S123&gt;0.5,"Debitor",""))</f>
        <v/>
      </c>
      <c r="B123" s="13">
        <f>IF(A123="","",'13_Ausgangsrechnungen'!A123)</f>
        <v/>
      </c>
      <c r="C123" s="44">
        <f>IF(A123="","",'13_Ausgangsrechnungen'!B123)</f>
        <v/>
      </c>
      <c r="D123" s="13">
        <f>IF(A123="","",'13_Ausgangsrechnungen'!D123)</f>
        <v/>
      </c>
      <c r="E123" s="13">
        <f>IF(A123="","",'13_Ausgangsrechnungen'!C123)</f>
        <v/>
      </c>
      <c r="F123" s="13">
        <f>IF(A123="","",'13_Ausgangsrechnungen'!E123)</f>
        <v/>
      </c>
      <c r="G123" s="15">
        <f>IF(A123="","",'13_Ausgangsrechnungen'!Q123)</f>
        <v/>
      </c>
      <c r="H123" s="15">
        <f>IF(A123="","",'13_Ausgangsrechnungen'!S123)</f>
        <v/>
      </c>
      <c r="I123" s="44">
        <f>IF(A123="","",'13_Ausgangsrechnungen'!J123)</f>
        <v/>
      </c>
      <c r="J123" s="45">
        <f>IF(A123="","",'13_Ausgangsrechnungen'!T123)</f>
        <v/>
      </c>
      <c r="L123" s="13">
        <f>IF('14_Eingangsrechnungen'!A123="","",IF('14_Eingangsrechnungen'!O123&gt;0.5,"Kreditor",""))</f>
        <v/>
      </c>
      <c r="M123" s="13">
        <f>IF(L123="","",'14_Eingangsrechnungen'!A123)</f>
        <v/>
      </c>
      <c r="N123" s="44">
        <f>IF(L123="","",'14_Eingangsrechnungen'!B123)</f>
        <v/>
      </c>
      <c r="O123" s="13">
        <f>IF(L123="","",'14_Eingangsrechnungen'!D123)</f>
        <v/>
      </c>
      <c r="P123" s="13">
        <f>IF(L123="","",'14_Eingangsrechnungen'!C123)</f>
        <v/>
      </c>
      <c r="Q123" s="13">
        <f>IF(L123="","",'14_Eingangsrechnungen'!E123)</f>
        <v/>
      </c>
      <c r="R123" s="15">
        <f>IF(L123="","",'14_Eingangsrechnungen'!M123)</f>
        <v/>
      </c>
      <c r="S123" s="15">
        <f>IF(L123="","",'14_Eingangsrechnungen'!O123)</f>
        <v/>
      </c>
      <c r="T123" s="44">
        <f>IF(L123="","",'14_Eingangsrechnungen'!H123)</f>
        <v/>
      </c>
      <c r="U123" s="45">
        <f>IF(L123="","",'14_Eingangsrechnungen'!P123)</f>
        <v/>
      </c>
    </row>
    <row r="124">
      <c r="A124" s="13">
        <f>IF('13_Ausgangsrechnungen'!A124="","",IF('13_Ausgangsrechnungen'!S124&gt;0.5,"Debitor",""))</f>
        <v/>
      </c>
      <c r="B124" s="13">
        <f>IF(A124="","",'13_Ausgangsrechnungen'!A124)</f>
        <v/>
      </c>
      <c r="C124" s="44">
        <f>IF(A124="","",'13_Ausgangsrechnungen'!B124)</f>
        <v/>
      </c>
      <c r="D124" s="13">
        <f>IF(A124="","",'13_Ausgangsrechnungen'!D124)</f>
        <v/>
      </c>
      <c r="E124" s="13">
        <f>IF(A124="","",'13_Ausgangsrechnungen'!C124)</f>
        <v/>
      </c>
      <c r="F124" s="13">
        <f>IF(A124="","",'13_Ausgangsrechnungen'!E124)</f>
        <v/>
      </c>
      <c r="G124" s="15">
        <f>IF(A124="","",'13_Ausgangsrechnungen'!Q124)</f>
        <v/>
      </c>
      <c r="H124" s="15">
        <f>IF(A124="","",'13_Ausgangsrechnungen'!S124)</f>
        <v/>
      </c>
      <c r="I124" s="44">
        <f>IF(A124="","",'13_Ausgangsrechnungen'!J124)</f>
        <v/>
      </c>
      <c r="J124" s="45">
        <f>IF(A124="","",'13_Ausgangsrechnungen'!T124)</f>
        <v/>
      </c>
      <c r="L124" s="13">
        <f>IF('14_Eingangsrechnungen'!A124="","",IF('14_Eingangsrechnungen'!O124&gt;0.5,"Kreditor",""))</f>
        <v/>
      </c>
      <c r="M124" s="13">
        <f>IF(L124="","",'14_Eingangsrechnungen'!A124)</f>
        <v/>
      </c>
      <c r="N124" s="44">
        <f>IF(L124="","",'14_Eingangsrechnungen'!B124)</f>
        <v/>
      </c>
      <c r="O124" s="13">
        <f>IF(L124="","",'14_Eingangsrechnungen'!D124)</f>
        <v/>
      </c>
      <c r="P124" s="13">
        <f>IF(L124="","",'14_Eingangsrechnungen'!C124)</f>
        <v/>
      </c>
      <c r="Q124" s="13">
        <f>IF(L124="","",'14_Eingangsrechnungen'!E124)</f>
        <v/>
      </c>
      <c r="R124" s="15">
        <f>IF(L124="","",'14_Eingangsrechnungen'!M124)</f>
        <v/>
      </c>
      <c r="S124" s="15">
        <f>IF(L124="","",'14_Eingangsrechnungen'!O124)</f>
        <v/>
      </c>
      <c r="T124" s="44">
        <f>IF(L124="","",'14_Eingangsrechnungen'!H124)</f>
        <v/>
      </c>
      <c r="U124" s="45">
        <f>IF(L124="","",'14_Eingangsrechnungen'!P124)</f>
        <v/>
      </c>
    </row>
    <row r="125">
      <c r="A125" s="13">
        <f>IF('13_Ausgangsrechnungen'!A125="","",IF('13_Ausgangsrechnungen'!S125&gt;0.5,"Debitor",""))</f>
        <v/>
      </c>
      <c r="B125" s="13">
        <f>IF(A125="","",'13_Ausgangsrechnungen'!A125)</f>
        <v/>
      </c>
      <c r="C125" s="44">
        <f>IF(A125="","",'13_Ausgangsrechnungen'!B125)</f>
        <v/>
      </c>
      <c r="D125" s="13">
        <f>IF(A125="","",'13_Ausgangsrechnungen'!D125)</f>
        <v/>
      </c>
      <c r="E125" s="13">
        <f>IF(A125="","",'13_Ausgangsrechnungen'!C125)</f>
        <v/>
      </c>
      <c r="F125" s="13">
        <f>IF(A125="","",'13_Ausgangsrechnungen'!E125)</f>
        <v/>
      </c>
      <c r="G125" s="15">
        <f>IF(A125="","",'13_Ausgangsrechnungen'!Q125)</f>
        <v/>
      </c>
      <c r="H125" s="15">
        <f>IF(A125="","",'13_Ausgangsrechnungen'!S125)</f>
        <v/>
      </c>
      <c r="I125" s="44">
        <f>IF(A125="","",'13_Ausgangsrechnungen'!J125)</f>
        <v/>
      </c>
      <c r="J125" s="45">
        <f>IF(A125="","",'13_Ausgangsrechnungen'!T125)</f>
        <v/>
      </c>
      <c r="L125" s="13">
        <f>IF('14_Eingangsrechnungen'!A125="","",IF('14_Eingangsrechnungen'!O125&gt;0.5,"Kreditor",""))</f>
        <v/>
      </c>
      <c r="M125" s="13">
        <f>IF(L125="","",'14_Eingangsrechnungen'!A125)</f>
        <v/>
      </c>
      <c r="N125" s="44">
        <f>IF(L125="","",'14_Eingangsrechnungen'!B125)</f>
        <v/>
      </c>
      <c r="O125" s="13">
        <f>IF(L125="","",'14_Eingangsrechnungen'!D125)</f>
        <v/>
      </c>
      <c r="P125" s="13">
        <f>IF(L125="","",'14_Eingangsrechnungen'!C125)</f>
        <v/>
      </c>
      <c r="Q125" s="13">
        <f>IF(L125="","",'14_Eingangsrechnungen'!E125)</f>
        <v/>
      </c>
      <c r="R125" s="15">
        <f>IF(L125="","",'14_Eingangsrechnungen'!M125)</f>
        <v/>
      </c>
      <c r="S125" s="15">
        <f>IF(L125="","",'14_Eingangsrechnungen'!O125)</f>
        <v/>
      </c>
      <c r="T125" s="44">
        <f>IF(L125="","",'14_Eingangsrechnungen'!H125)</f>
        <v/>
      </c>
      <c r="U125" s="45">
        <f>IF(L125="","",'14_Eingangsrechnungen'!P125)</f>
        <v/>
      </c>
    </row>
    <row r="126">
      <c r="A126" s="13">
        <f>IF('13_Ausgangsrechnungen'!A126="","",IF('13_Ausgangsrechnungen'!S126&gt;0.5,"Debitor",""))</f>
        <v/>
      </c>
      <c r="B126" s="13">
        <f>IF(A126="","",'13_Ausgangsrechnungen'!A126)</f>
        <v/>
      </c>
      <c r="C126" s="44">
        <f>IF(A126="","",'13_Ausgangsrechnungen'!B126)</f>
        <v/>
      </c>
      <c r="D126" s="13">
        <f>IF(A126="","",'13_Ausgangsrechnungen'!D126)</f>
        <v/>
      </c>
      <c r="E126" s="13">
        <f>IF(A126="","",'13_Ausgangsrechnungen'!C126)</f>
        <v/>
      </c>
      <c r="F126" s="13">
        <f>IF(A126="","",'13_Ausgangsrechnungen'!E126)</f>
        <v/>
      </c>
      <c r="G126" s="15">
        <f>IF(A126="","",'13_Ausgangsrechnungen'!Q126)</f>
        <v/>
      </c>
      <c r="H126" s="15">
        <f>IF(A126="","",'13_Ausgangsrechnungen'!S126)</f>
        <v/>
      </c>
      <c r="I126" s="44">
        <f>IF(A126="","",'13_Ausgangsrechnungen'!J126)</f>
        <v/>
      </c>
      <c r="J126" s="45">
        <f>IF(A126="","",'13_Ausgangsrechnungen'!T126)</f>
        <v/>
      </c>
      <c r="L126" s="13">
        <f>IF('14_Eingangsrechnungen'!A126="","",IF('14_Eingangsrechnungen'!O126&gt;0.5,"Kreditor",""))</f>
        <v/>
      </c>
      <c r="M126" s="13">
        <f>IF(L126="","",'14_Eingangsrechnungen'!A126)</f>
        <v/>
      </c>
      <c r="N126" s="44">
        <f>IF(L126="","",'14_Eingangsrechnungen'!B126)</f>
        <v/>
      </c>
      <c r="O126" s="13">
        <f>IF(L126="","",'14_Eingangsrechnungen'!D126)</f>
        <v/>
      </c>
      <c r="P126" s="13">
        <f>IF(L126="","",'14_Eingangsrechnungen'!C126)</f>
        <v/>
      </c>
      <c r="Q126" s="13">
        <f>IF(L126="","",'14_Eingangsrechnungen'!E126)</f>
        <v/>
      </c>
      <c r="R126" s="15">
        <f>IF(L126="","",'14_Eingangsrechnungen'!M126)</f>
        <v/>
      </c>
      <c r="S126" s="15">
        <f>IF(L126="","",'14_Eingangsrechnungen'!O126)</f>
        <v/>
      </c>
      <c r="T126" s="44">
        <f>IF(L126="","",'14_Eingangsrechnungen'!H126)</f>
        <v/>
      </c>
      <c r="U126" s="45">
        <f>IF(L126="","",'14_Eingangsrechnungen'!P126)</f>
        <v/>
      </c>
    </row>
    <row r="127">
      <c r="A127" s="13">
        <f>IF('13_Ausgangsrechnungen'!A127="","",IF('13_Ausgangsrechnungen'!S127&gt;0.5,"Debitor",""))</f>
        <v/>
      </c>
      <c r="B127" s="13">
        <f>IF(A127="","",'13_Ausgangsrechnungen'!A127)</f>
        <v/>
      </c>
      <c r="C127" s="44">
        <f>IF(A127="","",'13_Ausgangsrechnungen'!B127)</f>
        <v/>
      </c>
      <c r="D127" s="13">
        <f>IF(A127="","",'13_Ausgangsrechnungen'!D127)</f>
        <v/>
      </c>
      <c r="E127" s="13">
        <f>IF(A127="","",'13_Ausgangsrechnungen'!C127)</f>
        <v/>
      </c>
      <c r="F127" s="13">
        <f>IF(A127="","",'13_Ausgangsrechnungen'!E127)</f>
        <v/>
      </c>
      <c r="G127" s="15">
        <f>IF(A127="","",'13_Ausgangsrechnungen'!Q127)</f>
        <v/>
      </c>
      <c r="H127" s="15">
        <f>IF(A127="","",'13_Ausgangsrechnungen'!S127)</f>
        <v/>
      </c>
      <c r="I127" s="44">
        <f>IF(A127="","",'13_Ausgangsrechnungen'!J127)</f>
        <v/>
      </c>
      <c r="J127" s="45">
        <f>IF(A127="","",'13_Ausgangsrechnungen'!T127)</f>
        <v/>
      </c>
      <c r="L127" s="13">
        <f>IF('14_Eingangsrechnungen'!A127="","",IF('14_Eingangsrechnungen'!O127&gt;0.5,"Kreditor",""))</f>
        <v/>
      </c>
      <c r="M127" s="13">
        <f>IF(L127="","",'14_Eingangsrechnungen'!A127)</f>
        <v/>
      </c>
      <c r="N127" s="44">
        <f>IF(L127="","",'14_Eingangsrechnungen'!B127)</f>
        <v/>
      </c>
      <c r="O127" s="13">
        <f>IF(L127="","",'14_Eingangsrechnungen'!D127)</f>
        <v/>
      </c>
      <c r="P127" s="13">
        <f>IF(L127="","",'14_Eingangsrechnungen'!C127)</f>
        <v/>
      </c>
      <c r="Q127" s="13">
        <f>IF(L127="","",'14_Eingangsrechnungen'!E127)</f>
        <v/>
      </c>
      <c r="R127" s="15">
        <f>IF(L127="","",'14_Eingangsrechnungen'!M127)</f>
        <v/>
      </c>
      <c r="S127" s="15">
        <f>IF(L127="","",'14_Eingangsrechnungen'!O127)</f>
        <v/>
      </c>
      <c r="T127" s="44">
        <f>IF(L127="","",'14_Eingangsrechnungen'!H127)</f>
        <v/>
      </c>
      <c r="U127" s="45">
        <f>IF(L127="","",'14_Eingangsrechnungen'!P127)</f>
        <v/>
      </c>
    </row>
    <row r="128">
      <c r="A128" s="13">
        <f>IF('13_Ausgangsrechnungen'!A128="","",IF('13_Ausgangsrechnungen'!S128&gt;0.5,"Debitor",""))</f>
        <v/>
      </c>
      <c r="B128" s="13">
        <f>IF(A128="","",'13_Ausgangsrechnungen'!A128)</f>
        <v/>
      </c>
      <c r="C128" s="44">
        <f>IF(A128="","",'13_Ausgangsrechnungen'!B128)</f>
        <v/>
      </c>
      <c r="D128" s="13">
        <f>IF(A128="","",'13_Ausgangsrechnungen'!D128)</f>
        <v/>
      </c>
      <c r="E128" s="13">
        <f>IF(A128="","",'13_Ausgangsrechnungen'!C128)</f>
        <v/>
      </c>
      <c r="F128" s="13">
        <f>IF(A128="","",'13_Ausgangsrechnungen'!E128)</f>
        <v/>
      </c>
      <c r="G128" s="15">
        <f>IF(A128="","",'13_Ausgangsrechnungen'!Q128)</f>
        <v/>
      </c>
      <c r="H128" s="15">
        <f>IF(A128="","",'13_Ausgangsrechnungen'!S128)</f>
        <v/>
      </c>
      <c r="I128" s="44">
        <f>IF(A128="","",'13_Ausgangsrechnungen'!J128)</f>
        <v/>
      </c>
      <c r="J128" s="45">
        <f>IF(A128="","",'13_Ausgangsrechnungen'!T128)</f>
        <v/>
      </c>
      <c r="L128" s="13">
        <f>IF('14_Eingangsrechnungen'!A128="","",IF('14_Eingangsrechnungen'!O128&gt;0.5,"Kreditor",""))</f>
        <v/>
      </c>
      <c r="M128" s="13">
        <f>IF(L128="","",'14_Eingangsrechnungen'!A128)</f>
        <v/>
      </c>
      <c r="N128" s="44">
        <f>IF(L128="","",'14_Eingangsrechnungen'!B128)</f>
        <v/>
      </c>
      <c r="O128" s="13">
        <f>IF(L128="","",'14_Eingangsrechnungen'!D128)</f>
        <v/>
      </c>
      <c r="P128" s="13">
        <f>IF(L128="","",'14_Eingangsrechnungen'!C128)</f>
        <v/>
      </c>
      <c r="Q128" s="13">
        <f>IF(L128="","",'14_Eingangsrechnungen'!E128)</f>
        <v/>
      </c>
      <c r="R128" s="15">
        <f>IF(L128="","",'14_Eingangsrechnungen'!M128)</f>
        <v/>
      </c>
      <c r="S128" s="15">
        <f>IF(L128="","",'14_Eingangsrechnungen'!O128)</f>
        <v/>
      </c>
      <c r="T128" s="44">
        <f>IF(L128="","",'14_Eingangsrechnungen'!H128)</f>
        <v/>
      </c>
      <c r="U128" s="45">
        <f>IF(L128="","",'14_Eingangsrechnungen'!P128)</f>
        <v/>
      </c>
    </row>
    <row r="129">
      <c r="A129" s="13">
        <f>IF('13_Ausgangsrechnungen'!A129="","",IF('13_Ausgangsrechnungen'!S129&gt;0.5,"Debitor",""))</f>
        <v/>
      </c>
      <c r="B129" s="13">
        <f>IF(A129="","",'13_Ausgangsrechnungen'!A129)</f>
        <v/>
      </c>
      <c r="C129" s="44">
        <f>IF(A129="","",'13_Ausgangsrechnungen'!B129)</f>
        <v/>
      </c>
      <c r="D129" s="13">
        <f>IF(A129="","",'13_Ausgangsrechnungen'!D129)</f>
        <v/>
      </c>
      <c r="E129" s="13">
        <f>IF(A129="","",'13_Ausgangsrechnungen'!C129)</f>
        <v/>
      </c>
      <c r="F129" s="13">
        <f>IF(A129="","",'13_Ausgangsrechnungen'!E129)</f>
        <v/>
      </c>
      <c r="G129" s="15">
        <f>IF(A129="","",'13_Ausgangsrechnungen'!Q129)</f>
        <v/>
      </c>
      <c r="H129" s="15">
        <f>IF(A129="","",'13_Ausgangsrechnungen'!S129)</f>
        <v/>
      </c>
      <c r="I129" s="44">
        <f>IF(A129="","",'13_Ausgangsrechnungen'!J129)</f>
        <v/>
      </c>
      <c r="J129" s="45">
        <f>IF(A129="","",'13_Ausgangsrechnungen'!T129)</f>
        <v/>
      </c>
      <c r="L129" s="13">
        <f>IF('14_Eingangsrechnungen'!A129="","",IF('14_Eingangsrechnungen'!O129&gt;0.5,"Kreditor",""))</f>
        <v/>
      </c>
      <c r="M129" s="13">
        <f>IF(L129="","",'14_Eingangsrechnungen'!A129)</f>
        <v/>
      </c>
      <c r="N129" s="44">
        <f>IF(L129="","",'14_Eingangsrechnungen'!B129)</f>
        <v/>
      </c>
      <c r="O129" s="13">
        <f>IF(L129="","",'14_Eingangsrechnungen'!D129)</f>
        <v/>
      </c>
      <c r="P129" s="13">
        <f>IF(L129="","",'14_Eingangsrechnungen'!C129)</f>
        <v/>
      </c>
      <c r="Q129" s="13">
        <f>IF(L129="","",'14_Eingangsrechnungen'!E129)</f>
        <v/>
      </c>
      <c r="R129" s="15">
        <f>IF(L129="","",'14_Eingangsrechnungen'!M129)</f>
        <v/>
      </c>
      <c r="S129" s="15">
        <f>IF(L129="","",'14_Eingangsrechnungen'!O129)</f>
        <v/>
      </c>
      <c r="T129" s="44">
        <f>IF(L129="","",'14_Eingangsrechnungen'!H129)</f>
        <v/>
      </c>
      <c r="U129" s="45">
        <f>IF(L129="","",'14_Eingangsrechnungen'!P129)</f>
        <v/>
      </c>
    </row>
    <row r="130">
      <c r="A130" s="13">
        <f>IF('13_Ausgangsrechnungen'!A130="","",IF('13_Ausgangsrechnungen'!S130&gt;0.5,"Debitor",""))</f>
        <v/>
      </c>
      <c r="B130" s="13">
        <f>IF(A130="","",'13_Ausgangsrechnungen'!A130)</f>
        <v/>
      </c>
      <c r="C130" s="44">
        <f>IF(A130="","",'13_Ausgangsrechnungen'!B130)</f>
        <v/>
      </c>
      <c r="D130" s="13">
        <f>IF(A130="","",'13_Ausgangsrechnungen'!D130)</f>
        <v/>
      </c>
      <c r="E130" s="13">
        <f>IF(A130="","",'13_Ausgangsrechnungen'!C130)</f>
        <v/>
      </c>
      <c r="F130" s="13">
        <f>IF(A130="","",'13_Ausgangsrechnungen'!E130)</f>
        <v/>
      </c>
      <c r="G130" s="15">
        <f>IF(A130="","",'13_Ausgangsrechnungen'!Q130)</f>
        <v/>
      </c>
      <c r="H130" s="15">
        <f>IF(A130="","",'13_Ausgangsrechnungen'!S130)</f>
        <v/>
      </c>
      <c r="I130" s="44">
        <f>IF(A130="","",'13_Ausgangsrechnungen'!J130)</f>
        <v/>
      </c>
      <c r="J130" s="45">
        <f>IF(A130="","",'13_Ausgangsrechnungen'!T130)</f>
        <v/>
      </c>
      <c r="L130" s="13">
        <f>IF('14_Eingangsrechnungen'!A130="","",IF('14_Eingangsrechnungen'!O130&gt;0.5,"Kreditor",""))</f>
        <v/>
      </c>
      <c r="M130" s="13">
        <f>IF(L130="","",'14_Eingangsrechnungen'!A130)</f>
        <v/>
      </c>
      <c r="N130" s="44">
        <f>IF(L130="","",'14_Eingangsrechnungen'!B130)</f>
        <v/>
      </c>
      <c r="O130" s="13">
        <f>IF(L130="","",'14_Eingangsrechnungen'!D130)</f>
        <v/>
      </c>
      <c r="P130" s="13">
        <f>IF(L130="","",'14_Eingangsrechnungen'!C130)</f>
        <v/>
      </c>
      <c r="Q130" s="13">
        <f>IF(L130="","",'14_Eingangsrechnungen'!E130)</f>
        <v/>
      </c>
      <c r="R130" s="15">
        <f>IF(L130="","",'14_Eingangsrechnungen'!M130)</f>
        <v/>
      </c>
      <c r="S130" s="15">
        <f>IF(L130="","",'14_Eingangsrechnungen'!O130)</f>
        <v/>
      </c>
      <c r="T130" s="44">
        <f>IF(L130="","",'14_Eingangsrechnungen'!H130)</f>
        <v/>
      </c>
      <c r="U130" s="45">
        <f>IF(L130="","",'14_Eingangsrechnungen'!P130)</f>
        <v/>
      </c>
    </row>
    <row r="131">
      <c r="A131" s="13">
        <f>IF('13_Ausgangsrechnungen'!A131="","",IF('13_Ausgangsrechnungen'!S131&gt;0.5,"Debitor",""))</f>
        <v/>
      </c>
      <c r="B131" s="13">
        <f>IF(A131="","",'13_Ausgangsrechnungen'!A131)</f>
        <v/>
      </c>
      <c r="C131" s="44">
        <f>IF(A131="","",'13_Ausgangsrechnungen'!B131)</f>
        <v/>
      </c>
      <c r="D131" s="13">
        <f>IF(A131="","",'13_Ausgangsrechnungen'!D131)</f>
        <v/>
      </c>
      <c r="E131" s="13">
        <f>IF(A131="","",'13_Ausgangsrechnungen'!C131)</f>
        <v/>
      </c>
      <c r="F131" s="13">
        <f>IF(A131="","",'13_Ausgangsrechnungen'!E131)</f>
        <v/>
      </c>
      <c r="G131" s="15">
        <f>IF(A131="","",'13_Ausgangsrechnungen'!Q131)</f>
        <v/>
      </c>
      <c r="H131" s="15">
        <f>IF(A131="","",'13_Ausgangsrechnungen'!S131)</f>
        <v/>
      </c>
      <c r="I131" s="44">
        <f>IF(A131="","",'13_Ausgangsrechnungen'!J131)</f>
        <v/>
      </c>
      <c r="J131" s="45">
        <f>IF(A131="","",'13_Ausgangsrechnungen'!T131)</f>
        <v/>
      </c>
      <c r="L131" s="13">
        <f>IF('14_Eingangsrechnungen'!A131="","",IF('14_Eingangsrechnungen'!O131&gt;0.5,"Kreditor",""))</f>
        <v/>
      </c>
      <c r="M131" s="13">
        <f>IF(L131="","",'14_Eingangsrechnungen'!A131)</f>
        <v/>
      </c>
      <c r="N131" s="44">
        <f>IF(L131="","",'14_Eingangsrechnungen'!B131)</f>
        <v/>
      </c>
      <c r="O131" s="13">
        <f>IF(L131="","",'14_Eingangsrechnungen'!D131)</f>
        <v/>
      </c>
      <c r="P131" s="13">
        <f>IF(L131="","",'14_Eingangsrechnungen'!C131)</f>
        <v/>
      </c>
      <c r="Q131" s="13">
        <f>IF(L131="","",'14_Eingangsrechnungen'!E131)</f>
        <v/>
      </c>
      <c r="R131" s="15">
        <f>IF(L131="","",'14_Eingangsrechnungen'!M131)</f>
        <v/>
      </c>
      <c r="S131" s="15">
        <f>IF(L131="","",'14_Eingangsrechnungen'!O131)</f>
        <v/>
      </c>
      <c r="T131" s="44">
        <f>IF(L131="","",'14_Eingangsrechnungen'!H131)</f>
        <v/>
      </c>
      <c r="U131" s="45">
        <f>IF(L131="","",'14_Eingangsrechnungen'!P131)</f>
        <v/>
      </c>
    </row>
    <row r="132">
      <c r="A132" s="13">
        <f>IF('13_Ausgangsrechnungen'!A132="","",IF('13_Ausgangsrechnungen'!S132&gt;0.5,"Debitor",""))</f>
        <v/>
      </c>
      <c r="B132" s="13">
        <f>IF(A132="","",'13_Ausgangsrechnungen'!A132)</f>
        <v/>
      </c>
      <c r="C132" s="44">
        <f>IF(A132="","",'13_Ausgangsrechnungen'!B132)</f>
        <v/>
      </c>
      <c r="D132" s="13">
        <f>IF(A132="","",'13_Ausgangsrechnungen'!D132)</f>
        <v/>
      </c>
      <c r="E132" s="13">
        <f>IF(A132="","",'13_Ausgangsrechnungen'!C132)</f>
        <v/>
      </c>
      <c r="F132" s="13">
        <f>IF(A132="","",'13_Ausgangsrechnungen'!E132)</f>
        <v/>
      </c>
      <c r="G132" s="15">
        <f>IF(A132="","",'13_Ausgangsrechnungen'!Q132)</f>
        <v/>
      </c>
      <c r="H132" s="15">
        <f>IF(A132="","",'13_Ausgangsrechnungen'!S132)</f>
        <v/>
      </c>
      <c r="I132" s="44">
        <f>IF(A132="","",'13_Ausgangsrechnungen'!J132)</f>
        <v/>
      </c>
      <c r="J132" s="45">
        <f>IF(A132="","",'13_Ausgangsrechnungen'!T132)</f>
        <v/>
      </c>
      <c r="L132" s="13">
        <f>IF('14_Eingangsrechnungen'!A132="","",IF('14_Eingangsrechnungen'!O132&gt;0.5,"Kreditor",""))</f>
        <v/>
      </c>
      <c r="M132" s="13">
        <f>IF(L132="","",'14_Eingangsrechnungen'!A132)</f>
        <v/>
      </c>
      <c r="N132" s="44">
        <f>IF(L132="","",'14_Eingangsrechnungen'!B132)</f>
        <v/>
      </c>
      <c r="O132" s="13">
        <f>IF(L132="","",'14_Eingangsrechnungen'!D132)</f>
        <v/>
      </c>
      <c r="P132" s="13">
        <f>IF(L132="","",'14_Eingangsrechnungen'!C132)</f>
        <v/>
      </c>
      <c r="Q132" s="13">
        <f>IF(L132="","",'14_Eingangsrechnungen'!E132)</f>
        <v/>
      </c>
      <c r="R132" s="15">
        <f>IF(L132="","",'14_Eingangsrechnungen'!M132)</f>
        <v/>
      </c>
      <c r="S132" s="15">
        <f>IF(L132="","",'14_Eingangsrechnungen'!O132)</f>
        <v/>
      </c>
      <c r="T132" s="44">
        <f>IF(L132="","",'14_Eingangsrechnungen'!H132)</f>
        <v/>
      </c>
      <c r="U132" s="45">
        <f>IF(L132="","",'14_Eingangsrechnungen'!P132)</f>
        <v/>
      </c>
    </row>
    <row r="133">
      <c r="A133" s="13">
        <f>IF('13_Ausgangsrechnungen'!A133="","",IF('13_Ausgangsrechnungen'!S133&gt;0.5,"Debitor",""))</f>
        <v/>
      </c>
      <c r="B133" s="13">
        <f>IF(A133="","",'13_Ausgangsrechnungen'!A133)</f>
        <v/>
      </c>
      <c r="C133" s="44">
        <f>IF(A133="","",'13_Ausgangsrechnungen'!B133)</f>
        <v/>
      </c>
      <c r="D133" s="13">
        <f>IF(A133="","",'13_Ausgangsrechnungen'!D133)</f>
        <v/>
      </c>
      <c r="E133" s="13">
        <f>IF(A133="","",'13_Ausgangsrechnungen'!C133)</f>
        <v/>
      </c>
      <c r="F133" s="13">
        <f>IF(A133="","",'13_Ausgangsrechnungen'!E133)</f>
        <v/>
      </c>
      <c r="G133" s="15">
        <f>IF(A133="","",'13_Ausgangsrechnungen'!Q133)</f>
        <v/>
      </c>
      <c r="H133" s="15">
        <f>IF(A133="","",'13_Ausgangsrechnungen'!S133)</f>
        <v/>
      </c>
      <c r="I133" s="44">
        <f>IF(A133="","",'13_Ausgangsrechnungen'!J133)</f>
        <v/>
      </c>
      <c r="J133" s="45">
        <f>IF(A133="","",'13_Ausgangsrechnungen'!T133)</f>
        <v/>
      </c>
      <c r="L133" s="13">
        <f>IF('14_Eingangsrechnungen'!A133="","",IF('14_Eingangsrechnungen'!O133&gt;0.5,"Kreditor",""))</f>
        <v/>
      </c>
      <c r="M133" s="13">
        <f>IF(L133="","",'14_Eingangsrechnungen'!A133)</f>
        <v/>
      </c>
      <c r="N133" s="44">
        <f>IF(L133="","",'14_Eingangsrechnungen'!B133)</f>
        <v/>
      </c>
      <c r="O133" s="13">
        <f>IF(L133="","",'14_Eingangsrechnungen'!D133)</f>
        <v/>
      </c>
      <c r="P133" s="13">
        <f>IF(L133="","",'14_Eingangsrechnungen'!C133)</f>
        <v/>
      </c>
      <c r="Q133" s="13">
        <f>IF(L133="","",'14_Eingangsrechnungen'!E133)</f>
        <v/>
      </c>
      <c r="R133" s="15">
        <f>IF(L133="","",'14_Eingangsrechnungen'!M133)</f>
        <v/>
      </c>
      <c r="S133" s="15">
        <f>IF(L133="","",'14_Eingangsrechnungen'!O133)</f>
        <v/>
      </c>
      <c r="T133" s="44">
        <f>IF(L133="","",'14_Eingangsrechnungen'!H133)</f>
        <v/>
      </c>
      <c r="U133" s="45">
        <f>IF(L133="","",'14_Eingangsrechnungen'!P133)</f>
        <v/>
      </c>
    </row>
    <row r="134">
      <c r="A134" s="13">
        <f>IF('13_Ausgangsrechnungen'!A134="","",IF('13_Ausgangsrechnungen'!S134&gt;0.5,"Debitor",""))</f>
        <v/>
      </c>
      <c r="B134" s="13">
        <f>IF(A134="","",'13_Ausgangsrechnungen'!A134)</f>
        <v/>
      </c>
      <c r="C134" s="44">
        <f>IF(A134="","",'13_Ausgangsrechnungen'!B134)</f>
        <v/>
      </c>
      <c r="D134" s="13">
        <f>IF(A134="","",'13_Ausgangsrechnungen'!D134)</f>
        <v/>
      </c>
      <c r="E134" s="13">
        <f>IF(A134="","",'13_Ausgangsrechnungen'!C134)</f>
        <v/>
      </c>
      <c r="F134" s="13">
        <f>IF(A134="","",'13_Ausgangsrechnungen'!E134)</f>
        <v/>
      </c>
      <c r="G134" s="15">
        <f>IF(A134="","",'13_Ausgangsrechnungen'!Q134)</f>
        <v/>
      </c>
      <c r="H134" s="15">
        <f>IF(A134="","",'13_Ausgangsrechnungen'!S134)</f>
        <v/>
      </c>
      <c r="I134" s="44">
        <f>IF(A134="","",'13_Ausgangsrechnungen'!J134)</f>
        <v/>
      </c>
      <c r="J134" s="45">
        <f>IF(A134="","",'13_Ausgangsrechnungen'!T134)</f>
        <v/>
      </c>
      <c r="L134" s="13">
        <f>IF('14_Eingangsrechnungen'!A134="","",IF('14_Eingangsrechnungen'!O134&gt;0.5,"Kreditor",""))</f>
        <v/>
      </c>
      <c r="M134" s="13">
        <f>IF(L134="","",'14_Eingangsrechnungen'!A134)</f>
        <v/>
      </c>
      <c r="N134" s="44">
        <f>IF(L134="","",'14_Eingangsrechnungen'!B134)</f>
        <v/>
      </c>
      <c r="O134" s="13">
        <f>IF(L134="","",'14_Eingangsrechnungen'!D134)</f>
        <v/>
      </c>
      <c r="P134" s="13">
        <f>IF(L134="","",'14_Eingangsrechnungen'!C134)</f>
        <v/>
      </c>
      <c r="Q134" s="13">
        <f>IF(L134="","",'14_Eingangsrechnungen'!E134)</f>
        <v/>
      </c>
      <c r="R134" s="15">
        <f>IF(L134="","",'14_Eingangsrechnungen'!M134)</f>
        <v/>
      </c>
      <c r="S134" s="15">
        <f>IF(L134="","",'14_Eingangsrechnungen'!O134)</f>
        <v/>
      </c>
      <c r="T134" s="44">
        <f>IF(L134="","",'14_Eingangsrechnungen'!H134)</f>
        <v/>
      </c>
      <c r="U134" s="45">
        <f>IF(L134="","",'14_Eingangsrechnungen'!P134)</f>
        <v/>
      </c>
    </row>
    <row r="135">
      <c r="A135" s="13">
        <f>IF('13_Ausgangsrechnungen'!A135="","",IF('13_Ausgangsrechnungen'!S135&gt;0.5,"Debitor",""))</f>
        <v/>
      </c>
      <c r="B135" s="13">
        <f>IF(A135="","",'13_Ausgangsrechnungen'!A135)</f>
        <v/>
      </c>
      <c r="C135" s="44">
        <f>IF(A135="","",'13_Ausgangsrechnungen'!B135)</f>
        <v/>
      </c>
      <c r="D135" s="13">
        <f>IF(A135="","",'13_Ausgangsrechnungen'!D135)</f>
        <v/>
      </c>
      <c r="E135" s="13">
        <f>IF(A135="","",'13_Ausgangsrechnungen'!C135)</f>
        <v/>
      </c>
      <c r="F135" s="13">
        <f>IF(A135="","",'13_Ausgangsrechnungen'!E135)</f>
        <v/>
      </c>
      <c r="G135" s="15">
        <f>IF(A135="","",'13_Ausgangsrechnungen'!Q135)</f>
        <v/>
      </c>
      <c r="H135" s="15">
        <f>IF(A135="","",'13_Ausgangsrechnungen'!S135)</f>
        <v/>
      </c>
      <c r="I135" s="44">
        <f>IF(A135="","",'13_Ausgangsrechnungen'!J135)</f>
        <v/>
      </c>
      <c r="J135" s="45">
        <f>IF(A135="","",'13_Ausgangsrechnungen'!T135)</f>
        <v/>
      </c>
      <c r="L135" s="13">
        <f>IF('14_Eingangsrechnungen'!A135="","",IF('14_Eingangsrechnungen'!O135&gt;0.5,"Kreditor",""))</f>
        <v/>
      </c>
      <c r="M135" s="13">
        <f>IF(L135="","",'14_Eingangsrechnungen'!A135)</f>
        <v/>
      </c>
      <c r="N135" s="44">
        <f>IF(L135="","",'14_Eingangsrechnungen'!B135)</f>
        <v/>
      </c>
      <c r="O135" s="13">
        <f>IF(L135="","",'14_Eingangsrechnungen'!D135)</f>
        <v/>
      </c>
      <c r="P135" s="13">
        <f>IF(L135="","",'14_Eingangsrechnungen'!C135)</f>
        <v/>
      </c>
      <c r="Q135" s="13">
        <f>IF(L135="","",'14_Eingangsrechnungen'!E135)</f>
        <v/>
      </c>
      <c r="R135" s="15">
        <f>IF(L135="","",'14_Eingangsrechnungen'!M135)</f>
        <v/>
      </c>
      <c r="S135" s="15">
        <f>IF(L135="","",'14_Eingangsrechnungen'!O135)</f>
        <v/>
      </c>
      <c r="T135" s="44">
        <f>IF(L135="","",'14_Eingangsrechnungen'!H135)</f>
        <v/>
      </c>
      <c r="U135" s="45">
        <f>IF(L135="","",'14_Eingangsrechnungen'!P135)</f>
        <v/>
      </c>
    </row>
    <row r="136">
      <c r="A136" s="13">
        <f>IF('13_Ausgangsrechnungen'!A136="","",IF('13_Ausgangsrechnungen'!S136&gt;0.5,"Debitor",""))</f>
        <v/>
      </c>
      <c r="B136" s="13">
        <f>IF(A136="","",'13_Ausgangsrechnungen'!A136)</f>
        <v/>
      </c>
      <c r="C136" s="44">
        <f>IF(A136="","",'13_Ausgangsrechnungen'!B136)</f>
        <v/>
      </c>
      <c r="D136" s="13">
        <f>IF(A136="","",'13_Ausgangsrechnungen'!D136)</f>
        <v/>
      </c>
      <c r="E136" s="13">
        <f>IF(A136="","",'13_Ausgangsrechnungen'!C136)</f>
        <v/>
      </c>
      <c r="F136" s="13">
        <f>IF(A136="","",'13_Ausgangsrechnungen'!E136)</f>
        <v/>
      </c>
      <c r="G136" s="15">
        <f>IF(A136="","",'13_Ausgangsrechnungen'!Q136)</f>
        <v/>
      </c>
      <c r="H136" s="15">
        <f>IF(A136="","",'13_Ausgangsrechnungen'!S136)</f>
        <v/>
      </c>
      <c r="I136" s="44">
        <f>IF(A136="","",'13_Ausgangsrechnungen'!J136)</f>
        <v/>
      </c>
      <c r="J136" s="45">
        <f>IF(A136="","",'13_Ausgangsrechnungen'!T136)</f>
        <v/>
      </c>
      <c r="L136" s="13">
        <f>IF('14_Eingangsrechnungen'!A136="","",IF('14_Eingangsrechnungen'!O136&gt;0.5,"Kreditor",""))</f>
        <v/>
      </c>
      <c r="M136" s="13">
        <f>IF(L136="","",'14_Eingangsrechnungen'!A136)</f>
        <v/>
      </c>
      <c r="N136" s="44">
        <f>IF(L136="","",'14_Eingangsrechnungen'!B136)</f>
        <v/>
      </c>
      <c r="O136" s="13">
        <f>IF(L136="","",'14_Eingangsrechnungen'!D136)</f>
        <v/>
      </c>
      <c r="P136" s="13">
        <f>IF(L136="","",'14_Eingangsrechnungen'!C136)</f>
        <v/>
      </c>
      <c r="Q136" s="13">
        <f>IF(L136="","",'14_Eingangsrechnungen'!E136)</f>
        <v/>
      </c>
      <c r="R136" s="15">
        <f>IF(L136="","",'14_Eingangsrechnungen'!M136)</f>
        <v/>
      </c>
      <c r="S136" s="15">
        <f>IF(L136="","",'14_Eingangsrechnungen'!O136)</f>
        <v/>
      </c>
      <c r="T136" s="44">
        <f>IF(L136="","",'14_Eingangsrechnungen'!H136)</f>
        <v/>
      </c>
      <c r="U136" s="45">
        <f>IF(L136="","",'14_Eingangsrechnungen'!P136)</f>
        <v/>
      </c>
    </row>
    <row r="137">
      <c r="A137" s="13">
        <f>IF('13_Ausgangsrechnungen'!A137="","",IF('13_Ausgangsrechnungen'!S137&gt;0.5,"Debitor",""))</f>
        <v/>
      </c>
      <c r="B137" s="13">
        <f>IF(A137="","",'13_Ausgangsrechnungen'!A137)</f>
        <v/>
      </c>
      <c r="C137" s="44">
        <f>IF(A137="","",'13_Ausgangsrechnungen'!B137)</f>
        <v/>
      </c>
      <c r="D137" s="13">
        <f>IF(A137="","",'13_Ausgangsrechnungen'!D137)</f>
        <v/>
      </c>
      <c r="E137" s="13">
        <f>IF(A137="","",'13_Ausgangsrechnungen'!C137)</f>
        <v/>
      </c>
      <c r="F137" s="13">
        <f>IF(A137="","",'13_Ausgangsrechnungen'!E137)</f>
        <v/>
      </c>
      <c r="G137" s="15">
        <f>IF(A137="","",'13_Ausgangsrechnungen'!Q137)</f>
        <v/>
      </c>
      <c r="H137" s="15">
        <f>IF(A137="","",'13_Ausgangsrechnungen'!S137)</f>
        <v/>
      </c>
      <c r="I137" s="44">
        <f>IF(A137="","",'13_Ausgangsrechnungen'!J137)</f>
        <v/>
      </c>
      <c r="J137" s="45">
        <f>IF(A137="","",'13_Ausgangsrechnungen'!T137)</f>
        <v/>
      </c>
      <c r="L137" s="13">
        <f>IF('14_Eingangsrechnungen'!A137="","",IF('14_Eingangsrechnungen'!O137&gt;0.5,"Kreditor",""))</f>
        <v/>
      </c>
      <c r="M137" s="13">
        <f>IF(L137="","",'14_Eingangsrechnungen'!A137)</f>
        <v/>
      </c>
      <c r="N137" s="44">
        <f>IF(L137="","",'14_Eingangsrechnungen'!B137)</f>
        <v/>
      </c>
      <c r="O137" s="13">
        <f>IF(L137="","",'14_Eingangsrechnungen'!D137)</f>
        <v/>
      </c>
      <c r="P137" s="13">
        <f>IF(L137="","",'14_Eingangsrechnungen'!C137)</f>
        <v/>
      </c>
      <c r="Q137" s="13">
        <f>IF(L137="","",'14_Eingangsrechnungen'!E137)</f>
        <v/>
      </c>
      <c r="R137" s="15">
        <f>IF(L137="","",'14_Eingangsrechnungen'!M137)</f>
        <v/>
      </c>
      <c r="S137" s="15">
        <f>IF(L137="","",'14_Eingangsrechnungen'!O137)</f>
        <v/>
      </c>
      <c r="T137" s="44">
        <f>IF(L137="","",'14_Eingangsrechnungen'!H137)</f>
        <v/>
      </c>
      <c r="U137" s="45">
        <f>IF(L137="","",'14_Eingangsrechnungen'!P137)</f>
        <v/>
      </c>
    </row>
    <row r="138">
      <c r="A138" s="13">
        <f>IF('13_Ausgangsrechnungen'!A138="","",IF('13_Ausgangsrechnungen'!S138&gt;0.5,"Debitor",""))</f>
        <v/>
      </c>
      <c r="B138" s="13">
        <f>IF(A138="","",'13_Ausgangsrechnungen'!A138)</f>
        <v/>
      </c>
      <c r="C138" s="44">
        <f>IF(A138="","",'13_Ausgangsrechnungen'!B138)</f>
        <v/>
      </c>
      <c r="D138" s="13">
        <f>IF(A138="","",'13_Ausgangsrechnungen'!D138)</f>
        <v/>
      </c>
      <c r="E138" s="13">
        <f>IF(A138="","",'13_Ausgangsrechnungen'!C138)</f>
        <v/>
      </c>
      <c r="F138" s="13">
        <f>IF(A138="","",'13_Ausgangsrechnungen'!E138)</f>
        <v/>
      </c>
      <c r="G138" s="15">
        <f>IF(A138="","",'13_Ausgangsrechnungen'!Q138)</f>
        <v/>
      </c>
      <c r="H138" s="15">
        <f>IF(A138="","",'13_Ausgangsrechnungen'!S138)</f>
        <v/>
      </c>
      <c r="I138" s="44">
        <f>IF(A138="","",'13_Ausgangsrechnungen'!J138)</f>
        <v/>
      </c>
      <c r="J138" s="45">
        <f>IF(A138="","",'13_Ausgangsrechnungen'!T138)</f>
        <v/>
      </c>
      <c r="L138" s="13">
        <f>IF('14_Eingangsrechnungen'!A138="","",IF('14_Eingangsrechnungen'!O138&gt;0.5,"Kreditor",""))</f>
        <v/>
      </c>
      <c r="M138" s="13">
        <f>IF(L138="","",'14_Eingangsrechnungen'!A138)</f>
        <v/>
      </c>
      <c r="N138" s="44">
        <f>IF(L138="","",'14_Eingangsrechnungen'!B138)</f>
        <v/>
      </c>
      <c r="O138" s="13">
        <f>IF(L138="","",'14_Eingangsrechnungen'!D138)</f>
        <v/>
      </c>
      <c r="P138" s="13">
        <f>IF(L138="","",'14_Eingangsrechnungen'!C138)</f>
        <v/>
      </c>
      <c r="Q138" s="13">
        <f>IF(L138="","",'14_Eingangsrechnungen'!E138)</f>
        <v/>
      </c>
      <c r="R138" s="15">
        <f>IF(L138="","",'14_Eingangsrechnungen'!M138)</f>
        <v/>
      </c>
      <c r="S138" s="15">
        <f>IF(L138="","",'14_Eingangsrechnungen'!O138)</f>
        <v/>
      </c>
      <c r="T138" s="44">
        <f>IF(L138="","",'14_Eingangsrechnungen'!H138)</f>
        <v/>
      </c>
      <c r="U138" s="45">
        <f>IF(L138="","",'14_Eingangsrechnungen'!P138)</f>
        <v/>
      </c>
    </row>
    <row r="139">
      <c r="A139" s="13">
        <f>IF('13_Ausgangsrechnungen'!A139="","",IF('13_Ausgangsrechnungen'!S139&gt;0.5,"Debitor",""))</f>
        <v/>
      </c>
      <c r="B139" s="13">
        <f>IF(A139="","",'13_Ausgangsrechnungen'!A139)</f>
        <v/>
      </c>
      <c r="C139" s="44">
        <f>IF(A139="","",'13_Ausgangsrechnungen'!B139)</f>
        <v/>
      </c>
      <c r="D139" s="13">
        <f>IF(A139="","",'13_Ausgangsrechnungen'!D139)</f>
        <v/>
      </c>
      <c r="E139" s="13">
        <f>IF(A139="","",'13_Ausgangsrechnungen'!C139)</f>
        <v/>
      </c>
      <c r="F139" s="13">
        <f>IF(A139="","",'13_Ausgangsrechnungen'!E139)</f>
        <v/>
      </c>
      <c r="G139" s="15">
        <f>IF(A139="","",'13_Ausgangsrechnungen'!Q139)</f>
        <v/>
      </c>
      <c r="H139" s="15">
        <f>IF(A139="","",'13_Ausgangsrechnungen'!S139)</f>
        <v/>
      </c>
      <c r="I139" s="44">
        <f>IF(A139="","",'13_Ausgangsrechnungen'!J139)</f>
        <v/>
      </c>
      <c r="J139" s="45">
        <f>IF(A139="","",'13_Ausgangsrechnungen'!T139)</f>
        <v/>
      </c>
      <c r="L139" s="13">
        <f>IF('14_Eingangsrechnungen'!A139="","",IF('14_Eingangsrechnungen'!O139&gt;0.5,"Kreditor",""))</f>
        <v/>
      </c>
      <c r="M139" s="13">
        <f>IF(L139="","",'14_Eingangsrechnungen'!A139)</f>
        <v/>
      </c>
      <c r="N139" s="44">
        <f>IF(L139="","",'14_Eingangsrechnungen'!B139)</f>
        <v/>
      </c>
      <c r="O139" s="13">
        <f>IF(L139="","",'14_Eingangsrechnungen'!D139)</f>
        <v/>
      </c>
      <c r="P139" s="13">
        <f>IF(L139="","",'14_Eingangsrechnungen'!C139)</f>
        <v/>
      </c>
      <c r="Q139" s="13">
        <f>IF(L139="","",'14_Eingangsrechnungen'!E139)</f>
        <v/>
      </c>
      <c r="R139" s="15">
        <f>IF(L139="","",'14_Eingangsrechnungen'!M139)</f>
        <v/>
      </c>
      <c r="S139" s="15">
        <f>IF(L139="","",'14_Eingangsrechnungen'!O139)</f>
        <v/>
      </c>
      <c r="T139" s="44">
        <f>IF(L139="","",'14_Eingangsrechnungen'!H139)</f>
        <v/>
      </c>
      <c r="U139" s="45">
        <f>IF(L139="","",'14_Eingangsrechnungen'!P139)</f>
        <v/>
      </c>
    </row>
    <row r="140">
      <c r="A140" s="13">
        <f>IF('13_Ausgangsrechnungen'!A140="","",IF('13_Ausgangsrechnungen'!S140&gt;0.5,"Debitor",""))</f>
        <v/>
      </c>
      <c r="B140" s="13">
        <f>IF(A140="","",'13_Ausgangsrechnungen'!A140)</f>
        <v/>
      </c>
      <c r="C140" s="44">
        <f>IF(A140="","",'13_Ausgangsrechnungen'!B140)</f>
        <v/>
      </c>
      <c r="D140" s="13">
        <f>IF(A140="","",'13_Ausgangsrechnungen'!D140)</f>
        <v/>
      </c>
      <c r="E140" s="13">
        <f>IF(A140="","",'13_Ausgangsrechnungen'!C140)</f>
        <v/>
      </c>
      <c r="F140" s="13">
        <f>IF(A140="","",'13_Ausgangsrechnungen'!E140)</f>
        <v/>
      </c>
      <c r="G140" s="15">
        <f>IF(A140="","",'13_Ausgangsrechnungen'!Q140)</f>
        <v/>
      </c>
      <c r="H140" s="15">
        <f>IF(A140="","",'13_Ausgangsrechnungen'!S140)</f>
        <v/>
      </c>
      <c r="I140" s="44">
        <f>IF(A140="","",'13_Ausgangsrechnungen'!J140)</f>
        <v/>
      </c>
      <c r="J140" s="45">
        <f>IF(A140="","",'13_Ausgangsrechnungen'!T140)</f>
        <v/>
      </c>
      <c r="L140" s="13">
        <f>IF('14_Eingangsrechnungen'!A140="","",IF('14_Eingangsrechnungen'!O140&gt;0.5,"Kreditor",""))</f>
        <v/>
      </c>
      <c r="M140" s="13">
        <f>IF(L140="","",'14_Eingangsrechnungen'!A140)</f>
        <v/>
      </c>
      <c r="N140" s="44">
        <f>IF(L140="","",'14_Eingangsrechnungen'!B140)</f>
        <v/>
      </c>
      <c r="O140" s="13">
        <f>IF(L140="","",'14_Eingangsrechnungen'!D140)</f>
        <v/>
      </c>
      <c r="P140" s="13">
        <f>IF(L140="","",'14_Eingangsrechnungen'!C140)</f>
        <v/>
      </c>
      <c r="Q140" s="13">
        <f>IF(L140="","",'14_Eingangsrechnungen'!E140)</f>
        <v/>
      </c>
      <c r="R140" s="15">
        <f>IF(L140="","",'14_Eingangsrechnungen'!M140)</f>
        <v/>
      </c>
      <c r="S140" s="15">
        <f>IF(L140="","",'14_Eingangsrechnungen'!O140)</f>
        <v/>
      </c>
      <c r="T140" s="44">
        <f>IF(L140="","",'14_Eingangsrechnungen'!H140)</f>
        <v/>
      </c>
      <c r="U140" s="45">
        <f>IF(L140="","",'14_Eingangsrechnungen'!P140)</f>
        <v/>
      </c>
    </row>
    <row r="141">
      <c r="A141" s="13">
        <f>IF('13_Ausgangsrechnungen'!A141="","",IF('13_Ausgangsrechnungen'!S141&gt;0.5,"Debitor",""))</f>
        <v/>
      </c>
      <c r="B141" s="13">
        <f>IF(A141="","",'13_Ausgangsrechnungen'!A141)</f>
        <v/>
      </c>
      <c r="C141" s="44">
        <f>IF(A141="","",'13_Ausgangsrechnungen'!B141)</f>
        <v/>
      </c>
      <c r="D141" s="13">
        <f>IF(A141="","",'13_Ausgangsrechnungen'!D141)</f>
        <v/>
      </c>
      <c r="E141" s="13">
        <f>IF(A141="","",'13_Ausgangsrechnungen'!C141)</f>
        <v/>
      </c>
      <c r="F141" s="13">
        <f>IF(A141="","",'13_Ausgangsrechnungen'!E141)</f>
        <v/>
      </c>
      <c r="G141" s="15">
        <f>IF(A141="","",'13_Ausgangsrechnungen'!Q141)</f>
        <v/>
      </c>
      <c r="H141" s="15">
        <f>IF(A141="","",'13_Ausgangsrechnungen'!S141)</f>
        <v/>
      </c>
      <c r="I141" s="44">
        <f>IF(A141="","",'13_Ausgangsrechnungen'!J141)</f>
        <v/>
      </c>
      <c r="J141" s="45">
        <f>IF(A141="","",'13_Ausgangsrechnungen'!T141)</f>
        <v/>
      </c>
      <c r="L141" s="13">
        <f>IF('14_Eingangsrechnungen'!A141="","",IF('14_Eingangsrechnungen'!O141&gt;0.5,"Kreditor",""))</f>
        <v/>
      </c>
      <c r="M141" s="13">
        <f>IF(L141="","",'14_Eingangsrechnungen'!A141)</f>
        <v/>
      </c>
      <c r="N141" s="44">
        <f>IF(L141="","",'14_Eingangsrechnungen'!B141)</f>
        <v/>
      </c>
      <c r="O141" s="13">
        <f>IF(L141="","",'14_Eingangsrechnungen'!D141)</f>
        <v/>
      </c>
      <c r="P141" s="13">
        <f>IF(L141="","",'14_Eingangsrechnungen'!C141)</f>
        <v/>
      </c>
      <c r="Q141" s="13">
        <f>IF(L141="","",'14_Eingangsrechnungen'!E141)</f>
        <v/>
      </c>
      <c r="R141" s="15">
        <f>IF(L141="","",'14_Eingangsrechnungen'!M141)</f>
        <v/>
      </c>
      <c r="S141" s="15">
        <f>IF(L141="","",'14_Eingangsrechnungen'!O141)</f>
        <v/>
      </c>
      <c r="T141" s="44">
        <f>IF(L141="","",'14_Eingangsrechnungen'!H141)</f>
        <v/>
      </c>
      <c r="U141" s="45">
        <f>IF(L141="","",'14_Eingangsrechnungen'!P141)</f>
        <v/>
      </c>
    </row>
    <row r="142">
      <c r="A142" s="13">
        <f>IF('13_Ausgangsrechnungen'!A142="","",IF('13_Ausgangsrechnungen'!S142&gt;0.5,"Debitor",""))</f>
        <v/>
      </c>
      <c r="B142" s="13">
        <f>IF(A142="","",'13_Ausgangsrechnungen'!A142)</f>
        <v/>
      </c>
      <c r="C142" s="44">
        <f>IF(A142="","",'13_Ausgangsrechnungen'!B142)</f>
        <v/>
      </c>
      <c r="D142" s="13">
        <f>IF(A142="","",'13_Ausgangsrechnungen'!D142)</f>
        <v/>
      </c>
      <c r="E142" s="13">
        <f>IF(A142="","",'13_Ausgangsrechnungen'!C142)</f>
        <v/>
      </c>
      <c r="F142" s="13">
        <f>IF(A142="","",'13_Ausgangsrechnungen'!E142)</f>
        <v/>
      </c>
      <c r="G142" s="15">
        <f>IF(A142="","",'13_Ausgangsrechnungen'!Q142)</f>
        <v/>
      </c>
      <c r="H142" s="15">
        <f>IF(A142="","",'13_Ausgangsrechnungen'!S142)</f>
        <v/>
      </c>
      <c r="I142" s="44">
        <f>IF(A142="","",'13_Ausgangsrechnungen'!J142)</f>
        <v/>
      </c>
      <c r="J142" s="45">
        <f>IF(A142="","",'13_Ausgangsrechnungen'!T142)</f>
        <v/>
      </c>
      <c r="L142" s="13">
        <f>IF('14_Eingangsrechnungen'!A142="","",IF('14_Eingangsrechnungen'!O142&gt;0.5,"Kreditor",""))</f>
        <v/>
      </c>
      <c r="M142" s="13">
        <f>IF(L142="","",'14_Eingangsrechnungen'!A142)</f>
        <v/>
      </c>
      <c r="N142" s="44">
        <f>IF(L142="","",'14_Eingangsrechnungen'!B142)</f>
        <v/>
      </c>
      <c r="O142" s="13">
        <f>IF(L142="","",'14_Eingangsrechnungen'!D142)</f>
        <v/>
      </c>
      <c r="P142" s="13">
        <f>IF(L142="","",'14_Eingangsrechnungen'!C142)</f>
        <v/>
      </c>
      <c r="Q142" s="13">
        <f>IF(L142="","",'14_Eingangsrechnungen'!E142)</f>
        <v/>
      </c>
      <c r="R142" s="15">
        <f>IF(L142="","",'14_Eingangsrechnungen'!M142)</f>
        <v/>
      </c>
      <c r="S142" s="15">
        <f>IF(L142="","",'14_Eingangsrechnungen'!O142)</f>
        <v/>
      </c>
      <c r="T142" s="44">
        <f>IF(L142="","",'14_Eingangsrechnungen'!H142)</f>
        <v/>
      </c>
      <c r="U142" s="45">
        <f>IF(L142="","",'14_Eingangsrechnungen'!P142)</f>
        <v/>
      </c>
    </row>
    <row r="143">
      <c r="A143" s="13">
        <f>IF('13_Ausgangsrechnungen'!A143="","",IF('13_Ausgangsrechnungen'!S143&gt;0.5,"Debitor",""))</f>
        <v/>
      </c>
      <c r="B143" s="13">
        <f>IF(A143="","",'13_Ausgangsrechnungen'!A143)</f>
        <v/>
      </c>
      <c r="C143" s="44">
        <f>IF(A143="","",'13_Ausgangsrechnungen'!B143)</f>
        <v/>
      </c>
      <c r="D143" s="13">
        <f>IF(A143="","",'13_Ausgangsrechnungen'!D143)</f>
        <v/>
      </c>
      <c r="E143" s="13">
        <f>IF(A143="","",'13_Ausgangsrechnungen'!C143)</f>
        <v/>
      </c>
      <c r="F143" s="13">
        <f>IF(A143="","",'13_Ausgangsrechnungen'!E143)</f>
        <v/>
      </c>
      <c r="G143" s="15">
        <f>IF(A143="","",'13_Ausgangsrechnungen'!Q143)</f>
        <v/>
      </c>
      <c r="H143" s="15">
        <f>IF(A143="","",'13_Ausgangsrechnungen'!S143)</f>
        <v/>
      </c>
      <c r="I143" s="44">
        <f>IF(A143="","",'13_Ausgangsrechnungen'!J143)</f>
        <v/>
      </c>
      <c r="J143" s="45">
        <f>IF(A143="","",'13_Ausgangsrechnungen'!T143)</f>
        <v/>
      </c>
      <c r="L143" s="13">
        <f>IF('14_Eingangsrechnungen'!A143="","",IF('14_Eingangsrechnungen'!O143&gt;0.5,"Kreditor",""))</f>
        <v/>
      </c>
      <c r="M143" s="13">
        <f>IF(L143="","",'14_Eingangsrechnungen'!A143)</f>
        <v/>
      </c>
      <c r="N143" s="44">
        <f>IF(L143="","",'14_Eingangsrechnungen'!B143)</f>
        <v/>
      </c>
      <c r="O143" s="13">
        <f>IF(L143="","",'14_Eingangsrechnungen'!D143)</f>
        <v/>
      </c>
      <c r="P143" s="13">
        <f>IF(L143="","",'14_Eingangsrechnungen'!C143)</f>
        <v/>
      </c>
      <c r="Q143" s="13">
        <f>IF(L143="","",'14_Eingangsrechnungen'!E143)</f>
        <v/>
      </c>
      <c r="R143" s="15">
        <f>IF(L143="","",'14_Eingangsrechnungen'!M143)</f>
        <v/>
      </c>
      <c r="S143" s="15">
        <f>IF(L143="","",'14_Eingangsrechnungen'!O143)</f>
        <v/>
      </c>
      <c r="T143" s="44">
        <f>IF(L143="","",'14_Eingangsrechnungen'!H143)</f>
        <v/>
      </c>
      <c r="U143" s="45">
        <f>IF(L143="","",'14_Eingangsrechnungen'!P143)</f>
        <v/>
      </c>
    </row>
    <row r="144">
      <c r="A144" s="13">
        <f>IF('13_Ausgangsrechnungen'!A144="","",IF('13_Ausgangsrechnungen'!S144&gt;0.5,"Debitor",""))</f>
        <v/>
      </c>
      <c r="B144" s="13">
        <f>IF(A144="","",'13_Ausgangsrechnungen'!A144)</f>
        <v/>
      </c>
      <c r="C144" s="44">
        <f>IF(A144="","",'13_Ausgangsrechnungen'!B144)</f>
        <v/>
      </c>
      <c r="D144" s="13">
        <f>IF(A144="","",'13_Ausgangsrechnungen'!D144)</f>
        <v/>
      </c>
      <c r="E144" s="13">
        <f>IF(A144="","",'13_Ausgangsrechnungen'!C144)</f>
        <v/>
      </c>
      <c r="F144" s="13">
        <f>IF(A144="","",'13_Ausgangsrechnungen'!E144)</f>
        <v/>
      </c>
      <c r="G144" s="15">
        <f>IF(A144="","",'13_Ausgangsrechnungen'!Q144)</f>
        <v/>
      </c>
      <c r="H144" s="15">
        <f>IF(A144="","",'13_Ausgangsrechnungen'!S144)</f>
        <v/>
      </c>
      <c r="I144" s="44">
        <f>IF(A144="","",'13_Ausgangsrechnungen'!J144)</f>
        <v/>
      </c>
      <c r="J144" s="45">
        <f>IF(A144="","",'13_Ausgangsrechnungen'!T144)</f>
        <v/>
      </c>
      <c r="L144" s="13">
        <f>IF('14_Eingangsrechnungen'!A144="","",IF('14_Eingangsrechnungen'!O144&gt;0.5,"Kreditor",""))</f>
        <v/>
      </c>
      <c r="M144" s="13">
        <f>IF(L144="","",'14_Eingangsrechnungen'!A144)</f>
        <v/>
      </c>
      <c r="N144" s="44">
        <f>IF(L144="","",'14_Eingangsrechnungen'!B144)</f>
        <v/>
      </c>
      <c r="O144" s="13">
        <f>IF(L144="","",'14_Eingangsrechnungen'!D144)</f>
        <v/>
      </c>
      <c r="P144" s="13">
        <f>IF(L144="","",'14_Eingangsrechnungen'!C144)</f>
        <v/>
      </c>
      <c r="Q144" s="13">
        <f>IF(L144="","",'14_Eingangsrechnungen'!E144)</f>
        <v/>
      </c>
      <c r="R144" s="15">
        <f>IF(L144="","",'14_Eingangsrechnungen'!M144)</f>
        <v/>
      </c>
      <c r="S144" s="15">
        <f>IF(L144="","",'14_Eingangsrechnungen'!O144)</f>
        <v/>
      </c>
      <c r="T144" s="44">
        <f>IF(L144="","",'14_Eingangsrechnungen'!H144)</f>
        <v/>
      </c>
      <c r="U144" s="45">
        <f>IF(L144="","",'14_Eingangsrechnungen'!P144)</f>
        <v/>
      </c>
    </row>
    <row r="145">
      <c r="A145" s="13">
        <f>IF('13_Ausgangsrechnungen'!A145="","",IF('13_Ausgangsrechnungen'!S145&gt;0.5,"Debitor",""))</f>
        <v/>
      </c>
      <c r="B145" s="13">
        <f>IF(A145="","",'13_Ausgangsrechnungen'!A145)</f>
        <v/>
      </c>
      <c r="C145" s="44">
        <f>IF(A145="","",'13_Ausgangsrechnungen'!B145)</f>
        <v/>
      </c>
      <c r="D145" s="13">
        <f>IF(A145="","",'13_Ausgangsrechnungen'!D145)</f>
        <v/>
      </c>
      <c r="E145" s="13">
        <f>IF(A145="","",'13_Ausgangsrechnungen'!C145)</f>
        <v/>
      </c>
      <c r="F145" s="13">
        <f>IF(A145="","",'13_Ausgangsrechnungen'!E145)</f>
        <v/>
      </c>
      <c r="G145" s="15">
        <f>IF(A145="","",'13_Ausgangsrechnungen'!Q145)</f>
        <v/>
      </c>
      <c r="H145" s="15">
        <f>IF(A145="","",'13_Ausgangsrechnungen'!S145)</f>
        <v/>
      </c>
      <c r="I145" s="44">
        <f>IF(A145="","",'13_Ausgangsrechnungen'!J145)</f>
        <v/>
      </c>
      <c r="J145" s="45">
        <f>IF(A145="","",'13_Ausgangsrechnungen'!T145)</f>
        <v/>
      </c>
      <c r="L145" s="13">
        <f>IF('14_Eingangsrechnungen'!A145="","",IF('14_Eingangsrechnungen'!O145&gt;0.5,"Kreditor",""))</f>
        <v/>
      </c>
      <c r="M145" s="13">
        <f>IF(L145="","",'14_Eingangsrechnungen'!A145)</f>
        <v/>
      </c>
      <c r="N145" s="44">
        <f>IF(L145="","",'14_Eingangsrechnungen'!B145)</f>
        <v/>
      </c>
      <c r="O145" s="13">
        <f>IF(L145="","",'14_Eingangsrechnungen'!D145)</f>
        <v/>
      </c>
      <c r="P145" s="13">
        <f>IF(L145="","",'14_Eingangsrechnungen'!C145)</f>
        <v/>
      </c>
      <c r="Q145" s="13">
        <f>IF(L145="","",'14_Eingangsrechnungen'!E145)</f>
        <v/>
      </c>
      <c r="R145" s="15">
        <f>IF(L145="","",'14_Eingangsrechnungen'!M145)</f>
        <v/>
      </c>
      <c r="S145" s="15">
        <f>IF(L145="","",'14_Eingangsrechnungen'!O145)</f>
        <v/>
      </c>
      <c r="T145" s="44">
        <f>IF(L145="","",'14_Eingangsrechnungen'!H145)</f>
        <v/>
      </c>
      <c r="U145" s="45">
        <f>IF(L145="","",'14_Eingangsrechnungen'!P145)</f>
        <v/>
      </c>
    </row>
    <row r="146">
      <c r="A146" s="13">
        <f>IF('13_Ausgangsrechnungen'!A146="","",IF('13_Ausgangsrechnungen'!S146&gt;0.5,"Debitor",""))</f>
        <v/>
      </c>
      <c r="B146" s="13">
        <f>IF(A146="","",'13_Ausgangsrechnungen'!A146)</f>
        <v/>
      </c>
      <c r="C146" s="44">
        <f>IF(A146="","",'13_Ausgangsrechnungen'!B146)</f>
        <v/>
      </c>
      <c r="D146" s="13">
        <f>IF(A146="","",'13_Ausgangsrechnungen'!D146)</f>
        <v/>
      </c>
      <c r="E146" s="13">
        <f>IF(A146="","",'13_Ausgangsrechnungen'!C146)</f>
        <v/>
      </c>
      <c r="F146" s="13">
        <f>IF(A146="","",'13_Ausgangsrechnungen'!E146)</f>
        <v/>
      </c>
      <c r="G146" s="15">
        <f>IF(A146="","",'13_Ausgangsrechnungen'!Q146)</f>
        <v/>
      </c>
      <c r="H146" s="15">
        <f>IF(A146="","",'13_Ausgangsrechnungen'!S146)</f>
        <v/>
      </c>
      <c r="I146" s="44">
        <f>IF(A146="","",'13_Ausgangsrechnungen'!J146)</f>
        <v/>
      </c>
      <c r="J146" s="45">
        <f>IF(A146="","",'13_Ausgangsrechnungen'!T146)</f>
        <v/>
      </c>
      <c r="L146" s="13">
        <f>IF('14_Eingangsrechnungen'!A146="","",IF('14_Eingangsrechnungen'!O146&gt;0.5,"Kreditor",""))</f>
        <v/>
      </c>
      <c r="M146" s="13">
        <f>IF(L146="","",'14_Eingangsrechnungen'!A146)</f>
        <v/>
      </c>
      <c r="N146" s="44">
        <f>IF(L146="","",'14_Eingangsrechnungen'!B146)</f>
        <v/>
      </c>
      <c r="O146" s="13">
        <f>IF(L146="","",'14_Eingangsrechnungen'!D146)</f>
        <v/>
      </c>
      <c r="P146" s="13">
        <f>IF(L146="","",'14_Eingangsrechnungen'!C146)</f>
        <v/>
      </c>
      <c r="Q146" s="13">
        <f>IF(L146="","",'14_Eingangsrechnungen'!E146)</f>
        <v/>
      </c>
      <c r="R146" s="15">
        <f>IF(L146="","",'14_Eingangsrechnungen'!M146)</f>
        <v/>
      </c>
      <c r="S146" s="15">
        <f>IF(L146="","",'14_Eingangsrechnungen'!O146)</f>
        <v/>
      </c>
      <c r="T146" s="44">
        <f>IF(L146="","",'14_Eingangsrechnungen'!H146)</f>
        <v/>
      </c>
      <c r="U146" s="45">
        <f>IF(L146="","",'14_Eingangsrechnungen'!P146)</f>
        <v/>
      </c>
    </row>
    <row r="147">
      <c r="A147" s="13">
        <f>IF('13_Ausgangsrechnungen'!A147="","",IF('13_Ausgangsrechnungen'!S147&gt;0.5,"Debitor",""))</f>
        <v/>
      </c>
      <c r="B147" s="13">
        <f>IF(A147="","",'13_Ausgangsrechnungen'!A147)</f>
        <v/>
      </c>
      <c r="C147" s="44">
        <f>IF(A147="","",'13_Ausgangsrechnungen'!B147)</f>
        <v/>
      </c>
      <c r="D147" s="13">
        <f>IF(A147="","",'13_Ausgangsrechnungen'!D147)</f>
        <v/>
      </c>
      <c r="E147" s="13">
        <f>IF(A147="","",'13_Ausgangsrechnungen'!C147)</f>
        <v/>
      </c>
      <c r="F147" s="13">
        <f>IF(A147="","",'13_Ausgangsrechnungen'!E147)</f>
        <v/>
      </c>
      <c r="G147" s="15">
        <f>IF(A147="","",'13_Ausgangsrechnungen'!Q147)</f>
        <v/>
      </c>
      <c r="H147" s="15">
        <f>IF(A147="","",'13_Ausgangsrechnungen'!S147)</f>
        <v/>
      </c>
      <c r="I147" s="44">
        <f>IF(A147="","",'13_Ausgangsrechnungen'!J147)</f>
        <v/>
      </c>
      <c r="J147" s="45">
        <f>IF(A147="","",'13_Ausgangsrechnungen'!T147)</f>
        <v/>
      </c>
      <c r="L147" s="13">
        <f>IF('14_Eingangsrechnungen'!A147="","",IF('14_Eingangsrechnungen'!O147&gt;0.5,"Kreditor",""))</f>
        <v/>
      </c>
      <c r="M147" s="13">
        <f>IF(L147="","",'14_Eingangsrechnungen'!A147)</f>
        <v/>
      </c>
      <c r="N147" s="44">
        <f>IF(L147="","",'14_Eingangsrechnungen'!B147)</f>
        <v/>
      </c>
      <c r="O147" s="13">
        <f>IF(L147="","",'14_Eingangsrechnungen'!D147)</f>
        <v/>
      </c>
      <c r="P147" s="13">
        <f>IF(L147="","",'14_Eingangsrechnungen'!C147)</f>
        <v/>
      </c>
      <c r="Q147" s="13">
        <f>IF(L147="","",'14_Eingangsrechnungen'!E147)</f>
        <v/>
      </c>
      <c r="R147" s="15">
        <f>IF(L147="","",'14_Eingangsrechnungen'!M147)</f>
        <v/>
      </c>
      <c r="S147" s="15">
        <f>IF(L147="","",'14_Eingangsrechnungen'!O147)</f>
        <v/>
      </c>
      <c r="T147" s="44">
        <f>IF(L147="","",'14_Eingangsrechnungen'!H147)</f>
        <v/>
      </c>
      <c r="U147" s="45">
        <f>IF(L147="","",'14_Eingangsrechnungen'!P147)</f>
        <v/>
      </c>
    </row>
    <row r="148">
      <c r="A148" s="13">
        <f>IF('13_Ausgangsrechnungen'!A148="","",IF('13_Ausgangsrechnungen'!S148&gt;0.5,"Debitor",""))</f>
        <v/>
      </c>
      <c r="B148" s="13">
        <f>IF(A148="","",'13_Ausgangsrechnungen'!A148)</f>
        <v/>
      </c>
      <c r="C148" s="44">
        <f>IF(A148="","",'13_Ausgangsrechnungen'!B148)</f>
        <v/>
      </c>
      <c r="D148" s="13">
        <f>IF(A148="","",'13_Ausgangsrechnungen'!D148)</f>
        <v/>
      </c>
      <c r="E148" s="13">
        <f>IF(A148="","",'13_Ausgangsrechnungen'!C148)</f>
        <v/>
      </c>
      <c r="F148" s="13">
        <f>IF(A148="","",'13_Ausgangsrechnungen'!E148)</f>
        <v/>
      </c>
      <c r="G148" s="15">
        <f>IF(A148="","",'13_Ausgangsrechnungen'!Q148)</f>
        <v/>
      </c>
      <c r="H148" s="15">
        <f>IF(A148="","",'13_Ausgangsrechnungen'!S148)</f>
        <v/>
      </c>
      <c r="I148" s="44">
        <f>IF(A148="","",'13_Ausgangsrechnungen'!J148)</f>
        <v/>
      </c>
      <c r="J148" s="45">
        <f>IF(A148="","",'13_Ausgangsrechnungen'!T148)</f>
        <v/>
      </c>
      <c r="L148" s="13">
        <f>IF('14_Eingangsrechnungen'!A148="","",IF('14_Eingangsrechnungen'!O148&gt;0.5,"Kreditor",""))</f>
        <v/>
      </c>
      <c r="M148" s="13">
        <f>IF(L148="","",'14_Eingangsrechnungen'!A148)</f>
        <v/>
      </c>
      <c r="N148" s="44">
        <f>IF(L148="","",'14_Eingangsrechnungen'!B148)</f>
        <v/>
      </c>
      <c r="O148" s="13">
        <f>IF(L148="","",'14_Eingangsrechnungen'!D148)</f>
        <v/>
      </c>
      <c r="P148" s="13">
        <f>IF(L148="","",'14_Eingangsrechnungen'!C148)</f>
        <v/>
      </c>
      <c r="Q148" s="13">
        <f>IF(L148="","",'14_Eingangsrechnungen'!E148)</f>
        <v/>
      </c>
      <c r="R148" s="15">
        <f>IF(L148="","",'14_Eingangsrechnungen'!M148)</f>
        <v/>
      </c>
      <c r="S148" s="15">
        <f>IF(L148="","",'14_Eingangsrechnungen'!O148)</f>
        <v/>
      </c>
      <c r="T148" s="44">
        <f>IF(L148="","",'14_Eingangsrechnungen'!H148)</f>
        <v/>
      </c>
      <c r="U148" s="45">
        <f>IF(L148="","",'14_Eingangsrechnungen'!P148)</f>
        <v/>
      </c>
    </row>
    <row r="149">
      <c r="A149" s="13">
        <f>IF('13_Ausgangsrechnungen'!A149="","",IF('13_Ausgangsrechnungen'!S149&gt;0.5,"Debitor",""))</f>
        <v/>
      </c>
      <c r="B149" s="13">
        <f>IF(A149="","",'13_Ausgangsrechnungen'!A149)</f>
        <v/>
      </c>
      <c r="C149" s="44">
        <f>IF(A149="","",'13_Ausgangsrechnungen'!B149)</f>
        <v/>
      </c>
      <c r="D149" s="13">
        <f>IF(A149="","",'13_Ausgangsrechnungen'!D149)</f>
        <v/>
      </c>
      <c r="E149" s="13">
        <f>IF(A149="","",'13_Ausgangsrechnungen'!C149)</f>
        <v/>
      </c>
      <c r="F149" s="13">
        <f>IF(A149="","",'13_Ausgangsrechnungen'!E149)</f>
        <v/>
      </c>
      <c r="G149" s="15">
        <f>IF(A149="","",'13_Ausgangsrechnungen'!Q149)</f>
        <v/>
      </c>
      <c r="H149" s="15">
        <f>IF(A149="","",'13_Ausgangsrechnungen'!S149)</f>
        <v/>
      </c>
      <c r="I149" s="44">
        <f>IF(A149="","",'13_Ausgangsrechnungen'!J149)</f>
        <v/>
      </c>
      <c r="J149" s="45">
        <f>IF(A149="","",'13_Ausgangsrechnungen'!T149)</f>
        <v/>
      </c>
      <c r="L149" s="13">
        <f>IF('14_Eingangsrechnungen'!A149="","",IF('14_Eingangsrechnungen'!O149&gt;0.5,"Kreditor",""))</f>
        <v/>
      </c>
      <c r="M149" s="13">
        <f>IF(L149="","",'14_Eingangsrechnungen'!A149)</f>
        <v/>
      </c>
      <c r="N149" s="44">
        <f>IF(L149="","",'14_Eingangsrechnungen'!B149)</f>
        <v/>
      </c>
      <c r="O149" s="13">
        <f>IF(L149="","",'14_Eingangsrechnungen'!D149)</f>
        <v/>
      </c>
      <c r="P149" s="13">
        <f>IF(L149="","",'14_Eingangsrechnungen'!C149)</f>
        <v/>
      </c>
      <c r="Q149" s="13">
        <f>IF(L149="","",'14_Eingangsrechnungen'!E149)</f>
        <v/>
      </c>
      <c r="R149" s="15">
        <f>IF(L149="","",'14_Eingangsrechnungen'!M149)</f>
        <v/>
      </c>
      <c r="S149" s="15">
        <f>IF(L149="","",'14_Eingangsrechnungen'!O149)</f>
        <v/>
      </c>
      <c r="T149" s="44">
        <f>IF(L149="","",'14_Eingangsrechnungen'!H149)</f>
        <v/>
      </c>
      <c r="U149" s="45">
        <f>IF(L149="","",'14_Eingangsrechnungen'!P149)</f>
        <v/>
      </c>
    </row>
    <row r="150">
      <c r="A150" s="13">
        <f>IF('13_Ausgangsrechnungen'!A150="","",IF('13_Ausgangsrechnungen'!S150&gt;0.5,"Debitor",""))</f>
        <v/>
      </c>
      <c r="B150" s="13">
        <f>IF(A150="","",'13_Ausgangsrechnungen'!A150)</f>
        <v/>
      </c>
      <c r="C150" s="44">
        <f>IF(A150="","",'13_Ausgangsrechnungen'!B150)</f>
        <v/>
      </c>
      <c r="D150" s="13">
        <f>IF(A150="","",'13_Ausgangsrechnungen'!D150)</f>
        <v/>
      </c>
      <c r="E150" s="13">
        <f>IF(A150="","",'13_Ausgangsrechnungen'!C150)</f>
        <v/>
      </c>
      <c r="F150" s="13">
        <f>IF(A150="","",'13_Ausgangsrechnungen'!E150)</f>
        <v/>
      </c>
      <c r="G150" s="15">
        <f>IF(A150="","",'13_Ausgangsrechnungen'!Q150)</f>
        <v/>
      </c>
      <c r="H150" s="15">
        <f>IF(A150="","",'13_Ausgangsrechnungen'!S150)</f>
        <v/>
      </c>
      <c r="I150" s="44">
        <f>IF(A150="","",'13_Ausgangsrechnungen'!J150)</f>
        <v/>
      </c>
      <c r="J150" s="45">
        <f>IF(A150="","",'13_Ausgangsrechnungen'!T150)</f>
        <v/>
      </c>
      <c r="L150" s="13">
        <f>IF('14_Eingangsrechnungen'!A150="","",IF('14_Eingangsrechnungen'!O150&gt;0.5,"Kreditor",""))</f>
        <v/>
      </c>
      <c r="M150" s="13">
        <f>IF(L150="","",'14_Eingangsrechnungen'!A150)</f>
        <v/>
      </c>
      <c r="N150" s="44">
        <f>IF(L150="","",'14_Eingangsrechnungen'!B150)</f>
        <v/>
      </c>
      <c r="O150" s="13">
        <f>IF(L150="","",'14_Eingangsrechnungen'!D150)</f>
        <v/>
      </c>
      <c r="P150" s="13">
        <f>IF(L150="","",'14_Eingangsrechnungen'!C150)</f>
        <v/>
      </c>
      <c r="Q150" s="13">
        <f>IF(L150="","",'14_Eingangsrechnungen'!E150)</f>
        <v/>
      </c>
      <c r="R150" s="15">
        <f>IF(L150="","",'14_Eingangsrechnungen'!M150)</f>
        <v/>
      </c>
      <c r="S150" s="15">
        <f>IF(L150="","",'14_Eingangsrechnungen'!O150)</f>
        <v/>
      </c>
      <c r="T150" s="44">
        <f>IF(L150="","",'14_Eingangsrechnungen'!H150)</f>
        <v/>
      </c>
      <c r="U150" s="45">
        <f>IF(L150="","",'14_Eingangsrechnungen'!P150)</f>
        <v/>
      </c>
    </row>
    <row r="151">
      <c r="A151" s="13">
        <f>IF('13_Ausgangsrechnungen'!A151="","",IF('13_Ausgangsrechnungen'!S151&gt;0.5,"Debitor",""))</f>
        <v/>
      </c>
      <c r="B151" s="13">
        <f>IF(A151="","",'13_Ausgangsrechnungen'!A151)</f>
        <v/>
      </c>
      <c r="C151" s="44">
        <f>IF(A151="","",'13_Ausgangsrechnungen'!B151)</f>
        <v/>
      </c>
      <c r="D151" s="13">
        <f>IF(A151="","",'13_Ausgangsrechnungen'!D151)</f>
        <v/>
      </c>
      <c r="E151" s="13">
        <f>IF(A151="","",'13_Ausgangsrechnungen'!C151)</f>
        <v/>
      </c>
      <c r="F151" s="13">
        <f>IF(A151="","",'13_Ausgangsrechnungen'!E151)</f>
        <v/>
      </c>
      <c r="G151" s="15">
        <f>IF(A151="","",'13_Ausgangsrechnungen'!Q151)</f>
        <v/>
      </c>
      <c r="H151" s="15">
        <f>IF(A151="","",'13_Ausgangsrechnungen'!S151)</f>
        <v/>
      </c>
      <c r="I151" s="44">
        <f>IF(A151="","",'13_Ausgangsrechnungen'!J151)</f>
        <v/>
      </c>
      <c r="J151" s="45">
        <f>IF(A151="","",'13_Ausgangsrechnungen'!T151)</f>
        <v/>
      </c>
      <c r="L151" s="13">
        <f>IF('14_Eingangsrechnungen'!A151="","",IF('14_Eingangsrechnungen'!O151&gt;0.5,"Kreditor",""))</f>
        <v/>
      </c>
      <c r="M151" s="13">
        <f>IF(L151="","",'14_Eingangsrechnungen'!A151)</f>
        <v/>
      </c>
      <c r="N151" s="44">
        <f>IF(L151="","",'14_Eingangsrechnungen'!B151)</f>
        <v/>
      </c>
      <c r="O151" s="13">
        <f>IF(L151="","",'14_Eingangsrechnungen'!D151)</f>
        <v/>
      </c>
      <c r="P151" s="13">
        <f>IF(L151="","",'14_Eingangsrechnungen'!C151)</f>
        <v/>
      </c>
      <c r="Q151" s="13">
        <f>IF(L151="","",'14_Eingangsrechnungen'!E151)</f>
        <v/>
      </c>
      <c r="R151" s="15">
        <f>IF(L151="","",'14_Eingangsrechnungen'!M151)</f>
        <v/>
      </c>
      <c r="S151" s="15">
        <f>IF(L151="","",'14_Eingangsrechnungen'!O151)</f>
        <v/>
      </c>
      <c r="T151" s="44">
        <f>IF(L151="","",'14_Eingangsrechnungen'!H151)</f>
        <v/>
      </c>
      <c r="U151" s="45">
        <f>IF(L151="","",'14_Eingangsrechnungen'!P151)</f>
        <v/>
      </c>
    </row>
    <row r="152">
      <c r="A152" s="13">
        <f>IF('13_Ausgangsrechnungen'!A152="","",IF('13_Ausgangsrechnungen'!S152&gt;0.5,"Debitor",""))</f>
        <v/>
      </c>
      <c r="B152" s="13">
        <f>IF(A152="","",'13_Ausgangsrechnungen'!A152)</f>
        <v/>
      </c>
      <c r="C152" s="44">
        <f>IF(A152="","",'13_Ausgangsrechnungen'!B152)</f>
        <v/>
      </c>
      <c r="D152" s="13">
        <f>IF(A152="","",'13_Ausgangsrechnungen'!D152)</f>
        <v/>
      </c>
      <c r="E152" s="13">
        <f>IF(A152="","",'13_Ausgangsrechnungen'!C152)</f>
        <v/>
      </c>
      <c r="F152" s="13">
        <f>IF(A152="","",'13_Ausgangsrechnungen'!E152)</f>
        <v/>
      </c>
      <c r="G152" s="15">
        <f>IF(A152="","",'13_Ausgangsrechnungen'!Q152)</f>
        <v/>
      </c>
      <c r="H152" s="15">
        <f>IF(A152="","",'13_Ausgangsrechnungen'!S152)</f>
        <v/>
      </c>
      <c r="I152" s="44">
        <f>IF(A152="","",'13_Ausgangsrechnungen'!J152)</f>
        <v/>
      </c>
      <c r="J152" s="45">
        <f>IF(A152="","",'13_Ausgangsrechnungen'!T152)</f>
        <v/>
      </c>
      <c r="L152" s="13">
        <f>IF('14_Eingangsrechnungen'!A152="","",IF('14_Eingangsrechnungen'!O152&gt;0.5,"Kreditor",""))</f>
        <v/>
      </c>
      <c r="M152" s="13">
        <f>IF(L152="","",'14_Eingangsrechnungen'!A152)</f>
        <v/>
      </c>
      <c r="N152" s="44">
        <f>IF(L152="","",'14_Eingangsrechnungen'!B152)</f>
        <v/>
      </c>
      <c r="O152" s="13">
        <f>IF(L152="","",'14_Eingangsrechnungen'!D152)</f>
        <v/>
      </c>
      <c r="P152" s="13">
        <f>IF(L152="","",'14_Eingangsrechnungen'!C152)</f>
        <v/>
      </c>
      <c r="Q152" s="13">
        <f>IF(L152="","",'14_Eingangsrechnungen'!E152)</f>
        <v/>
      </c>
      <c r="R152" s="15">
        <f>IF(L152="","",'14_Eingangsrechnungen'!M152)</f>
        <v/>
      </c>
      <c r="S152" s="15">
        <f>IF(L152="","",'14_Eingangsrechnungen'!O152)</f>
        <v/>
      </c>
      <c r="T152" s="44">
        <f>IF(L152="","",'14_Eingangsrechnungen'!H152)</f>
        <v/>
      </c>
      <c r="U152" s="45">
        <f>IF(L152="","",'14_Eingangsrechnungen'!P152)</f>
        <v/>
      </c>
    </row>
    <row r="153">
      <c r="A153" s="13">
        <f>IF('13_Ausgangsrechnungen'!A153="","",IF('13_Ausgangsrechnungen'!S153&gt;0.5,"Debitor",""))</f>
        <v/>
      </c>
      <c r="B153" s="13">
        <f>IF(A153="","",'13_Ausgangsrechnungen'!A153)</f>
        <v/>
      </c>
      <c r="C153" s="44">
        <f>IF(A153="","",'13_Ausgangsrechnungen'!B153)</f>
        <v/>
      </c>
      <c r="D153" s="13">
        <f>IF(A153="","",'13_Ausgangsrechnungen'!D153)</f>
        <v/>
      </c>
      <c r="E153" s="13">
        <f>IF(A153="","",'13_Ausgangsrechnungen'!C153)</f>
        <v/>
      </c>
      <c r="F153" s="13">
        <f>IF(A153="","",'13_Ausgangsrechnungen'!E153)</f>
        <v/>
      </c>
      <c r="G153" s="15">
        <f>IF(A153="","",'13_Ausgangsrechnungen'!Q153)</f>
        <v/>
      </c>
      <c r="H153" s="15">
        <f>IF(A153="","",'13_Ausgangsrechnungen'!S153)</f>
        <v/>
      </c>
      <c r="I153" s="44">
        <f>IF(A153="","",'13_Ausgangsrechnungen'!J153)</f>
        <v/>
      </c>
      <c r="J153" s="45">
        <f>IF(A153="","",'13_Ausgangsrechnungen'!T153)</f>
        <v/>
      </c>
      <c r="L153" s="13">
        <f>IF('14_Eingangsrechnungen'!A153="","",IF('14_Eingangsrechnungen'!O153&gt;0.5,"Kreditor",""))</f>
        <v/>
      </c>
      <c r="M153" s="13">
        <f>IF(L153="","",'14_Eingangsrechnungen'!A153)</f>
        <v/>
      </c>
      <c r="N153" s="44">
        <f>IF(L153="","",'14_Eingangsrechnungen'!B153)</f>
        <v/>
      </c>
      <c r="O153" s="13">
        <f>IF(L153="","",'14_Eingangsrechnungen'!D153)</f>
        <v/>
      </c>
      <c r="P153" s="13">
        <f>IF(L153="","",'14_Eingangsrechnungen'!C153)</f>
        <v/>
      </c>
      <c r="Q153" s="13">
        <f>IF(L153="","",'14_Eingangsrechnungen'!E153)</f>
        <v/>
      </c>
      <c r="R153" s="15">
        <f>IF(L153="","",'14_Eingangsrechnungen'!M153)</f>
        <v/>
      </c>
      <c r="S153" s="15">
        <f>IF(L153="","",'14_Eingangsrechnungen'!O153)</f>
        <v/>
      </c>
      <c r="T153" s="44">
        <f>IF(L153="","",'14_Eingangsrechnungen'!H153)</f>
        <v/>
      </c>
      <c r="U153" s="45">
        <f>IF(L153="","",'14_Eingangsrechnungen'!P153)</f>
        <v/>
      </c>
    </row>
    <row r="154">
      <c r="A154" s="13">
        <f>IF('13_Ausgangsrechnungen'!A154="","",IF('13_Ausgangsrechnungen'!S154&gt;0.5,"Debitor",""))</f>
        <v/>
      </c>
      <c r="B154" s="13">
        <f>IF(A154="","",'13_Ausgangsrechnungen'!A154)</f>
        <v/>
      </c>
      <c r="C154" s="44">
        <f>IF(A154="","",'13_Ausgangsrechnungen'!B154)</f>
        <v/>
      </c>
      <c r="D154" s="13">
        <f>IF(A154="","",'13_Ausgangsrechnungen'!D154)</f>
        <v/>
      </c>
      <c r="E154" s="13">
        <f>IF(A154="","",'13_Ausgangsrechnungen'!C154)</f>
        <v/>
      </c>
      <c r="F154" s="13">
        <f>IF(A154="","",'13_Ausgangsrechnungen'!E154)</f>
        <v/>
      </c>
      <c r="G154" s="15">
        <f>IF(A154="","",'13_Ausgangsrechnungen'!Q154)</f>
        <v/>
      </c>
      <c r="H154" s="15">
        <f>IF(A154="","",'13_Ausgangsrechnungen'!S154)</f>
        <v/>
      </c>
      <c r="I154" s="44">
        <f>IF(A154="","",'13_Ausgangsrechnungen'!J154)</f>
        <v/>
      </c>
      <c r="J154" s="45">
        <f>IF(A154="","",'13_Ausgangsrechnungen'!T154)</f>
        <v/>
      </c>
      <c r="L154" s="13">
        <f>IF('14_Eingangsrechnungen'!A154="","",IF('14_Eingangsrechnungen'!O154&gt;0.5,"Kreditor",""))</f>
        <v/>
      </c>
      <c r="M154" s="13">
        <f>IF(L154="","",'14_Eingangsrechnungen'!A154)</f>
        <v/>
      </c>
      <c r="N154" s="44">
        <f>IF(L154="","",'14_Eingangsrechnungen'!B154)</f>
        <v/>
      </c>
      <c r="O154" s="13">
        <f>IF(L154="","",'14_Eingangsrechnungen'!D154)</f>
        <v/>
      </c>
      <c r="P154" s="13">
        <f>IF(L154="","",'14_Eingangsrechnungen'!C154)</f>
        <v/>
      </c>
      <c r="Q154" s="13">
        <f>IF(L154="","",'14_Eingangsrechnungen'!E154)</f>
        <v/>
      </c>
      <c r="R154" s="15">
        <f>IF(L154="","",'14_Eingangsrechnungen'!M154)</f>
        <v/>
      </c>
      <c r="S154" s="15">
        <f>IF(L154="","",'14_Eingangsrechnungen'!O154)</f>
        <v/>
      </c>
      <c r="T154" s="44">
        <f>IF(L154="","",'14_Eingangsrechnungen'!H154)</f>
        <v/>
      </c>
      <c r="U154" s="45">
        <f>IF(L154="","",'14_Eingangsrechnungen'!P154)</f>
        <v/>
      </c>
    </row>
    <row r="155">
      <c r="A155" s="13">
        <f>IF('13_Ausgangsrechnungen'!A155="","",IF('13_Ausgangsrechnungen'!S155&gt;0.5,"Debitor",""))</f>
        <v/>
      </c>
      <c r="B155" s="13">
        <f>IF(A155="","",'13_Ausgangsrechnungen'!A155)</f>
        <v/>
      </c>
      <c r="C155" s="44">
        <f>IF(A155="","",'13_Ausgangsrechnungen'!B155)</f>
        <v/>
      </c>
      <c r="D155" s="13">
        <f>IF(A155="","",'13_Ausgangsrechnungen'!D155)</f>
        <v/>
      </c>
      <c r="E155" s="13">
        <f>IF(A155="","",'13_Ausgangsrechnungen'!C155)</f>
        <v/>
      </c>
      <c r="F155" s="13">
        <f>IF(A155="","",'13_Ausgangsrechnungen'!E155)</f>
        <v/>
      </c>
      <c r="G155" s="15">
        <f>IF(A155="","",'13_Ausgangsrechnungen'!Q155)</f>
        <v/>
      </c>
      <c r="H155" s="15">
        <f>IF(A155="","",'13_Ausgangsrechnungen'!S155)</f>
        <v/>
      </c>
      <c r="I155" s="44">
        <f>IF(A155="","",'13_Ausgangsrechnungen'!J155)</f>
        <v/>
      </c>
      <c r="J155" s="45">
        <f>IF(A155="","",'13_Ausgangsrechnungen'!T155)</f>
        <v/>
      </c>
      <c r="L155" s="13">
        <f>IF('14_Eingangsrechnungen'!A155="","",IF('14_Eingangsrechnungen'!O155&gt;0.5,"Kreditor",""))</f>
        <v/>
      </c>
      <c r="M155" s="13">
        <f>IF(L155="","",'14_Eingangsrechnungen'!A155)</f>
        <v/>
      </c>
      <c r="N155" s="44">
        <f>IF(L155="","",'14_Eingangsrechnungen'!B155)</f>
        <v/>
      </c>
      <c r="O155" s="13">
        <f>IF(L155="","",'14_Eingangsrechnungen'!D155)</f>
        <v/>
      </c>
      <c r="P155" s="13">
        <f>IF(L155="","",'14_Eingangsrechnungen'!C155)</f>
        <v/>
      </c>
      <c r="Q155" s="13">
        <f>IF(L155="","",'14_Eingangsrechnungen'!E155)</f>
        <v/>
      </c>
      <c r="R155" s="15">
        <f>IF(L155="","",'14_Eingangsrechnungen'!M155)</f>
        <v/>
      </c>
      <c r="S155" s="15">
        <f>IF(L155="","",'14_Eingangsrechnungen'!O155)</f>
        <v/>
      </c>
      <c r="T155" s="44">
        <f>IF(L155="","",'14_Eingangsrechnungen'!H155)</f>
        <v/>
      </c>
      <c r="U155" s="45">
        <f>IF(L155="","",'14_Eingangsrechnungen'!P155)</f>
        <v/>
      </c>
    </row>
    <row r="156">
      <c r="A156" s="13">
        <f>IF('13_Ausgangsrechnungen'!A156="","",IF('13_Ausgangsrechnungen'!S156&gt;0.5,"Debitor",""))</f>
        <v/>
      </c>
      <c r="B156" s="13">
        <f>IF(A156="","",'13_Ausgangsrechnungen'!A156)</f>
        <v/>
      </c>
      <c r="C156" s="44">
        <f>IF(A156="","",'13_Ausgangsrechnungen'!B156)</f>
        <v/>
      </c>
      <c r="D156" s="13">
        <f>IF(A156="","",'13_Ausgangsrechnungen'!D156)</f>
        <v/>
      </c>
      <c r="E156" s="13">
        <f>IF(A156="","",'13_Ausgangsrechnungen'!C156)</f>
        <v/>
      </c>
      <c r="F156" s="13">
        <f>IF(A156="","",'13_Ausgangsrechnungen'!E156)</f>
        <v/>
      </c>
      <c r="G156" s="15">
        <f>IF(A156="","",'13_Ausgangsrechnungen'!Q156)</f>
        <v/>
      </c>
      <c r="H156" s="15">
        <f>IF(A156="","",'13_Ausgangsrechnungen'!S156)</f>
        <v/>
      </c>
      <c r="I156" s="44">
        <f>IF(A156="","",'13_Ausgangsrechnungen'!J156)</f>
        <v/>
      </c>
      <c r="J156" s="45">
        <f>IF(A156="","",'13_Ausgangsrechnungen'!T156)</f>
        <v/>
      </c>
      <c r="L156" s="13">
        <f>IF('14_Eingangsrechnungen'!A156="","",IF('14_Eingangsrechnungen'!O156&gt;0.5,"Kreditor",""))</f>
        <v/>
      </c>
      <c r="M156" s="13">
        <f>IF(L156="","",'14_Eingangsrechnungen'!A156)</f>
        <v/>
      </c>
      <c r="N156" s="44">
        <f>IF(L156="","",'14_Eingangsrechnungen'!B156)</f>
        <v/>
      </c>
      <c r="O156" s="13">
        <f>IF(L156="","",'14_Eingangsrechnungen'!D156)</f>
        <v/>
      </c>
      <c r="P156" s="13">
        <f>IF(L156="","",'14_Eingangsrechnungen'!C156)</f>
        <v/>
      </c>
      <c r="Q156" s="13">
        <f>IF(L156="","",'14_Eingangsrechnungen'!E156)</f>
        <v/>
      </c>
      <c r="R156" s="15">
        <f>IF(L156="","",'14_Eingangsrechnungen'!M156)</f>
        <v/>
      </c>
      <c r="S156" s="15">
        <f>IF(L156="","",'14_Eingangsrechnungen'!O156)</f>
        <v/>
      </c>
      <c r="T156" s="44">
        <f>IF(L156="","",'14_Eingangsrechnungen'!H156)</f>
        <v/>
      </c>
      <c r="U156" s="45">
        <f>IF(L156="","",'14_Eingangsrechnungen'!P156)</f>
        <v/>
      </c>
    </row>
    <row r="157">
      <c r="A157" s="13">
        <f>IF('13_Ausgangsrechnungen'!A157="","",IF('13_Ausgangsrechnungen'!S157&gt;0.5,"Debitor",""))</f>
        <v/>
      </c>
      <c r="B157" s="13">
        <f>IF(A157="","",'13_Ausgangsrechnungen'!A157)</f>
        <v/>
      </c>
      <c r="C157" s="44">
        <f>IF(A157="","",'13_Ausgangsrechnungen'!B157)</f>
        <v/>
      </c>
      <c r="D157" s="13">
        <f>IF(A157="","",'13_Ausgangsrechnungen'!D157)</f>
        <v/>
      </c>
      <c r="E157" s="13">
        <f>IF(A157="","",'13_Ausgangsrechnungen'!C157)</f>
        <v/>
      </c>
      <c r="F157" s="13">
        <f>IF(A157="","",'13_Ausgangsrechnungen'!E157)</f>
        <v/>
      </c>
      <c r="G157" s="15">
        <f>IF(A157="","",'13_Ausgangsrechnungen'!Q157)</f>
        <v/>
      </c>
      <c r="H157" s="15">
        <f>IF(A157="","",'13_Ausgangsrechnungen'!S157)</f>
        <v/>
      </c>
      <c r="I157" s="44">
        <f>IF(A157="","",'13_Ausgangsrechnungen'!J157)</f>
        <v/>
      </c>
      <c r="J157" s="45">
        <f>IF(A157="","",'13_Ausgangsrechnungen'!T157)</f>
        <v/>
      </c>
      <c r="L157" s="13">
        <f>IF('14_Eingangsrechnungen'!A157="","",IF('14_Eingangsrechnungen'!O157&gt;0.5,"Kreditor",""))</f>
        <v/>
      </c>
      <c r="M157" s="13">
        <f>IF(L157="","",'14_Eingangsrechnungen'!A157)</f>
        <v/>
      </c>
      <c r="N157" s="44">
        <f>IF(L157="","",'14_Eingangsrechnungen'!B157)</f>
        <v/>
      </c>
      <c r="O157" s="13">
        <f>IF(L157="","",'14_Eingangsrechnungen'!D157)</f>
        <v/>
      </c>
      <c r="P157" s="13">
        <f>IF(L157="","",'14_Eingangsrechnungen'!C157)</f>
        <v/>
      </c>
      <c r="Q157" s="13">
        <f>IF(L157="","",'14_Eingangsrechnungen'!E157)</f>
        <v/>
      </c>
      <c r="R157" s="15">
        <f>IF(L157="","",'14_Eingangsrechnungen'!M157)</f>
        <v/>
      </c>
      <c r="S157" s="15">
        <f>IF(L157="","",'14_Eingangsrechnungen'!O157)</f>
        <v/>
      </c>
      <c r="T157" s="44">
        <f>IF(L157="","",'14_Eingangsrechnungen'!H157)</f>
        <v/>
      </c>
      <c r="U157" s="45">
        <f>IF(L157="","",'14_Eingangsrechnungen'!P157)</f>
        <v/>
      </c>
    </row>
    <row r="158">
      <c r="A158" s="13">
        <f>IF('13_Ausgangsrechnungen'!A158="","",IF('13_Ausgangsrechnungen'!S158&gt;0.5,"Debitor",""))</f>
        <v/>
      </c>
      <c r="B158" s="13">
        <f>IF(A158="","",'13_Ausgangsrechnungen'!A158)</f>
        <v/>
      </c>
      <c r="C158" s="44">
        <f>IF(A158="","",'13_Ausgangsrechnungen'!B158)</f>
        <v/>
      </c>
      <c r="D158" s="13">
        <f>IF(A158="","",'13_Ausgangsrechnungen'!D158)</f>
        <v/>
      </c>
      <c r="E158" s="13">
        <f>IF(A158="","",'13_Ausgangsrechnungen'!C158)</f>
        <v/>
      </c>
      <c r="F158" s="13">
        <f>IF(A158="","",'13_Ausgangsrechnungen'!E158)</f>
        <v/>
      </c>
      <c r="G158" s="15">
        <f>IF(A158="","",'13_Ausgangsrechnungen'!Q158)</f>
        <v/>
      </c>
      <c r="H158" s="15">
        <f>IF(A158="","",'13_Ausgangsrechnungen'!S158)</f>
        <v/>
      </c>
      <c r="I158" s="44">
        <f>IF(A158="","",'13_Ausgangsrechnungen'!J158)</f>
        <v/>
      </c>
      <c r="J158" s="45">
        <f>IF(A158="","",'13_Ausgangsrechnungen'!T158)</f>
        <v/>
      </c>
      <c r="L158" s="13">
        <f>IF('14_Eingangsrechnungen'!A158="","",IF('14_Eingangsrechnungen'!O158&gt;0.5,"Kreditor",""))</f>
        <v/>
      </c>
      <c r="M158" s="13">
        <f>IF(L158="","",'14_Eingangsrechnungen'!A158)</f>
        <v/>
      </c>
      <c r="N158" s="44">
        <f>IF(L158="","",'14_Eingangsrechnungen'!B158)</f>
        <v/>
      </c>
      <c r="O158" s="13">
        <f>IF(L158="","",'14_Eingangsrechnungen'!D158)</f>
        <v/>
      </c>
      <c r="P158" s="13">
        <f>IF(L158="","",'14_Eingangsrechnungen'!C158)</f>
        <v/>
      </c>
      <c r="Q158" s="13">
        <f>IF(L158="","",'14_Eingangsrechnungen'!E158)</f>
        <v/>
      </c>
      <c r="R158" s="15">
        <f>IF(L158="","",'14_Eingangsrechnungen'!M158)</f>
        <v/>
      </c>
      <c r="S158" s="15">
        <f>IF(L158="","",'14_Eingangsrechnungen'!O158)</f>
        <v/>
      </c>
      <c r="T158" s="44">
        <f>IF(L158="","",'14_Eingangsrechnungen'!H158)</f>
        <v/>
      </c>
      <c r="U158" s="45">
        <f>IF(L158="","",'14_Eingangsrechnungen'!P158)</f>
        <v/>
      </c>
    </row>
    <row r="159">
      <c r="A159" s="13">
        <f>IF('13_Ausgangsrechnungen'!A159="","",IF('13_Ausgangsrechnungen'!S159&gt;0.5,"Debitor",""))</f>
        <v/>
      </c>
      <c r="B159" s="13">
        <f>IF(A159="","",'13_Ausgangsrechnungen'!A159)</f>
        <v/>
      </c>
      <c r="C159" s="44">
        <f>IF(A159="","",'13_Ausgangsrechnungen'!B159)</f>
        <v/>
      </c>
      <c r="D159" s="13">
        <f>IF(A159="","",'13_Ausgangsrechnungen'!D159)</f>
        <v/>
      </c>
      <c r="E159" s="13">
        <f>IF(A159="","",'13_Ausgangsrechnungen'!C159)</f>
        <v/>
      </c>
      <c r="F159" s="13">
        <f>IF(A159="","",'13_Ausgangsrechnungen'!E159)</f>
        <v/>
      </c>
      <c r="G159" s="15">
        <f>IF(A159="","",'13_Ausgangsrechnungen'!Q159)</f>
        <v/>
      </c>
      <c r="H159" s="15">
        <f>IF(A159="","",'13_Ausgangsrechnungen'!S159)</f>
        <v/>
      </c>
      <c r="I159" s="44">
        <f>IF(A159="","",'13_Ausgangsrechnungen'!J159)</f>
        <v/>
      </c>
      <c r="J159" s="45">
        <f>IF(A159="","",'13_Ausgangsrechnungen'!T159)</f>
        <v/>
      </c>
      <c r="L159" s="13">
        <f>IF('14_Eingangsrechnungen'!A159="","",IF('14_Eingangsrechnungen'!O159&gt;0.5,"Kreditor",""))</f>
        <v/>
      </c>
      <c r="M159" s="13">
        <f>IF(L159="","",'14_Eingangsrechnungen'!A159)</f>
        <v/>
      </c>
      <c r="N159" s="44">
        <f>IF(L159="","",'14_Eingangsrechnungen'!B159)</f>
        <v/>
      </c>
      <c r="O159" s="13">
        <f>IF(L159="","",'14_Eingangsrechnungen'!D159)</f>
        <v/>
      </c>
      <c r="P159" s="13">
        <f>IF(L159="","",'14_Eingangsrechnungen'!C159)</f>
        <v/>
      </c>
      <c r="Q159" s="13">
        <f>IF(L159="","",'14_Eingangsrechnungen'!E159)</f>
        <v/>
      </c>
      <c r="R159" s="15">
        <f>IF(L159="","",'14_Eingangsrechnungen'!M159)</f>
        <v/>
      </c>
      <c r="S159" s="15">
        <f>IF(L159="","",'14_Eingangsrechnungen'!O159)</f>
        <v/>
      </c>
      <c r="T159" s="44">
        <f>IF(L159="","",'14_Eingangsrechnungen'!H159)</f>
        <v/>
      </c>
      <c r="U159" s="45">
        <f>IF(L159="","",'14_Eingangsrechnungen'!P159)</f>
        <v/>
      </c>
    </row>
    <row r="160">
      <c r="A160" s="13">
        <f>IF('13_Ausgangsrechnungen'!A160="","",IF('13_Ausgangsrechnungen'!S160&gt;0.5,"Debitor",""))</f>
        <v/>
      </c>
      <c r="B160" s="13">
        <f>IF(A160="","",'13_Ausgangsrechnungen'!A160)</f>
        <v/>
      </c>
      <c r="C160" s="44">
        <f>IF(A160="","",'13_Ausgangsrechnungen'!B160)</f>
        <v/>
      </c>
      <c r="D160" s="13">
        <f>IF(A160="","",'13_Ausgangsrechnungen'!D160)</f>
        <v/>
      </c>
      <c r="E160" s="13">
        <f>IF(A160="","",'13_Ausgangsrechnungen'!C160)</f>
        <v/>
      </c>
      <c r="F160" s="13">
        <f>IF(A160="","",'13_Ausgangsrechnungen'!E160)</f>
        <v/>
      </c>
      <c r="G160" s="15">
        <f>IF(A160="","",'13_Ausgangsrechnungen'!Q160)</f>
        <v/>
      </c>
      <c r="H160" s="15">
        <f>IF(A160="","",'13_Ausgangsrechnungen'!S160)</f>
        <v/>
      </c>
      <c r="I160" s="44">
        <f>IF(A160="","",'13_Ausgangsrechnungen'!J160)</f>
        <v/>
      </c>
      <c r="J160" s="45">
        <f>IF(A160="","",'13_Ausgangsrechnungen'!T160)</f>
        <v/>
      </c>
      <c r="L160" s="13">
        <f>IF('14_Eingangsrechnungen'!A160="","",IF('14_Eingangsrechnungen'!O160&gt;0.5,"Kreditor",""))</f>
        <v/>
      </c>
      <c r="M160" s="13">
        <f>IF(L160="","",'14_Eingangsrechnungen'!A160)</f>
        <v/>
      </c>
      <c r="N160" s="44">
        <f>IF(L160="","",'14_Eingangsrechnungen'!B160)</f>
        <v/>
      </c>
      <c r="O160" s="13">
        <f>IF(L160="","",'14_Eingangsrechnungen'!D160)</f>
        <v/>
      </c>
      <c r="P160" s="13">
        <f>IF(L160="","",'14_Eingangsrechnungen'!C160)</f>
        <v/>
      </c>
      <c r="Q160" s="13">
        <f>IF(L160="","",'14_Eingangsrechnungen'!E160)</f>
        <v/>
      </c>
      <c r="R160" s="15">
        <f>IF(L160="","",'14_Eingangsrechnungen'!M160)</f>
        <v/>
      </c>
      <c r="S160" s="15">
        <f>IF(L160="","",'14_Eingangsrechnungen'!O160)</f>
        <v/>
      </c>
      <c r="T160" s="44">
        <f>IF(L160="","",'14_Eingangsrechnungen'!H160)</f>
        <v/>
      </c>
      <c r="U160" s="45">
        <f>IF(L160="","",'14_Eingangsrechnungen'!P160)</f>
        <v/>
      </c>
    </row>
    <row r="161">
      <c r="A161" s="13">
        <f>IF('13_Ausgangsrechnungen'!A161="","",IF('13_Ausgangsrechnungen'!S161&gt;0.5,"Debitor",""))</f>
        <v/>
      </c>
      <c r="B161" s="13">
        <f>IF(A161="","",'13_Ausgangsrechnungen'!A161)</f>
        <v/>
      </c>
      <c r="C161" s="44">
        <f>IF(A161="","",'13_Ausgangsrechnungen'!B161)</f>
        <v/>
      </c>
      <c r="D161" s="13">
        <f>IF(A161="","",'13_Ausgangsrechnungen'!D161)</f>
        <v/>
      </c>
      <c r="E161" s="13">
        <f>IF(A161="","",'13_Ausgangsrechnungen'!C161)</f>
        <v/>
      </c>
      <c r="F161" s="13">
        <f>IF(A161="","",'13_Ausgangsrechnungen'!E161)</f>
        <v/>
      </c>
      <c r="G161" s="15">
        <f>IF(A161="","",'13_Ausgangsrechnungen'!Q161)</f>
        <v/>
      </c>
      <c r="H161" s="15">
        <f>IF(A161="","",'13_Ausgangsrechnungen'!S161)</f>
        <v/>
      </c>
      <c r="I161" s="44">
        <f>IF(A161="","",'13_Ausgangsrechnungen'!J161)</f>
        <v/>
      </c>
      <c r="J161" s="45">
        <f>IF(A161="","",'13_Ausgangsrechnungen'!T161)</f>
        <v/>
      </c>
      <c r="L161" s="13">
        <f>IF('14_Eingangsrechnungen'!A161="","",IF('14_Eingangsrechnungen'!O161&gt;0.5,"Kreditor",""))</f>
        <v/>
      </c>
      <c r="M161" s="13">
        <f>IF(L161="","",'14_Eingangsrechnungen'!A161)</f>
        <v/>
      </c>
      <c r="N161" s="44">
        <f>IF(L161="","",'14_Eingangsrechnungen'!B161)</f>
        <v/>
      </c>
      <c r="O161" s="13">
        <f>IF(L161="","",'14_Eingangsrechnungen'!D161)</f>
        <v/>
      </c>
      <c r="P161" s="13">
        <f>IF(L161="","",'14_Eingangsrechnungen'!C161)</f>
        <v/>
      </c>
      <c r="Q161" s="13">
        <f>IF(L161="","",'14_Eingangsrechnungen'!E161)</f>
        <v/>
      </c>
      <c r="R161" s="15">
        <f>IF(L161="","",'14_Eingangsrechnungen'!M161)</f>
        <v/>
      </c>
      <c r="S161" s="15">
        <f>IF(L161="","",'14_Eingangsrechnungen'!O161)</f>
        <v/>
      </c>
      <c r="T161" s="44">
        <f>IF(L161="","",'14_Eingangsrechnungen'!H161)</f>
        <v/>
      </c>
      <c r="U161" s="45">
        <f>IF(L161="","",'14_Eingangsrechnungen'!P161)</f>
        <v/>
      </c>
    </row>
    <row r="162">
      <c r="A162" s="13">
        <f>IF('13_Ausgangsrechnungen'!A162="","",IF('13_Ausgangsrechnungen'!S162&gt;0.5,"Debitor",""))</f>
        <v/>
      </c>
      <c r="B162" s="13">
        <f>IF(A162="","",'13_Ausgangsrechnungen'!A162)</f>
        <v/>
      </c>
      <c r="C162" s="44">
        <f>IF(A162="","",'13_Ausgangsrechnungen'!B162)</f>
        <v/>
      </c>
      <c r="D162" s="13">
        <f>IF(A162="","",'13_Ausgangsrechnungen'!D162)</f>
        <v/>
      </c>
      <c r="E162" s="13">
        <f>IF(A162="","",'13_Ausgangsrechnungen'!C162)</f>
        <v/>
      </c>
      <c r="F162" s="13">
        <f>IF(A162="","",'13_Ausgangsrechnungen'!E162)</f>
        <v/>
      </c>
      <c r="G162" s="15">
        <f>IF(A162="","",'13_Ausgangsrechnungen'!Q162)</f>
        <v/>
      </c>
      <c r="H162" s="15">
        <f>IF(A162="","",'13_Ausgangsrechnungen'!S162)</f>
        <v/>
      </c>
      <c r="I162" s="44">
        <f>IF(A162="","",'13_Ausgangsrechnungen'!J162)</f>
        <v/>
      </c>
      <c r="J162" s="45">
        <f>IF(A162="","",'13_Ausgangsrechnungen'!T162)</f>
        <v/>
      </c>
      <c r="L162" s="13">
        <f>IF('14_Eingangsrechnungen'!A162="","",IF('14_Eingangsrechnungen'!O162&gt;0.5,"Kreditor",""))</f>
        <v/>
      </c>
      <c r="M162" s="13">
        <f>IF(L162="","",'14_Eingangsrechnungen'!A162)</f>
        <v/>
      </c>
      <c r="N162" s="44">
        <f>IF(L162="","",'14_Eingangsrechnungen'!B162)</f>
        <v/>
      </c>
      <c r="O162" s="13">
        <f>IF(L162="","",'14_Eingangsrechnungen'!D162)</f>
        <v/>
      </c>
      <c r="P162" s="13">
        <f>IF(L162="","",'14_Eingangsrechnungen'!C162)</f>
        <v/>
      </c>
      <c r="Q162" s="13">
        <f>IF(L162="","",'14_Eingangsrechnungen'!E162)</f>
        <v/>
      </c>
      <c r="R162" s="15">
        <f>IF(L162="","",'14_Eingangsrechnungen'!M162)</f>
        <v/>
      </c>
      <c r="S162" s="15">
        <f>IF(L162="","",'14_Eingangsrechnungen'!O162)</f>
        <v/>
      </c>
      <c r="T162" s="44">
        <f>IF(L162="","",'14_Eingangsrechnungen'!H162)</f>
        <v/>
      </c>
      <c r="U162" s="45">
        <f>IF(L162="","",'14_Eingangsrechnungen'!P162)</f>
        <v/>
      </c>
    </row>
    <row r="163">
      <c r="A163" s="13">
        <f>IF('13_Ausgangsrechnungen'!A163="","",IF('13_Ausgangsrechnungen'!S163&gt;0.5,"Debitor",""))</f>
        <v/>
      </c>
      <c r="B163" s="13">
        <f>IF(A163="","",'13_Ausgangsrechnungen'!A163)</f>
        <v/>
      </c>
      <c r="C163" s="44">
        <f>IF(A163="","",'13_Ausgangsrechnungen'!B163)</f>
        <v/>
      </c>
      <c r="D163" s="13">
        <f>IF(A163="","",'13_Ausgangsrechnungen'!D163)</f>
        <v/>
      </c>
      <c r="E163" s="13">
        <f>IF(A163="","",'13_Ausgangsrechnungen'!C163)</f>
        <v/>
      </c>
      <c r="F163" s="13">
        <f>IF(A163="","",'13_Ausgangsrechnungen'!E163)</f>
        <v/>
      </c>
      <c r="G163" s="15">
        <f>IF(A163="","",'13_Ausgangsrechnungen'!Q163)</f>
        <v/>
      </c>
      <c r="H163" s="15">
        <f>IF(A163="","",'13_Ausgangsrechnungen'!S163)</f>
        <v/>
      </c>
      <c r="I163" s="44">
        <f>IF(A163="","",'13_Ausgangsrechnungen'!J163)</f>
        <v/>
      </c>
      <c r="J163" s="45">
        <f>IF(A163="","",'13_Ausgangsrechnungen'!T163)</f>
        <v/>
      </c>
      <c r="L163" s="13">
        <f>IF('14_Eingangsrechnungen'!A163="","",IF('14_Eingangsrechnungen'!O163&gt;0.5,"Kreditor",""))</f>
        <v/>
      </c>
      <c r="M163" s="13">
        <f>IF(L163="","",'14_Eingangsrechnungen'!A163)</f>
        <v/>
      </c>
      <c r="N163" s="44">
        <f>IF(L163="","",'14_Eingangsrechnungen'!B163)</f>
        <v/>
      </c>
      <c r="O163" s="13">
        <f>IF(L163="","",'14_Eingangsrechnungen'!D163)</f>
        <v/>
      </c>
      <c r="P163" s="13">
        <f>IF(L163="","",'14_Eingangsrechnungen'!C163)</f>
        <v/>
      </c>
      <c r="Q163" s="13">
        <f>IF(L163="","",'14_Eingangsrechnungen'!E163)</f>
        <v/>
      </c>
      <c r="R163" s="15">
        <f>IF(L163="","",'14_Eingangsrechnungen'!M163)</f>
        <v/>
      </c>
      <c r="S163" s="15">
        <f>IF(L163="","",'14_Eingangsrechnungen'!O163)</f>
        <v/>
      </c>
      <c r="T163" s="44">
        <f>IF(L163="","",'14_Eingangsrechnungen'!H163)</f>
        <v/>
      </c>
      <c r="U163" s="45">
        <f>IF(L163="","",'14_Eingangsrechnungen'!P163)</f>
        <v/>
      </c>
    </row>
    <row r="164">
      <c r="A164" s="13">
        <f>IF('13_Ausgangsrechnungen'!A164="","",IF('13_Ausgangsrechnungen'!S164&gt;0.5,"Debitor",""))</f>
        <v/>
      </c>
      <c r="B164" s="13">
        <f>IF(A164="","",'13_Ausgangsrechnungen'!A164)</f>
        <v/>
      </c>
      <c r="C164" s="44">
        <f>IF(A164="","",'13_Ausgangsrechnungen'!B164)</f>
        <v/>
      </c>
      <c r="D164" s="13">
        <f>IF(A164="","",'13_Ausgangsrechnungen'!D164)</f>
        <v/>
      </c>
      <c r="E164" s="13">
        <f>IF(A164="","",'13_Ausgangsrechnungen'!C164)</f>
        <v/>
      </c>
      <c r="F164" s="13">
        <f>IF(A164="","",'13_Ausgangsrechnungen'!E164)</f>
        <v/>
      </c>
      <c r="G164" s="15">
        <f>IF(A164="","",'13_Ausgangsrechnungen'!Q164)</f>
        <v/>
      </c>
      <c r="H164" s="15">
        <f>IF(A164="","",'13_Ausgangsrechnungen'!S164)</f>
        <v/>
      </c>
      <c r="I164" s="44">
        <f>IF(A164="","",'13_Ausgangsrechnungen'!J164)</f>
        <v/>
      </c>
      <c r="J164" s="45">
        <f>IF(A164="","",'13_Ausgangsrechnungen'!T164)</f>
        <v/>
      </c>
      <c r="L164" s="13">
        <f>IF('14_Eingangsrechnungen'!A164="","",IF('14_Eingangsrechnungen'!O164&gt;0.5,"Kreditor",""))</f>
        <v/>
      </c>
      <c r="M164" s="13">
        <f>IF(L164="","",'14_Eingangsrechnungen'!A164)</f>
        <v/>
      </c>
      <c r="N164" s="44">
        <f>IF(L164="","",'14_Eingangsrechnungen'!B164)</f>
        <v/>
      </c>
      <c r="O164" s="13">
        <f>IF(L164="","",'14_Eingangsrechnungen'!D164)</f>
        <v/>
      </c>
      <c r="P164" s="13">
        <f>IF(L164="","",'14_Eingangsrechnungen'!C164)</f>
        <v/>
      </c>
      <c r="Q164" s="13">
        <f>IF(L164="","",'14_Eingangsrechnungen'!E164)</f>
        <v/>
      </c>
      <c r="R164" s="15">
        <f>IF(L164="","",'14_Eingangsrechnungen'!M164)</f>
        <v/>
      </c>
      <c r="S164" s="15">
        <f>IF(L164="","",'14_Eingangsrechnungen'!O164)</f>
        <v/>
      </c>
      <c r="T164" s="44">
        <f>IF(L164="","",'14_Eingangsrechnungen'!H164)</f>
        <v/>
      </c>
      <c r="U164" s="45">
        <f>IF(L164="","",'14_Eingangsrechnungen'!P164)</f>
        <v/>
      </c>
    </row>
    <row r="165">
      <c r="A165" s="13">
        <f>IF('13_Ausgangsrechnungen'!A165="","",IF('13_Ausgangsrechnungen'!S165&gt;0.5,"Debitor",""))</f>
        <v/>
      </c>
      <c r="B165" s="13">
        <f>IF(A165="","",'13_Ausgangsrechnungen'!A165)</f>
        <v/>
      </c>
      <c r="C165" s="44">
        <f>IF(A165="","",'13_Ausgangsrechnungen'!B165)</f>
        <v/>
      </c>
      <c r="D165" s="13">
        <f>IF(A165="","",'13_Ausgangsrechnungen'!D165)</f>
        <v/>
      </c>
      <c r="E165" s="13">
        <f>IF(A165="","",'13_Ausgangsrechnungen'!C165)</f>
        <v/>
      </c>
      <c r="F165" s="13">
        <f>IF(A165="","",'13_Ausgangsrechnungen'!E165)</f>
        <v/>
      </c>
      <c r="G165" s="15">
        <f>IF(A165="","",'13_Ausgangsrechnungen'!Q165)</f>
        <v/>
      </c>
      <c r="H165" s="15">
        <f>IF(A165="","",'13_Ausgangsrechnungen'!S165)</f>
        <v/>
      </c>
      <c r="I165" s="44">
        <f>IF(A165="","",'13_Ausgangsrechnungen'!J165)</f>
        <v/>
      </c>
      <c r="J165" s="45">
        <f>IF(A165="","",'13_Ausgangsrechnungen'!T165)</f>
        <v/>
      </c>
      <c r="L165" s="13">
        <f>IF('14_Eingangsrechnungen'!A165="","",IF('14_Eingangsrechnungen'!O165&gt;0.5,"Kreditor",""))</f>
        <v/>
      </c>
      <c r="M165" s="13">
        <f>IF(L165="","",'14_Eingangsrechnungen'!A165)</f>
        <v/>
      </c>
      <c r="N165" s="44">
        <f>IF(L165="","",'14_Eingangsrechnungen'!B165)</f>
        <v/>
      </c>
      <c r="O165" s="13">
        <f>IF(L165="","",'14_Eingangsrechnungen'!D165)</f>
        <v/>
      </c>
      <c r="P165" s="13">
        <f>IF(L165="","",'14_Eingangsrechnungen'!C165)</f>
        <v/>
      </c>
      <c r="Q165" s="13">
        <f>IF(L165="","",'14_Eingangsrechnungen'!E165)</f>
        <v/>
      </c>
      <c r="R165" s="15">
        <f>IF(L165="","",'14_Eingangsrechnungen'!M165)</f>
        <v/>
      </c>
      <c r="S165" s="15">
        <f>IF(L165="","",'14_Eingangsrechnungen'!O165)</f>
        <v/>
      </c>
      <c r="T165" s="44">
        <f>IF(L165="","",'14_Eingangsrechnungen'!H165)</f>
        <v/>
      </c>
      <c r="U165" s="45">
        <f>IF(L165="","",'14_Eingangsrechnungen'!P165)</f>
        <v/>
      </c>
    </row>
    <row r="166">
      <c r="A166" s="13">
        <f>IF('13_Ausgangsrechnungen'!A166="","",IF('13_Ausgangsrechnungen'!S166&gt;0.5,"Debitor",""))</f>
        <v/>
      </c>
      <c r="B166" s="13">
        <f>IF(A166="","",'13_Ausgangsrechnungen'!A166)</f>
        <v/>
      </c>
      <c r="C166" s="44">
        <f>IF(A166="","",'13_Ausgangsrechnungen'!B166)</f>
        <v/>
      </c>
      <c r="D166" s="13">
        <f>IF(A166="","",'13_Ausgangsrechnungen'!D166)</f>
        <v/>
      </c>
      <c r="E166" s="13">
        <f>IF(A166="","",'13_Ausgangsrechnungen'!C166)</f>
        <v/>
      </c>
      <c r="F166" s="13">
        <f>IF(A166="","",'13_Ausgangsrechnungen'!E166)</f>
        <v/>
      </c>
      <c r="G166" s="15">
        <f>IF(A166="","",'13_Ausgangsrechnungen'!Q166)</f>
        <v/>
      </c>
      <c r="H166" s="15">
        <f>IF(A166="","",'13_Ausgangsrechnungen'!S166)</f>
        <v/>
      </c>
      <c r="I166" s="44">
        <f>IF(A166="","",'13_Ausgangsrechnungen'!J166)</f>
        <v/>
      </c>
      <c r="J166" s="45">
        <f>IF(A166="","",'13_Ausgangsrechnungen'!T166)</f>
        <v/>
      </c>
      <c r="L166" s="13">
        <f>IF('14_Eingangsrechnungen'!A166="","",IF('14_Eingangsrechnungen'!O166&gt;0.5,"Kreditor",""))</f>
        <v/>
      </c>
      <c r="M166" s="13">
        <f>IF(L166="","",'14_Eingangsrechnungen'!A166)</f>
        <v/>
      </c>
      <c r="N166" s="44">
        <f>IF(L166="","",'14_Eingangsrechnungen'!B166)</f>
        <v/>
      </c>
      <c r="O166" s="13">
        <f>IF(L166="","",'14_Eingangsrechnungen'!D166)</f>
        <v/>
      </c>
      <c r="P166" s="13">
        <f>IF(L166="","",'14_Eingangsrechnungen'!C166)</f>
        <v/>
      </c>
      <c r="Q166" s="13">
        <f>IF(L166="","",'14_Eingangsrechnungen'!E166)</f>
        <v/>
      </c>
      <c r="R166" s="15">
        <f>IF(L166="","",'14_Eingangsrechnungen'!M166)</f>
        <v/>
      </c>
      <c r="S166" s="15">
        <f>IF(L166="","",'14_Eingangsrechnungen'!O166)</f>
        <v/>
      </c>
      <c r="T166" s="44">
        <f>IF(L166="","",'14_Eingangsrechnungen'!H166)</f>
        <v/>
      </c>
      <c r="U166" s="45">
        <f>IF(L166="","",'14_Eingangsrechnungen'!P166)</f>
        <v/>
      </c>
    </row>
    <row r="167">
      <c r="A167" s="13">
        <f>IF('13_Ausgangsrechnungen'!A167="","",IF('13_Ausgangsrechnungen'!S167&gt;0.5,"Debitor",""))</f>
        <v/>
      </c>
      <c r="B167" s="13">
        <f>IF(A167="","",'13_Ausgangsrechnungen'!A167)</f>
        <v/>
      </c>
      <c r="C167" s="44">
        <f>IF(A167="","",'13_Ausgangsrechnungen'!B167)</f>
        <v/>
      </c>
      <c r="D167" s="13">
        <f>IF(A167="","",'13_Ausgangsrechnungen'!D167)</f>
        <v/>
      </c>
      <c r="E167" s="13">
        <f>IF(A167="","",'13_Ausgangsrechnungen'!C167)</f>
        <v/>
      </c>
      <c r="F167" s="13">
        <f>IF(A167="","",'13_Ausgangsrechnungen'!E167)</f>
        <v/>
      </c>
      <c r="G167" s="15">
        <f>IF(A167="","",'13_Ausgangsrechnungen'!Q167)</f>
        <v/>
      </c>
      <c r="H167" s="15">
        <f>IF(A167="","",'13_Ausgangsrechnungen'!S167)</f>
        <v/>
      </c>
      <c r="I167" s="44">
        <f>IF(A167="","",'13_Ausgangsrechnungen'!J167)</f>
        <v/>
      </c>
      <c r="J167" s="45">
        <f>IF(A167="","",'13_Ausgangsrechnungen'!T167)</f>
        <v/>
      </c>
      <c r="L167" s="13">
        <f>IF('14_Eingangsrechnungen'!A167="","",IF('14_Eingangsrechnungen'!O167&gt;0.5,"Kreditor",""))</f>
        <v/>
      </c>
      <c r="M167" s="13">
        <f>IF(L167="","",'14_Eingangsrechnungen'!A167)</f>
        <v/>
      </c>
      <c r="N167" s="44">
        <f>IF(L167="","",'14_Eingangsrechnungen'!B167)</f>
        <v/>
      </c>
      <c r="O167" s="13">
        <f>IF(L167="","",'14_Eingangsrechnungen'!D167)</f>
        <v/>
      </c>
      <c r="P167" s="13">
        <f>IF(L167="","",'14_Eingangsrechnungen'!C167)</f>
        <v/>
      </c>
      <c r="Q167" s="13">
        <f>IF(L167="","",'14_Eingangsrechnungen'!E167)</f>
        <v/>
      </c>
      <c r="R167" s="15">
        <f>IF(L167="","",'14_Eingangsrechnungen'!M167)</f>
        <v/>
      </c>
      <c r="S167" s="15">
        <f>IF(L167="","",'14_Eingangsrechnungen'!O167)</f>
        <v/>
      </c>
      <c r="T167" s="44">
        <f>IF(L167="","",'14_Eingangsrechnungen'!H167)</f>
        <v/>
      </c>
      <c r="U167" s="45">
        <f>IF(L167="","",'14_Eingangsrechnungen'!P167)</f>
        <v/>
      </c>
    </row>
    <row r="168">
      <c r="A168" s="13">
        <f>IF('13_Ausgangsrechnungen'!A168="","",IF('13_Ausgangsrechnungen'!S168&gt;0.5,"Debitor",""))</f>
        <v/>
      </c>
      <c r="B168" s="13">
        <f>IF(A168="","",'13_Ausgangsrechnungen'!A168)</f>
        <v/>
      </c>
      <c r="C168" s="44">
        <f>IF(A168="","",'13_Ausgangsrechnungen'!B168)</f>
        <v/>
      </c>
      <c r="D168" s="13">
        <f>IF(A168="","",'13_Ausgangsrechnungen'!D168)</f>
        <v/>
      </c>
      <c r="E168" s="13">
        <f>IF(A168="","",'13_Ausgangsrechnungen'!C168)</f>
        <v/>
      </c>
      <c r="F168" s="13">
        <f>IF(A168="","",'13_Ausgangsrechnungen'!E168)</f>
        <v/>
      </c>
      <c r="G168" s="15">
        <f>IF(A168="","",'13_Ausgangsrechnungen'!Q168)</f>
        <v/>
      </c>
      <c r="H168" s="15">
        <f>IF(A168="","",'13_Ausgangsrechnungen'!S168)</f>
        <v/>
      </c>
      <c r="I168" s="44">
        <f>IF(A168="","",'13_Ausgangsrechnungen'!J168)</f>
        <v/>
      </c>
      <c r="J168" s="45">
        <f>IF(A168="","",'13_Ausgangsrechnungen'!T168)</f>
        <v/>
      </c>
      <c r="L168" s="13">
        <f>IF('14_Eingangsrechnungen'!A168="","",IF('14_Eingangsrechnungen'!O168&gt;0.5,"Kreditor",""))</f>
        <v/>
      </c>
      <c r="M168" s="13">
        <f>IF(L168="","",'14_Eingangsrechnungen'!A168)</f>
        <v/>
      </c>
      <c r="N168" s="44">
        <f>IF(L168="","",'14_Eingangsrechnungen'!B168)</f>
        <v/>
      </c>
      <c r="O168" s="13">
        <f>IF(L168="","",'14_Eingangsrechnungen'!D168)</f>
        <v/>
      </c>
      <c r="P168" s="13">
        <f>IF(L168="","",'14_Eingangsrechnungen'!C168)</f>
        <v/>
      </c>
      <c r="Q168" s="13">
        <f>IF(L168="","",'14_Eingangsrechnungen'!E168)</f>
        <v/>
      </c>
      <c r="R168" s="15">
        <f>IF(L168="","",'14_Eingangsrechnungen'!M168)</f>
        <v/>
      </c>
      <c r="S168" s="15">
        <f>IF(L168="","",'14_Eingangsrechnungen'!O168)</f>
        <v/>
      </c>
      <c r="T168" s="44">
        <f>IF(L168="","",'14_Eingangsrechnungen'!H168)</f>
        <v/>
      </c>
      <c r="U168" s="45">
        <f>IF(L168="","",'14_Eingangsrechnungen'!P168)</f>
        <v/>
      </c>
    </row>
    <row r="169">
      <c r="A169" s="13">
        <f>IF('13_Ausgangsrechnungen'!A169="","",IF('13_Ausgangsrechnungen'!S169&gt;0.5,"Debitor",""))</f>
        <v/>
      </c>
      <c r="B169" s="13">
        <f>IF(A169="","",'13_Ausgangsrechnungen'!A169)</f>
        <v/>
      </c>
      <c r="C169" s="44">
        <f>IF(A169="","",'13_Ausgangsrechnungen'!B169)</f>
        <v/>
      </c>
      <c r="D169" s="13">
        <f>IF(A169="","",'13_Ausgangsrechnungen'!D169)</f>
        <v/>
      </c>
      <c r="E169" s="13">
        <f>IF(A169="","",'13_Ausgangsrechnungen'!C169)</f>
        <v/>
      </c>
      <c r="F169" s="13">
        <f>IF(A169="","",'13_Ausgangsrechnungen'!E169)</f>
        <v/>
      </c>
      <c r="G169" s="15">
        <f>IF(A169="","",'13_Ausgangsrechnungen'!Q169)</f>
        <v/>
      </c>
      <c r="H169" s="15">
        <f>IF(A169="","",'13_Ausgangsrechnungen'!S169)</f>
        <v/>
      </c>
      <c r="I169" s="44">
        <f>IF(A169="","",'13_Ausgangsrechnungen'!J169)</f>
        <v/>
      </c>
      <c r="J169" s="45">
        <f>IF(A169="","",'13_Ausgangsrechnungen'!T169)</f>
        <v/>
      </c>
      <c r="L169" s="13">
        <f>IF('14_Eingangsrechnungen'!A169="","",IF('14_Eingangsrechnungen'!O169&gt;0.5,"Kreditor",""))</f>
        <v/>
      </c>
      <c r="M169" s="13">
        <f>IF(L169="","",'14_Eingangsrechnungen'!A169)</f>
        <v/>
      </c>
      <c r="N169" s="44">
        <f>IF(L169="","",'14_Eingangsrechnungen'!B169)</f>
        <v/>
      </c>
      <c r="O169" s="13">
        <f>IF(L169="","",'14_Eingangsrechnungen'!D169)</f>
        <v/>
      </c>
      <c r="P169" s="13">
        <f>IF(L169="","",'14_Eingangsrechnungen'!C169)</f>
        <v/>
      </c>
      <c r="Q169" s="13">
        <f>IF(L169="","",'14_Eingangsrechnungen'!E169)</f>
        <v/>
      </c>
      <c r="R169" s="15">
        <f>IF(L169="","",'14_Eingangsrechnungen'!M169)</f>
        <v/>
      </c>
      <c r="S169" s="15">
        <f>IF(L169="","",'14_Eingangsrechnungen'!O169)</f>
        <v/>
      </c>
      <c r="T169" s="44">
        <f>IF(L169="","",'14_Eingangsrechnungen'!H169)</f>
        <v/>
      </c>
      <c r="U169" s="45">
        <f>IF(L169="","",'14_Eingangsrechnungen'!P169)</f>
        <v/>
      </c>
    </row>
    <row r="170">
      <c r="A170" s="13">
        <f>IF('13_Ausgangsrechnungen'!A170="","",IF('13_Ausgangsrechnungen'!S170&gt;0.5,"Debitor",""))</f>
        <v/>
      </c>
      <c r="B170" s="13">
        <f>IF(A170="","",'13_Ausgangsrechnungen'!A170)</f>
        <v/>
      </c>
      <c r="C170" s="44">
        <f>IF(A170="","",'13_Ausgangsrechnungen'!B170)</f>
        <v/>
      </c>
      <c r="D170" s="13">
        <f>IF(A170="","",'13_Ausgangsrechnungen'!D170)</f>
        <v/>
      </c>
      <c r="E170" s="13">
        <f>IF(A170="","",'13_Ausgangsrechnungen'!C170)</f>
        <v/>
      </c>
      <c r="F170" s="13">
        <f>IF(A170="","",'13_Ausgangsrechnungen'!E170)</f>
        <v/>
      </c>
      <c r="G170" s="15">
        <f>IF(A170="","",'13_Ausgangsrechnungen'!Q170)</f>
        <v/>
      </c>
      <c r="H170" s="15">
        <f>IF(A170="","",'13_Ausgangsrechnungen'!S170)</f>
        <v/>
      </c>
      <c r="I170" s="44">
        <f>IF(A170="","",'13_Ausgangsrechnungen'!J170)</f>
        <v/>
      </c>
      <c r="J170" s="45">
        <f>IF(A170="","",'13_Ausgangsrechnungen'!T170)</f>
        <v/>
      </c>
      <c r="L170" s="13">
        <f>IF('14_Eingangsrechnungen'!A170="","",IF('14_Eingangsrechnungen'!O170&gt;0.5,"Kreditor",""))</f>
        <v/>
      </c>
      <c r="M170" s="13">
        <f>IF(L170="","",'14_Eingangsrechnungen'!A170)</f>
        <v/>
      </c>
      <c r="N170" s="44">
        <f>IF(L170="","",'14_Eingangsrechnungen'!B170)</f>
        <v/>
      </c>
      <c r="O170" s="13">
        <f>IF(L170="","",'14_Eingangsrechnungen'!D170)</f>
        <v/>
      </c>
      <c r="P170" s="13">
        <f>IF(L170="","",'14_Eingangsrechnungen'!C170)</f>
        <v/>
      </c>
      <c r="Q170" s="13">
        <f>IF(L170="","",'14_Eingangsrechnungen'!E170)</f>
        <v/>
      </c>
      <c r="R170" s="15">
        <f>IF(L170="","",'14_Eingangsrechnungen'!M170)</f>
        <v/>
      </c>
      <c r="S170" s="15">
        <f>IF(L170="","",'14_Eingangsrechnungen'!O170)</f>
        <v/>
      </c>
      <c r="T170" s="44">
        <f>IF(L170="","",'14_Eingangsrechnungen'!H170)</f>
        <v/>
      </c>
      <c r="U170" s="45">
        <f>IF(L170="","",'14_Eingangsrechnungen'!P170)</f>
        <v/>
      </c>
    </row>
    <row r="171">
      <c r="A171" s="13">
        <f>IF('13_Ausgangsrechnungen'!A171="","",IF('13_Ausgangsrechnungen'!S171&gt;0.5,"Debitor",""))</f>
        <v/>
      </c>
      <c r="B171" s="13">
        <f>IF(A171="","",'13_Ausgangsrechnungen'!A171)</f>
        <v/>
      </c>
      <c r="C171" s="44">
        <f>IF(A171="","",'13_Ausgangsrechnungen'!B171)</f>
        <v/>
      </c>
      <c r="D171" s="13">
        <f>IF(A171="","",'13_Ausgangsrechnungen'!D171)</f>
        <v/>
      </c>
      <c r="E171" s="13">
        <f>IF(A171="","",'13_Ausgangsrechnungen'!C171)</f>
        <v/>
      </c>
      <c r="F171" s="13">
        <f>IF(A171="","",'13_Ausgangsrechnungen'!E171)</f>
        <v/>
      </c>
      <c r="G171" s="15">
        <f>IF(A171="","",'13_Ausgangsrechnungen'!Q171)</f>
        <v/>
      </c>
      <c r="H171" s="15">
        <f>IF(A171="","",'13_Ausgangsrechnungen'!S171)</f>
        <v/>
      </c>
      <c r="I171" s="44">
        <f>IF(A171="","",'13_Ausgangsrechnungen'!J171)</f>
        <v/>
      </c>
      <c r="J171" s="45">
        <f>IF(A171="","",'13_Ausgangsrechnungen'!T171)</f>
        <v/>
      </c>
      <c r="L171" s="13">
        <f>IF('14_Eingangsrechnungen'!A171="","",IF('14_Eingangsrechnungen'!O171&gt;0.5,"Kreditor",""))</f>
        <v/>
      </c>
      <c r="M171" s="13">
        <f>IF(L171="","",'14_Eingangsrechnungen'!A171)</f>
        <v/>
      </c>
      <c r="N171" s="44">
        <f>IF(L171="","",'14_Eingangsrechnungen'!B171)</f>
        <v/>
      </c>
      <c r="O171" s="13">
        <f>IF(L171="","",'14_Eingangsrechnungen'!D171)</f>
        <v/>
      </c>
      <c r="P171" s="13">
        <f>IF(L171="","",'14_Eingangsrechnungen'!C171)</f>
        <v/>
      </c>
      <c r="Q171" s="13">
        <f>IF(L171="","",'14_Eingangsrechnungen'!E171)</f>
        <v/>
      </c>
      <c r="R171" s="15">
        <f>IF(L171="","",'14_Eingangsrechnungen'!M171)</f>
        <v/>
      </c>
      <c r="S171" s="15">
        <f>IF(L171="","",'14_Eingangsrechnungen'!O171)</f>
        <v/>
      </c>
      <c r="T171" s="44">
        <f>IF(L171="","",'14_Eingangsrechnungen'!H171)</f>
        <v/>
      </c>
      <c r="U171" s="45">
        <f>IF(L171="","",'14_Eingangsrechnungen'!P171)</f>
        <v/>
      </c>
    </row>
    <row r="172">
      <c r="A172" s="13">
        <f>IF('13_Ausgangsrechnungen'!A172="","",IF('13_Ausgangsrechnungen'!S172&gt;0.5,"Debitor",""))</f>
        <v/>
      </c>
      <c r="B172" s="13">
        <f>IF(A172="","",'13_Ausgangsrechnungen'!A172)</f>
        <v/>
      </c>
      <c r="C172" s="44">
        <f>IF(A172="","",'13_Ausgangsrechnungen'!B172)</f>
        <v/>
      </c>
      <c r="D172" s="13">
        <f>IF(A172="","",'13_Ausgangsrechnungen'!D172)</f>
        <v/>
      </c>
      <c r="E172" s="13">
        <f>IF(A172="","",'13_Ausgangsrechnungen'!C172)</f>
        <v/>
      </c>
      <c r="F172" s="13">
        <f>IF(A172="","",'13_Ausgangsrechnungen'!E172)</f>
        <v/>
      </c>
      <c r="G172" s="15">
        <f>IF(A172="","",'13_Ausgangsrechnungen'!Q172)</f>
        <v/>
      </c>
      <c r="H172" s="15">
        <f>IF(A172="","",'13_Ausgangsrechnungen'!S172)</f>
        <v/>
      </c>
      <c r="I172" s="44">
        <f>IF(A172="","",'13_Ausgangsrechnungen'!J172)</f>
        <v/>
      </c>
      <c r="J172" s="45">
        <f>IF(A172="","",'13_Ausgangsrechnungen'!T172)</f>
        <v/>
      </c>
      <c r="L172" s="13">
        <f>IF('14_Eingangsrechnungen'!A172="","",IF('14_Eingangsrechnungen'!O172&gt;0.5,"Kreditor",""))</f>
        <v/>
      </c>
      <c r="M172" s="13">
        <f>IF(L172="","",'14_Eingangsrechnungen'!A172)</f>
        <v/>
      </c>
      <c r="N172" s="44">
        <f>IF(L172="","",'14_Eingangsrechnungen'!B172)</f>
        <v/>
      </c>
      <c r="O172" s="13">
        <f>IF(L172="","",'14_Eingangsrechnungen'!D172)</f>
        <v/>
      </c>
      <c r="P172" s="13">
        <f>IF(L172="","",'14_Eingangsrechnungen'!C172)</f>
        <v/>
      </c>
      <c r="Q172" s="13">
        <f>IF(L172="","",'14_Eingangsrechnungen'!E172)</f>
        <v/>
      </c>
      <c r="R172" s="15">
        <f>IF(L172="","",'14_Eingangsrechnungen'!M172)</f>
        <v/>
      </c>
      <c r="S172" s="15">
        <f>IF(L172="","",'14_Eingangsrechnungen'!O172)</f>
        <v/>
      </c>
      <c r="T172" s="44">
        <f>IF(L172="","",'14_Eingangsrechnungen'!H172)</f>
        <v/>
      </c>
      <c r="U172" s="45">
        <f>IF(L172="","",'14_Eingangsrechnungen'!P172)</f>
        <v/>
      </c>
    </row>
    <row r="173">
      <c r="A173" s="13">
        <f>IF('13_Ausgangsrechnungen'!A173="","",IF('13_Ausgangsrechnungen'!S173&gt;0.5,"Debitor",""))</f>
        <v/>
      </c>
      <c r="B173" s="13">
        <f>IF(A173="","",'13_Ausgangsrechnungen'!A173)</f>
        <v/>
      </c>
      <c r="C173" s="44">
        <f>IF(A173="","",'13_Ausgangsrechnungen'!B173)</f>
        <v/>
      </c>
      <c r="D173" s="13">
        <f>IF(A173="","",'13_Ausgangsrechnungen'!D173)</f>
        <v/>
      </c>
      <c r="E173" s="13">
        <f>IF(A173="","",'13_Ausgangsrechnungen'!C173)</f>
        <v/>
      </c>
      <c r="F173" s="13">
        <f>IF(A173="","",'13_Ausgangsrechnungen'!E173)</f>
        <v/>
      </c>
      <c r="G173" s="15">
        <f>IF(A173="","",'13_Ausgangsrechnungen'!Q173)</f>
        <v/>
      </c>
      <c r="H173" s="15">
        <f>IF(A173="","",'13_Ausgangsrechnungen'!S173)</f>
        <v/>
      </c>
      <c r="I173" s="44">
        <f>IF(A173="","",'13_Ausgangsrechnungen'!J173)</f>
        <v/>
      </c>
      <c r="J173" s="45">
        <f>IF(A173="","",'13_Ausgangsrechnungen'!T173)</f>
        <v/>
      </c>
      <c r="L173" s="13">
        <f>IF('14_Eingangsrechnungen'!A173="","",IF('14_Eingangsrechnungen'!O173&gt;0.5,"Kreditor",""))</f>
        <v/>
      </c>
      <c r="M173" s="13">
        <f>IF(L173="","",'14_Eingangsrechnungen'!A173)</f>
        <v/>
      </c>
      <c r="N173" s="44">
        <f>IF(L173="","",'14_Eingangsrechnungen'!B173)</f>
        <v/>
      </c>
      <c r="O173" s="13">
        <f>IF(L173="","",'14_Eingangsrechnungen'!D173)</f>
        <v/>
      </c>
      <c r="P173" s="13">
        <f>IF(L173="","",'14_Eingangsrechnungen'!C173)</f>
        <v/>
      </c>
      <c r="Q173" s="13">
        <f>IF(L173="","",'14_Eingangsrechnungen'!E173)</f>
        <v/>
      </c>
      <c r="R173" s="15">
        <f>IF(L173="","",'14_Eingangsrechnungen'!M173)</f>
        <v/>
      </c>
      <c r="S173" s="15">
        <f>IF(L173="","",'14_Eingangsrechnungen'!O173)</f>
        <v/>
      </c>
      <c r="T173" s="44">
        <f>IF(L173="","",'14_Eingangsrechnungen'!H173)</f>
        <v/>
      </c>
      <c r="U173" s="45">
        <f>IF(L173="","",'14_Eingangsrechnungen'!P173)</f>
        <v/>
      </c>
    </row>
    <row r="174">
      <c r="A174" s="13">
        <f>IF('13_Ausgangsrechnungen'!A174="","",IF('13_Ausgangsrechnungen'!S174&gt;0.5,"Debitor",""))</f>
        <v/>
      </c>
      <c r="B174" s="13">
        <f>IF(A174="","",'13_Ausgangsrechnungen'!A174)</f>
        <v/>
      </c>
      <c r="C174" s="44">
        <f>IF(A174="","",'13_Ausgangsrechnungen'!B174)</f>
        <v/>
      </c>
      <c r="D174" s="13">
        <f>IF(A174="","",'13_Ausgangsrechnungen'!D174)</f>
        <v/>
      </c>
      <c r="E174" s="13">
        <f>IF(A174="","",'13_Ausgangsrechnungen'!C174)</f>
        <v/>
      </c>
      <c r="F174" s="13">
        <f>IF(A174="","",'13_Ausgangsrechnungen'!E174)</f>
        <v/>
      </c>
      <c r="G174" s="15">
        <f>IF(A174="","",'13_Ausgangsrechnungen'!Q174)</f>
        <v/>
      </c>
      <c r="H174" s="15">
        <f>IF(A174="","",'13_Ausgangsrechnungen'!S174)</f>
        <v/>
      </c>
      <c r="I174" s="44">
        <f>IF(A174="","",'13_Ausgangsrechnungen'!J174)</f>
        <v/>
      </c>
      <c r="J174" s="45">
        <f>IF(A174="","",'13_Ausgangsrechnungen'!T174)</f>
        <v/>
      </c>
      <c r="L174" s="13">
        <f>IF('14_Eingangsrechnungen'!A174="","",IF('14_Eingangsrechnungen'!O174&gt;0.5,"Kreditor",""))</f>
        <v/>
      </c>
      <c r="M174" s="13">
        <f>IF(L174="","",'14_Eingangsrechnungen'!A174)</f>
        <v/>
      </c>
      <c r="N174" s="44">
        <f>IF(L174="","",'14_Eingangsrechnungen'!B174)</f>
        <v/>
      </c>
      <c r="O174" s="13">
        <f>IF(L174="","",'14_Eingangsrechnungen'!D174)</f>
        <v/>
      </c>
      <c r="P174" s="13">
        <f>IF(L174="","",'14_Eingangsrechnungen'!C174)</f>
        <v/>
      </c>
      <c r="Q174" s="13">
        <f>IF(L174="","",'14_Eingangsrechnungen'!E174)</f>
        <v/>
      </c>
      <c r="R174" s="15">
        <f>IF(L174="","",'14_Eingangsrechnungen'!M174)</f>
        <v/>
      </c>
      <c r="S174" s="15">
        <f>IF(L174="","",'14_Eingangsrechnungen'!O174)</f>
        <v/>
      </c>
      <c r="T174" s="44">
        <f>IF(L174="","",'14_Eingangsrechnungen'!H174)</f>
        <v/>
      </c>
      <c r="U174" s="45">
        <f>IF(L174="","",'14_Eingangsrechnungen'!P174)</f>
        <v/>
      </c>
    </row>
    <row r="175">
      <c r="A175" s="13">
        <f>IF('13_Ausgangsrechnungen'!A175="","",IF('13_Ausgangsrechnungen'!S175&gt;0.5,"Debitor",""))</f>
        <v/>
      </c>
      <c r="B175" s="13">
        <f>IF(A175="","",'13_Ausgangsrechnungen'!A175)</f>
        <v/>
      </c>
      <c r="C175" s="44">
        <f>IF(A175="","",'13_Ausgangsrechnungen'!B175)</f>
        <v/>
      </c>
      <c r="D175" s="13">
        <f>IF(A175="","",'13_Ausgangsrechnungen'!D175)</f>
        <v/>
      </c>
      <c r="E175" s="13">
        <f>IF(A175="","",'13_Ausgangsrechnungen'!C175)</f>
        <v/>
      </c>
      <c r="F175" s="13">
        <f>IF(A175="","",'13_Ausgangsrechnungen'!E175)</f>
        <v/>
      </c>
      <c r="G175" s="15">
        <f>IF(A175="","",'13_Ausgangsrechnungen'!Q175)</f>
        <v/>
      </c>
      <c r="H175" s="15">
        <f>IF(A175="","",'13_Ausgangsrechnungen'!S175)</f>
        <v/>
      </c>
      <c r="I175" s="44">
        <f>IF(A175="","",'13_Ausgangsrechnungen'!J175)</f>
        <v/>
      </c>
      <c r="J175" s="45">
        <f>IF(A175="","",'13_Ausgangsrechnungen'!T175)</f>
        <v/>
      </c>
      <c r="L175" s="13">
        <f>IF('14_Eingangsrechnungen'!A175="","",IF('14_Eingangsrechnungen'!O175&gt;0.5,"Kreditor",""))</f>
        <v/>
      </c>
      <c r="M175" s="13">
        <f>IF(L175="","",'14_Eingangsrechnungen'!A175)</f>
        <v/>
      </c>
      <c r="N175" s="44">
        <f>IF(L175="","",'14_Eingangsrechnungen'!B175)</f>
        <v/>
      </c>
      <c r="O175" s="13">
        <f>IF(L175="","",'14_Eingangsrechnungen'!D175)</f>
        <v/>
      </c>
      <c r="P175" s="13">
        <f>IF(L175="","",'14_Eingangsrechnungen'!C175)</f>
        <v/>
      </c>
      <c r="Q175" s="13">
        <f>IF(L175="","",'14_Eingangsrechnungen'!E175)</f>
        <v/>
      </c>
      <c r="R175" s="15">
        <f>IF(L175="","",'14_Eingangsrechnungen'!M175)</f>
        <v/>
      </c>
      <c r="S175" s="15">
        <f>IF(L175="","",'14_Eingangsrechnungen'!O175)</f>
        <v/>
      </c>
      <c r="T175" s="44">
        <f>IF(L175="","",'14_Eingangsrechnungen'!H175)</f>
        <v/>
      </c>
      <c r="U175" s="45">
        <f>IF(L175="","",'14_Eingangsrechnungen'!P175)</f>
        <v/>
      </c>
    </row>
    <row r="176">
      <c r="A176" s="13">
        <f>IF('13_Ausgangsrechnungen'!A176="","",IF('13_Ausgangsrechnungen'!S176&gt;0.5,"Debitor",""))</f>
        <v/>
      </c>
      <c r="B176" s="13">
        <f>IF(A176="","",'13_Ausgangsrechnungen'!A176)</f>
        <v/>
      </c>
      <c r="C176" s="44">
        <f>IF(A176="","",'13_Ausgangsrechnungen'!B176)</f>
        <v/>
      </c>
      <c r="D176" s="13">
        <f>IF(A176="","",'13_Ausgangsrechnungen'!D176)</f>
        <v/>
      </c>
      <c r="E176" s="13">
        <f>IF(A176="","",'13_Ausgangsrechnungen'!C176)</f>
        <v/>
      </c>
      <c r="F176" s="13">
        <f>IF(A176="","",'13_Ausgangsrechnungen'!E176)</f>
        <v/>
      </c>
      <c r="G176" s="15">
        <f>IF(A176="","",'13_Ausgangsrechnungen'!Q176)</f>
        <v/>
      </c>
      <c r="H176" s="15">
        <f>IF(A176="","",'13_Ausgangsrechnungen'!S176)</f>
        <v/>
      </c>
      <c r="I176" s="44">
        <f>IF(A176="","",'13_Ausgangsrechnungen'!J176)</f>
        <v/>
      </c>
      <c r="J176" s="45">
        <f>IF(A176="","",'13_Ausgangsrechnungen'!T176)</f>
        <v/>
      </c>
      <c r="L176" s="13">
        <f>IF('14_Eingangsrechnungen'!A176="","",IF('14_Eingangsrechnungen'!O176&gt;0.5,"Kreditor",""))</f>
        <v/>
      </c>
      <c r="M176" s="13">
        <f>IF(L176="","",'14_Eingangsrechnungen'!A176)</f>
        <v/>
      </c>
      <c r="N176" s="44">
        <f>IF(L176="","",'14_Eingangsrechnungen'!B176)</f>
        <v/>
      </c>
      <c r="O176" s="13">
        <f>IF(L176="","",'14_Eingangsrechnungen'!D176)</f>
        <v/>
      </c>
      <c r="P176" s="13">
        <f>IF(L176="","",'14_Eingangsrechnungen'!C176)</f>
        <v/>
      </c>
      <c r="Q176" s="13">
        <f>IF(L176="","",'14_Eingangsrechnungen'!E176)</f>
        <v/>
      </c>
      <c r="R176" s="15">
        <f>IF(L176="","",'14_Eingangsrechnungen'!M176)</f>
        <v/>
      </c>
      <c r="S176" s="15">
        <f>IF(L176="","",'14_Eingangsrechnungen'!O176)</f>
        <v/>
      </c>
      <c r="T176" s="44">
        <f>IF(L176="","",'14_Eingangsrechnungen'!H176)</f>
        <v/>
      </c>
      <c r="U176" s="45">
        <f>IF(L176="","",'14_Eingangsrechnungen'!P176)</f>
        <v/>
      </c>
    </row>
    <row r="177">
      <c r="A177" s="13">
        <f>IF('13_Ausgangsrechnungen'!A177="","",IF('13_Ausgangsrechnungen'!S177&gt;0.5,"Debitor",""))</f>
        <v/>
      </c>
      <c r="B177" s="13">
        <f>IF(A177="","",'13_Ausgangsrechnungen'!A177)</f>
        <v/>
      </c>
      <c r="C177" s="44">
        <f>IF(A177="","",'13_Ausgangsrechnungen'!B177)</f>
        <v/>
      </c>
      <c r="D177" s="13">
        <f>IF(A177="","",'13_Ausgangsrechnungen'!D177)</f>
        <v/>
      </c>
      <c r="E177" s="13">
        <f>IF(A177="","",'13_Ausgangsrechnungen'!C177)</f>
        <v/>
      </c>
      <c r="F177" s="13">
        <f>IF(A177="","",'13_Ausgangsrechnungen'!E177)</f>
        <v/>
      </c>
      <c r="G177" s="15">
        <f>IF(A177="","",'13_Ausgangsrechnungen'!Q177)</f>
        <v/>
      </c>
      <c r="H177" s="15">
        <f>IF(A177="","",'13_Ausgangsrechnungen'!S177)</f>
        <v/>
      </c>
      <c r="I177" s="44">
        <f>IF(A177="","",'13_Ausgangsrechnungen'!J177)</f>
        <v/>
      </c>
      <c r="J177" s="45">
        <f>IF(A177="","",'13_Ausgangsrechnungen'!T177)</f>
        <v/>
      </c>
      <c r="L177" s="13">
        <f>IF('14_Eingangsrechnungen'!A177="","",IF('14_Eingangsrechnungen'!O177&gt;0.5,"Kreditor",""))</f>
        <v/>
      </c>
      <c r="M177" s="13">
        <f>IF(L177="","",'14_Eingangsrechnungen'!A177)</f>
        <v/>
      </c>
      <c r="N177" s="44">
        <f>IF(L177="","",'14_Eingangsrechnungen'!B177)</f>
        <v/>
      </c>
      <c r="O177" s="13">
        <f>IF(L177="","",'14_Eingangsrechnungen'!D177)</f>
        <v/>
      </c>
      <c r="P177" s="13">
        <f>IF(L177="","",'14_Eingangsrechnungen'!C177)</f>
        <v/>
      </c>
      <c r="Q177" s="13">
        <f>IF(L177="","",'14_Eingangsrechnungen'!E177)</f>
        <v/>
      </c>
      <c r="R177" s="15">
        <f>IF(L177="","",'14_Eingangsrechnungen'!M177)</f>
        <v/>
      </c>
      <c r="S177" s="15">
        <f>IF(L177="","",'14_Eingangsrechnungen'!O177)</f>
        <v/>
      </c>
      <c r="T177" s="44">
        <f>IF(L177="","",'14_Eingangsrechnungen'!H177)</f>
        <v/>
      </c>
      <c r="U177" s="45">
        <f>IF(L177="","",'14_Eingangsrechnungen'!P177)</f>
        <v/>
      </c>
    </row>
    <row r="178">
      <c r="A178" s="13">
        <f>IF('13_Ausgangsrechnungen'!A178="","",IF('13_Ausgangsrechnungen'!S178&gt;0.5,"Debitor",""))</f>
        <v/>
      </c>
      <c r="B178" s="13">
        <f>IF(A178="","",'13_Ausgangsrechnungen'!A178)</f>
        <v/>
      </c>
      <c r="C178" s="44">
        <f>IF(A178="","",'13_Ausgangsrechnungen'!B178)</f>
        <v/>
      </c>
      <c r="D178" s="13">
        <f>IF(A178="","",'13_Ausgangsrechnungen'!D178)</f>
        <v/>
      </c>
      <c r="E178" s="13">
        <f>IF(A178="","",'13_Ausgangsrechnungen'!C178)</f>
        <v/>
      </c>
      <c r="F178" s="13">
        <f>IF(A178="","",'13_Ausgangsrechnungen'!E178)</f>
        <v/>
      </c>
      <c r="G178" s="15">
        <f>IF(A178="","",'13_Ausgangsrechnungen'!Q178)</f>
        <v/>
      </c>
      <c r="H178" s="15">
        <f>IF(A178="","",'13_Ausgangsrechnungen'!S178)</f>
        <v/>
      </c>
      <c r="I178" s="44">
        <f>IF(A178="","",'13_Ausgangsrechnungen'!J178)</f>
        <v/>
      </c>
      <c r="J178" s="45">
        <f>IF(A178="","",'13_Ausgangsrechnungen'!T178)</f>
        <v/>
      </c>
      <c r="L178" s="13">
        <f>IF('14_Eingangsrechnungen'!A178="","",IF('14_Eingangsrechnungen'!O178&gt;0.5,"Kreditor",""))</f>
        <v/>
      </c>
      <c r="M178" s="13">
        <f>IF(L178="","",'14_Eingangsrechnungen'!A178)</f>
        <v/>
      </c>
      <c r="N178" s="44">
        <f>IF(L178="","",'14_Eingangsrechnungen'!B178)</f>
        <v/>
      </c>
      <c r="O178" s="13">
        <f>IF(L178="","",'14_Eingangsrechnungen'!D178)</f>
        <v/>
      </c>
      <c r="P178" s="13">
        <f>IF(L178="","",'14_Eingangsrechnungen'!C178)</f>
        <v/>
      </c>
      <c r="Q178" s="13">
        <f>IF(L178="","",'14_Eingangsrechnungen'!E178)</f>
        <v/>
      </c>
      <c r="R178" s="15">
        <f>IF(L178="","",'14_Eingangsrechnungen'!M178)</f>
        <v/>
      </c>
      <c r="S178" s="15">
        <f>IF(L178="","",'14_Eingangsrechnungen'!O178)</f>
        <v/>
      </c>
      <c r="T178" s="44">
        <f>IF(L178="","",'14_Eingangsrechnungen'!H178)</f>
        <v/>
      </c>
      <c r="U178" s="45">
        <f>IF(L178="","",'14_Eingangsrechnungen'!P178)</f>
        <v/>
      </c>
    </row>
    <row r="179">
      <c r="A179" s="13">
        <f>IF('13_Ausgangsrechnungen'!A179="","",IF('13_Ausgangsrechnungen'!S179&gt;0.5,"Debitor",""))</f>
        <v/>
      </c>
      <c r="B179" s="13">
        <f>IF(A179="","",'13_Ausgangsrechnungen'!A179)</f>
        <v/>
      </c>
      <c r="C179" s="44">
        <f>IF(A179="","",'13_Ausgangsrechnungen'!B179)</f>
        <v/>
      </c>
      <c r="D179" s="13">
        <f>IF(A179="","",'13_Ausgangsrechnungen'!D179)</f>
        <v/>
      </c>
      <c r="E179" s="13">
        <f>IF(A179="","",'13_Ausgangsrechnungen'!C179)</f>
        <v/>
      </c>
      <c r="F179" s="13">
        <f>IF(A179="","",'13_Ausgangsrechnungen'!E179)</f>
        <v/>
      </c>
      <c r="G179" s="15">
        <f>IF(A179="","",'13_Ausgangsrechnungen'!Q179)</f>
        <v/>
      </c>
      <c r="H179" s="15">
        <f>IF(A179="","",'13_Ausgangsrechnungen'!S179)</f>
        <v/>
      </c>
      <c r="I179" s="44">
        <f>IF(A179="","",'13_Ausgangsrechnungen'!J179)</f>
        <v/>
      </c>
      <c r="J179" s="45">
        <f>IF(A179="","",'13_Ausgangsrechnungen'!T179)</f>
        <v/>
      </c>
      <c r="L179" s="13">
        <f>IF('14_Eingangsrechnungen'!A179="","",IF('14_Eingangsrechnungen'!O179&gt;0.5,"Kreditor",""))</f>
        <v/>
      </c>
      <c r="M179" s="13">
        <f>IF(L179="","",'14_Eingangsrechnungen'!A179)</f>
        <v/>
      </c>
      <c r="N179" s="44">
        <f>IF(L179="","",'14_Eingangsrechnungen'!B179)</f>
        <v/>
      </c>
      <c r="O179" s="13">
        <f>IF(L179="","",'14_Eingangsrechnungen'!D179)</f>
        <v/>
      </c>
      <c r="P179" s="13">
        <f>IF(L179="","",'14_Eingangsrechnungen'!C179)</f>
        <v/>
      </c>
      <c r="Q179" s="13">
        <f>IF(L179="","",'14_Eingangsrechnungen'!E179)</f>
        <v/>
      </c>
      <c r="R179" s="15">
        <f>IF(L179="","",'14_Eingangsrechnungen'!M179)</f>
        <v/>
      </c>
      <c r="S179" s="15">
        <f>IF(L179="","",'14_Eingangsrechnungen'!O179)</f>
        <v/>
      </c>
      <c r="T179" s="44">
        <f>IF(L179="","",'14_Eingangsrechnungen'!H179)</f>
        <v/>
      </c>
      <c r="U179" s="45">
        <f>IF(L179="","",'14_Eingangsrechnungen'!P179)</f>
        <v/>
      </c>
    </row>
    <row r="180">
      <c r="A180" s="13">
        <f>IF('13_Ausgangsrechnungen'!A180="","",IF('13_Ausgangsrechnungen'!S180&gt;0.5,"Debitor",""))</f>
        <v/>
      </c>
      <c r="B180" s="13">
        <f>IF(A180="","",'13_Ausgangsrechnungen'!A180)</f>
        <v/>
      </c>
      <c r="C180" s="44">
        <f>IF(A180="","",'13_Ausgangsrechnungen'!B180)</f>
        <v/>
      </c>
      <c r="D180" s="13">
        <f>IF(A180="","",'13_Ausgangsrechnungen'!D180)</f>
        <v/>
      </c>
      <c r="E180" s="13">
        <f>IF(A180="","",'13_Ausgangsrechnungen'!C180)</f>
        <v/>
      </c>
      <c r="F180" s="13">
        <f>IF(A180="","",'13_Ausgangsrechnungen'!E180)</f>
        <v/>
      </c>
      <c r="G180" s="15">
        <f>IF(A180="","",'13_Ausgangsrechnungen'!Q180)</f>
        <v/>
      </c>
      <c r="H180" s="15">
        <f>IF(A180="","",'13_Ausgangsrechnungen'!S180)</f>
        <v/>
      </c>
      <c r="I180" s="44">
        <f>IF(A180="","",'13_Ausgangsrechnungen'!J180)</f>
        <v/>
      </c>
      <c r="J180" s="45">
        <f>IF(A180="","",'13_Ausgangsrechnungen'!T180)</f>
        <v/>
      </c>
      <c r="L180" s="13">
        <f>IF('14_Eingangsrechnungen'!A180="","",IF('14_Eingangsrechnungen'!O180&gt;0.5,"Kreditor",""))</f>
        <v/>
      </c>
      <c r="M180" s="13">
        <f>IF(L180="","",'14_Eingangsrechnungen'!A180)</f>
        <v/>
      </c>
      <c r="N180" s="44">
        <f>IF(L180="","",'14_Eingangsrechnungen'!B180)</f>
        <v/>
      </c>
      <c r="O180" s="13">
        <f>IF(L180="","",'14_Eingangsrechnungen'!D180)</f>
        <v/>
      </c>
      <c r="P180" s="13">
        <f>IF(L180="","",'14_Eingangsrechnungen'!C180)</f>
        <v/>
      </c>
      <c r="Q180" s="13">
        <f>IF(L180="","",'14_Eingangsrechnungen'!E180)</f>
        <v/>
      </c>
      <c r="R180" s="15">
        <f>IF(L180="","",'14_Eingangsrechnungen'!M180)</f>
        <v/>
      </c>
      <c r="S180" s="15">
        <f>IF(L180="","",'14_Eingangsrechnungen'!O180)</f>
        <v/>
      </c>
      <c r="T180" s="44">
        <f>IF(L180="","",'14_Eingangsrechnungen'!H180)</f>
        <v/>
      </c>
      <c r="U180" s="45">
        <f>IF(L180="","",'14_Eingangsrechnungen'!P180)</f>
        <v/>
      </c>
    </row>
    <row r="181">
      <c r="A181" s="13">
        <f>IF('13_Ausgangsrechnungen'!A181="","",IF('13_Ausgangsrechnungen'!S181&gt;0.5,"Debitor",""))</f>
        <v/>
      </c>
      <c r="B181" s="13">
        <f>IF(A181="","",'13_Ausgangsrechnungen'!A181)</f>
        <v/>
      </c>
      <c r="C181" s="44">
        <f>IF(A181="","",'13_Ausgangsrechnungen'!B181)</f>
        <v/>
      </c>
      <c r="D181" s="13">
        <f>IF(A181="","",'13_Ausgangsrechnungen'!D181)</f>
        <v/>
      </c>
      <c r="E181" s="13">
        <f>IF(A181="","",'13_Ausgangsrechnungen'!C181)</f>
        <v/>
      </c>
      <c r="F181" s="13">
        <f>IF(A181="","",'13_Ausgangsrechnungen'!E181)</f>
        <v/>
      </c>
      <c r="G181" s="15">
        <f>IF(A181="","",'13_Ausgangsrechnungen'!Q181)</f>
        <v/>
      </c>
      <c r="H181" s="15">
        <f>IF(A181="","",'13_Ausgangsrechnungen'!S181)</f>
        <v/>
      </c>
      <c r="I181" s="44">
        <f>IF(A181="","",'13_Ausgangsrechnungen'!J181)</f>
        <v/>
      </c>
      <c r="J181" s="45">
        <f>IF(A181="","",'13_Ausgangsrechnungen'!T181)</f>
        <v/>
      </c>
      <c r="L181" s="13">
        <f>IF('14_Eingangsrechnungen'!A181="","",IF('14_Eingangsrechnungen'!O181&gt;0.5,"Kreditor",""))</f>
        <v/>
      </c>
      <c r="M181" s="13">
        <f>IF(L181="","",'14_Eingangsrechnungen'!A181)</f>
        <v/>
      </c>
      <c r="N181" s="44">
        <f>IF(L181="","",'14_Eingangsrechnungen'!B181)</f>
        <v/>
      </c>
      <c r="O181" s="13">
        <f>IF(L181="","",'14_Eingangsrechnungen'!D181)</f>
        <v/>
      </c>
      <c r="P181" s="13">
        <f>IF(L181="","",'14_Eingangsrechnungen'!C181)</f>
        <v/>
      </c>
      <c r="Q181" s="13">
        <f>IF(L181="","",'14_Eingangsrechnungen'!E181)</f>
        <v/>
      </c>
      <c r="R181" s="15">
        <f>IF(L181="","",'14_Eingangsrechnungen'!M181)</f>
        <v/>
      </c>
      <c r="S181" s="15">
        <f>IF(L181="","",'14_Eingangsrechnungen'!O181)</f>
        <v/>
      </c>
      <c r="T181" s="44">
        <f>IF(L181="","",'14_Eingangsrechnungen'!H181)</f>
        <v/>
      </c>
      <c r="U181" s="45">
        <f>IF(L181="","",'14_Eingangsrechnungen'!P181)</f>
        <v/>
      </c>
    </row>
    <row r="182">
      <c r="A182" s="13">
        <f>IF('13_Ausgangsrechnungen'!A182="","",IF('13_Ausgangsrechnungen'!S182&gt;0.5,"Debitor",""))</f>
        <v/>
      </c>
      <c r="B182" s="13">
        <f>IF(A182="","",'13_Ausgangsrechnungen'!A182)</f>
        <v/>
      </c>
      <c r="C182" s="44">
        <f>IF(A182="","",'13_Ausgangsrechnungen'!B182)</f>
        <v/>
      </c>
      <c r="D182" s="13">
        <f>IF(A182="","",'13_Ausgangsrechnungen'!D182)</f>
        <v/>
      </c>
      <c r="E182" s="13">
        <f>IF(A182="","",'13_Ausgangsrechnungen'!C182)</f>
        <v/>
      </c>
      <c r="F182" s="13">
        <f>IF(A182="","",'13_Ausgangsrechnungen'!E182)</f>
        <v/>
      </c>
      <c r="G182" s="15">
        <f>IF(A182="","",'13_Ausgangsrechnungen'!Q182)</f>
        <v/>
      </c>
      <c r="H182" s="15">
        <f>IF(A182="","",'13_Ausgangsrechnungen'!S182)</f>
        <v/>
      </c>
      <c r="I182" s="44">
        <f>IF(A182="","",'13_Ausgangsrechnungen'!J182)</f>
        <v/>
      </c>
      <c r="J182" s="45">
        <f>IF(A182="","",'13_Ausgangsrechnungen'!T182)</f>
        <v/>
      </c>
      <c r="L182" s="13">
        <f>IF('14_Eingangsrechnungen'!A182="","",IF('14_Eingangsrechnungen'!O182&gt;0.5,"Kreditor",""))</f>
        <v/>
      </c>
      <c r="M182" s="13">
        <f>IF(L182="","",'14_Eingangsrechnungen'!A182)</f>
        <v/>
      </c>
      <c r="N182" s="44">
        <f>IF(L182="","",'14_Eingangsrechnungen'!B182)</f>
        <v/>
      </c>
      <c r="O182" s="13">
        <f>IF(L182="","",'14_Eingangsrechnungen'!D182)</f>
        <v/>
      </c>
      <c r="P182" s="13">
        <f>IF(L182="","",'14_Eingangsrechnungen'!C182)</f>
        <v/>
      </c>
      <c r="Q182" s="13">
        <f>IF(L182="","",'14_Eingangsrechnungen'!E182)</f>
        <v/>
      </c>
      <c r="R182" s="15">
        <f>IF(L182="","",'14_Eingangsrechnungen'!M182)</f>
        <v/>
      </c>
      <c r="S182" s="15">
        <f>IF(L182="","",'14_Eingangsrechnungen'!O182)</f>
        <v/>
      </c>
      <c r="T182" s="44">
        <f>IF(L182="","",'14_Eingangsrechnungen'!H182)</f>
        <v/>
      </c>
      <c r="U182" s="45">
        <f>IF(L182="","",'14_Eingangsrechnungen'!P182)</f>
        <v/>
      </c>
    </row>
    <row r="183">
      <c r="A183" s="13">
        <f>IF('13_Ausgangsrechnungen'!A183="","",IF('13_Ausgangsrechnungen'!S183&gt;0.5,"Debitor",""))</f>
        <v/>
      </c>
      <c r="B183" s="13">
        <f>IF(A183="","",'13_Ausgangsrechnungen'!A183)</f>
        <v/>
      </c>
      <c r="C183" s="44">
        <f>IF(A183="","",'13_Ausgangsrechnungen'!B183)</f>
        <v/>
      </c>
      <c r="D183" s="13">
        <f>IF(A183="","",'13_Ausgangsrechnungen'!D183)</f>
        <v/>
      </c>
      <c r="E183" s="13">
        <f>IF(A183="","",'13_Ausgangsrechnungen'!C183)</f>
        <v/>
      </c>
      <c r="F183" s="13">
        <f>IF(A183="","",'13_Ausgangsrechnungen'!E183)</f>
        <v/>
      </c>
      <c r="G183" s="15">
        <f>IF(A183="","",'13_Ausgangsrechnungen'!Q183)</f>
        <v/>
      </c>
      <c r="H183" s="15">
        <f>IF(A183="","",'13_Ausgangsrechnungen'!S183)</f>
        <v/>
      </c>
      <c r="I183" s="44">
        <f>IF(A183="","",'13_Ausgangsrechnungen'!J183)</f>
        <v/>
      </c>
      <c r="J183" s="45">
        <f>IF(A183="","",'13_Ausgangsrechnungen'!T183)</f>
        <v/>
      </c>
      <c r="L183" s="13">
        <f>IF('14_Eingangsrechnungen'!A183="","",IF('14_Eingangsrechnungen'!O183&gt;0.5,"Kreditor",""))</f>
        <v/>
      </c>
      <c r="M183" s="13">
        <f>IF(L183="","",'14_Eingangsrechnungen'!A183)</f>
        <v/>
      </c>
      <c r="N183" s="44">
        <f>IF(L183="","",'14_Eingangsrechnungen'!B183)</f>
        <v/>
      </c>
      <c r="O183" s="13">
        <f>IF(L183="","",'14_Eingangsrechnungen'!D183)</f>
        <v/>
      </c>
      <c r="P183" s="13">
        <f>IF(L183="","",'14_Eingangsrechnungen'!C183)</f>
        <v/>
      </c>
      <c r="Q183" s="13">
        <f>IF(L183="","",'14_Eingangsrechnungen'!E183)</f>
        <v/>
      </c>
      <c r="R183" s="15">
        <f>IF(L183="","",'14_Eingangsrechnungen'!M183)</f>
        <v/>
      </c>
      <c r="S183" s="15">
        <f>IF(L183="","",'14_Eingangsrechnungen'!O183)</f>
        <v/>
      </c>
      <c r="T183" s="44">
        <f>IF(L183="","",'14_Eingangsrechnungen'!H183)</f>
        <v/>
      </c>
      <c r="U183" s="45">
        <f>IF(L183="","",'14_Eingangsrechnungen'!P183)</f>
        <v/>
      </c>
    </row>
    <row r="184">
      <c r="A184" s="13">
        <f>IF('13_Ausgangsrechnungen'!A184="","",IF('13_Ausgangsrechnungen'!S184&gt;0.5,"Debitor",""))</f>
        <v/>
      </c>
      <c r="B184" s="13">
        <f>IF(A184="","",'13_Ausgangsrechnungen'!A184)</f>
        <v/>
      </c>
      <c r="C184" s="44">
        <f>IF(A184="","",'13_Ausgangsrechnungen'!B184)</f>
        <v/>
      </c>
      <c r="D184" s="13">
        <f>IF(A184="","",'13_Ausgangsrechnungen'!D184)</f>
        <v/>
      </c>
      <c r="E184" s="13">
        <f>IF(A184="","",'13_Ausgangsrechnungen'!C184)</f>
        <v/>
      </c>
      <c r="F184" s="13">
        <f>IF(A184="","",'13_Ausgangsrechnungen'!E184)</f>
        <v/>
      </c>
      <c r="G184" s="15">
        <f>IF(A184="","",'13_Ausgangsrechnungen'!Q184)</f>
        <v/>
      </c>
      <c r="H184" s="15">
        <f>IF(A184="","",'13_Ausgangsrechnungen'!S184)</f>
        <v/>
      </c>
      <c r="I184" s="44">
        <f>IF(A184="","",'13_Ausgangsrechnungen'!J184)</f>
        <v/>
      </c>
      <c r="J184" s="45">
        <f>IF(A184="","",'13_Ausgangsrechnungen'!T184)</f>
        <v/>
      </c>
      <c r="L184" s="13">
        <f>IF('14_Eingangsrechnungen'!A184="","",IF('14_Eingangsrechnungen'!O184&gt;0.5,"Kreditor",""))</f>
        <v/>
      </c>
      <c r="M184" s="13">
        <f>IF(L184="","",'14_Eingangsrechnungen'!A184)</f>
        <v/>
      </c>
      <c r="N184" s="44">
        <f>IF(L184="","",'14_Eingangsrechnungen'!B184)</f>
        <v/>
      </c>
      <c r="O184" s="13">
        <f>IF(L184="","",'14_Eingangsrechnungen'!D184)</f>
        <v/>
      </c>
      <c r="P184" s="13">
        <f>IF(L184="","",'14_Eingangsrechnungen'!C184)</f>
        <v/>
      </c>
      <c r="Q184" s="13">
        <f>IF(L184="","",'14_Eingangsrechnungen'!E184)</f>
        <v/>
      </c>
      <c r="R184" s="15">
        <f>IF(L184="","",'14_Eingangsrechnungen'!M184)</f>
        <v/>
      </c>
      <c r="S184" s="15">
        <f>IF(L184="","",'14_Eingangsrechnungen'!O184)</f>
        <v/>
      </c>
      <c r="T184" s="44">
        <f>IF(L184="","",'14_Eingangsrechnungen'!H184)</f>
        <v/>
      </c>
      <c r="U184" s="45">
        <f>IF(L184="","",'14_Eingangsrechnungen'!P184)</f>
        <v/>
      </c>
    </row>
    <row r="185">
      <c r="A185" s="13">
        <f>IF('13_Ausgangsrechnungen'!A185="","",IF('13_Ausgangsrechnungen'!S185&gt;0.5,"Debitor",""))</f>
        <v/>
      </c>
      <c r="B185" s="13">
        <f>IF(A185="","",'13_Ausgangsrechnungen'!A185)</f>
        <v/>
      </c>
      <c r="C185" s="44">
        <f>IF(A185="","",'13_Ausgangsrechnungen'!B185)</f>
        <v/>
      </c>
      <c r="D185" s="13">
        <f>IF(A185="","",'13_Ausgangsrechnungen'!D185)</f>
        <v/>
      </c>
      <c r="E185" s="13">
        <f>IF(A185="","",'13_Ausgangsrechnungen'!C185)</f>
        <v/>
      </c>
      <c r="F185" s="13">
        <f>IF(A185="","",'13_Ausgangsrechnungen'!E185)</f>
        <v/>
      </c>
      <c r="G185" s="15">
        <f>IF(A185="","",'13_Ausgangsrechnungen'!Q185)</f>
        <v/>
      </c>
      <c r="H185" s="15">
        <f>IF(A185="","",'13_Ausgangsrechnungen'!S185)</f>
        <v/>
      </c>
      <c r="I185" s="44">
        <f>IF(A185="","",'13_Ausgangsrechnungen'!J185)</f>
        <v/>
      </c>
      <c r="J185" s="45">
        <f>IF(A185="","",'13_Ausgangsrechnungen'!T185)</f>
        <v/>
      </c>
      <c r="L185" s="13">
        <f>IF('14_Eingangsrechnungen'!A185="","",IF('14_Eingangsrechnungen'!O185&gt;0.5,"Kreditor",""))</f>
        <v/>
      </c>
      <c r="M185" s="13">
        <f>IF(L185="","",'14_Eingangsrechnungen'!A185)</f>
        <v/>
      </c>
      <c r="N185" s="44">
        <f>IF(L185="","",'14_Eingangsrechnungen'!B185)</f>
        <v/>
      </c>
      <c r="O185" s="13">
        <f>IF(L185="","",'14_Eingangsrechnungen'!D185)</f>
        <v/>
      </c>
      <c r="P185" s="13">
        <f>IF(L185="","",'14_Eingangsrechnungen'!C185)</f>
        <v/>
      </c>
      <c r="Q185" s="13">
        <f>IF(L185="","",'14_Eingangsrechnungen'!E185)</f>
        <v/>
      </c>
      <c r="R185" s="15">
        <f>IF(L185="","",'14_Eingangsrechnungen'!M185)</f>
        <v/>
      </c>
      <c r="S185" s="15">
        <f>IF(L185="","",'14_Eingangsrechnungen'!O185)</f>
        <v/>
      </c>
      <c r="T185" s="44">
        <f>IF(L185="","",'14_Eingangsrechnungen'!H185)</f>
        <v/>
      </c>
      <c r="U185" s="45">
        <f>IF(L185="","",'14_Eingangsrechnungen'!P185)</f>
        <v/>
      </c>
    </row>
    <row r="186">
      <c r="A186" s="13">
        <f>IF('13_Ausgangsrechnungen'!A186="","",IF('13_Ausgangsrechnungen'!S186&gt;0.5,"Debitor",""))</f>
        <v/>
      </c>
      <c r="B186" s="13">
        <f>IF(A186="","",'13_Ausgangsrechnungen'!A186)</f>
        <v/>
      </c>
      <c r="C186" s="44">
        <f>IF(A186="","",'13_Ausgangsrechnungen'!B186)</f>
        <v/>
      </c>
      <c r="D186" s="13">
        <f>IF(A186="","",'13_Ausgangsrechnungen'!D186)</f>
        <v/>
      </c>
      <c r="E186" s="13">
        <f>IF(A186="","",'13_Ausgangsrechnungen'!C186)</f>
        <v/>
      </c>
      <c r="F186" s="13">
        <f>IF(A186="","",'13_Ausgangsrechnungen'!E186)</f>
        <v/>
      </c>
      <c r="G186" s="15">
        <f>IF(A186="","",'13_Ausgangsrechnungen'!Q186)</f>
        <v/>
      </c>
      <c r="H186" s="15">
        <f>IF(A186="","",'13_Ausgangsrechnungen'!S186)</f>
        <v/>
      </c>
      <c r="I186" s="44">
        <f>IF(A186="","",'13_Ausgangsrechnungen'!J186)</f>
        <v/>
      </c>
      <c r="J186" s="45">
        <f>IF(A186="","",'13_Ausgangsrechnungen'!T186)</f>
        <v/>
      </c>
      <c r="L186" s="13">
        <f>IF('14_Eingangsrechnungen'!A186="","",IF('14_Eingangsrechnungen'!O186&gt;0.5,"Kreditor",""))</f>
        <v/>
      </c>
      <c r="M186" s="13">
        <f>IF(L186="","",'14_Eingangsrechnungen'!A186)</f>
        <v/>
      </c>
      <c r="N186" s="44">
        <f>IF(L186="","",'14_Eingangsrechnungen'!B186)</f>
        <v/>
      </c>
      <c r="O186" s="13">
        <f>IF(L186="","",'14_Eingangsrechnungen'!D186)</f>
        <v/>
      </c>
      <c r="P186" s="13">
        <f>IF(L186="","",'14_Eingangsrechnungen'!C186)</f>
        <v/>
      </c>
      <c r="Q186" s="13">
        <f>IF(L186="","",'14_Eingangsrechnungen'!E186)</f>
        <v/>
      </c>
      <c r="R186" s="15">
        <f>IF(L186="","",'14_Eingangsrechnungen'!M186)</f>
        <v/>
      </c>
      <c r="S186" s="15">
        <f>IF(L186="","",'14_Eingangsrechnungen'!O186)</f>
        <v/>
      </c>
      <c r="T186" s="44">
        <f>IF(L186="","",'14_Eingangsrechnungen'!H186)</f>
        <v/>
      </c>
      <c r="U186" s="45">
        <f>IF(L186="","",'14_Eingangsrechnungen'!P186)</f>
        <v/>
      </c>
    </row>
    <row r="187">
      <c r="A187" s="13">
        <f>IF('13_Ausgangsrechnungen'!A187="","",IF('13_Ausgangsrechnungen'!S187&gt;0.5,"Debitor",""))</f>
        <v/>
      </c>
      <c r="B187" s="13">
        <f>IF(A187="","",'13_Ausgangsrechnungen'!A187)</f>
        <v/>
      </c>
      <c r="C187" s="44">
        <f>IF(A187="","",'13_Ausgangsrechnungen'!B187)</f>
        <v/>
      </c>
      <c r="D187" s="13">
        <f>IF(A187="","",'13_Ausgangsrechnungen'!D187)</f>
        <v/>
      </c>
      <c r="E187" s="13">
        <f>IF(A187="","",'13_Ausgangsrechnungen'!C187)</f>
        <v/>
      </c>
      <c r="F187" s="13">
        <f>IF(A187="","",'13_Ausgangsrechnungen'!E187)</f>
        <v/>
      </c>
      <c r="G187" s="15">
        <f>IF(A187="","",'13_Ausgangsrechnungen'!Q187)</f>
        <v/>
      </c>
      <c r="H187" s="15">
        <f>IF(A187="","",'13_Ausgangsrechnungen'!S187)</f>
        <v/>
      </c>
      <c r="I187" s="44">
        <f>IF(A187="","",'13_Ausgangsrechnungen'!J187)</f>
        <v/>
      </c>
      <c r="J187" s="45">
        <f>IF(A187="","",'13_Ausgangsrechnungen'!T187)</f>
        <v/>
      </c>
      <c r="L187" s="13">
        <f>IF('14_Eingangsrechnungen'!A187="","",IF('14_Eingangsrechnungen'!O187&gt;0.5,"Kreditor",""))</f>
        <v/>
      </c>
      <c r="M187" s="13">
        <f>IF(L187="","",'14_Eingangsrechnungen'!A187)</f>
        <v/>
      </c>
      <c r="N187" s="44">
        <f>IF(L187="","",'14_Eingangsrechnungen'!B187)</f>
        <v/>
      </c>
      <c r="O187" s="13">
        <f>IF(L187="","",'14_Eingangsrechnungen'!D187)</f>
        <v/>
      </c>
      <c r="P187" s="13">
        <f>IF(L187="","",'14_Eingangsrechnungen'!C187)</f>
        <v/>
      </c>
      <c r="Q187" s="13">
        <f>IF(L187="","",'14_Eingangsrechnungen'!E187)</f>
        <v/>
      </c>
      <c r="R187" s="15">
        <f>IF(L187="","",'14_Eingangsrechnungen'!M187)</f>
        <v/>
      </c>
      <c r="S187" s="15">
        <f>IF(L187="","",'14_Eingangsrechnungen'!O187)</f>
        <v/>
      </c>
      <c r="T187" s="44">
        <f>IF(L187="","",'14_Eingangsrechnungen'!H187)</f>
        <v/>
      </c>
      <c r="U187" s="45">
        <f>IF(L187="","",'14_Eingangsrechnungen'!P187)</f>
        <v/>
      </c>
    </row>
    <row r="188">
      <c r="A188" s="13">
        <f>IF('13_Ausgangsrechnungen'!A188="","",IF('13_Ausgangsrechnungen'!S188&gt;0.5,"Debitor",""))</f>
        <v/>
      </c>
      <c r="B188" s="13">
        <f>IF(A188="","",'13_Ausgangsrechnungen'!A188)</f>
        <v/>
      </c>
      <c r="C188" s="44">
        <f>IF(A188="","",'13_Ausgangsrechnungen'!B188)</f>
        <v/>
      </c>
      <c r="D188" s="13">
        <f>IF(A188="","",'13_Ausgangsrechnungen'!D188)</f>
        <v/>
      </c>
      <c r="E188" s="13">
        <f>IF(A188="","",'13_Ausgangsrechnungen'!C188)</f>
        <v/>
      </c>
      <c r="F188" s="13">
        <f>IF(A188="","",'13_Ausgangsrechnungen'!E188)</f>
        <v/>
      </c>
      <c r="G188" s="15">
        <f>IF(A188="","",'13_Ausgangsrechnungen'!Q188)</f>
        <v/>
      </c>
      <c r="H188" s="15">
        <f>IF(A188="","",'13_Ausgangsrechnungen'!S188)</f>
        <v/>
      </c>
      <c r="I188" s="44">
        <f>IF(A188="","",'13_Ausgangsrechnungen'!J188)</f>
        <v/>
      </c>
      <c r="J188" s="45">
        <f>IF(A188="","",'13_Ausgangsrechnungen'!T188)</f>
        <v/>
      </c>
      <c r="L188" s="13">
        <f>IF('14_Eingangsrechnungen'!A188="","",IF('14_Eingangsrechnungen'!O188&gt;0.5,"Kreditor",""))</f>
        <v/>
      </c>
      <c r="M188" s="13">
        <f>IF(L188="","",'14_Eingangsrechnungen'!A188)</f>
        <v/>
      </c>
      <c r="N188" s="44">
        <f>IF(L188="","",'14_Eingangsrechnungen'!B188)</f>
        <v/>
      </c>
      <c r="O188" s="13">
        <f>IF(L188="","",'14_Eingangsrechnungen'!D188)</f>
        <v/>
      </c>
      <c r="P188" s="13">
        <f>IF(L188="","",'14_Eingangsrechnungen'!C188)</f>
        <v/>
      </c>
      <c r="Q188" s="13">
        <f>IF(L188="","",'14_Eingangsrechnungen'!E188)</f>
        <v/>
      </c>
      <c r="R188" s="15">
        <f>IF(L188="","",'14_Eingangsrechnungen'!M188)</f>
        <v/>
      </c>
      <c r="S188" s="15">
        <f>IF(L188="","",'14_Eingangsrechnungen'!O188)</f>
        <v/>
      </c>
      <c r="T188" s="44">
        <f>IF(L188="","",'14_Eingangsrechnungen'!H188)</f>
        <v/>
      </c>
      <c r="U188" s="45">
        <f>IF(L188="","",'14_Eingangsrechnungen'!P188)</f>
        <v/>
      </c>
    </row>
    <row r="189">
      <c r="A189" s="13">
        <f>IF('13_Ausgangsrechnungen'!A189="","",IF('13_Ausgangsrechnungen'!S189&gt;0.5,"Debitor",""))</f>
        <v/>
      </c>
      <c r="B189" s="13">
        <f>IF(A189="","",'13_Ausgangsrechnungen'!A189)</f>
        <v/>
      </c>
      <c r="C189" s="44">
        <f>IF(A189="","",'13_Ausgangsrechnungen'!B189)</f>
        <v/>
      </c>
      <c r="D189" s="13">
        <f>IF(A189="","",'13_Ausgangsrechnungen'!D189)</f>
        <v/>
      </c>
      <c r="E189" s="13">
        <f>IF(A189="","",'13_Ausgangsrechnungen'!C189)</f>
        <v/>
      </c>
      <c r="F189" s="13">
        <f>IF(A189="","",'13_Ausgangsrechnungen'!E189)</f>
        <v/>
      </c>
      <c r="G189" s="15">
        <f>IF(A189="","",'13_Ausgangsrechnungen'!Q189)</f>
        <v/>
      </c>
      <c r="H189" s="15">
        <f>IF(A189="","",'13_Ausgangsrechnungen'!S189)</f>
        <v/>
      </c>
      <c r="I189" s="44">
        <f>IF(A189="","",'13_Ausgangsrechnungen'!J189)</f>
        <v/>
      </c>
      <c r="J189" s="45">
        <f>IF(A189="","",'13_Ausgangsrechnungen'!T189)</f>
        <v/>
      </c>
      <c r="L189" s="13">
        <f>IF('14_Eingangsrechnungen'!A189="","",IF('14_Eingangsrechnungen'!O189&gt;0.5,"Kreditor",""))</f>
        <v/>
      </c>
      <c r="M189" s="13">
        <f>IF(L189="","",'14_Eingangsrechnungen'!A189)</f>
        <v/>
      </c>
      <c r="N189" s="44">
        <f>IF(L189="","",'14_Eingangsrechnungen'!B189)</f>
        <v/>
      </c>
      <c r="O189" s="13">
        <f>IF(L189="","",'14_Eingangsrechnungen'!D189)</f>
        <v/>
      </c>
      <c r="P189" s="13">
        <f>IF(L189="","",'14_Eingangsrechnungen'!C189)</f>
        <v/>
      </c>
      <c r="Q189" s="13">
        <f>IF(L189="","",'14_Eingangsrechnungen'!E189)</f>
        <v/>
      </c>
      <c r="R189" s="15">
        <f>IF(L189="","",'14_Eingangsrechnungen'!M189)</f>
        <v/>
      </c>
      <c r="S189" s="15">
        <f>IF(L189="","",'14_Eingangsrechnungen'!O189)</f>
        <v/>
      </c>
      <c r="T189" s="44">
        <f>IF(L189="","",'14_Eingangsrechnungen'!H189)</f>
        <v/>
      </c>
      <c r="U189" s="45">
        <f>IF(L189="","",'14_Eingangsrechnungen'!P189)</f>
        <v/>
      </c>
    </row>
    <row r="190">
      <c r="A190" s="13">
        <f>IF('13_Ausgangsrechnungen'!A190="","",IF('13_Ausgangsrechnungen'!S190&gt;0.5,"Debitor",""))</f>
        <v/>
      </c>
      <c r="B190" s="13">
        <f>IF(A190="","",'13_Ausgangsrechnungen'!A190)</f>
        <v/>
      </c>
      <c r="C190" s="44">
        <f>IF(A190="","",'13_Ausgangsrechnungen'!B190)</f>
        <v/>
      </c>
      <c r="D190" s="13">
        <f>IF(A190="","",'13_Ausgangsrechnungen'!D190)</f>
        <v/>
      </c>
      <c r="E190" s="13">
        <f>IF(A190="","",'13_Ausgangsrechnungen'!C190)</f>
        <v/>
      </c>
      <c r="F190" s="13">
        <f>IF(A190="","",'13_Ausgangsrechnungen'!E190)</f>
        <v/>
      </c>
      <c r="G190" s="15">
        <f>IF(A190="","",'13_Ausgangsrechnungen'!Q190)</f>
        <v/>
      </c>
      <c r="H190" s="15">
        <f>IF(A190="","",'13_Ausgangsrechnungen'!S190)</f>
        <v/>
      </c>
      <c r="I190" s="44">
        <f>IF(A190="","",'13_Ausgangsrechnungen'!J190)</f>
        <v/>
      </c>
      <c r="J190" s="45">
        <f>IF(A190="","",'13_Ausgangsrechnungen'!T190)</f>
        <v/>
      </c>
      <c r="L190" s="13">
        <f>IF('14_Eingangsrechnungen'!A190="","",IF('14_Eingangsrechnungen'!O190&gt;0.5,"Kreditor",""))</f>
        <v/>
      </c>
      <c r="M190" s="13">
        <f>IF(L190="","",'14_Eingangsrechnungen'!A190)</f>
        <v/>
      </c>
      <c r="N190" s="44">
        <f>IF(L190="","",'14_Eingangsrechnungen'!B190)</f>
        <v/>
      </c>
      <c r="O190" s="13">
        <f>IF(L190="","",'14_Eingangsrechnungen'!D190)</f>
        <v/>
      </c>
      <c r="P190" s="13">
        <f>IF(L190="","",'14_Eingangsrechnungen'!C190)</f>
        <v/>
      </c>
      <c r="Q190" s="13">
        <f>IF(L190="","",'14_Eingangsrechnungen'!E190)</f>
        <v/>
      </c>
      <c r="R190" s="15">
        <f>IF(L190="","",'14_Eingangsrechnungen'!M190)</f>
        <v/>
      </c>
      <c r="S190" s="15">
        <f>IF(L190="","",'14_Eingangsrechnungen'!O190)</f>
        <v/>
      </c>
      <c r="T190" s="44">
        <f>IF(L190="","",'14_Eingangsrechnungen'!H190)</f>
        <v/>
      </c>
      <c r="U190" s="45">
        <f>IF(L190="","",'14_Eingangsrechnungen'!P190)</f>
        <v/>
      </c>
    </row>
    <row r="191">
      <c r="A191" s="13">
        <f>IF('13_Ausgangsrechnungen'!A191="","",IF('13_Ausgangsrechnungen'!S191&gt;0.5,"Debitor",""))</f>
        <v/>
      </c>
      <c r="B191" s="13">
        <f>IF(A191="","",'13_Ausgangsrechnungen'!A191)</f>
        <v/>
      </c>
      <c r="C191" s="44">
        <f>IF(A191="","",'13_Ausgangsrechnungen'!B191)</f>
        <v/>
      </c>
      <c r="D191" s="13">
        <f>IF(A191="","",'13_Ausgangsrechnungen'!D191)</f>
        <v/>
      </c>
      <c r="E191" s="13">
        <f>IF(A191="","",'13_Ausgangsrechnungen'!C191)</f>
        <v/>
      </c>
      <c r="F191" s="13">
        <f>IF(A191="","",'13_Ausgangsrechnungen'!E191)</f>
        <v/>
      </c>
      <c r="G191" s="15">
        <f>IF(A191="","",'13_Ausgangsrechnungen'!Q191)</f>
        <v/>
      </c>
      <c r="H191" s="15">
        <f>IF(A191="","",'13_Ausgangsrechnungen'!S191)</f>
        <v/>
      </c>
      <c r="I191" s="44">
        <f>IF(A191="","",'13_Ausgangsrechnungen'!J191)</f>
        <v/>
      </c>
      <c r="J191" s="45">
        <f>IF(A191="","",'13_Ausgangsrechnungen'!T191)</f>
        <v/>
      </c>
      <c r="L191" s="13">
        <f>IF('14_Eingangsrechnungen'!A191="","",IF('14_Eingangsrechnungen'!O191&gt;0.5,"Kreditor",""))</f>
        <v/>
      </c>
      <c r="M191" s="13">
        <f>IF(L191="","",'14_Eingangsrechnungen'!A191)</f>
        <v/>
      </c>
      <c r="N191" s="44">
        <f>IF(L191="","",'14_Eingangsrechnungen'!B191)</f>
        <v/>
      </c>
      <c r="O191" s="13">
        <f>IF(L191="","",'14_Eingangsrechnungen'!D191)</f>
        <v/>
      </c>
      <c r="P191" s="13">
        <f>IF(L191="","",'14_Eingangsrechnungen'!C191)</f>
        <v/>
      </c>
      <c r="Q191" s="13">
        <f>IF(L191="","",'14_Eingangsrechnungen'!E191)</f>
        <v/>
      </c>
      <c r="R191" s="15">
        <f>IF(L191="","",'14_Eingangsrechnungen'!M191)</f>
        <v/>
      </c>
      <c r="S191" s="15">
        <f>IF(L191="","",'14_Eingangsrechnungen'!O191)</f>
        <v/>
      </c>
      <c r="T191" s="44">
        <f>IF(L191="","",'14_Eingangsrechnungen'!H191)</f>
        <v/>
      </c>
      <c r="U191" s="45">
        <f>IF(L191="","",'14_Eingangsrechnungen'!P191)</f>
        <v/>
      </c>
    </row>
    <row r="192">
      <c r="A192" s="13">
        <f>IF('13_Ausgangsrechnungen'!A192="","",IF('13_Ausgangsrechnungen'!S192&gt;0.5,"Debitor",""))</f>
        <v/>
      </c>
      <c r="B192" s="13">
        <f>IF(A192="","",'13_Ausgangsrechnungen'!A192)</f>
        <v/>
      </c>
      <c r="C192" s="44">
        <f>IF(A192="","",'13_Ausgangsrechnungen'!B192)</f>
        <v/>
      </c>
      <c r="D192" s="13">
        <f>IF(A192="","",'13_Ausgangsrechnungen'!D192)</f>
        <v/>
      </c>
      <c r="E192" s="13">
        <f>IF(A192="","",'13_Ausgangsrechnungen'!C192)</f>
        <v/>
      </c>
      <c r="F192" s="13">
        <f>IF(A192="","",'13_Ausgangsrechnungen'!E192)</f>
        <v/>
      </c>
      <c r="G192" s="15">
        <f>IF(A192="","",'13_Ausgangsrechnungen'!Q192)</f>
        <v/>
      </c>
      <c r="H192" s="15">
        <f>IF(A192="","",'13_Ausgangsrechnungen'!S192)</f>
        <v/>
      </c>
      <c r="I192" s="44">
        <f>IF(A192="","",'13_Ausgangsrechnungen'!J192)</f>
        <v/>
      </c>
      <c r="J192" s="45">
        <f>IF(A192="","",'13_Ausgangsrechnungen'!T192)</f>
        <v/>
      </c>
      <c r="L192" s="13">
        <f>IF('14_Eingangsrechnungen'!A192="","",IF('14_Eingangsrechnungen'!O192&gt;0.5,"Kreditor",""))</f>
        <v/>
      </c>
      <c r="M192" s="13">
        <f>IF(L192="","",'14_Eingangsrechnungen'!A192)</f>
        <v/>
      </c>
      <c r="N192" s="44">
        <f>IF(L192="","",'14_Eingangsrechnungen'!B192)</f>
        <v/>
      </c>
      <c r="O192" s="13">
        <f>IF(L192="","",'14_Eingangsrechnungen'!D192)</f>
        <v/>
      </c>
      <c r="P192" s="13">
        <f>IF(L192="","",'14_Eingangsrechnungen'!C192)</f>
        <v/>
      </c>
      <c r="Q192" s="13">
        <f>IF(L192="","",'14_Eingangsrechnungen'!E192)</f>
        <v/>
      </c>
      <c r="R192" s="15">
        <f>IF(L192="","",'14_Eingangsrechnungen'!M192)</f>
        <v/>
      </c>
      <c r="S192" s="15">
        <f>IF(L192="","",'14_Eingangsrechnungen'!O192)</f>
        <v/>
      </c>
      <c r="T192" s="44">
        <f>IF(L192="","",'14_Eingangsrechnungen'!H192)</f>
        <v/>
      </c>
      <c r="U192" s="45">
        <f>IF(L192="","",'14_Eingangsrechnungen'!P192)</f>
        <v/>
      </c>
    </row>
    <row r="193">
      <c r="A193" s="13">
        <f>IF('13_Ausgangsrechnungen'!A193="","",IF('13_Ausgangsrechnungen'!S193&gt;0.5,"Debitor",""))</f>
        <v/>
      </c>
      <c r="B193" s="13">
        <f>IF(A193="","",'13_Ausgangsrechnungen'!A193)</f>
        <v/>
      </c>
      <c r="C193" s="44">
        <f>IF(A193="","",'13_Ausgangsrechnungen'!B193)</f>
        <v/>
      </c>
      <c r="D193" s="13">
        <f>IF(A193="","",'13_Ausgangsrechnungen'!D193)</f>
        <v/>
      </c>
      <c r="E193" s="13">
        <f>IF(A193="","",'13_Ausgangsrechnungen'!C193)</f>
        <v/>
      </c>
      <c r="F193" s="13">
        <f>IF(A193="","",'13_Ausgangsrechnungen'!E193)</f>
        <v/>
      </c>
      <c r="G193" s="15">
        <f>IF(A193="","",'13_Ausgangsrechnungen'!Q193)</f>
        <v/>
      </c>
      <c r="H193" s="15">
        <f>IF(A193="","",'13_Ausgangsrechnungen'!S193)</f>
        <v/>
      </c>
      <c r="I193" s="44">
        <f>IF(A193="","",'13_Ausgangsrechnungen'!J193)</f>
        <v/>
      </c>
      <c r="J193" s="45">
        <f>IF(A193="","",'13_Ausgangsrechnungen'!T193)</f>
        <v/>
      </c>
      <c r="L193" s="13">
        <f>IF('14_Eingangsrechnungen'!A193="","",IF('14_Eingangsrechnungen'!O193&gt;0.5,"Kreditor",""))</f>
        <v/>
      </c>
      <c r="M193" s="13">
        <f>IF(L193="","",'14_Eingangsrechnungen'!A193)</f>
        <v/>
      </c>
      <c r="N193" s="44">
        <f>IF(L193="","",'14_Eingangsrechnungen'!B193)</f>
        <v/>
      </c>
      <c r="O193" s="13">
        <f>IF(L193="","",'14_Eingangsrechnungen'!D193)</f>
        <v/>
      </c>
      <c r="P193" s="13">
        <f>IF(L193="","",'14_Eingangsrechnungen'!C193)</f>
        <v/>
      </c>
      <c r="Q193" s="13">
        <f>IF(L193="","",'14_Eingangsrechnungen'!E193)</f>
        <v/>
      </c>
      <c r="R193" s="15">
        <f>IF(L193="","",'14_Eingangsrechnungen'!M193)</f>
        <v/>
      </c>
      <c r="S193" s="15">
        <f>IF(L193="","",'14_Eingangsrechnungen'!O193)</f>
        <v/>
      </c>
      <c r="T193" s="44">
        <f>IF(L193="","",'14_Eingangsrechnungen'!H193)</f>
        <v/>
      </c>
      <c r="U193" s="45">
        <f>IF(L193="","",'14_Eingangsrechnungen'!P193)</f>
        <v/>
      </c>
    </row>
    <row r="194">
      <c r="A194" s="13">
        <f>IF('13_Ausgangsrechnungen'!A194="","",IF('13_Ausgangsrechnungen'!S194&gt;0.5,"Debitor",""))</f>
        <v/>
      </c>
      <c r="B194" s="13">
        <f>IF(A194="","",'13_Ausgangsrechnungen'!A194)</f>
        <v/>
      </c>
      <c r="C194" s="44">
        <f>IF(A194="","",'13_Ausgangsrechnungen'!B194)</f>
        <v/>
      </c>
      <c r="D194" s="13">
        <f>IF(A194="","",'13_Ausgangsrechnungen'!D194)</f>
        <v/>
      </c>
      <c r="E194" s="13">
        <f>IF(A194="","",'13_Ausgangsrechnungen'!C194)</f>
        <v/>
      </c>
      <c r="F194" s="13">
        <f>IF(A194="","",'13_Ausgangsrechnungen'!E194)</f>
        <v/>
      </c>
      <c r="G194" s="15">
        <f>IF(A194="","",'13_Ausgangsrechnungen'!Q194)</f>
        <v/>
      </c>
      <c r="H194" s="15">
        <f>IF(A194="","",'13_Ausgangsrechnungen'!S194)</f>
        <v/>
      </c>
      <c r="I194" s="44">
        <f>IF(A194="","",'13_Ausgangsrechnungen'!J194)</f>
        <v/>
      </c>
      <c r="J194" s="45">
        <f>IF(A194="","",'13_Ausgangsrechnungen'!T194)</f>
        <v/>
      </c>
      <c r="L194" s="13">
        <f>IF('14_Eingangsrechnungen'!A194="","",IF('14_Eingangsrechnungen'!O194&gt;0.5,"Kreditor",""))</f>
        <v/>
      </c>
      <c r="M194" s="13">
        <f>IF(L194="","",'14_Eingangsrechnungen'!A194)</f>
        <v/>
      </c>
      <c r="N194" s="44">
        <f>IF(L194="","",'14_Eingangsrechnungen'!B194)</f>
        <v/>
      </c>
      <c r="O194" s="13">
        <f>IF(L194="","",'14_Eingangsrechnungen'!D194)</f>
        <v/>
      </c>
      <c r="P194" s="13">
        <f>IF(L194="","",'14_Eingangsrechnungen'!C194)</f>
        <v/>
      </c>
      <c r="Q194" s="13">
        <f>IF(L194="","",'14_Eingangsrechnungen'!E194)</f>
        <v/>
      </c>
      <c r="R194" s="15">
        <f>IF(L194="","",'14_Eingangsrechnungen'!M194)</f>
        <v/>
      </c>
      <c r="S194" s="15">
        <f>IF(L194="","",'14_Eingangsrechnungen'!O194)</f>
        <v/>
      </c>
      <c r="T194" s="44">
        <f>IF(L194="","",'14_Eingangsrechnungen'!H194)</f>
        <v/>
      </c>
      <c r="U194" s="45">
        <f>IF(L194="","",'14_Eingangsrechnungen'!P194)</f>
        <v/>
      </c>
    </row>
    <row r="195">
      <c r="A195" s="13">
        <f>IF('13_Ausgangsrechnungen'!A195="","",IF('13_Ausgangsrechnungen'!S195&gt;0.5,"Debitor",""))</f>
        <v/>
      </c>
      <c r="B195" s="13">
        <f>IF(A195="","",'13_Ausgangsrechnungen'!A195)</f>
        <v/>
      </c>
      <c r="C195" s="44">
        <f>IF(A195="","",'13_Ausgangsrechnungen'!B195)</f>
        <v/>
      </c>
      <c r="D195" s="13">
        <f>IF(A195="","",'13_Ausgangsrechnungen'!D195)</f>
        <v/>
      </c>
      <c r="E195" s="13">
        <f>IF(A195="","",'13_Ausgangsrechnungen'!C195)</f>
        <v/>
      </c>
      <c r="F195" s="13">
        <f>IF(A195="","",'13_Ausgangsrechnungen'!E195)</f>
        <v/>
      </c>
      <c r="G195" s="15">
        <f>IF(A195="","",'13_Ausgangsrechnungen'!Q195)</f>
        <v/>
      </c>
      <c r="H195" s="15">
        <f>IF(A195="","",'13_Ausgangsrechnungen'!S195)</f>
        <v/>
      </c>
      <c r="I195" s="44">
        <f>IF(A195="","",'13_Ausgangsrechnungen'!J195)</f>
        <v/>
      </c>
      <c r="J195" s="45">
        <f>IF(A195="","",'13_Ausgangsrechnungen'!T195)</f>
        <v/>
      </c>
      <c r="L195" s="13">
        <f>IF('14_Eingangsrechnungen'!A195="","",IF('14_Eingangsrechnungen'!O195&gt;0.5,"Kreditor",""))</f>
        <v/>
      </c>
      <c r="M195" s="13">
        <f>IF(L195="","",'14_Eingangsrechnungen'!A195)</f>
        <v/>
      </c>
      <c r="N195" s="44">
        <f>IF(L195="","",'14_Eingangsrechnungen'!B195)</f>
        <v/>
      </c>
      <c r="O195" s="13">
        <f>IF(L195="","",'14_Eingangsrechnungen'!D195)</f>
        <v/>
      </c>
      <c r="P195" s="13">
        <f>IF(L195="","",'14_Eingangsrechnungen'!C195)</f>
        <v/>
      </c>
      <c r="Q195" s="13">
        <f>IF(L195="","",'14_Eingangsrechnungen'!E195)</f>
        <v/>
      </c>
      <c r="R195" s="15">
        <f>IF(L195="","",'14_Eingangsrechnungen'!M195)</f>
        <v/>
      </c>
      <c r="S195" s="15">
        <f>IF(L195="","",'14_Eingangsrechnungen'!O195)</f>
        <v/>
      </c>
      <c r="T195" s="44">
        <f>IF(L195="","",'14_Eingangsrechnungen'!H195)</f>
        <v/>
      </c>
      <c r="U195" s="45">
        <f>IF(L195="","",'14_Eingangsrechnungen'!P195)</f>
        <v/>
      </c>
    </row>
    <row r="196">
      <c r="A196" s="13">
        <f>IF('13_Ausgangsrechnungen'!A196="","",IF('13_Ausgangsrechnungen'!S196&gt;0.5,"Debitor",""))</f>
        <v/>
      </c>
      <c r="B196" s="13">
        <f>IF(A196="","",'13_Ausgangsrechnungen'!A196)</f>
        <v/>
      </c>
      <c r="C196" s="44">
        <f>IF(A196="","",'13_Ausgangsrechnungen'!B196)</f>
        <v/>
      </c>
      <c r="D196" s="13">
        <f>IF(A196="","",'13_Ausgangsrechnungen'!D196)</f>
        <v/>
      </c>
      <c r="E196" s="13">
        <f>IF(A196="","",'13_Ausgangsrechnungen'!C196)</f>
        <v/>
      </c>
      <c r="F196" s="13">
        <f>IF(A196="","",'13_Ausgangsrechnungen'!E196)</f>
        <v/>
      </c>
      <c r="G196" s="15">
        <f>IF(A196="","",'13_Ausgangsrechnungen'!Q196)</f>
        <v/>
      </c>
      <c r="H196" s="15">
        <f>IF(A196="","",'13_Ausgangsrechnungen'!S196)</f>
        <v/>
      </c>
      <c r="I196" s="44">
        <f>IF(A196="","",'13_Ausgangsrechnungen'!J196)</f>
        <v/>
      </c>
      <c r="J196" s="45">
        <f>IF(A196="","",'13_Ausgangsrechnungen'!T196)</f>
        <v/>
      </c>
      <c r="L196" s="13">
        <f>IF('14_Eingangsrechnungen'!A196="","",IF('14_Eingangsrechnungen'!O196&gt;0.5,"Kreditor",""))</f>
        <v/>
      </c>
      <c r="M196" s="13">
        <f>IF(L196="","",'14_Eingangsrechnungen'!A196)</f>
        <v/>
      </c>
      <c r="N196" s="44">
        <f>IF(L196="","",'14_Eingangsrechnungen'!B196)</f>
        <v/>
      </c>
      <c r="O196" s="13">
        <f>IF(L196="","",'14_Eingangsrechnungen'!D196)</f>
        <v/>
      </c>
      <c r="P196" s="13">
        <f>IF(L196="","",'14_Eingangsrechnungen'!C196)</f>
        <v/>
      </c>
      <c r="Q196" s="13">
        <f>IF(L196="","",'14_Eingangsrechnungen'!E196)</f>
        <v/>
      </c>
      <c r="R196" s="15">
        <f>IF(L196="","",'14_Eingangsrechnungen'!M196)</f>
        <v/>
      </c>
      <c r="S196" s="15">
        <f>IF(L196="","",'14_Eingangsrechnungen'!O196)</f>
        <v/>
      </c>
      <c r="T196" s="44">
        <f>IF(L196="","",'14_Eingangsrechnungen'!H196)</f>
        <v/>
      </c>
      <c r="U196" s="45">
        <f>IF(L196="","",'14_Eingangsrechnungen'!P196)</f>
        <v/>
      </c>
    </row>
    <row r="197">
      <c r="A197" s="13">
        <f>IF('13_Ausgangsrechnungen'!A197="","",IF('13_Ausgangsrechnungen'!S197&gt;0.5,"Debitor",""))</f>
        <v/>
      </c>
      <c r="B197" s="13">
        <f>IF(A197="","",'13_Ausgangsrechnungen'!A197)</f>
        <v/>
      </c>
      <c r="C197" s="44">
        <f>IF(A197="","",'13_Ausgangsrechnungen'!B197)</f>
        <v/>
      </c>
      <c r="D197" s="13">
        <f>IF(A197="","",'13_Ausgangsrechnungen'!D197)</f>
        <v/>
      </c>
      <c r="E197" s="13">
        <f>IF(A197="","",'13_Ausgangsrechnungen'!C197)</f>
        <v/>
      </c>
      <c r="F197" s="13">
        <f>IF(A197="","",'13_Ausgangsrechnungen'!E197)</f>
        <v/>
      </c>
      <c r="G197" s="15">
        <f>IF(A197="","",'13_Ausgangsrechnungen'!Q197)</f>
        <v/>
      </c>
      <c r="H197" s="15">
        <f>IF(A197="","",'13_Ausgangsrechnungen'!S197)</f>
        <v/>
      </c>
      <c r="I197" s="44">
        <f>IF(A197="","",'13_Ausgangsrechnungen'!J197)</f>
        <v/>
      </c>
      <c r="J197" s="45">
        <f>IF(A197="","",'13_Ausgangsrechnungen'!T197)</f>
        <v/>
      </c>
      <c r="L197" s="13">
        <f>IF('14_Eingangsrechnungen'!A197="","",IF('14_Eingangsrechnungen'!O197&gt;0.5,"Kreditor",""))</f>
        <v/>
      </c>
      <c r="M197" s="13">
        <f>IF(L197="","",'14_Eingangsrechnungen'!A197)</f>
        <v/>
      </c>
      <c r="N197" s="44">
        <f>IF(L197="","",'14_Eingangsrechnungen'!B197)</f>
        <v/>
      </c>
      <c r="O197" s="13">
        <f>IF(L197="","",'14_Eingangsrechnungen'!D197)</f>
        <v/>
      </c>
      <c r="P197" s="13">
        <f>IF(L197="","",'14_Eingangsrechnungen'!C197)</f>
        <v/>
      </c>
      <c r="Q197" s="13">
        <f>IF(L197="","",'14_Eingangsrechnungen'!E197)</f>
        <v/>
      </c>
      <c r="R197" s="15">
        <f>IF(L197="","",'14_Eingangsrechnungen'!M197)</f>
        <v/>
      </c>
      <c r="S197" s="15">
        <f>IF(L197="","",'14_Eingangsrechnungen'!O197)</f>
        <v/>
      </c>
      <c r="T197" s="44">
        <f>IF(L197="","",'14_Eingangsrechnungen'!H197)</f>
        <v/>
      </c>
      <c r="U197" s="45">
        <f>IF(L197="","",'14_Eingangsrechnungen'!P197)</f>
        <v/>
      </c>
    </row>
    <row r="198">
      <c r="A198" s="13">
        <f>IF('13_Ausgangsrechnungen'!A198="","",IF('13_Ausgangsrechnungen'!S198&gt;0.5,"Debitor",""))</f>
        <v/>
      </c>
      <c r="B198" s="13">
        <f>IF(A198="","",'13_Ausgangsrechnungen'!A198)</f>
        <v/>
      </c>
      <c r="C198" s="44">
        <f>IF(A198="","",'13_Ausgangsrechnungen'!B198)</f>
        <v/>
      </c>
      <c r="D198" s="13">
        <f>IF(A198="","",'13_Ausgangsrechnungen'!D198)</f>
        <v/>
      </c>
      <c r="E198" s="13">
        <f>IF(A198="","",'13_Ausgangsrechnungen'!C198)</f>
        <v/>
      </c>
      <c r="F198" s="13">
        <f>IF(A198="","",'13_Ausgangsrechnungen'!E198)</f>
        <v/>
      </c>
      <c r="G198" s="15">
        <f>IF(A198="","",'13_Ausgangsrechnungen'!Q198)</f>
        <v/>
      </c>
      <c r="H198" s="15">
        <f>IF(A198="","",'13_Ausgangsrechnungen'!S198)</f>
        <v/>
      </c>
      <c r="I198" s="44">
        <f>IF(A198="","",'13_Ausgangsrechnungen'!J198)</f>
        <v/>
      </c>
      <c r="J198" s="45">
        <f>IF(A198="","",'13_Ausgangsrechnungen'!T198)</f>
        <v/>
      </c>
      <c r="L198" s="13">
        <f>IF('14_Eingangsrechnungen'!A198="","",IF('14_Eingangsrechnungen'!O198&gt;0.5,"Kreditor",""))</f>
        <v/>
      </c>
      <c r="M198" s="13">
        <f>IF(L198="","",'14_Eingangsrechnungen'!A198)</f>
        <v/>
      </c>
      <c r="N198" s="44">
        <f>IF(L198="","",'14_Eingangsrechnungen'!B198)</f>
        <v/>
      </c>
      <c r="O198" s="13">
        <f>IF(L198="","",'14_Eingangsrechnungen'!D198)</f>
        <v/>
      </c>
      <c r="P198" s="13">
        <f>IF(L198="","",'14_Eingangsrechnungen'!C198)</f>
        <v/>
      </c>
      <c r="Q198" s="13">
        <f>IF(L198="","",'14_Eingangsrechnungen'!E198)</f>
        <v/>
      </c>
      <c r="R198" s="15">
        <f>IF(L198="","",'14_Eingangsrechnungen'!M198)</f>
        <v/>
      </c>
      <c r="S198" s="15">
        <f>IF(L198="","",'14_Eingangsrechnungen'!O198)</f>
        <v/>
      </c>
      <c r="T198" s="44">
        <f>IF(L198="","",'14_Eingangsrechnungen'!H198)</f>
        <v/>
      </c>
      <c r="U198" s="45">
        <f>IF(L198="","",'14_Eingangsrechnungen'!P198)</f>
        <v/>
      </c>
    </row>
    <row r="199">
      <c r="A199" s="13">
        <f>IF('13_Ausgangsrechnungen'!A199="","",IF('13_Ausgangsrechnungen'!S199&gt;0.5,"Debitor",""))</f>
        <v/>
      </c>
      <c r="B199" s="13">
        <f>IF(A199="","",'13_Ausgangsrechnungen'!A199)</f>
        <v/>
      </c>
      <c r="C199" s="44">
        <f>IF(A199="","",'13_Ausgangsrechnungen'!B199)</f>
        <v/>
      </c>
      <c r="D199" s="13">
        <f>IF(A199="","",'13_Ausgangsrechnungen'!D199)</f>
        <v/>
      </c>
      <c r="E199" s="13">
        <f>IF(A199="","",'13_Ausgangsrechnungen'!C199)</f>
        <v/>
      </c>
      <c r="F199" s="13">
        <f>IF(A199="","",'13_Ausgangsrechnungen'!E199)</f>
        <v/>
      </c>
      <c r="G199" s="15">
        <f>IF(A199="","",'13_Ausgangsrechnungen'!Q199)</f>
        <v/>
      </c>
      <c r="H199" s="15">
        <f>IF(A199="","",'13_Ausgangsrechnungen'!S199)</f>
        <v/>
      </c>
      <c r="I199" s="44">
        <f>IF(A199="","",'13_Ausgangsrechnungen'!J199)</f>
        <v/>
      </c>
      <c r="J199" s="45">
        <f>IF(A199="","",'13_Ausgangsrechnungen'!T199)</f>
        <v/>
      </c>
      <c r="L199" s="13">
        <f>IF('14_Eingangsrechnungen'!A199="","",IF('14_Eingangsrechnungen'!O199&gt;0.5,"Kreditor",""))</f>
        <v/>
      </c>
      <c r="M199" s="13">
        <f>IF(L199="","",'14_Eingangsrechnungen'!A199)</f>
        <v/>
      </c>
      <c r="N199" s="44">
        <f>IF(L199="","",'14_Eingangsrechnungen'!B199)</f>
        <v/>
      </c>
      <c r="O199" s="13">
        <f>IF(L199="","",'14_Eingangsrechnungen'!D199)</f>
        <v/>
      </c>
      <c r="P199" s="13">
        <f>IF(L199="","",'14_Eingangsrechnungen'!C199)</f>
        <v/>
      </c>
      <c r="Q199" s="13">
        <f>IF(L199="","",'14_Eingangsrechnungen'!E199)</f>
        <v/>
      </c>
      <c r="R199" s="15">
        <f>IF(L199="","",'14_Eingangsrechnungen'!M199)</f>
        <v/>
      </c>
      <c r="S199" s="15">
        <f>IF(L199="","",'14_Eingangsrechnungen'!O199)</f>
        <v/>
      </c>
      <c r="T199" s="44">
        <f>IF(L199="","",'14_Eingangsrechnungen'!H199)</f>
        <v/>
      </c>
      <c r="U199" s="45">
        <f>IF(L199="","",'14_Eingangsrechnungen'!P199)</f>
        <v/>
      </c>
    </row>
    <row r="200">
      <c r="A200" s="13">
        <f>IF('13_Ausgangsrechnungen'!A200="","",IF('13_Ausgangsrechnungen'!S200&gt;0.5,"Debitor",""))</f>
        <v/>
      </c>
      <c r="B200" s="13">
        <f>IF(A200="","",'13_Ausgangsrechnungen'!A200)</f>
        <v/>
      </c>
      <c r="C200" s="44">
        <f>IF(A200="","",'13_Ausgangsrechnungen'!B200)</f>
        <v/>
      </c>
      <c r="D200" s="13">
        <f>IF(A200="","",'13_Ausgangsrechnungen'!D200)</f>
        <v/>
      </c>
      <c r="E200" s="13">
        <f>IF(A200="","",'13_Ausgangsrechnungen'!C200)</f>
        <v/>
      </c>
      <c r="F200" s="13">
        <f>IF(A200="","",'13_Ausgangsrechnungen'!E200)</f>
        <v/>
      </c>
      <c r="G200" s="15">
        <f>IF(A200="","",'13_Ausgangsrechnungen'!Q200)</f>
        <v/>
      </c>
      <c r="H200" s="15">
        <f>IF(A200="","",'13_Ausgangsrechnungen'!S200)</f>
        <v/>
      </c>
      <c r="I200" s="44">
        <f>IF(A200="","",'13_Ausgangsrechnungen'!J200)</f>
        <v/>
      </c>
      <c r="J200" s="45">
        <f>IF(A200="","",'13_Ausgangsrechnungen'!T200)</f>
        <v/>
      </c>
      <c r="L200" s="13">
        <f>IF('14_Eingangsrechnungen'!A200="","",IF('14_Eingangsrechnungen'!O200&gt;0.5,"Kreditor",""))</f>
        <v/>
      </c>
      <c r="M200" s="13">
        <f>IF(L200="","",'14_Eingangsrechnungen'!A200)</f>
        <v/>
      </c>
      <c r="N200" s="44">
        <f>IF(L200="","",'14_Eingangsrechnungen'!B200)</f>
        <v/>
      </c>
      <c r="O200" s="13">
        <f>IF(L200="","",'14_Eingangsrechnungen'!D200)</f>
        <v/>
      </c>
      <c r="P200" s="13">
        <f>IF(L200="","",'14_Eingangsrechnungen'!C200)</f>
        <v/>
      </c>
      <c r="Q200" s="13">
        <f>IF(L200="","",'14_Eingangsrechnungen'!E200)</f>
        <v/>
      </c>
      <c r="R200" s="15">
        <f>IF(L200="","",'14_Eingangsrechnungen'!M200)</f>
        <v/>
      </c>
      <c r="S200" s="15">
        <f>IF(L200="","",'14_Eingangsrechnungen'!O200)</f>
        <v/>
      </c>
      <c r="T200" s="44">
        <f>IF(L200="","",'14_Eingangsrechnungen'!H200)</f>
        <v/>
      </c>
      <c r="U200" s="45">
        <f>IF(L200="","",'14_Eingangsrechnungen'!P200)</f>
        <v/>
      </c>
    </row>
    <row r="201">
      <c r="A201" s="13">
        <f>IF('13_Ausgangsrechnungen'!A201="","",IF('13_Ausgangsrechnungen'!S201&gt;0.5,"Debitor",""))</f>
        <v/>
      </c>
      <c r="B201" s="13">
        <f>IF(A201="","",'13_Ausgangsrechnungen'!A201)</f>
        <v/>
      </c>
      <c r="C201" s="44">
        <f>IF(A201="","",'13_Ausgangsrechnungen'!B201)</f>
        <v/>
      </c>
      <c r="D201" s="13">
        <f>IF(A201="","",'13_Ausgangsrechnungen'!D201)</f>
        <v/>
      </c>
      <c r="E201" s="13">
        <f>IF(A201="","",'13_Ausgangsrechnungen'!C201)</f>
        <v/>
      </c>
      <c r="F201" s="13">
        <f>IF(A201="","",'13_Ausgangsrechnungen'!E201)</f>
        <v/>
      </c>
      <c r="G201" s="15">
        <f>IF(A201="","",'13_Ausgangsrechnungen'!Q201)</f>
        <v/>
      </c>
      <c r="H201" s="15">
        <f>IF(A201="","",'13_Ausgangsrechnungen'!S201)</f>
        <v/>
      </c>
      <c r="I201" s="44">
        <f>IF(A201="","",'13_Ausgangsrechnungen'!J201)</f>
        <v/>
      </c>
      <c r="J201" s="45">
        <f>IF(A201="","",'13_Ausgangsrechnungen'!T201)</f>
        <v/>
      </c>
      <c r="L201" s="13">
        <f>IF('14_Eingangsrechnungen'!A201="","",IF('14_Eingangsrechnungen'!O201&gt;0.5,"Kreditor",""))</f>
        <v/>
      </c>
      <c r="M201" s="13">
        <f>IF(L201="","",'14_Eingangsrechnungen'!A201)</f>
        <v/>
      </c>
      <c r="N201" s="44">
        <f>IF(L201="","",'14_Eingangsrechnungen'!B201)</f>
        <v/>
      </c>
      <c r="O201" s="13">
        <f>IF(L201="","",'14_Eingangsrechnungen'!D201)</f>
        <v/>
      </c>
      <c r="P201" s="13">
        <f>IF(L201="","",'14_Eingangsrechnungen'!C201)</f>
        <v/>
      </c>
      <c r="Q201" s="13">
        <f>IF(L201="","",'14_Eingangsrechnungen'!E201)</f>
        <v/>
      </c>
      <c r="R201" s="15">
        <f>IF(L201="","",'14_Eingangsrechnungen'!M201)</f>
        <v/>
      </c>
      <c r="S201" s="15">
        <f>IF(L201="","",'14_Eingangsrechnungen'!O201)</f>
        <v/>
      </c>
      <c r="T201" s="44">
        <f>IF(L201="","",'14_Eingangsrechnungen'!H201)</f>
        <v/>
      </c>
      <c r="U201" s="45">
        <f>IF(L201="","",'14_Eingangsrechnungen'!P201)</f>
        <v/>
      </c>
    </row>
    <row r="202">
      <c r="A202" s="13">
        <f>IF('13_Ausgangsrechnungen'!A202="","",IF('13_Ausgangsrechnungen'!S202&gt;0.5,"Debitor",""))</f>
        <v/>
      </c>
      <c r="B202" s="13">
        <f>IF(A202="","",'13_Ausgangsrechnungen'!A202)</f>
        <v/>
      </c>
      <c r="C202" s="44">
        <f>IF(A202="","",'13_Ausgangsrechnungen'!B202)</f>
        <v/>
      </c>
      <c r="D202" s="13">
        <f>IF(A202="","",'13_Ausgangsrechnungen'!D202)</f>
        <v/>
      </c>
      <c r="E202" s="13">
        <f>IF(A202="","",'13_Ausgangsrechnungen'!C202)</f>
        <v/>
      </c>
      <c r="F202" s="13">
        <f>IF(A202="","",'13_Ausgangsrechnungen'!E202)</f>
        <v/>
      </c>
      <c r="G202" s="15">
        <f>IF(A202="","",'13_Ausgangsrechnungen'!Q202)</f>
        <v/>
      </c>
      <c r="H202" s="15">
        <f>IF(A202="","",'13_Ausgangsrechnungen'!S202)</f>
        <v/>
      </c>
      <c r="I202" s="44">
        <f>IF(A202="","",'13_Ausgangsrechnungen'!J202)</f>
        <v/>
      </c>
      <c r="J202" s="45">
        <f>IF(A202="","",'13_Ausgangsrechnungen'!T202)</f>
        <v/>
      </c>
      <c r="L202" s="13">
        <f>IF('14_Eingangsrechnungen'!A202="","",IF('14_Eingangsrechnungen'!O202&gt;0.5,"Kreditor",""))</f>
        <v/>
      </c>
      <c r="M202" s="13">
        <f>IF(L202="","",'14_Eingangsrechnungen'!A202)</f>
        <v/>
      </c>
      <c r="N202" s="44">
        <f>IF(L202="","",'14_Eingangsrechnungen'!B202)</f>
        <v/>
      </c>
      <c r="O202" s="13">
        <f>IF(L202="","",'14_Eingangsrechnungen'!D202)</f>
        <v/>
      </c>
      <c r="P202" s="13">
        <f>IF(L202="","",'14_Eingangsrechnungen'!C202)</f>
        <v/>
      </c>
      <c r="Q202" s="13">
        <f>IF(L202="","",'14_Eingangsrechnungen'!E202)</f>
        <v/>
      </c>
      <c r="R202" s="15">
        <f>IF(L202="","",'14_Eingangsrechnungen'!M202)</f>
        <v/>
      </c>
      <c r="S202" s="15">
        <f>IF(L202="","",'14_Eingangsrechnungen'!O202)</f>
        <v/>
      </c>
      <c r="T202" s="44">
        <f>IF(L202="","",'14_Eingangsrechnungen'!H202)</f>
        <v/>
      </c>
      <c r="U202" s="45">
        <f>IF(L202="","",'14_Eingangsrechnungen'!P202)</f>
        <v/>
      </c>
    </row>
    <row r="203">
      <c r="A203" s="13">
        <f>IF('13_Ausgangsrechnungen'!A203="","",IF('13_Ausgangsrechnungen'!S203&gt;0.5,"Debitor",""))</f>
        <v/>
      </c>
      <c r="B203" s="13">
        <f>IF(A203="","",'13_Ausgangsrechnungen'!A203)</f>
        <v/>
      </c>
      <c r="C203" s="44">
        <f>IF(A203="","",'13_Ausgangsrechnungen'!B203)</f>
        <v/>
      </c>
      <c r="D203" s="13">
        <f>IF(A203="","",'13_Ausgangsrechnungen'!D203)</f>
        <v/>
      </c>
      <c r="E203" s="13">
        <f>IF(A203="","",'13_Ausgangsrechnungen'!C203)</f>
        <v/>
      </c>
      <c r="F203" s="13">
        <f>IF(A203="","",'13_Ausgangsrechnungen'!E203)</f>
        <v/>
      </c>
      <c r="G203" s="15">
        <f>IF(A203="","",'13_Ausgangsrechnungen'!Q203)</f>
        <v/>
      </c>
      <c r="H203" s="15">
        <f>IF(A203="","",'13_Ausgangsrechnungen'!S203)</f>
        <v/>
      </c>
      <c r="I203" s="44">
        <f>IF(A203="","",'13_Ausgangsrechnungen'!J203)</f>
        <v/>
      </c>
      <c r="J203" s="45">
        <f>IF(A203="","",'13_Ausgangsrechnungen'!T203)</f>
        <v/>
      </c>
      <c r="L203" s="13">
        <f>IF('14_Eingangsrechnungen'!A203="","",IF('14_Eingangsrechnungen'!O203&gt;0.5,"Kreditor",""))</f>
        <v/>
      </c>
      <c r="M203" s="13">
        <f>IF(L203="","",'14_Eingangsrechnungen'!A203)</f>
        <v/>
      </c>
      <c r="N203" s="44">
        <f>IF(L203="","",'14_Eingangsrechnungen'!B203)</f>
        <v/>
      </c>
      <c r="O203" s="13">
        <f>IF(L203="","",'14_Eingangsrechnungen'!D203)</f>
        <v/>
      </c>
      <c r="P203" s="13">
        <f>IF(L203="","",'14_Eingangsrechnungen'!C203)</f>
        <v/>
      </c>
      <c r="Q203" s="13">
        <f>IF(L203="","",'14_Eingangsrechnungen'!E203)</f>
        <v/>
      </c>
      <c r="R203" s="15">
        <f>IF(L203="","",'14_Eingangsrechnungen'!M203)</f>
        <v/>
      </c>
      <c r="S203" s="15">
        <f>IF(L203="","",'14_Eingangsrechnungen'!O203)</f>
        <v/>
      </c>
      <c r="T203" s="44">
        <f>IF(L203="","",'14_Eingangsrechnungen'!H203)</f>
        <v/>
      </c>
      <c r="U203" s="45">
        <f>IF(L203="","",'14_Eingangsrechnungen'!P203)</f>
        <v/>
      </c>
    </row>
    <row r="204">
      <c r="A204" s="13">
        <f>IF('13_Ausgangsrechnungen'!A204="","",IF('13_Ausgangsrechnungen'!S204&gt;0.5,"Debitor",""))</f>
        <v/>
      </c>
      <c r="B204" s="13">
        <f>IF(A204="","",'13_Ausgangsrechnungen'!A204)</f>
        <v/>
      </c>
      <c r="C204" s="44">
        <f>IF(A204="","",'13_Ausgangsrechnungen'!B204)</f>
        <v/>
      </c>
      <c r="D204" s="13">
        <f>IF(A204="","",'13_Ausgangsrechnungen'!D204)</f>
        <v/>
      </c>
      <c r="E204" s="13">
        <f>IF(A204="","",'13_Ausgangsrechnungen'!C204)</f>
        <v/>
      </c>
      <c r="F204" s="13">
        <f>IF(A204="","",'13_Ausgangsrechnungen'!E204)</f>
        <v/>
      </c>
      <c r="G204" s="15">
        <f>IF(A204="","",'13_Ausgangsrechnungen'!Q204)</f>
        <v/>
      </c>
      <c r="H204" s="15">
        <f>IF(A204="","",'13_Ausgangsrechnungen'!S204)</f>
        <v/>
      </c>
      <c r="I204" s="44">
        <f>IF(A204="","",'13_Ausgangsrechnungen'!J204)</f>
        <v/>
      </c>
      <c r="J204" s="45">
        <f>IF(A204="","",'13_Ausgangsrechnungen'!T204)</f>
        <v/>
      </c>
      <c r="L204" s="13">
        <f>IF('14_Eingangsrechnungen'!A204="","",IF('14_Eingangsrechnungen'!O204&gt;0.5,"Kreditor",""))</f>
        <v/>
      </c>
      <c r="M204" s="13">
        <f>IF(L204="","",'14_Eingangsrechnungen'!A204)</f>
        <v/>
      </c>
      <c r="N204" s="44">
        <f>IF(L204="","",'14_Eingangsrechnungen'!B204)</f>
        <v/>
      </c>
      <c r="O204" s="13">
        <f>IF(L204="","",'14_Eingangsrechnungen'!D204)</f>
        <v/>
      </c>
      <c r="P204" s="13">
        <f>IF(L204="","",'14_Eingangsrechnungen'!C204)</f>
        <v/>
      </c>
      <c r="Q204" s="13">
        <f>IF(L204="","",'14_Eingangsrechnungen'!E204)</f>
        <v/>
      </c>
      <c r="R204" s="15">
        <f>IF(L204="","",'14_Eingangsrechnungen'!M204)</f>
        <v/>
      </c>
      <c r="S204" s="15">
        <f>IF(L204="","",'14_Eingangsrechnungen'!O204)</f>
        <v/>
      </c>
      <c r="T204" s="44">
        <f>IF(L204="","",'14_Eingangsrechnungen'!H204)</f>
        <v/>
      </c>
      <c r="U204" s="45">
        <f>IF(L204="","",'14_Eingangsrechnungen'!P204)</f>
        <v/>
      </c>
    </row>
    <row r="205">
      <c r="A205" s="13">
        <f>IF('13_Ausgangsrechnungen'!A205="","",IF('13_Ausgangsrechnungen'!S205&gt;0.5,"Debitor",""))</f>
        <v/>
      </c>
      <c r="B205" s="13">
        <f>IF(A205="","",'13_Ausgangsrechnungen'!A205)</f>
        <v/>
      </c>
      <c r="C205" s="44">
        <f>IF(A205="","",'13_Ausgangsrechnungen'!B205)</f>
        <v/>
      </c>
      <c r="D205" s="13">
        <f>IF(A205="","",'13_Ausgangsrechnungen'!D205)</f>
        <v/>
      </c>
      <c r="E205" s="13">
        <f>IF(A205="","",'13_Ausgangsrechnungen'!C205)</f>
        <v/>
      </c>
      <c r="F205" s="13">
        <f>IF(A205="","",'13_Ausgangsrechnungen'!E205)</f>
        <v/>
      </c>
      <c r="G205" s="15">
        <f>IF(A205="","",'13_Ausgangsrechnungen'!Q205)</f>
        <v/>
      </c>
      <c r="H205" s="15">
        <f>IF(A205="","",'13_Ausgangsrechnungen'!S205)</f>
        <v/>
      </c>
      <c r="I205" s="44">
        <f>IF(A205="","",'13_Ausgangsrechnungen'!J205)</f>
        <v/>
      </c>
      <c r="J205" s="45">
        <f>IF(A205="","",'13_Ausgangsrechnungen'!T205)</f>
        <v/>
      </c>
      <c r="L205" s="13">
        <f>IF('14_Eingangsrechnungen'!A205="","",IF('14_Eingangsrechnungen'!O205&gt;0.5,"Kreditor",""))</f>
        <v/>
      </c>
      <c r="M205" s="13">
        <f>IF(L205="","",'14_Eingangsrechnungen'!A205)</f>
        <v/>
      </c>
      <c r="N205" s="44">
        <f>IF(L205="","",'14_Eingangsrechnungen'!B205)</f>
        <v/>
      </c>
      <c r="O205" s="13">
        <f>IF(L205="","",'14_Eingangsrechnungen'!D205)</f>
        <v/>
      </c>
      <c r="P205" s="13">
        <f>IF(L205="","",'14_Eingangsrechnungen'!C205)</f>
        <v/>
      </c>
      <c r="Q205" s="13">
        <f>IF(L205="","",'14_Eingangsrechnungen'!E205)</f>
        <v/>
      </c>
      <c r="R205" s="15">
        <f>IF(L205="","",'14_Eingangsrechnungen'!M205)</f>
        <v/>
      </c>
      <c r="S205" s="15">
        <f>IF(L205="","",'14_Eingangsrechnungen'!O205)</f>
        <v/>
      </c>
      <c r="T205" s="44">
        <f>IF(L205="","",'14_Eingangsrechnungen'!H205)</f>
        <v/>
      </c>
      <c r="U205" s="45">
        <f>IF(L205="","",'14_Eingangsrechnungen'!P205)</f>
        <v/>
      </c>
    </row>
    <row r="206">
      <c r="A206" s="13">
        <f>IF('13_Ausgangsrechnungen'!A206="","",IF('13_Ausgangsrechnungen'!S206&gt;0.5,"Debitor",""))</f>
        <v/>
      </c>
      <c r="B206" s="13">
        <f>IF(A206="","",'13_Ausgangsrechnungen'!A206)</f>
        <v/>
      </c>
      <c r="C206" s="44">
        <f>IF(A206="","",'13_Ausgangsrechnungen'!B206)</f>
        <v/>
      </c>
      <c r="D206" s="13">
        <f>IF(A206="","",'13_Ausgangsrechnungen'!D206)</f>
        <v/>
      </c>
      <c r="E206" s="13">
        <f>IF(A206="","",'13_Ausgangsrechnungen'!C206)</f>
        <v/>
      </c>
      <c r="F206" s="13">
        <f>IF(A206="","",'13_Ausgangsrechnungen'!E206)</f>
        <v/>
      </c>
      <c r="G206" s="15">
        <f>IF(A206="","",'13_Ausgangsrechnungen'!Q206)</f>
        <v/>
      </c>
      <c r="H206" s="15">
        <f>IF(A206="","",'13_Ausgangsrechnungen'!S206)</f>
        <v/>
      </c>
      <c r="I206" s="44">
        <f>IF(A206="","",'13_Ausgangsrechnungen'!J206)</f>
        <v/>
      </c>
      <c r="J206" s="45">
        <f>IF(A206="","",'13_Ausgangsrechnungen'!T206)</f>
        <v/>
      </c>
      <c r="L206" s="13">
        <f>IF('14_Eingangsrechnungen'!A206="","",IF('14_Eingangsrechnungen'!O206&gt;0.5,"Kreditor",""))</f>
        <v/>
      </c>
      <c r="M206" s="13">
        <f>IF(L206="","",'14_Eingangsrechnungen'!A206)</f>
        <v/>
      </c>
      <c r="N206" s="44">
        <f>IF(L206="","",'14_Eingangsrechnungen'!B206)</f>
        <v/>
      </c>
      <c r="O206" s="13">
        <f>IF(L206="","",'14_Eingangsrechnungen'!D206)</f>
        <v/>
      </c>
      <c r="P206" s="13">
        <f>IF(L206="","",'14_Eingangsrechnungen'!C206)</f>
        <v/>
      </c>
      <c r="Q206" s="13">
        <f>IF(L206="","",'14_Eingangsrechnungen'!E206)</f>
        <v/>
      </c>
      <c r="R206" s="15">
        <f>IF(L206="","",'14_Eingangsrechnungen'!M206)</f>
        <v/>
      </c>
      <c r="S206" s="15">
        <f>IF(L206="","",'14_Eingangsrechnungen'!O206)</f>
        <v/>
      </c>
      <c r="T206" s="44">
        <f>IF(L206="","",'14_Eingangsrechnungen'!H206)</f>
        <v/>
      </c>
      <c r="U206" s="45">
        <f>IF(L206="","",'14_Eingangsrechnungen'!P206)</f>
        <v/>
      </c>
    </row>
    <row r="207">
      <c r="A207" s="13">
        <f>IF('13_Ausgangsrechnungen'!A207="","",IF('13_Ausgangsrechnungen'!S207&gt;0.5,"Debitor",""))</f>
        <v/>
      </c>
      <c r="B207" s="13">
        <f>IF(A207="","",'13_Ausgangsrechnungen'!A207)</f>
        <v/>
      </c>
      <c r="C207" s="44">
        <f>IF(A207="","",'13_Ausgangsrechnungen'!B207)</f>
        <v/>
      </c>
      <c r="D207" s="13">
        <f>IF(A207="","",'13_Ausgangsrechnungen'!D207)</f>
        <v/>
      </c>
      <c r="E207" s="13">
        <f>IF(A207="","",'13_Ausgangsrechnungen'!C207)</f>
        <v/>
      </c>
      <c r="F207" s="13">
        <f>IF(A207="","",'13_Ausgangsrechnungen'!E207)</f>
        <v/>
      </c>
      <c r="G207" s="15">
        <f>IF(A207="","",'13_Ausgangsrechnungen'!Q207)</f>
        <v/>
      </c>
      <c r="H207" s="15">
        <f>IF(A207="","",'13_Ausgangsrechnungen'!S207)</f>
        <v/>
      </c>
      <c r="I207" s="44">
        <f>IF(A207="","",'13_Ausgangsrechnungen'!J207)</f>
        <v/>
      </c>
      <c r="J207" s="45">
        <f>IF(A207="","",'13_Ausgangsrechnungen'!T207)</f>
        <v/>
      </c>
      <c r="L207" s="13">
        <f>IF('14_Eingangsrechnungen'!A207="","",IF('14_Eingangsrechnungen'!O207&gt;0.5,"Kreditor",""))</f>
        <v/>
      </c>
      <c r="M207" s="13">
        <f>IF(L207="","",'14_Eingangsrechnungen'!A207)</f>
        <v/>
      </c>
      <c r="N207" s="44">
        <f>IF(L207="","",'14_Eingangsrechnungen'!B207)</f>
        <v/>
      </c>
      <c r="O207" s="13">
        <f>IF(L207="","",'14_Eingangsrechnungen'!D207)</f>
        <v/>
      </c>
      <c r="P207" s="13">
        <f>IF(L207="","",'14_Eingangsrechnungen'!C207)</f>
        <v/>
      </c>
      <c r="Q207" s="13">
        <f>IF(L207="","",'14_Eingangsrechnungen'!E207)</f>
        <v/>
      </c>
      <c r="R207" s="15">
        <f>IF(L207="","",'14_Eingangsrechnungen'!M207)</f>
        <v/>
      </c>
      <c r="S207" s="15">
        <f>IF(L207="","",'14_Eingangsrechnungen'!O207)</f>
        <v/>
      </c>
      <c r="T207" s="44">
        <f>IF(L207="","",'14_Eingangsrechnungen'!H207)</f>
        <v/>
      </c>
      <c r="U207" s="45">
        <f>IF(L207="","",'14_Eingangsrechnungen'!P207)</f>
        <v/>
      </c>
    </row>
    <row r="208">
      <c r="A208" s="13">
        <f>IF('13_Ausgangsrechnungen'!A208="","",IF('13_Ausgangsrechnungen'!S208&gt;0.5,"Debitor",""))</f>
        <v/>
      </c>
      <c r="B208" s="13">
        <f>IF(A208="","",'13_Ausgangsrechnungen'!A208)</f>
        <v/>
      </c>
      <c r="C208" s="44">
        <f>IF(A208="","",'13_Ausgangsrechnungen'!B208)</f>
        <v/>
      </c>
      <c r="D208" s="13">
        <f>IF(A208="","",'13_Ausgangsrechnungen'!D208)</f>
        <v/>
      </c>
      <c r="E208" s="13">
        <f>IF(A208="","",'13_Ausgangsrechnungen'!C208)</f>
        <v/>
      </c>
      <c r="F208" s="13">
        <f>IF(A208="","",'13_Ausgangsrechnungen'!E208)</f>
        <v/>
      </c>
      <c r="G208" s="15">
        <f>IF(A208="","",'13_Ausgangsrechnungen'!Q208)</f>
        <v/>
      </c>
      <c r="H208" s="15">
        <f>IF(A208="","",'13_Ausgangsrechnungen'!S208)</f>
        <v/>
      </c>
      <c r="I208" s="44">
        <f>IF(A208="","",'13_Ausgangsrechnungen'!J208)</f>
        <v/>
      </c>
      <c r="J208" s="45">
        <f>IF(A208="","",'13_Ausgangsrechnungen'!T208)</f>
        <v/>
      </c>
      <c r="L208" s="13">
        <f>IF('14_Eingangsrechnungen'!A208="","",IF('14_Eingangsrechnungen'!O208&gt;0.5,"Kreditor",""))</f>
        <v/>
      </c>
      <c r="M208" s="13">
        <f>IF(L208="","",'14_Eingangsrechnungen'!A208)</f>
        <v/>
      </c>
      <c r="N208" s="44">
        <f>IF(L208="","",'14_Eingangsrechnungen'!B208)</f>
        <v/>
      </c>
      <c r="O208" s="13">
        <f>IF(L208="","",'14_Eingangsrechnungen'!D208)</f>
        <v/>
      </c>
      <c r="P208" s="13">
        <f>IF(L208="","",'14_Eingangsrechnungen'!C208)</f>
        <v/>
      </c>
      <c r="Q208" s="13">
        <f>IF(L208="","",'14_Eingangsrechnungen'!E208)</f>
        <v/>
      </c>
      <c r="R208" s="15">
        <f>IF(L208="","",'14_Eingangsrechnungen'!M208)</f>
        <v/>
      </c>
      <c r="S208" s="15">
        <f>IF(L208="","",'14_Eingangsrechnungen'!O208)</f>
        <v/>
      </c>
      <c r="T208" s="44">
        <f>IF(L208="","",'14_Eingangsrechnungen'!H208)</f>
        <v/>
      </c>
      <c r="U208" s="45">
        <f>IF(L208="","",'14_Eingangsrechnungen'!P208)</f>
        <v/>
      </c>
    </row>
    <row r="209">
      <c r="A209" s="13">
        <f>IF('13_Ausgangsrechnungen'!A209="","",IF('13_Ausgangsrechnungen'!S209&gt;0.5,"Debitor",""))</f>
        <v/>
      </c>
      <c r="B209" s="13">
        <f>IF(A209="","",'13_Ausgangsrechnungen'!A209)</f>
        <v/>
      </c>
      <c r="C209" s="44">
        <f>IF(A209="","",'13_Ausgangsrechnungen'!B209)</f>
        <v/>
      </c>
      <c r="D209" s="13">
        <f>IF(A209="","",'13_Ausgangsrechnungen'!D209)</f>
        <v/>
      </c>
      <c r="E209" s="13">
        <f>IF(A209="","",'13_Ausgangsrechnungen'!C209)</f>
        <v/>
      </c>
      <c r="F209" s="13">
        <f>IF(A209="","",'13_Ausgangsrechnungen'!E209)</f>
        <v/>
      </c>
      <c r="G209" s="15">
        <f>IF(A209="","",'13_Ausgangsrechnungen'!Q209)</f>
        <v/>
      </c>
      <c r="H209" s="15">
        <f>IF(A209="","",'13_Ausgangsrechnungen'!S209)</f>
        <v/>
      </c>
      <c r="I209" s="44">
        <f>IF(A209="","",'13_Ausgangsrechnungen'!J209)</f>
        <v/>
      </c>
      <c r="J209" s="45">
        <f>IF(A209="","",'13_Ausgangsrechnungen'!T209)</f>
        <v/>
      </c>
      <c r="L209" s="13">
        <f>IF('14_Eingangsrechnungen'!A209="","",IF('14_Eingangsrechnungen'!O209&gt;0.5,"Kreditor",""))</f>
        <v/>
      </c>
      <c r="M209" s="13">
        <f>IF(L209="","",'14_Eingangsrechnungen'!A209)</f>
        <v/>
      </c>
      <c r="N209" s="44">
        <f>IF(L209="","",'14_Eingangsrechnungen'!B209)</f>
        <v/>
      </c>
      <c r="O209" s="13">
        <f>IF(L209="","",'14_Eingangsrechnungen'!D209)</f>
        <v/>
      </c>
      <c r="P209" s="13">
        <f>IF(L209="","",'14_Eingangsrechnungen'!C209)</f>
        <v/>
      </c>
      <c r="Q209" s="13">
        <f>IF(L209="","",'14_Eingangsrechnungen'!E209)</f>
        <v/>
      </c>
      <c r="R209" s="15">
        <f>IF(L209="","",'14_Eingangsrechnungen'!M209)</f>
        <v/>
      </c>
      <c r="S209" s="15">
        <f>IF(L209="","",'14_Eingangsrechnungen'!O209)</f>
        <v/>
      </c>
      <c r="T209" s="44">
        <f>IF(L209="","",'14_Eingangsrechnungen'!H209)</f>
        <v/>
      </c>
      <c r="U209" s="45">
        <f>IF(L209="","",'14_Eingangsrechnungen'!P209)</f>
        <v/>
      </c>
    </row>
    <row r="210">
      <c r="A210" s="13">
        <f>IF('13_Ausgangsrechnungen'!A210="","",IF('13_Ausgangsrechnungen'!S210&gt;0.5,"Debitor",""))</f>
        <v/>
      </c>
      <c r="B210" s="13">
        <f>IF(A210="","",'13_Ausgangsrechnungen'!A210)</f>
        <v/>
      </c>
      <c r="C210" s="44">
        <f>IF(A210="","",'13_Ausgangsrechnungen'!B210)</f>
        <v/>
      </c>
      <c r="D210" s="13">
        <f>IF(A210="","",'13_Ausgangsrechnungen'!D210)</f>
        <v/>
      </c>
      <c r="E210" s="13">
        <f>IF(A210="","",'13_Ausgangsrechnungen'!C210)</f>
        <v/>
      </c>
      <c r="F210" s="13">
        <f>IF(A210="","",'13_Ausgangsrechnungen'!E210)</f>
        <v/>
      </c>
      <c r="G210" s="15">
        <f>IF(A210="","",'13_Ausgangsrechnungen'!Q210)</f>
        <v/>
      </c>
      <c r="H210" s="15">
        <f>IF(A210="","",'13_Ausgangsrechnungen'!S210)</f>
        <v/>
      </c>
      <c r="I210" s="44">
        <f>IF(A210="","",'13_Ausgangsrechnungen'!J210)</f>
        <v/>
      </c>
      <c r="J210" s="45">
        <f>IF(A210="","",'13_Ausgangsrechnungen'!T210)</f>
        <v/>
      </c>
      <c r="L210" s="13">
        <f>IF('14_Eingangsrechnungen'!A210="","",IF('14_Eingangsrechnungen'!O210&gt;0.5,"Kreditor",""))</f>
        <v/>
      </c>
      <c r="M210" s="13">
        <f>IF(L210="","",'14_Eingangsrechnungen'!A210)</f>
        <v/>
      </c>
      <c r="N210" s="44">
        <f>IF(L210="","",'14_Eingangsrechnungen'!B210)</f>
        <v/>
      </c>
      <c r="O210" s="13">
        <f>IF(L210="","",'14_Eingangsrechnungen'!D210)</f>
        <v/>
      </c>
      <c r="P210" s="13">
        <f>IF(L210="","",'14_Eingangsrechnungen'!C210)</f>
        <v/>
      </c>
      <c r="Q210" s="13">
        <f>IF(L210="","",'14_Eingangsrechnungen'!E210)</f>
        <v/>
      </c>
      <c r="R210" s="15">
        <f>IF(L210="","",'14_Eingangsrechnungen'!M210)</f>
        <v/>
      </c>
      <c r="S210" s="15">
        <f>IF(L210="","",'14_Eingangsrechnungen'!O210)</f>
        <v/>
      </c>
      <c r="T210" s="44">
        <f>IF(L210="","",'14_Eingangsrechnungen'!H210)</f>
        <v/>
      </c>
      <c r="U210" s="45">
        <f>IF(L210="","",'14_Eingangsrechnungen'!P210)</f>
        <v/>
      </c>
    </row>
    <row r="211">
      <c r="A211" s="13">
        <f>IF('13_Ausgangsrechnungen'!A211="","",IF('13_Ausgangsrechnungen'!S211&gt;0.5,"Debitor",""))</f>
        <v/>
      </c>
      <c r="B211" s="13">
        <f>IF(A211="","",'13_Ausgangsrechnungen'!A211)</f>
        <v/>
      </c>
      <c r="C211" s="44">
        <f>IF(A211="","",'13_Ausgangsrechnungen'!B211)</f>
        <v/>
      </c>
      <c r="D211" s="13">
        <f>IF(A211="","",'13_Ausgangsrechnungen'!D211)</f>
        <v/>
      </c>
      <c r="E211" s="13">
        <f>IF(A211="","",'13_Ausgangsrechnungen'!C211)</f>
        <v/>
      </c>
      <c r="F211" s="13">
        <f>IF(A211="","",'13_Ausgangsrechnungen'!E211)</f>
        <v/>
      </c>
      <c r="G211" s="15">
        <f>IF(A211="","",'13_Ausgangsrechnungen'!Q211)</f>
        <v/>
      </c>
      <c r="H211" s="15">
        <f>IF(A211="","",'13_Ausgangsrechnungen'!S211)</f>
        <v/>
      </c>
      <c r="I211" s="44">
        <f>IF(A211="","",'13_Ausgangsrechnungen'!J211)</f>
        <v/>
      </c>
      <c r="J211" s="45">
        <f>IF(A211="","",'13_Ausgangsrechnungen'!T211)</f>
        <v/>
      </c>
      <c r="L211" s="13">
        <f>IF('14_Eingangsrechnungen'!A211="","",IF('14_Eingangsrechnungen'!O211&gt;0.5,"Kreditor",""))</f>
        <v/>
      </c>
      <c r="M211" s="13">
        <f>IF(L211="","",'14_Eingangsrechnungen'!A211)</f>
        <v/>
      </c>
      <c r="N211" s="44">
        <f>IF(L211="","",'14_Eingangsrechnungen'!B211)</f>
        <v/>
      </c>
      <c r="O211" s="13">
        <f>IF(L211="","",'14_Eingangsrechnungen'!D211)</f>
        <v/>
      </c>
      <c r="P211" s="13">
        <f>IF(L211="","",'14_Eingangsrechnungen'!C211)</f>
        <v/>
      </c>
      <c r="Q211" s="13">
        <f>IF(L211="","",'14_Eingangsrechnungen'!E211)</f>
        <v/>
      </c>
      <c r="R211" s="15">
        <f>IF(L211="","",'14_Eingangsrechnungen'!M211)</f>
        <v/>
      </c>
      <c r="S211" s="15">
        <f>IF(L211="","",'14_Eingangsrechnungen'!O211)</f>
        <v/>
      </c>
      <c r="T211" s="44">
        <f>IF(L211="","",'14_Eingangsrechnungen'!H211)</f>
        <v/>
      </c>
      <c r="U211" s="45">
        <f>IF(L211="","",'14_Eingangsrechnungen'!P211)</f>
        <v/>
      </c>
    </row>
    <row r="212">
      <c r="A212" s="13">
        <f>IF('13_Ausgangsrechnungen'!A212="","",IF('13_Ausgangsrechnungen'!S212&gt;0.5,"Debitor",""))</f>
        <v/>
      </c>
      <c r="B212" s="13">
        <f>IF(A212="","",'13_Ausgangsrechnungen'!A212)</f>
        <v/>
      </c>
      <c r="C212" s="44">
        <f>IF(A212="","",'13_Ausgangsrechnungen'!B212)</f>
        <v/>
      </c>
      <c r="D212" s="13">
        <f>IF(A212="","",'13_Ausgangsrechnungen'!D212)</f>
        <v/>
      </c>
      <c r="E212" s="13">
        <f>IF(A212="","",'13_Ausgangsrechnungen'!C212)</f>
        <v/>
      </c>
      <c r="F212" s="13">
        <f>IF(A212="","",'13_Ausgangsrechnungen'!E212)</f>
        <v/>
      </c>
      <c r="G212" s="15">
        <f>IF(A212="","",'13_Ausgangsrechnungen'!Q212)</f>
        <v/>
      </c>
      <c r="H212" s="15">
        <f>IF(A212="","",'13_Ausgangsrechnungen'!S212)</f>
        <v/>
      </c>
      <c r="I212" s="44">
        <f>IF(A212="","",'13_Ausgangsrechnungen'!J212)</f>
        <v/>
      </c>
      <c r="J212" s="45">
        <f>IF(A212="","",'13_Ausgangsrechnungen'!T212)</f>
        <v/>
      </c>
      <c r="L212" s="13">
        <f>IF('14_Eingangsrechnungen'!A212="","",IF('14_Eingangsrechnungen'!O212&gt;0.5,"Kreditor",""))</f>
        <v/>
      </c>
      <c r="M212" s="13">
        <f>IF(L212="","",'14_Eingangsrechnungen'!A212)</f>
        <v/>
      </c>
      <c r="N212" s="44">
        <f>IF(L212="","",'14_Eingangsrechnungen'!B212)</f>
        <v/>
      </c>
      <c r="O212" s="13">
        <f>IF(L212="","",'14_Eingangsrechnungen'!D212)</f>
        <v/>
      </c>
      <c r="P212" s="13">
        <f>IF(L212="","",'14_Eingangsrechnungen'!C212)</f>
        <v/>
      </c>
      <c r="Q212" s="13">
        <f>IF(L212="","",'14_Eingangsrechnungen'!E212)</f>
        <v/>
      </c>
      <c r="R212" s="15">
        <f>IF(L212="","",'14_Eingangsrechnungen'!M212)</f>
        <v/>
      </c>
      <c r="S212" s="15">
        <f>IF(L212="","",'14_Eingangsrechnungen'!O212)</f>
        <v/>
      </c>
      <c r="T212" s="44">
        <f>IF(L212="","",'14_Eingangsrechnungen'!H212)</f>
        <v/>
      </c>
      <c r="U212" s="45">
        <f>IF(L212="","",'14_Eingangsrechnungen'!P212)</f>
        <v/>
      </c>
    </row>
    <row r="213">
      <c r="A213" s="13">
        <f>IF('13_Ausgangsrechnungen'!A213="","",IF('13_Ausgangsrechnungen'!S213&gt;0.5,"Debitor",""))</f>
        <v/>
      </c>
      <c r="B213" s="13">
        <f>IF(A213="","",'13_Ausgangsrechnungen'!A213)</f>
        <v/>
      </c>
      <c r="C213" s="44">
        <f>IF(A213="","",'13_Ausgangsrechnungen'!B213)</f>
        <v/>
      </c>
      <c r="D213" s="13">
        <f>IF(A213="","",'13_Ausgangsrechnungen'!D213)</f>
        <v/>
      </c>
      <c r="E213" s="13">
        <f>IF(A213="","",'13_Ausgangsrechnungen'!C213)</f>
        <v/>
      </c>
      <c r="F213" s="13">
        <f>IF(A213="","",'13_Ausgangsrechnungen'!E213)</f>
        <v/>
      </c>
      <c r="G213" s="15">
        <f>IF(A213="","",'13_Ausgangsrechnungen'!Q213)</f>
        <v/>
      </c>
      <c r="H213" s="15">
        <f>IF(A213="","",'13_Ausgangsrechnungen'!S213)</f>
        <v/>
      </c>
      <c r="I213" s="44">
        <f>IF(A213="","",'13_Ausgangsrechnungen'!J213)</f>
        <v/>
      </c>
      <c r="J213" s="45">
        <f>IF(A213="","",'13_Ausgangsrechnungen'!T213)</f>
        <v/>
      </c>
      <c r="L213" s="13">
        <f>IF('14_Eingangsrechnungen'!A213="","",IF('14_Eingangsrechnungen'!O213&gt;0.5,"Kreditor",""))</f>
        <v/>
      </c>
      <c r="M213" s="13">
        <f>IF(L213="","",'14_Eingangsrechnungen'!A213)</f>
        <v/>
      </c>
      <c r="N213" s="44">
        <f>IF(L213="","",'14_Eingangsrechnungen'!B213)</f>
        <v/>
      </c>
      <c r="O213" s="13">
        <f>IF(L213="","",'14_Eingangsrechnungen'!D213)</f>
        <v/>
      </c>
      <c r="P213" s="13">
        <f>IF(L213="","",'14_Eingangsrechnungen'!C213)</f>
        <v/>
      </c>
      <c r="Q213" s="13">
        <f>IF(L213="","",'14_Eingangsrechnungen'!E213)</f>
        <v/>
      </c>
      <c r="R213" s="15">
        <f>IF(L213="","",'14_Eingangsrechnungen'!M213)</f>
        <v/>
      </c>
      <c r="S213" s="15">
        <f>IF(L213="","",'14_Eingangsrechnungen'!O213)</f>
        <v/>
      </c>
      <c r="T213" s="44">
        <f>IF(L213="","",'14_Eingangsrechnungen'!H213)</f>
        <v/>
      </c>
      <c r="U213" s="45">
        <f>IF(L213="","",'14_Eingangsrechnungen'!P213)</f>
        <v/>
      </c>
    </row>
    <row r="214">
      <c r="A214" s="13">
        <f>IF('13_Ausgangsrechnungen'!A214="","",IF('13_Ausgangsrechnungen'!S214&gt;0.5,"Debitor",""))</f>
        <v/>
      </c>
      <c r="B214" s="13">
        <f>IF(A214="","",'13_Ausgangsrechnungen'!A214)</f>
        <v/>
      </c>
      <c r="C214" s="44">
        <f>IF(A214="","",'13_Ausgangsrechnungen'!B214)</f>
        <v/>
      </c>
      <c r="D214" s="13">
        <f>IF(A214="","",'13_Ausgangsrechnungen'!D214)</f>
        <v/>
      </c>
      <c r="E214" s="13">
        <f>IF(A214="","",'13_Ausgangsrechnungen'!C214)</f>
        <v/>
      </c>
      <c r="F214" s="13">
        <f>IF(A214="","",'13_Ausgangsrechnungen'!E214)</f>
        <v/>
      </c>
      <c r="G214" s="15">
        <f>IF(A214="","",'13_Ausgangsrechnungen'!Q214)</f>
        <v/>
      </c>
      <c r="H214" s="15">
        <f>IF(A214="","",'13_Ausgangsrechnungen'!S214)</f>
        <v/>
      </c>
      <c r="I214" s="44">
        <f>IF(A214="","",'13_Ausgangsrechnungen'!J214)</f>
        <v/>
      </c>
      <c r="J214" s="45">
        <f>IF(A214="","",'13_Ausgangsrechnungen'!T214)</f>
        <v/>
      </c>
      <c r="L214" s="13">
        <f>IF('14_Eingangsrechnungen'!A214="","",IF('14_Eingangsrechnungen'!O214&gt;0.5,"Kreditor",""))</f>
        <v/>
      </c>
      <c r="M214" s="13">
        <f>IF(L214="","",'14_Eingangsrechnungen'!A214)</f>
        <v/>
      </c>
      <c r="N214" s="44">
        <f>IF(L214="","",'14_Eingangsrechnungen'!B214)</f>
        <v/>
      </c>
      <c r="O214" s="13">
        <f>IF(L214="","",'14_Eingangsrechnungen'!D214)</f>
        <v/>
      </c>
      <c r="P214" s="13">
        <f>IF(L214="","",'14_Eingangsrechnungen'!C214)</f>
        <v/>
      </c>
      <c r="Q214" s="13">
        <f>IF(L214="","",'14_Eingangsrechnungen'!E214)</f>
        <v/>
      </c>
      <c r="R214" s="15">
        <f>IF(L214="","",'14_Eingangsrechnungen'!M214)</f>
        <v/>
      </c>
      <c r="S214" s="15">
        <f>IF(L214="","",'14_Eingangsrechnungen'!O214)</f>
        <v/>
      </c>
      <c r="T214" s="44">
        <f>IF(L214="","",'14_Eingangsrechnungen'!H214)</f>
        <v/>
      </c>
      <c r="U214" s="45">
        <f>IF(L214="","",'14_Eingangsrechnungen'!P214)</f>
        <v/>
      </c>
    </row>
    <row r="215">
      <c r="A215" s="13">
        <f>IF('13_Ausgangsrechnungen'!A215="","",IF('13_Ausgangsrechnungen'!S215&gt;0.5,"Debitor",""))</f>
        <v/>
      </c>
      <c r="B215" s="13">
        <f>IF(A215="","",'13_Ausgangsrechnungen'!A215)</f>
        <v/>
      </c>
      <c r="C215" s="44">
        <f>IF(A215="","",'13_Ausgangsrechnungen'!B215)</f>
        <v/>
      </c>
      <c r="D215" s="13">
        <f>IF(A215="","",'13_Ausgangsrechnungen'!D215)</f>
        <v/>
      </c>
      <c r="E215" s="13">
        <f>IF(A215="","",'13_Ausgangsrechnungen'!C215)</f>
        <v/>
      </c>
      <c r="F215" s="13">
        <f>IF(A215="","",'13_Ausgangsrechnungen'!E215)</f>
        <v/>
      </c>
      <c r="G215" s="15">
        <f>IF(A215="","",'13_Ausgangsrechnungen'!Q215)</f>
        <v/>
      </c>
      <c r="H215" s="15">
        <f>IF(A215="","",'13_Ausgangsrechnungen'!S215)</f>
        <v/>
      </c>
      <c r="I215" s="44">
        <f>IF(A215="","",'13_Ausgangsrechnungen'!J215)</f>
        <v/>
      </c>
      <c r="J215" s="45">
        <f>IF(A215="","",'13_Ausgangsrechnungen'!T215)</f>
        <v/>
      </c>
      <c r="L215" s="13">
        <f>IF('14_Eingangsrechnungen'!A215="","",IF('14_Eingangsrechnungen'!O215&gt;0.5,"Kreditor",""))</f>
        <v/>
      </c>
      <c r="M215" s="13">
        <f>IF(L215="","",'14_Eingangsrechnungen'!A215)</f>
        <v/>
      </c>
      <c r="N215" s="44">
        <f>IF(L215="","",'14_Eingangsrechnungen'!B215)</f>
        <v/>
      </c>
      <c r="O215" s="13">
        <f>IF(L215="","",'14_Eingangsrechnungen'!D215)</f>
        <v/>
      </c>
      <c r="P215" s="13">
        <f>IF(L215="","",'14_Eingangsrechnungen'!C215)</f>
        <v/>
      </c>
      <c r="Q215" s="13">
        <f>IF(L215="","",'14_Eingangsrechnungen'!E215)</f>
        <v/>
      </c>
      <c r="R215" s="15">
        <f>IF(L215="","",'14_Eingangsrechnungen'!M215)</f>
        <v/>
      </c>
      <c r="S215" s="15">
        <f>IF(L215="","",'14_Eingangsrechnungen'!O215)</f>
        <v/>
      </c>
      <c r="T215" s="44">
        <f>IF(L215="","",'14_Eingangsrechnungen'!H215)</f>
        <v/>
      </c>
      <c r="U215" s="45">
        <f>IF(L215="","",'14_Eingangsrechnungen'!P215)</f>
        <v/>
      </c>
    </row>
    <row r="216">
      <c r="A216" s="13">
        <f>IF('13_Ausgangsrechnungen'!A216="","",IF('13_Ausgangsrechnungen'!S216&gt;0.5,"Debitor",""))</f>
        <v/>
      </c>
      <c r="B216" s="13">
        <f>IF(A216="","",'13_Ausgangsrechnungen'!A216)</f>
        <v/>
      </c>
      <c r="C216" s="44">
        <f>IF(A216="","",'13_Ausgangsrechnungen'!B216)</f>
        <v/>
      </c>
      <c r="D216" s="13">
        <f>IF(A216="","",'13_Ausgangsrechnungen'!D216)</f>
        <v/>
      </c>
      <c r="E216" s="13">
        <f>IF(A216="","",'13_Ausgangsrechnungen'!C216)</f>
        <v/>
      </c>
      <c r="F216" s="13">
        <f>IF(A216="","",'13_Ausgangsrechnungen'!E216)</f>
        <v/>
      </c>
      <c r="G216" s="15">
        <f>IF(A216="","",'13_Ausgangsrechnungen'!Q216)</f>
        <v/>
      </c>
      <c r="H216" s="15">
        <f>IF(A216="","",'13_Ausgangsrechnungen'!S216)</f>
        <v/>
      </c>
      <c r="I216" s="44">
        <f>IF(A216="","",'13_Ausgangsrechnungen'!J216)</f>
        <v/>
      </c>
      <c r="J216" s="45">
        <f>IF(A216="","",'13_Ausgangsrechnungen'!T216)</f>
        <v/>
      </c>
      <c r="L216" s="13">
        <f>IF('14_Eingangsrechnungen'!A216="","",IF('14_Eingangsrechnungen'!O216&gt;0.5,"Kreditor",""))</f>
        <v/>
      </c>
      <c r="M216" s="13">
        <f>IF(L216="","",'14_Eingangsrechnungen'!A216)</f>
        <v/>
      </c>
      <c r="N216" s="44">
        <f>IF(L216="","",'14_Eingangsrechnungen'!B216)</f>
        <v/>
      </c>
      <c r="O216" s="13">
        <f>IF(L216="","",'14_Eingangsrechnungen'!D216)</f>
        <v/>
      </c>
      <c r="P216" s="13">
        <f>IF(L216="","",'14_Eingangsrechnungen'!C216)</f>
        <v/>
      </c>
      <c r="Q216" s="13">
        <f>IF(L216="","",'14_Eingangsrechnungen'!E216)</f>
        <v/>
      </c>
      <c r="R216" s="15">
        <f>IF(L216="","",'14_Eingangsrechnungen'!M216)</f>
        <v/>
      </c>
      <c r="S216" s="15">
        <f>IF(L216="","",'14_Eingangsrechnungen'!O216)</f>
        <v/>
      </c>
      <c r="T216" s="44">
        <f>IF(L216="","",'14_Eingangsrechnungen'!H216)</f>
        <v/>
      </c>
      <c r="U216" s="45">
        <f>IF(L216="","",'14_Eingangsrechnungen'!P216)</f>
        <v/>
      </c>
    </row>
    <row r="217">
      <c r="A217" s="13">
        <f>IF('13_Ausgangsrechnungen'!A217="","",IF('13_Ausgangsrechnungen'!S217&gt;0.5,"Debitor",""))</f>
        <v/>
      </c>
      <c r="B217" s="13">
        <f>IF(A217="","",'13_Ausgangsrechnungen'!A217)</f>
        <v/>
      </c>
      <c r="C217" s="44">
        <f>IF(A217="","",'13_Ausgangsrechnungen'!B217)</f>
        <v/>
      </c>
      <c r="D217" s="13">
        <f>IF(A217="","",'13_Ausgangsrechnungen'!D217)</f>
        <v/>
      </c>
      <c r="E217" s="13">
        <f>IF(A217="","",'13_Ausgangsrechnungen'!C217)</f>
        <v/>
      </c>
      <c r="F217" s="13">
        <f>IF(A217="","",'13_Ausgangsrechnungen'!E217)</f>
        <v/>
      </c>
      <c r="G217" s="15">
        <f>IF(A217="","",'13_Ausgangsrechnungen'!Q217)</f>
        <v/>
      </c>
      <c r="H217" s="15">
        <f>IF(A217="","",'13_Ausgangsrechnungen'!S217)</f>
        <v/>
      </c>
      <c r="I217" s="44">
        <f>IF(A217="","",'13_Ausgangsrechnungen'!J217)</f>
        <v/>
      </c>
      <c r="J217" s="45">
        <f>IF(A217="","",'13_Ausgangsrechnungen'!T217)</f>
        <v/>
      </c>
      <c r="L217" s="13">
        <f>IF('14_Eingangsrechnungen'!A217="","",IF('14_Eingangsrechnungen'!O217&gt;0.5,"Kreditor",""))</f>
        <v/>
      </c>
      <c r="M217" s="13">
        <f>IF(L217="","",'14_Eingangsrechnungen'!A217)</f>
        <v/>
      </c>
      <c r="N217" s="44">
        <f>IF(L217="","",'14_Eingangsrechnungen'!B217)</f>
        <v/>
      </c>
      <c r="O217" s="13">
        <f>IF(L217="","",'14_Eingangsrechnungen'!D217)</f>
        <v/>
      </c>
      <c r="P217" s="13">
        <f>IF(L217="","",'14_Eingangsrechnungen'!C217)</f>
        <v/>
      </c>
      <c r="Q217" s="13">
        <f>IF(L217="","",'14_Eingangsrechnungen'!E217)</f>
        <v/>
      </c>
      <c r="R217" s="15">
        <f>IF(L217="","",'14_Eingangsrechnungen'!M217)</f>
        <v/>
      </c>
      <c r="S217" s="15">
        <f>IF(L217="","",'14_Eingangsrechnungen'!O217)</f>
        <v/>
      </c>
      <c r="T217" s="44">
        <f>IF(L217="","",'14_Eingangsrechnungen'!H217)</f>
        <v/>
      </c>
      <c r="U217" s="45">
        <f>IF(L217="","",'14_Eingangsrechnungen'!P217)</f>
        <v/>
      </c>
    </row>
    <row r="218">
      <c r="A218" s="13">
        <f>IF('13_Ausgangsrechnungen'!A218="","",IF('13_Ausgangsrechnungen'!S218&gt;0.5,"Debitor",""))</f>
        <v/>
      </c>
      <c r="B218" s="13">
        <f>IF(A218="","",'13_Ausgangsrechnungen'!A218)</f>
        <v/>
      </c>
      <c r="C218" s="44">
        <f>IF(A218="","",'13_Ausgangsrechnungen'!B218)</f>
        <v/>
      </c>
      <c r="D218" s="13">
        <f>IF(A218="","",'13_Ausgangsrechnungen'!D218)</f>
        <v/>
      </c>
      <c r="E218" s="13">
        <f>IF(A218="","",'13_Ausgangsrechnungen'!C218)</f>
        <v/>
      </c>
      <c r="F218" s="13">
        <f>IF(A218="","",'13_Ausgangsrechnungen'!E218)</f>
        <v/>
      </c>
      <c r="G218" s="15">
        <f>IF(A218="","",'13_Ausgangsrechnungen'!Q218)</f>
        <v/>
      </c>
      <c r="H218" s="15">
        <f>IF(A218="","",'13_Ausgangsrechnungen'!S218)</f>
        <v/>
      </c>
      <c r="I218" s="44">
        <f>IF(A218="","",'13_Ausgangsrechnungen'!J218)</f>
        <v/>
      </c>
      <c r="J218" s="45">
        <f>IF(A218="","",'13_Ausgangsrechnungen'!T218)</f>
        <v/>
      </c>
      <c r="L218" s="13">
        <f>IF('14_Eingangsrechnungen'!A218="","",IF('14_Eingangsrechnungen'!O218&gt;0.5,"Kreditor",""))</f>
        <v/>
      </c>
      <c r="M218" s="13">
        <f>IF(L218="","",'14_Eingangsrechnungen'!A218)</f>
        <v/>
      </c>
      <c r="N218" s="44">
        <f>IF(L218="","",'14_Eingangsrechnungen'!B218)</f>
        <v/>
      </c>
      <c r="O218" s="13">
        <f>IF(L218="","",'14_Eingangsrechnungen'!D218)</f>
        <v/>
      </c>
      <c r="P218" s="13">
        <f>IF(L218="","",'14_Eingangsrechnungen'!C218)</f>
        <v/>
      </c>
      <c r="Q218" s="13">
        <f>IF(L218="","",'14_Eingangsrechnungen'!E218)</f>
        <v/>
      </c>
      <c r="R218" s="15">
        <f>IF(L218="","",'14_Eingangsrechnungen'!M218)</f>
        <v/>
      </c>
      <c r="S218" s="15">
        <f>IF(L218="","",'14_Eingangsrechnungen'!O218)</f>
        <v/>
      </c>
      <c r="T218" s="44">
        <f>IF(L218="","",'14_Eingangsrechnungen'!H218)</f>
        <v/>
      </c>
      <c r="U218" s="45">
        <f>IF(L218="","",'14_Eingangsrechnungen'!P218)</f>
        <v/>
      </c>
    </row>
    <row r="219">
      <c r="A219" s="13">
        <f>IF('13_Ausgangsrechnungen'!A219="","",IF('13_Ausgangsrechnungen'!S219&gt;0.5,"Debitor",""))</f>
        <v/>
      </c>
      <c r="B219" s="13">
        <f>IF(A219="","",'13_Ausgangsrechnungen'!A219)</f>
        <v/>
      </c>
      <c r="C219" s="44">
        <f>IF(A219="","",'13_Ausgangsrechnungen'!B219)</f>
        <v/>
      </c>
      <c r="D219" s="13">
        <f>IF(A219="","",'13_Ausgangsrechnungen'!D219)</f>
        <v/>
      </c>
      <c r="E219" s="13">
        <f>IF(A219="","",'13_Ausgangsrechnungen'!C219)</f>
        <v/>
      </c>
      <c r="F219" s="13">
        <f>IF(A219="","",'13_Ausgangsrechnungen'!E219)</f>
        <v/>
      </c>
      <c r="G219" s="15">
        <f>IF(A219="","",'13_Ausgangsrechnungen'!Q219)</f>
        <v/>
      </c>
      <c r="H219" s="15">
        <f>IF(A219="","",'13_Ausgangsrechnungen'!S219)</f>
        <v/>
      </c>
      <c r="I219" s="44">
        <f>IF(A219="","",'13_Ausgangsrechnungen'!J219)</f>
        <v/>
      </c>
      <c r="J219" s="45">
        <f>IF(A219="","",'13_Ausgangsrechnungen'!T219)</f>
        <v/>
      </c>
      <c r="L219" s="13">
        <f>IF('14_Eingangsrechnungen'!A219="","",IF('14_Eingangsrechnungen'!O219&gt;0.5,"Kreditor",""))</f>
        <v/>
      </c>
      <c r="M219" s="13">
        <f>IF(L219="","",'14_Eingangsrechnungen'!A219)</f>
        <v/>
      </c>
      <c r="N219" s="44">
        <f>IF(L219="","",'14_Eingangsrechnungen'!B219)</f>
        <v/>
      </c>
      <c r="O219" s="13">
        <f>IF(L219="","",'14_Eingangsrechnungen'!D219)</f>
        <v/>
      </c>
      <c r="P219" s="13">
        <f>IF(L219="","",'14_Eingangsrechnungen'!C219)</f>
        <v/>
      </c>
      <c r="Q219" s="13">
        <f>IF(L219="","",'14_Eingangsrechnungen'!E219)</f>
        <v/>
      </c>
      <c r="R219" s="15">
        <f>IF(L219="","",'14_Eingangsrechnungen'!M219)</f>
        <v/>
      </c>
      <c r="S219" s="15">
        <f>IF(L219="","",'14_Eingangsrechnungen'!O219)</f>
        <v/>
      </c>
      <c r="T219" s="44">
        <f>IF(L219="","",'14_Eingangsrechnungen'!H219)</f>
        <v/>
      </c>
      <c r="U219" s="45">
        <f>IF(L219="","",'14_Eingangsrechnungen'!P219)</f>
        <v/>
      </c>
    </row>
    <row r="220">
      <c r="A220" s="13">
        <f>IF('13_Ausgangsrechnungen'!A220="","",IF('13_Ausgangsrechnungen'!S220&gt;0.5,"Debitor",""))</f>
        <v/>
      </c>
      <c r="B220" s="13">
        <f>IF(A220="","",'13_Ausgangsrechnungen'!A220)</f>
        <v/>
      </c>
      <c r="C220" s="44">
        <f>IF(A220="","",'13_Ausgangsrechnungen'!B220)</f>
        <v/>
      </c>
      <c r="D220" s="13">
        <f>IF(A220="","",'13_Ausgangsrechnungen'!D220)</f>
        <v/>
      </c>
      <c r="E220" s="13">
        <f>IF(A220="","",'13_Ausgangsrechnungen'!C220)</f>
        <v/>
      </c>
      <c r="F220" s="13">
        <f>IF(A220="","",'13_Ausgangsrechnungen'!E220)</f>
        <v/>
      </c>
      <c r="G220" s="15">
        <f>IF(A220="","",'13_Ausgangsrechnungen'!Q220)</f>
        <v/>
      </c>
      <c r="H220" s="15">
        <f>IF(A220="","",'13_Ausgangsrechnungen'!S220)</f>
        <v/>
      </c>
      <c r="I220" s="44">
        <f>IF(A220="","",'13_Ausgangsrechnungen'!J220)</f>
        <v/>
      </c>
      <c r="J220" s="45">
        <f>IF(A220="","",'13_Ausgangsrechnungen'!T220)</f>
        <v/>
      </c>
      <c r="L220" s="13">
        <f>IF('14_Eingangsrechnungen'!A220="","",IF('14_Eingangsrechnungen'!O220&gt;0.5,"Kreditor",""))</f>
        <v/>
      </c>
      <c r="M220" s="13">
        <f>IF(L220="","",'14_Eingangsrechnungen'!A220)</f>
        <v/>
      </c>
      <c r="N220" s="44">
        <f>IF(L220="","",'14_Eingangsrechnungen'!B220)</f>
        <v/>
      </c>
      <c r="O220" s="13">
        <f>IF(L220="","",'14_Eingangsrechnungen'!D220)</f>
        <v/>
      </c>
      <c r="P220" s="13">
        <f>IF(L220="","",'14_Eingangsrechnungen'!C220)</f>
        <v/>
      </c>
      <c r="Q220" s="13">
        <f>IF(L220="","",'14_Eingangsrechnungen'!E220)</f>
        <v/>
      </c>
      <c r="R220" s="15">
        <f>IF(L220="","",'14_Eingangsrechnungen'!M220)</f>
        <v/>
      </c>
      <c r="S220" s="15">
        <f>IF(L220="","",'14_Eingangsrechnungen'!O220)</f>
        <v/>
      </c>
      <c r="T220" s="44">
        <f>IF(L220="","",'14_Eingangsrechnungen'!H220)</f>
        <v/>
      </c>
      <c r="U220" s="45">
        <f>IF(L220="","",'14_Eingangsrechnungen'!P220)</f>
        <v/>
      </c>
    </row>
    <row r="221">
      <c r="A221" s="13">
        <f>IF('13_Ausgangsrechnungen'!A221="","",IF('13_Ausgangsrechnungen'!S221&gt;0.5,"Debitor",""))</f>
        <v/>
      </c>
      <c r="B221" s="13">
        <f>IF(A221="","",'13_Ausgangsrechnungen'!A221)</f>
        <v/>
      </c>
      <c r="C221" s="44">
        <f>IF(A221="","",'13_Ausgangsrechnungen'!B221)</f>
        <v/>
      </c>
      <c r="D221" s="13">
        <f>IF(A221="","",'13_Ausgangsrechnungen'!D221)</f>
        <v/>
      </c>
      <c r="E221" s="13">
        <f>IF(A221="","",'13_Ausgangsrechnungen'!C221)</f>
        <v/>
      </c>
      <c r="F221" s="13">
        <f>IF(A221="","",'13_Ausgangsrechnungen'!E221)</f>
        <v/>
      </c>
      <c r="G221" s="15">
        <f>IF(A221="","",'13_Ausgangsrechnungen'!Q221)</f>
        <v/>
      </c>
      <c r="H221" s="15">
        <f>IF(A221="","",'13_Ausgangsrechnungen'!S221)</f>
        <v/>
      </c>
      <c r="I221" s="44">
        <f>IF(A221="","",'13_Ausgangsrechnungen'!J221)</f>
        <v/>
      </c>
      <c r="J221" s="45">
        <f>IF(A221="","",'13_Ausgangsrechnungen'!T221)</f>
        <v/>
      </c>
      <c r="L221" s="13">
        <f>IF('14_Eingangsrechnungen'!A221="","",IF('14_Eingangsrechnungen'!O221&gt;0.5,"Kreditor",""))</f>
        <v/>
      </c>
      <c r="M221" s="13">
        <f>IF(L221="","",'14_Eingangsrechnungen'!A221)</f>
        <v/>
      </c>
      <c r="N221" s="44">
        <f>IF(L221="","",'14_Eingangsrechnungen'!B221)</f>
        <v/>
      </c>
      <c r="O221" s="13">
        <f>IF(L221="","",'14_Eingangsrechnungen'!D221)</f>
        <v/>
      </c>
      <c r="P221" s="13">
        <f>IF(L221="","",'14_Eingangsrechnungen'!C221)</f>
        <v/>
      </c>
      <c r="Q221" s="13">
        <f>IF(L221="","",'14_Eingangsrechnungen'!E221)</f>
        <v/>
      </c>
      <c r="R221" s="15">
        <f>IF(L221="","",'14_Eingangsrechnungen'!M221)</f>
        <v/>
      </c>
      <c r="S221" s="15">
        <f>IF(L221="","",'14_Eingangsrechnungen'!O221)</f>
        <v/>
      </c>
      <c r="T221" s="44">
        <f>IF(L221="","",'14_Eingangsrechnungen'!H221)</f>
        <v/>
      </c>
      <c r="U221" s="45">
        <f>IF(L221="","",'14_Eingangsrechnungen'!P221)</f>
        <v/>
      </c>
    </row>
    <row r="222">
      <c r="A222" s="13">
        <f>IF('13_Ausgangsrechnungen'!A222="","",IF('13_Ausgangsrechnungen'!S222&gt;0.5,"Debitor",""))</f>
        <v/>
      </c>
      <c r="B222" s="13">
        <f>IF(A222="","",'13_Ausgangsrechnungen'!A222)</f>
        <v/>
      </c>
      <c r="C222" s="44">
        <f>IF(A222="","",'13_Ausgangsrechnungen'!B222)</f>
        <v/>
      </c>
      <c r="D222" s="13">
        <f>IF(A222="","",'13_Ausgangsrechnungen'!D222)</f>
        <v/>
      </c>
      <c r="E222" s="13">
        <f>IF(A222="","",'13_Ausgangsrechnungen'!C222)</f>
        <v/>
      </c>
      <c r="F222" s="13">
        <f>IF(A222="","",'13_Ausgangsrechnungen'!E222)</f>
        <v/>
      </c>
      <c r="G222" s="15">
        <f>IF(A222="","",'13_Ausgangsrechnungen'!Q222)</f>
        <v/>
      </c>
      <c r="H222" s="15">
        <f>IF(A222="","",'13_Ausgangsrechnungen'!S222)</f>
        <v/>
      </c>
      <c r="I222" s="44">
        <f>IF(A222="","",'13_Ausgangsrechnungen'!J222)</f>
        <v/>
      </c>
      <c r="J222" s="45">
        <f>IF(A222="","",'13_Ausgangsrechnungen'!T222)</f>
        <v/>
      </c>
      <c r="L222" s="13">
        <f>IF('14_Eingangsrechnungen'!A222="","",IF('14_Eingangsrechnungen'!O222&gt;0.5,"Kreditor",""))</f>
        <v/>
      </c>
      <c r="M222" s="13">
        <f>IF(L222="","",'14_Eingangsrechnungen'!A222)</f>
        <v/>
      </c>
      <c r="N222" s="44">
        <f>IF(L222="","",'14_Eingangsrechnungen'!B222)</f>
        <v/>
      </c>
      <c r="O222" s="13">
        <f>IF(L222="","",'14_Eingangsrechnungen'!D222)</f>
        <v/>
      </c>
      <c r="P222" s="13">
        <f>IF(L222="","",'14_Eingangsrechnungen'!C222)</f>
        <v/>
      </c>
      <c r="Q222" s="13">
        <f>IF(L222="","",'14_Eingangsrechnungen'!E222)</f>
        <v/>
      </c>
      <c r="R222" s="15">
        <f>IF(L222="","",'14_Eingangsrechnungen'!M222)</f>
        <v/>
      </c>
      <c r="S222" s="15">
        <f>IF(L222="","",'14_Eingangsrechnungen'!O222)</f>
        <v/>
      </c>
      <c r="T222" s="44">
        <f>IF(L222="","",'14_Eingangsrechnungen'!H222)</f>
        <v/>
      </c>
      <c r="U222" s="45">
        <f>IF(L222="","",'14_Eingangsrechnungen'!P222)</f>
        <v/>
      </c>
    </row>
    <row r="223">
      <c r="A223" s="13">
        <f>IF('13_Ausgangsrechnungen'!A223="","",IF('13_Ausgangsrechnungen'!S223&gt;0.5,"Debitor",""))</f>
        <v/>
      </c>
      <c r="B223" s="13">
        <f>IF(A223="","",'13_Ausgangsrechnungen'!A223)</f>
        <v/>
      </c>
      <c r="C223" s="44">
        <f>IF(A223="","",'13_Ausgangsrechnungen'!B223)</f>
        <v/>
      </c>
      <c r="D223" s="13">
        <f>IF(A223="","",'13_Ausgangsrechnungen'!D223)</f>
        <v/>
      </c>
      <c r="E223" s="13">
        <f>IF(A223="","",'13_Ausgangsrechnungen'!C223)</f>
        <v/>
      </c>
      <c r="F223" s="13">
        <f>IF(A223="","",'13_Ausgangsrechnungen'!E223)</f>
        <v/>
      </c>
      <c r="G223" s="15">
        <f>IF(A223="","",'13_Ausgangsrechnungen'!Q223)</f>
        <v/>
      </c>
      <c r="H223" s="15">
        <f>IF(A223="","",'13_Ausgangsrechnungen'!S223)</f>
        <v/>
      </c>
      <c r="I223" s="44">
        <f>IF(A223="","",'13_Ausgangsrechnungen'!J223)</f>
        <v/>
      </c>
      <c r="J223" s="45">
        <f>IF(A223="","",'13_Ausgangsrechnungen'!T223)</f>
        <v/>
      </c>
      <c r="L223" s="13">
        <f>IF('14_Eingangsrechnungen'!A223="","",IF('14_Eingangsrechnungen'!O223&gt;0.5,"Kreditor",""))</f>
        <v/>
      </c>
      <c r="M223" s="13">
        <f>IF(L223="","",'14_Eingangsrechnungen'!A223)</f>
        <v/>
      </c>
      <c r="N223" s="44">
        <f>IF(L223="","",'14_Eingangsrechnungen'!B223)</f>
        <v/>
      </c>
      <c r="O223" s="13">
        <f>IF(L223="","",'14_Eingangsrechnungen'!D223)</f>
        <v/>
      </c>
      <c r="P223" s="13">
        <f>IF(L223="","",'14_Eingangsrechnungen'!C223)</f>
        <v/>
      </c>
      <c r="Q223" s="13">
        <f>IF(L223="","",'14_Eingangsrechnungen'!E223)</f>
        <v/>
      </c>
      <c r="R223" s="15">
        <f>IF(L223="","",'14_Eingangsrechnungen'!M223)</f>
        <v/>
      </c>
      <c r="S223" s="15">
        <f>IF(L223="","",'14_Eingangsrechnungen'!O223)</f>
        <v/>
      </c>
      <c r="T223" s="44">
        <f>IF(L223="","",'14_Eingangsrechnungen'!H223)</f>
        <v/>
      </c>
      <c r="U223" s="45">
        <f>IF(L223="","",'14_Eingangsrechnungen'!P223)</f>
        <v/>
      </c>
    </row>
    <row r="224">
      <c r="A224" s="13">
        <f>IF('13_Ausgangsrechnungen'!A224="","",IF('13_Ausgangsrechnungen'!S224&gt;0.5,"Debitor",""))</f>
        <v/>
      </c>
      <c r="B224" s="13">
        <f>IF(A224="","",'13_Ausgangsrechnungen'!A224)</f>
        <v/>
      </c>
      <c r="C224" s="44">
        <f>IF(A224="","",'13_Ausgangsrechnungen'!B224)</f>
        <v/>
      </c>
      <c r="D224" s="13">
        <f>IF(A224="","",'13_Ausgangsrechnungen'!D224)</f>
        <v/>
      </c>
      <c r="E224" s="13">
        <f>IF(A224="","",'13_Ausgangsrechnungen'!C224)</f>
        <v/>
      </c>
      <c r="F224" s="13">
        <f>IF(A224="","",'13_Ausgangsrechnungen'!E224)</f>
        <v/>
      </c>
      <c r="G224" s="15">
        <f>IF(A224="","",'13_Ausgangsrechnungen'!Q224)</f>
        <v/>
      </c>
      <c r="H224" s="15">
        <f>IF(A224="","",'13_Ausgangsrechnungen'!S224)</f>
        <v/>
      </c>
      <c r="I224" s="44">
        <f>IF(A224="","",'13_Ausgangsrechnungen'!J224)</f>
        <v/>
      </c>
      <c r="J224" s="45">
        <f>IF(A224="","",'13_Ausgangsrechnungen'!T224)</f>
        <v/>
      </c>
      <c r="L224" s="13">
        <f>IF('14_Eingangsrechnungen'!A224="","",IF('14_Eingangsrechnungen'!O224&gt;0.5,"Kreditor",""))</f>
        <v/>
      </c>
      <c r="M224" s="13">
        <f>IF(L224="","",'14_Eingangsrechnungen'!A224)</f>
        <v/>
      </c>
      <c r="N224" s="44">
        <f>IF(L224="","",'14_Eingangsrechnungen'!B224)</f>
        <v/>
      </c>
      <c r="O224" s="13">
        <f>IF(L224="","",'14_Eingangsrechnungen'!D224)</f>
        <v/>
      </c>
      <c r="P224" s="13">
        <f>IF(L224="","",'14_Eingangsrechnungen'!C224)</f>
        <v/>
      </c>
      <c r="Q224" s="13">
        <f>IF(L224="","",'14_Eingangsrechnungen'!E224)</f>
        <v/>
      </c>
      <c r="R224" s="15">
        <f>IF(L224="","",'14_Eingangsrechnungen'!M224)</f>
        <v/>
      </c>
      <c r="S224" s="15">
        <f>IF(L224="","",'14_Eingangsrechnungen'!O224)</f>
        <v/>
      </c>
      <c r="T224" s="44">
        <f>IF(L224="","",'14_Eingangsrechnungen'!H224)</f>
        <v/>
      </c>
      <c r="U224" s="45">
        <f>IF(L224="","",'14_Eingangsrechnungen'!P224)</f>
        <v/>
      </c>
    </row>
    <row r="225">
      <c r="A225" s="13">
        <f>IF('13_Ausgangsrechnungen'!A225="","",IF('13_Ausgangsrechnungen'!S225&gt;0.5,"Debitor",""))</f>
        <v/>
      </c>
      <c r="B225" s="13">
        <f>IF(A225="","",'13_Ausgangsrechnungen'!A225)</f>
        <v/>
      </c>
      <c r="C225" s="44">
        <f>IF(A225="","",'13_Ausgangsrechnungen'!B225)</f>
        <v/>
      </c>
      <c r="D225" s="13">
        <f>IF(A225="","",'13_Ausgangsrechnungen'!D225)</f>
        <v/>
      </c>
      <c r="E225" s="13">
        <f>IF(A225="","",'13_Ausgangsrechnungen'!C225)</f>
        <v/>
      </c>
      <c r="F225" s="13">
        <f>IF(A225="","",'13_Ausgangsrechnungen'!E225)</f>
        <v/>
      </c>
      <c r="G225" s="15">
        <f>IF(A225="","",'13_Ausgangsrechnungen'!Q225)</f>
        <v/>
      </c>
      <c r="H225" s="15">
        <f>IF(A225="","",'13_Ausgangsrechnungen'!S225)</f>
        <v/>
      </c>
      <c r="I225" s="44">
        <f>IF(A225="","",'13_Ausgangsrechnungen'!J225)</f>
        <v/>
      </c>
      <c r="J225" s="45">
        <f>IF(A225="","",'13_Ausgangsrechnungen'!T225)</f>
        <v/>
      </c>
      <c r="L225" s="13">
        <f>IF('14_Eingangsrechnungen'!A225="","",IF('14_Eingangsrechnungen'!O225&gt;0.5,"Kreditor",""))</f>
        <v/>
      </c>
      <c r="M225" s="13">
        <f>IF(L225="","",'14_Eingangsrechnungen'!A225)</f>
        <v/>
      </c>
      <c r="N225" s="44">
        <f>IF(L225="","",'14_Eingangsrechnungen'!B225)</f>
        <v/>
      </c>
      <c r="O225" s="13">
        <f>IF(L225="","",'14_Eingangsrechnungen'!D225)</f>
        <v/>
      </c>
      <c r="P225" s="13">
        <f>IF(L225="","",'14_Eingangsrechnungen'!C225)</f>
        <v/>
      </c>
      <c r="Q225" s="13">
        <f>IF(L225="","",'14_Eingangsrechnungen'!E225)</f>
        <v/>
      </c>
      <c r="R225" s="15">
        <f>IF(L225="","",'14_Eingangsrechnungen'!M225)</f>
        <v/>
      </c>
      <c r="S225" s="15">
        <f>IF(L225="","",'14_Eingangsrechnungen'!O225)</f>
        <v/>
      </c>
      <c r="T225" s="44">
        <f>IF(L225="","",'14_Eingangsrechnungen'!H225)</f>
        <v/>
      </c>
      <c r="U225" s="45">
        <f>IF(L225="","",'14_Eingangsrechnungen'!P225)</f>
        <v/>
      </c>
    </row>
    <row r="226">
      <c r="A226" s="13">
        <f>IF('13_Ausgangsrechnungen'!A226="","",IF('13_Ausgangsrechnungen'!S226&gt;0.5,"Debitor",""))</f>
        <v/>
      </c>
      <c r="B226" s="13">
        <f>IF(A226="","",'13_Ausgangsrechnungen'!A226)</f>
        <v/>
      </c>
      <c r="C226" s="44">
        <f>IF(A226="","",'13_Ausgangsrechnungen'!B226)</f>
        <v/>
      </c>
      <c r="D226" s="13">
        <f>IF(A226="","",'13_Ausgangsrechnungen'!D226)</f>
        <v/>
      </c>
      <c r="E226" s="13">
        <f>IF(A226="","",'13_Ausgangsrechnungen'!C226)</f>
        <v/>
      </c>
      <c r="F226" s="13">
        <f>IF(A226="","",'13_Ausgangsrechnungen'!E226)</f>
        <v/>
      </c>
      <c r="G226" s="15">
        <f>IF(A226="","",'13_Ausgangsrechnungen'!Q226)</f>
        <v/>
      </c>
      <c r="H226" s="15">
        <f>IF(A226="","",'13_Ausgangsrechnungen'!S226)</f>
        <v/>
      </c>
      <c r="I226" s="44">
        <f>IF(A226="","",'13_Ausgangsrechnungen'!J226)</f>
        <v/>
      </c>
      <c r="J226" s="45">
        <f>IF(A226="","",'13_Ausgangsrechnungen'!T226)</f>
        <v/>
      </c>
      <c r="L226" s="13">
        <f>IF('14_Eingangsrechnungen'!A226="","",IF('14_Eingangsrechnungen'!O226&gt;0.5,"Kreditor",""))</f>
        <v/>
      </c>
      <c r="M226" s="13">
        <f>IF(L226="","",'14_Eingangsrechnungen'!A226)</f>
        <v/>
      </c>
      <c r="N226" s="44">
        <f>IF(L226="","",'14_Eingangsrechnungen'!B226)</f>
        <v/>
      </c>
      <c r="O226" s="13">
        <f>IF(L226="","",'14_Eingangsrechnungen'!D226)</f>
        <v/>
      </c>
      <c r="P226" s="13">
        <f>IF(L226="","",'14_Eingangsrechnungen'!C226)</f>
        <v/>
      </c>
      <c r="Q226" s="13">
        <f>IF(L226="","",'14_Eingangsrechnungen'!E226)</f>
        <v/>
      </c>
      <c r="R226" s="15">
        <f>IF(L226="","",'14_Eingangsrechnungen'!M226)</f>
        <v/>
      </c>
      <c r="S226" s="15">
        <f>IF(L226="","",'14_Eingangsrechnungen'!O226)</f>
        <v/>
      </c>
      <c r="T226" s="44">
        <f>IF(L226="","",'14_Eingangsrechnungen'!H226)</f>
        <v/>
      </c>
      <c r="U226" s="45">
        <f>IF(L226="","",'14_Eingangsrechnungen'!P226)</f>
        <v/>
      </c>
    </row>
    <row r="227">
      <c r="A227" s="13">
        <f>IF('13_Ausgangsrechnungen'!A227="","",IF('13_Ausgangsrechnungen'!S227&gt;0.5,"Debitor",""))</f>
        <v/>
      </c>
      <c r="B227" s="13">
        <f>IF(A227="","",'13_Ausgangsrechnungen'!A227)</f>
        <v/>
      </c>
      <c r="C227" s="44">
        <f>IF(A227="","",'13_Ausgangsrechnungen'!B227)</f>
        <v/>
      </c>
      <c r="D227" s="13">
        <f>IF(A227="","",'13_Ausgangsrechnungen'!D227)</f>
        <v/>
      </c>
      <c r="E227" s="13">
        <f>IF(A227="","",'13_Ausgangsrechnungen'!C227)</f>
        <v/>
      </c>
      <c r="F227" s="13">
        <f>IF(A227="","",'13_Ausgangsrechnungen'!E227)</f>
        <v/>
      </c>
      <c r="G227" s="15">
        <f>IF(A227="","",'13_Ausgangsrechnungen'!Q227)</f>
        <v/>
      </c>
      <c r="H227" s="15">
        <f>IF(A227="","",'13_Ausgangsrechnungen'!S227)</f>
        <v/>
      </c>
      <c r="I227" s="44">
        <f>IF(A227="","",'13_Ausgangsrechnungen'!J227)</f>
        <v/>
      </c>
      <c r="J227" s="45">
        <f>IF(A227="","",'13_Ausgangsrechnungen'!T227)</f>
        <v/>
      </c>
      <c r="L227" s="13">
        <f>IF('14_Eingangsrechnungen'!A227="","",IF('14_Eingangsrechnungen'!O227&gt;0.5,"Kreditor",""))</f>
        <v/>
      </c>
      <c r="M227" s="13">
        <f>IF(L227="","",'14_Eingangsrechnungen'!A227)</f>
        <v/>
      </c>
      <c r="N227" s="44">
        <f>IF(L227="","",'14_Eingangsrechnungen'!B227)</f>
        <v/>
      </c>
      <c r="O227" s="13">
        <f>IF(L227="","",'14_Eingangsrechnungen'!D227)</f>
        <v/>
      </c>
      <c r="P227" s="13">
        <f>IF(L227="","",'14_Eingangsrechnungen'!C227)</f>
        <v/>
      </c>
      <c r="Q227" s="13">
        <f>IF(L227="","",'14_Eingangsrechnungen'!E227)</f>
        <v/>
      </c>
      <c r="R227" s="15">
        <f>IF(L227="","",'14_Eingangsrechnungen'!M227)</f>
        <v/>
      </c>
      <c r="S227" s="15">
        <f>IF(L227="","",'14_Eingangsrechnungen'!O227)</f>
        <v/>
      </c>
      <c r="T227" s="44">
        <f>IF(L227="","",'14_Eingangsrechnungen'!H227)</f>
        <v/>
      </c>
      <c r="U227" s="45">
        <f>IF(L227="","",'14_Eingangsrechnungen'!P227)</f>
        <v/>
      </c>
    </row>
    <row r="228">
      <c r="A228" s="13">
        <f>IF('13_Ausgangsrechnungen'!A228="","",IF('13_Ausgangsrechnungen'!S228&gt;0.5,"Debitor",""))</f>
        <v/>
      </c>
      <c r="B228" s="13">
        <f>IF(A228="","",'13_Ausgangsrechnungen'!A228)</f>
        <v/>
      </c>
      <c r="C228" s="44">
        <f>IF(A228="","",'13_Ausgangsrechnungen'!B228)</f>
        <v/>
      </c>
      <c r="D228" s="13">
        <f>IF(A228="","",'13_Ausgangsrechnungen'!D228)</f>
        <v/>
      </c>
      <c r="E228" s="13">
        <f>IF(A228="","",'13_Ausgangsrechnungen'!C228)</f>
        <v/>
      </c>
      <c r="F228" s="13">
        <f>IF(A228="","",'13_Ausgangsrechnungen'!E228)</f>
        <v/>
      </c>
      <c r="G228" s="15">
        <f>IF(A228="","",'13_Ausgangsrechnungen'!Q228)</f>
        <v/>
      </c>
      <c r="H228" s="15">
        <f>IF(A228="","",'13_Ausgangsrechnungen'!S228)</f>
        <v/>
      </c>
      <c r="I228" s="44">
        <f>IF(A228="","",'13_Ausgangsrechnungen'!J228)</f>
        <v/>
      </c>
      <c r="J228" s="45">
        <f>IF(A228="","",'13_Ausgangsrechnungen'!T228)</f>
        <v/>
      </c>
      <c r="L228" s="13">
        <f>IF('14_Eingangsrechnungen'!A228="","",IF('14_Eingangsrechnungen'!O228&gt;0.5,"Kreditor",""))</f>
        <v/>
      </c>
      <c r="M228" s="13">
        <f>IF(L228="","",'14_Eingangsrechnungen'!A228)</f>
        <v/>
      </c>
      <c r="N228" s="44">
        <f>IF(L228="","",'14_Eingangsrechnungen'!B228)</f>
        <v/>
      </c>
      <c r="O228" s="13">
        <f>IF(L228="","",'14_Eingangsrechnungen'!D228)</f>
        <v/>
      </c>
      <c r="P228" s="13">
        <f>IF(L228="","",'14_Eingangsrechnungen'!C228)</f>
        <v/>
      </c>
      <c r="Q228" s="13">
        <f>IF(L228="","",'14_Eingangsrechnungen'!E228)</f>
        <v/>
      </c>
      <c r="R228" s="15">
        <f>IF(L228="","",'14_Eingangsrechnungen'!M228)</f>
        <v/>
      </c>
      <c r="S228" s="15">
        <f>IF(L228="","",'14_Eingangsrechnungen'!O228)</f>
        <v/>
      </c>
      <c r="T228" s="44">
        <f>IF(L228="","",'14_Eingangsrechnungen'!H228)</f>
        <v/>
      </c>
      <c r="U228" s="45">
        <f>IF(L228="","",'14_Eingangsrechnungen'!P228)</f>
        <v/>
      </c>
    </row>
    <row r="229">
      <c r="A229" s="13">
        <f>IF('13_Ausgangsrechnungen'!A229="","",IF('13_Ausgangsrechnungen'!S229&gt;0.5,"Debitor",""))</f>
        <v/>
      </c>
      <c r="B229" s="13">
        <f>IF(A229="","",'13_Ausgangsrechnungen'!A229)</f>
        <v/>
      </c>
      <c r="C229" s="44">
        <f>IF(A229="","",'13_Ausgangsrechnungen'!B229)</f>
        <v/>
      </c>
      <c r="D229" s="13">
        <f>IF(A229="","",'13_Ausgangsrechnungen'!D229)</f>
        <v/>
      </c>
      <c r="E229" s="13">
        <f>IF(A229="","",'13_Ausgangsrechnungen'!C229)</f>
        <v/>
      </c>
      <c r="F229" s="13">
        <f>IF(A229="","",'13_Ausgangsrechnungen'!E229)</f>
        <v/>
      </c>
      <c r="G229" s="15">
        <f>IF(A229="","",'13_Ausgangsrechnungen'!Q229)</f>
        <v/>
      </c>
      <c r="H229" s="15">
        <f>IF(A229="","",'13_Ausgangsrechnungen'!S229)</f>
        <v/>
      </c>
      <c r="I229" s="44">
        <f>IF(A229="","",'13_Ausgangsrechnungen'!J229)</f>
        <v/>
      </c>
      <c r="J229" s="45">
        <f>IF(A229="","",'13_Ausgangsrechnungen'!T229)</f>
        <v/>
      </c>
      <c r="L229" s="13">
        <f>IF('14_Eingangsrechnungen'!A229="","",IF('14_Eingangsrechnungen'!O229&gt;0.5,"Kreditor",""))</f>
        <v/>
      </c>
      <c r="M229" s="13">
        <f>IF(L229="","",'14_Eingangsrechnungen'!A229)</f>
        <v/>
      </c>
      <c r="N229" s="44">
        <f>IF(L229="","",'14_Eingangsrechnungen'!B229)</f>
        <v/>
      </c>
      <c r="O229" s="13">
        <f>IF(L229="","",'14_Eingangsrechnungen'!D229)</f>
        <v/>
      </c>
      <c r="P229" s="13">
        <f>IF(L229="","",'14_Eingangsrechnungen'!C229)</f>
        <v/>
      </c>
      <c r="Q229" s="13">
        <f>IF(L229="","",'14_Eingangsrechnungen'!E229)</f>
        <v/>
      </c>
      <c r="R229" s="15">
        <f>IF(L229="","",'14_Eingangsrechnungen'!M229)</f>
        <v/>
      </c>
      <c r="S229" s="15">
        <f>IF(L229="","",'14_Eingangsrechnungen'!O229)</f>
        <v/>
      </c>
      <c r="T229" s="44">
        <f>IF(L229="","",'14_Eingangsrechnungen'!H229)</f>
        <v/>
      </c>
      <c r="U229" s="45">
        <f>IF(L229="","",'14_Eingangsrechnungen'!P229)</f>
        <v/>
      </c>
    </row>
    <row r="230">
      <c r="A230" s="13">
        <f>IF('13_Ausgangsrechnungen'!A230="","",IF('13_Ausgangsrechnungen'!S230&gt;0.5,"Debitor",""))</f>
        <v/>
      </c>
      <c r="B230" s="13">
        <f>IF(A230="","",'13_Ausgangsrechnungen'!A230)</f>
        <v/>
      </c>
      <c r="C230" s="44">
        <f>IF(A230="","",'13_Ausgangsrechnungen'!B230)</f>
        <v/>
      </c>
      <c r="D230" s="13">
        <f>IF(A230="","",'13_Ausgangsrechnungen'!D230)</f>
        <v/>
      </c>
      <c r="E230" s="13">
        <f>IF(A230="","",'13_Ausgangsrechnungen'!C230)</f>
        <v/>
      </c>
      <c r="F230" s="13">
        <f>IF(A230="","",'13_Ausgangsrechnungen'!E230)</f>
        <v/>
      </c>
      <c r="G230" s="15">
        <f>IF(A230="","",'13_Ausgangsrechnungen'!Q230)</f>
        <v/>
      </c>
      <c r="H230" s="15">
        <f>IF(A230="","",'13_Ausgangsrechnungen'!S230)</f>
        <v/>
      </c>
      <c r="I230" s="44">
        <f>IF(A230="","",'13_Ausgangsrechnungen'!J230)</f>
        <v/>
      </c>
      <c r="J230" s="45">
        <f>IF(A230="","",'13_Ausgangsrechnungen'!T230)</f>
        <v/>
      </c>
      <c r="L230" s="13">
        <f>IF('14_Eingangsrechnungen'!A230="","",IF('14_Eingangsrechnungen'!O230&gt;0.5,"Kreditor",""))</f>
        <v/>
      </c>
      <c r="M230" s="13">
        <f>IF(L230="","",'14_Eingangsrechnungen'!A230)</f>
        <v/>
      </c>
      <c r="N230" s="44">
        <f>IF(L230="","",'14_Eingangsrechnungen'!B230)</f>
        <v/>
      </c>
      <c r="O230" s="13">
        <f>IF(L230="","",'14_Eingangsrechnungen'!D230)</f>
        <v/>
      </c>
      <c r="P230" s="13">
        <f>IF(L230="","",'14_Eingangsrechnungen'!C230)</f>
        <v/>
      </c>
      <c r="Q230" s="13">
        <f>IF(L230="","",'14_Eingangsrechnungen'!E230)</f>
        <v/>
      </c>
      <c r="R230" s="15">
        <f>IF(L230="","",'14_Eingangsrechnungen'!M230)</f>
        <v/>
      </c>
      <c r="S230" s="15">
        <f>IF(L230="","",'14_Eingangsrechnungen'!O230)</f>
        <v/>
      </c>
      <c r="T230" s="44">
        <f>IF(L230="","",'14_Eingangsrechnungen'!H230)</f>
        <v/>
      </c>
      <c r="U230" s="45">
        <f>IF(L230="","",'14_Eingangsrechnungen'!P230)</f>
        <v/>
      </c>
    </row>
    <row r="231">
      <c r="A231" s="13">
        <f>IF('13_Ausgangsrechnungen'!A231="","",IF('13_Ausgangsrechnungen'!S231&gt;0.5,"Debitor",""))</f>
        <v/>
      </c>
      <c r="B231" s="13">
        <f>IF(A231="","",'13_Ausgangsrechnungen'!A231)</f>
        <v/>
      </c>
      <c r="C231" s="44">
        <f>IF(A231="","",'13_Ausgangsrechnungen'!B231)</f>
        <v/>
      </c>
      <c r="D231" s="13">
        <f>IF(A231="","",'13_Ausgangsrechnungen'!D231)</f>
        <v/>
      </c>
      <c r="E231" s="13">
        <f>IF(A231="","",'13_Ausgangsrechnungen'!C231)</f>
        <v/>
      </c>
      <c r="F231" s="13">
        <f>IF(A231="","",'13_Ausgangsrechnungen'!E231)</f>
        <v/>
      </c>
      <c r="G231" s="15">
        <f>IF(A231="","",'13_Ausgangsrechnungen'!Q231)</f>
        <v/>
      </c>
      <c r="H231" s="15">
        <f>IF(A231="","",'13_Ausgangsrechnungen'!S231)</f>
        <v/>
      </c>
      <c r="I231" s="44">
        <f>IF(A231="","",'13_Ausgangsrechnungen'!J231)</f>
        <v/>
      </c>
      <c r="J231" s="45">
        <f>IF(A231="","",'13_Ausgangsrechnungen'!T231)</f>
        <v/>
      </c>
      <c r="L231" s="13">
        <f>IF('14_Eingangsrechnungen'!A231="","",IF('14_Eingangsrechnungen'!O231&gt;0.5,"Kreditor",""))</f>
        <v/>
      </c>
      <c r="M231" s="13">
        <f>IF(L231="","",'14_Eingangsrechnungen'!A231)</f>
        <v/>
      </c>
      <c r="N231" s="44">
        <f>IF(L231="","",'14_Eingangsrechnungen'!B231)</f>
        <v/>
      </c>
      <c r="O231" s="13">
        <f>IF(L231="","",'14_Eingangsrechnungen'!D231)</f>
        <v/>
      </c>
      <c r="P231" s="13">
        <f>IF(L231="","",'14_Eingangsrechnungen'!C231)</f>
        <v/>
      </c>
      <c r="Q231" s="13">
        <f>IF(L231="","",'14_Eingangsrechnungen'!E231)</f>
        <v/>
      </c>
      <c r="R231" s="15">
        <f>IF(L231="","",'14_Eingangsrechnungen'!M231)</f>
        <v/>
      </c>
      <c r="S231" s="15">
        <f>IF(L231="","",'14_Eingangsrechnungen'!O231)</f>
        <v/>
      </c>
      <c r="T231" s="44">
        <f>IF(L231="","",'14_Eingangsrechnungen'!H231)</f>
        <v/>
      </c>
      <c r="U231" s="45">
        <f>IF(L231="","",'14_Eingangsrechnungen'!P231)</f>
        <v/>
      </c>
    </row>
    <row r="232">
      <c r="A232" s="13">
        <f>IF('13_Ausgangsrechnungen'!A232="","",IF('13_Ausgangsrechnungen'!S232&gt;0.5,"Debitor",""))</f>
        <v/>
      </c>
      <c r="B232" s="13">
        <f>IF(A232="","",'13_Ausgangsrechnungen'!A232)</f>
        <v/>
      </c>
      <c r="C232" s="44">
        <f>IF(A232="","",'13_Ausgangsrechnungen'!B232)</f>
        <v/>
      </c>
      <c r="D232" s="13">
        <f>IF(A232="","",'13_Ausgangsrechnungen'!D232)</f>
        <v/>
      </c>
      <c r="E232" s="13">
        <f>IF(A232="","",'13_Ausgangsrechnungen'!C232)</f>
        <v/>
      </c>
      <c r="F232" s="13">
        <f>IF(A232="","",'13_Ausgangsrechnungen'!E232)</f>
        <v/>
      </c>
      <c r="G232" s="15">
        <f>IF(A232="","",'13_Ausgangsrechnungen'!Q232)</f>
        <v/>
      </c>
      <c r="H232" s="15">
        <f>IF(A232="","",'13_Ausgangsrechnungen'!S232)</f>
        <v/>
      </c>
      <c r="I232" s="44">
        <f>IF(A232="","",'13_Ausgangsrechnungen'!J232)</f>
        <v/>
      </c>
      <c r="J232" s="45">
        <f>IF(A232="","",'13_Ausgangsrechnungen'!T232)</f>
        <v/>
      </c>
      <c r="L232" s="13">
        <f>IF('14_Eingangsrechnungen'!A232="","",IF('14_Eingangsrechnungen'!O232&gt;0.5,"Kreditor",""))</f>
        <v/>
      </c>
      <c r="M232" s="13">
        <f>IF(L232="","",'14_Eingangsrechnungen'!A232)</f>
        <v/>
      </c>
      <c r="N232" s="44">
        <f>IF(L232="","",'14_Eingangsrechnungen'!B232)</f>
        <v/>
      </c>
      <c r="O232" s="13">
        <f>IF(L232="","",'14_Eingangsrechnungen'!D232)</f>
        <v/>
      </c>
      <c r="P232" s="13">
        <f>IF(L232="","",'14_Eingangsrechnungen'!C232)</f>
        <v/>
      </c>
      <c r="Q232" s="13">
        <f>IF(L232="","",'14_Eingangsrechnungen'!E232)</f>
        <v/>
      </c>
      <c r="R232" s="15">
        <f>IF(L232="","",'14_Eingangsrechnungen'!M232)</f>
        <v/>
      </c>
      <c r="S232" s="15">
        <f>IF(L232="","",'14_Eingangsrechnungen'!O232)</f>
        <v/>
      </c>
      <c r="T232" s="44">
        <f>IF(L232="","",'14_Eingangsrechnungen'!H232)</f>
        <v/>
      </c>
      <c r="U232" s="45">
        <f>IF(L232="","",'14_Eingangsrechnungen'!P232)</f>
        <v/>
      </c>
    </row>
    <row r="233">
      <c r="A233" s="13">
        <f>IF('13_Ausgangsrechnungen'!A233="","",IF('13_Ausgangsrechnungen'!S233&gt;0.5,"Debitor",""))</f>
        <v/>
      </c>
      <c r="B233" s="13">
        <f>IF(A233="","",'13_Ausgangsrechnungen'!A233)</f>
        <v/>
      </c>
      <c r="C233" s="44">
        <f>IF(A233="","",'13_Ausgangsrechnungen'!B233)</f>
        <v/>
      </c>
      <c r="D233" s="13">
        <f>IF(A233="","",'13_Ausgangsrechnungen'!D233)</f>
        <v/>
      </c>
      <c r="E233" s="13">
        <f>IF(A233="","",'13_Ausgangsrechnungen'!C233)</f>
        <v/>
      </c>
      <c r="F233" s="13">
        <f>IF(A233="","",'13_Ausgangsrechnungen'!E233)</f>
        <v/>
      </c>
      <c r="G233" s="15">
        <f>IF(A233="","",'13_Ausgangsrechnungen'!Q233)</f>
        <v/>
      </c>
      <c r="H233" s="15">
        <f>IF(A233="","",'13_Ausgangsrechnungen'!S233)</f>
        <v/>
      </c>
      <c r="I233" s="44">
        <f>IF(A233="","",'13_Ausgangsrechnungen'!J233)</f>
        <v/>
      </c>
      <c r="J233" s="45">
        <f>IF(A233="","",'13_Ausgangsrechnungen'!T233)</f>
        <v/>
      </c>
      <c r="L233" s="13">
        <f>IF('14_Eingangsrechnungen'!A233="","",IF('14_Eingangsrechnungen'!O233&gt;0.5,"Kreditor",""))</f>
        <v/>
      </c>
      <c r="M233" s="13">
        <f>IF(L233="","",'14_Eingangsrechnungen'!A233)</f>
        <v/>
      </c>
      <c r="N233" s="44">
        <f>IF(L233="","",'14_Eingangsrechnungen'!B233)</f>
        <v/>
      </c>
      <c r="O233" s="13">
        <f>IF(L233="","",'14_Eingangsrechnungen'!D233)</f>
        <v/>
      </c>
      <c r="P233" s="13">
        <f>IF(L233="","",'14_Eingangsrechnungen'!C233)</f>
        <v/>
      </c>
      <c r="Q233" s="13">
        <f>IF(L233="","",'14_Eingangsrechnungen'!E233)</f>
        <v/>
      </c>
      <c r="R233" s="15">
        <f>IF(L233="","",'14_Eingangsrechnungen'!M233)</f>
        <v/>
      </c>
      <c r="S233" s="15">
        <f>IF(L233="","",'14_Eingangsrechnungen'!O233)</f>
        <v/>
      </c>
      <c r="T233" s="44">
        <f>IF(L233="","",'14_Eingangsrechnungen'!H233)</f>
        <v/>
      </c>
      <c r="U233" s="45">
        <f>IF(L233="","",'14_Eingangsrechnungen'!P233)</f>
        <v/>
      </c>
    </row>
    <row r="234">
      <c r="A234" s="13">
        <f>IF('13_Ausgangsrechnungen'!A234="","",IF('13_Ausgangsrechnungen'!S234&gt;0.5,"Debitor",""))</f>
        <v/>
      </c>
      <c r="B234" s="13">
        <f>IF(A234="","",'13_Ausgangsrechnungen'!A234)</f>
        <v/>
      </c>
      <c r="C234" s="44">
        <f>IF(A234="","",'13_Ausgangsrechnungen'!B234)</f>
        <v/>
      </c>
      <c r="D234" s="13">
        <f>IF(A234="","",'13_Ausgangsrechnungen'!D234)</f>
        <v/>
      </c>
      <c r="E234" s="13">
        <f>IF(A234="","",'13_Ausgangsrechnungen'!C234)</f>
        <v/>
      </c>
      <c r="F234" s="13">
        <f>IF(A234="","",'13_Ausgangsrechnungen'!E234)</f>
        <v/>
      </c>
      <c r="G234" s="15">
        <f>IF(A234="","",'13_Ausgangsrechnungen'!Q234)</f>
        <v/>
      </c>
      <c r="H234" s="15">
        <f>IF(A234="","",'13_Ausgangsrechnungen'!S234)</f>
        <v/>
      </c>
      <c r="I234" s="44">
        <f>IF(A234="","",'13_Ausgangsrechnungen'!J234)</f>
        <v/>
      </c>
      <c r="J234" s="45">
        <f>IF(A234="","",'13_Ausgangsrechnungen'!T234)</f>
        <v/>
      </c>
      <c r="L234" s="13">
        <f>IF('14_Eingangsrechnungen'!A234="","",IF('14_Eingangsrechnungen'!O234&gt;0.5,"Kreditor",""))</f>
        <v/>
      </c>
      <c r="M234" s="13">
        <f>IF(L234="","",'14_Eingangsrechnungen'!A234)</f>
        <v/>
      </c>
      <c r="N234" s="44">
        <f>IF(L234="","",'14_Eingangsrechnungen'!B234)</f>
        <v/>
      </c>
      <c r="O234" s="13">
        <f>IF(L234="","",'14_Eingangsrechnungen'!D234)</f>
        <v/>
      </c>
      <c r="P234" s="13">
        <f>IF(L234="","",'14_Eingangsrechnungen'!C234)</f>
        <v/>
      </c>
      <c r="Q234" s="13">
        <f>IF(L234="","",'14_Eingangsrechnungen'!E234)</f>
        <v/>
      </c>
      <c r="R234" s="15">
        <f>IF(L234="","",'14_Eingangsrechnungen'!M234)</f>
        <v/>
      </c>
      <c r="S234" s="15">
        <f>IF(L234="","",'14_Eingangsrechnungen'!O234)</f>
        <v/>
      </c>
      <c r="T234" s="44">
        <f>IF(L234="","",'14_Eingangsrechnungen'!H234)</f>
        <v/>
      </c>
      <c r="U234" s="45">
        <f>IF(L234="","",'14_Eingangsrechnungen'!P234)</f>
        <v/>
      </c>
    </row>
    <row r="235">
      <c r="A235" s="13">
        <f>IF('13_Ausgangsrechnungen'!A235="","",IF('13_Ausgangsrechnungen'!S235&gt;0.5,"Debitor",""))</f>
        <v/>
      </c>
      <c r="B235" s="13">
        <f>IF(A235="","",'13_Ausgangsrechnungen'!A235)</f>
        <v/>
      </c>
      <c r="C235" s="44">
        <f>IF(A235="","",'13_Ausgangsrechnungen'!B235)</f>
        <v/>
      </c>
      <c r="D235" s="13">
        <f>IF(A235="","",'13_Ausgangsrechnungen'!D235)</f>
        <v/>
      </c>
      <c r="E235" s="13">
        <f>IF(A235="","",'13_Ausgangsrechnungen'!C235)</f>
        <v/>
      </c>
      <c r="F235" s="13">
        <f>IF(A235="","",'13_Ausgangsrechnungen'!E235)</f>
        <v/>
      </c>
      <c r="G235" s="15">
        <f>IF(A235="","",'13_Ausgangsrechnungen'!Q235)</f>
        <v/>
      </c>
      <c r="H235" s="15">
        <f>IF(A235="","",'13_Ausgangsrechnungen'!S235)</f>
        <v/>
      </c>
      <c r="I235" s="44">
        <f>IF(A235="","",'13_Ausgangsrechnungen'!J235)</f>
        <v/>
      </c>
      <c r="J235" s="45">
        <f>IF(A235="","",'13_Ausgangsrechnungen'!T235)</f>
        <v/>
      </c>
      <c r="L235" s="13">
        <f>IF('14_Eingangsrechnungen'!A235="","",IF('14_Eingangsrechnungen'!O235&gt;0.5,"Kreditor",""))</f>
        <v/>
      </c>
      <c r="M235" s="13">
        <f>IF(L235="","",'14_Eingangsrechnungen'!A235)</f>
        <v/>
      </c>
      <c r="N235" s="44">
        <f>IF(L235="","",'14_Eingangsrechnungen'!B235)</f>
        <v/>
      </c>
      <c r="O235" s="13">
        <f>IF(L235="","",'14_Eingangsrechnungen'!D235)</f>
        <v/>
      </c>
      <c r="P235" s="13">
        <f>IF(L235="","",'14_Eingangsrechnungen'!C235)</f>
        <v/>
      </c>
      <c r="Q235" s="13">
        <f>IF(L235="","",'14_Eingangsrechnungen'!E235)</f>
        <v/>
      </c>
      <c r="R235" s="15">
        <f>IF(L235="","",'14_Eingangsrechnungen'!M235)</f>
        <v/>
      </c>
      <c r="S235" s="15">
        <f>IF(L235="","",'14_Eingangsrechnungen'!O235)</f>
        <v/>
      </c>
      <c r="T235" s="44">
        <f>IF(L235="","",'14_Eingangsrechnungen'!H235)</f>
        <v/>
      </c>
      <c r="U235" s="45">
        <f>IF(L235="","",'14_Eingangsrechnungen'!P235)</f>
        <v/>
      </c>
    </row>
    <row r="236">
      <c r="A236" s="13">
        <f>IF('13_Ausgangsrechnungen'!A236="","",IF('13_Ausgangsrechnungen'!S236&gt;0.5,"Debitor",""))</f>
        <v/>
      </c>
      <c r="B236" s="13">
        <f>IF(A236="","",'13_Ausgangsrechnungen'!A236)</f>
        <v/>
      </c>
      <c r="C236" s="44">
        <f>IF(A236="","",'13_Ausgangsrechnungen'!B236)</f>
        <v/>
      </c>
      <c r="D236" s="13">
        <f>IF(A236="","",'13_Ausgangsrechnungen'!D236)</f>
        <v/>
      </c>
      <c r="E236" s="13">
        <f>IF(A236="","",'13_Ausgangsrechnungen'!C236)</f>
        <v/>
      </c>
      <c r="F236" s="13">
        <f>IF(A236="","",'13_Ausgangsrechnungen'!E236)</f>
        <v/>
      </c>
      <c r="G236" s="15">
        <f>IF(A236="","",'13_Ausgangsrechnungen'!Q236)</f>
        <v/>
      </c>
      <c r="H236" s="15">
        <f>IF(A236="","",'13_Ausgangsrechnungen'!S236)</f>
        <v/>
      </c>
      <c r="I236" s="44">
        <f>IF(A236="","",'13_Ausgangsrechnungen'!J236)</f>
        <v/>
      </c>
      <c r="J236" s="45">
        <f>IF(A236="","",'13_Ausgangsrechnungen'!T236)</f>
        <v/>
      </c>
      <c r="L236" s="13">
        <f>IF('14_Eingangsrechnungen'!A236="","",IF('14_Eingangsrechnungen'!O236&gt;0.5,"Kreditor",""))</f>
        <v/>
      </c>
      <c r="M236" s="13">
        <f>IF(L236="","",'14_Eingangsrechnungen'!A236)</f>
        <v/>
      </c>
      <c r="N236" s="44">
        <f>IF(L236="","",'14_Eingangsrechnungen'!B236)</f>
        <v/>
      </c>
      <c r="O236" s="13">
        <f>IF(L236="","",'14_Eingangsrechnungen'!D236)</f>
        <v/>
      </c>
      <c r="P236" s="13">
        <f>IF(L236="","",'14_Eingangsrechnungen'!C236)</f>
        <v/>
      </c>
      <c r="Q236" s="13">
        <f>IF(L236="","",'14_Eingangsrechnungen'!E236)</f>
        <v/>
      </c>
      <c r="R236" s="15">
        <f>IF(L236="","",'14_Eingangsrechnungen'!M236)</f>
        <v/>
      </c>
      <c r="S236" s="15">
        <f>IF(L236="","",'14_Eingangsrechnungen'!O236)</f>
        <v/>
      </c>
      <c r="T236" s="44">
        <f>IF(L236="","",'14_Eingangsrechnungen'!H236)</f>
        <v/>
      </c>
      <c r="U236" s="45">
        <f>IF(L236="","",'14_Eingangsrechnungen'!P236)</f>
        <v/>
      </c>
    </row>
    <row r="237">
      <c r="A237" s="13">
        <f>IF('13_Ausgangsrechnungen'!A237="","",IF('13_Ausgangsrechnungen'!S237&gt;0.5,"Debitor",""))</f>
        <v/>
      </c>
      <c r="B237" s="13">
        <f>IF(A237="","",'13_Ausgangsrechnungen'!A237)</f>
        <v/>
      </c>
      <c r="C237" s="44">
        <f>IF(A237="","",'13_Ausgangsrechnungen'!B237)</f>
        <v/>
      </c>
      <c r="D237" s="13">
        <f>IF(A237="","",'13_Ausgangsrechnungen'!D237)</f>
        <v/>
      </c>
      <c r="E237" s="13">
        <f>IF(A237="","",'13_Ausgangsrechnungen'!C237)</f>
        <v/>
      </c>
      <c r="F237" s="13">
        <f>IF(A237="","",'13_Ausgangsrechnungen'!E237)</f>
        <v/>
      </c>
      <c r="G237" s="15">
        <f>IF(A237="","",'13_Ausgangsrechnungen'!Q237)</f>
        <v/>
      </c>
      <c r="H237" s="15">
        <f>IF(A237="","",'13_Ausgangsrechnungen'!S237)</f>
        <v/>
      </c>
      <c r="I237" s="44">
        <f>IF(A237="","",'13_Ausgangsrechnungen'!J237)</f>
        <v/>
      </c>
      <c r="J237" s="45">
        <f>IF(A237="","",'13_Ausgangsrechnungen'!T237)</f>
        <v/>
      </c>
      <c r="L237" s="13">
        <f>IF('14_Eingangsrechnungen'!A237="","",IF('14_Eingangsrechnungen'!O237&gt;0.5,"Kreditor",""))</f>
        <v/>
      </c>
      <c r="M237" s="13">
        <f>IF(L237="","",'14_Eingangsrechnungen'!A237)</f>
        <v/>
      </c>
      <c r="N237" s="44">
        <f>IF(L237="","",'14_Eingangsrechnungen'!B237)</f>
        <v/>
      </c>
      <c r="O237" s="13">
        <f>IF(L237="","",'14_Eingangsrechnungen'!D237)</f>
        <v/>
      </c>
      <c r="P237" s="13">
        <f>IF(L237="","",'14_Eingangsrechnungen'!C237)</f>
        <v/>
      </c>
      <c r="Q237" s="13">
        <f>IF(L237="","",'14_Eingangsrechnungen'!E237)</f>
        <v/>
      </c>
      <c r="R237" s="15">
        <f>IF(L237="","",'14_Eingangsrechnungen'!M237)</f>
        <v/>
      </c>
      <c r="S237" s="15">
        <f>IF(L237="","",'14_Eingangsrechnungen'!O237)</f>
        <v/>
      </c>
      <c r="T237" s="44">
        <f>IF(L237="","",'14_Eingangsrechnungen'!H237)</f>
        <v/>
      </c>
      <c r="U237" s="45">
        <f>IF(L237="","",'14_Eingangsrechnungen'!P237)</f>
        <v/>
      </c>
    </row>
    <row r="238">
      <c r="A238" s="13">
        <f>IF('13_Ausgangsrechnungen'!A238="","",IF('13_Ausgangsrechnungen'!S238&gt;0.5,"Debitor",""))</f>
        <v/>
      </c>
      <c r="B238" s="13">
        <f>IF(A238="","",'13_Ausgangsrechnungen'!A238)</f>
        <v/>
      </c>
      <c r="C238" s="44">
        <f>IF(A238="","",'13_Ausgangsrechnungen'!B238)</f>
        <v/>
      </c>
      <c r="D238" s="13">
        <f>IF(A238="","",'13_Ausgangsrechnungen'!D238)</f>
        <v/>
      </c>
      <c r="E238" s="13">
        <f>IF(A238="","",'13_Ausgangsrechnungen'!C238)</f>
        <v/>
      </c>
      <c r="F238" s="13">
        <f>IF(A238="","",'13_Ausgangsrechnungen'!E238)</f>
        <v/>
      </c>
      <c r="G238" s="15">
        <f>IF(A238="","",'13_Ausgangsrechnungen'!Q238)</f>
        <v/>
      </c>
      <c r="H238" s="15">
        <f>IF(A238="","",'13_Ausgangsrechnungen'!S238)</f>
        <v/>
      </c>
      <c r="I238" s="44">
        <f>IF(A238="","",'13_Ausgangsrechnungen'!J238)</f>
        <v/>
      </c>
      <c r="J238" s="45">
        <f>IF(A238="","",'13_Ausgangsrechnungen'!T238)</f>
        <v/>
      </c>
      <c r="L238" s="13">
        <f>IF('14_Eingangsrechnungen'!A238="","",IF('14_Eingangsrechnungen'!O238&gt;0.5,"Kreditor",""))</f>
        <v/>
      </c>
      <c r="M238" s="13">
        <f>IF(L238="","",'14_Eingangsrechnungen'!A238)</f>
        <v/>
      </c>
      <c r="N238" s="44">
        <f>IF(L238="","",'14_Eingangsrechnungen'!B238)</f>
        <v/>
      </c>
      <c r="O238" s="13">
        <f>IF(L238="","",'14_Eingangsrechnungen'!D238)</f>
        <v/>
      </c>
      <c r="P238" s="13">
        <f>IF(L238="","",'14_Eingangsrechnungen'!C238)</f>
        <v/>
      </c>
      <c r="Q238" s="13">
        <f>IF(L238="","",'14_Eingangsrechnungen'!E238)</f>
        <v/>
      </c>
      <c r="R238" s="15">
        <f>IF(L238="","",'14_Eingangsrechnungen'!M238)</f>
        <v/>
      </c>
      <c r="S238" s="15">
        <f>IF(L238="","",'14_Eingangsrechnungen'!O238)</f>
        <v/>
      </c>
      <c r="T238" s="44">
        <f>IF(L238="","",'14_Eingangsrechnungen'!H238)</f>
        <v/>
      </c>
      <c r="U238" s="45">
        <f>IF(L238="","",'14_Eingangsrechnungen'!P238)</f>
        <v/>
      </c>
    </row>
    <row r="239">
      <c r="A239" s="13">
        <f>IF('13_Ausgangsrechnungen'!A239="","",IF('13_Ausgangsrechnungen'!S239&gt;0.5,"Debitor",""))</f>
        <v/>
      </c>
      <c r="B239" s="13">
        <f>IF(A239="","",'13_Ausgangsrechnungen'!A239)</f>
        <v/>
      </c>
      <c r="C239" s="44">
        <f>IF(A239="","",'13_Ausgangsrechnungen'!B239)</f>
        <v/>
      </c>
      <c r="D239" s="13">
        <f>IF(A239="","",'13_Ausgangsrechnungen'!D239)</f>
        <v/>
      </c>
      <c r="E239" s="13">
        <f>IF(A239="","",'13_Ausgangsrechnungen'!C239)</f>
        <v/>
      </c>
      <c r="F239" s="13">
        <f>IF(A239="","",'13_Ausgangsrechnungen'!E239)</f>
        <v/>
      </c>
      <c r="G239" s="15">
        <f>IF(A239="","",'13_Ausgangsrechnungen'!Q239)</f>
        <v/>
      </c>
      <c r="H239" s="15">
        <f>IF(A239="","",'13_Ausgangsrechnungen'!S239)</f>
        <v/>
      </c>
      <c r="I239" s="44">
        <f>IF(A239="","",'13_Ausgangsrechnungen'!J239)</f>
        <v/>
      </c>
      <c r="J239" s="45">
        <f>IF(A239="","",'13_Ausgangsrechnungen'!T239)</f>
        <v/>
      </c>
      <c r="L239" s="13">
        <f>IF('14_Eingangsrechnungen'!A239="","",IF('14_Eingangsrechnungen'!O239&gt;0.5,"Kreditor",""))</f>
        <v/>
      </c>
      <c r="M239" s="13">
        <f>IF(L239="","",'14_Eingangsrechnungen'!A239)</f>
        <v/>
      </c>
      <c r="N239" s="44">
        <f>IF(L239="","",'14_Eingangsrechnungen'!B239)</f>
        <v/>
      </c>
      <c r="O239" s="13">
        <f>IF(L239="","",'14_Eingangsrechnungen'!D239)</f>
        <v/>
      </c>
      <c r="P239" s="13">
        <f>IF(L239="","",'14_Eingangsrechnungen'!C239)</f>
        <v/>
      </c>
      <c r="Q239" s="13">
        <f>IF(L239="","",'14_Eingangsrechnungen'!E239)</f>
        <v/>
      </c>
      <c r="R239" s="15">
        <f>IF(L239="","",'14_Eingangsrechnungen'!M239)</f>
        <v/>
      </c>
      <c r="S239" s="15">
        <f>IF(L239="","",'14_Eingangsrechnungen'!O239)</f>
        <v/>
      </c>
      <c r="T239" s="44">
        <f>IF(L239="","",'14_Eingangsrechnungen'!H239)</f>
        <v/>
      </c>
      <c r="U239" s="45">
        <f>IF(L239="","",'14_Eingangsrechnungen'!P239)</f>
        <v/>
      </c>
    </row>
    <row r="240">
      <c r="A240" s="13">
        <f>IF('13_Ausgangsrechnungen'!A240="","",IF('13_Ausgangsrechnungen'!S240&gt;0.5,"Debitor",""))</f>
        <v/>
      </c>
      <c r="B240" s="13">
        <f>IF(A240="","",'13_Ausgangsrechnungen'!A240)</f>
        <v/>
      </c>
      <c r="C240" s="44">
        <f>IF(A240="","",'13_Ausgangsrechnungen'!B240)</f>
        <v/>
      </c>
      <c r="D240" s="13">
        <f>IF(A240="","",'13_Ausgangsrechnungen'!D240)</f>
        <v/>
      </c>
      <c r="E240" s="13">
        <f>IF(A240="","",'13_Ausgangsrechnungen'!C240)</f>
        <v/>
      </c>
      <c r="F240" s="13">
        <f>IF(A240="","",'13_Ausgangsrechnungen'!E240)</f>
        <v/>
      </c>
      <c r="G240" s="15">
        <f>IF(A240="","",'13_Ausgangsrechnungen'!Q240)</f>
        <v/>
      </c>
      <c r="H240" s="15">
        <f>IF(A240="","",'13_Ausgangsrechnungen'!S240)</f>
        <v/>
      </c>
      <c r="I240" s="44">
        <f>IF(A240="","",'13_Ausgangsrechnungen'!J240)</f>
        <v/>
      </c>
      <c r="J240" s="45">
        <f>IF(A240="","",'13_Ausgangsrechnungen'!T240)</f>
        <v/>
      </c>
      <c r="L240" s="13">
        <f>IF('14_Eingangsrechnungen'!A240="","",IF('14_Eingangsrechnungen'!O240&gt;0.5,"Kreditor",""))</f>
        <v/>
      </c>
      <c r="M240" s="13">
        <f>IF(L240="","",'14_Eingangsrechnungen'!A240)</f>
        <v/>
      </c>
      <c r="N240" s="44">
        <f>IF(L240="","",'14_Eingangsrechnungen'!B240)</f>
        <v/>
      </c>
      <c r="O240" s="13">
        <f>IF(L240="","",'14_Eingangsrechnungen'!D240)</f>
        <v/>
      </c>
      <c r="P240" s="13">
        <f>IF(L240="","",'14_Eingangsrechnungen'!C240)</f>
        <v/>
      </c>
      <c r="Q240" s="13">
        <f>IF(L240="","",'14_Eingangsrechnungen'!E240)</f>
        <v/>
      </c>
      <c r="R240" s="15">
        <f>IF(L240="","",'14_Eingangsrechnungen'!M240)</f>
        <v/>
      </c>
      <c r="S240" s="15">
        <f>IF(L240="","",'14_Eingangsrechnungen'!O240)</f>
        <v/>
      </c>
      <c r="T240" s="44">
        <f>IF(L240="","",'14_Eingangsrechnungen'!H240)</f>
        <v/>
      </c>
      <c r="U240" s="45">
        <f>IF(L240="","",'14_Eingangsrechnungen'!P240)</f>
        <v/>
      </c>
    </row>
    <row r="241">
      <c r="A241" s="13">
        <f>IF('13_Ausgangsrechnungen'!A241="","",IF('13_Ausgangsrechnungen'!S241&gt;0.5,"Debitor",""))</f>
        <v/>
      </c>
      <c r="B241" s="13">
        <f>IF(A241="","",'13_Ausgangsrechnungen'!A241)</f>
        <v/>
      </c>
      <c r="C241" s="44">
        <f>IF(A241="","",'13_Ausgangsrechnungen'!B241)</f>
        <v/>
      </c>
      <c r="D241" s="13">
        <f>IF(A241="","",'13_Ausgangsrechnungen'!D241)</f>
        <v/>
      </c>
      <c r="E241" s="13">
        <f>IF(A241="","",'13_Ausgangsrechnungen'!C241)</f>
        <v/>
      </c>
      <c r="F241" s="13">
        <f>IF(A241="","",'13_Ausgangsrechnungen'!E241)</f>
        <v/>
      </c>
      <c r="G241" s="15">
        <f>IF(A241="","",'13_Ausgangsrechnungen'!Q241)</f>
        <v/>
      </c>
      <c r="H241" s="15">
        <f>IF(A241="","",'13_Ausgangsrechnungen'!S241)</f>
        <v/>
      </c>
      <c r="I241" s="44">
        <f>IF(A241="","",'13_Ausgangsrechnungen'!J241)</f>
        <v/>
      </c>
      <c r="J241" s="45">
        <f>IF(A241="","",'13_Ausgangsrechnungen'!T241)</f>
        <v/>
      </c>
      <c r="L241" s="13">
        <f>IF('14_Eingangsrechnungen'!A241="","",IF('14_Eingangsrechnungen'!O241&gt;0.5,"Kreditor",""))</f>
        <v/>
      </c>
      <c r="M241" s="13">
        <f>IF(L241="","",'14_Eingangsrechnungen'!A241)</f>
        <v/>
      </c>
      <c r="N241" s="44">
        <f>IF(L241="","",'14_Eingangsrechnungen'!B241)</f>
        <v/>
      </c>
      <c r="O241" s="13">
        <f>IF(L241="","",'14_Eingangsrechnungen'!D241)</f>
        <v/>
      </c>
      <c r="P241" s="13">
        <f>IF(L241="","",'14_Eingangsrechnungen'!C241)</f>
        <v/>
      </c>
      <c r="Q241" s="13">
        <f>IF(L241="","",'14_Eingangsrechnungen'!E241)</f>
        <v/>
      </c>
      <c r="R241" s="15">
        <f>IF(L241="","",'14_Eingangsrechnungen'!M241)</f>
        <v/>
      </c>
      <c r="S241" s="15">
        <f>IF(L241="","",'14_Eingangsrechnungen'!O241)</f>
        <v/>
      </c>
      <c r="T241" s="44">
        <f>IF(L241="","",'14_Eingangsrechnungen'!H241)</f>
        <v/>
      </c>
      <c r="U241" s="45">
        <f>IF(L241="","",'14_Eingangsrechnungen'!P241)</f>
        <v/>
      </c>
    </row>
    <row r="242">
      <c r="A242" s="13">
        <f>IF('13_Ausgangsrechnungen'!A242="","",IF('13_Ausgangsrechnungen'!S242&gt;0.5,"Debitor",""))</f>
        <v/>
      </c>
      <c r="B242" s="13">
        <f>IF(A242="","",'13_Ausgangsrechnungen'!A242)</f>
        <v/>
      </c>
      <c r="C242" s="44">
        <f>IF(A242="","",'13_Ausgangsrechnungen'!B242)</f>
        <v/>
      </c>
      <c r="D242" s="13">
        <f>IF(A242="","",'13_Ausgangsrechnungen'!D242)</f>
        <v/>
      </c>
      <c r="E242" s="13">
        <f>IF(A242="","",'13_Ausgangsrechnungen'!C242)</f>
        <v/>
      </c>
      <c r="F242" s="13">
        <f>IF(A242="","",'13_Ausgangsrechnungen'!E242)</f>
        <v/>
      </c>
      <c r="G242" s="15">
        <f>IF(A242="","",'13_Ausgangsrechnungen'!Q242)</f>
        <v/>
      </c>
      <c r="H242" s="15">
        <f>IF(A242="","",'13_Ausgangsrechnungen'!S242)</f>
        <v/>
      </c>
      <c r="I242" s="44">
        <f>IF(A242="","",'13_Ausgangsrechnungen'!J242)</f>
        <v/>
      </c>
      <c r="J242" s="45">
        <f>IF(A242="","",'13_Ausgangsrechnungen'!T242)</f>
        <v/>
      </c>
      <c r="L242" s="13">
        <f>IF('14_Eingangsrechnungen'!A242="","",IF('14_Eingangsrechnungen'!O242&gt;0.5,"Kreditor",""))</f>
        <v/>
      </c>
      <c r="M242" s="13">
        <f>IF(L242="","",'14_Eingangsrechnungen'!A242)</f>
        <v/>
      </c>
      <c r="N242" s="44">
        <f>IF(L242="","",'14_Eingangsrechnungen'!B242)</f>
        <v/>
      </c>
      <c r="O242" s="13">
        <f>IF(L242="","",'14_Eingangsrechnungen'!D242)</f>
        <v/>
      </c>
      <c r="P242" s="13">
        <f>IF(L242="","",'14_Eingangsrechnungen'!C242)</f>
        <v/>
      </c>
      <c r="Q242" s="13">
        <f>IF(L242="","",'14_Eingangsrechnungen'!E242)</f>
        <v/>
      </c>
      <c r="R242" s="15">
        <f>IF(L242="","",'14_Eingangsrechnungen'!M242)</f>
        <v/>
      </c>
      <c r="S242" s="15">
        <f>IF(L242="","",'14_Eingangsrechnungen'!O242)</f>
        <v/>
      </c>
      <c r="T242" s="44">
        <f>IF(L242="","",'14_Eingangsrechnungen'!H242)</f>
        <v/>
      </c>
      <c r="U242" s="45">
        <f>IF(L242="","",'14_Eingangsrechnungen'!P242)</f>
        <v/>
      </c>
    </row>
    <row r="243">
      <c r="A243" s="13">
        <f>IF('13_Ausgangsrechnungen'!A243="","",IF('13_Ausgangsrechnungen'!S243&gt;0.5,"Debitor",""))</f>
        <v/>
      </c>
      <c r="B243" s="13">
        <f>IF(A243="","",'13_Ausgangsrechnungen'!A243)</f>
        <v/>
      </c>
      <c r="C243" s="44">
        <f>IF(A243="","",'13_Ausgangsrechnungen'!B243)</f>
        <v/>
      </c>
      <c r="D243" s="13">
        <f>IF(A243="","",'13_Ausgangsrechnungen'!D243)</f>
        <v/>
      </c>
      <c r="E243" s="13">
        <f>IF(A243="","",'13_Ausgangsrechnungen'!C243)</f>
        <v/>
      </c>
      <c r="F243" s="13">
        <f>IF(A243="","",'13_Ausgangsrechnungen'!E243)</f>
        <v/>
      </c>
      <c r="G243" s="15">
        <f>IF(A243="","",'13_Ausgangsrechnungen'!Q243)</f>
        <v/>
      </c>
      <c r="H243" s="15">
        <f>IF(A243="","",'13_Ausgangsrechnungen'!S243)</f>
        <v/>
      </c>
      <c r="I243" s="44">
        <f>IF(A243="","",'13_Ausgangsrechnungen'!J243)</f>
        <v/>
      </c>
      <c r="J243" s="45">
        <f>IF(A243="","",'13_Ausgangsrechnungen'!T243)</f>
        <v/>
      </c>
      <c r="L243" s="13">
        <f>IF('14_Eingangsrechnungen'!A243="","",IF('14_Eingangsrechnungen'!O243&gt;0.5,"Kreditor",""))</f>
        <v/>
      </c>
      <c r="M243" s="13">
        <f>IF(L243="","",'14_Eingangsrechnungen'!A243)</f>
        <v/>
      </c>
      <c r="N243" s="44">
        <f>IF(L243="","",'14_Eingangsrechnungen'!B243)</f>
        <v/>
      </c>
      <c r="O243" s="13">
        <f>IF(L243="","",'14_Eingangsrechnungen'!D243)</f>
        <v/>
      </c>
      <c r="P243" s="13">
        <f>IF(L243="","",'14_Eingangsrechnungen'!C243)</f>
        <v/>
      </c>
      <c r="Q243" s="13">
        <f>IF(L243="","",'14_Eingangsrechnungen'!E243)</f>
        <v/>
      </c>
      <c r="R243" s="15">
        <f>IF(L243="","",'14_Eingangsrechnungen'!M243)</f>
        <v/>
      </c>
      <c r="S243" s="15">
        <f>IF(L243="","",'14_Eingangsrechnungen'!O243)</f>
        <v/>
      </c>
      <c r="T243" s="44">
        <f>IF(L243="","",'14_Eingangsrechnungen'!H243)</f>
        <v/>
      </c>
      <c r="U243" s="45">
        <f>IF(L243="","",'14_Eingangsrechnungen'!P243)</f>
        <v/>
      </c>
    </row>
    <row r="244">
      <c r="A244" s="13">
        <f>IF('13_Ausgangsrechnungen'!A244="","",IF('13_Ausgangsrechnungen'!S244&gt;0.5,"Debitor",""))</f>
        <v/>
      </c>
      <c r="B244" s="13">
        <f>IF(A244="","",'13_Ausgangsrechnungen'!A244)</f>
        <v/>
      </c>
      <c r="C244" s="44">
        <f>IF(A244="","",'13_Ausgangsrechnungen'!B244)</f>
        <v/>
      </c>
      <c r="D244" s="13">
        <f>IF(A244="","",'13_Ausgangsrechnungen'!D244)</f>
        <v/>
      </c>
      <c r="E244" s="13">
        <f>IF(A244="","",'13_Ausgangsrechnungen'!C244)</f>
        <v/>
      </c>
      <c r="F244" s="13">
        <f>IF(A244="","",'13_Ausgangsrechnungen'!E244)</f>
        <v/>
      </c>
      <c r="G244" s="15">
        <f>IF(A244="","",'13_Ausgangsrechnungen'!Q244)</f>
        <v/>
      </c>
      <c r="H244" s="15">
        <f>IF(A244="","",'13_Ausgangsrechnungen'!S244)</f>
        <v/>
      </c>
      <c r="I244" s="44">
        <f>IF(A244="","",'13_Ausgangsrechnungen'!J244)</f>
        <v/>
      </c>
      <c r="J244" s="45">
        <f>IF(A244="","",'13_Ausgangsrechnungen'!T244)</f>
        <v/>
      </c>
      <c r="L244" s="13">
        <f>IF('14_Eingangsrechnungen'!A244="","",IF('14_Eingangsrechnungen'!O244&gt;0.5,"Kreditor",""))</f>
        <v/>
      </c>
      <c r="M244" s="13">
        <f>IF(L244="","",'14_Eingangsrechnungen'!A244)</f>
        <v/>
      </c>
      <c r="N244" s="44">
        <f>IF(L244="","",'14_Eingangsrechnungen'!B244)</f>
        <v/>
      </c>
      <c r="O244" s="13">
        <f>IF(L244="","",'14_Eingangsrechnungen'!D244)</f>
        <v/>
      </c>
      <c r="P244" s="13">
        <f>IF(L244="","",'14_Eingangsrechnungen'!C244)</f>
        <v/>
      </c>
      <c r="Q244" s="13">
        <f>IF(L244="","",'14_Eingangsrechnungen'!E244)</f>
        <v/>
      </c>
      <c r="R244" s="15">
        <f>IF(L244="","",'14_Eingangsrechnungen'!M244)</f>
        <v/>
      </c>
      <c r="S244" s="15">
        <f>IF(L244="","",'14_Eingangsrechnungen'!O244)</f>
        <v/>
      </c>
      <c r="T244" s="44">
        <f>IF(L244="","",'14_Eingangsrechnungen'!H244)</f>
        <v/>
      </c>
      <c r="U244" s="45">
        <f>IF(L244="","",'14_Eingangsrechnungen'!P244)</f>
        <v/>
      </c>
    </row>
    <row r="245">
      <c r="A245" s="13">
        <f>IF('13_Ausgangsrechnungen'!A245="","",IF('13_Ausgangsrechnungen'!S245&gt;0.5,"Debitor",""))</f>
        <v/>
      </c>
      <c r="B245" s="13">
        <f>IF(A245="","",'13_Ausgangsrechnungen'!A245)</f>
        <v/>
      </c>
      <c r="C245" s="44">
        <f>IF(A245="","",'13_Ausgangsrechnungen'!B245)</f>
        <v/>
      </c>
      <c r="D245" s="13">
        <f>IF(A245="","",'13_Ausgangsrechnungen'!D245)</f>
        <v/>
      </c>
      <c r="E245" s="13">
        <f>IF(A245="","",'13_Ausgangsrechnungen'!C245)</f>
        <v/>
      </c>
      <c r="F245" s="13">
        <f>IF(A245="","",'13_Ausgangsrechnungen'!E245)</f>
        <v/>
      </c>
      <c r="G245" s="15">
        <f>IF(A245="","",'13_Ausgangsrechnungen'!Q245)</f>
        <v/>
      </c>
      <c r="H245" s="15">
        <f>IF(A245="","",'13_Ausgangsrechnungen'!S245)</f>
        <v/>
      </c>
      <c r="I245" s="44">
        <f>IF(A245="","",'13_Ausgangsrechnungen'!J245)</f>
        <v/>
      </c>
      <c r="J245" s="45">
        <f>IF(A245="","",'13_Ausgangsrechnungen'!T245)</f>
        <v/>
      </c>
      <c r="L245" s="13">
        <f>IF('14_Eingangsrechnungen'!A245="","",IF('14_Eingangsrechnungen'!O245&gt;0.5,"Kreditor",""))</f>
        <v/>
      </c>
      <c r="M245" s="13">
        <f>IF(L245="","",'14_Eingangsrechnungen'!A245)</f>
        <v/>
      </c>
      <c r="N245" s="44">
        <f>IF(L245="","",'14_Eingangsrechnungen'!B245)</f>
        <v/>
      </c>
      <c r="O245" s="13">
        <f>IF(L245="","",'14_Eingangsrechnungen'!D245)</f>
        <v/>
      </c>
      <c r="P245" s="13">
        <f>IF(L245="","",'14_Eingangsrechnungen'!C245)</f>
        <v/>
      </c>
      <c r="Q245" s="13">
        <f>IF(L245="","",'14_Eingangsrechnungen'!E245)</f>
        <v/>
      </c>
      <c r="R245" s="15">
        <f>IF(L245="","",'14_Eingangsrechnungen'!M245)</f>
        <v/>
      </c>
      <c r="S245" s="15">
        <f>IF(L245="","",'14_Eingangsrechnungen'!O245)</f>
        <v/>
      </c>
      <c r="T245" s="44">
        <f>IF(L245="","",'14_Eingangsrechnungen'!H245)</f>
        <v/>
      </c>
      <c r="U245" s="45">
        <f>IF(L245="","",'14_Eingangsrechnungen'!P245)</f>
        <v/>
      </c>
    </row>
    <row r="246">
      <c r="A246" s="13">
        <f>IF('13_Ausgangsrechnungen'!A246="","",IF('13_Ausgangsrechnungen'!S246&gt;0.5,"Debitor",""))</f>
        <v/>
      </c>
      <c r="B246" s="13">
        <f>IF(A246="","",'13_Ausgangsrechnungen'!A246)</f>
        <v/>
      </c>
      <c r="C246" s="44">
        <f>IF(A246="","",'13_Ausgangsrechnungen'!B246)</f>
        <v/>
      </c>
      <c r="D246" s="13">
        <f>IF(A246="","",'13_Ausgangsrechnungen'!D246)</f>
        <v/>
      </c>
      <c r="E246" s="13">
        <f>IF(A246="","",'13_Ausgangsrechnungen'!C246)</f>
        <v/>
      </c>
      <c r="F246" s="13">
        <f>IF(A246="","",'13_Ausgangsrechnungen'!E246)</f>
        <v/>
      </c>
      <c r="G246" s="15">
        <f>IF(A246="","",'13_Ausgangsrechnungen'!Q246)</f>
        <v/>
      </c>
      <c r="H246" s="15">
        <f>IF(A246="","",'13_Ausgangsrechnungen'!S246)</f>
        <v/>
      </c>
      <c r="I246" s="44">
        <f>IF(A246="","",'13_Ausgangsrechnungen'!J246)</f>
        <v/>
      </c>
      <c r="J246" s="45">
        <f>IF(A246="","",'13_Ausgangsrechnungen'!T246)</f>
        <v/>
      </c>
      <c r="L246" s="13">
        <f>IF('14_Eingangsrechnungen'!A246="","",IF('14_Eingangsrechnungen'!O246&gt;0.5,"Kreditor",""))</f>
        <v/>
      </c>
      <c r="M246" s="13">
        <f>IF(L246="","",'14_Eingangsrechnungen'!A246)</f>
        <v/>
      </c>
      <c r="N246" s="44">
        <f>IF(L246="","",'14_Eingangsrechnungen'!B246)</f>
        <v/>
      </c>
      <c r="O246" s="13">
        <f>IF(L246="","",'14_Eingangsrechnungen'!D246)</f>
        <v/>
      </c>
      <c r="P246" s="13">
        <f>IF(L246="","",'14_Eingangsrechnungen'!C246)</f>
        <v/>
      </c>
      <c r="Q246" s="13">
        <f>IF(L246="","",'14_Eingangsrechnungen'!E246)</f>
        <v/>
      </c>
      <c r="R246" s="15">
        <f>IF(L246="","",'14_Eingangsrechnungen'!M246)</f>
        <v/>
      </c>
      <c r="S246" s="15">
        <f>IF(L246="","",'14_Eingangsrechnungen'!O246)</f>
        <v/>
      </c>
      <c r="T246" s="44">
        <f>IF(L246="","",'14_Eingangsrechnungen'!H246)</f>
        <v/>
      </c>
      <c r="U246" s="45">
        <f>IF(L246="","",'14_Eingangsrechnungen'!P246)</f>
        <v/>
      </c>
    </row>
    <row r="247">
      <c r="A247" s="13">
        <f>IF('13_Ausgangsrechnungen'!A247="","",IF('13_Ausgangsrechnungen'!S247&gt;0.5,"Debitor",""))</f>
        <v/>
      </c>
      <c r="B247" s="13">
        <f>IF(A247="","",'13_Ausgangsrechnungen'!A247)</f>
        <v/>
      </c>
      <c r="C247" s="44">
        <f>IF(A247="","",'13_Ausgangsrechnungen'!B247)</f>
        <v/>
      </c>
      <c r="D247" s="13">
        <f>IF(A247="","",'13_Ausgangsrechnungen'!D247)</f>
        <v/>
      </c>
      <c r="E247" s="13">
        <f>IF(A247="","",'13_Ausgangsrechnungen'!C247)</f>
        <v/>
      </c>
      <c r="F247" s="13">
        <f>IF(A247="","",'13_Ausgangsrechnungen'!E247)</f>
        <v/>
      </c>
      <c r="G247" s="15">
        <f>IF(A247="","",'13_Ausgangsrechnungen'!Q247)</f>
        <v/>
      </c>
      <c r="H247" s="15">
        <f>IF(A247="","",'13_Ausgangsrechnungen'!S247)</f>
        <v/>
      </c>
      <c r="I247" s="44">
        <f>IF(A247="","",'13_Ausgangsrechnungen'!J247)</f>
        <v/>
      </c>
      <c r="J247" s="45">
        <f>IF(A247="","",'13_Ausgangsrechnungen'!T247)</f>
        <v/>
      </c>
      <c r="L247" s="13">
        <f>IF('14_Eingangsrechnungen'!A247="","",IF('14_Eingangsrechnungen'!O247&gt;0.5,"Kreditor",""))</f>
        <v/>
      </c>
      <c r="M247" s="13">
        <f>IF(L247="","",'14_Eingangsrechnungen'!A247)</f>
        <v/>
      </c>
      <c r="N247" s="44">
        <f>IF(L247="","",'14_Eingangsrechnungen'!B247)</f>
        <v/>
      </c>
      <c r="O247" s="13">
        <f>IF(L247="","",'14_Eingangsrechnungen'!D247)</f>
        <v/>
      </c>
      <c r="P247" s="13">
        <f>IF(L247="","",'14_Eingangsrechnungen'!C247)</f>
        <v/>
      </c>
      <c r="Q247" s="13">
        <f>IF(L247="","",'14_Eingangsrechnungen'!E247)</f>
        <v/>
      </c>
      <c r="R247" s="15">
        <f>IF(L247="","",'14_Eingangsrechnungen'!M247)</f>
        <v/>
      </c>
      <c r="S247" s="15">
        <f>IF(L247="","",'14_Eingangsrechnungen'!O247)</f>
        <v/>
      </c>
      <c r="T247" s="44">
        <f>IF(L247="","",'14_Eingangsrechnungen'!H247)</f>
        <v/>
      </c>
      <c r="U247" s="45">
        <f>IF(L247="","",'14_Eingangsrechnungen'!P247)</f>
        <v/>
      </c>
    </row>
    <row r="248">
      <c r="A248" s="13">
        <f>IF('13_Ausgangsrechnungen'!A248="","",IF('13_Ausgangsrechnungen'!S248&gt;0.5,"Debitor",""))</f>
        <v/>
      </c>
      <c r="B248" s="13">
        <f>IF(A248="","",'13_Ausgangsrechnungen'!A248)</f>
        <v/>
      </c>
      <c r="C248" s="44">
        <f>IF(A248="","",'13_Ausgangsrechnungen'!B248)</f>
        <v/>
      </c>
      <c r="D248" s="13">
        <f>IF(A248="","",'13_Ausgangsrechnungen'!D248)</f>
        <v/>
      </c>
      <c r="E248" s="13">
        <f>IF(A248="","",'13_Ausgangsrechnungen'!C248)</f>
        <v/>
      </c>
      <c r="F248" s="13">
        <f>IF(A248="","",'13_Ausgangsrechnungen'!E248)</f>
        <v/>
      </c>
      <c r="G248" s="15">
        <f>IF(A248="","",'13_Ausgangsrechnungen'!Q248)</f>
        <v/>
      </c>
      <c r="H248" s="15">
        <f>IF(A248="","",'13_Ausgangsrechnungen'!S248)</f>
        <v/>
      </c>
      <c r="I248" s="44">
        <f>IF(A248="","",'13_Ausgangsrechnungen'!J248)</f>
        <v/>
      </c>
      <c r="J248" s="45">
        <f>IF(A248="","",'13_Ausgangsrechnungen'!T248)</f>
        <v/>
      </c>
      <c r="L248" s="13">
        <f>IF('14_Eingangsrechnungen'!A248="","",IF('14_Eingangsrechnungen'!O248&gt;0.5,"Kreditor",""))</f>
        <v/>
      </c>
      <c r="M248" s="13">
        <f>IF(L248="","",'14_Eingangsrechnungen'!A248)</f>
        <v/>
      </c>
      <c r="N248" s="44">
        <f>IF(L248="","",'14_Eingangsrechnungen'!B248)</f>
        <v/>
      </c>
      <c r="O248" s="13">
        <f>IF(L248="","",'14_Eingangsrechnungen'!D248)</f>
        <v/>
      </c>
      <c r="P248" s="13">
        <f>IF(L248="","",'14_Eingangsrechnungen'!C248)</f>
        <v/>
      </c>
      <c r="Q248" s="13">
        <f>IF(L248="","",'14_Eingangsrechnungen'!E248)</f>
        <v/>
      </c>
      <c r="R248" s="15">
        <f>IF(L248="","",'14_Eingangsrechnungen'!M248)</f>
        <v/>
      </c>
      <c r="S248" s="15">
        <f>IF(L248="","",'14_Eingangsrechnungen'!O248)</f>
        <v/>
      </c>
      <c r="T248" s="44">
        <f>IF(L248="","",'14_Eingangsrechnungen'!H248)</f>
        <v/>
      </c>
      <c r="U248" s="45">
        <f>IF(L248="","",'14_Eingangsrechnungen'!P248)</f>
        <v/>
      </c>
    </row>
    <row r="249">
      <c r="A249" s="13">
        <f>IF('13_Ausgangsrechnungen'!A249="","",IF('13_Ausgangsrechnungen'!S249&gt;0.5,"Debitor",""))</f>
        <v/>
      </c>
      <c r="B249" s="13">
        <f>IF(A249="","",'13_Ausgangsrechnungen'!A249)</f>
        <v/>
      </c>
      <c r="C249" s="44">
        <f>IF(A249="","",'13_Ausgangsrechnungen'!B249)</f>
        <v/>
      </c>
      <c r="D249" s="13">
        <f>IF(A249="","",'13_Ausgangsrechnungen'!D249)</f>
        <v/>
      </c>
      <c r="E249" s="13">
        <f>IF(A249="","",'13_Ausgangsrechnungen'!C249)</f>
        <v/>
      </c>
      <c r="F249" s="13">
        <f>IF(A249="","",'13_Ausgangsrechnungen'!E249)</f>
        <v/>
      </c>
      <c r="G249" s="15">
        <f>IF(A249="","",'13_Ausgangsrechnungen'!Q249)</f>
        <v/>
      </c>
      <c r="H249" s="15">
        <f>IF(A249="","",'13_Ausgangsrechnungen'!S249)</f>
        <v/>
      </c>
      <c r="I249" s="44">
        <f>IF(A249="","",'13_Ausgangsrechnungen'!J249)</f>
        <v/>
      </c>
      <c r="J249" s="45">
        <f>IF(A249="","",'13_Ausgangsrechnungen'!T249)</f>
        <v/>
      </c>
      <c r="L249" s="13">
        <f>IF('14_Eingangsrechnungen'!A249="","",IF('14_Eingangsrechnungen'!O249&gt;0.5,"Kreditor",""))</f>
        <v/>
      </c>
      <c r="M249" s="13">
        <f>IF(L249="","",'14_Eingangsrechnungen'!A249)</f>
        <v/>
      </c>
      <c r="N249" s="44">
        <f>IF(L249="","",'14_Eingangsrechnungen'!B249)</f>
        <v/>
      </c>
      <c r="O249" s="13">
        <f>IF(L249="","",'14_Eingangsrechnungen'!D249)</f>
        <v/>
      </c>
      <c r="P249" s="13">
        <f>IF(L249="","",'14_Eingangsrechnungen'!C249)</f>
        <v/>
      </c>
      <c r="Q249" s="13">
        <f>IF(L249="","",'14_Eingangsrechnungen'!E249)</f>
        <v/>
      </c>
      <c r="R249" s="15">
        <f>IF(L249="","",'14_Eingangsrechnungen'!M249)</f>
        <v/>
      </c>
      <c r="S249" s="15">
        <f>IF(L249="","",'14_Eingangsrechnungen'!O249)</f>
        <v/>
      </c>
      <c r="T249" s="44">
        <f>IF(L249="","",'14_Eingangsrechnungen'!H249)</f>
        <v/>
      </c>
      <c r="U249" s="45">
        <f>IF(L249="","",'14_Eingangsrechnungen'!P249)</f>
        <v/>
      </c>
    </row>
    <row r="250">
      <c r="A250" s="13">
        <f>IF('13_Ausgangsrechnungen'!A250="","",IF('13_Ausgangsrechnungen'!S250&gt;0.5,"Debitor",""))</f>
        <v/>
      </c>
      <c r="B250" s="13">
        <f>IF(A250="","",'13_Ausgangsrechnungen'!A250)</f>
        <v/>
      </c>
      <c r="C250" s="44">
        <f>IF(A250="","",'13_Ausgangsrechnungen'!B250)</f>
        <v/>
      </c>
      <c r="D250" s="13">
        <f>IF(A250="","",'13_Ausgangsrechnungen'!D250)</f>
        <v/>
      </c>
      <c r="E250" s="13">
        <f>IF(A250="","",'13_Ausgangsrechnungen'!C250)</f>
        <v/>
      </c>
      <c r="F250" s="13">
        <f>IF(A250="","",'13_Ausgangsrechnungen'!E250)</f>
        <v/>
      </c>
      <c r="G250" s="15">
        <f>IF(A250="","",'13_Ausgangsrechnungen'!Q250)</f>
        <v/>
      </c>
      <c r="H250" s="15">
        <f>IF(A250="","",'13_Ausgangsrechnungen'!S250)</f>
        <v/>
      </c>
      <c r="I250" s="44">
        <f>IF(A250="","",'13_Ausgangsrechnungen'!J250)</f>
        <v/>
      </c>
      <c r="J250" s="45">
        <f>IF(A250="","",'13_Ausgangsrechnungen'!T250)</f>
        <v/>
      </c>
      <c r="L250" s="13">
        <f>IF('14_Eingangsrechnungen'!A250="","",IF('14_Eingangsrechnungen'!O250&gt;0.5,"Kreditor",""))</f>
        <v/>
      </c>
      <c r="M250" s="13">
        <f>IF(L250="","",'14_Eingangsrechnungen'!A250)</f>
        <v/>
      </c>
      <c r="N250" s="44">
        <f>IF(L250="","",'14_Eingangsrechnungen'!B250)</f>
        <v/>
      </c>
      <c r="O250" s="13">
        <f>IF(L250="","",'14_Eingangsrechnungen'!D250)</f>
        <v/>
      </c>
      <c r="P250" s="13">
        <f>IF(L250="","",'14_Eingangsrechnungen'!C250)</f>
        <v/>
      </c>
      <c r="Q250" s="13">
        <f>IF(L250="","",'14_Eingangsrechnungen'!E250)</f>
        <v/>
      </c>
      <c r="R250" s="15">
        <f>IF(L250="","",'14_Eingangsrechnungen'!M250)</f>
        <v/>
      </c>
      <c r="S250" s="15">
        <f>IF(L250="","",'14_Eingangsrechnungen'!O250)</f>
        <v/>
      </c>
      <c r="T250" s="44">
        <f>IF(L250="","",'14_Eingangsrechnungen'!H250)</f>
        <v/>
      </c>
      <c r="U250" s="45">
        <f>IF(L250="","",'14_Eingangsrechnungen'!P250)</f>
        <v/>
      </c>
    </row>
    <row r="251">
      <c r="A251" s="13">
        <f>IF('13_Ausgangsrechnungen'!A251="","",IF('13_Ausgangsrechnungen'!S251&gt;0.5,"Debitor",""))</f>
        <v/>
      </c>
      <c r="B251" s="13">
        <f>IF(A251="","",'13_Ausgangsrechnungen'!A251)</f>
        <v/>
      </c>
      <c r="C251" s="44">
        <f>IF(A251="","",'13_Ausgangsrechnungen'!B251)</f>
        <v/>
      </c>
      <c r="D251" s="13">
        <f>IF(A251="","",'13_Ausgangsrechnungen'!D251)</f>
        <v/>
      </c>
      <c r="E251" s="13">
        <f>IF(A251="","",'13_Ausgangsrechnungen'!C251)</f>
        <v/>
      </c>
      <c r="F251" s="13">
        <f>IF(A251="","",'13_Ausgangsrechnungen'!E251)</f>
        <v/>
      </c>
      <c r="G251" s="15">
        <f>IF(A251="","",'13_Ausgangsrechnungen'!Q251)</f>
        <v/>
      </c>
      <c r="H251" s="15">
        <f>IF(A251="","",'13_Ausgangsrechnungen'!S251)</f>
        <v/>
      </c>
      <c r="I251" s="44">
        <f>IF(A251="","",'13_Ausgangsrechnungen'!J251)</f>
        <v/>
      </c>
      <c r="J251" s="45">
        <f>IF(A251="","",'13_Ausgangsrechnungen'!T251)</f>
        <v/>
      </c>
      <c r="L251" s="13">
        <f>IF('14_Eingangsrechnungen'!A251="","",IF('14_Eingangsrechnungen'!O251&gt;0.5,"Kreditor",""))</f>
        <v/>
      </c>
      <c r="M251" s="13">
        <f>IF(L251="","",'14_Eingangsrechnungen'!A251)</f>
        <v/>
      </c>
      <c r="N251" s="44">
        <f>IF(L251="","",'14_Eingangsrechnungen'!B251)</f>
        <v/>
      </c>
      <c r="O251" s="13">
        <f>IF(L251="","",'14_Eingangsrechnungen'!D251)</f>
        <v/>
      </c>
      <c r="P251" s="13">
        <f>IF(L251="","",'14_Eingangsrechnungen'!C251)</f>
        <v/>
      </c>
      <c r="Q251" s="13">
        <f>IF(L251="","",'14_Eingangsrechnungen'!E251)</f>
        <v/>
      </c>
      <c r="R251" s="15">
        <f>IF(L251="","",'14_Eingangsrechnungen'!M251)</f>
        <v/>
      </c>
      <c r="S251" s="15">
        <f>IF(L251="","",'14_Eingangsrechnungen'!O251)</f>
        <v/>
      </c>
      <c r="T251" s="44">
        <f>IF(L251="","",'14_Eingangsrechnungen'!H251)</f>
        <v/>
      </c>
      <c r="U251" s="45">
        <f>IF(L251="","",'14_Eingangsrechnungen'!P251)</f>
        <v/>
      </c>
    </row>
    <row r="252">
      <c r="A252" s="13">
        <f>IF('13_Ausgangsrechnungen'!A252="","",IF('13_Ausgangsrechnungen'!S252&gt;0.5,"Debitor",""))</f>
        <v/>
      </c>
      <c r="B252" s="13">
        <f>IF(A252="","",'13_Ausgangsrechnungen'!A252)</f>
        <v/>
      </c>
      <c r="C252" s="44">
        <f>IF(A252="","",'13_Ausgangsrechnungen'!B252)</f>
        <v/>
      </c>
      <c r="D252" s="13">
        <f>IF(A252="","",'13_Ausgangsrechnungen'!D252)</f>
        <v/>
      </c>
      <c r="E252" s="13">
        <f>IF(A252="","",'13_Ausgangsrechnungen'!C252)</f>
        <v/>
      </c>
      <c r="F252" s="13">
        <f>IF(A252="","",'13_Ausgangsrechnungen'!E252)</f>
        <v/>
      </c>
      <c r="G252" s="15">
        <f>IF(A252="","",'13_Ausgangsrechnungen'!Q252)</f>
        <v/>
      </c>
      <c r="H252" s="15">
        <f>IF(A252="","",'13_Ausgangsrechnungen'!S252)</f>
        <v/>
      </c>
      <c r="I252" s="44">
        <f>IF(A252="","",'13_Ausgangsrechnungen'!J252)</f>
        <v/>
      </c>
      <c r="J252" s="45">
        <f>IF(A252="","",'13_Ausgangsrechnungen'!T252)</f>
        <v/>
      </c>
      <c r="L252" s="13">
        <f>IF('14_Eingangsrechnungen'!A252="","",IF('14_Eingangsrechnungen'!O252&gt;0.5,"Kreditor",""))</f>
        <v/>
      </c>
      <c r="M252" s="13">
        <f>IF(L252="","",'14_Eingangsrechnungen'!A252)</f>
        <v/>
      </c>
      <c r="N252" s="44">
        <f>IF(L252="","",'14_Eingangsrechnungen'!B252)</f>
        <v/>
      </c>
      <c r="O252" s="13">
        <f>IF(L252="","",'14_Eingangsrechnungen'!D252)</f>
        <v/>
      </c>
      <c r="P252" s="13">
        <f>IF(L252="","",'14_Eingangsrechnungen'!C252)</f>
        <v/>
      </c>
      <c r="Q252" s="13">
        <f>IF(L252="","",'14_Eingangsrechnungen'!E252)</f>
        <v/>
      </c>
      <c r="R252" s="15">
        <f>IF(L252="","",'14_Eingangsrechnungen'!M252)</f>
        <v/>
      </c>
      <c r="S252" s="15">
        <f>IF(L252="","",'14_Eingangsrechnungen'!O252)</f>
        <v/>
      </c>
      <c r="T252" s="44">
        <f>IF(L252="","",'14_Eingangsrechnungen'!H252)</f>
        <v/>
      </c>
      <c r="U252" s="45">
        <f>IF(L252="","",'14_Eingangsrechnungen'!P252)</f>
        <v/>
      </c>
    </row>
    <row r="253">
      <c r="A253" s="13">
        <f>IF('13_Ausgangsrechnungen'!A253="","",IF('13_Ausgangsrechnungen'!S253&gt;0.5,"Debitor",""))</f>
        <v/>
      </c>
      <c r="B253" s="13">
        <f>IF(A253="","",'13_Ausgangsrechnungen'!A253)</f>
        <v/>
      </c>
      <c r="C253" s="44">
        <f>IF(A253="","",'13_Ausgangsrechnungen'!B253)</f>
        <v/>
      </c>
      <c r="D253" s="13">
        <f>IF(A253="","",'13_Ausgangsrechnungen'!D253)</f>
        <v/>
      </c>
      <c r="E253" s="13">
        <f>IF(A253="","",'13_Ausgangsrechnungen'!C253)</f>
        <v/>
      </c>
      <c r="F253" s="13">
        <f>IF(A253="","",'13_Ausgangsrechnungen'!E253)</f>
        <v/>
      </c>
      <c r="G253" s="15">
        <f>IF(A253="","",'13_Ausgangsrechnungen'!Q253)</f>
        <v/>
      </c>
      <c r="H253" s="15">
        <f>IF(A253="","",'13_Ausgangsrechnungen'!S253)</f>
        <v/>
      </c>
      <c r="I253" s="44">
        <f>IF(A253="","",'13_Ausgangsrechnungen'!J253)</f>
        <v/>
      </c>
      <c r="J253" s="45">
        <f>IF(A253="","",'13_Ausgangsrechnungen'!T253)</f>
        <v/>
      </c>
      <c r="L253" s="13">
        <f>IF('14_Eingangsrechnungen'!A253="","",IF('14_Eingangsrechnungen'!O253&gt;0.5,"Kreditor",""))</f>
        <v/>
      </c>
      <c r="M253" s="13">
        <f>IF(L253="","",'14_Eingangsrechnungen'!A253)</f>
        <v/>
      </c>
      <c r="N253" s="44">
        <f>IF(L253="","",'14_Eingangsrechnungen'!B253)</f>
        <v/>
      </c>
      <c r="O253" s="13">
        <f>IF(L253="","",'14_Eingangsrechnungen'!D253)</f>
        <v/>
      </c>
      <c r="P253" s="13">
        <f>IF(L253="","",'14_Eingangsrechnungen'!C253)</f>
        <v/>
      </c>
      <c r="Q253" s="13">
        <f>IF(L253="","",'14_Eingangsrechnungen'!E253)</f>
        <v/>
      </c>
      <c r="R253" s="15">
        <f>IF(L253="","",'14_Eingangsrechnungen'!M253)</f>
        <v/>
      </c>
      <c r="S253" s="15">
        <f>IF(L253="","",'14_Eingangsrechnungen'!O253)</f>
        <v/>
      </c>
      <c r="T253" s="44">
        <f>IF(L253="","",'14_Eingangsrechnungen'!H253)</f>
        <v/>
      </c>
      <c r="U253" s="45">
        <f>IF(L253="","",'14_Eingangsrechnungen'!P253)</f>
        <v/>
      </c>
    </row>
    <row r="254">
      <c r="A254" s="13">
        <f>IF('13_Ausgangsrechnungen'!A254="","",IF('13_Ausgangsrechnungen'!S254&gt;0.5,"Debitor",""))</f>
        <v/>
      </c>
      <c r="B254" s="13">
        <f>IF(A254="","",'13_Ausgangsrechnungen'!A254)</f>
        <v/>
      </c>
      <c r="C254" s="44">
        <f>IF(A254="","",'13_Ausgangsrechnungen'!B254)</f>
        <v/>
      </c>
      <c r="D254" s="13">
        <f>IF(A254="","",'13_Ausgangsrechnungen'!D254)</f>
        <v/>
      </c>
      <c r="E254" s="13">
        <f>IF(A254="","",'13_Ausgangsrechnungen'!C254)</f>
        <v/>
      </c>
      <c r="F254" s="13">
        <f>IF(A254="","",'13_Ausgangsrechnungen'!E254)</f>
        <v/>
      </c>
      <c r="G254" s="15">
        <f>IF(A254="","",'13_Ausgangsrechnungen'!Q254)</f>
        <v/>
      </c>
      <c r="H254" s="15">
        <f>IF(A254="","",'13_Ausgangsrechnungen'!S254)</f>
        <v/>
      </c>
      <c r="I254" s="44">
        <f>IF(A254="","",'13_Ausgangsrechnungen'!J254)</f>
        <v/>
      </c>
      <c r="J254" s="45">
        <f>IF(A254="","",'13_Ausgangsrechnungen'!T254)</f>
        <v/>
      </c>
      <c r="L254" s="13">
        <f>IF('14_Eingangsrechnungen'!A254="","",IF('14_Eingangsrechnungen'!O254&gt;0.5,"Kreditor",""))</f>
        <v/>
      </c>
      <c r="M254" s="13">
        <f>IF(L254="","",'14_Eingangsrechnungen'!A254)</f>
        <v/>
      </c>
      <c r="N254" s="44">
        <f>IF(L254="","",'14_Eingangsrechnungen'!B254)</f>
        <v/>
      </c>
      <c r="O254" s="13">
        <f>IF(L254="","",'14_Eingangsrechnungen'!D254)</f>
        <v/>
      </c>
      <c r="P254" s="13">
        <f>IF(L254="","",'14_Eingangsrechnungen'!C254)</f>
        <v/>
      </c>
      <c r="Q254" s="13">
        <f>IF(L254="","",'14_Eingangsrechnungen'!E254)</f>
        <v/>
      </c>
      <c r="R254" s="15">
        <f>IF(L254="","",'14_Eingangsrechnungen'!M254)</f>
        <v/>
      </c>
      <c r="S254" s="15">
        <f>IF(L254="","",'14_Eingangsrechnungen'!O254)</f>
        <v/>
      </c>
      <c r="T254" s="44">
        <f>IF(L254="","",'14_Eingangsrechnungen'!H254)</f>
        <v/>
      </c>
      <c r="U254" s="45">
        <f>IF(L254="","",'14_Eingangsrechnungen'!P254)</f>
        <v/>
      </c>
    </row>
    <row r="255">
      <c r="A255" s="13">
        <f>IF('13_Ausgangsrechnungen'!A255="","",IF('13_Ausgangsrechnungen'!S255&gt;0.5,"Debitor",""))</f>
        <v/>
      </c>
      <c r="B255" s="13">
        <f>IF(A255="","",'13_Ausgangsrechnungen'!A255)</f>
        <v/>
      </c>
      <c r="C255" s="44">
        <f>IF(A255="","",'13_Ausgangsrechnungen'!B255)</f>
        <v/>
      </c>
      <c r="D255" s="13">
        <f>IF(A255="","",'13_Ausgangsrechnungen'!D255)</f>
        <v/>
      </c>
      <c r="E255" s="13">
        <f>IF(A255="","",'13_Ausgangsrechnungen'!C255)</f>
        <v/>
      </c>
      <c r="F255" s="13">
        <f>IF(A255="","",'13_Ausgangsrechnungen'!E255)</f>
        <v/>
      </c>
      <c r="G255" s="15">
        <f>IF(A255="","",'13_Ausgangsrechnungen'!Q255)</f>
        <v/>
      </c>
      <c r="H255" s="15">
        <f>IF(A255="","",'13_Ausgangsrechnungen'!S255)</f>
        <v/>
      </c>
      <c r="I255" s="44">
        <f>IF(A255="","",'13_Ausgangsrechnungen'!J255)</f>
        <v/>
      </c>
      <c r="J255" s="45">
        <f>IF(A255="","",'13_Ausgangsrechnungen'!T255)</f>
        <v/>
      </c>
      <c r="L255" s="13">
        <f>IF('14_Eingangsrechnungen'!A255="","",IF('14_Eingangsrechnungen'!O255&gt;0.5,"Kreditor",""))</f>
        <v/>
      </c>
      <c r="M255" s="13">
        <f>IF(L255="","",'14_Eingangsrechnungen'!A255)</f>
        <v/>
      </c>
      <c r="N255" s="44">
        <f>IF(L255="","",'14_Eingangsrechnungen'!B255)</f>
        <v/>
      </c>
      <c r="O255" s="13">
        <f>IF(L255="","",'14_Eingangsrechnungen'!D255)</f>
        <v/>
      </c>
      <c r="P255" s="13">
        <f>IF(L255="","",'14_Eingangsrechnungen'!C255)</f>
        <v/>
      </c>
      <c r="Q255" s="13">
        <f>IF(L255="","",'14_Eingangsrechnungen'!E255)</f>
        <v/>
      </c>
      <c r="R255" s="15">
        <f>IF(L255="","",'14_Eingangsrechnungen'!M255)</f>
        <v/>
      </c>
      <c r="S255" s="15">
        <f>IF(L255="","",'14_Eingangsrechnungen'!O255)</f>
        <v/>
      </c>
      <c r="T255" s="44">
        <f>IF(L255="","",'14_Eingangsrechnungen'!H255)</f>
        <v/>
      </c>
      <c r="U255" s="45">
        <f>IF(L255="","",'14_Eingangsrechnungen'!P255)</f>
        <v/>
      </c>
    </row>
    <row r="256">
      <c r="A256" s="13">
        <f>IF('13_Ausgangsrechnungen'!A256="","",IF('13_Ausgangsrechnungen'!S256&gt;0.5,"Debitor",""))</f>
        <v/>
      </c>
      <c r="B256" s="13">
        <f>IF(A256="","",'13_Ausgangsrechnungen'!A256)</f>
        <v/>
      </c>
      <c r="C256" s="44">
        <f>IF(A256="","",'13_Ausgangsrechnungen'!B256)</f>
        <v/>
      </c>
      <c r="D256" s="13">
        <f>IF(A256="","",'13_Ausgangsrechnungen'!D256)</f>
        <v/>
      </c>
      <c r="E256" s="13">
        <f>IF(A256="","",'13_Ausgangsrechnungen'!C256)</f>
        <v/>
      </c>
      <c r="F256" s="13">
        <f>IF(A256="","",'13_Ausgangsrechnungen'!E256)</f>
        <v/>
      </c>
      <c r="G256" s="15">
        <f>IF(A256="","",'13_Ausgangsrechnungen'!Q256)</f>
        <v/>
      </c>
      <c r="H256" s="15">
        <f>IF(A256="","",'13_Ausgangsrechnungen'!S256)</f>
        <v/>
      </c>
      <c r="I256" s="44">
        <f>IF(A256="","",'13_Ausgangsrechnungen'!J256)</f>
        <v/>
      </c>
      <c r="J256" s="45">
        <f>IF(A256="","",'13_Ausgangsrechnungen'!T256)</f>
        <v/>
      </c>
      <c r="L256" s="13">
        <f>IF('14_Eingangsrechnungen'!A256="","",IF('14_Eingangsrechnungen'!O256&gt;0.5,"Kreditor",""))</f>
        <v/>
      </c>
      <c r="M256" s="13">
        <f>IF(L256="","",'14_Eingangsrechnungen'!A256)</f>
        <v/>
      </c>
      <c r="N256" s="44">
        <f>IF(L256="","",'14_Eingangsrechnungen'!B256)</f>
        <v/>
      </c>
      <c r="O256" s="13">
        <f>IF(L256="","",'14_Eingangsrechnungen'!D256)</f>
        <v/>
      </c>
      <c r="P256" s="13">
        <f>IF(L256="","",'14_Eingangsrechnungen'!C256)</f>
        <v/>
      </c>
      <c r="Q256" s="13">
        <f>IF(L256="","",'14_Eingangsrechnungen'!E256)</f>
        <v/>
      </c>
      <c r="R256" s="15">
        <f>IF(L256="","",'14_Eingangsrechnungen'!M256)</f>
        <v/>
      </c>
      <c r="S256" s="15">
        <f>IF(L256="","",'14_Eingangsrechnungen'!O256)</f>
        <v/>
      </c>
      <c r="T256" s="44">
        <f>IF(L256="","",'14_Eingangsrechnungen'!H256)</f>
        <v/>
      </c>
      <c r="U256" s="45">
        <f>IF(L256="","",'14_Eingangsrechnungen'!P256)</f>
        <v/>
      </c>
    </row>
    <row r="257">
      <c r="A257" s="13">
        <f>IF('13_Ausgangsrechnungen'!A257="","",IF('13_Ausgangsrechnungen'!S257&gt;0.5,"Debitor",""))</f>
        <v/>
      </c>
      <c r="B257" s="13">
        <f>IF(A257="","",'13_Ausgangsrechnungen'!A257)</f>
        <v/>
      </c>
      <c r="C257" s="44">
        <f>IF(A257="","",'13_Ausgangsrechnungen'!B257)</f>
        <v/>
      </c>
      <c r="D257" s="13">
        <f>IF(A257="","",'13_Ausgangsrechnungen'!D257)</f>
        <v/>
      </c>
      <c r="E257" s="13">
        <f>IF(A257="","",'13_Ausgangsrechnungen'!C257)</f>
        <v/>
      </c>
      <c r="F257" s="13">
        <f>IF(A257="","",'13_Ausgangsrechnungen'!E257)</f>
        <v/>
      </c>
      <c r="G257" s="15">
        <f>IF(A257="","",'13_Ausgangsrechnungen'!Q257)</f>
        <v/>
      </c>
      <c r="H257" s="15">
        <f>IF(A257="","",'13_Ausgangsrechnungen'!S257)</f>
        <v/>
      </c>
      <c r="I257" s="44">
        <f>IF(A257="","",'13_Ausgangsrechnungen'!J257)</f>
        <v/>
      </c>
      <c r="J257" s="45">
        <f>IF(A257="","",'13_Ausgangsrechnungen'!T257)</f>
        <v/>
      </c>
      <c r="L257" s="13">
        <f>IF('14_Eingangsrechnungen'!A257="","",IF('14_Eingangsrechnungen'!O257&gt;0.5,"Kreditor",""))</f>
        <v/>
      </c>
      <c r="M257" s="13">
        <f>IF(L257="","",'14_Eingangsrechnungen'!A257)</f>
        <v/>
      </c>
      <c r="N257" s="44">
        <f>IF(L257="","",'14_Eingangsrechnungen'!B257)</f>
        <v/>
      </c>
      <c r="O257" s="13">
        <f>IF(L257="","",'14_Eingangsrechnungen'!D257)</f>
        <v/>
      </c>
      <c r="P257" s="13">
        <f>IF(L257="","",'14_Eingangsrechnungen'!C257)</f>
        <v/>
      </c>
      <c r="Q257" s="13">
        <f>IF(L257="","",'14_Eingangsrechnungen'!E257)</f>
        <v/>
      </c>
      <c r="R257" s="15">
        <f>IF(L257="","",'14_Eingangsrechnungen'!M257)</f>
        <v/>
      </c>
      <c r="S257" s="15">
        <f>IF(L257="","",'14_Eingangsrechnungen'!O257)</f>
        <v/>
      </c>
      <c r="T257" s="44">
        <f>IF(L257="","",'14_Eingangsrechnungen'!H257)</f>
        <v/>
      </c>
      <c r="U257" s="45">
        <f>IF(L257="","",'14_Eingangsrechnungen'!P257)</f>
        <v/>
      </c>
    </row>
    <row r="258">
      <c r="A258" s="13">
        <f>IF('13_Ausgangsrechnungen'!A258="","",IF('13_Ausgangsrechnungen'!S258&gt;0.5,"Debitor",""))</f>
        <v/>
      </c>
      <c r="B258" s="13">
        <f>IF(A258="","",'13_Ausgangsrechnungen'!A258)</f>
        <v/>
      </c>
      <c r="C258" s="44">
        <f>IF(A258="","",'13_Ausgangsrechnungen'!B258)</f>
        <v/>
      </c>
      <c r="D258" s="13">
        <f>IF(A258="","",'13_Ausgangsrechnungen'!D258)</f>
        <v/>
      </c>
      <c r="E258" s="13">
        <f>IF(A258="","",'13_Ausgangsrechnungen'!C258)</f>
        <v/>
      </c>
      <c r="F258" s="13">
        <f>IF(A258="","",'13_Ausgangsrechnungen'!E258)</f>
        <v/>
      </c>
      <c r="G258" s="15">
        <f>IF(A258="","",'13_Ausgangsrechnungen'!Q258)</f>
        <v/>
      </c>
      <c r="H258" s="15">
        <f>IF(A258="","",'13_Ausgangsrechnungen'!S258)</f>
        <v/>
      </c>
      <c r="I258" s="44">
        <f>IF(A258="","",'13_Ausgangsrechnungen'!J258)</f>
        <v/>
      </c>
      <c r="J258" s="45">
        <f>IF(A258="","",'13_Ausgangsrechnungen'!T258)</f>
        <v/>
      </c>
      <c r="L258" s="13">
        <f>IF('14_Eingangsrechnungen'!A258="","",IF('14_Eingangsrechnungen'!O258&gt;0.5,"Kreditor",""))</f>
        <v/>
      </c>
      <c r="M258" s="13">
        <f>IF(L258="","",'14_Eingangsrechnungen'!A258)</f>
        <v/>
      </c>
      <c r="N258" s="44">
        <f>IF(L258="","",'14_Eingangsrechnungen'!B258)</f>
        <v/>
      </c>
      <c r="O258" s="13">
        <f>IF(L258="","",'14_Eingangsrechnungen'!D258)</f>
        <v/>
      </c>
      <c r="P258" s="13">
        <f>IF(L258="","",'14_Eingangsrechnungen'!C258)</f>
        <v/>
      </c>
      <c r="Q258" s="13">
        <f>IF(L258="","",'14_Eingangsrechnungen'!E258)</f>
        <v/>
      </c>
      <c r="R258" s="15">
        <f>IF(L258="","",'14_Eingangsrechnungen'!M258)</f>
        <v/>
      </c>
      <c r="S258" s="15">
        <f>IF(L258="","",'14_Eingangsrechnungen'!O258)</f>
        <v/>
      </c>
      <c r="T258" s="44">
        <f>IF(L258="","",'14_Eingangsrechnungen'!H258)</f>
        <v/>
      </c>
      <c r="U258" s="45">
        <f>IF(L258="","",'14_Eingangsrechnungen'!P258)</f>
        <v/>
      </c>
    </row>
    <row r="259">
      <c r="A259" s="13">
        <f>IF('13_Ausgangsrechnungen'!A259="","",IF('13_Ausgangsrechnungen'!S259&gt;0.5,"Debitor",""))</f>
        <v/>
      </c>
      <c r="B259" s="13">
        <f>IF(A259="","",'13_Ausgangsrechnungen'!A259)</f>
        <v/>
      </c>
      <c r="C259" s="44">
        <f>IF(A259="","",'13_Ausgangsrechnungen'!B259)</f>
        <v/>
      </c>
      <c r="D259" s="13">
        <f>IF(A259="","",'13_Ausgangsrechnungen'!D259)</f>
        <v/>
      </c>
      <c r="E259" s="13">
        <f>IF(A259="","",'13_Ausgangsrechnungen'!C259)</f>
        <v/>
      </c>
      <c r="F259" s="13">
        <f>IF(A259="","",'13_Ausgangsrechnungen'!E259)</f>
        <v/>
      </c>
      <c r="G259" s="15">
        <f>IF(A259="","",'13_Ausgangsrechnungen'!Q259)</f>
        <v/>
      </c>
      <c r="H259" s="15">
        <f>IF(A259="","",'13_Ausgangsrechnungen'!S259)</f>
        <v/>
      </c>
      <c r="I259" s="44">
        <f>IF(A259="","",'13_Ausgangsrechnungen'!J259)</f>
        <v/>
      </c>
      <c r="J259" s="45">
        <f>IF(A259="","",'13_Ausgangsrechnungen'!T259)</f>
        <v/>
      </c>
      <c r="L259" s="13">
        <f>IF('14_Eingangsrechnungen'!A259="","",IF('14_Eingangsrechnungen'!O259&gt;0.5,"Kreditor",""))</f>
        <v/>
      </c>
      <c r="M259" s="13">
        <f>IF(L259="","",'14_Eingangsrechnungen'!A259)</f>
        <v/>
      </c>
      <c r="N259" s="44">
        <f>IF(L259="","",'14_Eingangsrechnungen'!B259)</f>
        <v/>
      </c>
      <c r="O259" s="13">
        <f>IF(L259="","",'14_Eingangsrechnungen'!D259)</f>
        <v/>
      </c>
      <c r="P259" s="13">
        <f>IF(L259="","",'14_Eingangsrechnungen'!C259)</f>
        <v/>
      </c>
      <c r="Q259" s="13">
        <f>IF(L259="","",'14_Eingangsrechnungen'!E259)</f>
        <v/>
      </c>
      <c r="R259" s="15">
        <f>IF(L259="","",'14_Eingangsrechnungen'!M259)</f>
        <v/>
      </c>
      <c r="S259" s="15">
        <f>IF(L259="","",'14_Eingangsrechnungen'!O259)</f>
        <v/>
      </c>
      <c r="T259" s="44">
        <f>IF(L259="","",'14_Eingangsrechnungen'!H259)</f>
        <v/>
      </c>
      <c r="U259" s="45">
        <f>IF(L259="","",'14_Eingangsrechnungen'!P259)</f>
        <v/>
      </c>
    </row>
    <row r="260">
      <c r="A260" s="13">
        <f>IF('13_Ausgangsrechnungen'!A260="","",IF('13_Ausgangsrechnungen'!S260&gt;0.5,"Debitor",""))</f>
        <v/>
      </c>
      <c r="B260" s="13">
        <f>IF(A260="","",'13_Ausgangsrechnungen'!A260)</f>
        <v/>
      </c>
      <c r="C260" s="44">
        <f>IF(A260="","",'13_Ausgangsrechnungen'!B260)</f>
        <v/>
      </c>
      <c r="D260" s="13">
        <f>IF(A260="","",'13_Ausgangsrechnungen'!D260)</f>
        <v/>
      </c>
      <c r="E260" s="13">
        <f>IF(A260="","",'13_Ausgangsrechnungen'!C260)</f>
        <v/>
      </c>
      <c r="F260" s="13">
        <f>IF(A260="","",'13_Ausgangsrechnungen'!E260)</f>
        <v/>
      </c>
      <c r="G260" s="15">
        <f>IF(A260="","",'13_Ausgangsrechnungen'!Q260)</f>
        <v/>
      </c>
      <c r="H260" s="15">
        <f>IF(A260="","",'13_Ausgangsrechnungen'!S260)</f>
        <v/>
      </c>
      <c r="I260" s="44">
        <f>IF(A260="","",'13_Ausgangsrechnungen'!J260)</f>
        <v/>
      </c>
      <c r="J260" s="45">
        <f>IF(A260="","",'13_Ausgangsrechnungen'!T260)</f>
        <v/>
      </c>
      <c r="L260" s="13">
        <f>IF('14_Eingangsrechnungen'!A260="","",IF('14_Eingangsrechnungen'!O260&gt;0.5,"Kreditor",""))</f>
        <v/>
      </c>
      <c r="M260" s="13">
        <f>IF(L260="","",'14_Eingangsrechnungen'!A260)</f>
        <v/>
      </c>
      <c r="N260" s="44">
        <f>IF(L260="","",'14_Eingangsrechnungen'!B260)</f>
        <v/>
      </c>
      <c r="O260" s="13">
        <f>IF(L260="","",'14_Eingangsrechnungen'!D260)</f>
        <v/>
      </c>
      <c r="P260" s="13">
        <f>IF(L260="","",'14_Eingangsrechnungen'!C260)</f>
        <v/>
      </c>
      <c r="Q260" s="13">
        <f>IF(L260="","",'14_Eingangsrechnungen'!E260)</f>
        <v/>
      </c>
      <c r="R260" s="15">
        <f>IF(L260="","",'14_Eingangsrechnungen'!M260)</f>
        <v/>
      </c>
      <c r="S260" s="15">
        <f>IF(L260="","",'14_Eingangsrechnungen'!O260)</f>
        <v/>
      </c>
      <c r="T260" s="44">
        <f>IF(L260="","",'14_Eingangsrechnungen'!H260)</f>
        <v/>
      </c>
      <c r="U260" s="45">
        <f>IF(L260="","",'14_Eingangsrechnungen'!P260)</f>
        <v/>
      </c>
    </row>
    <row r="261">
      <c r="A261" s="13">
        <f>IF('13_Ausgangsrechnungen'!A261="","",IF('13_Ausgangsrechnungen'!S261&gt;0.5,"Debitor",""))</f>
        <v/>
      </c>
      <c r="B261" s="13">
        <f>IF(A261="","",'13_Ausgangsrechnungen'!A261)</f>
        <v/>
      </c>
      <c r="C261" s="44">
        <f>IF(A261="","",'13_Ausgangsrechnungen'!B261)</f>
        <v/>
      </c>
      <c r="D261" s="13">
        <f>IF(A261="","",'13_Ausgangsrechnungen'!D261)</f>
        <v/>
      </c>
      <c r="E261" s="13">
        <f>IF(A261="","",'13_Ausgangsrechnungen'!C261)</f>
        <v/>
      </c>
      <c r="F261" s="13">
        <f>IF(A261="","",'13_Ausgangsrechnungen'!E261)</f>
        <v/>
      </c>
      <c r="G261" s="15">
        <f>IF(A261="","",'13_Ausgangsrechnungen'!Q261)</f>
        <v/>
      </c>
      <c r="H261" s="15">
        <f>IF(A261="","",'13_Ausgangsrechnungen'!S261)</f>
        <v/>
      </c>
      <c r="I261" s="44">
        <f>IF(A261="","",'13_Ausgangsrechnungen'!J261)</f>
        <v/>
      </c>
      <c r="J261" s="45">
        <f>IF(A261="","",'13_Ausgangsrechnungen'!T261)</f>
        <v/>
      </c>
      <c r="L261" s="13">
        <f>IF('14_Eingangsrechnungen'!A261="","",IF('14_Eingangsrechnungen'!O261&gt;0.5,"Kreditor",""))</f>
        <v/>
      </c>
      <c r="M261" s="13">
        <f>IF(L261="","",'14_Eingangsrechnungen'!A261)</f>
        <v/>
      </c>
      <c r="N261" s="44">
        <f>IF(L261="","",'14_Eingangsrechnungen'!B261)</f>
        <v/>
      </c>
      <c r="O261" s="13">
        <f>IF(L261="","",'14_Eingangsrechnungen'!D261)</f>
        <v/>
      </c>
      <c r="P261" s="13">
        <f>IF(L261="","",'14_Eingangsrechnungen'!C261)</f>
        <v/>
      </c>
      <c r="Q261" s="13">
        <f>IF(L261="","",'14_Eingangsrechnungen'!E261)</f>
        <v/>
      </c>
      <c r="R261" s="15">
        <f>IF(L261="","",'14_Eingangsrechnungen'!M261)</f>
        <v/>
      </c>
      <c r="S261" s="15">
        <f>IF(L261="","",'14_Eingangsrechnungen'!O261)</f>
        <v/>
      </c>
      <c r="T261" s="44">
        <f>IF(L261="","",'14_Eingangsrechnungen'!H261)</f>
        <v/>
      </c>
      <c r="U261" s="45">
        <f>IF(L261="","",'14_Eingangsrechnungen'!P261)</f>
        <v/>
      </c>
    </row>
    <row r="262">
      <c r="A262" s="13">
        <f>IF('13_Ausgangsrechnungen'!A262="","",IF('13_Ausgangsrechnungen'!S262&gt;0.5,"Debitor",""))</f>
        <v/>
      </c>
      <c r="B262" s="13">
        <f>IF(A262="","",'13_Ausgangsrechnungen'!A262)</f>
        <v/>
      </c>
      <c r="C262" s="44">
        <f>IF(A262="","",'13_Ausgangsrechnungen'!B262)</f>
        <v/>
      </c>
      <c r="D262" s="13">
        <f>IF(A262="","",'13_Ausgangsrechnungen'!D262)</f>
        <v/>
      </c>
      <c r="E262" s="13">
        <f>IF(A262="","",'13_Ausgangsrechnungen'!C262)</f>
        <v/>
      </c>
      <c r="F262" s="13">
        <f>IF(A262="","",'13_Ausgangsrechnungen'!E262)</f>
        <v/>
      </c>
      <c r="G262" s="15">
        <f>IF(A262="","",'13_Ausgangsrechnungen'!Q262)</f>
        <v/>
      </c>
      <c r="H262" s="15">
        <f>IF(A262="","",'13_Ausgangsrechnungen'!S262)</f>
        <v/>
      </c>
      <c r="I262" s="44">
        <f>IF(A262="","",'13_Ausgangsrechnungen'!J262)</f>
        <v/>
      </c>
      <c r="J262" s="45">
        <f>IF(A262="","",'13_Ausgangsrechnungen'!T262)</f>
        <v/>
      </c>
      <c r="L262" s="13">
        <f>IF('14_Eingangsrechnungen'!A262="","",IF('14_Eingangsrechnungen'!O262&gt;0.5,"Kreditor",""))</f>
        <v/>
      </c>
      <c r="M262" s="13">
        <f>IF(L262="","",'14_Eingangsrechnungen'!A262)</f>
        <v/>
      </c>
      <c r="N262" s="44">
        <f>IF(L262="","",'14_Eingangsrechnungen'!B262)</f>
        <v/>
      </c>
      <c r="O262" s="13">
        <f>IF(L262="","",'14_Eingangsrechnungen'!D262)</f>
        <v/>
      </c>
      <c r="P262" s="13">
        <f>IF(L262="","",'14_Eingangsrechnungen'!C262)</f>
        <v/>
      </c>
      <c r="Q262" s="13">
        <f>IF(L262="","",'14_Eingangsrechnungen'!E262)</f>
        <v/>
      </c>
      <c r="R262" s="15">
        <f>IF(L262="","",'14_Eingangsrechnungen'!M262)</f>
        <v/>
      </c>
      <c r="S262" s="15">
        <f>IF(L262="","",'14_Eingangsrechnungen'!O262)</f>
        <v/>
      </c>
      <c r="T262" s="44">
        <f>IF(L262="","",'14_Eingangsrechnungen'!H262)</f>
        <v/>
      </c>
      <c r="U262" s="45">
        <f>IF(L262="","",'14_Eingangsrechnungen'!P262)</f>
        <v/>
      </c>
    </row>
    <row r="263">
      <c r="A263" s="13">
        <f>IF('13_Ausgangsrechnungen'!A263="","",IF('13_Ausgangsrechnungen'!S263&gt;0.5,"Debitor",""))</f>
        <v/>
      </c>
      <c r="B263" s="13">
        <f>IF(A263="","",'13_Ausgangsrechnungen'!A263)</f>
        <v/>
      </c>
      <c r="C263" s="44">
        <f>IF(A263="","",'13_Ausgangsrechnungen'!B263)</f>
        <v/>
      </c>
      <c r="D263" s="13">
        <f>IF(A263="","",'13_Ausgangsrechnungen'!D263)</f>
        <v/>
      </c>
      <c r="E263" s="13">
        <f>IF(A263="","",'13_Ausgangsrechnungen'!C263)</f>
        <v/>
      </c>
      <c r="F263" s="13">
        <f>IF(A263="","",'13_Ausgangsrechnungen'!E263)</f>
        <v/>
      </c>
      <c r="G263" s="15">
        <f>IF(A263="","",'13_Ausgangsrechnungen'!Q263)</f>
        <v/>
      </c>
      <c r="H263" s="15">
        <f>IF(A263="","",'13_Ausgangsrechnungen'!S263)</f>
        <v/>
      </c>
      <c r="I263" s="44">
        <f>IF(A263="","",'13_Ausgangsrechnungen'!J263)</f>
        <v/>
      </c>
      <c r="J263" s="45">
        <f>IF(A263="","",'13_Ausgangsrechnungen'!T263)</f>
        <v/>
      </c>
      <c r="L263" s="13">
        <f>IF('14_Eingangsrechnungen'!A263="","",IF('14_Eingangsrechnungen'!O263&gt;0.5,"Kreditor",""))</f>
        <v/>
      </c>
      <c r="M263" s="13">
        <f>IF(L263="","",'14_Eingangsrechnungen'!A263)</f>
        <v/>
      </c>
      <c r="N263" s="44">
        <f>IF(L263="","",'14_Eingangsrechnungen'!B263)</f>
        <v/>
      </c>
      <c r="O263" s="13">
        <f>IF(L263="","",'14_Eingangsrechnungen'!D263)</f>
        <v/>
      </c>
      <c r="P263" s="13">
        <f>IF(L263="","",'14_Eingangsrechnungen'!C263)</f>
        <v/>
      </c>
      <c r="Q263" s="13">
        <f>IF(L263="","",'14_Eingangsrechnungen'!E263)</f>
        <v/>
      </c>
      <c r="R263" s="15">
        <f>IF(L263="","",'14_Eingangsrechnungen'!M263)</f>
        <v/>
      </c>
      <c r="S263" s="15">
        <f>IF(L263="","",'14_Eingangsrechnungen'!O263)</f>
        <v/>
      </c>
      <c r="T263" s="44">
        <f>IF(L263="","",'14_Eingangsrechnungen'!H263)</f>
        <v/>
      </c>
      <c r="U263" s="45">
        <f>IF(L263="","",'14_Eingangsrechnungen'!P263)</f>
        <v/>
      </c>
    </row>
    <row r="264">
      <c r="A264" s="13">
        <f>IF('13_Ausgangsrechnungen'!A264="","",IF('13_Ausgangsrechnungen'!S264&gt;0.5,"Debitor",""))</f>
        <v/>
      </c>
      <c r="B264" s="13">
        <f>IF(A264="","",'13_Ausgangsrechnungen'!A264)</f>
        <v/>
      </c>
      <c r="C264" s="44">
        <f>IF(A264="","",'13_Ausgangsrechnungen'!B264)</f>
        <v/>
      </c>
      <c r="D264" s="13">
        <f>IF(A264="","",'13_Ausgangsrechnungen'!D264)</f>
        <v/>
      </c>
      <c r="E264" s="13">
        <f>IF(A264="","",'13_Ausgangsrechnungen'!C264)</f>
        <v/>
      </c>
      <c r="F264" s="13">
        <f>IF(A264="","",'13_Ausgangsrechnungen'!E264)</f>
        <v/>
      </c>
      <c r="G264" s="15">
        <f>IF(A264="","",'13_Ausgangsrechnungen'!Q264)</f>
        <v/>
      </c>
      <c r="H264" s="15">
        <f>IF(A264="","",'13_Ausgangsrechnungen'!S264)</f>
        <v/>
      </c>
      <c r="I264" s="44">
        <f>IF(A264="","",'13_Ausgangsrechnungen'!J264)</f>
        <v/>
      </c>
      <c r="J264" s="45">
        <f>IF(A264="","",'13_Ausgangsrechnungen'!T264)</f>
        <v/>
      </c>
      <c r="L264" s="13">
        <f>IF('14_Eingangsrechnungen'!A264="","",IF('14_Eingangsrechnungen'!O264&gt;0.5,"Kreditor",""))</f>
        <v/>
      </c>
      <c r="M264" s="13">
        <f>IF(L264="","",'14_Eingangsrechnungen'!A264)</f>
        <v/>
      </c>
      <c r="N264" s="44">
        <f>IF(L264="","",'14_Eingangsrechnungen'!B264)</f>
        <v/>
      </c>
      <c r="O264" s="13">
        <f>IF(L264="","",'14_Eingangsrechnungen'!D264)</f>
        <v/>
      </c>
      <c r="P264" s="13">
        <f>IF(L264="","",'14_Eingangsrechnungen'!C264)</f>
        <v/>
      </c>
      <c r="Q264" s="13">
        <f>IF(L264="","",'14_Eingangsrechnungen'!E264)</f>
        <v/>
      </c>
      <c r="R264" s="15">
        <f>IF(L264="","",'14_Eingangsrechnungen'!M264)</f>
        <v/>
      </c>
      <c r="S264" s="15">
        <f>IF(L264="","",'14_Eingangsrechnungen'!O264)</f>
        <v/>
      </c>
      <c r="T264" s="44">
        <f>IF(L264="","",'14_Eingangsrechnungen'!H264)</f>
        <v/>
      </c>
      <c r="U264" s="45">
        <f>IF(L264="","",'14_Eingangsrechnungen'!P264)</f>
        <v/>
      </c>
    </row>
    <row r="265">
      <c r="A265" s="13">
        <f>IF('13_Ausgangsrechnungen'!A265="","",IF('13_Ausgangsrechnungen'!S265&gt;0.5,"Debitor",""))</f>
        <v/>
      </c>
      <c r="B265" s="13">
        <f>IF(A265="","",'13_Ausgangsrechnungen'!A265)</f>
        <v/>
      </c>
      <c r="C265" s="44">
        <f>IF(A265="","",'13_Ausgangsrechnungen'!B265)</f>
        <v/>
      </c>
      <c r="D265" s="13">
        <f>IF(A265="","",'13_Ausgangsrechnungen'!D265)</f>
        <v/>
      </c>
      <c r="E265" s="13">
        <f>IF(A265="","",'13_Ausgangsrechnungen'!C265)</f>
        <v/>
      </c>
      <c r="F265" s="13">
        <f>IF(A265="","",'13_Ausgangsrechnungen'!E265)</f>
        <v/>
      </c>
      <c r="G265" s="15">
        <f>IF(A265="","",'13_Ausgangsrechnungen'!Q265)</f>
        <v/>
      </c>
      <c r="H265" s="15">
        <f>IF(A265="","",'13_Ausgangsrechnungen'!S265)</f>
        <v/>
      </c>
      <c r="I265" s="44">
        <f>IF(A265="","",'13_Ausgangsrechnungen'!J265)</f>
        <v/>
      </c>
      <c r="J265" s="45">
        <f>IF(A265="","",'13_Ausgangsrechnungen'!T265)</f>
        <v/>
      </c>
      <c r="L265" s="13">
        <f>IF('14_Eingangsrechnungen'!A265="","",IF('14_Eingangsrechnungen'!O265&gt;0.5,"Kreditor",""))</f>
        <v/>
      </c>
      <c r="M265" s="13">
        <f>IF(L265="","",'14_Eingangsrechnungen'!A265)</f>
        <v/>
      </c>
      <c r="N265" s="44">
        <f>IF(L265="","",'14_Eingangsrechnungen'!B265)</f>
        <v/>
      </c>
      <c r="O265" s="13">
        <f>IF(L265="","",'14_Eingangsrechnungen'!D265)</f>
        <v/>
      </c>
      <c r="P265" s="13">
        <f>IF(L265="","",'14_Eingangsrechnungen'!C265)</f>
        <v/>
      </c>
      <c r="Q265" s="13">
        <f>IF(L265="","",'14_Eingangsrechnungen'!E265)</f>
        <v/>
      </c>
      <c r="R265" s="15">
        <f>IF(L265="","",'14_Eingangsrechnungen'!M265)</f>
        <v/>
      </c>
      <c r="S265" s="15">
        <f>IF(L265="","",'14_Eingangsrechnungen'!O265)</f>
        <v/>
      </c>
      <c r="T265" s="44">
        <f>IF(L265="","",'14_Eingangsrechnungen'!H265)</f>
        <v/>
      </c>
      <c r="U265" s="45">
        <f>IF(L265="","",'14_Eingangsrechnungen'!P265)</f>
        <v/>
      </c>
    </row>
    <row r="266">
      <c r="A266" s="13">
        <f>IF('13_Ausgangsrechnungen'!A266="","",IF('13_Ausgangsrechnungen'!S266&gt;0.5,"Debitor",""))</f>
        <v/>
      </c>
      <c r="B266" s="13">
        <f>IF(A266="","",'13_Ausgangsrechnungen'!A266)</f>
        <v/>
      </c>
      <c r="C266" s="44">
        <f>IF(A266="","",'13_Ausgangsrechnungen'!B266)</f>
        <v/>
      </c>
      <c r="D266" s="13">
        <f>IF(A266="","",'13_Ausgangsrechnungen'!D266)</f>
        <v/>
      </c>
      <c r="E266" s="13">
        <f>IF(A266="","",'13_Ausgangsrechnungen'!C266)</f>
        <v/>
      </c>
      <c r="F266" s="13">
        <f>IF(A266="","",'13_Ausgangsrechnungen'!E266)</f>
        <v/>
      </c>
      <c r="G266" s="15">
        <f>IF(A266="","",'13_Ausgangsrechnungen'!Q266)</f>
        <v/>
      </c>
      <c r="H266" s="15">
        <f>IF(A266="","",'13_Ausgangsrechnungen'!S266)</f>
        <v/>
      </c>
      <c r="I266" s="44">
        <f>IF(A266="","",'13_Ausgangsrechnungen'!J266)</f>
        <v/>
      </c>
      <c r="J266" s="45">
        <f>IF(A266="","",'13_Ausgangsrechnungen'!T266)</f>
        <v/>
      </c>
      <c r="L266" s="13">
        <f>IF('14_Eingangsrechnungen'!A266="","",IF('14_Eingangsrechnungen'!O266&gt;0.5,"Kreditor",""))</f>
        <v/>
      </c>
      <c r="M266" s="13">
        <f>IF(L266="","",'14_Eingangsrechnungen'!A266)</f>
        <v/>
      </c>
      <c r="N266" s="44">
        <f>IF(L266="","",'14_Eingangsrechnungen'!B266)</f>
        <v/>
      </c>
      <c r="O266" s="13">
        <f>IF(L266="","",'14_Eingangsrechnungen'!D266)</f>
        <v/>
      </c>
      <c r="P266" s="13">
        <f>IF(L266="","",'14_Eingangsrechnungen'!C266)</f>
        <v/>
      </c>
      <c r="Q266" s="13">
        <f>IF(L266="","",'14_Eingangsrechnungen'!E266)</f>
        <v/>
      </c>
      <c r="R266" s="15">
        <f>IF(L266="","",'14_Eingangsrechnungen'!M266)</f>
        <v/>
      </c>
      <c r="S266" s="15">
        <f>IF(L266="","",'14_Eingangsrechnungen'!O266)</f>
        <v/>
      </c>
      <c r="T266" s="44">
        <f>IF(L266="","",'14_Eingangsrechnungen'!H266)</f>
        <v/>
      </c>
      <c r="U266" s="45">
        <f>IF(L266="","",'14_Eingangsrechnungen'!P266)</f>
        <v/>
      </c>
    </row>
    <row r="267">
      <c r="A267" s="13">
        <f>IF('13_Ausgangsrechnungen'!A267="","",IF('13_Ausgangsrechnungen'!S267&gt;0.5,"Debitor",""))</f>
        <v/>
      </c>
      <c r="B267" s="13">
        <f>IF(A267="","",'13_Ausgangsrechnungen'!A267)</f>
        <v/>
      </c>
      <c r="C267" s="44">
        <f>IF(A267="","",'13_Ausgangsrechnungen'!B267)</f>
        <v/>
      </c>
      <c r="D267" s="13">
        <f>IF(A267="","",'13_Ausgangsrechnungen'!D267)</f>
        <v/>
      </c>
      <c r="E267" s="13">
        <f>IF(A267="","",'13_Ausgangsrechnungen'!C267)</f>
        <v/>
      </c>
      <c r="F267" s="13">
        <f>IF(A267="","",'13_Ausgangsrechnungen'!E267)</f>
        <v/>
      </c>
      <c r="G267" s="15">
        <f>IF(A267="","",'13_Ausgangsrechnungen'!Q267)</f>
        <v/>
      </c>
      <c r="H267" s="15">
        <f>IF(A267="","",'13_Ausgangsrechnungen'!S267)</f>
        <v/>
      </c>
      <c r="I267" s="44">
        <f>IF(A267="","",'13_Ausgangsrechnungen'!J267)</f>
        <v/>
      </c>
      <c r="J267" s="45">
        <f>IF(A267="","",'13_Ausgangsrechnungen'!T267)</f>
        <v/>
      </c>
      <c r="L267" s="13">
        <f>IF('14_Eingangsrechnungen'!A267="","",IF('14_Eingangsrechnungen'!O267&gt;0.5,"Kreditor",""))</f>
        <v/>
      </c>
      <c r="M267" s="13">
        <f>IF(L267="","",'14_Eingangsrechnungen'!A267)</f>
        <v/>
      </c>
      <c r="N267" s="44">
        <f>IF(L267="","",'14_Eingangsrechnungen'!B267)</f>
        <v/>
      </c>
      <c r="O267" s="13">
        <f>IF(L267="","",'14_Eingangsrechnungen'!D267)</f>
        <v/>
      </c>
      <c r="P267" s="13">
        <f>IF(L267="","",'14_Eingangsrechnungen'!C267)</f>
        <v/>
      </c>
      <c r="Q267" s="13">
        <f>IF(L267="","",'14_Eingangsrechnungen'!E267)</f>
        <v/>
      </c>
      <c r="R267" s="15">
        <f>IF(L267="","",'14_Eingangsrechnungen'!M267)</f>
        <v/>
      </c>
      <c r="S267" s="15">
        <f>IF(L267="","",'14_Eingangsrechnungen'!O267)</f>
        <v/>
      </c>
      <c r="T267" s="44">
        <f>IF(L267="","",'14_Eingangsrechnungen'!H267)</f>
        <v/>
      </c>
      <c r="U267" s="45">
        <f>IF(L267="","",'14_Eingangsrechnungen'!P267)</f>
        <v/>
      </c>
    </row>
    <row r="268">
      <c r="A268" s="13">
        <f>IF('13_Ausgangsrechnungen'!A268="","",IF('13_Ausgangsrechnungen'!S268&gt;0.5,"Debitor",""))</f>
        <v/>
      </c>
      <c r="B268" s="13">
        <f>IF(A268="","",'13_Ausgangsrechnungen'!A268)</f>
        <v/>
      </c>
      <c r="C268" s="44">
        <f>IF(A268="","",'13_Ausgangsrechnungen'!B268)</f>
        <v/>
      </c>
      <c r="D268" s="13">
        <f>IF(A268="","",'13_Ausgangsrechnungen'!D268)</f>
        <v/>
      </c>
      <c r="E268" s="13">
        <f>IF(A268="","",'13_Ausgangsrechnungen'!C268)</f>
        <v/>
      </c>
      <c r="F268" s="13">
        <f>IF(A268="","",'13_Ausgangsrechnungen'!E268)</f>
        <v/>
      </c>
      <c r="G268" s="15">
        <f>IF(A268="","",'13_Ausgangsrechnungen'!Q268)</f>
        <v/>
      </c>
      <c r="H268" s="15">
        <f>IF(A268="","",'13_Ausgangsrechnungen'!S268)</f>
        <v/>
      </c>
      <c r="I268" s="44">
        <f>IF(A268="","",'13_Ausgangsrechnungen'!J268)</f>
        <v/>
      </c>
      <c r="J268" s="45">
        <f>IF(A268="","",'13_Ausgangsrechnungen'!T268)</f>
        <v/>
      </c>
      <c r="L268" s="13">
        <f>IF('14_Eingangsrechnungen'!A268="","",IF('14_Eingangsrechnungen'!O268&gt;0.5,"Kreditor",""))</f>
        <v/>
      </c>
      <c r="M268" s="13">
        <f>IF(L268="","",'14_Eingangsrechnungen'!A268)</f>
        <v/>
      </c>
      <c r="N268" s="44">
        <f>IF(L268="","",'14_Eingangsrechnungen'!B268)</f>
        <v/>
      </c>
      <c r="O268" s="13">
        <f>IF(L268="","",'14_Eingangsrechnungen'!D268)</f>
        <v/>
      </c>
      <c r="P268" s="13">
        <f>IF(L268="","",'14_Eingangsrechnungen'!C268)</f>
        <v/>
      </c>
      <c r="Q268" s="13">
        <f>IF(L268="","",'14_Eingangsrechnungen'!E268)</f>
        <v/>
      </c>
      <c r="R268" s="15">
        <f>IF(L268="","",'14_Eingangsrechnungen'!M268)</f>
        <v/>
      </c>
      <c r="S268" s="15">
        <f>IF(L268="","",'14_Eingangsrechnungen'!O268)</f>
        <v/>
      </c>
      <c r="T268" s="44">
        <f>IF(L268="","",'14_Eingangsrechnungen'!H268)</f>
        <v/>
      </c>
      <c r="U268" s="45">
        <f>IF(L268="","",'14_Eingangsrechnungen'!P268)</f>
        <v/>
      </c>
    </row>
    <row r="269">
      <c r="A269" s="13">
        <f>IF('13_Ausgangsrechnungen'!A269="","",IF('13_Ausgangsrechnungen'!S269&gt;0.5,"Debitor",""))</f>
        <v/>
      </c>
      <c r="B269" s="13">
        <f>IF(A269="","",'13_Ausgangsrechnungen'!A269)</f>
        <v/>
      </c>
      <c r="C269" s="44">
        <f>IF(A269="","",'13_Ausgangsrechnungen'!B269)</f>
        <v/>
      </c>
      <c r="D269" s="13">
        <f>IF(A269="","",'13_Ausgangsrechnungen'!D269)</f>
        <v/>
      </c>
      <c r="E269" s="13">
        <f>IF(A269="","",'13_Ausgangsrechnungen'!C269)</f>
        <v/>
      </c>
      <c r="F269" s="13">
        <f>IF(A269="","",'13_Ausgangsrechnungen'!E269)</f>
        <v/>
      </c>
      <c r="G269" s="15">
        <f>IF(A269="","",'13_Ausgangsrechnungen'!Q269)</f>
        <v/>
      </c>
      <c r="H269" s="15">
        <f>IF(A269="","",'13_Ausgangsrechnungen'!S269)</f>
        <v/>
      </c>
      <c r="I269" s="44">
        <f>IF(A269="","",'13_Ausgangsrechnungen'!J269)</f>
        <v/>
      </c>
      <c r="J269" s="45">
        <f>IF(A269="","",'13_Ausgangsrechnungen'!T269)</f>
        <v/>
      </c>
      <c r="L269" s="13">
        <f>IF('14_Eingangsrechnungen'!A269="","",IF('14_Eingangsrechnungen'!O269&gt;0.5,"Kreditor",""))</f>
        <v/>
      </c>
      <c r="M269" s="13">
        <f>IF(L269="","",'14_Eingangsrechnungen'!A269)</f>
        <v/>
      </c>
      <c r="N269" s="44">
        <f>IF(L269="","",'14_Eingangsrechnungen'!B269)</f>
        <v/>
      </c>
      <c r="O269" s="13">
        <f>IF(L269="","",'14_Eingangsrechnungen'!D269)</f>
        <v/>
      </c>
      <c r="P269" s="13">
        <f>IF(L269="","",'14_Eingangsrechnungen'!C269)</f>
        <v/>
      </c>
      <c r="Q269" s="13">
        <f>IF(L269="","",'14_Eingangsrechnungen'!E269)</f>
        <v/>
      </c>
      <c r="R269" s="15">
        <f>IF(L269="","",'14_Eingangsrechnungen'!M269)</f>
        <v/>
      </c>
      <c r="S269" s="15">
        <f>IF(L269="","",'14_Eingangsrechnungen'!O269)</f>
        <v/>
      </c>
      <c r="T269" s="44">
        <f>IF(L269="","",'14_Eingangsrechnungen'!H269)</f>
        <v/>
      </c>
      <c r="U269" s="45">
        <f>IF(L269="","",'14_Eingangsrechnungen'!P269)</f>
        <v/>
      </c>
    </row>
    <row r="270">
      <c r="A270" s="13">
        <f>IF('13_Ausgangsrechnungen'!A270="","",IF('13_Ausgangsrechnungen'!S270&gt;0.5,"Debitor",""))</f>
        <v/>
      </c>
      <c r="B270" s="13">
        <f>IF(A270="","",'13_Ausgangsrechnungen'!A270)</f>
        <v/>
      </c>
      <c r="C270" s="44">
        <f>IF(A270="","",'13_Ausgangsrechnungen'!B270)</f>
        <v/>
      </c>
      <c r="D270" s="13">
        <f>IF(A270="","",'13_Ausgangsrechnungen'!D270)</f>
        <v/>
      </c>
      <c r="E270" s="13">
        <f>IF(A270="","",'13_Ausgangsrechnungen'!C270)</f>
        <v/>
      </c>
      <c r="F270" s="13">
        <f>IF(A270="","",'13_Ausgangsrechnungen'!E270)</f>
        <v/>
      </c>
      <c r="G270" s="15">
        <f>IF(A270="","",'13_Ausgangsrechnungen'!Q270)</f>
        <v/>
      </c>
      <c r="H270" s="15">
        <f>IF(A270="","",'13_Ausgangsrechnungen'!S270)</f>
        <v/>
      </c>
      <c r="I270" s="44">
        <f>IF(A270="","",'13_Ausgangsrechnungen'!J270)</f>
        <v/>
      </c>
      <c r="J270" s="45">
        <f>IF(A270="","",'13_Ausgangsrechnungen'!T270)</f>
        <v/>
      </c>
      <c r="L270" s="13">
        <f>IF('14_Eingangsrechnungen'!A270="","",IF('14_Eingangsrechnungen'!O270&gt;0.5,"Kreditor",""))</f>
        <v/>
      </c>
      <c r="M270" s="13">
        <f>IF(L270="","",'14_Eingangsrechnungen'!A270)</f>
        <v/>
      </c>
      <c r="N270" s="44">
        <f>IF(L270="","",'14_Eingangsrechnungen'!B270)</f>
        <v/>
      </c>
      <c r="O270" s="13">
        <f>IF(L270="","",'14_Eingangsrechnungen'!D270)</f>
        <v/>
      </c>
      <c r="P270" s="13">
        <f>IF(L270="","",'14_Eingangsrechnungen'!C270)</f>
        <v/>
      </c>
      <c r="Q270" s="13">
        <f>IF(L270="","",'14_Eingangsrechnungen'!E270)</f>
        <v/>
      </c>
      <c r="R270" s="15">
        <f>IF(L270="","",'14_Eingangsrechnungen'!M270)</f>
        <v/>
      </c>
      <c r="S270" s="15">
        <f>IF(L270="","",'14_Eingangsrechnungen'!O270)</f>
        <v/>
      </c>
      <c r="T270" s="44">
        <f>IF(L270="","",'14_Eingangsrechnungen'!H270)</f>
        <v/>
      </c>
      <c r="U270" s="45">
        <f>IF(L270="","",'14_Eingangsrechnungen'!P270)</f>
        <v/>
      </c>
    </row>
    <row r="271">
      <c r="A271" s="13">
        <f>IF('13_Ausgangsrechnungen'!A271="","",IF('13_Ausgangsrechnungen'!S271&gt;0.5,"Debitor",""))</f>
        <v/>
      </c>
      <c r="B271" s="13">
        <f>IF(A271="","",'13_Ausgangsrechnungen'!A271)</f>
        <v/>
      </c>
      <c r="C271" s="44">
        <f>IF(A271="","",'13_Ausgangsrechnungen'!B271)</f>
        <v/>
      </c>
      <c r="D271" s="13">
        <f>IF(A271="","",'13_Ausgangsrechnungen'!D271)</f>
        <v/>
      </c>
      <c r="E271" s="13">
        <f>IF(A271="","",'13_Ausgangsrechnungen'!C271)</f>
        <v/>
      </c>
      <c r="F271" s="13">
        <f>IF(A271="","",'13_Ausgangsrechnungen'!E271)</f>
        <v/>
      </c>
      <c r="G271" s="15">
        <f>IF(A271="","",'13_Ausgangsrechnungen'!Q271)</f>
        <v/>
      </c>
      <c r="H271" s="15">
        <f>IF(A271="","",'13_Ausgangsrechnungen'!S271)</f>
        <v/>
      </c>
      <c r="I271" s="44">
        <f>IF(A271="","",'13_Ausgangsrechnungen'!J271)</f>
        <v/>
      </c>
      <c r="J271" s="45">
        <f>IF(A271="","",'13_Ausgangsrechnungen'!T271)</f>
        <v/>
      </c>
      <c r="L271" s="13">
        <f>IF('14_Eingangsrechnungen'!A271="","",IF('14_Eingangsrechnungen'!O271&gt;0.5,"Kreditor",""))</f>
        <v/>
      </c>
      <c r="M271" s="13">
        <f>IF(L271="","",'14_Eingangsrechnungen'!A271)</f>
        <v/>
      </c>
      <c r="N271" s="44">
        <f>IF(L271="","",'14_Eingangsrechnungen'!B271)</f>
        <v/>
      </c>
      <c r="O271" s="13">
        <f>IF(L271="","",'14_Eingangsrechnungen'!D271)</f>
        <v/>
      </c>
      <c r="P271" s="13">
        <f>IF(L271="","",'14_Eingangsrechnungen'!C271)</f>
        <v/>
      </c>
      <c r="Q271" s="13">
        <f>IF(L271="","",'14_Eingangsrechnungen'!E271)</f>
        <v/>
      </c>
      <c r="R271" s="15">
        <f>IF(L271="","",'14_Eingangsrechnungen'!M271)</f>
        <v/>
      </c>
      <c r="S271" s="15">
        <f>IF(L271="","",'14_Eingangsrechnungen'!O271)</f>
        <v/>
      </c>
      <c r="T271" s="44">
        <f>IF(L271="","",'14_Eingangsrechnungen'!H271)</f>
        <v/>
      </c>
      <c r="U271" s="45">
        <f>IF(L271="","",'14_Eingangsrechnungen'!P271)</f>
        <v/>
      </c>
    </row>
    <row r="272">
      <c r="A272" s="13">
        <f>IF('13_Ausgangsrechnungen'!A272="","",IF('13_Ausgangsrechnungen'!S272&gt;0.5,"Debitor",""))</f>
        <v/>
      </c>
      <c r="B272" s="13">
        <f>IF(A272="","",'13_Ausgangsrechnungen'!A272)</f>
        <v/>
      </c>
      <c r="C272" s="44">
        <f>IF(A272="","",'13_Ausgangsrechnungen'!B272)</f>
        <v/>
      </c>
      <c r="D272" s="13">
        <f>IF(A272="","",'13_Ausgangsrechnungen'!D272)</f>
        <v/>
      </c>
      <c r="E272" s="13">
        <f>IF(A272="","",'13_Ausgangsrechnungen'!C272)</f>
        <v/>
      </c>
      <c r="F272" s="13">
        <f>IF(A272="","",'13_Ausgangsrechnungen'!E272)</f>
        <v/>
      </c>
      <c r="G272" s="15">
        <f>IF(A272="","",'13_Ausgangsrechnungen'!Q272)</f>
        <v/>
      </c>
      <c r="H272" s="15">
        <f>IF(A272="","",'13_Ausgangsrechnungen'!S272)</f>
        <v/>
      </c>
      <c r="I272" s="44">
        <f>IF(A272="","",'13_Ausgangsrechnungen'!J272)</f>
        <v/>
      </c>
      <c r="J272" s="45">
        <f>IF(A272="","",'13_Ausgangsrechnungen'!T272)</f>
        <v/>
      </c>
      <c r="L272" s="13">
        <f>IF('14_Eingangsrechnungen'!A272="","",IF('14_Eingangsrechnungen'!O272&gt;0.5,"Kreditor",""))</f>
        <v/>
      </c>
      <c r="M272" s="13">
        <f>IF(L272="","",'14_Eingangsrechnungen'!A272)</f>
        <v/>
      </c>
      <c r="N272" s="44">
        <f>IF(L272="","",'14_Eingangsrechnungen'!B272)</f>
        <v/>
      </c>
      <c r="O272" s="13">
        <f>IF(L272="","",'14_Eingangsrechnungen'!D272)</f>
        <v/>
      </c>
      <c r="P272" s="13">
        <f>IF(L272="","",'14_Eingangsrechnungen'!C272)</f>
        <v/>
      </c>
      <c r="Q272" s="13">
        <f>IF(L272="","",'14_Eingangsrechnungen'!E272)</f>
        <v/>
      </c>
      <c r="R272" s="15">
        <f>IF(L272="","",'14_Eingangsrechnungen'!M272)</f>
        <v/>
      </c>
      <c r="S272" s="15">
        <f>IF(L272="","",'14_Eingangsrechnungen'!O272)</f>
        <v/>
      </c>
      <c r="T272" s="44">
        <f>IF(L272="","",'14_Eingangsrechnungen'!H272)</f>
        <v/>
      </c>
      <c r="U272" s="45">
        <f>IF(L272="","",'14_Eingangsrechnungen'!P272)</f>
        <v/>
      </c>
    </row>
    <row r="273">
      <c r="A273" s="13">
        <f>IF('13_Ausgangsrechnungen'!A273="","",IF('13_Ausgangsrechnungen'!S273&gt;0.5,"Debitor",""))</f>
        <v/>
      </c>
      <c r="B273" s="13">
        <f>IF(A273="","",'13_Ausgangsrechnungen'!A273)</f>
        <v/>
      </c>
      <c r="C273" s="44">
        <f>IF(A273="","",'13_Ausgangsrechnungen'!B273)</f>
        <v/>
      </c>
      <c r="D273" s="13">
        <f>IF(A273="","",'13_Ausgangsrechnungen'!D273)</f>
        <v/>
      </c>
      <c r="E273" s="13">
        <f>IF(A273="","",'13_Ausgangsrechnungen'!C273)</f>
        <v/>
      </c>
      <c r="F273" s="13">
        <f>IF(A273="","",'13_Ausgangsrechnungen'!E273)</f>
        <v/>
      </c>
      <c r="G273" s="15">
        <f>IF(A273="","",'13_Ausgangsrechnungen'!Q273)</f>
        <v/>
      </c>
      <c r="H273" s="15">
        <f>IF(A273="","",'13_Ausgangsrechnungen'!S273)</f>
        <v/>
      </c>
      <c r="I273" s="44">
        <f>IF(A273="","",'13_Ausgangsrechnungen'!J273)</f>
        <v/>
      </c>
      <c r="J273" s="45">
        <f>IF(A273="","",'13_Ausgangsrechnungen'!T273)</f>
        <v/>
      </c>
      <c r="L273" s="13">
        <f>IF('14_Eingangsrechnungen'!A273="","",IF('14_Eingangsrechnungen'!O273&gt;0.5,"Kreditor",""))</f>
        <v/>
      </c>
      <c r="M273" s="13">
        <f>IF(L273="","",'14_Eingangsrechnungen'!A273)</f>
        <v/>
      </c>
      <c r="N273" s="44">
        <f>IF(L273="","",'14_Eingangsrechnungen'!B273)</f>
        <v/>
      </c>
      <c r="O273" s="13">
        <f>IF(L273="","",'14_Eingangsrechnungen'!D273)</f>
        <v/>
      </c>
      <c r="P273" s="13">
        <f>IF(L273="","",'14_Eingangsrechnungen'!C273)</f>
        <v/>
      </c>
      <c r="Q273" s="13">
        <f>IF(L273="","",'14_Eingangsrechnungen'!E273)</f>
        <v/>
      </c>
      <c r="R273" s="15">
        <f>IF(L273="","",'14_Eingangsrechnungen'!M273)</f>
        <v/>
      </c>
      <c r="S273" s="15">
        <f>IF(L273="","",'14_Eingangsrechnungen'!O273)</f>
        <v/>
      </c>
      <c r="T273" s="44">
        <f>IF(L273="","",'14_Eingangsrechnungen'!H273)</f>
        <v/>
      </c>
      <c r="U273" s="45">
        <f>IF(L273="","",'14_Eingangsrechnungen'!P273)</f>
        <v/>
      </c>
    </row>
    <row r="274">
      <c r="A274" s="13">
        <f>IF('13_Ausgangsrechnungen'!A274="","",IF('13_Ausgangsrechnungen'!S274&gt;0.5,"Debitor",""))</f>
        <v/>
      </c>
      <c r="B274" s="13">
        <f>IF(A274="","",'13_Ausgangsrechnungen'!A274)</f>
        <v/>
      </c>
      <c r="C274" s="44">
        <f>IF(A274="","",'13_Ausgangsrechnungen'!B274)</f>
        <v/>
      </c>
      <c r="D274" s="13">
        <f>IF(A274="","",'13_Ausgangsrechnungen'!D274)</f>
        <v/>
      </c>
      <c r="E274" s="13">
        <f>IF(A274="","",'13_Ausgangsrechnungen'!C274)</f>
        <v/>
      </c>
      <c r="F274" s="13">
        <f>IF(A274="","",'13_Ausgangsrechnungen'!E274)</f>
        <v/>
      </c>
      <c r="G274" s="15">
        <f>IF(A274="","",'13_Ausgangsrechnungen'!Q274)</f>
        <v/>
      </c>
      <c r="H274" s="15">
        <f>IF(A274="","",'13_Ausgangsrechnungen'!S274)</f>
        <v/>
      </c>
      <c r="I274" s="44">
        <f>IF(A274="","",'13_Ausgangsrechnungen'!J274)</f>
        <v/>
      </c>
      <c r="J274" s="45">
        <f>IF(A274="","",'13_Ausgangsrechnungen'!T274)</f>
        <v/>
      </c>
      <c r="L274" s="13">
        <f>IF('14_Eingangsrechnungen'!A274="","",IF('14_Eingangsrechnungen'!O274&gt;0.5,"Kreditor",""))</f>
        <v/>
      </c>
      <c r="M274" s="13">
        <f>IF(L274="","",'14_Eingangsrechnungen'!A274)</f>
        <v/>
      </c>
      <c r="N274" s="44">
        <f>IF(L274="","",'14_Eingangsrechnungen'!B274)</f>
        <v/>
      </c>
      <c r="O274" s="13">
        <f>IF(L274="","",'14_Eingangsrechnungen'!D274)</f>
        <v/>
      </c>
      <c r="P274" s="13">
        <f>IF(L274="","",'14_Eingangsrechnungen'!C274)</f>
        <v/>
      </c>
      <c r="Q274" s="13">
        <f>IF(L274="","",'14_Eingangsrechnungen'!E274)</f>
        <v/>
      </c>
      <c r="R274" s="15">
        <f>IF(L274="","",'14_Eingangsrechnungen'!M274)</f>
        <v/>
      </c>
      <c r="S274" s="15">
        <f>IF(L274="","",'14_Eingangsrechnungen'!O274)</f>
        <v/>
      </c>
      <c r="T274" s="44">
        <f>IF(L274="","",'14_Eingangsrechnungen'!H274)</f>
        <v/>
      </c>
      <c r="U274" s="45">
        <f>IF(L274="","",'14_Eingangsrechnungen'!P274)</f>
        <v/>
      </c>
    </row>
    <row r="275">
      <c r="A275" s="13">
        <f>IF('13_Ausgangsrechnungen'!A275="","",IF('13_Ausgangsrechnungen'!S275&gt;0.5,"Debitor",""))</f>
        <v/>
      </c>
      <c r="B275" s="13">
        <f>IF(A275="","",'13_Ausgangsrechnungen'!A275)</f>
        <v/>
      </c>
      <c r="C275" s="44">
        <f>IF(A275="","",'13_Ausgangsrechnungen'!B275)</f>
        <v/>
      </c>
      <c r="D275" s="13">
        <f>IF(A275="","",'13_Ausgangsrechnungen'!D275)</f>
        <v/>
      </c>
      <c r="E275" s="13">
        <f>IF(A275="","",'13_Ausgangsrechnungen'!C275)</f>
        <v/>
      </c>
      <c r="F275" s="13">
        <f>IF(A275="","",'13_Ausgangsrechnungen'!E275)</f>
        <v/>
      </c>
      <c r="G275" s="15">
        <f>IF(A275="","",'13_Ausgangsrechnungen'!Q275)</f>
        <v/>
      </c>
      <c r="H275" s="15">
        <f>IF(A275="","",'13_Ausgangsrechnungen'!S275)</f>
        <v/>
      </c>
      <c r="I275" s="44">
        <f>IF(A275="","",'13_Ausgangsrechnungen'!J275)</f>
        <v/>
      </c>
      <c r="J275" s="45">
        <f>IF(A275="","",'13_Ausgangsrechnungen'!T275)</f>
        <v/>
      </c>
      <c r="L275" s="13">
        <f>IF('14_Eingangsrechnungen'!A275="","",IF('14_Eingangsrechnungen'!O275&gt;0.5,"Kreditor",""))</f>
        <v/>
      </c>
      <c r="M275" s="13">
        <f>IF(L275="","",'14_Eingangsrechnungen'!A275)</f>
        <v/>
      </c>
      <c r="N275" s="44">
        <f>IF(L275="","",'14_Eingangsrechnungen'!B275)</f>
        <v/>
      </c>
      <c r="O275" s="13">
        <f>IF(L275="","",'14_Eingangsrechnungen'!D275)</f>
        <v/>
      </c>
      <c r="P275" s="13">
        <f>IF(L275="","",'14_Eingangsrechnungen'!C275)</f>
        <v/>
      </c>
      <c r="Q275" s="13">
        <f>IF(L275="","",'14_Eingangsrechnungen'!E275)</f>
        <v/>
      </c>
      <c r="R275" s="15">
        <f>IF(L275="","",'14_Eingangsrechnungen'!M275)</f>
        <v/>
      </c>
      <c r="S275" s="15">
        <f>IF(L275="","",'14_Eingangsrechnungen'!O275)</f>
        <v/>
      </c>
      <c r="T275" s="44">
        <f>IF(L275="","",'14_Eingangsrechnungen'!H275)</f>
        <v/>
      </c>
      <c r="U275" s="45">
        <f>IF(L275="","",'14_Eingangsrechnungen'!P275)</f>
        <v/>
      </c>
    </row>
    <row r="276">
      <c r="A276" s="13">
        <f>IF('13_Ausgangsrechnungen'!A276="","",IF('13_Ausgangsrechnungen'!S276&gt;0.5,"Debitor",""))</f>
        <v/>
      </c>
      <c r="B276" s="13">
        <f>IF(A276="","",'13_Ausgangsrechnungen'!A276)</f>
        <v/>
      </c>
      <c r="C276" s="44">
        <f>IF(A276="","",'13_Ausgangsrechnungen'!B276)</f>
        <v/>
      </c>
      <c r="D276" s="13">
        <f>IF(A276="","",'13_Ausgangsrechnungen'!D276)</f>
        <v/>
      </c>
      <c r="E276" s="13">
        <f>IF(A276="","",'13_Ausgangsrechnungen'!C276)</f>
        <v/>
      </c>
      <c r="F276" s="13">
        <f>IF(A276="","",'13_Ausgangsrechnungen'!E276)</f>
        <v/>
      </c>
      <c r="G276" s="15">
        <f>IF(A276="","",'13_Ausgangsrechnungen'!Q276)</f>
        <v/>
      </c>
      <c r="H276" s="15">
        <f>IF(A276="","",'13_Ausgangsrechnungen'!S276)</f>
        <v/>
      </c>
      <c r="I276" s="44">
        <f>IF(A276="","",'13_Ausgangsrechnungen'!J276)</f>
        <v/>
      </c>
      <c r="J276" s="45">
        <f>IF(A276="","",'13_Ausgangsrechnungen'!T276)</f>
        <v/>
      </c>
      <c r="L276" s="13">
        <f>IF('14_Eingangsrechnungen'!A276="","",IF('14_Eingangsrechnungen'!O276&gt;0.5,"Kreditor",""))</f>
        <v/>
      </c>
      <c r="M276" s="13">
        <f>IF(L276="","",'14_Eingangsrechnungen'!A276)</f>
        <v/>
      </c>
      <c r="N276" s="44">
        <f>IF(L276="","",'14_Eingangsrechnungen'!B276)</f>
        <v/>
      </c>
      <c r="O276" s="13">
        <f>IF(L276="","",'14_Eingangsrechnungen'!D276)</f>
        <v/>
      </c>
      <c r="P276" s="13">
        <f>IF(L276="","",'14_Eingangsrechnungen'!C276)</f>
        <v/>
      </c>
      <c r="Q276" s="13">
        <f>IF(L276="","",'14_Eingangsrechnungen'!E276)</f>
        <v/>
      </c>
      <c r="R276" s="15">
        <f>IF(L276="","",'14_Eingangsrechnungen'!M276)</f>
        <v/>
      </c>
      <c r="S276" s="15">
        <f>IF(L276="","",'14_Eingangsrechnungen'!O276)</f>
        <v/>
      </c>
      <c r="T276" s="44">
        <f>IF(L276="","",'14_Eingangsrechnungen'!H276)</f>
        <v/>
      </c>
      <c r="U276" s="45">
        <f>IF(L276="","",'14_Eingangsrechnungen'!P276)</f>
        <v/>
      </c>
    </row>
    <row r="277">
      <c r="A277" s="13">
        <f>IF('13_Ausgangsrechnungen'!A277="","",IF('13_Ausgangsrechnungen'!S277&gt;0.5,"Debitor",""))</f>
        <v/>
      </c>
      <c r="B277" s="13">
        <f>IF(A277="","",'13_Ausgangsrechnungen'!A277)</f>
        <v/>
      </c>
      <c r="C277" s="44">
        <f>IF(A277="","",'13_Ausgangsrechnungen'!B277)</f>
        <v/>
      </c>
      <c r="D277" s="13">
        <f>IF(A277="","",'13_Ausgangsrechnungen'!D277)</f>
        <v/>
      </c>
      <c r="E277" s="13">
        <f>IF(A277="","",'13_Ausgangsrechnungen'!C277)</f>
        <v/>
      </c>
      <c r="F277" s="13">
        <f>IF(A277="","",'13_Ausgangsrechnungen'!E277)</f>
        <v/>
      </c>
      <c r="G277" s="15">
        <f>IF(A277="","",'13_Ausgangsrechnungen'!Q277)</f>
        <v/>
      </c>
      <c r="H277" s="15">
        <f>IF(A277="","",'13_Ausgangsrechnungen'!S277)</f>
        <v/>
      </c>
      <c r="I277" s="44">
        <f>IF(A277="","",'13_Ausgangsrechnungen'!J277)</f>
        <v/>
      </c>
      <c r="J277" s="45">
        <f>IF(A277="","",'13_Ausgangsrechnungen'!T277)</f>
        <v/>
      </c>
      <c r="L277" s="13">
        <f>IF('14_Eingangsrechnungen'!A277="","",IF('14_Eingangsrechnungen'!O277&gt;0.5,"Kreditor",""))</f>
        <v/>
      </c>
      <c r="M277" s="13">
        <f>IF(L277="","",'14_Eingangsrechnungen'!A277)</f>
        <v/>
      </c>
      <c r="N277" s="44">
        <f>IF(L277="","",'14_Eingangsrechnungen'!B277)</f>
        <v/>
      </c>
      <c r="O277" s="13">
        <f>IF(L277="","",'14_Eingangsrechnungen'!D277)</f>
        <v/>
      </c>
      <c r="P277" s="13">
        <f>IF(L277="","",'14_Eingangsrechnungen'!C277)</f>
        <v/>
      </c>
      <c r="Q277" s="13">
        <f>IF(L277="","",'14_Eingangsrechnungen'!E277)</f>
        <v/>
      </c>
      <c r="R277" s="15">
        <f>IF(L277="","",'14_Eingangsrechnungen'!M277)</f>
        <v/>
      </c>
      <c r="S277" s="15">
        <f>IF(L277="","",'14_Eingangsrechnungen'!O277)</f>
        <v/>
      </c>
      <c r="T277" s="44">
        <f>IF(L277="","",'14_Eingangsrechnungen'!H277)</f>
        <v/>
      </c>
      <c r="U277" s="45">
        <f>IF(L277="","",'14_Eingangsrechnungen'!P277)</f>
        <v/>
      </c>
    </row>
    <row r="278">
      <c r="A278" s="13">
        <f>IF('13_Ausgangsrechnungen'!A278="","",IF('13_Ausgangsrechnungen'!S278&gt;0.5,"Debitor",""))</f>
        <v/>
      </c>
      <c r="B278" s="13">
        <f>IF(A278="","",'13_Ausgangsrechnungen'!A278)</f>
        <v/>
      </c>
      <c r="C278" s="44">
        <f>IF(A278="","",'13_Ausgangsrechnungen'!B278)</f>
        <v/>
      </c>
      <c r="D278" s="13">
        <f>IF(A278="","",'13_Ausgangsrechnungen'!D278)</f>
        <v/>
      </c>
      <c r="E278" s="13">
        <f>IF(A278="","",'13_Ausgangsrechnungen'!C278)</f>
        <v/>
      </c>
      <c r="F278" s="13">
        <f>IF(A278="","",'13_Ausgangsrechnungen'!E278)</f>
        <v/>
      </c>
      <c r="G278" s="15">
        <f>IF(A278="","",'13_Ausgangsrechnungen'!Q278)</f>
        <v/>
      </c>
      <c r="H278" s="15">
        <f>IF(A278="","",'13_Ausgangsrechnungen'!S278)</f>
        <v/>
      </c>
      <c r="I278" s="44">
        <f>IF(A278="","",'13_Ausgangsrechnungen'!J278)</f>
        <v/>
      </c>
      <c r="J278" s="45">
        <f>IF(A278="","",'13_Ausgangsrechnungen'!T278)</f>
        <v/>
      </c>
      <c r="L278" s="13">
        <f>IF('14_Eingangsrechnungen'!A278="","",IF('14_Eingangsrechnungen'!O278&gt;0.5,"Kreditor",""))</f>
        <v/>
      </c>
      <c r="M278" s="13">
        <f>IF(L278="","",'14_Eingangsrechnungen'!A278)</f>
        <v/>
      </c>
      <c r="N278" s="44">
        <f>IF(L278="","",'14_Eingangsrechnungen'!B278)</f>
        <v/>
      </c>
      <c r="O278" s="13">
        <f>IF(L278="","",'14_Eingangsrechnungen'!D278)</f>
        <v/>
      </c>
      <c r="P278" s="13">
        <f>IF(L278="","",'14_Eingangsrechnungen'!C278)</f>
        <v/>
      </c>
      <c r="Q278" s="13">
        <f>IF(L278="","",'14_Eingangsrechnungen'!E278)</f>
        <v/>
      </c>
      <c r="R278" s="15">
        <f>IF(L278="","",'14_Eingangsrechnungen'!M278)</f>
        <v/>
      </c>
      <c r="S278" s="15">
        <f>IF(L278="","",'14_Eingangsrechnungen'!O278)</f>
        <v/>
      </c>
      <c r="T278" s="44">
        <f>IF(L278="","",'14_Eingangsrechnungen'!H278)</f>
        <v/>
      </c>
      <c r="U278" s="45">
        <f>IF(L278="","",'14_Eingangsrechnungen'!P278)</f>
        <v/>
      </c>
    </row>
    <row r="279">
      <c r="A279" s="13">
        <f>IF('13_Ausgangsrechnungen'!A279="","",IF('13_Ausgangsrechnungen'!S279&gt;0.5,"Debitor",""))</f>
        <v/>
      </c>
      <c r="B279" s="13">
        <f>IF(A279="","",'13_Ausgangsrechnungen'!A279)</f>
        <v/>
      </c>
      <c r="C279" s="44">
        <f>IF(A279="","",'13_Ausgangsrechnungen'!B279)</f>
        <v/>
      </c>
      <c r="D279" s="13">
        <f>IF(A279="","",'13_Ausgangsrechnungen'!D279)</f>
        <v/>
      </c>
      <c r="E279" s="13">
        <f>IF(A279="","",'13_Ausgangsrechnungen'!C279)</f>
        <v/>
      </c>
      <c r="F279" s="13">
        <f>IF(A279="","",'13_Ausgangsrechnungen'!E279)</f>
        <v/>
      </c>
      <c r="G279" s="15">
        <f>IF(A279="","",'13_Ausgangsrechnungen'!Q279)</f>
        <v/>
      </c>
      <c r="H279" s="15">
        <f>IF(A279="","",'13_Ausgangsrechnungen'!S279)</f>
        <v/>
      </c>
      <c r="I279" s="44">
        <f>IF(A279="","",'13_Ausgangsrechnungen'!J279)</f>
        <v/>
      </c>
      <c r="J279" s="45">
        <f>IF(A279="","",'13_Ausgangsrechnungen'!T279)</f>
        <v/>
      </c>
      <c r="L279" s="13">
        <f>IF('14_Eingangsrechnungen'!A279="","",IF('14_Eingangsrechnungen'!O279&gt;0.5,"Kreditor",""))</f>
        <v/>
      </c>
      <c r="M279" s="13">
        <f>IF(L279="","",'14_Eingangsrechnungen'!A279)</f>
        <v/>
      </c>
      <c r="N279" s="44">
        <f>IF(L279="","",'14_Eingangsrechnungen'!B279)</f>
        <v/>
      </c>
      <c r="O279" s="13">
        <f>IF(L279="","",'14_Eingangsrechnungen'!D279)</f>
        <v/>
      </c>
      <c r="P279" s="13">
        <f>IF(L279="","",'14_Eingangsrechnungen'!C279)</f>
        <v/>
      </c>
      <c r="Q279" s="13">
        <f>IF(L279="","",'14_Eingangsrechnungen'!E279)</f>
        <v/>
      </c>
      <c r="R279" s="15">
        <f>IF(L279="","",'14_Eingangsrechnungen'!M279)</f>
        <v/>
      </c>
      <c r="S279" s="15">
        <f>IF(L279="","",'14_Eingangsrechnungen'!O279)</f>
        <v/>
      </c>
      <c r="T279" s="44">
        <f>IF(L279="","",'14_Eingangsrechnungen'!H279)</f>
        <v/>
      </c>
      <c r="U279" s="45">
        <f>IF(L279="","",'14_Eingangsrechnungen'!P279)</f>
        <v/>
      </c>
    </row>
    <row r="280">
      <c r="A280" s="13">
        <f>IF('13_Ausgangsrechnungen'!A280="","",IF('13_Ausgangsrechnungen'!S280&gt;0.5,"Debitor",""))</f>
        <v/>
      </c>
      <c r="B280" s="13">
        <f>IF(A280="","",'13_Ausgangsrechnungen'!A280)</f>
        <v/>
      </c>
      <c r="C280" s="44">
        <f>IF(A280="","",'13_Ausgangsrechnungen'!B280)</f>
        <v/>
      </c>
      <c r="D280" s="13">
        <f>IF(A280="","",'13_Ausgangsrechnungen'!D280)</f>
        <v/>
      </c>
      <c r="E280" s="13">
        <f>IF(A280="","",'13_Ausgangsrechnungen'!C280)</f>
        <v/>
      </c>
      <c r="F280" s="13">
        <f>IF(A280="","",'13_Ausgangsrechnungen'!E280)</f>
        <v/>
      </c>
      <c r="G280" s="15">
        <f>IF(A280="","",'13_Ausgangsrechnungen'!Q280)</f>
        <v/>
      </c>
      <c r="H280" s="15">
        <f>IF(A280="","",'13_Ausgangsrechnungen'!S280)</f>
        <v/>
      </c>
      <c r="I280" s="44">
        <f>IF(A280="","",'13_Ausgangsrechnungen'!J280)</f>
        <v/>
      </c>
      <c r="J280" s="45">
        <f>IF(A280="","",'13_Ausgangsrechnungen'!T280)</f>
        <v/>
      </c>
      <c r="L280" s="13">
        <f>IF('14_Eingangsrechnungen'!A280="","",IF('14_Eingangsrechnungen'!O280&gt;0.5,"Kreditor",""))</f>
        <v/>
      </c>
      <c r="M280" s="13">
        <f>IF(L280="","",'14_Eingangsrechnungen'!A280)</f>
        <v/>
      </c>
      <c r="N280" s="44">
        <f>IF(L280="","",'14_Eingangsrechnungen'!B280)</f>
        <v/>
      </c>
      <c r="O280" s="13">
        <f>IF(L280="","",'14_Eingangsrechnungen'!D280)</f>
        <v/>
      </c>
      <c r="P280" s="13">
        <f>IF(L280="","",'14_Eingangsrechnungen'!C280)</f>
        <v/>
      </c>
      <c r="Q280" s="13">
        <f>IF(L280="","",'14_Eingangsrechnungen'!E280)</f>
        <v/>
      </c>
      <c r="R280" s="15">
        <f>IF(L280="","",'14_Eingangsrechnungen'!M280)</f>
        <v/>
      </c>
      <c r="S280" s="15">
        <f>IF(L280="","",'14_Eingangsrechnungen'!O280)</f>
        <v/>
      </c>
      <c r="T280" s="44">
        <f>IF(L280="","",'14_Eingangsrechnungen'!H280)</f>
        <v/>
      </c>
      <c r="U280" s="45">
        <f>IF(L280="","",'14_Eingangsrechnungen'!P280)</f>
        <v/>
      </c>
    </row>
    <row r="281">
      <c r="A281" s="13">
        <f>IF('13_Ausgangsrechnungen'!A281="","",IF('13_Ausgangsrechnungen'!S281&gt;0.5,"Debitor",""))</f>
        <v/>
      </c>
      <c r="B281" s="13">
        <f>IF(A281="","",'13_Ausgangsrechnungen'!A281)</f>
        <v/>
      </c>
      <c r="C281" s="44">
        <f>IF(A281="","",'13_Ausgangsrechnungen'!B281)</f>
        <v/>
      </c>
      <c r="D281" s="13">
        <f>IF(A281="","",'13_Ausgangsrechnungen'!D281)</f>
        <v/>
      </c>
      <c r="E281" s="13">
        <f>IF(A281="","",'13_Ausgangsrechnungen'!C281)</f>
        <v/>
      </c>
      <c r="F281" s="13">
        <f>IF(A281="","",'13_Ausgangsrechnungen'!E281)</f>
        <v/>
      </c>
      <c r="G281" s="15">
        <f>IF(A281="","",'13_Ausgangsrechnungen'!Q281)</f>
        <v/>
      </c>
      <c r="H281" s="15">
        <f>IF(A281="","",'13_Ausgangsrechnungen'!S281)</f>
        <v/>
      </c>
      <c r="I281" s="44">
        <f>IF(A281="","",'13_Ausgangsrechnungen'!J281)</f>
        <v/>
      </c>
      <c r="J281" s="45">
        <f>IF(A281="","",'13_Ausgangsrechnungen'!T281)</f>
        <v/>
      </c>
      <c r="L281" s="13">
        <f>IF('14_Eingangsrechnungen'!A281="","",IF('14_Eingangsrechnungen'!O281&gt;0.5,"Kreditor",""))</f>
        <v/>
      </c>
      <c r="M281" s="13">
        <f>IF(L281="","",'14_Eingangsrechnungen'!A281)</f>
        <v/>
      </c>
      <c r="N281" s="44">
        <f>IF(L281="","",'14_Eingangsrechnungen'!B281)</f>
        <v/>
      </c>
      <c r="O281" s="13">
        <f>IF(L281="","",'14_Eingangsrechnungen'!D281)</f>
        <v/>
      </c>
      <c r="P281" s="13">
        <f>IF(L281="","",'14_Eingangsrechnungen'!C281)</f>
        <v/>
      </c>
      <c r="Q281" s="13">
        <f>IF(L281="","",'14_Eingangsrechnungen'!E281)</f>
        <v/>
      </c>
      <c r="R281" s="15">
        <f>IF(L281="","",'14_Eingangsrechnungen'!M281)</f>
        <v/>
      </c>
      <c r="S281" s="15">
        <f>IF(L281="","",'14_Eingangsrechnungen'!O281)</f>
        <v/>
      </c>
      <c r="T281" s="44">
        <f>IF(L281="","",'14_Eingangsrechnungen'!H281)</f>
        <v/>
      </c>
      <c r="U281" s="45">
        <f>IF(L281="","",'14_Eingangsrechnungen'!P281)</f>
        <v/>
      </c>
    </row>
    <row r="282">
      <c r="A282" s="13">
        <f>IF('13_Ausgangsrechnungen'!A282="","",IF('13_Ausgangsrechnungen'!S282&gt;0.5,"Debitor",""))</f>
        <v/>
      </c>
      <c r="B282" s="13">
        <f>IF(A282="","",'13_Ausgangsrechnungen'!A282)</f>
        <v/>
      </c>
      <c r="C282" s="44">
        <f>IF(A282="","",'13_Ausgangsrechnungen'!B282)</f>
        <v/>
      </c>
      <c r="D282" s="13">
        <f>IF(A282="","",'13_Ausgangsrechnungen'!D282)</f>
        <v/>
      </c>
      <c r="E282" s="13">
        <f>IF(A282="","",'13_Ausgangsrechnungen'!C282)</f>
        <v/>
      </c>
      <c r="F282" s="13">
        <f>IF(A282="","",'13_Ausgangsrechnungen'!E282)</f>
        <v/>
      </c>
      <c r="G282" s="15">
        <f>IF(A282="","",'13_Ausgangsrechnungen'!Q282)</f>
        <v/>
      </c>
      <c r="H282" s="15">
        <f>IF(A282="","",'13_Ausgangsrechnungen'!S282)</f>
        <v/>
      </c>
      <c r="I282" s="44">
        <f>IF(A282="","",'13_Ausgangsrechnungen'!J282)</f>
        <v/>
      </c>
      <c r="J282" s="45">
        <f>IF(A282="","",'13_Ausgangsrechnungen'!T282)</f>
        <v/>
      </c>
      <c r="L282" s="13">
        <f>IF('14_Eingangsrechnungen'!A282="","",IF('14_Eingangsrechnungen'!O282&gt;0.5,"Kreditor",""))</f>
        <v/>
      </c>
      <c r="M282" s="13">
        <f>IF(L282="","",'14_Eingangsrechnungen'!A282)</f>
        <v/>
      </c>
      <c r="N282" s="44">
        <f>IF(L282="","",'14_Eingangsrechnungen'!B282)</f>
        <v/>
      </c>
      <c r="O282" s="13">
        <f>IF(L282="","",'14_Eingangsrechnungen'!D282)</f>
        <v/>
      </c>
      <c r="P282" s="13">
        <f>IF(L282="","",'14_Eingangsrechnungen'!C282)</f>
        <v/>
      </c>
      <c r="Q282" s="13">
        <f>IF(L282="","",'14_Eingangsrechnungen'!E282)</f>
        <v/>
      </c>
      <c r="R282" s="15">
        <f>IF(L282="","",'14_Eingangsrechnungen'!M282)</f>
        <v/>
      </c>
      <c r="S282" s="15">
        <f>IF(L282="","",'14_Eingangsrechnungen'!O282)</f>
        <v/>
      </c>
      <c r="T282" s="44">
        <f>IF(L282="","",'14_Eingangsrechnungen'!H282)</f>
        <v/>
      </c>
      <c r="U282" s="45">
        <f>IF(L282="","",'14_Eingangsrechnungen'!P282)</f>
        <v/>
      </c>
    </row>
    <row r="283">
      <c r="A283" s="13">
        <f>IF('13_Ausgangsrechnungen'!A283="","",IF('13_Ausgangsrechnungen'!S283&gt;0.5,"Debitor",""))</f>
        <v/>
      </c>
      <c r="B283" s="13">
        <f>IF(A283="","",'13_Ausgangsrechnungen'!A283)</f>
        <v/>
      </c>
      <c r="C283" s="44">
        <f>IF(A283="","",'13_Ausgangsrechnungen'!B283)</f>
        <v/>
      </c>
      <c r="D283" s="13">
        <f>IF(A283="","",'13_Ausgangsrechnungen'!D283)</f>
        <v/>
      </c>
      <c r="E283" s="13">
        <f>IF(A283="","",'13_Ausgangsrechnungen'!C283)</f>
        <v/>
      </c>
      <c r="F283" s="13">
        <f>IF(A283="","",'13_Ausgangsrechnungen'!E283)</f>
        <v/>
      </c>
      <c r="G283" s="15">
        <f>IF(A283="","",'13_Ausgangsrechnungen'!Q283)</f>
        <v/>
      </c>
      <c r="H283" s="15">
        <f>IF(A283="","",'13_Ausgangsrechnungen'!S283)</f>
        <v/>
      </c>
      <c r="I283" s="44">
        <f>IF(A283="","",'13_Ausgangsrechnungen'!J283)</f>
        <v/>
      </c>
      <c r="J283" s="45">
        <f>IF(A283="","",'13_Ausgangsrechnungen'!T283)</f>
        <v/>
      </c>
      <c r="L283" s="13">
        <f>IF('14_Eingangsrechnungen'!A283="","",IF('14_Eingangsrechnungen'!O283&gt;0.5,"Kreditor",""))</f>
        <v/>
      </c>
      <c r="M283" s="13">
        <f>IF(L283="","",'14_Eingangsrechnungen'!A283)</f>
        <v/>
      </c>
      <c r="N283" s="44">
        <f>IF(L283="","",'14_Eingangsrechnungen'!B283)</f>
        <v/>
      </c>
      <c r="O283" s="13">
        <f>IF(L283="","",'14_Eingangsrechnungen'!D283)</f>
        <v/>
      </c>
      <c r="P283" s="13">
        <f>IF(L283="","",'14_Eingangsrechnungen'!C283)</f>
        <v/>
      </c>
      <c r="Q283" s="13">
        <f>IF(L283="","",'14_Eingangsrechnungen'!E283)</f>
        <v/>
      </c>
      <c r="R283" s="15">
        <f>IF(L283="","",'14_Eingangsrechnungen'!M283)</f>
        <v/>
      </c>
      <c r="S283" s="15">
        <f>IF(L283="","",'14_Eingangsrechnungen'!O283)</f>
        <v/>
      </c>
      <c r="T283" s="44">
        <f>IF(L283="","",'14_Eingangsrechnungen'!H283)</f>
        <v/>
      </c>
      <c r="U283" s="45">
        <f>IF(L283="","",'14_Eingangsrechnungen'!P283)</f>
        <v/>
      </c>
    </row>
    <row r="284">
      <c r="A284" s="13">
        <f>IF('13_Ausgangsrechnungen'!A284="","",IF('13_Ausgangsrechnungen'!S284&gt;0.5,"Debitor",""))</f>
        <v/>
      </c>
      <c r="B284" s="13">
        <f>IF(A284="","",'13_Ausgangsrechnungen'!A284)</f>
        <v/>
      </c>
      <c r="C284" s="44">
        <f>IF(A284="","",'13_Ausgangsrechnungen'!B284)</f>
        <v/>
      </c>
      <c r="D284" s="13">
        <f>IF(A284="","",'13_Ausgangsrechnungen'!D284)</f>
        <v/>
      </c>
      <c r="E284" s="13">
        <f>IF(A284="","",'13_Ausgangsrechnungen'!C284)</f>
        <v/>
      </c>
      <c r="F284" s="13">
        <f>IF(A284="","",'13_Ausgangsrechnungen'!E284)</f>
        <v/>
      </c>
      <c r="G284" s="15">
        <f>IF(A284="","",'13_Ausgangsrechnungen'!Q284)</f>
        <v/>
      </c>
      <c r="H284" s="15">
        <f>IF(A284="","",'13_Ausgangsrechnungen'!S284)</f>
        <v/>
      </c>
      <c r="I284" s="44">
        <f>IF(A284="","",'13_Ausgangsrechnungen'!J284)</f>
        <v/>
      </c>
      <c r="J284" s="45">
        <f>IF(A284="","",'13_Ausgangsrechnungen'!T284)</f>
        <v/>
      </c>
      <c r="L284" s="13">
        <f>IF('14_Eingangsrechnungen'!A284="","",IF('14_Eingangsrechnungen'!O284&gt;0.5,"Kreditor",""))</f>
        <v/>
      </c>
      <c r="M284" s="13">
        <f>IF(L284="","",'14_Eingangsrechnungen'!A284)</f>
        <v/>
      </c>
      <c r="N284" s="44">
        <f>IF(L284="","",'14_Eingangsrechnungen'!B284)</f>
        <v/>
      </c>
      <c r="O284" s="13">
        <f>IF(L284="","",'14_Eingangsrechnungen'!D284)</f>
        <v/>
      </c>
      <c r="P284" s="13">
        <f>IF(L284="","",'14_Eingangsrechnungen'!C284)</f>
        <v/>
      </c>
      <c r="Q284" s="13">
        <f>IF(L284="","",'14_Eingangsrechnungen'!E284)</f>
        <v/>
      </c>
      <c r="R284" s="15">
        <f>IF(L284="","",'14_Eingangsrechnungen'!M284)</f>
        <v/>
      </c>
      <c r="S284" s="15">
        <f>IF(L284="","",'14_Eingangsrechnungen'!O284)</f>
        <v/>
      </c>
      <c r="T284" s="44">
        <f>IF(L284="","",'14_Eingangsrechnungen'!H284)</f>
        <v/>
      </c>
      <c r="U284" s="45">
        <f>IF(L284="","",'14_Eingangsrechnungen'!P284)</f>
        <v/>
      </c>
    </row>
    <row r="285">
      <c r="A285" s="13">
        <f>IF('13_Ausgangsrechnungen'!A285="","",IF('13_Ausgangsrechnungen'!S285&gt;0.5,"Debitor",""))</f>
        <v/>
      </c>
      <c r="B285" s="13">
        <f>IF(A285="","",'13_Ausgangsrechnungen'!A285)</f>
        <v/>
      </c>
      <c r="C285" s="44">
        <f>IF(A285="","",'13_Ausgangsrechnungen'!B285)</f>
        <v/>
      </c>
      <c r="D285" s="13">
        <f>IF(A285="","",'13_Ausgangsrechnungen'!D285)</f>
        <v/>
      </c>
      <c r="E285" s="13">
        <f>IF(A285="","",'13_Ausgangsrechnungen'!C285)</f>
        <v/>
      </c>
      <c r="F285" s="13">
        <f>IF(A285="","",'13_Ausgangsrechnungen'!E285)</f>
        <v/>
      </c>
      <c r="G285" s="15">
        <f>IF(A285="","",'13_Ausgangsrechnungen'!Q285)</f>
        <v/>
      </c>
      <c r="H285" s="15">
        <f>IF(A285="","",'13_Ausgangsrechnungen'!S285)</f>
        <v/>
      </c>
      <c r="I285" s="44">
        <f>IF(A285="","",'13_Ausgangsrechnungen'!J285)</f>
        <v/>
      </c>
      <c r="J285" s="45">
        <f>IF(A285="","",'13_Ausgangsrechnungen'!T285)</f>
        <v/>
      </c>
      <c r="L285" s="13">
        <f>IF('14_Eingangsrechnungen'!A285="","",IF('14_Eingangsrechnungen'!O285&gt;0.5,"Kreditor",""))</f>
        <v/>
      </c>
      <c r="M285" s="13">
        <f>IF(L285="","",'14_Eingangsrechnungen'!A285)</f>
        <v/>
      </c>
      <c r="N285" s="44">
        <f>IF(L285="","",'14_Eingangsrechnungen'!B285)</f>
        <v/>
      </c>
      <c r="O285" s="13">
        <f>IF(L285="","",'14_Eingangsrechnungen'!D285)</f>
        <v/>
      </c>
      <c r="P285" s="13">
        <f>IF(L285="","",'14_Eingangsrechnungen'!C285)</f>
        <v/>
      </c>
      <c r="Q285" s="13">
        <f>IF(L285="","",'14_Eingangsrechnungen'!E285)</f>
        <v/>
      </c>
      <c r="R285" s="15">
        <f>IF(L285="","",'14_Eingangsrechnungen'!M285)</f>
        <v/>
      </c>
      <c r="S285" s="15">
        <f>IF(L285="","",'14_Eingangsrechnungen'!O285)</f>
        <v/>
      </c>
      <c r="T285" s="44">
        <f>IF(L285="","",'14_Eingangsrechnungen'!H285)</f>
        <v/>
      </c>
      <c r="U285" s="45">
        <f>IF(L285="","",'14_Eingangsrechnungen'!P285)</f>
        <v/>
      </c>
    </row>
    <row r="286">
      <c r="A286" s="13">
        <f>IF('13_Ausgangsrechnungen'!A286="","",IF('13_Ausgangsrechnungen'!S286&gt;0.5,"Debitor",""))</f>
        <v/>
      </c>
      <c r="B286" s="13">
        <f>IF(A286="","",'13_Ausgangsrechnungen'!A286)</f>
        <v/>
      </c>
      <c r="C286" s="44">
        <f>IF(A286="","",'13_Ausgangsrechnungen'!B286)</f>
        <v/>
      </c>
      <c r="D286" s="13">
        <f>IF(A286="","",'13_Ausgangsrechnungen'!D286)</f>
        <v/>
      </c>
      <c r="E286" s="13">
        <f>IF(A286="","",'13_Ausgangsrechnungen'!C286)</f>
        <v/>
      </c>
      <c r="F286" s="13">
        <f>IF(A286="","",'13_Ausgangsrechnungen'!E286)</f>
        <v/>
      </c>
      <c r="G286" s="15">
        <f>IF(A286="","",'13_Ausgangsrechnungen'!Q286)</f>
        <v/>
      </c>
      <c r="H286" s="15">
        <f>IF(A286="","",'13_Ausgangsrechnungen'!S286)</f>
        <v/>
      </c>
      <c r="I286" s="44">
        <f>IF(A286="","",'13_Ausgangsrechnungen'!J286)</f>
        <v/>
      </c>
      <c r="J286" s="45">
        <f>IF(A286="","",'13_Ausgangsrechnungen'!T286)</f>
        <v/>
      </c>
      <c r="L286" s="13">
        <f>IF('14_Eingangsrechnungen'!A286="","",IF('14_Eingangsrechnungen'!O286&gt;0.5,"Kreditor",""))</f>
        <v/>
      </c>
      <c r="M286" s="13">
        <f>IF(L286="","",'14_Eingangsrechnungen'!A286)</f>
        <v/>
      </c>
      <c r="N286" s="44">
        <f>IF(L286="","",'14_Eingangsrechnungen'!B286)</f>
        <v/>
      </c>
      <c r="O286" s="13">
        <f>IF(L286="","",'14_Eingangsrechnungen'!D286)</f>
        <v/>
      </c>
      <c r="P286" s="13">
        <f>IF(L286="","",'14_Eingangsrechnungen'!C286)</f>
        <v/>
      </c>
      <c r="Q286" s="13">
        <f>IF(L286="","",'14_Eingangsrechnungen'!E286)</f>
        <v/>
      </c>
      <c r="R286" s="15">
        <f>IF(L286="","",'14_Eingangsrechnungen'!M286)</f>
        <v/>
      </c>
      <c r="S286" s="15">
        <f>IF(L286="","",'14_Eingangsrechnungen'!O286)</f>
        <v/>
      </c>
      <c r="T286" s="44">
        <f>IF(L286="","",'14_Eingangsrechnungen'!H286)</f>
        <v/>
      </c>
      <c r="U286" s="45">
        <f>IF(L286="","",'14_Eingangsrechnungen'!P286)</f>
        <v/>
      </c>
    </row>
    <row r="287">
      <c r="A287" s="13">
        <f>IF('13_Ausgangsrechnungen'!A287="","",IF('13_Ausgangsrechnungen'!S287&gt;0.5,"Debitor",""))</f>
        <v/>
      </c>
      <c r="B287" s="13">
        <f>IF(A287="","",'13_Ausgangsrechnungen'!A287)</f>
        <v/>
      </c>
      <c r="C287" s="44">
        <f>IF(A287="","",'13_Ausgangsrechnungen'!B287)</f>
        <v/>
      </c>
      <c r="D287" s="13">
        <f>IF(A287="","",'13_Ausgangsrechnungen'!D287)</f>
        <v/>
      </c>
      <c r="E287" s="13">
        <f>IF(A287="","",'13_Ausgangsrechnungen'!C287)</f>
        <v/>
      </c>
      <c r="F287" s="13">
        <f>IF(A287="","",'13_Ausgangsrechnungen'!E287)</f>
        <v/>
      </c>
      <c r="G287" s="15">
        <f>IF(A287="","",'13_Ausgangsrechnungen'!Q287)</f>
        <v/>
      </c>
      <c r="H287" s="15">
        <f>IF(A287="","",'13_Ausgangsrechnungen'!S287)</f>
        <v/>
      </c>
      <c r="I287" s="44">
        <f>IF(A287="","",'13_Ausgangsrechnungen'!J287)</f>
        <v/>
      </c>
      <c r="J287" s="45">
        <f>IF(A287="","",'13_Ausgangsrechnungen'!T287)</f>
        <v/>
      </c>
      <c r="L287" s="13">
        <f>IF('14_Eingangsrechnungen'!A287="","",IF('14_Eingangsrechnungen'!O287&gt;0.5,"Kreditor",""))</f>
        <v/>
      </c>
      <c r="M287" s="13">
        <f>IF(L287="","",'14_Eingangsrechnungen'!A287)</f>
        <v/>
      </c>
      <c r="N287" s="44">
        <f>IF(L287="","",'14_Eingangsrechnungen'!B287)</f>
        <v/>
      </c>
      <c r="O287" s="13">
        <f>IF(L287="","",'14_Eingangsrechnungen'!D287)</f>
        <v/>
      </c>
      <c r="P287" s="13">
        <f>IF(L287="","",'14_Eingangsrechnungen'!C287)</f>
        <v/>
      </c>
      <c r="Q287" s="13">
        <f>IF(L287="","",'14_Eingangsrechnungen'!E287)</f>
        <v/>
      </c>
      <c r="R287" s="15">
        <f>IF(L287="","",'14_Eingangsrechnungen'!M287)</f>
        <v/>
      </c>
      <c r="S287" s="15">
        <f>IF(L287="","",'14_Eingangsrechnungen'!O287)</f>
        <v/>
      </c>
      <c r="T287" s="44">
        <f>IF(L287="","",'14_Eingangsrechnungen'!H287)</f>
        <v/>
      </c>
      <c r="U287" s="45">
        <f>IF(L287="","",'14_Eingangsrechnungen'!P287)</f>
        <v/>
      </c>
    </row>
    <row r="288">
      <c r="A288" s="13">
        <f>IF('13_Ausgangsrechnungen'!A288="","",IF('13_Ausgangsrechnungen'!S288&gt;0.5,"Debitor",""))</f>
        <v/>
      </c>
      <c r="B288" s="13">
        <f>IF(A288="","",'13_Ausgangsrechnungen'!A288)</f>
        <v/>
      </c>
      <c r="C288" s="44">
        <f>IF(A288="","",'13_Ausgangsrechnungen'!B288)</f>
        <v/>
      </c>
      <c r="D288" s="13">
        <f>IF(A288="","",'13_Ausgangsrechnungen'!D288)</f>
        <v/>
      </c>
      <c r="E288" s="13">
        <f>IF(A288="","",'13_Ausgangsrechnungen'!C288)</f>
        <v/>
      </c>
      <c r="F288" s="13">
        <f>IF(A288="","",'13_Ausgangsrechnungen'!E288)</f>
        <v/>
      </c>
      <c r="G288" s="15">
        <f>IF(A288="","",'13_Ausgangsrechnungen'!Q288)</f>
        <v/>
      </c>
      <c r="H288" s="15">
        <f>IF(A288="","",'13_Ausgangsrechnungen'!S288)</f>
        <v/>
      </c>
      <c r="I288" s="44">
        <f>IF(A288="","",'13_Ausgangsrechnungen'!J288)</f>
        <v/>
      </c>
      <c r="J288" s="45">
        <f>IF(A288="","",'13_Ausgangsrechnungen'!T288)</f>
        <v/>
      </c>
      <c r="L288" s="13">
        <f>IF('14_Eingangsrechnungen'!A288="","",IF('14_Eingangsrechnungen'!O288&gt;0.5,"Kreditor",""))</f>
        <v/>
      </c>
      <c r="M288" s="13">
        <f>IF(L288="","",'14_Eingangsrechnungen'!A288)</f>
        <v/>
      </c>
      <c r="N288" s="44">
        <f>IF(L288="","",'14_Eingangsrechnungen'!B288)</f>
        <v/>
      </c>
      <c r="O288" s="13">
        <f>IF(L288="","",'14_Eingangsrechnungen'!D288)</f>
        <v/>
      </c>
      <c r="P288" s="13">
        <f>IF(L288="","",'14_Eingangsrechnungen'!C288)</f>
        <v/>
      </c>
      <c r="Q288" s="13">
        <f>IF(L288="","",'14_Eingangsrechnungen'!E288)</f>
        <v/>
      </c>
      <c r="R288" s="15">
        <f>IF(L288="","",'14_Eingangsrechnungen'!M288)</f>
        <v/>
      </c>
      <c r="S288" s="15">
        <f>IF(L288="","",'14_Eingangsrechnungen'!O288)</f>
        <v/>
      </c>
      <c r="T288" s="44">
        <f>IF(L288="","",'14_Eingangsrechnungen'!H288)</f>
        <v/>
      </c>
      <c r="U288" s="45">
        <f>IF(L288="","",'14_Eingangsrechnungen'!P288)</f>
        <v/>
      </c>
    </row>
    <row r="289">
      <c r="A289" s="13">
        <f>IF('13_Ausgangsrechnungen'!A289="","",IF('13_Ausgangsrechnungen'!S289&gt;0.5,"Debitor",""))</f>
        <v/>
      </c>
      <c r="B289" s="13">
        <f>IF(A289="","",'13_Ausgangsrechnungen'!A289)</f>
        <v/>
      </c>
      <c r="C289" s="44">
        <f>IF(A289="","",'13_Ausgangsrechnungen'!B289)</f>
        <v/>
      </c>
      <c r="D289" s="13">
        <f>IF(A289="","",'13_Ausgangsrechnungen'!D289)</f>
        <v/>
      </c>
      <c r="E289" s="13">
        <f>IF(A289="","",'13_Ausgangsrechnungen'!C289)</f>
        <v/>
      </c>
      <c r="F289" s="13">
        <f>IF(A289="","",'13_Ausgangsrechnungen'!E289)</f>
        <v/>
      </c>
      <c r="G289" s="15">
        <f>IF(A289="","",'13_Ausgangsrechnungen'!Q289)</f>
        <v/>
      </c>
      <c r="H289" s="15">
        <f>IF(A289="","",'13_Ausgangsrechnungen'!S289)</f>
        <v/>
      </c>
      <c r="I289" s="44">
        <f>IF(A289="","",'13_Ausgangsrechnungen'!J289)</f>
        <v/>
      </c>
      <c r="J289" s="45">
        <f>IF(A289="","",'13_Ausgangsrechnungen'!T289)</f>
        <v/>
      </c>
      <c r="L289" s="13">
        <f>IF('14_Eingangsrechnungen'!A289="","",IF('14_Eingangsrechnungen'!O289&gt;0.5,"Kreditor",""))</f>
        <v/>
      </c>
      <c r="M289" s="13">
        <f>IF(L289="","",'14_Eingangsrechnungen'!A289)</f>
        <v/>
      </c>
      <c r="N289" s="44">
        <f>IF(L289="","",'14_Eingangsrechnungen'!B289)</f>
        <v/>
      </c>
      <c r="O289" s="13">
        <f>IF(L289="","",'14_Eingangsrechnungen'!D289)</f>
        <v/>
      </c>
      <c r="P289" s="13">
        <f>IF(L289="","",'14_Eingangsrechnungen'!C289)</f>
        <v/>
      </c>
      <c r="Q289" s="13">
        <f>IF(L289="","",'14_Eingangsrechnungen'!E289)</f>
        <v/>
      </c>
      <c r="R289" s="15">
        <f>IF(L289="","",'14_Eingangsrechnungen'!M289)</f>
        <v/>
      </c>
      <c r="S289" s="15">
        <f>IF(L289="","",'14_Eingangsrechnungen'!O289)</f>
        <v/>
      </c>
      <c r="T289" s="44">
        <f>IF(L289="","",'14_Eingangsrechnungen'!H289)</f>
        <v/>
      </c>
      <c r="U289" s="45">
        <f>IF(L289="","",'14_Eingangsrechnungen'!P289)</f>
        <v/>
      </c>
    </row>
    <row r="290">
      <c r="A290" s="13">
        <f>IF('13_Ausgangsrechnungen'!A290="","",IF('13_Ausgangsrechnungen'!S290&gt;0.5,"Debitor",""))</f>
        <v/>
      </c>
      <c r="B290" s="13">
        <f>IF(A290="","",'13_Ausgangsrechnungen'!A290)</f>
        <v/>
      </c>
      <c r="C290" s="44">
        <f>IF(A290="","",'13_Ausgangsrechnungen'!B290)</f>
        <v/>
      </c>
      <c r="D290" s="13">
        <f>IF(A290="","",'13_Ausgangsrechnungen'!D290)</f>
        <v/>
      </c>
      <c r="E290" s="13">
        <f>IF(A290="","",'13_Ausgangsrechnungen'!C290)</f>
        <v/>
      </c>
      <c r="F290" s="13">
        <f>IF(A290="","",'13_Ausgangsrechnungen'!E290)</f>
        <v/>
      </c>
      <c r="G290" s="15">
        <f>IF(A290="","",'13_Ausgangsrechnungen'!Q290)</f>
        <v/>
      </c>
      <c r="H290" s="15">
        <f>IF(A290="","",'13_Ausgangsrechnungen'!S290)</f>
        <v/>
      </c>
      <c r="I290" s="44">
        <f>IF(A290="","",'13_Ausgangsrechnungen'!J290)</f>
        <v/>
      </c>
      <c r="J290" s="45">
        <f>IF(A290="","",'13_Ausgangsrechnungen'!T290)</f>
        <v/>
      </c>
      <c r="L290" s="13">
        <f>IF('14_Eingangsrechnungen'!A290="","",IF('14_Eingangsrechnungen'!O290&gt;0.5,"Kreditor",""))</f>
        <v/>
      </c>
      <c r="M290" s="13">
        <f>IF(L290="","",'14_Eingangsrechnungen'!A290)</f>
        <v/>
      </c>
      <c r="N290" s="44">
        <f>IF(L290="","",'14_Eingangsrechnungen'!B290)</f>
        <v/>
      </c>
      <c r="O290" s="13">
        <f>IF(L290="","",'14_Eingangsrechnungen'!D290)</f>
        <v/>
      </c>
      <c r="P290" s="13">
        <f>IF(L290="","",'14_Eingangsrechnungen'!C290)</f>
        <v/>
      </c>
      <c r="Q290" s="13">
        <f>IF(L290="","",'14_Eingangsrechnungen'!E290)</f>
        <v/>
      </c>
      <c r="R290" s="15">
        <f>IF(L290="","",'14_Eingangsrechnungen'!M290)</f>
        <v/>
      </c>
      <c r="S290" s="15">
        <f>IF(L290="","",'14_Eingangsrechnungen'!O290)</f>
        <v/>
      </c>
      <c r="T290" s="44">
        <f>IF(L290="","",'14_Eingangsrechnungen'!H290)</f>
        <v/>
      </c>
      <c r="U290" s="45">
        <f>IF(L290="","",'14_Eingangsrechnungen'!P290)</f>
        <v/>
      </c>
    </row>
    <row r="291">
      <c r="A291" s="13">
        <f>IF('13_Ausgangsrechnungen'!A291="","",IF('13_Ausgangsrechnungen'!S291&gt;0.5,"Debitor",""))</f>
        <v/>
      </c>
      <c r="B291" s="13">
        <f>IF(A291="","",'13_Ausgangsrechnungen'!A291)</f>
        <v/>
      </c>
      <c r="C291" s="44">
        <f>IF(A291="","",'13_Ausgangsrechnungen'!B291)</f>
        <v/>
      </c>
      <c r="D291" s="13">
        <f>IF(A291="","",'13_Ausgangsrechnungen'!D291)</f>
        <v/>
      </c>
      <c r="E291" s="13">
        <f>IF(A291="","",'13_Ausgangsrechnungen'!C291)</f>
        <v/>
      </c>
      <c r="F291" s="13">
        <f>IF(A291="","",'13_Ausgangsrechnungen'!E291)</f>
        <v/>
      </c>
      <c r="G291" s="15">
        <f>IF(A291="","",'13_Ausgangsrechnungen'!Q291)</f>
        <v/>
      </c>
      <c r="H291" s="15">
        <f>IF(A291="","",'13_Ausgangsrechnungen'!S291)</f>
        <v/>
      </c>
      <c r="I291" s="44">
        <f>IF(A291="","",'13_Ausgangsrechnungen'!J291)</f>
        <v/>
      </c>
      <c r="J291" s="45">
        <f>IF(A291="","",'13_Ausgangsrechnungen'!T291)</f>
        <v/>
      </c>
      <c r="L291" s="13">
        <f>IF('14_Eingangsrechnungen'!A291="","",IF('14_Eingangsrechnungen'!O291&gt;0.5,"Kreditor",""))</f>
        <v/>
      </c>
      <c r="M291" s="13">
        <f>IF(L291="","",'14_Eingangsrechnungen'!A291)</f>
        <v/>
      </c>
      <c r="N291" s="44">
        <f>IF(L291="","",'14_Eingangsrechnungen'!B291)</f>
        <v/>
      </c>
      <c r="O291" s="13">
        <f>IF(L291="","",'14_Eingangsrechnungen'!D291)</f>
        <v/>
      </c>
      <c r="P291" s="13">
        <f>IF(L291="","",'14_Eingangsrechnungen'!C291)</f>
        <v/>
      </c>
      <c r="Q291" s="13">
        <f>IF(L291="","",'14_Eingangsrechnungen'!E291)</f>
        <v/>
      </c>
      <c r="R291" s="15">
        <f>IF(L291="","",'14_Eingangsrechnungen'!M291)</f>
        <v/>
      </c>
      <c r="S291" s="15">
        <f>IF(L291="","",'14_Eingangsrechnungen'!O291)</f>
        <v/>
      </c>
      <c r="T291" s="44">
        <f>IF(L291="","",'14_Eingangsrechnungen'!H291)</f>
        <v/>
      </c>
      <c r="U291" s="45">
        <f>IF(L291="","",'14_Eingangsrechnungen'!P291)</f>
        <v/>
      </c>
    </row>
    <row r="292">
      <c r="A292" s="13">
        <f>IF('13_Ausgangsrechnungen'!A292="","",IF('13_Ausgangsrechnungen'!S292&gt;0.5,"Debitor",""))</f>
        <v/>
      </c>
      <c r="B292" s="13">
        <f>IF(A292="","",'13_Ausgangsrechnungen'!A292)</f>
        <v/>
      </c>
      <c r="C292" s="44">
        <f>IF(A292="","",'13_Ausgangsrechnungen'!B292)</f>
        <v/>
      </c>
      <c r="D292" s="13">
        <f>IF(A292="","",'13_Ausgangsrechnungen'!D292)</f>
        <v/>
      </c>
      <c r="E292" s="13">
        <f>IF(A292="","",'13_Ausgangsrechnungen'!C292)</f>
        <v/>
      </c>
      <c r="F292" s="13">
        <f>IF(A292="","",'13_Ausgangsrechnungen'!E292)</f>
        <v/>
      </c>
      <c r="G292" s="15">
        <f>IF(A292="","",'13_Ausgangsrechnungen'!Q292)</f>
        <v/>
      </c>
      <c r="H292" s="15">
        <f>IF(A292="","",'13_Ausgangsrechnungen'!S292)</f>
        <v/>
      </c>
      <c r="I292" s="44">
        <f>IF(A292="","",'13_Ausgangsrechnungen'!J292)</f>
        <v/>
      </c>
      <c r="J292" s="45">
        <f>IF(A292="","",'13_Ausgangsrechnungen'!T292)</f>
        <v/>
      </c>
      <c r="L292" s="13">
        <f>IF('14_Eingangsrechnungen'!A292="","",IF('14_Eingangsrechnungen'!O292&gt;0.5,"Kreditor",""))</f>
        <v/>
      </c>
      <c r="M292" s="13">
        <f>IF(L292="","",'14_Eingangsrechnungen'!A292)</f>
        <v/>
      </c>
      <c r="N292" s="44">
        <f>IF(L292="","",'14_Eingangsrechnungen'!B292)</f>
        <v/>
      </c>
      <c r="O292" s="13">
        <f>IF(L292="","",'14_Eingangsrechnungen'!D292)</f>
        <v/>
      </c>
      <c r="P292" s="13">
        <f>IF(L292="","",'14_Eingangsrechnungen'!C292)</f>
        <v/>
      </c>
      <c r="Q292" s="13">
        <f>IF(L292="","",'14_Eingangsrechnungen'!E292)</f>
        <v/>
      </c>
      <c r="R292" s="15">
        <f>IF(L292="","",'14_Eingangsrechnungen'!M292)</f>
        <v/>
      </c>
      <c r="S292" s="15">
        <f>IF(L292="","",'14_Eingangsrechnungen'!O292)</f>
        <v/>
      </c>
      <c r="T292" s="44">
        <f>IF(L292="","",'14_Eingangsrechnungen'!H292)</f>
        <v/>
      </c>
      <c r="U292" s="45">
        <f>IF(L292="","",'14_Eingangsrechnungen'!P292)</f>
        <v/>
      </c>
    </row>
    <row r="293">
      <c r="A293" s="13">
        <f>IF('13_Ausgangsrechnungen'!A293="","",IF('13_Ausgangsrechnungen'!S293&gt;0.5,"Debitor",""))</f>
        <v/>
      </c>
      <c r="B293" s="13">
        <f>IF(A293="","",'13_Ausgangsrechnungen'!A293)</f>
        <v/>
      </c>
      <c r="C293" s="44">
        <f>IF(A293="","",'13_Ausgangsrechnungen'!B293)</f>
        <v/>
      </c>
      <c r="D293" s="13">
        <f>IF(A293="","",'13_Ausgangsrechnungen'!D293)</f>
        <v/>
      </c>
      <c r="E293" s="13">
        <f>IF(A293="","",'13_Ausgangsrechnungen'!C293)</f>
        <v/>
      </c>
      <c r="F293" s="13">
        <f>IF(A293="","",'13_Ausgangsrechnungen'!E293)</f>
        <v/>
      </c>
      <c r="G293" s="15">
        <f>IF(A293="","",'13_Ausgangsrechnungen'!Q293)</f>
        <v/>
      </c>
      <c r="H293" s="15">
        <f>IF(A293="","",'13_Ausgangsrechnungen'!S293)</f>
        <v/>
      </c>
      <c r="I293" s="44">
        <f>IF(A293="","",'13_Ausgangsrechnungen'!J293)</f>
        <v/>
      </c>
      <c r="J293" s="45">
        <f>IF(A293="","",'13_Ausgangsrechnungen'!T293)</f>
        <v/>
      </c>
      <c r="L293" s="13">
        <f>IF('14_Eingangsrechnungen'!A293="","",IF('14_Eingangsrechnungen'!O293&gt;0.5,"Kreditor",""))</f>
        <v/>
      </c>
      <c r="M293" s="13">
        <f>IF(L293="","",'14_Eingangsrechnungen'!A293)</f>
        <v/>
      </c>
      <c r="N293" s="44">
        <f>IF(L293="","",'14_Eingangsrechnungen'!B293)</f>
        <v/>
      </c>
      <c r="O293" s="13">
        <f>IF(L293="","",'14_Eingangsrechnungen'!D293)</f>
        <v/>
      </c>
      <c r="P293" s="13">
        <f>IF(L293="","",'14_Eingangsrechnungen'!C293)</f>
        <v/>
      </c>
      <c r="Q293" s="13">
        <f>IF(L293="","",'14_Eingangsrechnungen'!E293)</f>
        <v/>
      </c>
      <c r="R293" s="15">
        <f>IF(L293="","",'14_Eingangsrechnungen'!M293)</f>
        <v/>
      </c>
      <c r="S293" s="15">
        <f>IF(L293="","",'14_Eingangsrechnungen'!O293)</f>
        <v/>
      </c>
      <c r="T293" s="44">
        <f>IF(L293="","",'14_Eingangsrechnungen'!H293)</f>
        <v/>
      </c>
      <c r="U293" s="45">
        <f>IF(L293="","",'14_Eingangsrechnungen'!P293)</f>
        <v/>
      </c>
    </row>
    <row r="294">
      <c r="A294" s="13">
        <f>IF('13_Ausgangsrechnungen'!A294="","",IF('13_Ausgangsrechnungen'!S294&gt;0.5,"Debitor",""))</f>
        <v/>
      </c>
      <c r="B294" s="13">
        <f>IF(A294="","",'13_Ausgangsrechnungen'!A294)</f>
        <v/>
      </c>
      <c r="C294" s="44">
        <f>IF(A294="","",'13_Ausgangsrechnungen'!B294)</f>
        <v/>
      </c>
      <c r="D294" s="13">
        <f>IF(A294="","",'13_Ausgangsrechnungen'!D294)</f>
        <v/>
      </c>
      <c r="E294" s="13">
        <f>IF(A294="","",'13_Ausgangsrechnungen'!C294)</f>
        <v/>
      </c>
      <c r="F294" s="13">
        <f>IF(A294="","",'13_Ausgangsrechnungen'!E294)</f>
        <v/>
      </c>
      <c r="G294" s="15">
        <f>IF(A294="","",'13_Ausgangsrechnungen'!Q294)</f>
        <v/>
      </c>
      <c r="H294" s="15">
        <f>IF(A294="","",'13_Ausgangsrechnungen'!S294)</f>
        <v/>
      </c>
      <c r="I294" s="44">
        <f>IF(A294="","",'13_Ausgangsrechnungen'!J294)</f>
        <v/>
      </c>
      <c r="J294" s="45">
        <f>IF(A294="","",'13_Ausgangsrechnungen'!T294)</f>
        <v/>
      </c>
      <c r="L294" s="13">
        <f>IF('14_Eingangsrechnungen'!A294="","",IF('14_Eingangsrechnungen'!O294&gt;0.5,"Kreditor",""))</f>
        <v/>
      </c>
      <c r="M294" s="13">
        <f>IF(L294="","",'14_Eingangsrechnungen'!A294)</f>
        <v/>
      </c>
      <c r="N294" s="44">
        <f>IF(L294="","",'14_Eingangsrechnungen'!B294)</f>
        <v/>
      </c>
      <c r="O294" s="13">
        <f>IF(L294="","",'14_Eingangsrechnungen'!D294)</f>
        <v/>
      </c>
      <c r="P294" s="13">
        <f>IF(L294="","",'14_Eingangsrechnungen'!C294)</f>
        <v/>
      </c>
      <c r="Q294" s="13">
        <f>IF(L294="","",'14_Eingangsrechnungen'!E294)</f>
        <v/>
      </c>
      <c r="R294" s="15">
        <f>IF(L294="","",'14_Eingangsrechnungen'!M294)</f>
        <v/>
      </c>
      <c r="S294" s="15">
        <f>IF(L294="","",'14_Eingangsrechnungen'!O294)</f>
        <v/>
      </c>
      <c r="T294" s="44">
        <f>IF(L294="","",'14_Eingangsrechnungen'!H294)</f>
        <v/>
      </c>
      <c r="U294" s="45">
        <f>IF(L294="","",'14_Eingangsrechnungen'!P294)</f>
        <v/>
      </c>
    </row>
    <row r="295">
      <c r="A295" s="13">
        <f>IF('13_Ausgangsrechnungen'!A295="","",IF('13_Ausgangsrechnungen'!S295&gt;0.5,"Debitor",""))</f>
        <v/>
      </c>
      <c r="B295" s="13">
        <f>IF(A295="","",'13_Ausgangsrechnungen'!A295)</f>
        <v/>
      </c>
      <c r="C295" s="44">
        <f>IF(A295="","",'13_Ausgangsrechnungen'!B295)</f>
        <v/>
      </c>
      <c r="D295" s="13">
        <f>IF(A295="","",'13_Ausgangsrechnungen'!D295)</f>
        <v/>
      </c>
      <c r="E295" s="13">
        <f>IF(A295="","",'13_Ausgangsrechnungen'!C295)</f>
        <v/>
      </c>
      <c r="F295" s="13">
        <f>IF(A295="","",'13_Ausgangsrechnungen'!E295)</f>
        <v/>
      </c>
      <c r="G295" s="15">
        <f>IF(A295="","",'13_Ausgangsrechnungen'!Q295)</f>
        <v/>
      </c>
      <c r="H295" s="15">
        <f>IF(A295="","",'13_Ausgangsrechnungen'!S295)</f>
        <v/>
      </c>
      <c r="I295" s="44">
        <f>IF(A295="","",'13_Ausgangsrechnungen'!J295)</f>
        <v/>
      </c>
      <c r="J295" s="45">
        <f>IF(A295="","",'13_Ausgangsrechnungen'!T295)</f>
        <v/>
      </c>
      <c r="L295" s="13">
        <f>IF('14_Eingangsrechnungen'!A295="","",IF('14_Eingangsrechnungen'!O295&gt;0.5,"Kreditor",""))</f>
        <v/>
      </c>
      <c r="M295" s="13">
        <f>IF(L295="","",'14_Eingangsrechnungen'!A295)</f>
        <v/>
      </c>
      <c r="N295" s="44">
        <f>IF(L295="","",'14_Eingangsrechnungen'!B295)</f>
        <v/>
      </c>
      <c r="O295" s="13">
        <f>IF(L295="","",'14_Eingangsrechnungen'!D295)</f>
        <v/>
      </c>
      <c r="P295" s="13">
        <f>IF(L295="","",'14_Eingangsrechnungen'!C295)</f>
        <v/>
      </c>
      <c r="Q295" s="13">
        <f>IF(L295="","",'14_Eingangsrechnungen'!E295)</f>
        <v/>
      </c>
      <c r="R295" s="15">
        <f>IF(L295="","",'14_Eingangsrechnungen'!M295)</f>
        <v/>
      </c>
      <c r="S295" s="15">
        <f>IF(L295="","",'14_Eingangsrechnungen'!O295)</f>
        <v/>
      </c>
      <c r="T295" s="44">
        <f>IF(L295="","",'14_Eingangsrechnungen'!H295)</f>
        <v/>
      </c>
      <c r="U295" s="45">
        <f>IF(L295="","",'14_Eingangsrechnungen'!P295)</f>
        <v/>
      </c>
    </row>
    <row r="296">
      <c r="A296" s="13">
        <f>IF('13_Ausgangsrechnungen'!A296="","",IF('13_Ausgangsrechnungen'!S296&gt;0.5,"Debitor",""))</f>
        <v/>
      </c>
      <c r="B296" s="13">
        <f>IF(A296="","",'13_Ausgangsrechnungen'!A296)</f>
        <v/>
      </c>
      <c r="C296" s="44">
        <f>IF(A296="","",'13_Ausgangsrechnungen'!B296)</f>
        <v/>
      </c>
      <c r="D296" s="13">
        <f>IF(A296="","",'13_Ausgangsrechnungen'!D296)</f>
        <v/>
      </c>
      <c r="E296" s="13">
        <f>IF(A296="","",'13_Ausgangsrechnungen'!C296)</f>
        <v/>
      </c>
      <c r="F296" s="13">
        <f>IF(A296="","",'13_Ausgangsrechnungen'!E296)</f>
        <v/>
      </c>
      <c r="G296" s="15">
        <f>IF(A296="","",'13_Ausgangsrechnungen'!Q296)</f>
        <v/>
      </c>
      <c r="H296" s="15">
        <f>IF(A296="","",'13_Ausgangsrechnungen'!S296)</f>
        <v/>
      </c>
      <c r="I296" s="44">
        <f>IF(A296="","",'13_Ausgangsrechnungen'!J296)</f>
        <v/>
      </c>
      <c r="J296" s="45">
        <f>IF(A296="","",'13_Ausgangsrechnungen'!T296)</f>
        <v/>
      </c>
      <c r="L296" s="13">
        <f>IF('14_Eingangsrechnungen'!A296="","",IF('14_Eingangsrechnungen'!O296&gt;0.5,"Kreditor",""))</f>
        <v/>
      </c>
      <c r="M296" s="13">
        <f>IF(L296="","",'14_Eingangsrechnungen'!A296)</f>
        <v/>
      </c>
      <c r="N296" s="44">
        <f>IF(L296="","",'14_Eingangsrechnungen'!B296)</f>
        <v/>
      </c>
      <c r="O296" s="13">
        <f>IF(L296="","",'14_Eingangsrechnungen'!D296)</f>
        <v/>
      </c>
      <c r="P296" s="13">
        <f>IF(L296="","",'14_Eingangsrechnungen'!C296)</f>
        <v/>
      </c>
      <c r="Q296" s="13">
        <f>IF(L296="","",'14_Eingangsrechnungen'!E296)</f>
        <v/>
      </c>
      <c r="R296" s="15">
        <f>IF(L296="","",'14_Eingangsrechnungen'!M296)</f>
        <v/>
      </c>
      <c r="S296" s="15">
        <f>IF(L296="","",'14_Eingangsrechnungen'!O296)</f>
        <v/>
      </c>
      <c r="T296" s="44">
        <f>IF(L296="","",'14_Eingangsrechnungen'!H296)</f>
        <v/>
      </c>
      <c r="U296" s="45">
        <f>IF(L296="","",'14_Eingangsrechnungen'!P296)</f>
        <v/>
      </c>
    </row>
    <row r="297">
      <c r="A297" s="13">
        <f>IF('13_Ausgangsrechnungen'!A297="","",IF('13_Ausgangsrechnungen'!S297&gt;0.5,"Debitor",""))</f>
        <v/>
      </c>
      <c r="B297" s="13">
        <f>IF(A297="","",'13_Ausgangsrechnungen'!A297)</f>
        <v/>
      </c>
      <c r="C297" s="44">
        <f>IF(A297="","",'13_Ausgangsrechnungen'!B297)</f>
        <v/>
      </c>
      <c r="D297" s="13">
        <f>IF(A297="","",'13_Ausgangsrechnungen'!D297)</f>
        <v/>
      </c>
      <c r="E297" s="13">
        <f>IF(A297="","",'13_Ausgangsrechnungen'!C297)</f>
        <v/>
      </c>
      <c r="F297" s="13">
        <f>IF(A297="","",'13_Ausgangsrechnungen'!E297)</f>
        <v/>
      </c>
      <c r="G297" s="15">
        <f>IF(A297="","",'13_Ausgangsrechnungen'!Q297)</f>
        <v/>
      </c>
      <c r="H297" s="15">
        <f>IF(A297="","",'13_Ausgangsrechnungen'!S297)</f>
        <v/>
      </c>
      <c r="I297" s="44">
        <f>IF(A297="","",'13_Ausgangsrechnungen'!J297)</f>
        <v/>
      </c>
      <c r="J297" s="45">
        <f>IF(A297="","",'13_Ausgangsrechnungen'!T297)</f>
        <v/>
      </c>
      <c r="L297" s="13">
        <f>IF('14_Eingangsrechnungen'!A297="","",IF('14_Eingangsrechnungen'!O297&gt;0.5,"Kreditor",""))</f>
        <v/>
      </c>
      <c r="M297" s="13">
        <f>IF(L297="","",'14_Eingangsrechnungen'!A297)</f>
        <v/>
      </c>
      <c r="N297" s="44">
        <f>IF(L297="","",'14_Eingangsrechnungen'!B297)</f>
        <v/>
      </c>
      <c r="O297" s="13">
        <f>IF(L297="","",'14_Eingangsrechnungen'!D297)</f>
        <v/>
      </c>
      <c r="P297" s="13">
        <f>IF(L297="","",'14_Eingangsrechnungen'!C297)</f>
        <v/>
      </c>
      <c r="Q297" s="13">
        <f>IF(L297="","",'14_Eingangsrechnungen'!E297)</f>
        <v/>
      </c>
      <c r="R297" s="15">
        <f>IF(L297="","",'14_Eingangsrechnungen'!M297)</f>
        <v/>
      </c>
      <c r="S297" s="15">
        <f>IF(L297="","",'14_Eingangsrechnungen'!O297)</f>
        <v/>
      </c>
      <c r="T297" s="44">
        <f>IF(L297="","",'14_Eingangsrechnungen'!H297)</f>
        <v/>
      </c>
      <c r="U297" s="45">
        <f>IF(L297="","",'14_Eingangsrechnungen'!P297)</f>
        <v/>
      </c>
    </row>
    <row r="298">
      <c r="A298" s="13">
        <f>IF('13_Ausgangsrechnungen'!A298="","",IF('13_Ausgangsrechnungen'!S298&gt;0.5,"Debitor",""))</f>
        <v/>
      </c>
      <c r="B298" s="13">
        <f>IF(A298="","",'13_Ausgangsrechnungen'!A298)</f>
        <v/>
      </c>
      <c r="C298" s="44">
        <f>IF(A298="","",'13_Ausgangsrechnungen'!B298)</f>
        <v/>
      </c>
      <c r="D298" s="13">
        <f>IF(A298="","",'13_Ausgangsrechnungen'!D298)</f>
        <v/>
      </c>
      <c r="E298" s="13">
        <f>IF(A298="","",'13_Ausgangsrechnungen'!C298)</f>
        <v/>
      </c>
      <c r="F298" s="13">
        <f>IF(A298="","",'13_Ausgangsrechnungen'!E298)</f>
        <v/>
      </c>
      <c r="G298" s="15">
        <f>IF(A298="","",'13_Ausgangsrechnungen'!Q298)</f>
        <v/>
      </c>
      <c r="H298" s="15">
        <f>IF(A298="","",'13_Ausgangsrechnungen'!S298)</f>
        <v/>
      </c>
      <c r="I298" s="44">
        <f>IF(A298="","",'13_Ausgangsrechnungen'!J298)</f>
        <v/>
      </c>
      <c r="J298" s="45">
        <f>IF(A298="","",'13_Ausgangsrechnungen'!T298)</f>
        <v/>
      </c>
      <c r="L298" s="13">
        <f>IF('14_Eingangsrechnungen'!A298="","",IF('14_Eingangsrechnungen'!O298&gt;0.5,"Kreditor",""))</f>
        <v/>
      </c>
      <c r="M298" s="13">
        <f>IF(L298="","",'14_Eingangsrechnungen'!A298)</f>
        <v/>
      </c>
      <c r="N298" s="44">
        <f>IF(L298="","",'14_Eingangsrechnungen'!B298)</f>
        <v/>
      </c>
      <c r="O298" s="13">
        <f>IF(L298="","",'14_Eingangsrechnungen'!D298)</f>
        <v/>
      </c>
      <c r="P298" s="13">
        <f>IF(L298="","",'14_Eingangsrechnungen'!C298)</f>
        <v/>
      </c>
      <c r="Q298" s="13">
        <f>IF(L298="","",'14_Eingangsrechnungen'!E298)</f>
        <v/>
      </c>
      <c r="R298" s="15">
        <f>IF(L298="","",'14_Eingangsrechnungen'!M298)</f>
        <v/>
      </c>
      <c r="S298" s="15">
        <f>IF(L298="","",'14_Eingangsrechnungen'!O298)</f>
        <v/>
      </c>
      <c r="T298" s="44">
        <f>IF(L298="","",'14_Eingangsrechnungen'!H298)</f>
        <v/>
      </c>
      <c r="U298" s="45">
        <f>IF(L298="","",'14_Eingangsrechnungen'!P298)</f>
        <v/>
      </c>
    </row>
    <row r="299">
      <c r="A299" s="13">
        <f>IF('13_Ausgangsrechnungen'!A299="","",IF('13_Ausgangsrechnungen'!S299&gt;0.5,"Debitor",""))</f>
        <v/>
      </c>
      <c r="B299" s="13">
        <f>IF(A299="","",'13_Ausgangsrechnungen'!A299)</f>
        <v/>
      </c>
      <c r="C299" s="44">
        <f>IF(A299="","",'13_Ausgangsrechnungen'!B299)</f>
        <v/>
      </c>
      <c r="D299" s="13">
        <f>IF(A299="","",'13_Ausgangsrechnungen'!D299)</f>
        <v/>
      </c>
      <c r="E299" s="13">
        <f>IF(A299="","",'13_Ausgangsrechnungen'!C299)</f>
        <v/>
      </c>
      <c r="F299" s="13">
        <f>IF(A299="","",'13_Ausgangsrechnungen'!E299)</f>
        <v/>
      </c>
      <c r="G299" s="15">
        <f>IF(A299="","",'13_Ausgangsrechnungen'!Q299)</f>
        <v/>
      </c>
      <c r="H299" s="15">
        <f>IF(A299="","",'13_Ausgangsrechnungen'!S299)</f>
        <v/>
      </c>
      <c r="I299" s="44">
        <f>IF(A299="","",'13_Ausgangsrechnungen'!J299)</f>
        <v/>
      </c>
      <c r="J299" s="45">
        <f>IF(A299="","",'13_Ausgangsrechnungen'!T299)</f>
        <v/>
      </c>
      <c r="L299" s="13">
        <f>IF('14_Eingangsrechnungen'!A299="","",IF('14_Eingangsrechnungen'!O299&gt;0.5,"Kreditor",""))</f>
        <v/>
      </c>
      <c r="M299" s="13">
        <f>IF(L299="","",'14_Eingangsrechnungen'!A299)</f>
        <v/>
      </c>
      <c r="N299" s="44">
        <f>IF(L299="","",'14_Eingangsrechnungen'!B299)</f>
        <v/>
      </c>
      <c r="O299" s="13">
        <f>IF(L299="","",'14_Eingangsrechnungen'!D299)</f>
        <v/>
      </c>
      <c r="P299" s="13">
        <f>IF(L299="","",'14_Eingangsrechnungen'!C299)</f>
        <v/>
      </c>
      <c r="Q299" s="13">
        <f>IF(L299="","",'14_Eingangsrechnungen'!E299)</f>
        <v/>
      </c>
      <c r="R299" s="15">
        <f>IF(L299="","",'14_Eingangsrechnungen'!M299)</f>
        <v/>
      </c>
      <c r="S299" s="15">
        <f>IF(L299="","",'14_Eingangsrechnungen'!O299)</f>
        <v/>
      </c>
      <c r="T299" s="44">
        <f>IF(L299="","",'14_Eingangsrechnungen'!H299)</f>
        <v/>
      </c>
      <c r="U299" s="45">
        <f>IF(L299="","",'14_Eingangsrechnungen'!P299)</f>
        <v/>
      </c>
    </row>
    <row r="300">
      <c r="A300" s="13">
        <f>IF('13_Ausgangsrechnungen'!A300="","",IF('13_Ausgangsrechnungen'!S300&gt;0.5,"Debitor",""))</f>
        <v/>
      </c>
      <c r="B300" s="13">
        <f>IF(A300="","",'13_Ausgangsrechnungen'!A300)</f>
        <v/>
      </c>
      <c r="C300" s="44">
        <f>IF(A300="","",'13_Ausgangsrechnungen'!B300)</f>
        <v/>
      </c>
      <c r="D300" s="13">
        <f>IF(A300="","",'13_Ausgangsrechnungen'!D300)</f>
        <v/>
      </c>
      <c r="E300" s="13">
        <f>IF(A300="","",'13_Ausgangsrechnungen'!C300)</f>
        <v/>
      </c>
      <c r="F300" s="13">
        <f>IF(A300="","",'13_Ausgangsrechnungen'!E300)</f>
        <v/>
      </c>
      <c r="G300" s="15">
        <f>IF(A300="","",'13_Ausgangsrechnungen'!Q300)</f>
        <v/>
      </c>
      <c r="H300" s="15">
        <f>IF(A300="","",'13_Ausgangsrechnungen'!S300)</f>
        <v/>
      </c>
      <c r="I300" s="44">
        <f>IF(A300="","",'13_Ausgangsrechnungen'!J300)</f>
        <v/>
      </c>
      <c r="J300" s="45">
        <f>IF(A300="","",'13_Ausgangsrechnungen'!T300)</f>
        <v/>
      </c>
      <c r="L300" s="13">
        <f>IF('14_Eingangsrechnungen'!A300="","",IF('14_Eingangsrechnungen'!O300&gt;0.5,"Kreditor",""))</f>
        <v/>
      </c>
      <c r="M300" s="13">
        <f>IF(L300="","",'14_Eingangsrechnungen'!A300)</f>
        <v/>
      </c>
      <c r="N300" s="44">
        <f>IF(L300="","",'14_Eingangsrechnungen'!B300)</f>
        <v/>
      </c>
      <c r="O300" s="13">
        <f>IF(L300="","",'14_Eingangsrechnungen'!D300)</f>
        <v/>
      </c>
      <c r="P300" s="13">
        <f>IF(L300="","",'14_Eingangsrechnungen'!C300)</f>
        <v/>
      </c>
      <c r="Q300" s="13">
        <f>IF(L300="","",'14_Eingangsrechnungen'!E300)</f>
        <v/>
      </c>
      <c r="R300" s="15">
        <f>IF(L300="","",'14_Eingangsrechnungen'!M300)</f>
        <v/>
      </c>
      <c r="S300" s="15">
        <f>IF(L300="","",'14_Eingangsrechnungen'!O300)</f>
        <v/>
      </c>
      <c r="T300" s="44">
        <f>IF(L300="","",'14_Eingangsrechnungen'!H300)</f>
        <v/>
      </c>
      <c r="U300" s="45">
        <f>IF(L300="","",'14_Eingangsrechnungen'!P300)</f>
        <v/>
      </c>
    </row>
    <row r="301">
      <c r="A301" s="13">
        <f>IF('13_Ausgangsrechnungen'!A301="","",IF('13_Ausgangsrechnungen'!S301&gt;0.5,"Debitor",""))</f>
        <v/>
      </c>
      <c r="B301" s="13">
        <f>IF(A301="","",'13_Ausgangsrechnungen'!A301)</f>
        <v/>
      </c>
      <c r="C301" s="44">
        <f>IF(A301="","",'13_Ausgangsrechnungen'!B301)</f>
        <v/>
      </c>
      <c r="D301" s="13">
        <f>IF(A301="","",'13_Ausgangsrechnungen'!D301)</f>
        <v/>
      </c>
      <c r="E301" s="13">
        <f>IF(A301="","",'13_Ausgangsrechnungen'!C301)</f>
        <v/>
      </c>
      <c r="F301" s="13">
        <f>IF(A301="","",'13_Ausgangsrechnungen'!E301)</f>
        <v/>
      </c>
      <c r="G301" s="15">
        <f>IF(A301="","",'13_Ausgangsrechnungen'!Q301)</f>
        <v/>
      </c>
      <c r="H301" s="15">
        <f>IF(A301="","",'13_Ausgangsrechnungen'!S301)</f>
        <v/>
      </c>
      <c r="I301" s="44">
        <f>IF(A301="","",'13_Ausgangsrechnungen'!J301)</f>
        <v/>
      </c>
      <c r="J301" s="45">
        <f>IF(A301="","",'13_Ausgangsrechnungen'!T301)</f>
        <v/>
      </c>
      <c r="L301" s="13">
        <f>IF('14_Eingangsrechnungen'!A301="","",IF('14_Eingangsrechnungen'!O301&gt;0.5,"Kreditor",""))</f>
        <v/>
      </c>
      <c r="M301" s="13">
        <f>IF(L301="","",'14_Eingangsrechnungen'!A301)</f>
        <v/>
      </c>
      <c r="N301" s="44">
        <f>IF(L301="","",'14_Eingangsrechnungen'!B301)</f>
        <v/>
      </c>
      <c r="O301" s="13">
        <f>IF(L301="","",'14_Eingangsrechnungen'!D301)</f>
        <v/>
      </c>
      <c r="P301" s="13">
        <f>IF(L301="","",'14_Eingangsrechnungen'!C301)</f>
        <v/>
      </c>
      <c r="Q301" s="13">
        <f>IF(L301="","",'14_Eingangsrechnungen'!E301)</f>
        <v/>
      </c>
      <c r="R301" s="15">
        <f>IF(L301="","",'14_Eingangsrechnungen'!M301)</f>
        <v/>
      </c>
      <c r="S301" s="15">
        <f>IF(L301="","",'14_Eingangsrechnungen'!O301)</f>
        <v/>
      </c>
      <c r="T301" s="44">
        <f>IF(L301="","",'14_Eingangsrechnungen'!H301)</f>
        <v/>
      </c>
      <c r="U301" s="45">
        <f>IF(L301="","",'14_Eingangsrechnungen'!P301)</f>
        <v/>
      </c>
    </row>
    <row r="302">
      <c r="A302" s="13">
        <f>IF('13_Ausgangsrechnungen'!A302="","",IF('13_Ausgangsrechnungen'!S302&gt;0.5,"Debitor",""))</f>
        <v/>
      </c>
      <c r="B302" s="13">
        <f>IF(A302="","",'13_Ausgangsrechnungen'!A302)</f>
        <v/>
      </c>
      <c r="C302" s="44">
        <f>IF(A302="","",'13_Ausgangsrechnungen'!B302)</f>
        <v/>
      </c>
      <c r="D302" s="13">
        <f>IF(A302="","",'13_Ausgangsrechnungen'!D302)</f>
        <v/>
      </c>
      <c r="E302" s="13">
        <f>IF(A302="","",'13_Ausgangsrechnungen'!C302)</f>
        <v/>
      </c>
      <c r="F302" s="13">
        <f>IF(A302="","",'13_Ausgangsrechnungen'!E302)</f>
        <v/>
      </c>
      <c r="G302" s="15">
        <f>IF(A302="","",'13_Ausgangsrechnungen'!Q302)</f>
        <v/>
      </c>
      <c r="H302" s="15">
        <f>IF(A302="","",'13_Ausgangsrechnungen'!S302)</f>
        <v/>
      </c>
      <c r="I302" s="44">
        <f>IF(A302="","",'13_Ausgangsrechnungen'!J302)</f>
        <v/>
      </c>
      <c r="J302" s="45">
        <f>IF(A302="","",'13_Ausgangsrechnungen'!T302)</f>
        <v/>
      </c>
      <c r="L302" s="13">
        <f>IF('14_Eingangsrechnungen'!A302="","",IF('14_Eingangsrechnungen'!O302&gt;0.5,"Kreditor",""))</f>
        <v/>
      </c>
      <c r="M302" s="13">
        <f>IF(L302="","",'14_Eingangsrechnungen'!A302)</f>
        <v/>
      </c>
      <c r="N302" s="44">
        <f>IF(L302="","",'14_Eingangsrechnungen'!B302)</f>
        <v/>
      </c>
      <c r="O302" s="13">
        <f>IF(L302="","",'14_Eingangsrechnungen'!D302)</f>
        <v/>
      </c>
      <c r="P302" s="13">
        <f>IF(L302="","",'14_Eingangsrechnungen'!C302)</f>
        <v/>
      </c>
      <c r="Q302" s="13">
        <f>IF(L302="","",'14_Eingangsrechnungen'!E302)</f>
        <v/>
      </c>
      <c r="R302" s="15">
        <f>IF(L302="","",'14_Eingangsrechnungen'!M302)</f>
        <v/>
      </c>
      <c r="S302" s="15">
        <f>IF(L302="","",'14_Eingangsrechnungen'!O302)</f>
        <v/>
      </c>
      <c r="T302" s="44">
        <f>IF(L302="","",'14_Eingangsrechnungen'!H302)</f>
        <v/>
      </c>
      <c r="U302" s="45">
        <f>IF(L302="","",'14_Eingangsrechnungen'!P302)</f>
        <v/>
      </c>
    </row>
    <row r="303">
      <c r="A303" s="13">
        <f>IF('13_Ausgangsrechnungen'!A303="","",IF('13_Ausgangsrechnungen'!S303&gt;0.5,"Debitor",""))</f>
        <v/>
      </c>
      <c r="B303" s="13">
        <f>IF(A303="","",'13_Ausgangsrechnungen'!A303)</f>
        <v/>
      </c>
      <c r="C303" s="44">
        <f>IF(A303="","",'13_Ausgangsrechnungen'!B303)</f>
        <v/>
      </c>
      <c r="D303" s="13">
        <f>IF(A303="","",'13_Ausgangsrechnungen'!D303)</f>
        <v/>
      </c>
      <c r="E303" s="13">
        <f>IF(A303="","",'13_Ausgangsrechnungen'!C303)</f>
        <v/>
      </c>
      <c r="F303" s="13">
        <f>IF(A303="","",'13_Ausgangsrechnungen'!E303)</f>
        <v/>
      </c>
      <c r="G303" s="15">
        <f>IF(A303="","",'13_Ausgangsrechnungen'!Q303)</f>
        <v/>
      </c>
      <c r="H303" s="15">
        <f>IF(A303="","",'13_Ausgangsrechnungen'!S303)</f>
        <v/>
      </c>
      <c r="I303" s="44">
        <f>IF(A303="","",'13_Ausgangsrechnungen'!J303)</f>
        <v/>
      </c>
      <c r="J303" s="45">
        <f>IF(A303="","",'13_Ausgangsrechnungen'!T303)</f>
        <v/>
      </c>
      <c r="L303" s="13">
        <f>IF('14_Eingangsrechnungen'!A303="","",IF('14_Eingangsrechnungen'!O303&gt;0.5,"Kreditor",""))</f>
        <v/>
      </c>
      <c r="M303" s="13">
        <f>IF(L303="","",'14_Eingangsrechnungen'!A303)</f>
        <v/>
      </c>
      <c r="N303" s="44">
        <f>IF(L303="","",'14_Eingangsrechnungen'!B303)</f>
        <v/>
      </c>
      <c r="O303" s="13">
        <f>IF(L303="","",'14_Eingangsrechnungen'!D303)</f>
        <v/>
      </c>
      <c r="P303" s="13">
        <f>IF(L303="","",'14_Eingangsrechnungen'!C303)</f>
        <v/>
      </c>
      <c r="Q303" s="13">
        <f>IF(L303="","",'14_Eingangsrechnungen'!E303)</f>
        <v/>
      </c>
      <c r="R303" s="15">
        <f>IF(L303="","",'14_Eingangsrechnungen'!M303)</f>
        <v/>
      </c>
      <c r="S303" s="15">
        <f>IF(L303="","",'14_Eingangsrechnungen'!O303)</f>
        <v/>
      </c>
      <c r="T303" s="44">
        <f>IF(L303="","",'14_Eingangsrechnungen'!H303)</f>
        <v/>
      </c>
      <c r="U303" s="45">
        <f>IF(L303="","",'14_Eingangsrechnungen'!P303)</f>
        <v/>
      </c>
    </row>
    <row r="304">
      <c r="A304" s="13">
        <f>IF('13_Ausgangsrechnungen'!A304="","",IF('13_Ausgangsrechnungen'!S304&gt;0.5,"Debitor",""))</f>
        <v/>
      </c>
      <c r="B304" s="13">
        <f>IF(A304="","",'13_Ausgangsrechnungen'!A304)</f>
        <v/>
      </c>
      <c r="C304" s="44">
        <f>IF(A304="","",'13_Ausgangsrechnungen'!B304)</f>
        <v/>
      </c>
      <c r="D304" s="13">
        <f>IF(A304="","",'13_Ausgangsrechnungen'!D304)</f>
        <v/>
      </c>
      <c r="E304" s="13">
        <f>IF(A304="","",'13_Ausgangsrechnungen'!C304)</f>
        <v/>
      </c>
      <c r="F304" s="13">
        <f>IF(A304="","",'13_Ausgangsrechnungen'!E304)</f>
        <v/>
      </c>
      <c r="G304" s="15">
        <f>IF(A304="","",'13_Ausgangsrechnungen'!Q304)</f>
        <v/>
      </c>
      <c r="H304" s="15">
        <f>IF(A304="","",'13_Ausgangsrechnungen'!S304)</f>
        <v/>
      </c>
      <c r="I304" s="44">
        <f>IF(A304="","",'13_Ausgangsrechnungen'!J304)</f>
        <v/>
      </c>
      <c r="J304" s="45">
        <f>IF(A304="","",'13_Ausgangsrechnungen'!T304)</f>
        <v/>
      </c>
      <c r="L304" s="13">
        <f>IF('14_Eingangsrechnungen'!A304="","",IF('14_Eingangsrechnungen'!O304&gt;0.5,"Kreditor",""))</f>
        <v/>
      </c>
      <c r="M304" s="13">
        <f>IF(L304="","",'14_Eingangsrechnungen'!A304)</f>
        <v/>
      </c>
      <c r="N304" s="44">
        <f>IF(L304="","",'14_Eingangsrechnungen'!B304)</f>
        <v/>
      </c>
      <c r="O304" s="13">
        <f>IF(L304="","",'14_Eingangsrechnungen'!D304)</f>
        <v/>
      </c>
      <c r="P304" s="13">
        <f>IF(L304="","",'14_Eingangsrechnungen'!C304)</f>
        <v/>
      </c>
      <c r="Q304" s="13">
        <f>IF(L304="","",'14_Eingangsrechnungen'!E304)</f>
        <v/>
      </c>
      <c r="R304" s="15">
        <f>IF(L304="","",'14_Eingangsrechnungen'!M304)</f>
        <v/>
      </c>
      <c r="S304" s="15">
        <f>IF(L304="","",'14_Eingangsrechnungen'!O304)</f>
        <v/>
      </c>
      <c r="T304" s="44">
        <f>IF(L304="","",'14_Eingangsrechnungen'!H304)</f>
        <v/>
      </c>
      <c r="U304" s="45">
        <f>IF(L304="","",'14_Eingangsrechnungen'!P304)</f>
        <v/>
      </c>
    </row>
    <row r="305">
      <c r="A305" s="13">
        <f>IF('13_Ausgangsrechnungen'!A305="","",IF('13_Ausgangsrechnungen'!S305&gt;0.5,"Debitor",""))</f>
        <v/>
      </c>
      <c r="B305" s="13">
        <f>IF(A305="","",'13_Ausgangsrechnungen'!A305)</f>
        <v/>
      </c>
      <c r="C305" s="44">
        <f>IF(A305="","",'13_Ausgangsrechnungen'!B305)</f>
        <v/>
      </c>
      <c r="D305" s="13">
        <f>IF(A305="","",'13_Ausgangsrechnungen'!D305)</f>
        <v/>
      </c>
      <c r="E305" s="13">
        <f>IF(A305="","",'13_Ausgangsrechnungen'!C305)</f>
        <v/>
      </c>
      <c r="F305" s="13">
        <f>IF(A305="","",'13_Ausgangsrechnungen'!E305)</f>
        <v/>
      </c>
      <c r="G305" s="15">
        <f>IF(A305="","",'13_Ausgangsrechnungen'!Q305)</f>
        <v/>
      </c>
      <c r="H305" s="15">
        <f>IF(A305="","",'13_Ausgangsrechnungen'!S305)</f>
        <v/>
      </c>
      <c r="I305" s="44">
        <f>IF(A305="","",'13_Ausgangsrechnungen'!J305)</f>
        <v/>
      </c>
      <c r="J305" s="45">
        <f>IF(A305="","",'13_Ausgangsrechnungen'!T305)</f>
        <v/>
      </c>
      <c r="L305" s="13">
        <f>IF('14_Eingangsrechnungen'!A305="","",IF('14_Eingangsrechnungen'!O305&gt;0.5,"Kreditor",""))</f>
        <v/>
      </c>
      <c r="M305" s="13">
        <f>IF(L305="","",'14_Eingangsrechnungen'!A305)</f>
        <v/>
      </c>
      <c r="N305" s="44">
        <f>IF(L305="","",'14_Eingangsrechnungen'!B305)</f>
        <v/>
      </c>
      <c r="O305" s="13">
        <f>IF(L305="","",'14_Eingangsrechnungen'!D305)</f>
        <v/>
      </c>
      <c r="P305" s="13">
        <f>IF(L305="","",'14_Eingangsrechnungen'!C305)</f>
        <v/>
      </c>
      <c r="Q305" s="13">
        <f>IF(L305="","",'14_Eingangsrechnungen'!E305)</f>
        <v/>
      </c>
      <c r="R305" s="15">
        <f>IF(L305="","",'14_Eingangsrechnungen'!M305)</f>
        <v/>
      </c>
      <c r="S305" s="15">
        <f>IF(L305="","",'14_Eingangsrechnungen'!O305)</f>
        <v/>
      </c>
      <c r="T305" s="44">
        <f>IF(L305="","",'14_Eingangsrechnungen'!H305)</f>
        <v/>
      </c>
      <c r="U305" s="45">
        <f>IF(L305="","",'14_Eingangsrechnungen'!P305)</f>
        <v/>
      </c>
    </row>
    <row r="306">
      <c r="A306" s="13">
        <f>IF('13_Ausgangsrechnungen'!A306="","",IF('13_Ausgangsrechnungen'!S306&gt;0.5,"Debitor",""))</f>
        <v/>
      </c>
      <c r="B306" s="13">
        <f>IF(A306="","",'13_Ausgangsrechnungen'!A306)</f>
        <v/>
      </c>
      <c r="C306" s="44">
        <f>IF(A306="","",'13_Ausgangsrechnungen'!B306)</f>
        <v/>
      </c>
      <c r="D306" s="13">
        <f>IF(A306="","",'13_Ausgangsrechnungen'!D306)</f>
        <v/>
      </c>
      <c r="E306" s="13">
        <f>IF(A306="","",'13_Ausgangsrechnungen'!C306)</f>
        <v/>
      </c>
      <c r="F306" s="13">
        <f>IF(A306="","",'13_Ausgangsrechnungen'!E306)</f>
        <v/>
      </c>
      <c r="G306" s="15">
        <f>IF(A306="","",'13_Ausgangsrechnungen'!Q306)</f>
        <v/>
      </c>
      <c r="H306" s="15">
        <f>IF(A306="","",'13_Ausgangsrechnungen'!S306)</f>
        <v/>
      </c>
      <c r="I306" s="44">
        <f>IF(A306="","",'13_Ausgangsrechnungen'!J306)</f>
        <v/>
      </c>
      <c r="J306" s="45">
        <f>IF(A306="","",'13_Ausgangsrechnungen'!T306)</f>
        <v/>
      </c>
      <c r="L306" s="13">
        <f>IF('14_Eingangsrechnungen'!A306="","",IF('14_Eingangsrechnungen'!O306&gt;0.5,"Kreditor",""))</f>
        <v/>
      </c>
      <c r="M306" s="13">
        <f>IF(L306="","",'14_Eingangsrechnungen'!A306)</f>
        <v/>
      </c>
      <c r="N306" s="44">
        <f>IF(L306="","",'14_Eingangsrechnungen'!B306)</f>
        <v/>
      </c>
      <c r="O306" s="13">
        <f>IF(L306="","",'14_Eingangsrechnungen'!D306)</f>
        <v/>
      </c>
      <c r="P306" s="13">
        <f>IF(L306="","",'14_Eingangsrechnungen'!C306)</f>
        <v/>
      </c>
      <c r="Q306" s="13">
        <f>IF(L306="","",'14_Eingangsrechnungen'!E306)</f>
        <v/>
      </c>
      <c r="R306" s="15">
        <f>IF(L306="","",'14_Eingangsrechnungen'!M306)</f>
        <v/>
      </c>
      <c r="S306" s="15">
        <f>IF(L306="","",'14_Eingangsrechnungen'!O306)</f>
        <v/>
      </c>
      <c r="T306" s="44">
        <f>IF(L306="","",'14_Eingangsrechnungen'!H306)</f>
        <v/>
      </c>
      <c r="U306" s="45">
        <f>IF(L306="","",'14_Eingangsrechnungen'!P306)</f>
        <v/>
      </c>
    </row>
    <row r="307">
      <c r="A307" s="13">
        <f>IF('13_Ausgangsrechnungen'!A307="","",IF('13_Ausgangsrechnungen'!S307&gt;0.5,"Debitor",""))</f>
        <v/>
      </c>
      <c r="B307" s="13">
        <f>IF(A307="","",'13_Ausgangsrechnungen'!A307)</f>
        <v/>
      </c>
      <c r="C307" s="44">
        <f>IF(A307="","",'13_Ausgangsrechnungen'!B307)</f>
        <v/>
      </c>
      <c r="D307" s="13">
        <f>IF(A307="","",'13_Ausgangsrechnungen'!D307)</f>
        <v/>
      </c>
      <c r="E307" s="13">
        <f>IF(A307="","",'13_Ausgangsrechnungen'!C307)</f>
        <v/>
      </c>
      <c r="F307" s="13">
        <f>IF(A307="","",'13_Ausgangsrechnungen'!E307)</f>
        <v/>
      </c>
      <c r="G307" s="15">
        <f>IF(A307="","",'13_Ausgangsrechnungen'!Q307)</f>
        <v/>
      </c>
      <c r="H307" s="15">
        <f>IF(A307="","",'13_Ausgangsrechnungen'!S307)</f>
        <v/>
      </c>
      <c r="I307" s="44">
        <f>IF(A307="","",'13_Ausgangsrechnungen'!J307)</f>
        <v/>
      </c>
      <c r="J307" s="45">
        <f>IF(A307="","",'13_Ausgangsrechnungen'!T307)</f>
        <v/>
      </c>
      <c r="L307" s="13">
        <f>IF('14_Eingangsrechnungen'!A307="","",IF('14_Eingangsrechnungen'!O307&gt;0.5,"Kreditor",""))</f>
        <v/>
      </c>
      <c r="M307" s="13">
        <f>IF(L307="","",'14_Eingangsrechnungen'!A307)</f>
        <v/>
      </c>
      <c r="N307" s="44">
        <f>IF(L307="","",'14_Eingangsrechnungen'!B307)</f>
        <v/>
      </c>
      <c r="O307" s="13">
        <f>IF(L307="","",'14_Eingangsrechnungen'!D307)</f>
        <v/>
      </c>
      <c r="P307" s="13">
        <f>IF(L307="","",'14_Eingangsrechnungen'!C307)</f>
        <v/>
      </c>
      <c r="Q307" s="13">
        <f>IF(L307="","",'14_Eingangsrechnungen'!E307)</f>
        <v/>
      </c>
      <c r="R307" s="15">
        <f>IF(L307="","",'14_Eingangsrechnungen'!M307)</f>
        <v/>
      </c>
      <c r="S307" s="15">
        <f>IF(L307="","",'14_Eingangsrechnungen'!O307)</f>
        <v/>
      </c>
      <c r="T307" s="44">
        <f>IF(L307="","",'14_Eingangsrechnungen'!H307)</f>
        <v/>
      </c>
      <c r="U307" s="45">
        <f>IF(L307="","",'14_Eingangsrechnungen'!P307)</f>
        <v/>
      </c>
    </row>
    <row r="308">
      <c r="A308" s="13">
        <f>IF('13_Ausgangsrechnungen'!A308="","",IF('13_Ausgangsrechnungen'!S308&gt;0.5,"Debitor",""))</f>
        <v/>
      </c>
      <c r="B308" s="13">
        <f>IF(A308="","",'13_Ausgangsrechnungen'!A308)</f>
        <v/>
      </c>
      <c r="C308" s="44">
        <f>IF(A308="","",'13_Ausgangsrechnungen'!B308)</f>
        <v/>
      </c>
      <c r="D308" s="13">
        <f>IF(A308="","",'13_Ausgangsrechnungen'!D308)</f>
        <v/>
      </c>
      <c r="E308" s="13">
        <f>IF(A308="","",'13_Ausgangsrechnungen'!C308)</f>
        <v/>
      </c>
      <c r="F308" s="13">
        <f>IF(A308="","",'13_Ausgangsrechnungen'!E308)</f>
        <v/>
      </c>
      <c r="G308" s="15">
        <f>IF(A308="","",'13_Ausgangsrechnungen'!Q308)</f>
        <v/>
      </c>
      <c r="H308" s="15">
        <f>IF(A308="","",'13_Ausgangsrechnungen'!S308)</f>
        <v/>
      </c>
      <c r="I308" s="44">
        <f>IF(A308="","",'13_Ausgangsrechnungen'!J308)</f>
        <v/>
      </c>
      <c r="J308" s="45">
        <f>IF(A308="","",'13_Ausgangsrechnungen'!T308)</f>
        <v/>
      </c>
      <c r="L308" s="13">
        <f>IF('14_Eingangsrechnungen'!A308="","",IF('14_Eingangsrechnungen'!O308&gt;0.5,"Kreditor",""))</f>
        <v/>
      </c>
      <c r="M308" s="13">
        <f>IF(L308="","",'14_Eingangsrechnungen'!A308)</f>
        <v/>
      </c>
      <c r="N308" s="44">
        <f>IF(L308="","",'14_Eingangsrechnungen'!B308)</f>
        <v/>
      </c>
      <c r="O308" s="13">
        <f>IF(L308="","",'14_Eingangsrechnungen'!D308)</f>
        <v/>
      </c>
      <c r="P308" s="13">
        <f>IF(L308="","",'14_Eingangsrechnungen'!C308)</f>
        <v/>
      </c>
      <c r="Q308" s="13">
        <f>IF(L308="","",'14_Eingangsrechnungen'!E308)</f>
        <v/>
      </c>
      <c r="R308" s="15">
        <f>IF(L308="","",'14_Eingangsrechnungen'!M308)</f>
        <v/>
      </c>
      <c r="S308" s="15">
        <f>IF(L308="","",'14_Eingangsrechnungen'!O308)</f>
        <v/>
      </c>
      <c r="T308" s="44">
        <f>IF(L308="","",'14_Eingangsrechnungen'!H308)</f>
        <v/>
      </c>
      <c r="U308" s="45">
        <f>IF(L308="","",'14_Eingangsrechnungen'!P308)</f>
        <v/>
      </c>
    </row>
    <row r="309">
      <c r="A309" s="13">
        <f>IF('13_Ausgangsrechnungen'!A309="","",IF('13_Ausgangsrechnungen'!S309&gt;0.5,"Debitor",""))</f>
        <v/>
      </c>
      <c r="B309" s="13">
        <f>IF(A309="","",'13_Ausgangsrechnungen'!A309)</f>
        <v/>
      </c>
      <c r="C309" s="44">
        <f>IF(A309="","",'13_Ausgangsrechnungen'!B309)</f>
        <v/>
      </c>
      <c r="D309" s="13">
        <f>IF(A309="","",'13_Ausgangsrechnungen'!D309)</f>
        <v/>
      </c>
      <c r="E309" s="13">
        <f>IF(A309="","",'13_Ausgangsrechnungen'!C309)</f>
        <v/>
      </c>
      <c r="F309" s="13">
        <f>IF(A309="","",'13_Ausgangsrechnungen'!E309)</f>
        <v/>
      </c>
      <c r="G309" s="15">
        <f>IF(A309="","",'13_Ausgangsrechnungen'!Q309)</f>
        <v/>
      </c>
      <c r="H309" s="15">
        <f>IF(A309="","",'13_Ausgangsrechnungen'!S309)</f>
        <v/>
      </c>
      <c r="I309" s="44">
        <f>IF(A309="","",'13_Ausgangsrechnungen'!J309)</f>
        <v/>
      </c>
      <c r="J309" s="45">
        <f>IF(A309="","",'13_Ausgangsrechnungen'!T309)</f>
        <v/>
      </c>
      <c r="L309" s="13">
        <f>IF('14_Eingangsrechnungen'!A309="","",IF('14_Eingangsrechnungen'!O309&gt;0.5,"Kreditor",""))</f>
        <v/>
      </c>
      <c r="M309" s="13">
        <f>IF(L309="","",'14_Eingangsrechnungen'!A309)</f>
        <v/>
      </c>
      <c r="N309" s="44">
        <f>IF(L309="","",'14_Eingangsrechnungen'!B309)</f>
        <v/>
      </c>
      <c r="O309" s="13">
        <f>IF(L309="","",'14_Eingangsrechnungen'!D309)</f>
        <v/>
      </c>
      <c r="P309" s="13">
        <f>IF(L309="","",'14_Eingangsrechnungen'!C309)</f>
        <v/>
      </c>
      <c r="Q309" s="13">
        <f>IF(L309="","",'14_Eingangsrechnungen'!E309)</f>
        <v/>
      </c>
      <c r="R309" s="15">
        <f>IF(L309="","",'14_Eingangsrechnungen'!M309)</f>
        <v/>
      </c>
      <c r="S309" s="15">
        <f>IF(L309="","",'14_Eingangsrechnungen'!O309)</f>
        <v/>
      </c>
      <c r="T309" s="44">
        <f>IF(L309="","",'14_Eingangsrechnungen'!H309)</f>
        <v/>
      </c>
      <c r="U309" s="45">
        <f>IF(L309="","",'14_Eingangsrechnungen'!P309)</f>
        <v/>
      </c>
    </row>
    <row r="310">
      <c r="A310" s="13">
        <f>IF('13_Ausgangsrechnungen'!A310="","",IF('13_Ausgangsrechnungen'!S310&gt;0.5,"Debitor",""))</f>
        <v/>
      </c>
      <c r="B310" s="13">
        <f>IF(A310="","",'13_Ausgangsrechnungen'!A310)</f>
        <v/>
      </c>
      <c r="C310" s="44">
        <f>IF(A310="","",'13_Ausgangsrechnungen'!B310)</f>
        <v/>
      </c>
      <c r="D310" s="13">
        <f>IF(A310="","",'13_Ausgangsrechnungen'!D310)</f>
        <v/>
      </c>
      <c r="E310" s="13">
        <f>IF(A310="","",'13_Ausgangsrechnungen'!C310)</f>
        <v/>
      </c>
      <c r="F310" s="13">
        <f>IF(A310="","",'13_Ausgangsrechnungen'!E310)</f>
        <v/>
      </c>
      <c r="G310" s="15">
        <f>IF(A310="","",'13_Ausgangsrechnungen'!Q310)</f>
        <v/>
      </c>
      <c r="H310" s="15">
        <f>IF(A310="","",'13_Ausgangsrechnungen'!S310)</f>
        <v/>
      </c>
      <c r="I310" s="44">
        <f>IF(A310="","",'13_Ausgangsrechnungen'!J310)</f>
        <v/>
      </c>
      <c r="J310" s="45">
        <f>IF(A310="","",'13_Ausgangsrechnungen'!T310)</f>
        <v/>
      </c>
      <c r="L310" s="13">
        <f>IF('14_Eingangsrechnungen'!A310="","",IF('14_Eingangsrechnungen'!O310&gt;0.5,"Kreditor",""))</f>
        <v/>
      </c>
      <c r="M310" s="13">
        <f>IF(L310="","",'14_Eingangsrechnungen'!A310)</f>
        <v/>
      </c>
      <c r="N310" s="44">
        <f>IF(L310="","",'14_Eingangsrechnungen'!B310)</f>
        <v/>
      </c>
      <c r="O310" s="13">
        <f>IF(L310="","",'14_Eingangsrechnungen'!D310)</f>
        <v/>
      </c>
      <c r="P310" s="13">
        <f>IF(L310="","",'14_Eingangsrechnungen'!C310)</f>
        <v/>
      </c>
      <c r="Q310" s="13">
        <f>IF(L310="","",'14_Eingangsrechnungen'!E310)</f>
        <v/>
      </c>
      <c r="R310" s="15">
        <f>IF(L310="","",'14_Eingangsrechnungen'!M310)</f>
        <v/>
      </c>
      <c r="S310" s="15">
        <f>IF(L310="","",'14_Eingangsrechnungen'!O310)</f>
        <v/>
      </c>
      <c r="T310" s="44">
        <f>IF(L310="","",'14_Eingangsrechnungen'!H310)</f>
        <v/>
      </c>
      <c r="U310" s="45">
        <f>IF(L310="","",'14_Eingangsrechnungen'!P310)</f>
        <v/>
      </c>
    </row>
    <row r="311">
      <c r="A311" s="13">
        <f>IF('13_Ausgangsrechnungen'!A311="","",IF('13_Ausgangsrechnungen'!S311&gt;0.5,"Debitor",""))</f>
        <v/>
      </c>
      <c r="B311" s="13">
        <f>IF(A311="","",'13_Ausgangsrechnungen'!A311)</f>
        <v/>
      </c>
      <c r="C311" s="44">
        <f>IF(A311="","",'13_Ausgangsrechnungen'!B311)</f>
        <v/>
      </c>
      <c r="D311" s="13">
        <f>IF(A311="","",'13_Ausgangsrechnungen'!D311)</f>
        <v/>
      </c>
      <c r="E311" s="13">
        <f>IF(A311="","",'13_Ausgangsrechnungen'!C311)</f>
        <v/>
      </c>
      <c r="F311" s="13">
        <f>IF(A311="","",'13_Ausgangsrechnungen'!E311)</f>
        <v/>
      </c>
      <c r="G311" s="15">
        <f>IF(A311="","",'13_Ausgangsrechnungen'!Q311)</f>
        <v/>
      </c>
      <c r="H311" s="15">
        <f>IF(A311="","",'13_Ausgangsrechnungen'!S311)</f>
        <v/>
      </c>
      <c r="I311" s="44">
        <f>IF(A311="","",'13_Ausgangsrechnungen'!J311)</f>
        <v/>
      </c>
      <c r="J311" s="45">
        <f>IF(A311="","",'13_Ausgangsrechnungen'!T311)</f>
        <v/>
      </c>
      <c r="L311" s="13">
        <f>IF('14_Eingangsrechnungen'!A311="","",IF('14_Eingangsrechnungen'!O311&gt;0.5,"Kreditor",""))</f>
        <v/>
      </c>
      <c r="M311" s="13">
        <f>IF(L311="","",'14_Eingangsrechnungen'!A311)</f>
        <v/>
      </c>
      <c r="N311" s="44">
        <f>IF(L311="","",'14_Eingangsrechnungen'!B311)</f>
        <v/>
      </c>
      <c r="O311" s="13">
        <f>IF(L311="","",'14_Eingangsrechnungen'!D311)</f>
        <v/>
      </c>
      <c r="P311" s="13">
        <f>IF(L311="","",'14_Eingangsrechnungen'!C311)</f>
        <v/>
      </c>
      <c r="Q311" s="13">
        <f>IF(L311="","",'14_Eingangsrechnungen'!E311)</f>
        <v/>
      </c>
      <c r="R311" s="15">
        <f>IF(L311="","",'14_Eingangsrechnungen'!M311)</f>
        <v/>
      </c>
      <c r="S311" s="15">
        <f>IF(L311="","",'14_Eingangsrechnungen'!O311)</f>
        <v/>
      </c>
      <c r="T311" s="44">
        <f>IF(L311="","",'14_Eingangsrechnungen'!H311)</f>
        <v/>
      </c>
      <c r="U311" s="45">
        <f>IF(L311="","",'14_Eingangsrechnungen'!P311)</f>
        <v/>
      </c>
    </row>
    <row r="312">
      <c r="A312" s="13">
        <f>IF('13_Ausgangsrechnungen'!A312="","",IF('13_Ausgangsrechnungen'!S312&gt;0.5,"Debitor",""))</f>
        <v/>
      </c>
      <c r="B312" s="13">
        <f>IF(A312="","",'13_Ausgangsrechnungen'!A312)</f>
        <v/>
      </c>
      <c r="C312" s="44">
        <f>IF(A312="","",'13_Ausgangsrechnungen'!B312)</f>
        <v/>
      </c>
      <c r="D312" s="13">
        <f>IF(A312="","",'13_Ausgangsrechnungen'!D312)</f>
        <v/>
      </c>
      <c r="E312" s="13">
        <f>IF(A312="","",'13_Ausgangsrechnungen'!C312)</f>
        <v/>
      </c>
      <c r="F312" s="13">
        <f>IF(A312="","",'13_Ausgangsrechnungen'!E312)</f>
        <v/>
      </c>
      <c r="G312" s="15">
        <f>IF(A312="","",'13_Ausgangsrechnungen'!Q312)</f>
        <v/>
      </c>
      <c r="H312" s="15">
        <f>IF(A312="","",'13_Ausgangsrechnungen'!S312)</f>
        <v/>
      </c>
      <c r="I312" s="44">
        <f>IF(A312="","",'13_Ausgangsrechnungen'!J312)</f>
        <v/>
      </c>
      <c r="J312" s="45">
        <f>IF(A312="","",'13_Ausgangsrechnungen'!T312)</f>
        <v/>
      </c>
      <c r="L312" s="13">
        <f>IF('14_Eingangsrechnungen'!A312="","",IF('14_Eingangsrechnungen'!O312&gt;0.5,"Kreditor",""))</f>
        <v/>
      </c>
      <c r="M312" s="13">
        <f>IF(L312="","",'14_Eingangsrechnungen'!A312)</f>
        <v/>
      </c>
      <c r="N312" s="44">
        <f>IF(L312="","",'14_Eingangsrechnungen'!B312)</f>
        <v/>
      </c>
      <c r="O312" s="13">
        <f>IF(L312="","",'14_Eingangsrechnungen'!D312)</f>
        <v/>
      </c>
      <c r="P312" s="13">
        <f>IF(L312="","",'14_Eingangsrechnungen'!C312)</f>
        <v/>
      </c>
      <c r="Q312" s="13">
        <f>IF(L312="","",'14_Eingangsrechnungen'!E312)</f>
        <v/>
      </c>
      <c r="R312" s="15">
        <f>IF(L312="","",'14_Eingangsrechnungen'!M312)</f>
        <v/>
      </c>
      <c r="S312" s="15">
        <f>IF(L312="","",'14_Eingangsrechnungen'!O312)</f>
        <v/>
      </c>
      <c r="T312" s="44">
        <f>IF(L312="","",'14_Eingangsrechnungen'!H312)</f>
        <v/>
      </c>
      <c r="U312" s="45">
        <f>IF(L312="","",'14_Eingangsrechnungen'!P312)</f>
        <v/>
      </c>
    </row>
    <row r="313">
      <c r="A313" s="13">
        <f>IF('13_Ausgangsrechnungen'!A313="","",IF('13_Ausgangsrechnungen'!S313&gt;0.5,"Debitor",""))</f>
        <v/>
      </c>
      <c r="B313" s="13">
        <f>IF(A313="","",'13_Ausgangsrechnungen'!A313)</f>
        <v/>
      </c>
      <c r="C313" s="44">
        <f>IF(A313="","",'13_Ausgangsrechnungen'!B313)</f>
        <v/>
      </c>
      <c r="D313" s="13">
        <f>IF(A313="","",'13_Ausgangsrechnungen'!D313)</f>
        <v/>
      </c>
      <c r="E313" s="13">
        <f>IF(A313="","",'13_Ausgangsrechnungen'!C313)</f>
        <v/>
      </c>
      <c r="F313" s="13">
        <f>IF(A313="","",'13_Ausgangsrechnungen'!E313)</f>
        <v/>
      </c>
      <c r="G313" s="15">
        <f>IF(A313="","",'13_Ausgangsrechnungen'!Q313)</f>
        <v/>
      </c>
      <c r="H313" s="15">
        <f>IF(A313="","",'13_Ausgangsrechnungen'!S313)</f>
        <v/>
      </c>
      <c r="I313" s="44">
        <f>IF(A313="","",'13_Ausgangsrechnungen'!J313)</f>
        <v/>
      </c>
      <c r="J313" s="45">
        <f>IF(A313="","",'13_Ausgangsrechnungen'!T313)</f>
        <v/>
      </c>
      <c r="L313" s="13">
        <f>IF('14_Eingangsrechnungen'!A313="","",IF('14_Eingangsrechnungen'!O313&gt;0.5,"Kreditor",""))</f>
        <v/>
      </c>
      <c r="M313" s="13">
        <f>IF(L313="","",'14_Eingangsrechnungen'!A313)</f>
        <v/>
      </c>
      <c r="N313" s="44">
        <f>IF(L313="","",'14_Eingangsrechnungen'!B313)</f>
        <v/>
      </c>
      <c r="O313" s="13">
        <f>IF(L313="","",'14_Eingangsrechnungen'!D313)</f>
        <v/>
      </c>
      <c r="P313" s="13">
        <f>IF(L313="","",'14_Eingangsrechnungen'!C313)</f>
        <v/>
      </c>
      <c r="Q313" s="13">
        <f>IF(L313="","",'14_Eingangsrechnungen'!E313)</f>
        <v/>
      </c>
      <c r="R313" s="15">
        <f>IF(L313="","",'14_Eingangsrechnungen'!M313)</f>
        <v/>
      </c>
      <c r="S313" s="15">
        <f>IF(L313="","",'14_Eingangsrechnungen'!O313)</f>
        <v/>
      </c>
      <c r="T313" s="44">
        <f>IF(L313="","",'14_Eingangsrechnungen'!H313)</f>
        <v/>
      </c>
      <c r="U313" s="45">
        <f>IF(L313="","",'14_Eingangsrechnungen'!P313)</f>
        <v/>
      </c>
    </row>
    <row r="314">
      <c r="A314" s="13">
        <f>IF('13_Ausgangsrechnungen'!A314="","",IF('13_Ausgangsrechnungen'!S314&gt;0.5,"Debitor",""))</f>
        <v/>
      </c>
      <c r="B314" s="13">
        <f>IF(A314="","",'13_Ausgangsrechnungen'!A314)</f>
        <v/>
      </c>
      <c r="C314" s="44">
        <f>IF(A314="","",'13_Ausgangsrechnungen'!B314)</f>
        <v/>
      </c>
      <c r="D314" s="13">
        <f>IF(A314="","",'13_Ausgangsrechnungen'!D314)</f>
        <v/>
      </c>
      <c r="E314" s="13">
        <f>IF(A314="","",'13_Ausgangsrechnungen'!C314)</f>
        <v/>
      </c>
      <c r="F314" s="13">
        <f>IF(A314="","",'13_Ausgangsrechnungen'!E314)</f>
        <v/>
      </c>
      <c r="G314" s="15">
        <f>IF(A314="","",'13_Ausgangsrechnungen'!Q314)</f>
        <v/>
      </c>
      <c r="H314" s="15">
        <f>IF(A314="","",'13_Ausgangsrechnungen'!S314)</f>
        <v/>
      </c>
      <c r="I314" s="44">
        <f>IF(A314="","",'13_Ausgangsrechnungen'!J314)</f>
        <v/>
      </c>
      <c r="J314" s="45">
        <f>IF(A314="","",'13_Ausgangsrechnungen'!T314)</f>
        <v/>
      </c>
      <c r="L314" s="13">
        <f>IF('14_Eingangsrechnungen'!A314="","",IF('14_Eingangsrechnungen'!O314&gt;0.5,"Kreditor",""))</f>
        <v/>
      </c>
      <c r="M314" s="13">
        <f>IF(L314="","",'14_Eingangsrechnungen'!A314)</f>
        <v/>
      </c>
      <c r="N314" s="44">
        <f>IF(L314="","",'14_Eingangsrechnungen'!B314)</f>
        <v/>
      </c>
      <c r="O314" s="13">
        <f>IF(L314="","",'14_Eingangsrechnungen'!D314)</f>
        <v/>
      </c>
      <c r="P314" s="13">
        <f>IF(L314="","",'14_Eingangsrechnungen'!C314)</f>
        <v/>
      </c>
      <c r="Q314" s="13">
        <f>IF(L314="","",'14_Eingangsrechnungen'!E314)</f>
        <v/>
      </c>
      <c r="R314" s="15">
        <f>IF(L314="","",'14_Eingangsrechnungen'!M314)</f>
        <v/>
      </c>
      <c r="S314" s="15">
        <f>IF(L314="","",'14_Eingangsrechnungen'!O314)</f>
        <v/>
      </c>
      <c r="T314" s="44">
        <f>IF(L314="","",'14_Eingangsrechnungen'!H314)</f>
        <v/>
      </c>
      <c r="U314" s="45">
        <f>IF(L314="","",'14_Eingangsrechnungen'!P314)</f>
        <v/>
      </c>
    </row>
    <row r="315">
      <c r="A315" s="13">
        <f>IF('13_Ausgangsrechnungen'!A315="","",IF('13_Ausgangsrechnungen'!S315&gt;0.5,"Debitor",""))</f>
        <v/>
      </c>
      <c r="B315" s="13">
        <f>IF(A315="","",'13_Ausgangsrechnungen'!A315)</f>
        <v/>
      </c>
      <c r="C315" s="44">
        <f>IF(A315="","",'13_Ausgangsrechnungen'!B315)</f>
        <v/>
      </c>
      <c r="D315" s="13">
        <f>IF(A315="","",'13_Ausgangsrechnungen'!D315)</f>
        <v/>
      </c>
      <c r="E315" s="13">
        <f>IF(A315="","",'13_Ausgangsrechnungen'!C315)</f>
        <v/>
      </c>
      <c r="F315" s="13">
        <f>IF(A315="","",'13_Ausgangsrechnungen'!E315)</f>
        <v/>
      </c>
      <c r="G315" s="15">
        <f>IF(A315="","",'13_Ausgangsrechnungen'!Q315)</f>
        <v/>
      </c>
      <c r="H315" s="15">
        <f>IF(A315="","",'13_Ausgangsrechnungen'!S315)</f>
        <v/>
      </c>
      <c r="I315" s="44">
        <f>IF(A315="","",'13_Ausgangsrechnungen'!J315)</f>
        <v/>
      </c>
      <c r="J315" s="45">
        <f>IF(A315="","",'13_Ausgangsrechnungen'!T315)</f>
        <v/>
      </c>
      <c r="L315" s="13">
        <f>IF('14_Eingangsrechnungen'!A315="","",IF('14_Eingangsrechnungen'!O315&gt;0.5,"Kreditor",""))</f>
        <v/>
      </c>
      <c r="M315" s="13">
        <f>IF(L315="","",'14_Eingangsrechnungen'!A315)</f>
        <v/>
      </c>
      <c r="N315" s="44">
        <f>IF(L315="","",'14_Eingangsrechnungen'!B315)</f>
        <v/>
      </c>
      <c r="O315" s="13">
        <f>IF(L315="","",'14_Eingangsrechnungen'!D315)</f>
        <v/>
      </c>
      <c r="P315" s="13">
        <f>IF(L315="","",'14_Eingangsrechnungen'!C315)</f>
        <v/>
      </c>
      <c r="Q315" s="13">
        <f>IF(L315="","",'14_Eingangsrechnungen'!E315)</f>
        <v/>
      </c>
      <c r="R315" s="15">
        <f>IF(L315="","",'14_Eingangsrechnungen'!M315)</f>
        <v/>
      </c>
      <c r="S315" s="15">
        <f>IF(L315="","",'14_Eingangsrechnungen'!O315)</f>
        <v/>
      </c>
      <c r="T315" s="44">
        <f>IF(L315="","",'14_Eingangsrechnungen'!H315)</f>
        <v/>
      </c>
      <c r="U315" s="45">
        <f>IF(L315="","",'14_Eingangsrechnungen'!P315)</f>
        <v/>
      </c>
    </row>
    <row r="316">
      <c r="A316" s="13">
        <f>IF('13_Ausgangsrechnungen'!A316="","",IF('13_Ausgangsrechnungen'!S316&gt;0.5,"Debitor",""))</f>
        <v/>
      </c>
      <c r="B316" s="13">
        <f>IF(A316="","",'13_Ausgangsrechnungen'!A316)</f>
        <v/>
      </c>
      <c r="C316" s="44">
        <f>IF(A316="","",'13_Ausgangsrechnungen'!B316)</f>
        <v/>
      </c>
      <c r="D316" s="13">
        <f>IF(A316="","",'13_Ausgangsrechnungen'!D316)</f>
        <v/>
      </c>
      <c r="E316" s="13">
        <f>IF(A316="","",'13_Ausgangsrechnungen'!C316)</f>
        <v/>
      </c>
      <c r="F316" s="13">
        <f>IF(A316="","",'13_Ausgangsrechnungen'!E316)</f>
        <v/>
      </c>
      <c r="G316" s="15">
        <f>IF(A316="","",'13_Ausgangsrechnungen'!Q316)</f>
        <v/>
      </c>
      <c r="H316" s="15">
        <f>IF(A316="","",'13_Ausgangsrechnungen'!S316)</f>
        <v/>
      </c>
      <c r="I316" s="44">
        <f>IF(A316="","",'13_Ausgangsrechnungen'!J316)</f>
        <v/>
      </c>
      <c r="J316" s="45">
        <f>IF(A316="","",'13_Ausgangsrechnungen'!T316)</f>
        <v/>
      </c>
      <c r="L316" s="13">
        <f>IF('14_Eingangsrechnungen'!A316="","",IF('14_Eingangsrechnungen'!O316&gt;0.5,"Kreditor",""))</f>
        <v/>
      </c>
      <c r="M316" s="13">
        <f>IF(L316="","",'14_Eingangsrechnungen'!A316)</f>
        <v/>
      </c>
      <c r="N316" s="44">
        <f>IF(L316="","",'14_Eingangsrechnungen'!B316)</f>
        <v/>
      </c>
      <c r="O316" s="13">
        <f>IF(L316="","",'14_Eingangsrechnungen'!D316)</f>
        <v/>
      </c>
      <c r="P316" s="13">
        <f>IF(L316="","",'14_Eingangsrechnungen'!C316)</f>
        <v/>
      </c>
      <c r="Q316" s="13">
        <f>IF(L316="","",'14_Eingangsrechnungen'!E316)</f>
        <v/>
      </c>
      <c r="R316" s="15">
        <f>IF(L316="","",'14_Eingangsrechnungen'!M316)</f>
        <v/>
      </c>
      <c r="S316" s="15">
        <f>IF(L316="","",'14_Eingangsrechnungen'!O316)</f>
        <v/>
      </c>
      <c r="T316" s="44">
        <f>IF(L316="","",'14_Eingangsrechnungen'!H316)</f>
        <v/>
      </c>
      <c r="U316" s="45">
        <f>IF(L316="","",'14_Eingangsrechnungen'!P316)</f>
        <v/>
      </c>
    </row>
    <row r="317">
      <c r="A317" s="13">
        <f>IF('13_Ausgangsrechnungen'!A317="","",IF('13_Ausgangsrechnungen'!S317&gt;0.5,"Debitor",""))</f>
        <v/>
      </c>
      <c r="B317" s="13">
        <f>IF(A317="","",'13_Ausgangsrechnungen'!A317)</f>
        <v/>
      </c>
      <c r="C317" s="44">
        <f>IF(A317="","",'13_Ausgangsrechnungen'!B317)</f>
        <v/>
      </c>
      <c r="D317" s="13">
        <f>IF(A317="","",'13_Ausgangsrechnungen'!D317)</f>
        <v/>
      </c>
      <c r="E317" s="13">
        <f>IF(A317="","",'13_Ausgangsrechnungen'!C317)</f>
        <v/>
      </c>
      <c r="F317" s="13">
        <f>IF(A317="","",'13_Ausgangsrechnungen'!E317)</f>
        <v/>
      </c>
      <c r="G317" s="15">
        <f>IF(A317="","",'13_Ausgangsrechnungen'!Q317)</f>
        <v/>
      </c>
      <c r="H317" s="15">
        <f>IF(A317="","",'13_Ausgangsrechnungen'!S317)</f>
        <v/>
      </c>
      <c r="I317" s="44">
        <f>IF(A317="","",'13_Ausgangsrechnungen'!J317)</f>
        <v/>
      </c>
      <c r="J317" s="45">
        <f>IF(A317="","",'13_Ausgangsrechnungen'!T317)</f>
        <v/>
      </c>
      <c r="L317" s="13">
        <f>IF('14_Eingangsrechnungen'!A317="","",IF('14_Eingangsrechnungen'!O317&gt;0.5,"Kreditor",""))</f>
        <v/>
      </c>
      <c r="M317" s="13">
        <f>IF(L317="","",'14_Eingangsrechnungen'!A317)</f>
        <v/>
      </c>
      <c r="N317" s="44">
        <f>IF(L317="","",'14_Eingangsrechnungen'!B317)</f>
        <v/>
      </c>
      <c r="O317" s="13">
        <f>IF(L317="","",'14_Eingangsrechnungen'!D317)</f>
        <v/>
      </c>
      <c r="P317" s="13">
        <f>IF(L317="","",'14_Eingangsrechnungen'!C317)</f>
        <v/>
      </c>
      <c r="Q317" s="13">
        <f>IF(L317="","",'14_Eingangsrechnungen'!E317)</f>
        <v/>
      </c>
      <c r="R317" s="15">
        <f>IF(L317="","",'14_Eingangsrechnungen'!M317)</f>
        <v/>
      </c>
      <c r="S317" s="15">
        <f>IF(L317="","",'14_Eingangsrechnungen'!O317)</f>
        <v/>
      </c>
      <c r="T317" s="44">
        <f>IF(L317="","",'14_Eingangsrechnungen'!H317)</f>
        <v/>
      </c>
      <c r="U317" s="45">
        <f>IF(L317="","",'14_Eingangsrechnungen'!P317)</f>
        <v/>
      </c>
    </row>
    <row r="318">
      <c r="A318" s="13">
        <f>IF('13_Ausgangsrechnungen'!A318="","",IF('13_Ausgangsrechnungen'!S318&gt;0.5,"Debitor",""))</f>
        <v/>
      </c>
      <c r="B318" s="13">
        <f>IF(A318="","",'13_Ausgangsrechnungen'!A318)</f>
        <v/>
      </c>
      <c r="C318" s="44">
        <f>IF(A318="","",'13_Ausgangsrechnungen'!B318)</f>
        <v/>
      </c>
      <c r="D318" s="13">
        <f>IF(A318="","",'13_Ausgangsrechnungen'!D318)</f>
        <v/>
      </c>
      <c r="E318" s="13">
        <f>IF(A318="","",'13_Ausgangsrechnungen'!C318)</f>
        <v/>
      </c>
      <c r="F318" s="13">
        <f>IF(A318="","",'13_Ausgangsrechnungen'!E318)</f>
        <v/>
      </c>
      <c r="G318" s="15">
        <f>IF(A318="","",'13_Ausgangsrechnungen'!Q318)</f>
        <v/>
      </c>
      <c r="H318" s="15">
        <f>IF(A318="","",'13_Ausgangsrechnungen'!S318)</f>
        <v/>
      </c>
      <c r="I318" s="44">
        <f>IF(A318="","",'13_Ausgangsrechnungen'!J318)</f>
        <v/>
      </c>
      <c r="J318" s="45">
        <f>IF(A318="","",'13_Ausgangsrechnungen'!T318)</f>
        <v/>
      </c>
      <c r="L318" s="13">
        <f>IF('14_Eingangsrechnungen'!A318="","",IF('14_Eingangsrechnungen'!O318&gt;0.5,"Kreditor",""))</f>
        <v/>
      </c>
      <c r="M318" s="13">
        <f>IF(L318="","",'14_Eingangsrechnungen'!A318)</f>
        <v/>
      </c>
      <c r="N318" s="44">
        <f>IF(L318="","",'14_Eingangsrechnungen'!B318)</f>
        <v/>
      </c>
      <c r="O318" s="13">
        <f>IF(L318="","",'14_Eingangsrechnungen'!D318)</f>
        <v/>
      </c>
      <c r="P318" s="13">
        <f>IF(L318="","",'14_Eingangsrechnungen'!C318)</f>
        <v/>
      </c>
      <c r="Q318" s="13">
        <f>IF(L318="","",'14_Eingangsrechnungen'!E318)</f>
        <v/>
      </c>
      <c r="R318" s="15">
        <f>IF(L318="","",'14_Eingangsrechnungen'!M318)</f>
        <v/>
      </c>
      <c r="S318" s="15">
        <f>IF(L318="","",'14_Eingangsrechnungen'!O318)</f>
        <v/>
      </c>
      <c r="T318" s="44">
        <f>IF(L318="","",'14_Eingangsrechnungen'!H318)</f>
        <v/>
      </c>
      <c r="U318" s="45">
        <f>IF(L318="","",'14_Eingangsrechnungen'!P318)</f>
        <v/>
      </c>
    </row>
    <row r="319">
      <c r="A319" s="13">
        <f>IF('13_Ausgangsrechnungen'!A319="","",IF('13_Ausgangsrechnungen'!S319&gt;0.5,"Debitor",""))</f>
        <v/>
      </c>
      <c r="B319" s="13">
        <f>IF(A319="","",'13_Ausgangsrechnungen'!A319)</f>
        <v/>
      </c>
      <c r="C319" s="44">
        <f>IF(A319="","",'13_Ausgangsrechnungen'!B319)</f>
        <v/>
      </c>
      <c r="D319" s="13">
        <f>IF(A319="","",'13_Ausgangsrechnungen'!D319)</f>
        <v/>
      </c>
      <c r="E319" s="13">
        <f>IF(A319="","",'13_Ausgangsrechnungen'!C319)</f>
        <v/>
      </c>
      <c r="F319" s="13">
        <f>IF(A319="","",'13_Ausgangsrechnungen'!E319)</f>
        <v/>
      </c>
      <c r="G319" s="15">
        <f>IF(A319="","",'13_Ausgangsrechnungen'!Q319)</f>
        <v/>
      </c>
      <c r="H319" s="15">
        <f>IF(A319="","",'13_Ausgangsrechnungen'!S319)</f>
        <v/>
      </c>
      <c r="I319" s="44">
        <f>IF(A319="","",'13_Ausgangsrechnungen'!J319)</f>
        <v/>
      </c>
      <c r="J319" s="45">
        <f>IF(A319="","",'13_Ausgangsrechnungen'!T319)</f>
        <v/>
      </c>
      <c r="L319" s="13">
        <f>IF('14_Eingangsrechnungen'!A319="","",IF('14_Eingangsrechnungen'!O319&gt;0.5,"Kreditor",""))</f>
        <v/>
      </c>
      <c r="M319" s="13">
        <f>IF(L319="","",'14_Eingangsrechnungen'!A319)</f>
        <v/>
      </c>
      <c r="N319" s="44">
        <f>IF(L319="","",'14_Eingangsrechnungen'!B319)</f>
        <v/>
      </c>
      <c r="O319" s="13">
        <f>IF(L319="","",'14_Eingangsrechnungen'!D319)</f>
        <v/>
      </c>
      <c r="P319" s="13">
        <f>IF(L319="","",'14_Eingangsrechnungen'!C319)</f>
        <v/>
      </c>
      <c r="Q319" s="13">
        <f>IF(L319="","",'14_Eingangsrechnungen'!E319)</f>
        <v/>
      </c>
      <c r="R319" s="15">
        <f>IF(L319="","",'14_Eingangsrechnungen'!M319)</f>
        <v/>
      </c>
      <c r="S319" s="15">
        <f>IF(L319="","",'14_Eingangsrechnungen'!O319)</f>
        <v/>
      </c>
      <c r="T319" s="44">
        <f>IF(L319="","",'14_Eingangsrechnungen'!H319)</f>
        <v/>
      </c>
      <c r="U319" s="45">
        <f>IF(L319="","",'14_Eingangsrechnungen'!P319)</f>
        <v/>
      </c>
    </row>
    <row r="320">
      <c r="A320" s="13">
        <f>IF('13_Ausgangsrechnungen'!A320="","",IF('13_Ausgangsrechnungen'!S320&gt;0.5,"Debitor",""))</f>
        <v/>
      </c>
      <c r="B320" s="13">
        <f>IF(A320="","",'13_Ausgangsrechnungen'!A320)</f>
        <v/>
      </c>
      <c r="C320" s="44">
        <f>IF(A320="","",'13_Ausgangsrechnungen'!B320)</f>
        <v/>
      </c>
      <c r="D320" s="13">
        <f>IF(A320="","",'13_Ausgangsrechnungen'!D320)</f>
        <v/>
      </c>
      <c r="E320" s="13">
        <f>IF(A320="","",'13_Ausgangsrechnungen'!C320)</f>
        <v/>
      </c>
      <c r="F320" s="13">
        <f>IF(A320="","",'13_Ausgangsrechnungen'!E320)</f>
        <v/>
      </c>
      <c r="G320" s="15">
        <f>IF(A320="","",'13_Ausgangsrechnungen'!Q320)</f>
        <v/>
      </c>
      <c r="H320" s="15">
        <f>IF(A320="","",'13_Ausgangsrechnungen'!S320)</f>
        <v/>
      </c>
      <c r="I320" s="44">
        <f>IF(A320="","",'13_Ausgangsrechnungen'!J320)</f>
        <v/>
      </c>
      <c r="J320" s="45">
        <f>IF(A320="","",'13_Ausgangsrechnungen'!T320)</f>
        <v/>
      </c>
      <c r="L320" s="13">
        <f>IF('14_Eingangsrechnungen'!A320="","",IF('14_Eingangsrechnungen'!O320&gt;0.5,"Kreditor",""))</f>
        <v/>
      </c>
      <c r="M320" s="13">
        <f>IF(L320="","",'14_Eingangsrechnungen'!A320)</f>
        <v/>
      </c>
      <c r="N320" s="44">
        <f>IF(L320="","",'14_Eingangsrechnungen'!B320)</f>
        <v/>
      </c>
      <c r="O320" s="13">
        <f>IF(L320="","",'14_Eingangsrechnungen'!D320)</f>
        <v/>
      </c>
      <c r="P320" s="13">
        <f>IF(L320="","",'14_Eingangsrechnungen'!C320)</f>
        <v/>
      </c>
      <c r="Q320" s="13">
        <f>IF(L320="","",'14_Eingangsrechnungen'!E320)</f>
        <v/>
      </c>
      <c r="R320" s="15">
        <f>IF(L320="","",'14_Eingangsrechnungen'!M320)</f>
        <v/>
      </c>
      <c r="S320" s="15">
        <f>IF(L320="","",'14_Eingangsrechnungen'!O320)</f>
        <v/>
      </c>
      <c r="T320" s="44">
        <f>IF(L320="","",'14_Eingangsrechnungen'!H320)</f>
        <v/>
      </c>
      <c r="U320" s="45">
        <f>IF(L320="","",'14_Eingangsrechnungen'!P320)</f>
        <v/>
      </c>
    </row>
    <row r="321">
      <c r="A321" s="13">
        <f>IF('13_Ausgangsrechnungen'!A321="","",IF('13_Ausgangsrechnungen'!S321&gt;0.5,"Debitor",""))</f>
        <v/>
      </c>
      <c r="B321" s="13">
        <f>IF(A321="","",'13_Ausgangsrechnungen'!A321)</f>
        <v/>
      </c>
      <c r="C321" s="44">
        <f>IF(A321="","",'13_Ausgangsrechnungen'!B321)</f>
        <v/>
      </c>
      <c r="D321" s="13">
        <f>IF(A321="","",'13_Ausgangsrechnungen'!D321)</f>
        <v/>
      </c>
      <c r="E321" s="13">
        <f>IF(A321="","",'13_Ausgangsrechnungen'!C321)</f>
        <v/>
      </c>
      <c r="F321" s="13">
        <f>IF(A321="","",'13_Ausgangsrechnungen'!E321)</f>
        <v/>
      </c>
      <c r="G321" s="15">
        <f>IF(A321="","",'13_Ausgangsrechnungen'!Q321)</f>
        <v/>
      </c>
      <c r="H321" s="15">
        <f>IF(A321="","",'13_Ausgangsrechnungen'!S321)</f>
        <v/>
      </c>
      <c r="I321" s="44">
        <f>IF(A321="","",'13_Ausgangsrechnungen'!J321)</f>
        <v/>
      </c>
      <c r="J321" s="45">
        <f>IF(A321="","",'13_Ausgangsrechnungen'!T321)</f>
        <v/>
      </c>
      <c r="L321" s="13">
        <f>IF('14_Eingangsrechnungen'!A321="","",IF('14_Eingangsrechnungen'!O321&gt;0.5,"Kreditor",""))</f>
        <v/>
      </c>
      <c r="M321" s="13">
        <f>IF(L321="","",'14_Eingangsrechnungen'!A321)</f>
        <v/>
      </c>
      <c r="N321" s="44">
        <f>IF(L321="","",'14_Eingangsrechnungen'!B321)</f>
        <v/>
      </c>
      <c r="O321" s="13">
        <f>IF(L321="","",'14_Eingangsrechnungen'!D321)</f>
        <v/>
      </c>
      <c r="P321" s="13">
        <f>IF(L321="","",'14_Eingangsrechnungen'!C321)</f>
        <v/>
      </c>
      <c r="Q321" s="13">
        <f>IF(L321="","",'14_Eingangsrechnungen'!E321)</f>
        <v/>
      </c>
      <c r="R321" s="15">
        <f>IF(L321="","",'14_Eingangsrechnungen'!M321)</f>
        <v/>
      </c>
      <c r="S321" s="15">
        <f>IF(L321="","",'14_Eingangsrechnungen'!O321)</f>
        <v/>
      </c>
      <c r="T321" s="44">
        <f>IF(L321="","",'14_Eingangsrechnungen'!H321)</f>
        <v/>
      </c>
      <c r="U321" s="45">
        <f>IF(L321="","",'14_Eingangsrechnungen'!P321)</f>
        <v/>
      </c>
    </row>
    <row r="322">
      <c r="A322" s="13">
        <f>IF('13_Ausgangsrechnungen'!A322="","",IF('13_Ausgangsrechnungen'!S322&gt;0.5,"Debitor",""))</f>
        <v/>
      </c>
      <c r="B322" s="13">
        <f>IF(A322="","",'13_Ausgangsrechnungen'!A322)</f>
        <v/>
      </c>
      <c r="C322" s="44">
        <f>IF(A322="","",'13_Ausgangsrechnungen'!B322)</f>
        <v/>
      </c>
      <c r="D322" s="13">
        <f>IF(A322="","",'13_Ausgangsrechnungen'!D322)</f>
        <v/>
      </c>
      <c r="E322" s="13">
        <f>IF(A322="","",'13_Ausgangsrechnungen'!C322)</f>
        <v/>
      </c>
      <c r="F322" s="13">
        <f>IF(A322="","",'13_Ausgangsrechnungen'!E322)</f>
        <v/>
      </c>
      <c r="G322" s="15">
        <f>IF(A322="","",'13_Ausgangsrechnungen'!Q322)</f>
        <v/>
      </c>
      <c r="H322" s="15">
        <f>IF(A322="","",'13_Ausgangsrechnungen'!S322)</f>
        <v/>
      </c>
      <c r="I322" s="44">
        <f>IF(A322="","",'13_Ausgangsrechnungen'!J322)</f>
        <v/>
      </c>
      <c r="J322" s="45">
        <f>IF(A322="","",'13_Ausgangsrechnungen'!T322)</f>
        <v/>
      </c>
      <c r="L322" s="13">
        <f>IF('14_Eingangsrechnungen'!A322="","",IF('14_Eingangsrechnungen'!O322&gt;0.5,"Kreditor",""))</f>
        <v/>
      </c>
      <c r="M322" s="13">
        <f>IF(L322="","",'14_Eingangsrechnungen'!A322)</f>
        <v/>
      </c>
      <c r="N322" s="44">
        <f>IF(L322="","",'14_Eingangsrechnungen'!B322)</f>
        <v/>
      </c>
      <c r="O322" s="13">
        <f>IF(L322="","",'14_Eingangsrechnungen'!D322)</f>
        <v/>
      </c>
      <c r="P322" s="13">
        <f>IF(L322="","",'14_Eingangsrechnungen'!C322)</f>
        <v/>
      </c>
      <c r="Q322" s="13">
        <f>IF(L322="","",'14_Eingangsrechnungen'!E322)</f>
        <v/>
      </c>
      <c r="R322" s="15">
        <f>IF(L322="","",'14_Eingangsrechnungen'!M322)</f>
        <v/>
      </c>
      <c r="S322" s="15">
        <f>IF(L322="","",'14_Eingangsrechnungen'!O322)</f>
        <v/>
      </c>
      <c r="T322" s="44">
        <f>IF(L322="","",'14_Eingangsrechnungen'!H322)</f>
        <v/>
      </c>
      <c r="U322" s="45">
        <f>IF(L322="","",'14_Eingangsrechnungen'!P322)</f>
        <v/>
      </c>
    </row>
    <row r="323">
      <c r="A323" s="13">
        <f>IF('13_Ausgangsrechnungen'!A323="","",IF('13_Ausgangsrechnungen'!S323&gt;0.5,"Debitor",""))</f>
        <v/>
      </c>
      <c r="B323" s="13">
        <f>IF(A323="","",'13_Ausgangsrechnungen'!A323)</f>
        <v/>
      </c>
      <c r="C323" s="44">
        <f>IF(A323="","",'13_Ausgangsrechnungen'!B323)</f>
        <v/>
      </c>
      <c r="D323" s="13">
        <f>IF(A323="","",'13_Ausgangsrechnungen'!D323)</f>
        <v/>
      </c>
      <c r="E323" s="13">
        <f>IF(A323="","",'13_Ausgangsrechnungen'!C323)</f>
        <v/>
      </c>
      <c r="F323" s="13">
        <f>IF(A323="","",'13_Ausgangsrechnungen'!E323)</f>
        <v/>
      </c>
      <c r="G323" s="15">
        <f>IF(A323="","",'13_Ausgangsrechnungen'!Q323)</f>
        <v/>
      </c>
      <c r="H323" s="15">
        <f>IF(A323="","",'13_Ausgangsrechnungen'!S323)</f>
        <v/>
      </c>
      <c r="I323" s="44">
        <f>IF(A323="","",'13_Ausgangsrechnungen'!J323)</f>
        <v/>
      </c>
      <c r="J323" s="45">
        <f>IF(A323="","",'13_Ausgangsrechnungen'!T323)</f>
        <v/>
      </c>
      <c r="L323" s="13">
        <f>IF('14_Eingangsrechnungen'!A323="","",IF('14_Eingangsrechnungen'!O323&gt;0.5,"Kreditor",""))</f>
        <v/>
      </c>
      <c r="M323" s="13">
        <f>IF(L323="","",'14_Eingangsrechnungen'!A323)</f>
        <v/>
      </c>
      <c r="N323" s="44">
        <f>IF(L323="","",'14_Eingangsrechnungen'!B323)</f>
        <v/>
      </c>
      <c r="O323" s="13">
        <f>IF(L323="","",'14_Eingangsrechnungen'!D323)</f>
        <v/>
      </c>
      <c r="P323" s="13">
        <f>IF(L323="","",'14_Eingangsrechnungen'!C323)</f>
        <v/>
      </c>
      <c r="Q323" s="13">
        <f>IF(L323="","",'14_Eingangsrechnungen'!E323)</f>
        <v/>
      </c>
      <c r="R323" s="15">
        <f>IF(L323="","",'14_Eingangsrechnungen'!M323)</f>
        <v/>
      </c>
      <c r="S323" s="15">
        <f>IF(L323="","",'14_Eingangsrechnungen'!O323)</f>
        <v/>
      </c>
      <c r="T323" s="44">
        <f>IF(L323="","",'14_Eingangsrechnungen'!H323)</f>
        <v/>
      </c>
      <c r="U323" s="45">
        <f>IF(L323="","",'14_Eingangsrechnungen'!P323)</f>
        <v/>
      </c>
    </row>
    <row r="324">
      <c r="A324" s="13">
        <f>IF('13_Ausgangsrechnungen'!A324="","",IF('13_Ausgangsrechnungen'!S324&gt;0.5,"Debitor",""))</f>
        <v/>
      </c>
      <c r="B324" s="13">
        <f>IF(A324="","",'13_Ausgangsrechnungen'!A324)</f>
        <v/>
      </c>
      <c r="C324" s="44">
        <f>IF(A324="","",'13_Ausgangsrechnungen'!B324)</f>
        <v/>
      </c>
      <c r="D324" s="13">
        <f>IF(A324="","",'13_Ausgangsrechnungen'!D324)</f>
        <v/>
      </c>
      <c r="E324" s="13">
        <f>IF(A324="","",'13_Ausgangsrechnungen'!C324)</f>
        <v/>
      </c>
      <c r="F324" s="13">
        <f>IF(A324="","",'13_Ausgangsrechnungen'!E324)</f>
        <v/>
      </c>
      <c r="G324" s="15">
        <f>IF(A324="","",'13_Ausgangsrechnungen'!Q324)</f>
        <v/>
      </c>
      <c r="H324" s="15">
        <f>IF(A324="","",'13_Ausgangsrechnungen'!S324)</f>
        <v/>
      </c>
      <c r="I324" s="44">
        <f>IF(A324="","",'13_Ausgangsrechnungen'!J324)</f>
        <v/>
      </c>
      <c r="J324" s="45">
        <f>IF(A324="","",'13_Ausgangsrechnungen'!T324)</f>
        <v/>
      </c>
      <c r="L324" s="13">
        <f>IF('14_Eingangsrechnungen'!A324="","",IF('14_Eingangsrechnungen'!O324&gt;0.5,"Kreditor",""))</f>
        <v/>
      </c>
      <c r="M324" s="13">
        <f>IF(L324="","",'14_Eingangsrechnungen'!A324)</f>
        <v/>
      </c>
      <c r="N324" s="44">
        <f>IF(L324="","",'14_Eingangsrechnungen'!B324)</f>
        <v/>
      </c>
      <c r="O324" s="13">
        <f>IF(L324="","",'14_Eingangsrechnungen'!D324)</f>
        <v/>
      </c>
      <c r="P324" s="13">
        <f>IF(L324="","",'14_Eingangsrechnungen'!C324)</f>
        <v/>
      </c>
      <c r="Q324" s="13">
        <f>IF(L324="","",'14_Eingangsrechnungen'!E324)</f>
        <v/>
      </c>
      <c r="R324" s="15">
        <f>IF(L324="","",'14_Eingangsrechnungen'!M324)</f>
        <v/>
      </c>
      <c r="S324" s="15">
        <f>IF(L324="","",'14_Eingangsrechnungen'!O324)</f>
        <v/>
      </c>
      <c r="T324" s="44">
        <f>IF(L324="","",'14_Eingangsrechnungen'!H324)</f>
        <v/>
      </c>
      <c r="U324" s="45">
        <f>IF(L324="","",'14_Eingangsrechnungen'!P324)</f>
        <v/>
      </c>
    </row>
    <row r="325">
      <c r="A325" s="13">
        <f>IF('13_Ausgangsrechnungen'!A325="","",IF('13_Ausgangsrechnungen'!S325&gt;0.5,"Debitor",""))</f>
        <v/>
      </c>
      <c r="B325" s="13">
        <f>IF(A325="","",'13_Ausgangsrechnungen'!A325)</f>
        <v/>
      </c>
      <c r="C325" s="44">
        <f>IF(A325="","",'13_Ausgangsrechnungen'!B325)</f>
        <v/>
      </c>
      <c r="D325" s="13">
        <f>IF(A325="","",'13_Ausgangsrechnungen'!D325)</f>
        <v/>
      </c>
      <c r="E325" s="13">
        <f>IF(A325="","",'13_Ausgangsrechnungen'!C325)</f>
        <v/>
      </c>
      <c r="F325" s="13">
        <f>IF(A325="","",'13_Ausgangsrechnungen'!E325)</f>
        <v/>
      </c>
      <c r="G325" s="15">
        <f>IF(A325="","",'13_Ausgangsrechnungen'!Q325)</f>
        <v/>
      </c>
      <c r="H325" s="15">
        <f>IF(A325="","",'13_Ausgangsrechnungen'!S325)</f>
        <v/>
      </c>
      <c r="I325" s="44">
        <f>IF(A325="","",'13_Ausgangsrechnungen'!J325)</f>
        <v/>
      </c>
      <c r="J325" s="45">
        <f>IF(A325="","",'13_Ausgangsrechnungen'!T325)</f>
        <v/>
      </c>
      <c r="L325" s="13">
        <f>IF('14_Eingangsrechnungen'!A325="","",IF('14_Eingangsrechnungen'!O325&gt;0.5,"Kreditor",""))</f>
        <v/>
      </c>
      <c r="M325" s="13">
        <f>IF(L325="","",'14_Eingangsrechnungen'!A325)</f>
        <v/>
      </c>
      <c r="N325" s="44">
        <f>IF(L325="","",'14_Eingangsrechnungen'!B325)</f>
        <v/>
      </c>
      <c r="O325" s="13">
        <f>IF(L325="","",'14_Eingangsrechnungen'!D325)</f>
        <v/>
      </c>
      <c r="P325" s="13">
        <f>IF(L325="","",'14_Eingangsrechnungen'!C325)</f>
        <v/>
      </c>
      <c r="Q325" s="13">
        <f>IF(L325="","",'14_Eingangsrechnungen'!E325)</f>
        <v/>
      </c>
      <c r="R325" s="15">
        <f>IF(L325="","",'14_Eingangsrechnungen'!M325)</f>
        <v/>
      </c>
      <c r="S325" s="15">
        <f>IF(L325="","",'14_Eingangsrechnungen'!O325)</f>
        <v/>
      </c>
      <c r="T325" s="44">
        <f>IF(L325="","",'14_Eingangsrechnungen'!H325)</f>
        <v/>
      </c>
      <c r="U325" s="45">
        <f>IF(L325="","",'14_Eingangsrechnungen'!P325)</f>
        <v/>
      </c>
    </row>
    <row r="326">
      <c r="A326" s="13">
        <f>IF('13_Ausgangsrechnungen'!A326="","",IF('13_Ausgangsrechnungen'!S326&gt;0.5,"Debitor",""))</f>
        <v/>
      </c>
      <c r="B326" s="13">
        <f>IF(A326="","",'13_Ausgangsrechnungen'!A326)</f>
        <v/>
      </c>
      <c r="C326" s="44">
        <f>IF(A326="","",'13_Ausgangsrechnungen'!B326)</f>
        <v/>
      </c>
      <c r="D326" s="13">
        <f>IF(A326="","",'13_Ausgangsrechnungen'!D326)</f>
        <v/>
      </c>
      <c r="E326" s="13">
        <f>IF(A326="","",'13_Ausgangsrechnungen'!C326)</f>
        <v/>
      </c>
      <c r="F326" s="13">
        <f>IF(A326="","",'13_Ausgangsrechnungen'!E326)</f>
        <v/>
      </c>
      <c r="G326" s="15">
        <f>IF(A326="","",'13_Ausgangsrechnungen'!Q326)</f>
        <v/>
      </c>
      <c r="H326" s="15">
        <f>IF(A326="","",'13_Ausgangsrechnungen'!S326)</f>
        <v/>
      </c>
      <c r="I326" s="44">
        <f>IF(A326="","",'13_Ausgangsrechnungen'!J326)</f>
        <v/>
      </c>
      <c r="J326" s="45">
        <f>IF(A326="","",'13_Ausgangsrechnungen'!T326)</f>
        <v/>
      </c>
      <c r="L326" s="13">
        <f>IF('14_Eingangsrechnungen'!A326="","",IF('14_Eingangsrechnungen'!O326&gt;0.5,"Kreditor",""))</f>
        <v/>
      </c>
      <c r="M326" s="13">
        <f>IF(L326="","",'14_Eingangsrechnungen'!A326)</f>
        <v/>
      </c>
      <c r="N326" s="44">
        <f>IF(L326="","",'14_Eingangsrechnungen'!B326)</f>
        <v/>
      </c>
      <c r="O326" s="13">
        <f>IF(L326="","",'14_Eingangsrechnungen'!D326)</f>
        <v/>
      </c>
      <c r="P326" s="13">
        <f>IF(L326="","",'14_Eingangsrechnungen'!C326)</f>
        <v/>
      </c>
      <c r="Q326" s="13">
        <f>IF(L326="","",'14_Eingangsrechnungen'!E326)</f>
        <v/>
      </c>
      <c r="R326" s="15">
        <f>IF(L326="","",'14_Eingangsrechnungen'!M326)</f>
        <v/>
      </c>
      <c r="S326" s="15">
        <f>IF(L326="","",'14_Eingangsrechnungen'!O326)</f>
        <v/>
      </c>
      <c r="T326" s="44">
        <f>IF(L326="","",'14_Eingangsrechnungen'!H326)</f>
        <v/>
      </c>
      <c r="U326" s="45">
        <f>IF(L326="","",'14_Eingangsrechnungen'!P326)</f>
        <v/>
      </c>
    </row>
    <row r="327">
      <c r="A327" s="13">
        <f>IF('13_Ausgangsrechnungen'!A327="","",IF('13_Ausgangsrechnungen'!S327&gt;0.5,"Debitor",""))</f>
        <v/>
      </c>
      <c r="B327" s="13">
        <f>IF(A327="","",'13_Ausgangsrechnungen'!A327)</f>
        <v/>
      </c>
      <c r="C327" s="44">
        <f>IF(A327="","",'13_Ausgangsrechnungen'!B327)</f>
        <v/>
      </c>
      <c r="D327" s="13">
        <f>IF(A327="","",'13_Ausgangsrechnungen'!D327)</f>
        <v/>
      </c>
      <c r="E327" s="13">
        <f>IF(A327="","",'13_Ausgangsrechnungen'!C327)</f>
        <v/>
      </c>
      <c r="F327" s="13">
        <f>IF(A327="","",'13_Ausgangsrechnungen'!E327)</f>
        <v/>
      </c>
      <c r="G327" s="15">
        <f>IF(A327="","",'13_Ausgangsrechnungen'!Q327)</f>
        <v/>
      </c>
      <c r="H327" s="15">
        <f>IF(A327="","",'13_Ausgangsrechnungen'!S327)</f>
        <v/>
      </c>
      <c r="I327" s="44">
        <f>IF(A327="","",'13_Ausgangsrechnungen'!J327)</f>
        <v/>
      </c>
      <c r="J327" s="45">
        <f>IF(A327="","",'13_Ausgangsrechnungen'!T327)</f>
        <v/>
      </c>
      <c r="L327" s="13">
        <f>IF('14_Eingangsrechnungen'!A327="","",IF('14_Eingangsrechnungen'!O327&gt;0.5,"Kreditor",""))</f>
        <v/>
      </c>
      <c r="M327" s="13">
        <f>IF(L327="","",'14_Eingangsrechnungen'!A327)</f>
        <v/>
      </c>
      <c r="N327" s="44">
        <f>IF(L327="","",'14_Eingangsrechnungen'!B327)</f>
        <v/>
      </c>
      <c r="O327" s="13">
        <f>IF(L327="","",'14_Eingangsrechnungen'!D327)</f>
        <v/>
      </c>
      <c r="P327" s="13">
        <f>IF(L327="","",'14_Eingangsrechnungen'!C327)</f>
        <v/>
      </c>
      <c r="Q327" s="13">
        <f>IF(L327="","",'14_Eingangsrechnungen'!E327)</f>
        <v/>
      </c>
      <c r="R327" s="15">
        <f>IF(L327="","",'14_Eingangsrechnungen'!M327)</f>
        <v/>
      </c>
      <c r="S327" s="15">
        <f>IF(L327="","",'14_Eingangsrechnungen'!O327)</f>
        <v/>
      </c>
      <c r="T327" s="44">
        <f>IF(L327="","",'14_Eingangsrechnungen'!H327)</f>
        <v/>
      </c>
      <c r="U327" s="45">
        <f>IF(L327="","",'14_Eingangsrechnungen'!P327)</f>
        <v/>
      </c>
    </row>
    <row r="328">
      <c r="A328" s="13">
        <f>IF('13_Ausgangsrechnungen'!A328="","",IF('13_Ausgangsrechnungen'!S328&gt;0.5,"Debitor",""))</f>
        <v/>
      </c>
      <c r="B328" s="13">
        <f>IF(A328="","",'13_Ausgangsrechnungen'!A328)</f>
        <v/>
      </c>
      <c r="C328" s="44">
        <f>IF(A328="","",'13_Ausgangsrechnungen'!B328)</f>
        <v/>
      </c>
      <c r="D328" s="13">
        <f>IF(A328="","",'13_Ausgangsrechnungen'!D328)</f>
        <v/>
      </c>
      <c r="E328" s="13">
        <f>IF(A328="","",'13_Ausgangsrechnungen'!C328)</f>
        <v/>
      </c>
      <c r="F328" s="13">
        <f>IF(A328="","",'13_Ausgangsrechnungen'!E328)</f>
        <v/>
      </c>
      <c r="G328" s="15">
        <f>IF(A328="","",'13_Ausgangsrechnungen'!Q328)</f>
        <v/>
      </c>
      <c r="H328" s="15">
        <f>IF(A328="","",'13_Ausgangsrechnungen'!S328)</f>
        <v/>
      </c>
      <c r="I328" s="44">
        <f>IF(A328="","",'13_Ausgangsrechnungen'!J328)</f>
        <v/>
      </c>
      <c r="J328" s="45">
        <f>IF(A328="","",'13_Ausgangsrechnungen'!T328)</f>
        <v/>
      </c>
      <c r="L328" s="13">
        <f>IF('14_Eingangsrechnungen'!A328="","",IF('14_Eingangsrechnungen'!O328&gt;0.5,"Kreditor",""))</f>
        <v/>
      </c>
      <c r="M328" s="13">
        <f>IF(L328="","",'14_Eingangsrechnungen'!A328)</f>
        <v/>
      </c>
      <c r="N328" s="44">
        <f>IF(L328="","",'14_Eingangsrechnungen'!B328)</f>
        <v/>
      </c>
      <c r="O328" s="13">
        <f>IF(L328="","",'14_Eingangsrechnungen'!D328)</f>
        <v/>
      </c>
      <c r="P328" s="13">
        <f>IF(L328="","",'14_Eingangsrechnungen'!C328)</f>
        <v/>
      </c>
      <c r="Q328" s="13">
        <f>IF(L328="","",'14_Eingangsrechnungen'!E328)</f>
        <v/>
      </c>
      <c r="R328" s="15">
        <f>IF(L328="","",'14_Eingangsrechnungen'!M328)</f>
        <v/>
      </c>
      <c r="S328" s="15">
        <f>IF(L328="","",'14_Eingangsrechnungen'!O328)</f>
        <v/>
      </c>
      <c r="T328" s="44">
        <f>IF(L328="","",'14_Eingangsrechnungen'!H328)</f>
        <v/>
      </c>
      <c r="U328" s="45">
        <f>IF(L328="","",'14_Eingangsrechnungen'!P328)</f>
        <v/>
      </c>
    </row>
    <row r="329">
      <c r="A329" s="13">
        <f>IF('13_Ausgangsrechnungen'!A329="","",IF('13_Ausgangsrechnungen'!S329&gt;0.5,"Debitor",""))</f>
        <v/>
      </c>
      <c r="B329" s="13">
        <f>IF(A329="","",'13_Ausgangsrechnungen'!A329)</f>
        <v/>
      </c>
      <c r="C329" s="44">
        <f>IF(A329="","",'13_Ausgangsrechnungen'!B329)</f>
        <v/>
      </c>
      <c r="D329" s="13">
        <f>IF(A329="","",'13_Ausgangsrechnungen'!D329)</f>
        <v/>
      </c>
      <c r="E329" s="13">
        <f>IF(A329="","",'13_Ausgangsrechnungen'!C329)</f>
        <v/>
      </c>
      <c r="F329" s="13">
        <f>IF(A329="","",'13_Ausgangsrechnungen'!E329)</f>
        <v/>
      </c>
      <c r="G329" s="15">
        <f>IF(A329="","",'13_Ausgangsrechnungen'!Q329)</f>
        <v/>
      </c>
      <c r="H329" s="15">
        <f>IF(A329="","",'13_Ausgangsrechnungen'!S329)</f>
        <v/>
      </c>
      <c r="I329" s="44">
        <f>IF(A329="","",'13_Ausgangsrechnungen'!J329)</f>
        <v/>
      </c>
      <c r="J329" s="45">
        <f>IF(A329="","",'13_Ausgangsrechnungen'!T329)</f>
        <v/>
      </c>
      <c r="L329" s="13">
        <f>IF('14_Eingangsrechnungen'!A329="","",IF('14_Eingangsrechnungen'!O329&gt;0.5,"Kreditor",""))</f>
        <v/>
      </c>
      <c r="M329" s="13">
        <f>IF(L329="","",'14_Eingangsrechnungen'!A329)</f>
        <v/>
      </c>
      <c r="N329" s="44">
        <f>IF(L329="","",'14_Eingangsrechnungen'!B329)</f>
        <v/>
      </c>
      <c r="O329" s="13">
        <f>IF(L329="","",'14_Eingangsrechnungen'!D329)</f>
        <v/>
      </c>
      <c r="P329" s="13">
        <f>IF(L329="","",'14_Eingangsrechnungen'!C329)</f>
        <v/>
      </c>
      <c r="Q329" s="13">
        <f>IF(L329="","",'14_Eingangsrechnungen'!E329)</f>
        <v/>
      </c>
      <c r="R329" s="15">
        <f>IF(L329="","",'14_Eingangsrechnungen'!M329)</f>
        <v/>
      </c>
      <c r="S329" s="15">
        <f>IF(L329="","",'14_Eingangsrechnungen'!O329)</f>
        <v/>
      </c>
      <c r="T329" s="44">
        <f>IF(L329="","",'14_Eingangsrechnungen'!H329)</f>
        <v/>
      </c>
      <c r="U329" s="45">
        <f>IF(L329="","",'14_Eingangsrechnungen'!P329)</f>
        <v/>
      </c>
    </row>
    <row r="330">
      <c r="A330" s="13">
        <f>IF('13_Ausgangsrechnungen'!A330="","",IF('13_Ausgangsrechnungen'!S330&gt;0.5,"Debitor",""))</f>
        <v/>
      </c>
      <c r="B330" s="13">
        <f>IF(A330="","",'13_Ausgangsrechnungen'!A330)</f>
        <v/>
      </c>
      <c r="C330" s="44">
        <f>IF(A330="","",'13_Ausgangsrechnungen'!B330)</f>
        <v/>
      </c>
      <c r="D330" s="13">
        <f>IF(A330="","",'13_Ausgangsrechnungen'!D330)</f>
        <v/>
      </c>
      <c r="E330" s="13">
        <f>IF(A330="","",'13_Ausgangsrechnungen'!C330)</f>
        <v/>
      </c>
      <c r="F330" s="13">
        <f>IF(A330="","",'13_Ausgangsrechnungen'!E330)</f>
        <v/>
      </c>
      <c r="G330" s="15">
        <f>IF(A330="","",'13_Ausgangsrechnungen'!Q330)</f>
        <v/>
      </c>
      <c r="H330" s="15">
        <f>IF(A330="","",'13_Ausgangsrechnungen'!S330)</f>
        <v/>
      </c>
      <c r="I330" s="44">
        <f>IF(A330="","",'13_Ausgangsrechnungen'!J330)</f>
        <v/>
      </c>
      <c r="J330" s="45">
        <f>IF(A330="","",'13_Ausgangsrechnungen'!T330)</f>
        <v/>
      </c>
      <c r="L330" s="13">
        <f>IF('14_Eingangsrechnungen'!A330="","",IF('14_Eingangsrechnungen'!O330&gt;0.5,"Kreditor",""))</f>
        <v/>
      </c>
      <c r="M330" s="13">
        <f>IF(L330="","",'14_Eingangsrechnungen'!A330)</f>
        <v/>
      </c>
      <c r="N330" s="44">
        <f>IF(L330="","",'14_Eingangsrechnungen'!B330)</f>
        <v/>
      </c>
      <c r="O330" s="13">
        <f>IF(L330="","",'14_Eingangsrechnungen'!D330)</f>
        <v/>
      </c>
      <c r="P330" s="13">
        <f>IF(L330="","",'14_Eingangsrechnungen'!C330)</f>
        <v/>
      </c>
      <c r="Q330" s="13">
        <f>IF(L330="","",'14_Eingangsrechnungen'!E330)</f>
        <v/>
      </c>
      <c r="R330" s="15">
        <f>IF(L330="","",'14_Eingangsrechnungen'!M330)</f>
        <v/>
      </c>
      <c r="S330" s="15">
        <f>IF(L330="","",'14_Eingangsrechnungen'!O330)</f>
        <v/>
      </c>
      <c r="T330" s="44">
        <f>IF(L330="","",'14_Eingangsrechnungen'!H330)</f>
        <v/>
      </c>
      <c r="U330" s="45">
        <f>IF(L330="","",'14_Eingangsrechnungen'!P330)</f>
        <v/>
      </c>
    </row>
    <row r="331">
      <c r="A331" s="13">
        <f>IF('13_Ausgangsrechnungen'!A331="","",IF('13_Ausgangsrechnungen'!S331&gt;0.5,"Debitor",""))</f>
        <v/>
      </c>
      <c r="B331" s="13">
        <f>IF(A331="","",'13_Ausgangsrechnungen'!A331)</f>
        <v/>
      </c>
      <c r="C331" s="44">
        <f>IF(A331="","",'13_Ausgangsrechnungen'!B331)</f>
        <v/>
      </c>
      <c r="D331" s="13">
        <f>IF(A331="","",'13_Ausgangsrechnungen'!D331)</f>
        <v/>
      </c>
      <c r="E331" s="13">
        <f>IF(A331="","",'13_Ausgangsrechnungen'!C331)</f>
        <v/>
      </c>
      <c r="F331" s="13">
        <f>IF(A331="","",'13_Ausgangsrechnungen'!E331)</f>
        <v/>
      </c>
      <c r="G331" s="15">
        <f>IF(A331="","",'13_Ausgangsrechnungen'!Q331)</f>
        <v/>
      </c>
      <c r="H331" s="15">
        <f>IF(A331="","",'13_Ausgangsrechnungen'!S331)</f>
        <v/>
      </c>
      <c r="I331" s="44">
        <f>IF(A331="","",'13_Ausgangsrechnungen'!J331)</f>
        <v/>
      </c>
      <c r="J331" s="45">
        <f>IF(A331="","",'13_Ausgangsrechnungen'!T331)</f>
        <v/>
      </c>
      <c r="L331" s="13">
        <f>IF('14_Eingangsrechnungen'!A331="","",IF('14_Eingangsrechnungen'!O331&gt;0.5,"Kreditor",""))</f>
        <v/>
      </c>
      <c r="M331" s="13">
        <f>IF(L331="","",'14_Eingangsrechnungen'!A331)</f>
        <v/>
      </c>
      <c r="N331" s="44">
        <f>IF(L331="","",'14_Eingangsrechnungen'!B331)</f>
        <v/>
      </c>
      <c r="O331" s="13">
        <f>IF(L331="","",'14_Eingangsrechnungen'!D331)</f>
        <v/>
      </c>
      <c r="P331" s="13">
        <f>IF(L331="","",'14_Eingangsrechnungen'!C331)</f>
        <v/>
      </c>
      <c r="Q331" s="13">
        <f>IF(L331="","",'14_Eingangsrechnungen'!E331)</f>
        <v/>
      </c>
      <c r="R331" s="15">
        <f>IF(L331="","",'14_Eingangsrechnungen'!M331)</f>
        <v/>
      </c>
      <c r="S331" s="15">
        <f>IF(L331="","",'14_Eingangsrechnungen'!O331)</f>
        <v/>
      </c>
      <c r="T331" s="44">
        <f>IF(L331="","",'14_Eingangsrechnungen'!H331)</f>
        <v/>
      </c>
      <c r="U331" s="45">
        <f>IF(L331="","",'14_Eingangsrechnungen'!P331)</f>
        <v/>
      </c>
    </row>
    <row r="332">
      <c r="A332" s="13">
        <f>IF('13_Ausgangsrechnungen'!A332="","",IF('13_Ausgangsrechnungen'!S332&gt;0.5,"Debitor",""))</f>
        <v/>
      </c>
      <c r="B332" s="13">
        <f>IF(A332="","",'13_Ausgangsrechnungen'!A332)</f>
        <v/>
      </c>
      <c r="C332" s="44">
        <f>IF(A332="","",'13_Ausgangsrechnungen'!B332)</f>
        <v/>
      </c>
      <c r="D332" s="13">
        <f>IF(A332="","",'13_Ausgangsrechnungen'!D332)</f>
        <v/>
      </c>
      <c r="E332" s="13">
        <f>IF(A332="","",'13_Ausgangsrechnungen'!C332)</f>
        <v/>
      </c>
      <c r="F332" s="13">
        <f>IF(A332="","",'13_Ausgangsrechnungen'!E332)</f>
        <v/>
      </c>
      <c r="G332" s="15">
        <f>IF(A332="","",'13_Ausgangsrechnungen'!Q332)</f>
        <v/>
      </c>
      <c r="H332" s="15">
        <f>IF(A332="","",'13_Ausgangsrechnungen'!S332)</f>
        <v/>
      </c>
      <c r="I332" s="44">
        <f>IF(A332="","",'13_Ausgangsrechnungen'!J332)</f>
        <v/>
      </c>
      <c r="J332" s="45">
        <f>IF(A332="","",'13_Ausgangsrechnungen'!T332)</f>
        <v/>
      </c>
      <c r="L332" s="13">
        <f>IF('14_Eingangsrechnungen'!A332="","",IF('14_Eingangsrechnungen'!O332&gt;0.5,"Kreditor",""))</f>
        <v/>
      </c>
      <c r="M332" s="13">
        <f>IF(L332="","",'14_Eingangsrechnungen'!A332)</f>
        <v/>
      </c>
      <c r="N332" s="44">
        <f>IF(L332="","",'14_Eingangsrechnungen'!B332)</f>
        <v/>
      </c>
      <c r="O332" s="13">
        <f>IF(L332="","",'14_Eingangsrechnungen'!D332)</f>
        <v/>
      </c>
      <c r="P332" s="13">
        <f>IF(L332="","",'14_Eingangsrechnungen'!C332)</f>
        <v/>
      </c>
      <c r="Q332" s="13">
        <f>IF(L332="","",'14_Eingangsrechnungen'!E332)</f>
        <v/>
      </c>
      <c r="R332" s="15">
        <f>IF(L332="","",'14_Eingangsrechnungen'!M332)</f>
        <v/>
      </c>
      <c r="S332" s="15">
        <f>IF(L332="","",'14_Eingangsrechnungen'!O332)</f>
        <v/>
      </c>
      <c r="T332" s="44">
        <f>IF(L332="","",'14_Eingangsrechnungen'!H332)</f>
        <v/>
      </c>
      <c r="U332" s="45">
        <f>IF(L332="","",'14_Eingangsrechnungen'!P332)</f>
        <v/>
      </c>
    </row>
    <row r="333">
      <c r="A333" s="13">
        <f>IF('13_Ausgangsrechnungen'!A333="","",IF('13_Ausgangsrechnungen'!S333&gt;0.5,"Debitor",""))</f>
        <v/>
      </c>
      <c r="B333" s="13">
        <f>IF(A333="","",'13_Ausgangsrechnungen'!A333)</f>
        <v/>
      </c>
      <c r="C333" s="44">
        <f>IF(A333="","",'13_Ausgangsrechnungen'!B333)</f>
        <v/>
      </c>
      <c r="D333" s="13">
        <f>IF(A333="","",'13_Ausgangsrechnungen'!D333)</f>
        <v/>
      </c>
      <c r="E333" s="13">
        <f>IF(A333="","",'13_Ausgangsrechnungen'!C333)</f>
        <v/>
      </c>
      <c r="F333" s="13">
        <f>IF(A333="","",'13_Ausgangsrechnungen'!E333)</f>
        <v/>
      </c>
      <c r="G333" s="15">
        <f>IF(A333="","",'13_Ausgangsrechnungen'!Q333)</f>
        <v/>
      </c>
      <c r="H333" s="15">
        <f>IF(A333="","",'13_Ausgangsrechnungen'!S333)</f>
        <v/>
      </c>
      <c r="I333" s="44">
        <f>IF(A333="","",'13_Ausgangsrechnungen'!J333)</f>
        <v/>
      </c>
      <c r="J333" s="45">
        <f>IF(A333="","",'13_Ausgangsrechnungen'!T333)</f>
        <v/>
      </c>
      <c r="L333" s="13">
        <f>IF('14_Eingangsrechnungen'!A333="","",IF('14_Eingangsrechnungen'!O333&gt;0.5,"Kreditor",""))</f>
        <v/>
      </c>
      <c r="M333" s="13">
        <f>IF(L333="","",'14_Eingangsrechnungen'!A333)</f>
        <v/>
      </c>
      <c r="N333" s="44">
        <f>IF(L333="","",'14_Eingangsrechnungen'!B333)</f>
        <v/>
      </c>
      <c r="O333" s="13">
        <f>IF(L333="","",'14_Eingangsrechnungen'!D333)</f>
        <v/>
      </c>
      <c r="P333" s="13">
        <f>IF(L333="","",'14_Eingangsrechnungen'!C333)</f>
        <v/>
      </c>
      <c r="Q333" s="13">
        <f>IF(L333="","",'14_Eingangsrechnungen'!E333)</f>
        <v/>
      </c>
      <c r="R333" s="15">
        <f>IF(L333="","",'14_Eingangsrechnungen'!M333)</f>
        <v/>
      </c>
      <c r="S333" s="15">
        <f>IF(L333="","",'14_Eingangsrechnungen'!O333)</f>
        <v/>
      </c>
      <c r="T333" s="44">
        <f>IF(L333="","",'14_Eingangsrechnungen'!H333)</f>
        <v/>
      </c>
      <c r="U333" s="45">
        <f>IF(L333="","",'14_Eingangsrechnungen'!P333)</f>
        <v/>
      </c>
    </row>
    <row r="334">
      <c r="A334" s="13">
        <f>IF('13_Ausgangsrechnungen'!A334="","",IF('13_Ausgangsrechnungen'!S334&gt;0.5,"Debitor",""))</f>
        <v/>
      </c>
      <c r="B334" s="13">
        <f>IF(A334="","",'13_Ausgangsrechnungen'!A334)</f>
        <v/>
      </c>
      <c r="C334" s="44">
        <f>IF(A334="","",'13_Ausgangsrechnungen'!B334)</f>
        <v/>
      </c>
      <c r="D334" s="13">
        <f>IF(A334="","",'13_Ausgangsrechnungen'!D334)</f>
        <v/>
      </c>
      <c r="E334" s="13">
        <f>IF(A334="","",'13_Ausgangsrechnungen'!C334)</f>
        <v/>
      </c>
      <c r="F334" s="13">
        <f>IF(A334="","",'13_Ausgangsrechnungen'!E334)</f>
        <v/>
      </c>
      <c r="G334" s="15">
        <f>IF(A334="","",'13_Ausgangsrechnungen'!Q334)</f>
        <v/>
      </c>
      <c r="H334" s="15">
        <f>IF(A334="","",'13_Ausgangsrechnungen'!S334)</f>
        <v/>
      </c>
      <c r="I334" s="44">
        <f>IF(A334="","",'13_Ausgangsrechnungen'!J334)</f>
        <v/>
      </c>
      <c r="J334" s="45">
        <f>IF(A334="","",'13_Ausgangsrechnungen'!T334)</f>
        <v/>
      </c>
      <c r="L334" s="13">
        <f>IF('14_Eingangsrechnungen'!A334="","",IF('14_Eingangsrechnungen'!O334&gt;0.5,"Kreditor",""))</f>
        <v/>
      </c>
      <c r="M334" s="13">
        <f>IF(L334="","",'14_Eingangsrechnungen'!A334)</f>
        <v/>
      </c>
      <c r="N334" s="44">
        <f>IF(L334="","",'14_Eingangsrechnungen'!B334)</f>
        <v/>
      </c>
      <c r="O334" s="13">
        <f>IF(L334="","",'14_Eingangsrechnungen'!D334)</f>
        <v/>
      </c>
      <c r="P334" s="13">
        <f>IF(L334="","",'14_Eingangsrechnungen'!C334)</f>
        <v/>
      </c>
      <c r="Q334" s="13">
        <f>IF(L334="","",'14_Eingangsrechnungen'!E334)</f>
        <v/>
      </c>
      <c r="R334" s="15">
        <f>IF(L334="","",'14_Eingangsrechnungen'!M334)</f>
        <v/>
      </c>
      <c r="S334" s="15">
        <f>IF(L334="","",'14_Eingangsrechnungen'!O334)</f>
        <v/>
      </c>
      <c r="T334" s="44">
        <f>IF(L334="","",'14_Eingangsrechnungen'!H334)</f>
        <v/>
      </c>
      <c r="U334" s="45">
        <f>IF(L334="","",'14_Eingangsrechnungen'!P334)</f>
        <v/>
      </c>
    </row>
    <row r="335">
      <c r="A335" s="13">
        <f>IF('13_Ausgangsrechnungen'!A335="","",IF('13_Ausgangsrechnungen'!S335&gt;0.5,"Debitor",""))</f>
        <v/>
      </c>
      <c r="B335" s="13">
        <f>IF(A335="","",'13_Ausgangsrechnungen'!A335)</f>
        <v/>
      </c>
      <c r="C335" s="44">
        <f>IF(A335="","",'13_Ausgangsrechnungen'!B335)</f>
        <v/>
      </c>
      <c r="D335" s="13">
        <f>IF(A335="","",'13_Ausgangsrechnungen'!D335)</f>
        <v/>
      </c>
      <c r="E335" s="13">
        <f>IF(A335="","",'13_Ausgangsrechnungen'!C335)</f>
        <v/>
      </c>
      <c r="F335" s="13">
        <f>IF(A335="","",'13_Ausgangsrechnungen'!E335)</f>
        <v/>
      </c>
      <c r="G335" s="15">
        <f>IF(A335="","",'13_Ausgangsrechnungen'!Q335)</f>
        <v/>
      </c>
      <c r="H335" s="15">
        <f>IF(A335="","",'13_Ausgangsrechnungen'!S335)</f>
        <v/>
      </c>
      <c r="I335" s="44">
        <f>IF(A335="","",'13_Ausgangsrechnungen'!J335)</f>
        <v/>
      </c>
      <c r="J335" s="45">
        <f>IF(A335="","",'13_Ausgangsrechnungen'!T335)</f>
        <v/>
      </c>
      <c r="L335" s="13">
        <f>IF('14_Eingangsrechnungen'!A335="","",IF('14_Eingangsrechnungen'!O335&gt;0.5,"Kreditor",""))</f>
        <v/>
      </c>
      <c r="M335" s="13">
        <f>IF(L335="","",'14_Eingangsrechnungen'!A335)</f>
        <v/>
      </c>
      <c r="N335" s="44">
        <f>IF(L335="","",'14_Eingangsrechnungen'!B335)</f>
        <v/>
      </c>
      <c r="O335" s="13">
        <f>IF(L335="","",'14_Eingangsrechnungen'!D335)</f>
        <v/>
      </c>
      <c r="P335" s="13">
        <f>IF(L335="","",'14_Eingangsrechnungen'!C335)</f>
        <v/>
      </c>
      <c r="Q335" s="13">
        <f>IF(L335="","",'14_Eingangsrechnungen'!E335)</f>
        <v/>
      </c>
      <c r="R335" s="15">
        <f>IF(L335="","",'14_Eingangsrechnungen'!M335)</f>
        <v/>
      </c>
      <c r="S335" s="15">
        <f>IF(L335="","",'14_Eingangsrechnungen'!O335)</f>
        <v/>
      </c>
      <c r="T335" s="44">
        <f>IF(L335="","",'14_Eingangsrechnungen'!H335)</f>
        <v/>
      </c>
      <c r="U335" s="45">
        <f>IF(L335="","",'14_Eingangsrechnungen'!P335)</f>
        <v/>
      </c>
    </row>
    <row r="336">
      <c r="A336" s="13">
        <f>IF('13_Ausgangsrechnungen'!A336="","",IF('13_Ausgangsrechnungen'!S336&gt;0.5,"Debitor",""))</f>
        <v/>
      </c>
      <c r="B336" s="13">
        <f>IF(A336="","",'13_Ausgangsrechnungen'!A336)</f>
        <v/>
      </c>
      <c r="C336" s="44">
        <f>IF(A336="","",'13_Ausgangsrechnungen'!B336)</f>
        <v/>
      </c>
      <c r="D336" s="13">
        <f>IF(A336="","",'13_Ausgangsrechnungen'!D336)</f>
        <v/>
      </c>
      <c r="E336" s="13">
        <f>IF(A336="","",'13_Ausgangsrechnungen'!C336)</f>
        <v/>
      </c>
      <c r="F336" s="13">
        <f>IF(A336="","",'13_Ausgangsrechnungen'!E336)</f>
        <v/>
      </c>
      <c r="G336" s="15">
        <f>IF(A336="","",'13_Ausgangsrechnungen'!Q336)</f>
        <v/>
      </c>
      <c r="H336" s="15">
        <f>IF(A336="","",'13_Ausgangsrechnungen'!S336)</f>
        <v/>
      </c>
      <c r="I336" s="44">
        <f>IF(A336="","",'13_Ausgangsrechnungen'!J336)</f>
        <v/>
      </c>
      <c r="J336" s="45">
        <f>IF(A336="","",'13_Ausgangsrechnungen'!T336)</f>
        <v/>
      </c>
      <c r="L336" s="13">
        <f>IF('14_Eingangsrechnungen'!A336="","",IF('14_Eingangsrechnungen'!O336&gt;0.5,"Kreditor",""))</f>
        <v/>
      </c>
      <c r="M336" s="13">
        <f>IF(L336="","",'14_Eingangsrechnungen'!A336)</f>
        <v/>
      </c>
      <c r="N336" s="44">
        <f>IF(L336="","",'14_Eingangsrechnungen'!B336)</f>
        <v/>
      </c>
      <c r="O336" s="13">
        <f>IF(L336="","",'14_Eingangsrechnungen'!D336)</f>
        <v/>
      </c>
      <c r="P336" s="13">
        <f>IF(L336="","",'14_Eingangsrechnungen'!C336)</f>
        <v/>
      </c>
      <c r="Q336" s="13">
        <f>IF(L336="","",'14_Eingangsrechnungen'!E336)</f>
        <v/>
      </c>
      <c r="R336" s="15">
        <f>IF(L336="","",'14_Eingangsrechnungen'!M336)</f>
        <v/>
      </c>
      <c r="S336" s="15">
        <f>IF(L336="","",'14_Eingangsrechnungen'!O336)</f>
        <v/>
      </c>
      <c r="T336" s="44">
        <f>IF(L336="","",'14_Eingangsrechnungen'!H336)</f>
        <v/>
      </c>
      <c r="U336" s="45">
        <f>IF(L336="","",'14_Eingangsrechnungen'!P336)</f>
        <v/>
      </c>
    </row>
    <row r="337">
      <c r="A337" s="13">
        <f>IF('13_Ausgangsrechnungen'!A337="","",IF('13_Ausgangsrechnungen'!S337&gt;0.5,"Debitor",""))</f>
        <v/>
      </c>
      <c r="B337" s="13">
        <f>IF(A337="","",'13_Ausgangsrechnungen'!A337)</f>
        <v/>
      </c>
      <c r="C337" s="44">
        <f>IF(A337="","",'13_Ausgangsrechnungen'!B337)</f>
        <v/>
      </c>
      <c r="D337" s="13">
        <f>IF(A337="","",'13_Ausgangsrechnungen'!D337)</f>
        <v/>
      </c>
      <c r="E337" s="13">
        <f>IF(A337="","",'13_Ausgangsrechnungen'!C337)</f>
        <v/>
      </c>
      <c r="F337" s="13">
        <f>IF(A337="","",'13_Ausgangsrechnungen'!E337)</f>
        <v/>
      </c>
      <c r="G337" s="15">
        <f>IF(A337="","",'13_Ausgangsrechnungen'!Q337)</f>
        <v/>
      </c>
      <c r="H337" s="15">
        <f>IF(A337="","",'13_Ausgangsrechnungen'!S337)</f>
        <v/>
      </c>
      <c r="I337" s="44">
        <f>IF(A337="","",'13_Ausgangsrechnungen'!J337)</f>
        <v/>
      </c>
      <c r="J337" s="45">
        <f>IF(A337="","",'13_Ausgangsrechnungen'!T337)</f>
        <v/>
      </c>
      <c r="L337" s="13">
        <f>IF('14_Eingangsrechnungen'!A337="","",IF('14_Eingangsrechnungen'!O337&gt;0.5,"Kreditor",""))</f>
        <v/>
      </c>
      <c r="M337" s="13">
        <f>IF(L337="","",'14_Eingangsrechnungen'!A337)</f>
        <v/>
      </c>
      <c r="N337" s="44">
        <f>IF(L337="","",'14_Eingangsrechnungen'!B337)</f>
        <v/>
      </c>
      <c r="O337" s="13">
        <f>IF(L337="","",'14_Eingangsrechnungen'!D337)</f>
        <v/>
      </c>
      <c r="P337" s="13">
        <f>IF(L337="","",'14_Eingangsrechnungen'!C337)</f>
        <v/>
      </c>
      <c r="Q337" s="13">
        <f>IF(L337="","",'14_Eingangsrechnungen'!E337)</f>
        <v/>
      </c>
      <c r="R337" s="15">
        <f>IF(L337="","",'14_Eingangsrechnungen'!M337)</f>
        <v/>
      </c>
      <c r="S337" s="15">
        <f>IF(L337="","",'14_Eingangsrechnungen'!O337)</f>
        <v/>
      </c>
      <c r="T337" s="44">
        <f>IF(L337="","",'14_Eingangsrechnungen'!H337)</f>
        <v/>
      </c>
      <c r="U337" s="45">
        <f>IF(L337="","",'14_Eingangsrechnungen'!P337)</f>
        <v/>
      </c>
    </row>
    <row r="338">
      <c r="A338" s="13">
        <f>IF('13_Ausgangsrechnungen'!A338="","",IF('13_Ausgangsrechnungen'!S338&gt;0.5,"Debitor",""))</f>
        <v/>
      </c>
      <c r="B338" s="13">
        <f>IF(A338="","",'13_Ausgangsrechnungen'!A338)</f>
        <v/>
      </c>
      <c r="C338" s="44">
        <f>IF(A338="","",'13_Ausgangsrechnungen'!B338)</f>
        <v/>
      </c>
      <c r="D338" s="13">
        <f>IF(A338="","",'13_Ausgangsrechnungen'!D338)</f>
        <v/>
      </c>
      <c r="E338" s="13">
        <f>IF(A338="","",'13_Ausgangsrechnungen'!C338)</f>
        <v/>
      </c>
      <c r="F338" s="13">
        <f>IF(A338="","",'13_Ausgangsrechnungen'!E338)</f>
        <v/>
      </c>
      <c r="G338" s="15">
        <f>IF(A338="","",'13_Ausgangsrechnungen'!Q338)</f>
        <v/>
      </c>
      <c r="H338" s="15">
        <f>IF(A338="","",'13_Ausgangsrechnungen'!S338)</f>
        <v/>
      </c>
      <c r="I338" s="44">
        <f>IF(A338="","",'13_Ausgangsrechnungen'!J338)</f>
        <v/>
      </c>
      <c r="J338" s="45">
        <f>IF(A338="","",'13_Ausgangsrechnungen'!T338)</f>
        <v/>
      </c>
      <c r="L338" s="13">
        <f>IF('14_Eingangsrechnungen'!A338="","",IF('14_Eingangsrechnungen'!O338&gt;0.5,"Kreditor",""))</f>
        <v/>
      </c>
      <c r="M338" s="13">
        <f>IF(L338="","",'14_Eingangsrechnungen'!A338)</f>
        <v/>
      </c>
      <c r="N338" s="44">
        <f>IF(L338="","",'14_Eingangsrechnungen'!B338)</f>
        <v/>
      </c>
      <c r="O338" s="13">
        <f>IF(L338="","",'14_Eingangsrechnungen'!D338)</f>
        <v/>
      </c>
      <c r="P338" s="13">
        <f>IF(L338="","",'14_Eingangsrechnungen'!C338)</f>
        <v/>
      </c>
      <c r="Q338" s="13">
        <f>IF(L338="","",'14_Eingangsrechnungen'!E338)</f>
        <v/>
      </c>
      <c r="R338" s="15">
        <f>IF(L338="","",'14_Eingangsrechnungen'!M338)</f>
        <v/>
      </c>
      <c r="S338" s="15">
        <f>IF(L338="","",'14_Eingangsrechnungen'!O338)</f>
        <v/>
      </c>
      <c r="T338" s="44">
        <f>IF(L338="","",'14_Eingangsrechnungen'!H338)</f>
        <v/>
      </c>
      <c r="U338" s="45">
        <f>IF(L338="","",'14_Eingangsrechnungen'!P338)</f>
        <v/>
      </c>
    </row>
    <row r="339">
      <c r="A339" s="13">
        <f>IF('13_Ausgangsrechnungen'!A339="","",IF('13_Ausgangsrechnungen'!S339&gt;0.5,"Debitor",""))</f>
        <v/>
      </c>
      <c r="B339" s="13">
        <f>IF(A339="","",'13_Ausgangsrechnungen'!A339)</f>
        <v/>
      </c>
      <c r="C339" s="44">
        <f>IF(A339="","",'13_Ausgangsrechnungen'!B339)</f>
        <v/>
      </c>
      <c r="D339" s="13">
        <f>IF(A339="","",'13_Ausgangsrechnungen'!D339)</f>
        <v/>
      </c>
      <c r="E339" s="13">
        <f>IF(A339="","",'13_Ausgangsrechnungen'!C339)</f>
        <v/>
      </c>
      <c r="F339" s="13">
        <f>IF(A339="","",'13_Ausgangsrechnungen'!E339)</f>
        <v/>
      </c>
      <c r="G339" s="15">
        <f>IF(A339="","",'13_Ausgangsrechnungen'!Q339)</f>
        <v/>
      </c>
      <c r="H339" s="15">
        <f>IF(A339="","",'13_Ausgangsrechnungen'!S339)</f>
        <v/>
      </c>
      <c r="I339" s="44">
        <f>IF(A339="","",'13_Ausgangsrechnungen'!J339)</f>
        <v/>
      </c>
      <c r="J339" s="45">
        <f>IF(A339="","",'13_Ausgangsrechnungen'!T339)</f>
        <v/>
      </c>
      <c r="L339" s="13">
        <f>IF('14_Eingangsrechnungen'!A339="","",IF('14_Eingangsrechnungen'!O339&gt;0.5,"Kreditor",""))</f>
        <v/>
      </c>
      <c r="M339" s="13">
        <f>IF(L339="","",'14_Eingangsrechnungen'!A339)</f>
        <v/>
      </c>
      <c r="N339" s="44">
        <f>IF(L339="","",'14_Eingangsrechnungen'!B339)</f>
        <v/>
      </c>
      <c r="O339" s="13">
        <f>IF(L339="","",'14_Eingangsrechnungen'!D339)</f>
        <v/>
      </c>
      <c r="P339" s="13">
        <f>IF(L339="","",'14_Eingangsrechnungen'!C339)</f>
        <v/>
      </c>
      <c r="Q339" s="13">
        <f>IF(L339="","",'14_Eingangsrechnungen'!E339)</f>
        <v/>
      </c>
      <c r="R339" s="15">
        <f>IF(L339="","",'14_Eingangsrechnungen'!M339)</f>
        <v/>
      </c>
      <c r="S339" s="15">
        <f>IF(L339="","",'14_Eingangsrechnungen'!O339)</f>
        <v/>
      </c>
      <c r="T339" s="44">
        <f>IF(L339="","",'14_Eingangsrechnungen'!H339)</f>
        <v/>
      </c>
      <c r="U339" s="45">
        <f>IF(L339="","",'14_Eingangsrechnungen'!P339)</f>
        <v/>
      </c>
    </row>
    <row r="340">
      <c r="A340" s="13">
        <f>IF('13_Ausgangsrechnungen'!A340="","",IF('13_Ausgangsrechnungen'!S340&gt;0.5,"Debitor",""))</f>
        <v/>
      </c>
      <c r="B340" s="13">
        <f>IF(A340="","",'13_Ausgangsrechnungen'!A340)</f>
        <v/>
      </c>
      <c r="C340" s="44">
        <f>IF(A340="","",'13_Ausgangsrechnungen'!B340)</f>
        <v/>
      </c>
      <c r="D340" s="13">
        <f>IF(A340="","",'13_Ausgangsrechnungen'!D340)</f>
        <v/>
      </c>
      <c r="E340" s="13">
        <f>IF(A340="","",'13_Ausgangsrechnungen'!C340)</f>
        <v/>
      </c>
      <c r="F340" s="13">
        <f>IF(A340="","",'13_Ausgangsrechnungen'!E340)</f>
        <v/>
      </c>
      <c r="G340" s="15">
        <f>IF(A340="","",'13_Ausgangsrechnungen'!Q340)</f>
        <v/>
      </c>
      <c r="H340" s="15">
        <f>IF(A340="","",'13_Ausgangsrechnungen'!S340)</f>
        <v/>
      </c>
      <c r="I340" s="44">
        <f>IF(A340="","",'13_Ausgangsrechnungen'!J340)</f>
        <v/>
      </c>
      <c r="J340" s="45">
        <f>IF(A340="","",'13_Ausgangsrechnungen'!T340)</f>
        <v/>
      </c>
      <c r="L340" s="13">
        <f>IF('14_Eingangsrechnungen'!A340="","",IF('14_Eingangsrechnungen'!O340&gt;0.5,"Kreditor",""))</f>
        <v/>
      </c>
      <c r="M340" s="13">
        <f>IF(L340="","",'14_Eingangsrechnungen'!A340)</f>
        <v/>
      </c>
      <c r="N340" s="44">
        <f>IF(L340="","",'14_Eingangsrechnungen'!B340)</f>
        <v/>
      </c>
      <c r="O340" s="13">
        <f>IF(L340="","",'14_Eingangsrechnungen'!D340)</f>
        <v/>
      </c>
      <c r="P340" s="13">
        <f>IF(L340="","",'14_Eingangsrechnungen'!C340)</f>
        <v/>
      </c>
      <c r="Q340" s="13">
        <f>IF(L340="","",'14_Eingangsrechnungen'!E340)</f>
        <v/>
      </c>
      <c r="R340" s="15">
        <f>IF(L340="","",'14_Eingangsrechnungen'!M340)</f>
        <v/>
      </c>
      <c r="S340" s="15">
        <f>IF(L340="","",'14_Eingangsrechnungen'!O340)</f>
        <v/>
      </c>
      <c r="T340" s="44">
        <f>IF(L340="","",'14_Eingangsrechnungen'!H340)</f>
        <v/>
      </c>
      <c r="U340" s="45">
        <f>IF(L340="","",'14_Eingangsrechnungen'!P340)</f>
        <v/>
      </c>
    </row>
    <row r="341">
      <c r="A341" s="13">
        <f>IF('13_Ausgangsrechnungen'!A341="","",IF('13_Ausgangsrechnungen'!S341&gt;0.5,"Debitor",""))</f>
        <v/>
      </c>
      <c r="B341" s="13">
        <f>IF(A341="","",'13_Ausgangsrechnungen'!A341)</f>
        <v/>
      </c>
      <c r="C341" s="44">
        <f>IF(A341="","",'13_Ausgangsrechnungen'!B341)</f>
        <v/>
      </c>
      <c r="D341" s="13">
        <f>IF(A341="","",'13_Ausgangsrechnungen'!D341)</f>
        <v/>
      </c>
      <c r="E341" s="13">
        <f>IF(A341="","",'13_Ausgangsrechnungen'!C341)</f>
        <v/>
      </c>
      <c r="F341" s="13">
        <f>IF(A341="","",'13_Ausgangsrechnungen'!E341)</f>
        <v/>
      </c>
      <c r="G341" s="15">
        <f>IF(A341="","",'13_Ausgangsrechnungen'!Q341)</f>
        <v/>
      </c>
      <c r="H341" s="15">
        <f>IF(A341="","",'13_Ausgangsrechnungen'!S341)</f>
        <v/>
      </c>
      <c r="I341" s="44">
        <f>IF(A341="","",'13_Ausgangsrechnungen'!J341)</f>
        <v/>
      </c>
      <c r="J341" s="45">
        <f>IF(A341="","",'13_Ausgangsrechnungen'!T341)</f>
        <v/>
      </c>
      <c r="L341" s="13">
        <f>IF('14_Eingangsrechnungen'!A341="","",IF('14_Eingangsrechnungen'!O341&gt;0.5,"Kreditor",""))</f>
        <v/>
      </c>
      <c r="M341" s="13">
        <f>IF(L341="","",'14_Eingangsrechnungen'!A341)</f>
        <v/>
      </c>
      <c r="N341" s="44">
        <f>IF(L341="","",'14_Eingangsrechnungen'!B341)</f>
        <v/>
      </c>
      <c r="O341" s="13">
        <f>IF(L341="","",'14_Eingangsrechnungen'!D341)</f>
        <v/>
      </c>
      <c r="P341" s="13">
        <f>IF(L341="","",'14_Eingangsrechnungen'!C341)</f>
        <v/>
      </c>
      <c r="Q341" s="13">
        <f>IF(L341="","",'14_Eingangsrechnungen'!E341)</f>
        <v/>
      </c>
      <c r="R341" s="15">
        <f>IF(L341="","",'14_Eingangsrechnungen'!M341)</f>
        <v/>
      </c>
      <c r="S341" s="15">
        <f>IF(L341="","",'14_Eingangsrechnungen'!O341)</f>
        <v/>
      </c>
      <c r="T341" s="44">
        <f>IF(L341="","",'14_Eingangsrechnungen'!H341)</f>
        <v/>
      </c>
      <c r="U341" s="45">
        <f>IF(L341="","",'14_Eingangsrechnungen'!P341)</f>
        <v/>
      </c>
    </row>
    <row r="342">
      <c r="A342" s="13">
        <f>IF('13_Ausgangsrechnungen'!A342="","",IF('13_Ausgangsrechnungen'!S342&gt;0.5,"Debitor",""))</f>
        <v/>
      </c>
      <c r="B342" s="13">
        <f>IF(A342="","",'13_Ausgangsrechnungen'!A342)</f>
        <v/>
      </c>
      <c r="C342" s="44">
        <f>IF(A342="","",'13_Ausgangsrechnungen'!B342)</f>
        <v/>
      </c>
      <c r="D342" s="13">
        <f>IF(A342="","",'13_Ausgangsrechnungen'!D342)</f>
        <v/>
      </c>
      <c r="E342" s="13">
        <f>IF(A342="","",'13_Ausgangsrechnungen'!C342)</f>
        <v/>
      </c>
      <c r="F342" s="13">
        <f>IF(A342="","",'13_Ausgangsrechnungen'!E342)</f>
        <v/>
      </c>
      <c r="G342" s="15">
        <f>IF(A342="","",'13_Ausgangsrechnungen'!Q342)</f>
        <v/>
      </c>
      <c r="H342" s="15">
        <f>IF(A342="","",'13_Ausgangsrechnungen'!S342)</f>
        <v/>
      </c>
      <c r="I342" s="44">
        <f>IF(A342="","",'13_Ausgangsrechnungen'!J342)</f>
        <v/>
      </c>
      <c r="J342" s="45">
        <f>IF(A342="","",'13_Ausgangsrechnungen'!T342)</f>
        <v/>
      </c>
      <c r="L342" s="13">
        <f>IF('14_Eingangsrechnungen'!A342="","",IF('14_Eingangsrechnungen'!O342&gt;0.5,"Kreditor",""))</f>
        <v/>
      </c>
      <c r="M342" s="13">
        <f>IF(L342="","",'14_Eingangsrechnungen'!A342)</f>
        <v/>
      </c>
      <c r="N342" s="44">
        <f>IF(L342="","",'14_Eingangsrechnungen'!B342)</f>
        <v/>
      </c>
      <c r="O342" s="13">
        <f>IF(L342="","",'14_Eingangsrechnungen'!D342)</f>
        <v/>
      </c>
      <c r="P342" s="13">
        <f>IF(L342="","",'14_Eingangsrechnungen'!C342)</f>
        <v/>
      </c>
      <c r="Q342" s="13">
        <f>IF(L342="","",'14_Eingangsrechnungen'!E342)</f>
        <v/>
      </c>
      <c r="R342" s="15">
        <f>IF(L342="","",'14_Eingangsrechnungen'!M342)</f>
        <v/>
      </c>
      <c r="S342" s="15">
        <f>IF(L342="","",'14_Eingangsrechnungen'!O342)</f>
        <v/>
      </c>
      <c r="T342" s="44">
        <f>IF(L342="","",'14_Eingangsrechnungen'!H342)</f>
        <v/>
      </c>
      <c r="U342" s="45">
        <f>IF(L342="","",'14_Eingangsrechnungen'!P342)</f>
        <v/>
      </c>
    </row>
    <row r="343">
      <c r="A343" s="13">
        <f>IF('13_Ausgangsrechnungen'!A343="","",IF('13_Ausgangsrechnungen'!S343&gt;0.5,"Debitor",""))</f>
        <v/>
      </c>
      <c r="B343" s="13">
        <f>IF(A343="","",'13_Ausgangsrechnungen'!A343)</f>
        <v/>
      </c>
      <c r="C343" s="44">
        <f>IF(A343="","",'13_Ausgangsrechnungen'!B343)</f>
        <v/>
      </c>
      <c r="D343" s="13">
        <f>IF(A343="","",'13_Ausgangsrechnungen'!D343)</f>
        <v/>
      </c>
      <c r="E343" s="13">
        <f>IF(A343="","",'13_Ausgangsrechnungen'!C343)</f>
        <v/>
      </c>
      <c r="F343" s="13">
        <f>IF(A343="","",'13_Ausgangsrechnungen'!E343)</f>
        <v/>
      </c>
      <c r="G343" s="15">
        <f>IF(A343="","",'13_Ausgangsrechnungen'!Q343)</f>
        <v/>
      </c>
      <c r="H343" s="15">
        <f>IF(A343="","",'13_Ausgangsrechnungen'!S343)</f>
        <v/>
      </c>
      <c r="I343" s="44">
        <f>IF(A343="","",'13_Ausgangsrechnungen'!J343)</f>
        <v/>
      </c>
      <c r="J343" s="45">
        <f>IF(A343="","",'13_Ausgangsrechnungen'!T343)</f>
        <v/>
      </c>
      <c r="L343" s="13">
        <f>IF('14_Eingangsrechnungen'!A343="","",IF('14_Eingangsrechnungen'!O343&gt;0.5,"Kreditor",""))</f>
        <v/>
      </c>
      <c r="M343" s="13">
        <f>IF(L343="","",'14_Eingangsrechnungen'!A343)</f>
        <v/>
      </c>
      <c r="N343" s="44">
        <f>IF(L343="","",'14_Eingangsrechnungen'!B343)</f>
        <v/>
      </c>
      <c r="O343" s="13">
        <f>IF(L343="","",'14_Eingangsrechnungen'!D343)</f>
        <v/>
      </c>
      <c r="P343" s="13">
        <f>IF(L343="","",'14_Eingangsrechnungen'!C343)</f>
        <v/>
      </c>
      <c r="Q343" s="13">
        <f>IF(L343="","",'14_Eingangsrechnungen'!E343)</f>
        <v/>
      </c>
      <c r="R343" s="15">
        <f>IF(L343="","",'14_Eingangsrechnungen'!M343)</f>
        <v/>
      </c>
      <c r="S343" s="15">
        <f>IF(L343="","",'14_Eingangsrechnungen'!O343)</f>
        <v/>
      </c>
      <c r="T343" s="44">
        <f>IF(L343="","",'14_Eingangsrechnungen'!H343)</f>
        <v/>
      </c>
      <c r="U343" s="45">
        <f>IF(L343="","",'14_Eingangsrechnungen'!P343)</f>
        <v/>
      </c>
    </row>
    <row r="344">
      <c r="A344" s="13">
        <f>IF('13_Ausgangsrechnungen'!A344="","",IF('13_Ausgangsrechnungen'!S344&gt;0.5,"Debitor",""))</f>
        <v/>
      </c>
      <c r="B344" s="13">
        <f>IF(A344="","",'13_Ausgangsrechnungen'!A344)</f>
        <v/>
      </c>
      <c r="C344" s="44">
        <f>IF(A344="","",'13_Ausgangsrechnungen'!B344)</f>
        <v/>
      </c>
      <c r="D344" s="13">
        <f>IF(A344="","",'13_Ausgangsrechnungen'!D344)</f>
        <v/>
      </c>
      <c r="E344" s="13">
        <f>IF(A344="","",'13_Ausgangsrechnungen'!C344)</f>
        <v/>
      </c>
      <c r="F344" s="13">
        <f>IF(A344="","",'13_Ausgangsrechnungen'!E344)</f>
        <v/>
      </c>
      <c r="G344" s="15">
        <f>IF(A344="","",'13_Ausgangsrechnungen'!Q344)</f>
        <v/>
      </c>
      <c r="H344" s="15">
        <f>IF(A344="","",'13_Ausgangsrechnungen'!S344)</f>
        <v/>
      </c>
      <c r="I344" s="44">
        <f>IF(A344="","",'13_Ausgangsrechnungen'!J344)</f>
        <v/>
      </c>
      <c r="J344" s="45">
        <f>IF(A344="","",'13_Ausgangsrechnungen'!T344)</f>
        <v/>
      </c>
      <c r="L344" s="13">
        <f>IF('14_Eingangsrechnungen'!A344="","",IF('14_Eingangsrechnungen'!O344&gt;0.5,"Kreditor",""))</f>
        <v/>
      </c>
      <c r="M344" s="13">
        <f>IF(L344="","",'14_Eingangsrechnungen'!A344)</f>
        <v/>
      </c>
      <c r="N344" s="44">
        <f>IF(L344="","",'14_Eingangsrechnungen'!B344)</f>
        <v/>
      </c>
      <c r="O344" s="13">
        <f>IF(L344="","",'14_Eingangsrechnungen'!D344)</f>
        <v/>
      </c>
      <c r="P344" s="13">
        <f>IF(L344="","",'14_Eingangsrechnungen'!C344)</f>
        <v/>
      </c>
      <c r="Q344" s="13">
        <f>IF(L344="","",'14_Eingangsrechnungen'!E344)</f>
        <v/>
      </c>
      <c r="R344" s="15">
        <f>IF(L344="","",'14_Eingangsrechnungen'!M344)</f>
        <v/>
      </c>
      <c r="S344" s="15">
        <f>IF(L344="","",'14_Eingangsrechnungen'!O344)</f>
        <v/>
      </c>
      <c r="T344" s="44">
        <f>IF(L344="","",'14_Eingangsrechnungen'!H344)</f>
        <v/>
      </c>
      <c r="U344" s="45">
        <f>IF(L344="","",'14_Eingangsrechnungen'!P344)</f>
        <v/>
      </c>
    </row>
    <row r="345">
      <c r="A345" s="13">
        <f>IF('13_Ausgangsrechnungen'!A345="","",IF('13_Ausgangsrechnungen'!S345&gt;0.5,"Debitor",""))</f>
        <v/>
      </c>
      <c r="B345" s="13">
        <f>IF(A345="","",'13_Ausgangsrechnungen'!A345)</f>
        <v/>
      </c>
      <c r="C345" s="44">
        <f>IF(A345="","",'13_Ausgangsrechnungen'!B345)</f>
        <v/>
      </c>
      <c r="D345" s="13">
        <f>IF(A345="","",'13_Ausgangsrechnungen'!D345)</f>
        <v/>
      </c>
      <c r="E345" s="13">
        <f>IF(A345="","",'13_Ausgangsrechnungen'!C345)</f>
        <v/>
      </c>
      <c r="F345" s="13">
        <f>IF(A345="","",'13_Ausgangsrechnungen'!E345)</f>
        <v/>
      </c>
      <c r="G345" s="15">
        <f>IF(A345="","",'13_Ausgangsrechnungen'!Q345)</f>
        <v/>
      </c>
      <c r="H345" s="15">
        <f>IF(A345="","",'13_Ausgangsrechnungen'!S345)</f>
        <v/>
      </c>
      <c r="I345" s="44">
        <f>IF(A345="","",'13_Ausgangsrechnungen'!J345)</f>
        <v/>
      </c>
      <c r="J345" s="45">
        <f>IF(A345="","",'13_Ausgangsrechnungen'!T345)</f>
        <v/>
      </c>
      <c r="L345" s="13">
        <f>IF('14_Eingangsrechnungen'!A345="","",IF('14_Eingangsrechnungen'!O345&gt;0.5,"Kreditor",""))</f>
        <v/>
      </c>
      <c r="M345" s="13">
        <f>IF(L345="","",'14_Eingangsrechnungen'!A345)</f>
        <v/>
      </c>
      <c r="N345" s="44">
        <f>IF(L345="","",'14_Eingangsrechnungen'!B345)</f>
        <v/>
      </c>
      <c r="O345" s="13">
        <f>IF(L345="","",'14_Eingangsrechnungen'!D345)</f>
        <v/>
      </c>
      <c r="P345" s="13">
        <f>IF(L345="","",'14_Eingangsrechnungen'!C345)</f>
        <v/>
      </c>
      <c r="Q345" s="13">
        <f>IF(L345="","",'14_Eingangsrechnungen'!E345)</f>
        <v/>
      </c>
      <c r="R345" s="15">
        <f>IF(L345="","",'14_Eingangsrechnungen'!M345)</f>
        <v/>
      </c>
      <c r="S345" s="15">
        <f>IF(L345="","",'14_Eingangsrechnungen'!O345)</f>
        <v/>
      </c>
      <c r="T345" s="44">
        <f>IF(L345="","",'14_Eingangsrechnungen'!H345)</f>
        <v/>
      </c>
      <c r="U345" s="45">
        <f>IF(L345="","",'14_Eingangsrechnungen'!P345)</f>
        <v/>
      </c>
    </row>
    <row r="346">
      <c r="A346" s="13">
        <f>IF('13_Ausgangsrechnungen'!A346="","",IF('13_Ausgangsrechnungen'!S346&gt;0.5,"Debitor",""))</f>
        <v/>
      </c>
      <c r="B346" s="13">
        <f>IF(A346="","",'13_Ausgangsrechnungen'!A346)</f>
        <v/>
      </c>
      <c r="C346" s="44">
        <f>IF(A346="","",'13_Ausgangsrechnungen'!B346)</f>
        <v/>
      </c>
      <c r="D346" s="13">
        <f>IF(A346="","",'13_Ausgangsrechnungen'!D346)</f>
        <v/>
      </c>
      <c r="E346" s="13">
        <f>IF(A346="","",'13_Ausgangsrechnungen'!C346)</f>
        <v/>
      </c>
      <c r="F346" s="13">
        <f>IF(A346="","",'13_Ausgangsrechnungen'!E346)</f>
        <v/>
      </c>
      <c r="G346" s="15">
        <f>IF(A346="","",'13_Ausgangsrechnungen'!Q346)</f>
        <v/>
      </c>
      <c r="H346" s="15">
        <f>IF(A346="","",'13_Ausgangsrechnungen'!S346)</f>
        <v/>
      </c>
      <c r="I346" s="44">
        <f>IF(A346="","",'13_Ausgangsrechnungen'!J346)</f>
        <v/>
      </c>
      <c r="J346" s="45">
        <f>IF(A346="","",'13_Ausgangsrechnungen'!T346)</f>
        <v/>
      </c>
      <c r="L346" s="13">
        <f>IF('14_Eingangsrechnungen'!A346="","",IF('14_Eingangsrechnungen'!O346&gt;0.5,"Kreditor",""))</f>
        <v/>
      </c>
      <c r="M346" s="13">
        <f>IF(L346="","",'14_Eingangsrechnungen'!A346)</f>
        <v/>
      </c>
      <c r="N346" s="44">
        <f>IF(L346="","",'14_Eingangsrechnungen'!B346)</f>
        <v/>
      </c>
      <c r="O346" s="13">
        <f>IF(L346="","",'14_Eingangsrechnungen'!D346)</f>
        <v/>
      </c>
      <c r="P346" s="13">
        <f>IF(L346="","",'14_Eingangsrechnungen'!C346)</f>
        <v/>
      </c>
      <c r="Q346" s="13">
        <f>IF(L346="","",'14_Eingangsrechnungen'!E346)</f>
        <v/>
      </c>
      <c r="R346" s="15">
        <f>IF(L346="","",'14_Eingangsrechnungen'!M346)</f>
        <v/>
      </c>
      <c r="S346" s="15">
        <f>IF(L346="","",'14_Eingangsrechnungen'!O346)</f>
        <v/>
      </c>
      <c r="T346" s="44">
        <f>IF(L346="","",'14_Eingangsrechnungen'!H346)</f>
        <v/>
      </c>
      <c r="U346" s="45">
        <f>IF(L346="","",'14_Eingangsrechnungen'!P346)</f>
        <v/>
      </c>
    </row>
    <row r="347">
      <c r="A347" s="13">
        <f>IF('13_Ausgangsrechnungen'!A347="","",IF('13_Ausgangsrechnungen'!S347&gt;0.5,"Debitor",""))</f>
        <v/>
      </c>
      <c r="B347" s="13">
        <f>IF(A347="","",'13_Ausgangsrechnungen'!A347)</f>
        <v/>
      </c>
      <c r="C347" s="44">
        <f>IF(A347="","",'13_Ausgangsrechnungen'!B347)</f>
        <v/>
      </c>
      <c r="D347" s="13">
        <f>IF(A347="","",'13_Ausgangsrechnungen'!D347)</f>
        <v/>
      </c>
      <c r="E347" s="13">
        <f>IF(A347="","",'13_Ausgangsrechnungen'!C347)</f>
        <v/>
      </c>
      <c r="F347" s="13">
        <f>IF(A347="","",'13_Ausgangsrechnungen'!E347)</f>
        <v/>
      </c>
      <c r="G347" s="15">
        <f>IF(A347="","",'13_Ausgangsrechnungen'!Q347)</f>
        <v/>
      </c>
      <c r="H347" s="15">
        <f>IF(A347="","",'13_Ausgangsrechnungen'!S347)</f>
        <v/>
      </c>
      <c r="I347" s="44">
        <f>IF(A347="","",'13_Ausgangsrechnungen'!J347)</f>
        <v/>
      </c>
      <c r="J347" s="45">
        <f>IF(A347="","",'13_Ausgangsrechnungen'!T347)</f>
        <v/>
      </c>
      <c r="L347" s="13">
        <f>IF('14_Eingangsrechnungen'!A347="","",IF('14_Eingangsrechnungen'!O347&gt;0.5,"Kreditor",""))</f>
        <v/>
      </c>
      <c r="M347" s="13">
        <f>IF(L347="","",'14_Eingangsrechnungen'!A347)</f>
        <v/>
      </c>
      <c r="N347" s="44">
        <f>IF(L347="","",'14_Eingangsrechnungen'!B347)</f>
        <v/>
      </c>
      <c r="O347" s="13">
        <f>IF(L347="","",'14_Eingangsrechnungen'!D347)</f>
        <v/>
      </c>
      <c r="P347" s="13">
        <f>IF(L347="","",'14_Eingangsrechnungen'!C347)</f>
        <v/>
      </c>
      <c r="Q347" s="13">
        <f>IF(L347="","",'14_Eingangsrechnungen'!E347)</f>
        <v/>
      </c>
      <c r="R347" s="15">
        <f>IF(L347="","",'14_Eingangsrechnungen'!M347)</f>
        <v/>
      </c>
      <c r="S347" s="15">
        <f>IF(L347="","",'14_Eingangsrechnungen'!O347)</f>
        <v/>
      </c>
      <c r="T347" s="44">
        <f>IF(L347="","",'14_Eingangsrechnungen'!H347)</f>
        <v/>
      </c>
      <c r="U347" s="45">
        <f>IF(L347="","",'14_Eingangsrechnungen'!P347)</f>
        <v/>
      </c>
    </row>
    <row r="348">
      <c r="A348" s="13">
        <f>IF('13_Ausgangsrechnungen'!A348="","",IF('13_Ausgangsrechnungen'!S348&gt;0.5,"Debitor",""))</f>
        <v/>
      </c>
      <c r="B348" s="13">
        <f>IF(A348="","",'13_Ausgangsrechnungen'!A348)</f>
        <v/>
      </c>
      <c r="C348" s="44">
        <f>IF(A348="","",'13_Ausgangsrechnungen'!B348)</f>
        <v/>
      </c>
      <c r="D348" s="13">
        <f>IF(A348="","",'13_Ausgangsrechnungen'!D348)</f>
        <v/>
      </c>
      <c r="E348" s="13">
        <f>IF(A348="","",'13_Ausgangsrechnungen'!C348)</f>
        <v/>
      </c>
      <c r="F348" s="13">
        <f>IF(A348="","",'13_Ausgangsrechnungen'!E348)</f>
        <v/>
      </c>
      <c r="G348" s="15">
        <f>IF(A348="","",'13_Ausgangsrechnungen'!Q348)</f>
        <v/>
      </c>
      <c r="H348" s="15">
        <f>IF(A348="","",'13_Ausgangsrechnungen'!S348)</f>
        <v/>
      </c>
      <c r="I348" s="44">
        <f>IF(A348="","",'13_Ausgangsrechnungen'!J348)</f>
        <v/>
      </c>
      <c r="J348" s="45">
        <f>IF(A348="","",'13_Ausgangsrechnungen'!T348)</f>
        <v/>
      </c>
      <c r="L348" s="13">
        <f>IF('14_Eingangsrechnungen'!A348="","",IF('14_Eingangsrechnungen'!O348&gt;0.5,"Kreditor",""))</f>
        <v/>
      </c>
      <c r="M348" s="13">
        <f>IF(L348="","",'14_Eingangsrechnungen'!A348)</f>
        <v/>
      </c>
      <c r="N348" s="44">
        <f>IF(L348="","",'14_Eingangsrechnungen'!B348)</f>
        <v/>
      </c>
      <c r="O348" s="13">
        <f>IF(L348="","",'14_Eingangsrechnungen'!D348)</f>
        <v/>
      </c>
      <c r="P348" s="13">
        <f>IF(L348="","",'14_Eingangsrechnungen'!C348)</f>
        <v/>
      </c>
      <c r="Q348" s="13">
        <f>IF(L348="","",'14_Eingangsrechnungen'!E348)</f>
        <v/>
      </c>
      <c r="R348" s="15">
        <f>IF(L348="","",'14_Eingangsrechnungen'!M348)</f>
        <v/>
      </c>
      <c r="S348" s="15">
        <f>IF(L348="","",'14_Eingangsrechnungen'!O348)</f>
        <v/>
      </c>
      <c r="T348" s="44">
        <f>IF(L348="","",'14_Eingangsrechnungen'!H348)</f>
        <v/>
      </c>
      <c r="U348" s="45">
        <f>IF(L348="","",'14_Eingangsrechnungen'!P348)</f>
        <v/>
      </c>
    </row>
    <row r="349">
      <c r="A349" s="13">
        <f>IF('13_Ausgangsrechnungen'!A349="","",IF('13_Ausgangsrechnungen'!S349&gt;0.5,"Debitor",""))</f>
        <v/>
      </c>
      <c r="B349" s="13">
        <f>IF(A349="","",'13_Ausgangsrechnungen'!A349)</f>
        <v/>
      </c>
      <c r="C349" s="44">
        <f>IF(A349="","",'13_Ausgangsrechnungen'!B349)</f>
        <v/>
      </c>
      <c r="D349" s="13">
        <f>IF(A349="","",'13_Ausgangsrechnungen'!D349)</f>
        <v/>
      </c>
      <c r="E349" s="13">
        <f>IF(A349="","",'13_Ausgangsrechnungen'!C349)</f>
        <v/>
      </c>
      <c r="F349" s="13">
        <f>IF(A349="","",'13_Ausgangsrechnungen'!E349)</f>
        <v/>
      </c>
      <c r="G349" s="15">
        <f>IF(A349="","",'13_Ausgangsrechnungen'!Q349)</f>
        <v/>
      </c>
      <c r="H349" s="15">
        <f>IF(A349="","",'13_Ausgangsrechnungen'!S349)</f>
        <v/>
      </c>
      <c r="I349" s="44">
        <f>IF(A349="","",'13_Ausgangsrechnungen'!J349)</f>
        <v/>
      </c>
      <c r="J349" s="45">
        <f>IF(A349="","",'13_Ausgangsrechnungen'!T349)</f>
        <v/>
      </c>
      <c r="L349" s="13">
        <f>IF('14_Eingangsrechnungen'!A349="","",IF('14_Eingangsrechnungen'!O349&gt;0.5,"Kreditor",""))</f>
        <v/>
      </c>
      <c r="M349" s="13">
        <f>IF(L349="","",'14_Eingangsrechnungen'!A349)</f>
        <v/>
      </c>
      <c r="N349" s="44">
        <f>IF(L349="","",'14_Eingangsrechnungen'!B349)</f>
        <v/>
      </c>
      <c r="O349" s="13">
        <f>IF(L349="","",'14_Eingangsrechnungen'!D349)</f>
        <v/>
      </c>
      <c r="P349" s="13">
        <f>IF(L349="","",'14_Eingangsrechnungen'!C349)</f>
        <v/>
      </c>
      <c r="Q349" s="13">
        <f>IF(L349="","",'14_Eingangsrechnungen'!E349)</f>
        <v/>
      </c>
      <c r="R349" s="15">
        <f>IF(L349="","",'14_Eingangsrechnungen'!M349)</f>
        <v/>
      </c>
      <c r="S349" s="15">
        <f>IF(L349="","",'14_Eingangsrechnungen'!O349)</f>
        <v/>
      </c>
      <c r="T349" s="44">
        <f>IF(L349="","",'14_Eingangsrechnungen'!H349)</f>
        <v/>
      </c>
      <c r="U349" s="45">
        <f>IF(L349="","",'14_Eingangsrechnungen'!P349)</f>
        <v/>
      </c>
    </row>
    <row r="350">
      <c r="A350" s="13">
        <f>IF('13_Ausgangsrechnungen'!A350="","",IF('13_Ausgangsrechnungen'!S350&gt;0.5,"Debitor",""))</f>
        <v/>
      </c>
      <c r="B350" s="13">
        <f>IF(A350="","",'13_Ausgangsrechnungen'!A350)</f>
        <v/>
      </c>
      <c r="C350" s="44">
        <f>IF(A350="","",'13_Ausgangsrechnungen'!B350)</f>
        <v/>
      </c>
      <c r="D350" s="13">
        <f>IF(A350="","",'13_Ausgangsrechnungen'!D350)</f>
        <v/>
      </c>
      <c r="E350" s="13">
        <f>IF(A350="","",'13_Ausgangsrechnungen'!C350)</f>
        <v/>
      </c>
      <c r="F350" s="13">
        <f>IF(A350="","",'13_Ausgangsrechnungen'!E350)</f>
        <v/>
      </c>
      <c r="G350" s="15">
        <f>IF(A350="","",'13_Ausgangsrechnungen'!Q350)</f>
        <v/>
      </c>
      <c r="H350" s="15">
        <f>IF(A350="","",'13_Ausgangsrechnungen'!S350)</f>
        <v/>
      </c>
      <c r="I350" s="44">
        <f>IF(A350="","",'13_Ausgangsrechnungen'!J350)</f>
        <v/>
      </c>
      <c r="J350" s="45">
        <f>IF(A350="","",'13_Ausgangsrechnungen'!T350)</f>
        <v/>
      </c>
      <c r="L350" s="13">
        <f>IF('14_Eingangsrechnungen'!A350="","",IF('14_Eingangsrechnungen'!O350&gt;0.5,"Kreditor",""))</f>
        <v/>
      </c>
      <c r="M350" s="13">
        <f>IF(L350="","",'14_Eingangsrechnungen'!A350)</f>
        <v/>
      </c>
      <c r="N350" s="44">
        <f>IF(L350="","",'14_Eingangsrechnungen'!B350)</f>
        <v/>
      </c>
      <c r="O350" s="13">
        <f>IF(L350="","",'14_Eingangsrechnungen'!D350)</f>
        <v/>
      </c>
      <c r="P350" s="13">
        <f>IF(L350="","",'14_Eingangsrechnungen'!C350)</f>
        <v/>
      </c>
      <c r="Q350" s="13">
        <f>IF(L350="","",'14_Eingangsrechnungen'!E350)</f>
        <v/>
      </c>
      <c r="R350" s="15">
        <f>IF(L350="","",'14_Eingangsrechnungen'!M350)</f>
        <v/>
      </c>
      <c r="S350" s="15">
        <f>IF(L350="","",'14_Eingangsrechnungen'!O350)</f>
        <v/>
      </c>
      <c r="T350" s="44">
        <f>IF(L350="","",'14_Eingangsrechnungen'!H350)</f>
        <v/>
      </c>
      <c r="U350" s="45">
        <f>IF(L350="","",'14_Eingangsrechnungen'!P350)</f>
        <v/>
      </c>
    </row>
    <row r="351">
      <c r="A351" s="13">
        <f>IF('13_Ausgangsrechnungen'!A351="","",IF('13_Ausgangsrechnungen'!S351&gt;0.5,"Debitor",""))</f>
        <v/>
      </c>
      <c r="B351" s="13">
        <f>IF(A351="","",'13_Ausgangsrechnungen'!A351)</f>
        <v/>
      </c>
      <c r="C351" s="44">
        <f>IF(A351="","",'13_Ausgangsrechnungen'!B351)</f>
        <v/>
      </c>
      <c r="D351" s="13">
        <f>IF(A351="","",'13_Ausgangsrechnungen'!D351)</f>
        <v/>
      </c>
      <c r="E351" s="13">
        <f>IF(A351="","",'13_Ausgangsrechnungen'!C351)</f>
        <v/>
      </c>
      <c r="F351" s="13">
        <f>IF(A351="","",'13_Ausgangsrechnungen'!E351)</f>
        <v/>
      </c>
      <c r="G351" s="15">
        <f>IF(A351="","",'13_Ausgangsrechnungen'!Q351)</f>
        <v/>
      </c>
      <c r="H351" s="15">
        <f>IF(A351="","",'13_Ausgangsrechnungen'!S351)</f>
        <v/>
      </c>
      <c r="I351" s="44">
        <f>IF(A351="","",'13_Ausgangsrechnungen'!J351)</f>
        <v/>
      </c>
      <c r="J351" s="45">
        <f>IF(A351="","",'13_Ausgangsrechnungen'!T351)</f>
        <v/>
      </c>
      <c r="L351" s="13">
        <f>IF('14_Eingangsrechnungen'!A351="","",IF('14_Eingangsrechnungen'!O351&gt;0.5,"Kreditor",""))</f>
        <v/>
      </c>
      <c r="M351" s="13">
        <f>IF(L351="","",'14_Eingangsrechnungen'!A351)</f>
        <v/>
      </c>
      <c r="N351" s="44">
        <f>IF(L351="","",'14_Eingangsrechnungen'!B351)</f>
        <v/>
      </c>
      <c r="O351" s="13">
        <f>IF(L351="","",'14_Eingangsrechnungen'!D351)</f>
        <v/>
      </c>
      <c r="P351" s="13">
        <f>IF(L351="","",'14_Eingangsrechnungen'!C351)</f>
        <v/>
      </c>
      <c r="Q351" s="13">
        <f>IF(L351="","",'14_Eingangsrechnungen'!E351)</f>
        <v/>
      </c>
      <c r="R351" s="15">
        <f>IF(L351="","",'14_Eingangsrechnungen'!M351)</f>
        <v/>
      </c>
      <c r="S351" s="15">
        <f>IF(L351="","",'14_Eingangsrechnungen'!O351)</f>
        <v/>
      </c>
      <c r="T351" s="44">
        <f>IF(L351="","",'14_Eingangsrechnungen'!H351)</f>
        <v/>
      </c>
      <c r="U351" s="45">
        <f>IF(L351="","",'14_Eingangsrechnungen'!P351)</f>
        <v/>
      </c>
    </row>
    <row r="352">
      <c r="A352" s="13">
        <f>IF('13_Ausgangsrechnungen'!A352="","",IF('13_Ausgangsrechnungen'!S352&gt;0.5,"Debitor",""))</f>
        <v/>
      </c>
      <c r="B352" s="13">
        <f>IF(A352="","",'13_Ausgangsrechnungen'!A352)</f>
        <v/>
      </c>
      <c r="C352" s="44">
        <f>IF(A352="","",'13_Ausgangsrechnungen'!B352)</f>
        <v/>
      </c>
      <c r="D352" s="13">
        <f>IF(A352="","",'13_Ausgangsrechnungen'!D352)</f>
        <v/>
      </c>
      <c r="E352" s="13">
        <f>IF(A352="","",'13_Ausgangsrechnungen'!C352)</f>
        <v/>
      </c>
      <c r="F352" s="13">
        <f>IF(A352="","",'13_Ausgangsrechnungen'!E352)</f>
        <v/>
      </c>
      <c r="G352" s="15">
        <f>IF(A352="","",'13_Ausgangsrechnungen'!Q352)</f>
        <v/>
      </c>
      <c r="H352" s="15">
        <f>IF(A352="","",'13_Ausgangsrechnungen'!S352)</f>
        <v/>
      </c>
      <c r="I352" s="44">
        <f>IF(A352="","",'13_Ausgangsrechnungen'!J352)</f>
        <v/>
      </c>
      <c r="J352" s="45">
        <f>IF(A352="","",'13_Ausgangsrechnungen'!T352)</f>
        <v/>
      </c>
      <c r="L352" s="13">
        <f>IF('14_Eingangsrechnungen'!A352="","",IF('14_Eingangsrechnungen'!O352&gt;0.5,"Kreditor",""))</f>
        <v/>
      </c>
      <c r="M352" s="13">
        <f>IF(L352="","",'14_Eingangsrechnungen'!A352)</f>
        <v/>
      </c>
      <c r="N352" s="44">
        <f>IF(L352="","",'14_Eingangsrechnungen'!B352)</f>
        <v/>
      </c>
      <c r="O352" s="13">
        <f>IF(L352="","",'14_Eingangsrechnungen'!D352)</f>
        <v/>
      </c>
      <c r="P352" s="13">
        <f>IF(L352="","",'14_Eingangsrechnungen'!C352)</f>
        <v/>
      </c>
      <c r="Q352" s="13">
        <f>IF(L352="","",'14_Eingangsrechnungen'!E352)</f>
        <v/>
      </c>
      <c r="R352" s="15">
        <f>IF(L352="","",'14_Eingangsrechnungen'!M352)</f>
        <v/>
      </c>
      <c r="S352" s="15">
        <f>IF(L352="","",'14_Eingangsrechnungen'!O352)</f>
        <v/>
      </c>
      <c r="T352" s="44">
        <f>IF(L352="","",'14_Eingangsrechnungen'!H352)</f>
        <v/>
      </c>
      <c r="U352" s="45">
        <f>IF(L352="","",'14_Eingangsrechnungen'!P352)</f>
        <v/>
      </c>
    </row>
    <row r="353">
      <c r="A353" s="13">
        <f>IF('13_Ausgangsrechnungen'!A353="","",IF('13_Ausgangsrechnungen'!S353&gt;0.5,"Debitor",""))</f>
        <v/>
      </c>
      <c r="B353" s="13">
        <f>IF(A353="","",'13_Ausgangsrechnungen'!A353)</f>
        <v/>
      </c>
      <c r="C353" s="44">
        <f>IF(A353="","",'13_Ausgangsrechnungen'!B353)</f>
        <v/>
      </c>
      <c r="D353" s="13">
        <f>IF(A353="","",'13_Ausgangsrechnungen'!D353)</f>
        <v/>
      </c>
      <c r="E353" s="13">
        <f>IF(A353="","",'13_Ausgangsrechnungen'!C353)</f>
        <v/>
      </c>
      <c r="F353" s="13">
        <f>IF(A353="","",'13_Ausgangsrechnungen'!E353)</f>
        <v/>
      </c>
      <c r="G353" s="15">
        <f>IF(A353="","",'13_Ausgangsrechnungen'!Q353)</f>
        <v/>
      </c>
      <c r="H353" s="15">
        <f>IF(A353="","",'13_Ausgangsrechnungen'!S353)</f>
        <v/>
      </c>
      <c r="I353" s="44">
        <f>IF(A353="","",'13_Ausgangsrechnungen'!J353)</f>
        <v/>
      </c>
      <c r="J353" s="45">
        <f>IF(A353="","",'13_Ausgangsrechnungen'!T353)</f>
        <v/>
      </c>
      <c r="L353" s="13">
        <f>IF('14_Eingangsrechnungen'!A353="","",IF('14_Eingangsrechnungen'!O353&gt;0.5,"Kreditor",""))</f>
        <v/>
      </c>
      <c r="M353" s="13">
        <f>IF(L353="","",'14_Eingangsrechnungen'!A353)</f>
        <v/>
      </c>
      <c r="N353" s="44">
        <f>IF(L353="","",'14_Eingangsrechnungen'!B353)</f>
        <v/>
      </c>
      <c r="O353" s="13">
        <f>IF(L353="","",'14_Eingangsrechnungen'!D353)</f>
        <v/>
      </c>
      <c r="P353" s="13">
        <f>IF(L353="","",'14_Eingangsrechnungen'!C353)</f>
        <v/>
      </c>
      <c r="Q353" s="13">
        <f>IF(L353="","",'14_Eingangsrechnungen'!E353)</f>
        <v/>
      </c>
      <c r="R353" s="15">
        <f>IF(L353="","",'14_Eingangsrechnungen'!M353)</f>
        <v/>
      </c>
      <c r="S353" s="15">
        <f>IF(L353="","",'14_Eingangsrechnungen'!O353)</f>
        <v/>
      </c>
      <c r="T353" s="44">
        <f>IF(L353="","",'14_Eingangsrechnungen'!H353)</f>
        <v/>
      </c>
      <c r="U353" s="45">
        <f>IF(L353="","",'14_Eingangsrechnungen'!P353)</f>
        <v/>
      </c>
    </row>
    <row r="354">
      <c r="A354" s="13">
        <f>IF('13_Ausgangsrechnungen'!A354="","",IF('13_Ausgangsrechnungen'!S354&gt;0.5,"Debitor",""))</f>
        <v/>
      </c>
      <c r="B354" s="13">
        <f>IF(A354="","",'13_Ausgangsrechnungen'!A354)</f>
        <v/>
      </c>
      <c r="C354" s="44">
        <f>IF(A354="","",'13_Ausgangsrechnungen'!B354)</f>
        <v/>
      </c>
      <c r="D354" s="13">
        <f>IF(A354="","",'13_Ausgangsrechnungen'!D354)</f>
        <v/>
      </c>
      <c r="E354" s="13">
        <f>IF(A354="","",'13_Ausgangsrechnungen'!C354)</f>
        <v/>
      </c>
      <c r="F354" s="13">
        <f>IF(A354="","",'13_Ausgangsrechnungen'!E354)</f>
        <v/>
      </c>
      <c r="G354" s="15">
        <f>IF(A354="","",'13_Ausgangsrechnungen'!Q354)</f>
        <v/>
      </c>
      <c r="H354" s="15">
        <f>IF(A354="","",'13_Ausgangsrechnungen'!S354)</f>
        <v/>
      </c>
      <c r="I354" s="44">
        <f>IF(A354="","",'13_Ausgangsrechnungen'!J354)</f>
        <v/>
      </c>
      <c r="J354" s="45">
        <f>IF(A354="","",'13_Ausgangsrechnungen'!T354)</f>
        <v/>
      </c>
      <c r="L354" s="13">
        <f>IF('14_Eingangsrechnungen'!A354="","",IF('14_Eingangsrechnungen'!O354&gt;0.5,"Kreditor",""))</f>
        <v/>
      </c>
      <c r="M354" s="13">
        <f>IF(L354="","",'14_Eingangsrechnungen'!A354)</f>
        <v/>
      </c>
      <c r="N354" s="44">
        <f>IF(L354="","",'14_Eingangsrechnungen'!B354)</f>
        <v/>
      </c>
      <c r="O354" s="13">
        <f>IF(L354="","",'14_Eingangsrechnungen'!D354)</f>
        <v/>
      </c>
      <c r="P354" s="13">
        <f>IF(L354="","",'14_Eingangsrechnungen'!C354)</f>
        <v/>
      </c>
      <c r="Q354" s="13">
        <f>IF(L354="","",'14_Eingangsrechnungen'!E354)</f>
        <v/>
      </c>
      <c r="R354" s="15">
        <f>IF(L354="","",'14_Eingangsrechnungen'!M354)</f>
        <v/>
      </c>
      <c r="S354" s="15">
        <f>IF(L354="","",'14_Eingangsrechnungen'!O354)</f>
        <v/>
      </c>
      <c r="T354" s="44">
        <f>IF(L354="","",'14_Eingangsrechnungen'!H354)</f>
        <v/>
      </c>
      <c r="U354" s="45">
        <f>IF(L354="","",'14_Eingangsrechnungen'!P354)</f>
        <v/>
      </c>
    </row>
    <row r="355">
      <c r="A355" s="13">
        <f>IF('13_Ausgangsrechnungen'!A355="","",IF('13_Ausgangsrechnungen'!S355&gt;0.5,"Debitor",""))</f>
        <v/>
      </c>
      <c r="B355" s="13">
        <f>IF(A355="","",'13_Ausgangsrechnungen'!A355)</f>
        <v/>
      </c>
      <c r="C355" s="44">
        <f>IF(A355="","",'13_Ausgangsrechnungen'!B355)</f>
        <v/>
      </c>
      <c r="D355" s="13">
        <f>IF(A355="","",'13_Ausgangsrechnungen'!D355)</f>
        <v/>
      </c>
      <c r="E355" s="13">
        <f>IF(A355="","",'13_Ausgangsrechnungen'!C355)</f>
        <v/>
      </c>
      <c r="F355" s="13">
        <f>IF(A355="","",'13_Ausgangsrechnungen'!E355)</f>
        <v/>
      </c>
      <c r="G355" s="15">
        <f>IF(A355="","",'13_Ausgangsrechnungen'!Q355)</f>
        <v/>
      </c>
      <c r="H355" s="15">
        <f>IF(A355="","",'13_Ausgangsrechnungen'!S355)</f>
        <v/>
      </c>
      <c r="I355" s="44">
        <f>IF(A355="","",'13_Ausgangsrechnungen'!J355)</f>
        <v/>
      </c>
      <c r="J355" s="45">
        <f>IF(A355="","",'13_Ausgangsrechnungen'!T355)</f>
        <v/>
      </c>
      <c r="L355" s="13">
        <f>IF('14_Eingangsrechnungen'!A355="","",IF('14_Eingangsrechnungen'!O355&gt;0.5,"Kreditor",""))</f>
        <v/>
      </c>
      <c r="M355" s="13">
        <f>IF(L355="","",'14_Eingangsrechnungen'!A355)</f>
        <v/>
      </c>
      <c r="N355" s="44">
        <f>IF(L355="","",'14_Eingangsrechnungen'!B355)</f>
        <v/>
      </c>
      <c r="O355" s="13">
        <f>IF(L355="","",'14_Eingangsrechnungen'!D355)</f>
        <v/>
      </c>
      <c r="P355" s="13">
        <f>IF(L355="","",'14_Eingangsrechnungen'!C355)</f>
        <v/>
      </c>
      <c r="Q355" s="13">
        <f>IF(L355="","",'14_Eingangsrechnungen'!E355)</f>
        <v/>
      </c>
      <c r="R355" s="15">
        <f>IF(L355="","",'14_Eingangsrechnungen'!M355)</f>
        <v/>
      </c>
      <c r="S355" s="15">
        <f>IF(L355="","",'14_Eingangsrechnungen'!O355)</f>
        <v/>
      </c>
      <c r="T355" s="44">
        <f>IF(L355="","",'14_Eingangsrechnungen'!H355)</f>
        <v/>
      </c>
      <c r="U355" s="45">
        <f>IF(L355="","",'14_Eingangsrechnungen'!P355)</f>
        <v/>
      </c>
    </row>
    <row r="356">
      <c r="A356" s="13">
        <f>IF('13_Ausgangsrechnungen'!A356="","",IF('13_Ausgangsrechnungen'!S356&gt;0.5,"Debitor",""))</f>
        <v/>
      </c>
      <c r="B356" s="13">
        <f>IF(A356="","",'13_Ausgangsrechnungen'!A356)</f>
        <v/>
      </c>
      <c r="C356" s="44">
        <f>IF(A356="","",'13_Ausgangsrechnungen'!B356)</f>
        <v/>
      </c>
      <c r="D356" s="13">
        <f>IF(A356="","",'13_Ausgangsrechnungen'!D356)</f>
        <v/>
      </c>
      <c r="E356" s="13">
        <f>IF(A356="","",'13_Ausgangsrechnungen'!C356)</f>
        <v/>
      </c>
      <c r="F356" s="13">
        <f>IF(A356="","",'13_Ausgangsrechnungen'!E356)</f>
        <v/>
      </c>
      <c r="G356" s="15">
        <f>IF(A356="","",'13_Ausgangsrechnungen'!Q356)</f>
        <v/>
      </c>
      <c r="H356" s="15">
        <f>IF(A356="","",'13_Ausgangsrechnungen'!S356)</f>
        <v/>
      </c>
      <c r="I356" s="44">
        <f>IF(A356="","",'13_Ausgangsrechnungen'!J356)</f>
        <v/>
      </c>
      <c r="J356" s="45">
        <f>IF(A356="","",'13_Ausgangsrechnungen'!T356)</f>
        <v/>
      </c>
      <c r="L356" s="13">
        <f>IF('14_Eingangsrechnungen'!A356="","",IF('14_Eingangsrechnungen'!O356&gt;0.5,"Kreditor",""))</f>
        <v/>
      </c>
      <c r="M356" s="13">
        <f>IF(L356="","",'14_Eingangsrechnungen'!A356)</f>
        <v/>
      </c>
      <c r="N356" s="44">
        <f>IF(L356="","",'14_Eingangsrechnungen'!B356)</f>
        <v/>
      </c>
      <c r="O356" s="13">
        <f>IF(L356="","",'14_Eingangsrechnungen'!D356)</f>
        <v/>
      </c>
      <c r="P356" s="13">
        <f>IF(L356="","",'14_Eingangsrechnungen'!C356)</f>
        <v/>
      </c>
      <c r="Q356" s="13">
        <f>IF(L356="","",'14_Eingangsrechnungen'!E356)</f>
        <v/>
      </c>
      <c r="R356" s="15">
        <f>IF(L356="","",'14_Eingangsrechnungen'!M356)</f>
        <v/>
      </c>
      <c r="S356" s="15">
        <f>IF(L356="","",'14_Eingangsrechnungen'!O356)</f>
        <v/>
      </c>
      <c r="T356" s="44">
        <f>IF(L356="","",'14_Eingangsrechnungen'!H356)</f>
        <v/>
      </c>
      <c r="U356" s="45">
        <f>IF(L356="","",'14_Eingangsrechnungen'!P356)</f>
        <v/>
      </c>
    </row>
    <row r="357">
      <c r="A357" s="13">
        <f>IF('13_Ausgangsrechnungen'!A357="","",IF('13_Ausgangsrechnungen'!S357&gt;0.5,"Debitor",""))</f>
        <v/>
      </c>
      <c r="B357" s="13">
        <f>IF(A357="","",'13_Ausgangsrechnungen'!A357)</f>
        <v/>
      </c>
      <c r="C357" s="44">
        <f>IF(A357="","",'13_Ausgangsrechnungen'!B357)</f>
        <v/>
      </c>
      <c r="D357" s="13">
        <f>IF(A357="","",'13_Ausgangsrechnungen'!D357)</f>
        <v/>
      </c>
      <c r="E357" s="13">
        <f>IF(A357="","",'13_Ausgangsrechnungen'!C357)</f>
        <v/>
      </c>
      <c r="F357" s="13">
        <f>IF(A357="","",'13_Ausgangsrechnungen'!E357)</f>
        <v/>
      </c>
      <c r="G357" s="15">
        <f>IF(A357="","",'13_Ausgangsrechnungen'!Q357)</f>
        <v/>
      </c>
      <c r="H357" s="15">
        <f>IF(A357="","",'13_Ausgangsrechnungen'!S357)</f>
        <v/>
      </c>
      <c r="I357" s="44">
        <f>IF(A357="","",'13_Ausgangsrechnungen'!J357)</f>
        <v/>
      </c>
      <c r="J357" s="45">
        <f>IF(A357="","",'13_Ausgangsrechnungen'!T357)</f>
        <v/>
      </c>
      <c r="L357" s="13">
        <f>IF('14_Eingangsrechnungen'!A357="","",IF('14_Eingangsrechnungen'!O357&gt;0.5,"Kreditor",""))</f>
        <v/>
      </c>
      <c r="M357" s="13">
        <f>IF(L357="","",'14_Eingangsrechnungen'!A357)</f>
        <v/>
      </c>
      <c r="N357" s="44">
        <f>IF(L357="","",'14_Eingangsrechnungen'!B357)</f>
        <v/>
      </c>
      <c r="O357" s="13">
        <f>IF(L357="","",'14_Eingangsrechnungen'!D357)</f>
        <v/>
      </c>
      <c r="P357" s="13">
        <f>IF(L357="","",'14_Eingangsrechnungen'!C357)</f>
        <v/>
      </c>
      <c r="Q357" s="13">
        <f>IF(L357="","",'14_Eingangsrechnungen'!E357)</f>
        <v/>
      </c>
      <c r="R357" s="15">
        <f>IF(L357="","",'14_Eingangsrechnungen'!M357)</f>
        <v/>
      </c>
      <c r="S357" s="15">
        <f>IF(L357="","",'14_Eingangsrechnungen'!O357)</f>
        <v/>
      </c>
      <c r="T357" s="44">
        <f>IF(L357="","",'14_Eingangsrechnungen'!H357)</f>
        <v/>
      </c>
      <c r="U357" s="45">
        <f>IF(L357="","",'14_Eingangsrechnungen'!P357)</f>
        <v/>
      </c>
    </row>
    <row r="358">
      <c r="A358" s="13">
        <f>IF('13_Ausgangsrechnungen'!A358="","",IF('13_Ausgangsrechnungen'!S358&gt;0.5,"Debitor",""))</f>
        <v/>
      </c>
      <c r="B358" s="13">
        <f>IF(A358="","",'13_Ausgangsrechnungen'!A358)</f>
        <v/>
      </c>
      <c r="C358" s="44">
        <f>IF(A358="","",'13_Ausgangsrechnungen'!B358)</f>
        <v/>
      </c>
      <c r="D358" s="13">
        <f>IF(A358="","",'13_Ausgangsrechnungen'!D358)</f>
        <v/>
      </c>
      <c r="E358" s="13">
        <f>IF(A358="","",'13_Ausgangsrechnungen'!C358)</f>
        <v/>
      </c>
      <c r="F358" s="13">
        <f>IF(A358="","",'13_Ausgangsrechnungen'!E358)</f>
        <v/>
      </c>
      <c r="G358" s="15">
        <f>IF(A358="","",'13_Ausgangsrechnungen'!Q358)</f>
        <v/>
      </c>
      <c r="H358" s="15">
        <f>IF(A358="","",'13_Ausgangsrechnungen'!S358)</f>
        <v/>
      </c>
      <c r="I358" s="44">
        <f>IF(A358="","",'13_Ausgangsrechnungen'!J358)</f>
        <v/>
      </c>
      <c r="J358" s="45">
        <f>IF(A358="","",'13_Ausgangsrechnungen'!T358)</f>
        <v/>
      </c>
      <c r="L358" s="13">
        <f>IF('14_Eingangsrechnungen'!A358="","",IF('14_Eingangsrechnungen'!O358&gt;0.5,"Kreditor",""))</f>
        <v/>
      </c>
      <c r="M358" s="13">
        <f>IF(L358="","",'14_Eingangsrechnungen'!A358)</f>
        <v/>
      </c>
      <c r="N358" s="44">
        <f>IF(L358="","",'14_Eingangsrechnungen'!B358)</f>
        <v/>
      </c>
      <c r="O358" s="13">
        <f>IF(L358="","",'14_Eingangsrechnungen'!D358)</f>
        <v/>
      </c>
      <c r="P358" s="13">
        <f>IF(L358="","",'14_Eingangsrechnungen'!C358)</f>
        <v/>
      </c>
      <c r="Q358" s="13">
        <f>IF(L358="","",'14_Eingangsrechnungen'!E358)</f>
        <v/>
      </c>
      <c r="R358" s="15">
        <f>IF(L358="","",'14_Eingangsrechnungen'!M358)</f>
        <v/>
      </c>
      <c r="S358" s="15">
        <f>IF(L358="","",'14_Eingangsrechnungen'!O358)</f>
        <v/>
      </c>
      <c r="T358" s="44">
        <f>IF(L358="","",'14_Eingangsrechnungen'!H358)</f>
        <v/>
      </c>
      <c r="U358" s="45">
        <f>IF(L358="","",'14_Eingangsrechnungen'!P358)</f>
        <v/>
      </c>
    </row>
    <row r="359">
      <c r="A359" s="13">
        <f>IF('13_Ausgangsrechnungen'!A359="","",IF('13_Ausgangsrechnungen'!S359&gt;0.5,"Debitor",""))</f>
        <v/>
      </c>
      <c r="B359" s="13">
        <f>IF(A359="","",'13_Ausgangsrechnungen'!A359)</f>
        <v/>
      </c>
      <c r="C359" s="44">
        <f>IF(A359="","",'13_Ausgangsrechnungen'!B359)</f>
        <v/>
      </c>
      <c r="D359" s="13">
        <f>IF(A359="","",'13_Ausgangsrechnungen'!D359)</f>
        <v/>
      </c>
      <c r="E359" s="13">
        <f>IF(A359="","",'13_Ausgangsrechnungen'!C359)</f>
        <v/>
      </c>
      <c r="F359" s="13">
        <f>IF(A359="","",'13_Ausgangsrechnungen'!E359)</f>
        <v/>
      </c>
      <c r="G359" s="15">
        <f>IF(A359="","",'13_Ausgangsrechnungen'!Q359)</f>
        <v/>
      </c>
      <c r="H359" s="15">
        <f>IF(A359="","",'13_Ausgangsrechnungen'!S359)</f>
        <v/>
      </c>
      <c r="I359" s="44">
        <f>IF(A359="","",'13_Ausgangsrechnungen'!J359)</f>
        <v/>
      </c>
      <c r="J359" s="45">
        <f>IF(A359="","",'13_Ausgangsrechnungen'!T359)</f>
        <v/>
      </c>
      <c r="L359" s="13">
        <f>IF('14_Eingangsrechnungen'!A359="","",IF('14_Eingangsrechnungen'!O359&gt;0.5,"Kreditor",""))</f>
        <v/>
      </c>
      <c r="M359" s="13">
        <f>IF(L359="","",'14_Eingangsrechnungen'!A359)</f>
        <v/>
      </c>
      <c r="N359" s="44">
        <f>IF(L359="","",'14_Eingangsrechnungen'!B359)</f>
        <v/>
      </c>
      <c r="O359" s="13">
        <f>IF(L359="","",'14_Eingangsrechnungen'!D359)</f>
        <v/>
      </c>
      <c r="P359" s="13">
        <f>IF(L359="","",'14_Eingangsrechnungen'!C359)</f>
        <v/>
      </c>
      <c r="Q359" s="13">
        <f>IF(L359="","",'14_Eingangsrechnungen'!E359)</f>
        <v/>
      </c>
      <c r="R359" s="15">
        <f>IF(L359="","",'14_Eingangsrechnungen'!M359)</f>
        <v/>
      </c>
      <c r="S359" s="15">
        <f>IF(L359="","",'14_Eingangsrechnungen'!O359)</f>
        <v/>
      </c>
      <c r="T359" s="44">
        <f>IF(L359="","",'14_Eingangsrechnungen'!H359)</f>
        <v/>
      </c>
      <c r="U359" s="45">
        <f>IF(L359="","",'14_Eingangsrechnungen'!P359)</f>
        <v/>
      </c>
    </row>
    <row r="360">
      <c r="A360" s="13">
        <f>IF('13_Ausgangsrechnungen'!A360="","",IF('13_Ausgangsrechnungen'!S360&gt;0.5,"Debitor",""))</f>
        <v/>
      </c>
      <c r="B360" s="13">
        <f>IF(A360="","",'13_Ausgangsrechnungen'!A360)</f>
        <v/>
      </c>
      <c r="C360" s="44">
        <f>IF(A360="","",'13_Ausgangsrechnungen'!B360)</f>
        <v/>
      </c>
      <c r="D360" s="13">
        <f>IF(A360="","",'13_Ausgangsrechnungen'!D360)</f>
        <v/>
      </c>
      <c r="E360" s="13">
        <f>IF(A360="","",'13_Ausgangsrechnungen'!C360)</f>
        <v/>
      </c>
      <c r="F360" s="13">
        <f>IF(A360="","",'13_Ausgangsrechnungen'!E360)</f>
        <v/>
      </c>
      <c r="G360" s="15">
        <f>IF(A360="","",'13_Ausgangsrechnungen'!Q360)</f>
        <v/>
      </c>
      <c r="H360" s="15">
        <f>IF(A360="","",'13_Ausgangsrechnungen'!S360)</f>
        <v/>
      </c>
      <c r="I360" s="44">
        <f>IF(A360="","",'13_Ausgangsrechnungen'!J360)</f>
        <v/>
      </c>
      <c r="J360" s="45">
        <f>IF(A360="","",'13_Ausgangsrechnungen'!T360)</f>
        <v/>
      </c>
      <c r="L360" s="13">
        <f>IF('14_Eingangsrechnungen'!A360="","",IF('14_Eingangsrechnungen'!O360&gt;0.5,"Kreditor",""))</f>
        <v/>
      </c>
      <c r="M360" s="13">
        <f>IF(L360="","",'14_Eingangsrechnungen'!A360)</f>
        <v/>
      </c>
      <c r="N360" s="44">
        <f>IF(L360="","",'14_Eingangsrechnungen'!B360)</f>
        <v/>
      </c>
      <c r="O360" s="13">
        <f>IF(L360="","",'14_Eingangsrechnungen'!D360)</f>
        <v/>
      </c>
      <c r="P360" s="13">
        <f>IF(L360="","",'14_Eingangsrechnungen'!C360)</f>
        <v/>
      </c>
      <c r="Q360" s="13">
        <f>IF(L360="","",'14_Eingangsrechnungen'!E360)</f>
        <v/>
      </c>
      <c r="R360" s="15">
        <f>IF(L360="","",'14_Eingangsrechnungen'!M360)</f>
        <v/>
      </c>
      <c r="S360" s="15">
        <f>IF(L360="","",'14_Eingangsrechnungen'!O360)</f>
        <v/>
      </c>
      <c r="T360" s="44">
        <f>IF(L360="","",'14_Eingangsrechnungen'!H360)</f>
        <v/>
      </c>
      <c r="U360" s="45">
        <f>IF(L360="","",'14_Eingangsrechnungen'!P360)</f>
        <v/>
      </c>
    </row>
    <row r="361">
      <c r="A361" s="13">
        <f>IF('13_Ausgangsrechnungen'!A361="","",IF('13_Ausgangsrechnungen'!S361&gt;0.5,"Debitor",""))</f>
        <v/>
      </c>
      <c r="B361" s="13">
        <f>IF(A361="","",'13_Ausgangsrechnungen'!A361)</f>
        <v/>
      </c>
      <c r="C361" s="44">
        <f>IF(A361="","",'13_Ausgangsrechnungen'!B361)</f>
        <v/>
      </c>
      <c r="D361" s="13">
        <f>IF(A361="","",'13_Ausgangsrechnungen'!D361)</f>
        <v/>
      </c>
      <c r="E361" s="13">
        <f>IF(A361="","",'13_Ausgangsrechnungen'!C361)</f>
        <v/>
      </c>
      <c r="F361" s="13">
        <f>IF(A361="","",'13_Ausgangsrechnungen'!E361)</f>
        <v/>
      </c>
      <c r="G361" s="15">
        <f>IF(A361="","",'13_Ausgangsrechnungen'!Q361)</f>
        <v/>
      </c>
      <c r="H361" s="15">
        <f>IF(A361="","",'13_Ausgangsrechnungen'!S361)</f>
        <v/>
      </c>
      <c r="I361" s="44">
        <f>IF(A361="","",'13_Ausgangsrechnungen'!J361)</f>
        <v/>
      </c>
      <c r="J361" s="45">
        <f>IF(A361="","",'13_Ausgangsrechnungen'!T361)</f>
        <v/>
      </c>
      <c r="L361" s="13">
        <f>IF('14_Eingangsrechnungen'!A361="","",IF('14_Eingangsrechnungen'!O361&gt;0.5,"Kreditor",""))</f>
        <v/>
      </c>
      <c r="M361" s="13">
        <f>IF(L361="","",'14_Eingangsrechnungen'!A361)</f>
        <v/>
      </c>
      <c r="N361" s="44">
        <f>IF(L361="","",'14_Eingangsrechnungen'!B361)</f>
        <v/>
      </c>
      <c r="O361" s="13">
        <f>IF(L361="","",'14_Eingangsrechnungen'!D361)</f>
        <v/>
      </c>
      <c r="P361" s="13">
        <f>IF(L361="","",'14_Eingangsrechnungen'!C361)</f>
        <v/>
      </c>
      <c r="Q361" s="13">
        <f>IF(L361="","",'14_Eingangsrechnungen'!E361)</f>
        <v/>
      </c>
      <c r="R361" s="15">
        <f>IF(L361="","",'14_Eingangsrechnungen'!M361)</f>
        <v/>
      </c>
      <c r="S361" s="15">
        <f>IF(L361="","",'14_Eingangsrechnungen'!O361)</f>
        <v/>
      </c>
      <c r="T361" s="44">
        <f>IF(L361="","",'14_Eingangsrechnungen'!H361)</f>
        <v/>
      </c>
      <c r="U361" s="45">
        <f>IF(L361="","",'14_Eingangsrechnungen'!P361)</f>
        <v/>
      </c>
    </row>
    <row r="362">
      <c r="A362" s="13">
        <f>IF('13_Ausgangsrechnungen'!A362="","",IF('13_Ausgangsrechnungen'!S362&gt;0.5,"Debitor",""))</f>
        <v/>
      </c>
      <c r="B362" s="13">
        <f>IF(A362="","",'13_Ausgangsrechnungen'!A362)</f>
        <v/>
      </c>
      <c r="C362" s="44">
        <f>IF(A362="","",'13_Ausgangsrechnungen'!B362)</f>
        <v/>
      </c>
      <c r="D362" s="13">
        <f>IF(A362="","",'13_Ausgangsrechnungen'!D362)</f>
        <v/>
      </c>
      <c r="E362" s="13">
        <f>IF(A362="","",'13_Ausgangsrechnungen'!C362)</f>
        <v/>
      </c>
      <c r="F362" s="13">
        <f>IF(A362="","",'13_Ausgangsrechnungen'!E362)</f>
        <v/>
      </c>
      <c r="G362" s="15">
        <f>IF(A362="","",'13_Ausgangsrechnungen'!Q362)</f>
        <v/>
      </c>
      <c r="H362" s="15">
        <f>IF(A362="","",'13_Ausgangsrechnungen'!S362)</f>
        <v/>
      </c>
      <c r="I362" s="44">
        <f>IF(A362="","",'13_Ausgangsrechnungen'!J362)</f>
        <v/>
      </c>
      <c r="J362" s="45">
        <f>IF(A362="","",'13_Ausgangsrechnungen'!T362)</f>
        <v/>
      </c>
      <c r="L362" s="13">
        <f>IF('14_Eingangsrechnungen'!A362="","",IF('14_Eingangsrechnungen'!O362&gt;0.5,"Kreditor",""))</f>
        <v/>
      </c>
      <c r="M362" s="13">
        <f>IF(L362="","",'14_Eingangsrechnungen'!A362)</f>
        <v/>
      </c>
      <c r="N362" s="44">
        <f>IF(L362="","",'14_Eingangsrechnungen'!B362)</f>
        <v/>
      </c>
      <c r="O362" s="13">
        <f>IF(L362="","",'14_Eingangsrechnungen'!D362)</f>
        <v/>
      </c>
      <c r="P362" s="13">
        <f>IF(L362="","",'14_Eingangsrechnungen'!C362)</f>
        <v/>
      </c>
      <c r="Q362" s="13">
        <f>IF(L362="","",'14_Eingangsrechnungen'!E362)</f>
        <v/>
      </c>
      <c r="R362" s="15">
        <f>IF(L362="","",'14_Eingangsrechnungen'!M362)</f>
        <v/>
      </c>
      <c r="S362" s="15">
        <f>IF(L362="","",'14_Eingangsrechnungen'!O362)</f>
        <v/>
      </c>
      <c r="T362" s="44">
        <f>IF(L362="","",'14_Eingangsrechnungen'!H362)</f>
        <v/>
      </c>
      <c r="U362" s="45">
        <f>IF(L362="","",'14_Eingangsrechnungen'!P362)</f>
        <v/>
      </c>
    </row>
    <row r="363">
      <c r="A363" s="13">
        <f>IF('13_Ausgangsrechnungen'!A363="","",IF('13_Ausgangsrechnungen'!S363&gt;0.5,"Debitor",""))</f>
        <v/>
      </c>
      <c r="B363" s="13">
        <f>IF(A363="","",'13_Ausgangsrechnungen'!A363)</f>
        <v/>
      </c>
      <c r="C363" s="44">
        <f>IF(A363="","",'13_Ausgangsrechnungen'!B363)</f>
        <v/>
      </c>
      <c r="D363" s="13">
        <f>IF(A363="","",'13_Ausgangsrechnungen'!D363)</f>
        <v/>
      </c>
      <c r="E363" s="13">
        <f>IF(A363="","",'13_Ausgangsrechnungen'!C363)</f>
        <v/>
      </c>
      <c r="F363" s="13">
        <f>IF(A363="","",'13_Ausgangsrechnungen'!E363)</f>
        <v/>
      </c>
      <c r="G363" s="15">
        <f>IF(A363="","",'13_Ausgangsrechnungen'!Q363)</f>
        <v/>
      </c>
      <c r="H363" s="15">
        <f>IF(A363="","",'13_Ausgangsrechnungen'!S363)</f>
        <v/>
      </c>
      <c r="I363" s="44">
        <f>IF(A363="","",'13_Ausgangsrechnungen'!J363)</f>
        <v/>
      </c>
      <c r="J363" s="45">
        <f>IF(A363="","",'13_Ausgangsrechnungen'!T363)</f>
        <v/>
      </c>
      <c r="L363" s="13">
        <f>IF('14_Eingangsrechnungen'!A363="","",IF('14_Eingangsrechnungen'!O363&gt;0.5,"Kreditor",""))</f>
        <v/>
      </c>
      <c r="M363" s="13">
        <f>IF(L363="","",'14_Eingangsrechnungen'!A363)</f>
        <v/>
      </c>
      <c r="N363" s="44">
        <f>IF(L363="","",'14_Eingangsrechnungen'!B363)</f>
        <v/>
      </c>
      <c r="O363" s="13">
        <f>IF(L363="","",'14_Eingangsrechnungen'!D363)</f>
        <v/>
      </c>
      <c r="P363" s="13">
        <f>IF(L363="","",'14_Eingangsrechnungen'!C363)</f>
        <v/>
      </c>
      <c r="Q363" s="13">
        <f>IF(L363="","",'14_Eingangsrechnungen'!E363)</f>
        <v/>
      </c>
      <c r="R363" s="15">
        <f>IF(L363="","",'14_Eingangsrechnungen'!M363)</f>
        <v/>
      </c>
      <c r="S363" s="15">
        <f>IF(L363="","",'14_Eingangsrechnungen'!O363)</f>
        <v/>
      </c>
      <c r="T363" s="44">
        <f>IF(L363="","",'14_Eingangsrechnungen'!H363)</f>
        <v/>
      </c>
      <c r="U363" s="45">
        <f>IF(L363="","",'14_Eingangsrechnungen'!P363)</f>
        <v/>
      </c>
    </row>
    <row r="364">
      <c r="A364" s="13">
        <f>IF('13_Ausgangsrechnungen'!A364="","",IF('13_Ausgangsrechnungen'!S364&gt;0.5,"Debitor",""))</f>
        <v/>
      </c>
      <c r="B364" s="13">
        <f>IF(A364="","",'13_Ausgangsrechnungen'!A364)</f>
        <v/>
      </c>
      <c r="C364" s="44">
        <f>IF(A364="","",'13_Ausgangsrechnungen'!B364)</f>
        <v/>
      </c>
      <c r="D364" s="13">
        <f>IF(A364="","",'13_Ausgangsrechnungen'!D364)</f>
        <v/>
      </c>
      <c r="E364" s="13">
        <f>IF(A364="","",'13_Ausgangsrechnungen'!C364)</f>
        <v/>
      </c>
      <c r="F364" s="13">
        <f>IF(A364="","",'13_Ausgangsrechnungen'!E364)</f>
        <v/>
      </c>
      <c r="G364" s="15">
        <f>IF(A364="","",'13_Ausgangsrechnungen'!Q364)</f>
        <v/>
      </c>
      <c r="H364" s="15">
        <f>IF(A364="","",'13_Ausgangsrechnungen'!S364)</f>
        <v/>
      </c>
      <c r="I364" s="44">
        <f>IF(A364="","",'13_Ausgangsrechnungen'!J364)</f>
        <v/>
      </c>
      <c r="J364" s="45">
        <f>IF(A364="","",'13_Ausgangsrechnungen'!T364)</f>
        <v/>
      </c>
      <c r="L364" s="13">
        <f>IF('14_Eingangsrechnungen'!A364="","",IF('14_Eingangsrechnungen'!O364&gt;0.5,"Kreditor",""))</f>
        <v/>
      </c>
      <c r="M364" s="13">
        <f>IF(L364="","",'14_Eingangsrechnungen'!A364)</f>
        <v/>
      </c>
      <c r="N364" s="44">
        <f>IF(L364="","",'14_Eingangsrechnungen'!B364)</f>
        <v/>
      </c>
      <c r="O364" s="13">
        <f>IF(L364="","",'14_Eingangsrechnungen'!D364)</f>
        <v/>
      </c>
      <c r="P364" s="13">
        <f>IF(L364="","",'14_Eingangsrechnungen'!C364)</f>
        <v/>
      </c>
      <c r="Q364" s="13">
        <f>IF(L364="","",'14_Eingangsrechnungen'!E364)</f>
        <v/>
      </c>
      <c r="R364" s="15">
        <f>IF(L364="","",'14_Eingangsrechnungen'!M364)</f>
        <v/>
      </c>
      <c r="S364" s="15">
        <f>IF(L364="","",'14_Eingangsrechnungen'!O364)</f>
        <v/>
      </c>
      <c r="T364" s="44">
        <f>IF(L364="","",'14_Eingangsrechnungen'!H364)</f>
        <v/>
      </c>
      <c r="U364" s="45">
        <f>IF(L364="","",'14_Eingangsrechnungen'!P364)</f>
        <v/>
      </c>
    </row>
    <row r="365">
      <c r="A365" s="13">
        <f>IF('13_Ausgangsrechnungen'!A365="","",IF('13_Ausgangsrechnungen'!S365&gt;0.5,"Debitor",""))</f>
        <v/>
      </c>
      <c r="B365" s="13">
        <f>IF(A365="","",'13_Ausgangsrechnungen'!A365)</f>
        <v/>
      </c>
      <c r="C365" s="44">
        <f>IF(A365="","",'13_Ausgangsrechnungen'!B365)</f>
        <v/>
      </c>
      <c r="D365" s="13">
        <f>IF(A365="","",'13_Ausgangsrechnungen'!D365)</f>
        <v/>
      </c>
      <c r="E365" s="13">
        <f>IF(A365="","",'13_Ausgangsrechnungen'!C365)</f>
        <v/>
      </c>
      <c r="F365" s="13">
        <f>IF(A365="","",'13_Ausgangsrechnungen'!E365)</f>
        <v/>
      </c>
      <c r="G365" s="15">
        <f>IF(A365="","",'13_Ausgangsrechnungen'!Q365)</f>
        <v/>
      </c>
      <c r="H365" s="15">
        <f>IF(A365="","",'13_Ausgangsrechnungen'!S365)</f>
        <v/>
      </c>
      <c r="I365" s="44">
        <f>IF(A365="","",'13_Ausgangsrechnungen'!J365)</f>
        <v/>
      </c>
      <c r="J365" s="45">
        <f>IF(A365="","",'13_Ausgangsrechnungen'!T365)</f>
        <v/>
      </c>
      <c r="L365" s="13">
        <f>IF('14_Eingangsrechnungen'!A365="","",IF('14_Eingangsrechnungen'!O365&gt;0.5,"Kreditor",""))</f>
        <v/>
      </c>
      <c r="M365" s="13">
        <f>IF(L365="","",'14_Eingangsrechnungen'!A365)</f>
        <v/>
      </c>
      <c r="N365" s="44">
        <f>IF(L365="","",'14_Eingangsrechnungen'!B365)</f>
        <v/>
      </c>
      <c r="O365" s="13">
        <f>IF(L365="","",'14_Eingangsrechnungen'!D365)</f>
        <v/>
      </c>
      <c r="P365" s="13">
        <f>IF(L365="","",'14_Eingangsrechnungen'!C365)</f>
        <v/>
      </c>
      <c r="Q365" s="13">
        <f>IF(L365="","",'14_Eingangsrechnungen'!E365)</f>
        <v/>
      </c>
      <c r="R365" s="15">
        <f>IF(L365="","",'14_Eingangsrechnungen'!M365)</f>
        <v/>
      </c>
      <c r="S365" s="15">
        <f>IF(L365="","",'14_Eingangsrechnungen'!O365)</f>
        <v/>
      </c>
      <c r="T365" s="44">
        <f>IF(L365="","",'14_Eingangsrechnungen'!H365)</f>
        <v/>
      </c>
      <c r="U365" s="45">
        <f>IF(L365="","",'14_Eingangsrechnungen'!P365)</f>
        <v/>
      </c>
    </row>
    <row r="366">
      <c r="A366" s="13">
        <f>IF('13_Ausgangsrechnungen'!A366="","",IF('13_Ausgangsrechnungen'!S366&gt;0.5,"Debitor",""))</f>
        <v/>
      </c>
      <c r="B366" s="13">
        <f>IF(A366="","",'13_Ausgangsrechnungen'!A366)</f>
        <v/>
      </c>
      <c r="C366" s="44">
        <f>IF(A366="","",'13_Ausgangsrechnungen'!B366)</f>
        <v/>
      </c>
      <c r="D366" s="13">
        <f>IF(A366="","",'13_Ausgangsrechnungen'!D366)</f>
        <v/>
      </c>
      <c r="E366" s="13">
        <f>IF(A366="","",'13_Ausgangsrechnungen'!C366)</f>
        <v/>
      </c>
      <c r="F366" s="13">
        <f>IF(A366="","",'13_Ausgangsrechnungen'!E366)</f>
        <v/>
      </c>
      <c r="G366" s="15">
        <f>IF(A366="","",'13_Ausgangsrechnungen'!Q366)</f>
        <v/>
      </c>
      <c r="H366" s="15">
        <f>IF(A366="","",'13_Ausgangsrechnungen'!S366)</f>
        <v/>
      </c>
      <c r="I366" s="44">
        <f>IF(A366="","",'13_Ausgangsrechnungen'!J366)</f>
        <v/>
      </c>
      <c r="J366" s="45">
        <f>IF(A366="","",'13_Ausgangsrechnungen'!T366)</f>
        <v/>
      </c>
      <c r="L366" s="13">
        <f>IF('14_Eingangsrechnungen'!A366="","",IF('14_Eingangsrechnungen'!O366&gt;0.5,"Kreditor",""))</f>
        <v/>
      </c>
      <c r="M366" s="13">
        <f>IF(L366="","",'14_Eingangsrechnungen'!A366)</f>
        <v/>
      </c>
      <c r="N366" s="44">
        <f>IF(L366="","",'14_Eingangsrechnungen'!B366)</f>
        <v/>
      </c>
      <c r="O366" s="13">
        <f>IF(L366="","",'14_Eingangsrechnungen'!D366)</f>
        <v/>
      </c>
      <c r="P366" s="13">
        <f>IF(L366="","",'14_Eingangsrechnungen'!C366)</f>
        <v/>
      </c>
      <c r="Q366" s="13">
        <f>IF(L366="","",'14_Eingangsrechnungen'!E366)</f>
        <v/>
      </c>
      <c r="R366" s="15">
        <f>IF(L366="","",'14_Eingangsrechnungen'!M366)</f>
        <v/>
      </c>
      <c r="S366" s="15">
        <f>IF(L366="","",'14_Eingangsrechnungen'!O366)</f>
        <v/>
      </c>
      <c r="T366" s="44">
        <f>IF(L366="","",'14_Eingangsrechnungen'!H366)</f>
        <v/>
      </c>
      <c r="U366" s="45">
        <f>IF(L366="","",'14_Eingangsrechnungen'!P366)</f>
        <v/>
      </c>
    </row>
    <row r="367">
      <c r="A367" s="13">
        <f>IF('13_Ausgangsrechnungen'!A367="","",IF('13_Ausgangsrechnungen'!S367&gt;0.5,"Debitor",""))</f>
        <v/>
      </c>
      <c r="B367" s="13">
        <f>IF(A367="","",'13_Ausgangsrechnungen'!A367)</f>
        <v/>
      </c>
      <c r="C367" s="44">
        <f>IF(A367="","",'13_Ausgangsrechnungen'!B367)</f>
        <v/>
      </c>
      <c r="D367" s="13">
        <f>IF(A367="","",'13_Ausgangsrechnungen'!D367)</f>
        <v/>
      </c>
      <c r="E367" s="13">
        <f>IF(A367="","",'13_Ausgangsrechnungen'!C367)</f>
        <v/>
      </c>
      <c r="F367" s="13">
        <f>IF(A367="","",'13_Ausgangsrechnungen'!E367)</f>
        <v/>
      </c>
      <c r="G367" s="15">
        <f>IF(A367="","",'13_Ausgangsrechnungen'!Q367)</f>
        <v/>
      </c>
      <c r="H367" s="15">
        <f>IF(A367="","",'13_Ausgangsrechnungen'!S367)</f>
        <v/>
      </c>
      <c r="I367" s="44">
        <f>IF(A367="","",'13_Ausgangsrechnungen'!J367)</f>
        <v/>
      </c>
      <c r="J367" s="45">
        <f>IF(A367="","",'13_Ausgangsrechnungen'!T367)</f>
        <v/>
      </c>
      <c r="L367" s="13">
        <f>IF('14_Eingangsrechnungen'!A367="","",IF('14_Eingangsrechnungen'!O367&gt;0.5,"Kreditor",""))</f>
        <v/>
      </c>
      <c r="M367" s="13">
        <f>IF(L367="","",'14_Eingangsrechnungen'!A367)</f>
        <v/>
      </c>
      <c r="N367" s="44">
        <f>IF(L367="","",'14_Eingangsrechnungen'!B367)</f>
        <v/>
      </c>
      <c r="O367" s="13">
        <f>IF(L367="","",'14_Eingangsrechnungen'!D367)</f>
        <v/>
      </c>
      <c r="P367" s="13">
        <f>IF(L367="","",'14_Eingangsrechnungen'!C367)</f>
        <v/>
      </c>
      <c r="Q367" s="13">
        <f>IF(L367="","",'14_Eingangsrechnungen'!E367)</f>
        <v/>
      </c>
      <c r="R367" s="15">
        <f>IF(L367="","",'14_Eingangsrechnungen'!M367)</f>
        <v/>
      </c>
      <c r="S367" s="15">
        <f>IF(L367="","",'14_Eingangsrechnungen'!O367)</f>
        <v/>
      </c>
      <c r="T367" s="44">
        <f>IF(L367="","",'14_Eingangsrechnungen'!H367)</f>
        <v/>
      </c>
      <c r="U367" s="45">
        <f>IF(L367="","",'14_Eingangsrechnungen'!P367)</f>
        <v/>
      </c>
    </row>
    <row r="368">
      <c r="A368" s="13">
        <f>IF('13_Ausgangsrechnungen'!A368="","",IF('13_Ausgangsrechnungen'!S368&gt;0.5,"Debitor",""))</f>
        <v/>
      </c>
      <c r="B368" s="13">
        <f>IF(A368="","",'13_Ausgangsrechnungen'!A368)</f>
        <v/>
      </c>
      <c r="C368" s="44">
        <f>IF(A368="","",'13_Ausgangsrechnungen'!B368)</f>
        <v/>
      </c>
      <c r="D368" s="13">
        <f>IF(A368="","",'13_Ausgangsrechnungen'!D368)</f>
        <v/>
      </c>
      <c r="E368" s="13">
        <f>IF(A368="","",'13_Ausgangsrechnungen'!C368)</f>
        <v/>
      </c>
      <c r="F368" s="13">
        <f>IF(A368="","",'13_Ausgangsrechnungen'!E368)</f>
        <v/>
      </c>
      <c r="G368" s="15">
        <f>IF(A368="","",'13_Ausgangsrechnungen'!Q368)</f>
        <v/>
      </c>
      <c r="H368" s="15">
        <f>IF(A368="","",'13_Ausgangsrechnungen'!S368)</f>
        <v/>
      </c>
      <c r="I368" s="44">
        <f>IF(A368="","",'13_Ausgangsrechnungen'!J368)</f>
        <v/>
      </c>
      <c r="J368" s="45">
        <f>IF(A368="","",'13_Ausgangsrechnungen'!T368)</f>
        <v/>
      </c>
      <c r="L368" s="13">
        <f>IF('14_Eingangsrechnungen'!A368="","",IF('14_Eingangsrechnungen'!O368&gt;0.5,"Kreditor",""))</f>
        <v/>
      </c>
      <c r="M368" s="13">
        <f>IF(L368="","",'14_Eingangsrechnungen'!A368)</f>
        <v/>
      </c>
      <c r="N368" s="44">
        <f>IF(L368="","",'14_Eingangsrechnungen'!B368)</f>
        <v/>
      </c>
      <c r="O368" s="13">
        <f>IF(L368="","",'14_Eingangsrechnungen'!D368)</f>
        <v/>
      </c>
      <c r="P368" s="13">
        <f>IF(L368="","",'14_Eingangsrechnungen'!C368)</f>
        <v/>
      </c>
      <c r="Q368" s="13">
        <f>IF(L368="","",'14_Eingangsrechnungen'!E368)</f>
        <v/>
      </c>
      <c r="R368" s="15">
        <f>IF(L368="","",'14_Eingangsrechnungen'!M368)</f>
        <v/>
      </c>
      <c r="S368" s="15">
        <f>IF(L368="","",'14_Eingangsrechnungen'!O368)</f>
        <v/>
      </c>
      <c r="T368" s="44">
        <f>IF(L368="","",'14_Eingangsrechnungen'!H368)</f>
        <v/>
      </c>
      <c r="U368" s="45">
        <f>IF(L368="","",'14_Eingangsrechnungen'!P368)</f>
        <v/>
      </c>
    </row>
    <row r="369">
      <c r="A369" s="13">
        <f>IF('13_Ausgangsrechnungen'!A369="","",IF('13_Ausgangsrechnungen'!S369&gt;0.5,"Debitor",""))</f>
        <v/>
      </c>
      <c r="B369" s="13">
        <f>IF(A369="","",'13_Ausgangsrechnungen'!A369)</f>
        <v/>
      </c>
      <c r="C369" s="44">
        <f>IF(A369="","",'13_Ausgangsrechnungen'!B369)</f>
        <v/>
      </c>
      <c r="D369" s="13">
        <f>IF(A369="","",'13_Ausgangsrechnungen'!D369)</f>
        <v/>
      </c>
      <c r="E369" s="13">
        <f>IF(A369="","",'13_Ausgangsrechnungen'!C369)</f>
        <v/>
      </c>
      <c r="F369" s="13">
        <f>IF(A369="","",'13_Ausgangsrechnungen'!E369)</f>
        <v/>
      </c>
      <c r="G369" s="15">
        <f>IF(A369="","",'13_Ausgangsrechnungen'!Q369)</f>
        <v/>
      </c>
      <c r="H369" s="15">
        <f>IF(A369="","",'13_Ausgangsrechnungen'!S369)</f>
        <v/>
      </c>
      <c r="I369" s="44">
        <f>IF(A369="","",'13_Ausgangsrechnungen'!J369)</f>
        <v/>
      </c>
      <c r="J369" s="45">
        <f>IF(A369="","",'13_Ausgangsrechnungen'!T369)</f>
        <v/>
      </c>
      <c r="L369" s="13">
        <f>IF('14_Eingangsrechnungen'!A369="","",IF('14_Eingangsrechnungen'!O369&gt;0.5,"Kreditor",""))</f>
        <v/>
      </c>
      <c r="M369" s="13">
        <f>IF(L369="","",'14_Eingangsrechnungen'!A369)</f>
        <v/>
      </c>
      <c r="N369" s="44">
        <f>IF(L369="","",'14_Eingangsrechnungen'!B369)</f>
        <v/>
      </c>
      <c r="O369" s="13">
        <f>IF(L369="","",'14_Eingangsrechnungen'!D369)</f>
        <v/>
      </c>
      <c r="P369" s="13">
        <f>IF(L369="","",'14_Eingangsrechnungen'!C369)</f>
        <v/>
      </c>
      <c r="Q369" s="13">
        <f>IF(L369="","",'14_Eingangsrechnungen'!E369)</f>
        <v/>
      </c>
      <c r="R369" s="15">
        <f>IF(L369="","",'14_Eingangsrechnungen'!M369)</f>
        <v/>
      </c>
      <c r="S369" s="15">
        <f>IF(L369="","",'14_Eingangsrechnungen'!O369)</f>
        <v/>
      </c>
      <c r="T369" s="44">
        <f>IF(L369="","",'14_Eingangsrechnungen'!H369)</f>
        <v/>
      </c>
      <c r="U369" s="45">
        <f>IF(L369="","",'14_Eingangsrechnungen'!P369)</f>
        <v/>
      </c>
    </row>
    <row r="370">
      <c r="A370" s="13">
        <f>IF('13_Ausgangsrechnungen'!A370="","",IF('13_Ausgangsrechnungen'!S370&gt;0.5,"Debitor",""))</f>
        <v/>
      </c>
      <c r="B370" s="13">
        <f>IF(A370="","",'13_Ausgangsrechnungen'!A370)</f>
        <v/>
      </c>
      <c r="C370" s="44">
        <f>IF(A370="","",'13_Ausgangsrechnungen'!B370)</f>
        <v/>
      </c>
      <c r="D370" s="13">
        <f>IF(A370="","",'13_Ausgangsrechnungen'!D370)</f>
        <v/>
      </c>
      <c r="E370" s="13">
        <f>IF(A370="","",'13_Ausgangsrechnungen'!C370)</f>
        <v/>
      </c>
      <c r="F370" s="13">
        <f>IF(A370="","",'13_Ausgangsrechnungen'!E370)</f>
        <v/>
      </c>
      <c r="G370" s="15">
        <f>IF(A370="","",'13_Ausgangsrechnungen'!Q370)</f>
        <v/>
      </c>
      <c r="H370" s="15">
        <f>IF(A370="","",'13_Ausgangsrechnungen'!S370)</f>
        <v/>
      </c>
      <c r="I370" s="44">
        <f>IF(A370="","",'13_Ausgangsrechnungen'!J370)</f>
        <v/>
      </c>
      <c r="J370" s="45">
        <f>IF(A370="","",'13_Ausgangsrechnungen'!T370)</f>
        <v/>
      </c>
      <c r="L370" s="13">
        <f>IF('14_Eingangsrechnungen'!A370="","",IF('14_Eingangsrechnungen'!O370&gt;0.5,"Kreditor",""))</f>
        <v/>
      </c>
      <c r="M370" s="13">
        <f>IF(L370="","",'14_Eingangsrechnungen'!A370)</f>
        <v/>
      </c>
      <c r="N370" s="44">
        <f>IF(L370="","",'14_Eingangsrechnungen'!B370)</f>
        <v/>
      </c>
      <c r="O370" s="13">
        <f>IF(L370="","",'14_Eingangsrechnungen'!D370)</f>
        <v/>
      </c>
      <c r="P370" s="13">
        <f>IF(L370="","",'14_Eingangsrechnungen'!C370)</f>
        <v/>
      </c>
      <c r="Q370" s="13">
        <f>IF(L370="","",'14_Eingangsrechnungen'!E370)</f>
        <v/>
      </c>
      <c r="R370" s="15">
        <f>IF(L370="","",'14_Eingangsrechnungen'!M370)</f>
        <v/>
      </c>
      <c r="S370" s="15">
        <f>IF(L370="","",'14_Eingangsrechnungen'!O370)</f>
        <v/>
      </c>
      <c r="T370" s="44">
        <f>IF(L370="","",'14_Eingangsrechnungen'!H370)</f>
        <v/>
      </c>
      <c r="U370" s="45">
        <f>IF(L370="","",'14_Eingangsrechnungen'!P370)</f>
        <v/>
      </c>
    </row>
    <row r="371">
      <c r="A371" s="13">
        <f>IF('13_Ausgangsrechnungen'!A371="","",IF('13_Ausgangsrechnungen'!S371&gt;0.5,"Debitor",""))</f>
        <v/>
      </c>
      <c r="B371" s="13">
        <f>IF(A371="","",'13_Ausgangsrechnungen'!A371)</f>
        <v/>
      </c>
      <c r="C371" s="44">
        <f>IF(A371="","",'13_Ausgangsrechnungen'!B371)</f>
        <v/>
      </c>
      <c r="D371" s="13">
        <f>IF(A371="","",'13_Ausgangsrechnungen'!D371)</f>
        <v/>
      </c>
      <c r="E371" s="13">
        <f>IF(A371="","",'13_Ausgangsrechnungen'!C371)</f>
        <v/>
      </c>
      <c r="F371" s="13">
        <f>IF(A371="","",'13_Ausgangsrechnungen'!E371)</f>
        <v/>
      </c>
      <c r="G371" s="15">
        <f>IF(A371="","",'13_Ausgangsrechnungen'!Q371)</f>
        <v/>
      </c>
      <c r="H371" s="15">
        <f>IF(A371="","",'13_Ausgangsrechnungen'!S371)</f>
        <v/>
      </c>
      <c r="I371" s="44">
        <f>IF(A371="","",'13_Ausgangsrechnungen'!J371)</f>
        <v/>
      </c>
      <c r="J371" s="45">
        <f>IF(A371="","",'13_Ausgangsrechnungen'!T371)</f>
        <v/>
      </c>
      <c r="L371" s="13">
        <f>IF('14_Eingangsrechnungen'!A371="","",IF('14_Eingangsrechnungen'!O371&gt;0.5,"Kreditor",""))</f>
        <v/>
      </c>
      <c r="M371" s="13">
        <f>IF(L371="","",'14_Eingangsrechnungen'!A371)</f>
        <v/>
      </c>
      <c r="N371" s="44">
        <f>IF(L371="","",'14_Eingangsrechnungen'!B371)</f>
        <v/>
      </c>
      <c r="O371" s="13">
        <f>IF(L371="","",'14_Eingangsrechnungen'!D371)</f>
        <v/>
      </c>
      <c r="P371" s="13">
        <f>IF(L371="","",'14_Eingangsrechnungen'!C371)</f>
        <v/>
      </c>
      <c r="Q371" s="13">
        <f>IF(L371="","",'14_Eingangsrechnungen'!E371)</f>
        <v/>
      </c>
      <c r="R371" s="15">
        <f>IF(L371="","",'14_Eingangsrechnungen'!M371)</f>
        <v/>
      </c>
      <c r="S371" s="15">
        <f>IF(L371="","",'14_Eingangsrechnungen'!O371)</f>
        <v/>
      </c>
      <c r="T371" s="44">
        <f>IF(L371="","",'14_Eingangsrechnungen'!H371)</f>
        <v/>
      </c>
      <c r="U371" s="45">
        <f>IF(L371="","",'14_Eingangsrechnungen'!P371)</f>
        <v/>
      </c>
    </row>
    <row r="372">
      <c r="A372" s="13">
        <f>IF('13_Ausgangsrechnungen'!A372="","",IF('13_Ausgangsrechnungen'!S372&gt;0.5,"Debitor",""))</f>
        <v/>
      </c>
      <c r="B372" s="13">
        <f>IF(A372="","",'13_Ausgangsrechnungen'!A372)</f>
        <v/>
      </c>
      <c r="C372" s="44">
        <f>IF(A372="","",'13_Ausgangsrechnungen'!B372)</f>
        <v/>
      </c>
      <c r="D372" s="13">
        <f>IF(A372="","",'13_Ausgangsrechnungen'!D372)</f>
        <v/>
      </c>
      <c r="E372" s="13">
        <f>IF(A372="","",'13_Ausgangsrechnungen'!C372)</f>
        <v/>
      </c>
      <c r="F372" s="13">
        <f>IF(A372="","",'13_Ausgangsrechnungen'!E372)</f>
        <v/>
      </c>
      <c r="G372" s="15">
        <f>IF(A372="","",'13_Ausgangsrechnungen'!Q372)</f>
        <v/>
      </c>
      <c r="H372" s="15">
        <f>IF(A372="","",'13_Ausgangsrechnungen'!S372)</f>
        <v/>
      </c>
      <c r="I372" s="44">
        <f>IF(A372="","",'13_Ausgangsrechnungen'!J372)</f>
        <v/>
      </c>
      <c r="J372" s="45">
        <f>IF(A372="","",'13_Ausgangsrechnungen'!T372)</f>
        <v/>
      </c>
      <c r="L372" s="13">
        <f>IF('14_Eingangsrechnungen'!A372="","",IF('14_Eingangsrechnungen'!O372&gt;0.5,"Kreditor",""))</f>
        <v/>
      </c>
      <c r="M372" s="13">
        <f>IF(L372="","",'14_Eingangsrechnungen'!A372)</f>
        <v/>
      </c>
      <c r="N372" s="44">
        <f>IF(L372="","",'14_Eingangsrechnungen'!B372)</f>
        <v/>
      </c>
      <c r="O372" s="13">
        <f>IF(L372="","",'14_Eingangsrechnungen'!D372)</f>
        <v/>
      </c>
      <c r="P372" s="13">
        <f>IF(L372="","",'14_Eingangsrechnungen'!C372)</f>
        <v/>
      </c>
      <c r="Q372" s="13">
        <f>IF(L372="","",'14_Eingangsrechnungen'!E372)</f>
        <v/>
      </c>
      <c r="R372" s="15">
        <f>IF(L372="","",'14_Eingangsrechnungen'!M372)</f>
        <v/>
      </c>
      <c r="S372" s="15">
        <f>IF(L372="","",'14_Eingangsrechnungen'!O372)</f>
        <v/>
      </c>
      <c r="T372" s="44">
        <f>IF(L372="","",'14_Eingangsrechnungen'!H372)</f>
        <v/>
      </c>
      <c r="U372" s="45">
        <f>IF(L372="","",'14_Eingangsrechnungen'!P372)</f>
        <v/>
      </c>
    </row>
    <row r="373">
      <c r="A373" s="13">
        <f>IF('13_Ausgangsrechnungen'!A373="","",IF('13_Ausgangsrechnungen'!S373&gt;0.5,"Debitor",""))</f>
        <v/>
      </c>
      <c r="B373" s="13">
        <f>IF(A373="","",'13_Ausgangsrechnungen'!A373)</f>
        <v/>
      </c>
      <c r="C373" s="44">
        <f>IF(A373="","",'13_Ausgangsrechnungen'!B373)</f>
        <v/>
      </c>
      <c r="D373" s="13">
        <f>IF(A373="","",'13_Ausgangsrechnungen'!D373)</f>
        <v/>
      </c>
      <c r="E373" s="13">
        <f>IF(A373="","",'13_Ausgangsrechnungen'!C373)</f>
        <v/>
      </c>
      <c r="F373" s="13">
        <f>IF(A373="","",'13_Ausgangsrechnungen'!E373)</f>
        <v/>
      </c>
      <c r="G373" s="15">
        <f>IF(A373="","",'13_Ausgangsrechnungen'!Q373)</f>
        <v/>
      </c>
      <c r="H373" s="15">
        <f>IF(A373="","",'13_Ausgangsrechnungen'!S373)</f>
        <v/>
      </c>
      <c r="I373" s="44">
        <f>IF(A373="","",'13_Ausgangsrechnungen'!J373)</f>
        <v/>
      </c>
      <c r="J373" s="45">
        <f>IF(A373="","",'13_Ausgangsrechnungen'!T373)</f>
        <v/>
      </c>
      <c r="L373" s="13">
        <f>IF('14_Eingangsrechnungen'!A373="","",IF('14_Eingangsrechnungen'!O373&gt;0.5,"Kreditor",""))</f>
        <v/>
      </c>
      <c r="M373" s="13">
        <f>IF(L373="","",'14_Eingangsrechnungen'!A373)</f>
        <v/>
      </c>
      <c r="N373" s="44">
        <f>IF(L373="","",'14_Eingangsrechnungen'!B373)</f>
        <v/>
      </c>
      <c r="O373" s="13">
        <f>IF(L373="","",'14_Eingangsrechnungen'!D373)</f>
        <v/>
      </c>
      <c r="P373" s="13">
        <f>IF(L373="","",'14_Eingangsrechnungen'!C373)</f>
        <v/>
      </c>
      <c r="Q373" s="13">
        <f>IF(L373="","",'14_Eingangsrechnungen'!E373)</f>
        <v/>
      </c>
      <c r="R373" s="15">
        <f>IF(L373="","",'14_Eingangsrechnungen'!M373)</f>
        <v/>
      </c>
      <c r="S373" s="15">
        <f>IF(L373="","",'14_Eingangsrechnungen'!O373)</f>
        <v/>
      </c>
      <c r="T373" s="44">
        <f>IF(L373="","",'14_Eingangsrechnungen'!H373)</f>
        <v/>
      </c>
      <c r="U373" s="45">
        <f>IF(L373="","",'14_Eingangsrechnungen'!P373)</f>
        <v/>
      </c>
    </row>
    <row r="374">
      <c r="A374" s="13">
        <f>IF('13_Ausgangsrechnungen'!A374="","",IF('13_Ausgangsrechnungen'!S374&gt;0.5,"Debitor",""))</f>
        <v/>
      </c>
      <c r="B374" s="13">
        <f>IF(A374="","",'13_Ausgangsrechnungen'!A374)</f>
        <v/>
      </c>
      <c r="C374" s="44">
        <f>IF(A374="","",'13_Ausgangsrechnungen'!B374)</f>
        <v/>
      </c>
      <c r="D374" s="13">
        <f>IF(A374="","",'13_Ausgangsrechnungen'!D374)</f>
        <v/>
      </c>
      <c r="E374" s="13">
        <f>IF(A374="","",'13_Ausgangsrechnungen'!C374)</f>
        <v/>
      </c>
      <c r="F374" s="13">
        <f>IF(A374="","",'13_Ausgangsrechnungen'!E374)</f>
        <v/>
      </c>
      <c r="G374" s="15">
        <f>IF(A374="","",'13_Ausgangsrechnungen'!Q374)</f>
        <v/>
      </c>
      <c r="H374" s="15">
        <f>IF(A374="","",'13_Ausgangsrechnungen'!S374)</f>
        <v/>
      </c>
      <c r="I374" s="44">
        <f>IF(A374="","",'13_Ausgangsrechnungen'!J374)</f>
        <v/>
      </c>
      <c r="J374" s="45">
        <f>IF(A374="","",'13_Ausgangsrechnungen'!T374)</f>
        <v/>
      </c>
      <c r="L374" s="13">
        <f>IF('14_Eingangsrechnungen'!A374="","",IF('14_Eingangsrechnungen'!O374&gt;0.5,"Kreditor",""))</f>
        <v/>
      </c>
      <c r="M374" s="13">
        <f>IF(L374="","",'14_Eingangsrechnungen'!A374)</f>
        <v/>
      </c>
      <c r="N374" s="44">
        <f>IF(L374="","",'14_Eingangsrechnungen'!B374)</f>
        <v/>
      </c>
      <c r="O374" s="13">
        <f>IF(L374="","",'14_Eingangsrechnungen'!D374)</f>
        <v/>
      </c>
      <c r="P374" s="13">
        <f>IF(L374="","",'14_Eingangsrechnungen'!C374)</f>
        <v/>
      </c>
      <c r="Q374" s="13">
        <f>IF(L374="","",'14_Eingangsrechnungen'!E374)</f>
        <v/>
      </c>
      <c r="R374" s="15">
        <f>IF(L374="","",'14_Eingangsrechnungen'!M374)</f>
        <v/>
      </c>
      <c r="S374" s="15">
        <f>IF(L374="","",'14_Eingangsrechnungen'!O374)</f>
        <v/>
      </c>
      <c r="T374" s="44">
        <f>IF(L374="","",'14_Eingangsrechnungen'!H374)</f>
        <v/>
      </c>
      <c r="U374" s="45">
        <f>IF(L374="","",'14_Eingangsrechnungen'!P374)</f>
        <v/>
      </c>
    </row>
    <row r="375">
      <c r="A375" s="13">
        <f>IF('13_Ausgangsrechnungen'!A375="","",IF('13_Ausgangsrechnungen'!S375&gt;0.5,"Debitor",""))</f>
        <v/>
      </c>
      <c r="B375" s="13">
        <f>IF(A375="","",'13_Ausgangsrechnungen'!A375)</f>
        <v/>
      </c>
      <c r="C375" s="44">
        <f>IF(A375="","",'13_Ausgangsrechnungen'!B375)</f>
        <v/>
      </c>
      <c r="D375" s="13">
        <f>IF(A375="","",'13_Ausgangsrechnungen'!D375)</f>
        <v/>
      </c>
      <c r="E375" s="13">
        <f>IF(A375="","",'13_Ausgangsrechnungen'!C375)</f>
        <v/>
      </c>
      <c r="F375" s="13">
        <f>IF(A375="","",'13_Ausgangsrechnungen'!E375)</f>
        <v/>
      </c>
      <c r="G375" s="15">
        <f>IF(A375="","",'13_Ausgangsrechnungen'!Q375)</f>
        <v/>
      </c>
      <c r="H375" s="15">
        <f>IF(A375="","",'13_Ausgangsrechnungen'!S375)</f>
        <v/>
      </c>
      <c r="I375" s="44">
        <f>IF(A375="","",'13_Ausgangsrechnungen'!J375)</f>
        <v/>
      </c>
      <c r="J375" s="45">
        <f>IF(A375="","",'13_Ausgangsrechnungen'!T375)</f>
        <v/>
      </c>
      <c r="L375" s="13">
        <f>IF('14_Eingangsrechnungen'!A375="","",IF('14_Eingangsrechnungen'!O375&gt;0.5,"Kreditor",""))</f>
        <v/>
      </c>
      <c r="M375" s="13">
        <f>IF(L375="","",'14_Eingangsrechnungen'!A375)</f>
        <v/>
      </c>
      <c r="N375" s="44">
        <f>IF(L375="","",'14_Eingangsrechnungen'!B375)</f>
        <v/>
      </c>
      <c r="O375" s="13">
        <f>IF(L375="","",'14_Eingangsrechnungen'!D375)</f>
        <v/>
      </c>
      <c r="P375" s="13">
        <f>IF(L375="","",'14_Eingangsrechnungen'!C375)</f>
        <v/>
      </c>
      <c r="Q375" s="13">
        <f>IF(L375="","",'14_Eingangsrechnungen'!E375)</f>
        <v/>
      </c>
      <c r="R375" s="15">
        <f>IF(L375="","",'14_Eingangsrechnungen'!M375)</f>
        <v/>
      </c>
      <c r="S375" s="15">
        <f>IF(L375="","",'14_Eingangsrechnungen'!O375)</f>
        <v/>
      </c>
      <c r="T375" s="44">
        <f>IF(L375="","",'14_Eingangsrechnungen'!H375)</f>
        <v/>
      </c>
      <c r="U375" s="45">
        <f>IF(L375="","",'14_Eingangsrechnungen'!P375)</f>
        <v/>
      </c>
    </row>
    <row r="376">
      <c r="A376" s="13">
        <f>IF('13_Ausgangsrechnungen'!A376="","",IF('13_Ausgangsrechnungen'!S376&gt;0.5,"Debitor",""))</f>
        <v/>
      </c>
      <c r="B376" s="13">
        <f>IF(A376="","",'13_Ausgangsrechnungen'!A376)</f>
        <v/>
      </c>
      <c r="C376" s="44">
        <f>IF(A376="","",'13_Ausgangsrechnungen'!B376)</f>
        <v/>
      </c>
      <c r="D376" s="13">
        <f>IF(A376="","",'13_Ausgangsrechnungen'!D376)</f>
        <v/>
      </c>
      <c r="E376" s="13">
        <f>IF(A376="","",'13_Ausgangsrechnungen'!C376)</f>
        <v/>
      </c>
      <c r="F376" s="13">
        <f>IF(A376="","",'13_Ausgangsrechnungen'!E376)</f>
        <v/>
      </c>
      <c r="G376" s="15">
        <f>IF(A376="","",'13_Ausgangsrechnungen'!Q376)</f>
        <v/>
      </c>
      <c r="H376" s="15">
        <f>IF(A376="","",'13_Ausgangsrechnungen'!S376)</f>
        <v/>
      </c>
      <c r="I376" s="44">
        <f>IF(A376="","",'13_Ausgangsrechnungen'!J376)</f>
        <v/>
      </c>
      <c r="J376" s="45">
        <f>IF(A376="","",'13_Ausgangsrechnungen'!T376)</f>
        <v/>
      </c>
      <c r="L376" s="13">
        <f>IF('14_Eingangsrechnungen'!A376="","",IF('14_Eingangsrechnungen'!O376&gt;0.5,"Kreditor",""))</f>
        <v/>
      </c>
      <c r="M376" s="13">
        <f>IF(L376="","",'14_Eingangsrechnungen'!A376)</f>
        <v/>
      </c>
      <c r="N376" s="44">
        <f>IF(L376="","",'14_Eingangsrechnungen'!B376)</f>
        <v/>
      </c>
      <c r="O376" s="13">
        <f>IF(L376="","",'14_Eingangsrechnungen'!D376)</f>
        <v/>
      </c>
      <c r="P376" s="13">
        <f>IF(L376="","",'14_Eingangsrechnungen'!C376)</f>
        <v/>
      </c>
      <c r="Q376" s="13">
        <f>IF(L376="","",'14_Eingangsrechnungen'!E376)</f>
        <v/>
      </c>
      <c r="R376" s="15">
        <f>IF(L376="","",'14_Eingangsrechnungen'!M376)</f>
        <v/>
      </c>
      <c r="S376" s="15">
        <f>IF(L376="","",'14_Eingangsrechnungen'!O376)</f>
        <v/>
      </c>
      <c r="T376" s="44">
        <f>IF(L376="","",'14_Eingangsrechnungen'!H376)</f>
        <v/>
      </c>
      <c r="U376" s="45">
        <f>IF(L376="","",'14_Eingangsrechnungen'!P376)</f>
        <v/>
      </c>
    </row>
    <row r="377">
      <c r="A377" s="13">
        <f>IF('13_Ausgangsrechnungen'!A377="","",IF('13_Ausgangsrechnungen'!S377&gt;0.5,"Debitor",""))</f>
        <v/>
      </c>
      <c r="B377" s="13">
        <f>IF(A377="","",'13_Ausgangsrechnungen'!A377)</f>
        <v/>
      </c>
      <c r="C377" s="44">
        <f>IF(A377="","",'13_Ausgangsrechnungen'!B377)</f>
        <v/>
      </c>
      <c r="D377" s="13">
        <f>IF(A377="","",'13_Ausgangsrechnungen'!D377)</f>
        <v/>
      </c>
      <c r="E377" s="13">
        <f>IF(A377="","",'13_Ausgangsrechnungen'!C377)</f>
        <v/>
      </c>
      <c r="F377" s="13">
        <f>IF(A377="","",'13_Ausgangsrechnungen'!E377)</f>
        <v/>
      </c>
      <c r="G377" s="15">
        <f>IF(A377="","",'13_Ausgangsrechnungen'!Q377)</f>
        <v/>
      </c>
      <c r="H377" s="15">
        <f>IF(A377="","",'13_Ausgangsrechnungen'!S377)</f>
        <v/>
      </c>
      <c r="I377" s="44">
        <f>IF(A377="","",'13_Ausgangsrechnungen'!J377)</f>
        <v/>
      </c>
      <c r="J377" s="45">
        <f>IF(A377="","",'13_Ausgangsrechnungen'!T377)</f>
        <v/>
      </c>
      <c r="L377" s="13">
        <f>IF('14_Eingangsrechnungen'!A377="","",IF('14_Eingangsrechnungen'!O377&gt;0.5,"Kreditor",""))</f>
        <v/>
      </c>
      <c r="M377" s="13">
        <f>IF(L377="","",'14_Eingangsrechnungen'!A377)</f>
        <v/>
      </c>
      <c r="N377" s="44">
        <f>IF(L377="","",'14_Eingangsrechnungen'!B377)</f>
        <v/>
      </c>
      <c r="O377" s="13">
        <f>IF(L377="","",'14_Eingangsrechnungen'!D377)</f>
        <v/>
      </c>
      <c r="P377" s="13">
        <f>IF(L377="","",'14_Eingangsrechnungen'!C377)</f>
        <v/>
      </c>
      <c r="Q377" s="13">
        <f>IF(L377="","",'14_Eingangsrechnungen'!E377)</f>
        <v/>
      </c>
      <c r="R377" s="15">
        <f>IF(L377="","",'14_Eingangsrechnungen'!M377)</f>
        <v/>
      </c>
      <c r="S377" s="15">
        <f>IF(L377="","",'14_Eingangsrechnungen'!O377)</f>
        <v/>
      </c>
      <c r="T377" s="44">
        <f>IF(L377="","",'14_Eingangsrechnungen'!H377)</f>
        <v/>
      </c>
      <c r="U377" s="45">
        <f>IF(L377="","",'14_Eingangsrechnungen'!P377)</f>
        <v/>
      </c>
    </row>
    <row r="378">
      <c r="A378" s="13">
        <f>IF('13_Ausgangsrechnungen'!A378="","",IF('13_Ausgangsrechnungen'!S378&gt;0.5,"Debitor",""))</f>
        <v/>
      </c>
      <c r="B378" s="13">
        <f>IF(A378="","",'13_Ausgangsrechnungen'!A378)</f>
        <v/>
      </c>
      <c r="C378" s="44">
        <f>IF(A378="","",'13_Ausgangsrechnungen'!B378)</f>
        <v/>
      </c>
      <c r="D378" s="13">
        <f>IF(A378="","",'13_Ausgangsrechnungen'!D378)</f>
        <v/>
      </c>
      <c r="E378" s="13">
        <f>IF(A378="","",'13_Ausgangsrechnungen'!C378)</f>
        <v/>
      </c>
      <c r="F378" s="13">
        <f>IF(A378="","",'13_Ausgangsrechnungen'!E378)</f>
        <v/>
      </c>
      <c r="G378" s="15">
        <f>IF(A378="","",'13_Ausgangsrechnungen'!Q378)</f>
        <v/>
      </c>
      <c r="H378" s="15">
        <f>IF(A378="","",'13_Ausgangsrechnungen'!S378)</f>
        <v/>
      </c>
      <c r="I378" s="44">
        <f>IF(A378="","",'13_Ausgangsrechnungen'!J378)</f>
        <v/>
      </c>
      <c r="J378" s="45">
        <f>IF(A378="","",'13_Ausgangsrechnungen'!T378)</f>
        <v/>
      </c>
      <c r="L378" s="13">
        <f>IF('14_Eingangsrechnungen'!A378="","",IF('14_Eingangsrechnungen'!O378&gt;0.5,"Kreditor",""))</f>
        <v/>
      </c>
      <c r="M378" s="13">
        <f>IF(L378="","",'14_Eingangsrechnungen'!A378)</f>
        <v/>
      </c>
      <c r="N378" s="44">
        <f>IF(L378="","",'14_Eingangsrechnungen'!B378)</f>
        <v/>
      </c>
      <c r="O378" s="13">
        <f>IF(L378="","",'14_Eingangsrechnungen'!D378)</f>
        <v/>
      </c>
      <c r="P378" s="13">
        <f>IF(L378="","",'14_Eingangsrechnungen'!C378)</f>
        <v/>
      </c>
      <c r="Q378" s="13">
        <f>IF(L378="","",'14_Eingangsrechnungen'!E378)</f>
        <v/>
      </c>
      <c r="R378" s="15">
        <f>IF(L378="","",'14_Eingangsrechnungen'!M378)</f>
        <v/>
      </c>
      <c r="S378" s="15">
        <f>IF(L378="","",'14_Eingangsrechnungen'!O378)</f>
        <v/>
      </c>
      <c r="T378" s="44">
        <f>IF(L378="","",'14_Eingangsrechnungen'!H378)</f>
        <v/>
      </c>
      <c r="U378" s="45">
        <f>IF(L378="","",'14_Eingangsrechnungen'!P378)</f>
        <v/>
      </c>
    </row>
    <row r="379">
      <c r="A379" s="13">
        <f>IF('13_Ausgangsrechnungen'!A379="","",IF('13_Ausgangsrechnungen'!S379&gt;0.5,"Debitor",""))</f>
        <v/>
      </c>
      <c r="B379" s="13">
        <f>IF(A379="","",'13_Ausgangsrechnungen'!A379)</f>
        <v/>
      </c>
      <c r="C379" s="44">
        <f>IF(A379="","",'13_Ausgangsrechnungen'!B379)</f>
        <v/>
      </c>
      <c r="D379" s="13">
        <f>IF(A379="","",'13_Ausgangsrechnungen'!D379)</f>
        <v/>
      </c>
      <c r="E379" s="13">
        <f>IF(A379="","",'13_Ausgangsrechnungen'!C379)</f>
        <v/>
      </c>
      <c r="F379" s="13">
        <f>IF(A379="","",'13_Ausgangsrechnungen'!E379)</f>
        <v/>
      </c>
      <c r="G379" s="15">
        <f>IF(A379="","",'13_Ausgangsrechnungen'!Q379)</f>
        <v/>
      </c>
      <c r="H379" s="15">
        <f>IF(A379="","",'13_Ausgangsrechnungen'!S379)</f>
        <v/>
      </c>
      <c r="I379" s="44">
        <f>IF(A379="","",'13_Ausgangsrechnungen'!J379)</f>
        <v/>
      </c>
      <c r="J379" s="45">
        <f>IF(A379="","",'13_Ausgangsrechnungen'!T379)</f>
        <v/>
      </c>
      <c r="L379" s="13">
        <f>IF('14_Eingangsrechnungen'!A379="","",IF('14_Eingangsrechnungen'!O379&gt;0.5,"Kreditor",""))</f>
        <v/>
      </c>
      <c r="M379" s="13">
        <f>IF(L379="","",'14_Eingangsrechnungen'!A379)</f>
        <v/>
      </c>
      <c r="N379" s="44">
        <f>IF(L379="","",'14_Eingangsrechnungen'!B379)</f>
        <v/>
      </c>
      <c r="O379" s="13">
        <f>IF(L379="","",'14_Eingangsrechnungen'!D379)</f>
        <v/>
      </c>
      <c r="P379" s="13">
        <f>IF(L379="","",'14_Eingangsrechnungen'!C379)</f>
        <v/>
      </c>
      <c r="Q379" s="13">
        <f>IF(L379="","",'14_Eingangsrechnungen'!E379)</f>
        <v/>
      </c>
      <c r="R379" s="15">
        <f>IF(L379="","",'14_Eingangsrechnungen'!M379)</f>
        <v/>
      </c>
      <c r="S379" s="15">
        <f>IF(L379="","",'14_Eingangsrechnungen'!O379)</f>
        <v/>
      </c>
      <c r="T379" s="44">
        <f>IF(L379="","",'14_Eingangsrechnungen'!H379)</f>
        <v/>
      </c>
      <c r="U379" s="45">
        <f>IF(L379="","",'14_Eingangsrechnungen'!P379)</f>
        <v/>
      </c>
    </row>
    <row r="380">
      <c r="A380" s="13">
        <f>IF('13_Ausgangsrechnungen'!A380="","",IF('13_Ausgangsrechnungen'!S380&gt;0.5,"Debitor",""))</f>
        <v/>
      </c>
      <c r="B380" s="13">
        <f>IF(A380="","",'13_Ausgangsrechnungen'!A380)</f>
        <v/>
      </c>
      <c r="C380" s="44">
        <f>IF(A380="","",'13_Ausgangsrechnungen'!B380)</f>
        <v/>
      </c>
      <c r="D380" s="13">
        <f>IF(A380="","",'13_Ausgangsrechnungen'!D380)</f>
        <v/>
      </c>
      <c r="E380" s="13">
        <f>IF(A380="","",'13_Ausgangsrechnungen'!C380)</f>
        <v/>
      </c>
      <c r="F380" s="13">
        <f>IF(A380="","",'13_Ausgangsrechnungen'!E380)</f>
        <v/>
      </c>
      <c r="G380" s="15">
        <f>IF(A380="","",'13_Ausgangsrechnungen'!Q380)</f>
        <v/>
      </c>
      <c r="H380" s="15">
        <f>IF(A380="","",'13_Ausgangsrechnungen'!S380)</f>
        <v/>
      </c>
      <c r="I380" s="44">
        <f>IF(A380="","",'13_Ausgangsrechnungen'!J380)</f>
        <v/>
      </c>
      <c r="J380" s="45">
        <f>IF(A380="","",'13_Ausgangsrechnungen'!T380)</f>
        <v/>
      </c>
      <c r="L380" s="13">
        <f>IF('14_Eingangsrechnungen'!A380="","",IF('14_Eingangsrechnungen'!O380&gt;0.5,"Kreditor",""))</f>
        <v/>
      </c>
      <c r="M380" s="13">
        <f>IF(L380="","",'14_Eingangsrechnungen'!A380)</f>
        <v/>
      </c>
      <c r="N380" s="44">
        <f>IF(L380="","",'14_Eingangsrechnungen'!B380)</f>
        <v/>
      </c>
      <c r="O380" s="13">
        <f>IF(L380="","",'14_Eingangsrechnungen'!D380)</f>
        <v/>
      </c>
      <c r="P380" s="13">
        <f>IF(L380="","",'14_Eingangsrechnungen'!C380)</f>
        <v/>
      </c>
      <c r="Q380" s="13">
        <f>IF(L380="","",'14_Eingangsrechnungen'!E380)</f>
        <v/>
      </c>
      <c r="R380" s="15">
        <f>IF(L380="","",'14_Eingangsrechnungen'!M380)</f>
        <v/>
      </c>
      <c r="S380" s="15">
        <f>IF(L380="","",'14_Eingangsrechnungen'!O380)</f>
        <v/>
      </c>
      <c r="T380" s="44">
        <f>IF(L380="","",'14_Eingangsrechnungen'!H380)</f>
        <v/>
      </c>
      <c r="U380" s="45">
        <f>IF(L380="","",'14_Eingangsrechnungen'!P380)</f>
        <v/>
      </c>
    </row>
    <row r="381">
      <c r="A381" s="13">
        <f>IF('13_Ausgangsrechnungen'!A381="","",IF('13_Ausgangsrechnungen'!S381&gt;0.5,"Debitor",""))</f>
        <v/>
      </c>
      <c r="B381" s="13">
        <f>IF(A381="","",'13_Ausgangsrechnungen'!A381)</f>
        <v/>
      </c>
      <c r="C381" s="44">
        <f>IF(A381="","",'13_Ausgangsrechnungen'!B381)</f>
        <v/>
      </c>
      <c r="D381" s="13">
        <f>IF(A381="","",'13_Ausgangsrechnungen'!D381)</f>
        <v/>
      </c>
      <c r="E381" s="13">
        <f>IF(A381="","",'13_Ausgangsrechnungen'!C381)</f>
        <v/>
      </c>
      <c r="F381" s="13">
        <f>IF(A381="","",'13_Ausgangsrechnungen'!E381)</f>
        <v/>
      </c>
      <c r="G381" s="15">
        <f>IF(A381="","",'13_Ausgangsrechnungen'!Q381)</f>
        <v/>
      </c>
      <c r="H381" s="15">
        <f>IF(A381="","",'13_Ausgangsrechnungen'!S381)</f>
        <v/>
      </c>
      <c r="I381" s="44">
        <f>IF(A381="","",'13_Ausgangsrechnungen'!J381)</f>
        <v/>
      </c>
      <c r="J381" s="45">
        <f>IF(A381="","",'13_Ausgangsrechnungen'!T381)</f>
        <v/>
      </c>
      <c r="L381" s="13">
        <f>IF('14_Eingangsrechnungen'!A381="","",IF('14_Eingangsrechnungen'!O381&gt;0.5,"Kreditor",""))</f>
        <v/>
      </c>
      <c r="M381" s="13">
        <f>IF(L381="","",'14_Eingangsrechnungen'!A381)</f>
        <v/>
      </c>
      <c r="N381" s="44">
        <f>IF(L381="","",'14_Eingangsrechnungen'!B381)</f>
        <v/>
      </c>
      <c r="O381" s="13">
        <f>IF(L381="","",'14_Eingangsrechnungen'!D381)</f>
        <v/>
      </c>
      <c r="P381" s="13">
        <f>IF(L381="","",'14_Eingangsrechnungen'!C381)</f>
        <v/>
      </c>
      <c r="Q381" s="13">
        <f>IF(L381="","",'14_Eingangsrechnungen'!E381)</f>
        <v/>
      </c>
      <c r="R381" s="15">
        <f>IF(L381="","",'14_Eingangsrechnungen'!M381)</f>
        <v/>
      </c>
      <c r="S381" s="15">
        <f>IF(L381="","",'14_Eingangsrechnungen'!O381)</f>
        <v/>
      </c>
      <c r="T381" s="44">
        <f>IF(L381="","",'14_Eingangsrechnungen'!H381)</f>
        <v/>
      </c>
      <c r="U381" s="45">
        <f>IF(L381="","",'14_Eingangsrechnungen'!P381)</f>
        <v/>
      </c>
    </row>
    <row r="382">
      <c r="A382" s="13">
        <f>IF('13_Ausgangsrechnungen'!A382="","",IF('13_Ausgangsrechnungen'!S382&gt;0.5,"Debitor",""))</f>
        <v/>
      </c>
      <c r="B382" s="13">
        <f>IF(A382="","",'13_Ausgangsrechnungen'!A382)</f>
        <v/>
      </c>
      <c r="C382" s="44">
        <f>IF(A382="","",'13_Ausgangsrechnungen'!B382)</f>
        <v/>
      </c>
      <c r="D382" s="13">
        <f>IF(A382="","",'13_Ausgangsrechnungen'!D382)</f>
        <v/>
      </c>
      <c r="E382" s="13">
        <f>IF(A382="","",'13_Ausgangsrechnungen'!C382)</f>
        <v/>
      </c>
      <c r="F382" s="13">
        <f>IF(A382="","",'13_Ausgangsrechnungen'!E382)</f>
        <v/>
      </c>
      <c r="G382" s="15">
        <f>IF(A382="","",'13_Ausgangsrechnungen'!Q382)</f>
        <v/>
      </c>
      <c r="H382" s="15">
        <f>IF(A382="","",'13_Ausgangsrechnungen'!S382)</f>
        <v/>
      </c>
      <c r="I382" s="44">
        <f>IF(A382="","",'13_Ausgangsrechnungen'!J382)</f>
        <v/>
      </c>
      <c r="J382" s="45">
        <f>IF(A382="","",'13_Ausgangsrechnungen'!T382)</f>
        <v/>
      </c>
      <c r="L382" s="13">
        <f>IF('14_Eingangsrechnungen'!A382="","",IF('14_Eingangsrechnungen'!O382&gt;0.5,"Kreditor",""))</f>
        <v/>
      </c>
      <c r="M382" s="13">
        <f>IF(L382="","",'14_Eingangsrechnungen'!A382)</f>
        <v/>
      </c>
      <c r="N382" s="44">
        <f>IF(L382="","",'14_Eingangsrechnungen'!B382)</f>
        <v/>
      </c>
      <c r="O382" s="13">
        <f>IF(L382="","",'14_Eingangsrechnungen'!D382)</f>
        <v/>
      </c>
      <c r="P382" s="13">
        <f>IF(L382="","",'14_Eingangsrechnungen'!C382)</f>
        <v/>
      </c>
      <c r="Q382" s="13">
        <f>IF(L382="","",'14_Eingangsrechnungen'!E382)</f>
        <v/>
      </c>
      <c r="R382" s="15">
        <f>IF(L382="","",'14_Eingangsrechnungen'!M382)</f>
        <v/>
      </c>
      <c r="S382" s="15">
        <f>IF(L382="","",'14_Eingangsrechnungen'!O382)</f>
        <v/>
      </c>
      <c r="T382" s="44">
        <f>IF(L382="","",'14_Eingangsrechnungen'!H382)</f>
        <v/>
      </c>
      <c r="U382" s="45">
        <f>IF(L382="","",'14_Eingangsrechnungen'!P382)</f>
        <v/>
      </c>
    </row>
    <row r="383">
      <c r="A383" s="13">
        <f>IF('13_Ausgangsrechnungen'!A383="","",IF('13_Ausgangsrechnungen'!S383&gt;0.5,"Debitor",""))</f>
        <v/>
      </c>
      <c r="B383" s="13">
        <f>IF(A383="","",'13_Ausgangsrechnungen'!A383)</f>
        <v/>
      </c>
      <c r="C383" s="44">
        <f>IF(A383="","",'13_Ausgangsrechnungen'!B383)</f>
        <v/>
      </c>
      <c r="D383" s="13">
        <f>IF(A383="","",'13_Ausgangsrechnungen'!D383)</f>
        <v/>
      </c>
      <c r="E383" s="13">
        <f>IF(A383="","",'13_Ausgangsrechnungen'!C383)</f>
        <v/>
      </c>
      <c r="F383" s="13">
        <f>IF(A383="","",'13_Ausgangsrechnungen'!E383)</f>
        <v/>
      </c>
      <c r="G383" s="15">
        <f>IF(A383="","",'13_Ausgangsrechnungen'!Q383)</f>
        <v/>
      </c>
      <c r="H383" s="15">
        <f>IF(A383="","",'13_Ausgangsrechnungen'!S383)</f>
        <v/>
      </c>
      <c r="I383" s="44">
        <f>IF(A383="","",'13_Ausgangsrechnungen'!J383)</f>
        <v/>
      </c>
      <c r="J383" s="45">
        <f>IF(A383="","",'13_Ausgangsrechnungen'!T383)</f>
        <v/>
      </c>
      <c r="L383" s="13">
        <f>IF('14_Eingangsrechnungen'!A383="","",IF('14_Eingangsrechnungen'!O383&gt;0.5,"Kreditor",""))</f>
        <v/>
      </c>
      <c r="M383" s="13">
        <f>IF(L383="","",'14_Eingangsrechnungen'!A383)</f>
        <v/>
      </c>
      <c r="N383" s="44">
        <f>IF(L383="","",'14_Eingangsrechnungen'!B383)</f>
        <v/>
      </c>
      <c r="O383" s="13">
        <f>IF(L383="","",'14_Eingangsrechnungen'!D383)</f>
        <v/>
      </c>
      <c r="P383" s="13">
        <f>IF(L383="","",'14_Eingangsrechnungen'!C383)</f>
        <v/>
      </c>
      <c r="Q383" s="13">
        <f>IF(L383="","",'14_Eingangsrechnungen'!E383)</f>
        <v/>
      </c>
      <c r="R383" s="15">
        <f>IF(L383="","",'14_Eingangsrechnungen'!M383)</f>
        <v/>
      </c>
      <c r="S383" s="15">
        <f>IF(L383="","",'14_Eingangsrechnungen'!O383)</f>
        <v/>
      </c>
      <c r="T383" s="44">
        <f>IF(L383="","",'14_Eingangsrechnungen'!H383)</f>
        <v/>
      </c>
      <c r="U383" s="45">
        <f>IF(L383="","",'14_Eingangsrechnungen'!P383)</f>
        <v/>
      </c>
    </row>
    <row r="384">
      <c r="A384" s="13">
        <f>IF('13_Ausgangsrechnungen'!A384="","",IF('13_Ausgangsrechnungen'!S384&gt;0.5,"Debitor",""))</f>
        <v/>
      </c>
      <c r="B384" s="13">
        <f>IF(A384="","",'13_Ausgangsrechnungen'!A384)</f>
        <v/>
      </c>
      <c r="C384" s="44">
        <f>IF(A384="","",'13_Ausgangsrechnungen'!B384)</f>
        <v/>
      </c>
      <c r="D384" s="13">
        <f>IF(A384="","",'13_Ausgangsrechnungen'!D384)</f>
        <v/>
      </c>
      <c r="E384" s="13">
        <f>IF(A384="","",'13_Ausgangsrechnungen'!C384)</f>
        <v/>
      </c>
      <c r="F384" s="13">
        <f>IF(A384="","",'13_Ausgangsrechnungen'!E384)</f>
        <v/>
      </c>
      <c r="G384" s="15">
        <f>IF(A384="","",'13_Ausgangsrechnungen'!Q384)</f>
        <v/>
      </c>
      <c r="H384" s="15">
        <f>IF(A384="","",'13_Ausgangsrechnungen'!S384)</f>
        <v/>
      </c>
      <c r="I384" s="44">
        <f>IF(A384="","",'13_Ausgangsrechnungen'!J384)</f>
        <v/>
      </c>
      <c r="J384" s="45">
        <f>IF(A384="","",'13_Ausgangsrechnungen'!T384)</f>
        <v/>
      </c>
      <c r="L384" s="13">
        <f>IF('14_Eingangsrechnungen'!A384="","",IF('14_Eingangsrechnungen'!O384&gt;0.5,"Kreditor",""))</f>
        <v/>
      </c>
      <c r="M384" s="13">
        <f>IF(L384="","",'14_Eingangsrechnungen'!A384)</f>
        <v/>
      </c>
      <c r="N384" s="44">
        <f>IF(L384="","",'14_Eingangsrechnungen'!B384)</f>
        <v/>
      </c>
      <c r="O384" s="13">
        <f>IF(L384="","",'14_Eingangsrechnungen'!D384)</f>
        <v/>
      </c>
      <c r="P384" s="13">
        <f>IF(L384="","",'14_Eingangsrechnungen'!C384)</f>
        <v/>
      </c>
      <c r="Q384" s="13">
        <f>IF(L384="","",'14_Eingangsrechnungen'!E384)</f>
        <v/>
      </c>
      <c r="R384" s="15">
        <f>IF(L384="","",'14_Eingangsrechnungen'!M384)</f>
        <v/>
      </c>
      <c r="S384" s="15">
        <f>IF(L384="","",'14_Eingangsrechnungen'!O384)</f>
        <v/>
      </c>
      <c r="T384" s="44">
        <f>IF(L384="","",'14_Eingangsrechnungen'!H384)</f>
        <v/>
      </c>
      <c r="U384" s="45">
        <f>IF(L384="","",'14_Eingangsrechnungen'!P384)</f>
        <v/>
      </c>
    </row>
    <row r="385">
      <c r="A385" s="13">
        <f>IF('13_Ausgangsrechnungen'!A385="","",IF('13_Ausgangsrechnungen'!S385&gt;0.5,"Debitor",""))</f>
        <v/>
      </c>
      <c r="B385" s="13">
        <f>IF(A385="","",'13_Ausgangsrechnungen'!A385)</f>
        <v/>
      </c>
      <c r="C385" s="44">
        <f>IF(A385="","",'13_Ausgangsrechnungen'!B385)</f>
        <v/>
      </c>
      <c r="D385" s="13">
        <f>IF(A385="","",'13_Ausgangsrechnungen'!D385)</f>
        <v/>
      </c>
      <c r="E385" s="13">
        <f>IF(A385="","",'13_Ausgangsrechnungen'!C385)</f>
        <v/>
      </c>
      <c r="F385" s="13">
        <f>IF(A385="","",'13_Ausgangsrechnungen'!E385)</f>
        <v/>
      </c>
      <c r="G385" s="15">
        <f>IF(A385="","",'13_Ausgangsrechnungen'!Q385)</f>
        <v/>
      </c>
      <c r="H385" s="15">
        <f>IF(A385="","",'13_Ausgangsrechnungen'!S385)</f>
        <v/>
      </c>
      <c r="I385" s="44">
        <f>IF(A385="","",'13_Ausgangsrechnungen'!J385)</f>
        <v/>
      </c>
      <c r="J385" s="45">
        <f>IF(A385="","",'13_Ausgangsrechnungen'!T385)</f>
        <v/>
      </c>
      <c r="L385" s="13">
        <f>IF('14_Eingangsrechnungen'!A385="","",IF('14_Eingangsrechnungen'!O385&gt;0.5,"Kreditor",""))</f>
        <v/>
      </c>
      <c r="M385" s="13">
        <f>IF(L385="","",'14_Eingangsrechnungen'!A385)</f>
        <v/>
      </c>
      <c r="N385" s="44">
        <f>IF(L385="","",'14_Eingangsrechnungen'!B385)</f>
        <v/>
      </c>
      <c r="O385" s="13">
        <f>IF(L385="","",'14_Eingangsrechnungen'!D385)</f>
        <v/>
      </c>
      <c r="P385" s="13">
        <f>IF(L385="","",'14_Eingangsrechnungen'!C385)</f>
        <v/>
      </c>
      <c r="Q385" s="13">
        <f>IF(L385="","",'14_Eingangsrechnungen'!E385)</f>
        <v/>
      </c>
      <c r="R385" s="15">
        <f>IF(L385="","",'14_Eingangsrechnungen'!M385)</f>
        <v/>
      </c>
      <c r="S385" s="15">
        <f>IF(L385="","",'14_Eingangsrechnungen'!O385)</f>
        <v/>
      </c>
      <c r="T385" s="44">
        <f>IF(L385="","",'14_Eingangsrechnungen'!H385)</f>
        <v/>
      </c>
      <c r="U385" s="45">
        <f>IF(L385="","",'14_Eingangsrechnungen'!P385)</f>
        <v/>
      </c>
    </row>
    <row r="386">
      <c r="A386" s="13">
        <f>IF('13_Ausgangsrechnungen'!A386="","",IF('13_Ausgangsrechnungen'!S386&gt;0.5,"Debitor",""))</f>
        <v/>
      </c>
      <c r="B386" s="13">
        <f>IF(A386="","",'13_Ausgangsrechnungen'!A386)</f>
        <v/>
      </c>
      <c r="C386" s="44">
        <f>IF(A386="","",'13_Ausgangsrechnungen'!B386)</f>
        <v/>
      </c>
      <c r="D386" s="13">
        <f>IF(A386="","",'13_Ausgangsrechnungen'!D386)</f>
        <v/>
      </c>
      <c r="E386" s="13">
        <f>IF(A386="","",'13_Ausgangsrechnungen'!C386)</f>
        <v/>
      </c>
      <c r="F386" s="13">
        <f>IF(A386="","",'13_Ausgangsrechnungen'!E386)</f>
        <v/>
      </c>
      <c r="G386" s="15">
        <f>IF(A386="","",'13_Ausgangsrechnungen'!Q386)</f>
        <v/>
      </c>
      <c r="H386" s="15">
        <f>IF(A386="","",'13_Ausgangsrechnungen'!S386)</f>
        <v/>
      </c>
      <c r="I386" s="44">
        <f>IF(A386="","",'13_Ausgangsrechnungen'!J386)</f>
        <v/>
      </c>
      <c r="J386" s="45">
        <f>IF(A386="","",'13_Ausgangsrechnungen'!T386)</f>
        <v/>
      </c>
      <c r="L386" s="13">
        <f>IF('14_Eingangsrechnungen'!A386="","",IF('14_Eingangsrechnungen'!O386&gt;0.5,"Kreditor",""))</f>
        <v/>
      </c>
      <c r="M386" s="13">
        <f>IF(L386="","",'14_Eingangsrechnungen'!A386)</f>
        <v/>
      </c>
      <c r="N386" s="44">
        <f>IF(L386="","",'14_Eingangsrechnungen'!B386)</f>
        <v/>
      </c>
      <c r="O386" s="13">
        <f>IF(L386="","",'14_Eingangsrechnungen'!D386)</f>
        <v/>
      </c>
      <c r="P386" s="13">
        <f>IF(L386="","",'14_Eingangsrechnungen'!C386)</f>
        <v/>
      </c>
      <c r="Q386" s="13">
        <f>IF(L386="","",'14_Eingangsrechnungen'!E386)</f>
        <v/>
      </c>
      <c r="R386" s="15">
        <f>IF(L386="","",'14_Eingangsrechnungen'!M386)</f>
        <v/>
      </c>
      <c r="S386" s="15">
        <f>IF(L386="","",'14_Eingangsrechnungen'!O386)</f>
        <v/>
      </c>
      <c r="T386" s="44">
        <f>IF(L386="","",'14_Eingangsrechnungen'!H386)</f>
        <v/>
      </c>
      <c r="U386" s="45">
        <f>IF(L386="","",'14_Eingangsrechnungen'!P386)</f>
        <v/>
      </c>
    </row>
    <row r="387">
      <c r="A387" s="13">
        <f>IF('13_Ausgangsrechnungen'!A387="","",IF('13_Ausgangsrechnungen'!S387&gt;0.5,"Debitor",""))</f>
        <v/>
      </c>
      <c r="B387" s="13">
        <f>IF(A387="","",'13_Ausgangsrechnungen'!A387)</f>
        <v/>
      </c>
      <c r="C387" s="44">
        <f>IF(A387="","",'13_Ausgangsrechnungen'!B387)</f>
        <v/>
      </c>
      <c r="D387" s="13">
        <f>IF(A387="","",'13_Ausgangsrechnungen'!D387)</f>
        <v/>
      </c>
      <c r="E387" s="13">
        <f>IF(A387="","",'13_Ausgangsrechnungen'!C387)</f>
        <v/>
      </c>
      <c r="F387" s="13">
        <f>IF(A387="","",'13_Ausgangsrechnungen'!E387)</f>
        <v/>
      </c>
      <c r="G387" s="15">
        <f>IF(A387="","",'13_Ausgangsrechnungen'!Q387)</f>
        <v/>
      </c>
      <c r="H387" s="15">
        <f>IF(A387="","",'13_Ausgangsrechnungen'!S387)</f>
        <v/>
      </c>
      <c r="I387" s="44">
        <f>IF(A387="","",'13_Ausgangsrechnungen'!J387)</f>
        <v/>
      </c>
      <c r="J387" s="45">
        <f>IF(A387="","",'13_Ausgangsrechnungen'!T387)</f>
        <v/>
      </c>
      <c r="L387" s="13">
        <f>IF('14_Eingangsrechnungen'!A387="","",IF('14_Eingangsrechnungen'!O387&gt;0.5,"Kreditor",""))</f>
        <v/>
      </c>
      <c r="M387" s="13">
        <f>IF(L387="","",'14_Eingangsrechnungen'!A387)</f>
        <v/>
      </c>
      <c r="N387" s="44">
        <f>IF(L387="","",'14_Eingangsrechnungen'!B387)</f>
        <v/>
      </c>
      <c r="O387" s="13">
        <f>IF(L387="","",'14_Eingangsrechnungen'!D387)</f>
        <v/>
      </c>
      <c r="P387" s="13">
        <f>IF(L387="","",'14_Eingangsrechnungen'!C387)</f>
        <v/>
      </c>
      <c r="Q387" s="13">
        <f>IF(L387="","",'14_Eingangsrechnungen'!E387)</f>
        <v/>
      </c>
      <c r="R387" s="15">
        <f>IF(L387="","",'14_Eingangsrechnungen'!M387)</f>
        <v/>
      </c>
      <c r="S387" s="15">
        <f>IF(L387="","",'14_Eingangsrechnungen'!O387)</f>
        <v/>
      </c>
      <c r="T387" s="44">
        <f>IF(L387="","",'14_Eingangsrechnungen'!H387)</f>
        <v/>
      </c>
      <c r="U387" s="45">
        <f>IF(L387="","",'14_Eingangsrechnungen'!P387)</f>
        <v/>
      </c>
    </row>
    <row r="388">
      <c r="A388" s="13">
        <f>IF('13_Ausgangsrechnungen'!A388="","",IF('13_Ausgangsrechnungen'!S388&gt;0.5,"Debitor",""))</f>
        <v/>
      </c>
      <c r="B388" s="13">
        <f>IF(A388="","",'13_Ausgangsrechnungen'!A388)</f>
        <v/>
      </c>
      <c r="C388" s="44">
        <f>IF(A388="","",'13_Ausgangsrechnungen'!B388)</f>
        <v/>
      </c>
      <c r="D388" s="13">
        <f>IF(A388="","",'13_Ausgangsrechnungen'!D388)</f>
        <v/>
      </c>
      <c r="E388" s="13">
        <f>IF(A388="","",'13_Ausgangsrechnungen'!C388)</f>
        <v/>
      </c>
      <c r="F388" s="13">
        <f>IF(A388="","",'13_Ausgangsrechnungen'!E388)</f>
        <v/>
      </c>
      <c r="G388" s="15">
        <f>IF(A388="","",'13_Ausgangsrechnungen'!Q388)</f>
        <v/>
      </c>
      <c r="H388" s="15">
        <f>IF(A388="","",'13_Ausgangsrechnungen'!S388)</f>
        <v/>
      </c>
      <c r="I388" s="44">
        <f>IF(A388="","",'13_Ausgangsrechnungen'!J388)</f>
        <v/>
      </c>
      <c r="J388" s="45">
        <f>IF(A388="","",'13_Ausgangsrechnungen'!T388)</f>
        <v/>
      </c>
      <c r="L388" s="13">
        <f>IF('14_Eingangsrechnungen'!A388="","",IF('14_Eingangsrechnungen'!O388&gt;0.5,"Kreditor",""))</f>
        <v/>
      </c>
      <c r="M388" s="13">
        <f>IF(L388="","",'14_Eingangsrechnungen'!A388)</f>
        <v/>
      </c>
      <c r="N388" s="44">
        <f>IF(L388="","",'14_Eingangsrechnungen'!B388)</f>
        <v/>
      </c>
      <c r="O388" s="13">
        <f>IF(L388="","",'14_Eingangsrechnungen'!D388)</f>
        <v/>
      </c>
      <c r="P388" s="13">
        <f>IF(L388="","",'14_Eingangsrechnungen'!C388)</f>
        <v/>
      </c>
      <c r="Q388" s="13">
        <f>IF(L388="","",'14_Eingangsrechnungen'!E388)</f>
        <v/>
      </c>
      <c r="R388" s="15">
        <f>IF(L388="","",'14_Eingangsrechnungen'!M388)</f>
        <v/>
      </c>
      <c r="S388" s="15">
        <f>IF(L388="","",'14_Eingangsrechnungen'!O388)</f>
        <v/>
      </c>
      <c r="T388" s="44">
        <f>IF(L388="","",'14_Eingangsrechnungen'!H388)</f>
        <v/>
      </c>
      <c r="U388" s="45">
        <f>IF(L388="","",'14_Eingangsrechnungen'!P388)</f>
        <v/>
      </c>
    </row>
    <row r="389">
      <c r="A389" s="13">
        <f>IF('13_Ausgangsrechnungen'!A389="","",IF('13_Ausgangsrechnungen'!S389&gt;0.5,"Debitor",""))</f>
        <v/>
      </c>
      <c r="B389" s="13">
        <f>IF(A389="","",'13_Ausgangsrechnungen'!A389)</f>
        <v/>
      </c>
      <c r="C389" s="44">
        <f>IF(A389="","",'13_Ausgangsrechnungen'!B389)</f>
        <v/>
      </c>
      <c r="D389" s="13">
        <f>IF(A389="","",'13_Ausgangsrechnungen'!D389)</f>
        <v/>
      </c>
      <c r="E389" s="13">
        <f>IF(A389="","",'13_Ausgangsrechnungen'!C389)</f>
        <v/>
      </c>
      <c r="F389" s="13">
        <f>IF(A389="","",'13_Ausgangsrechnungen'!E389)</f>
        <v/>
      </c>
      <c r="G389" s="15">
        <f>IF(A389="","",'13_Ausgangsrechnungen'!Q389)</f>
        <v/>
      </c>
      <c r="H389" s="15">
        <f>IF(A389="","",'13_Ausgangsrechnungen'!S389)</f>
        <v/>
      </c>
      <c r="I389" s="44">
        <f>IF(A389="","",'13_Ausgangsrechnungen'!J389)</f>
        <v/>
      </c>
      <c r="J389" s="45">
        <f>IF(A389="","",'13_Ausgangsrechnungen'!T389)</f>
        <v/>
      </c>
      <c r="L389" s="13">
        <f>IF('14_Eingangsrechnungen'!A389="","",IF('14_Eingangsrechnungen'!O389&gt;0.5,"Kreditor",""))</f>
        <v/>
      </c>
      <c r="M389" s="13">
        <f>IF(L389="","",'14_Eingangsrechnungen'!A389)</f>
        <v/>
      </c>
      <c r="N389" s="44">
        <f>IF(L389="","",'14_Eingangsrechnungen'!B389)</f>
        <v/>
      </c>
      <c r="O389" s="13">
        <f>IF(L389="","",'14_Eingangsrechnungen'!D389)</f>
        <v/>
      </c>
      <c r="P389" s="13">
        <f>IF(L389="","",'14_Eingangsrechnungen'!C389)</f>
        <v/>
      </c>
      <c r="Q389" s="13">
        <f>IF(L389="","",'14_Eingangsrechnungen'!E389)</f>
        <v/>
      </c>
      <c r="R389" s="15">
        <f>IF(L389="","",'14_Eingangsrechnungen'!M389)</f>
        <v/>
      </c>
      <c r="S389" s="15">
        <f>IF(L389="","",'14_Eingangsrechnungen'!O389)</f>
        <v/>
      </c>
      <c r="T389" s="44">
        <f>IF(L389="","",'14_Eingangsrechnungen'!H389)</f>
        <v/>
      </c>
      <c r="U389" s="45">
        <f>IF(L389="","",'14_Eingangsrechnungen'!P389)</f>
        <v/>
      </c>
    </row>
    <row r="390">
      <c r="A390" s="13">
        <f>IF('13_Ausgangsrechnungen'!A390="","",IF('13_Ausgangsrechnungen'!S390&gt;0.5,"Debitor",""))</f>
        <v/>
      </c>
      <c r="B390" s="13">
        <f>IF(A390="","",'13_Ausgangsrechnungen'!A390)</f>
        <v/>
      </c>
      <c r="C390" s="44">
        <f>IF(A390="","",'13_Ausgangsrechnungen'!B390)</f>
        <v/>
      </c>
      <c r="D390" s="13">
        <f>IF(A390="","",'13_Ausgangsrechnungen'!D390)</f>
        <v/>
      </c>
      <c r="E390" s="13">
        <f>IF(A390="","",'13_Ausgangsrechnungen'!C390)</f>
        <v/>
      </c>
      <c r="F390" s="13">
        <f>IF(A390="","",'13_Ausgangsrechnungen'!E390)</f>
        <v/>
      </c>
      <c r="G390" s="15">
        <f>IF(A390="","",'13_Ausgangsrechnungen'!Q390)</f>
        <v/>
      </c>
      <c r="H390" s="15">
        <f>IF(A390="","",'13_Ausgangsrechnungen'!S390)</f>
        <v/>
      </c>
      <c r="I390" s="44">
        <f>IF(A390="","",'13_Ausgangsrechnungen'!J390)</f>
        <v/>
      </c>
      <c r="J390" s="45">
        <f>IF(A390="","",'13_Ausgangsrechnungen'!T390)</f>
        <v/>
      </c>
      <c r="L390" s="13">
        <f>IF('14_Eingangsrechnungen'!A390="","",IF('14_Eingangsrechnungen'!O390&gt;0.5,"Kreditor",""))</f>
        <v/>
      </c>
      <c r="M390" s="13">
        <f>IF(L390="","",'14_Eingangsrechnungen'!A390)</f>
        <v/>
      </c>
      <c r="N390" s="44">
        <f>IF(L390="","",'14_Eingangsrechnungen'!B390)</f>
        <v/>
      </c>
      <c r="O390" s="13">
        <f>IF(L390="","",'14_Eingangsrechnungen'!D390)</f>
        <v/>
      </c>
      <c r="P390" s="13">
        <f>IF(L390="","",'14_Eingangsrechnungen'!C390)</f>
        <v/>
      </c>
      <c r="Q390" s="13">
        <f>IF(L390="","",'14_Eingangsrechnungen'!E390)</f>
        <v/>
      </c>
      <c r="R390" s="15">
        <f>IF(L390="","",'14_Eingangsrechnungen'!M390)</f>
        <v/>
      </c>
      <c r="S390" s="15">
        <f>IF(L390="","",'14_Eingangsrechnungen'!O390)</f>
        <v/>
      </c>
      <c r="T390" s="44">
        <f>IF(L390="","",'14_Eingangsrechnungen'!H390)</f>
        <v/>
      </c>
      <c r="U390" s="45">
        <f>IF(L390="","",'14_Eingangsrechnungen'!P390)</f>
        <v/>
      </c>
    </row>
    <row r="391">
      <c r="A391" s="13">
        <f>IF('13_Ausgangsrechnungen'!A391="","",IF('13_Ausgangsrechnungen'!S391&gt;0.5,"Debitor",""))</f>
        <v/>
      </c>
      <c r="B391" s="13">
        <f>IF(A391="","",'13_Ausgangsrechnungen'!A391)</f>
        <v/>
      </c>
      <c r="C391" s="44">
        <f>IF(A391="","",'13_Ausgangsrechnungen'!B391)</f>
        <v/>
      </c>
      <c r="D391" s="13">
        <f>IF(A391="","",'13_Ausgangsrechnungen'!D391)</f>
        <v/>
      </c>
      <c r="E391" s="13">
        <f>IF(A391="","",'13_Ausgangsrechnungen'!C391)</f>
        <v/>
      </c>
      <c r="F391" s="13">
        <f>IF(A391="","",'13_Ausgangsrechnungen'!E391)</f>
        <v/>
      </c>
      <c r="G391" s="15">
        <f>IF(A391="","",'13_Ausgangsrechnungen'!Q391)</f>
        <v/>
      </c>
      <c r="H391" s="15">
        <f>IF(A391="","",'13_Ausgangsrechnungen'!S391)</f>
        <v/>
      </c>
      <c r="I391" s="44">
        <f>IF(A391="","",'13_Ausgangsrechnungen'!J391)</f>
        <v/>
      </c>
      <c r="J391" s="45">
        <f>IF(A391="","",'13_Ausgangsrechnungen'!T391)</f>
        <v/>
      </c>
      <c r="L391" s="13">
        <f>IF('14_Eingangsrechnungen'!A391="","",IF('14_Eingangsrechnungen'!O391&gt;0.5,"Kreditor",""))</f>
        <v/>
      </c>
      <c r="M391" s="13">
        <f>IF(L391="","",'14_Eingangsrechnungen'!A391)</f>
        <v/>
      </c>
      <c r="N391" s="44">
        <f>IF(L391="","",'14_Eingangsrechnungen'!B391)</f>
        <v/>
      </c>
      <c r="O391" s="13">
        <f>IF(L391="","",'14_Eingangsrechnungen'!D391)</f>
        <v/>
      </c>
      <c r="P391" s="13">
        <f>IF(L391="","",'14_Eingangsrechnungen'!C391)</f>
        <v/>
      </c>
      <c r="Q391" s="13">
        <f>IF(L391="","",'14_Eingangsrechnungen'!E391)</f>
        <v/>
      </c>
      <c r="R391" s="15">
        <f>IF(L391="","",'14_Eingangsrechnungen'!M391)</f>
        <v/>
      </c>
      <c r="S391" s="15">
        <f>IF(L391="","",'14_Eingangsrechnungen'!O391)</f>
        <v/>
      </c>
      <c r="T391" s="44">
        <f>IF(L391="","",'14_Eingangsrechnungen'!H391)</f>
        <v/>
      </c>
      <c r="U391" s="45">
        <f>IF(L391="","",'14_Eingangsrechnungen'!P391)</f>
        <v/>
      </c>
    </row>
    <row r="392">
      <c r="A392" s="13">
        <f>IF('13_Ausgangsrechnungen'!A392="","",IF('13_Ausgangsrechnungen'!S392&gt;0.5,"Debitor",""))</f>
        <v/>
      </c>
      <c r="B392" s="13">
        <f>IF(A392="","",'13_Ausgangsrechnungen'!A392)</f>
        <v/>
      </c>
      <c r="C392" s="44">
        <f>IF(A392="","",'13_Ausgangsrechnungen'!B392)</f>
        <v/>
      </c>
      <c r="D392" s="13">
        <f>IF(A392="","",'13_Ausgangsrechnungen'!D392)</f>
        <v/>
      </c>
      <c r="E392" s="13">
        <f>IF(A392="","",'13_Ausgangsrechnungen'!C392)</f>
        <v/>
      </c>
      <c r="F392" s="13">
        <f>IF(A392="","",'13_Ausgangsrechnungen'!E392)</f>
        <v/>
      </c>
      <c r="G392" s="15">
        <f>IF(A392="","",'13_Ausgangsrechnungen'!Q392)</f>
        <v/>
      </c>
      <c r="H392" s="15">
        <f>IF(A392="","",'13_Ausgangsrechnungen'!S392)</f>
        <v/>
      </c>
      <c r="I392" s="44">
        <f>IF(A392="","",'13_Ausgangsrechnungen'!J392)</f>
        <v/>
      </c>
      <c r="J392" s="45">
        <f>IF(A392="","",'13_Ausgangsrechnungen'!T392)</f>
        <v/>
      </c>
      <c r="L392" s="13">
        <f>IF('14_Eingangsrechnungen'!A392="","",IF('14_Eingangsrechnungen'!O392&gt;0.5,"Kreditor",""))</f>
        <v/>
      </c>
      <c r="M392" s="13">
        <f>IF(L392="","",'14_Eingangsrechnungen'!A392)</f>
        <v/>
      </c>
      <c r="N392" s="44">
        <f>IF(L392="","",'14_Eingangsrechnungen'!B392)</f>
        <v/>
      </c>
      <c r="O392" s="13">
        <f>IF(L392="","",'14_Eingangsrechnungen'!D392)</f>
        <v/>
      </c>
      <c r="P392" s="13">
        <f>IF(L392="","",'14_Eingangsrechnungen'!C392)</f>
        <v/>
      </c>
      <c r="Q392" s="13">
        <f>IF(L392="","",'14_Eingangsrechnungen'!E392)</f>
        <v/>
      </c>
      <c r="R392" s="15">
        <f>IF(L392="","",'14_Eingangsrechnungen'!M392)</f>
        <v/>
      </c>
      <c r="S392" s="15">
        <f>IF(L392="","",'14_Eingangsrechnungen'!O392)</f>
        <v/>
      </c>
      <c r="T392" s="44">
        <f>IF(L392="","",'14_Eingangsrechnungen'!H392)</f>
        <v/>
      </c>
      <c r="U392" s="45">
        <f>IF(L392="","",'14_Eingangsrechnungen'!P392)</f>
        <v/>
      </c>
    </row>
    <row r="393">
      <c r="A393" s="13">
        <f>IF('13_Ausgangsrechnungen'!A393="","",IF('13_Ausgangsrechnungen'!S393&gt;0.5,"Debitor",""))</f>
        <v/>
      </c>
      <c r="B393" s="13">
        <f>IF(A393="","",'13_Ausgangsrechnungen'!A393)</f>
        <v/>
      </c>
      <c r="C393" s="44">
        <f>IF(A393="","",'13_Ausgangsrechnungen'!B393)</f>
        <v/>
      </c>
      <c r="D393" s="13">
        <f>IF(A393="","",'13_Ausgangsrechnungen'!D393)</f>
        <v/>
      </c>
      <c r="E393" s="13">
        <f>IF(A393="","",'13_Ausgangsrechnungen'!C393)</f>
        <v/>
      </c>
      <c r="F393" s="13">
        <f>IF(A393="","",'13_Ausgangsrechnungen'!E393)</f>
        <v/>
      </c>
      <c r="G393" s="15">
        <f>IF(A393="","",'13_Ausgangsrechnungen'!Q393)</f>
        <v/>
      </c>
      <c r="H393" s="15">
        <f>IF(A393="","",'13_Ausgangsrechnungen'!S393)</f>
        <v/>
      </c>
      <c r="I393" s="44">
        <f>IF(A393="","",'13_Ausgangsrechnungen'!J393)</f>
        <v/>
      </c>
      <c r="J393" s="45">
        <f>IF(A393="","",'13_Ausgangsrechnungen'!T393)</f>
        <v/>
      </c>
      <c r="L393" s="13">
        <f>IF('14_Eingangsrechnungen'!A393="","",IF('14_Eingangsrechnungen'!O393&gt;0.5,"Kreditor",""))</f>
        <v/>
      </c>
      <c r="M393" s="13">
        <f>IF(L393="","",'14_Eingangsrechnungen'!A393)</f>
        <v/>
      </c>
      <c r="N393" s="44">
        <f>IF(L393="","",'14_Eingangsrechnungen'!B393)</f>
        <v/>
      </c>
      <c r="O393" s="13">
        <f>IF(L393="","",'14_Eingangsrechnungen'!D393)</f>
        <v/>
      </c>
      <c r="P393" s="13">
        <f>IF(L393="","",'14_Eingangsrechnungen'!C393)</f>
        <v/>
      </c>
      <c r="Q393" s="13">
        <f>IF(L393="","",'14_Eingangsrechnungen'!E393)</f>
        <v/>
      </c>
      <c r="R393" s="15">
        <f>IF(L393="","",'14_Eingangsrechnungen'!M393)</f>
        <v/>
      </c>
      <c r="S393" s="15">
        <f>IF(L393="","",'14_Eingangsrechnungen'!O393)</f>
        <v/>
      </c>
      <c r="T393" s="44">
        <f>IF(L393="","",'14_Eingangsrechnungen'!H393)</f>
        <v/>
      </c>
      <c r="U393" s="45">
        <f>IF(L393="","",'14_Eingangsrechnungen'!P393)</f>
        <v/>
      </c>
    </row>
    <row r="394">
      <c r="A394" s="13">
        <f>IF('13_Ausgangsrechnungen'!A394="","",IF('13_Ausgangsrechnungen'!S394&gt;0.5,"Debitor",""))</f>
        <v/>
      </c>
      <c r="B394" s="13">
        <f>IF(A394="","",'13_Ausgangsrechnungen'!A394)</f>
        <v/>
      </c>
      <c r="C394" s="44">
        <f>IF(A394="","",'13_Ausgangsrechnungen'!B394)</f>
        <v/>
      </c>
      <c r="D394" s="13">
        <f>IF(A394="","",'13_Ausgangsrechnungen'!D394)</f>
        <v/>
      </c>
      <c r="E394" s="13">
        <f>IF(A394="","",'13_Ausgangsrechnungen'!C394)</f>
        <v/>
      </c>
      <c r="F394" s="13">
        <f>IF(A394="","",'13_Ausgangsrechnungen'!E394)</f>
        <v/>
      </c>
      <c r="G394" s="15">
        <f>IF(A394="","",'13_Ausgangsrechnungen'!Q394)</f>
        <v/>
      </c>
      <c r="H394" s="15">
        <f>IF(A394="","",'13_Ausgangsrechnungen'!S394)</f>
        <v/>
      </c>
      <c r="I394" s="44">
        <f>IF(A394="","",'13_Ausgangsrechnungen'!J394)</f>
        <v/>
      </c>
      <c r="J394" s="45">
        <f>IF(A394="","",'13_Ausgangsrechnungen'!T394)</f>
        <v/>
      </c>
      <c r="L394" s="13">
        <f>IF('14_Eingangsrechnungen'!A394="","",IF('14_Eingangsrechnungen'!O394&gt;0.5,"Kreditor",""))</f>
        <v/>
      </c>
      <c r="M394" s="13">
        <f>IF(L394="","",'14_Eingangsrechnungen'!A394)</f>
        <v/>
      </c>
      <c r="N394" s="44">
        <f>IF(L394="","",'14_Eingangsrechnungen'!B394)</f>
        <v/>
      </c>
      <c r="O394" s="13">
        <f>IF(L394="","",'14_Eingangsrechnungen'!D394)</f>
        <v/>
      </c>
      <c r="P394" s="13">
        <f>IF(L394="","",'14_Eingangsrechnungen'!C394)</f>
        <v/>
      </c>
      <c r="Q394" s="13">
        <f>IF(L394="","",'14_Eingangsrechnungen'!E394)</f>
        <v/>
      </c>
      <c r="R394" s="15">
        <f>IF(L394="","",'14_Eingangsrechnungen'!M394)</f>
        <v/>
      </c>
      <c r="S394" s="15">
        <f>IF(L394="","",'14_Eingangsrechnungen'!O394)</f>
        <v/>
      </c>
      <c r="T394" s="44">
        <f>IF(L394="","",'14_Eingangsrechnungen'!H394)</f>
        <v/>
      </c>
      <c r="U394" s="45">
        <f>IF(L394="","",'14_Eingangsrechnungen'!P394)</f>
        <v/>
      </c>
    </row>
    <row r="395">
      <c r="A395" s="13">
        <f>IF('13_Ausgangsrechnungen'!A395="","",IF('13_Ausgangsrechnungen'!S395&gt;0.5,"Debitor",""))</f>
        <v/>
      </c>
      <c r="B395" s="13">
        <f>IF(A395="","",'13_Ausgangsrechnungen'!A395)</f>
        <v/>
      </c>
      <c r="C395" s="44">
        <f>IF(A395="","",'13_Ausgangsrechnungen'!B395)</f>
        <v/>
      </c>
      <c r="D395" s="13">
        <f>IF(A395="","",'13_Ausgangsrechnungen'!D395)</f>
        <v/>
      </c>
      <c r="E395" s="13">
        <f>IF(A395="","",'13_Ausgangsrechnungen'!C395)</f>
        <v/>
      </c>
      <c r="F395" s="13">
        <f>IF(A395="","",'13_Ausgangsrechnungen'!E395)</f>
        <v/>
      </c>
      <c r="G395" s="15">
        <f>IF(A395="","",'13_Ausgangsrechnungen'!Q395)</f>
        <v/>
      </c>
      <c r="H395" s="15">
        <f>IF(A395="","",'13_Ausgangsrechnungen'!S395)</f>
        <v/>
      </c>
      <c r="I395" s="44">
        <f>IF(A395="","",'13_Ausgangsrechnungen'!J395)</f>
        <v/>
      </c>
      <c r="J395" s="45">
        <f>IF(A395="","",'13_Ausgangsrechnungen'!T395)</f>
        <v/>
      </c>
      <c r="L395" s="13">
        <f>IF('14_Eingangsrechnungen'!A395="","",IF('14_Eingangsrechnungen'!O395&gt;0.5,"Kreditor",""))</f>
        <v/>
      </c>
      <c r="M395" s="13">
        <f>IF(L395="","",'14_Eingangsrechnungen'!A395)</f>
        <v/>
      </c>
      <c r="N395" s="44">
        <f>IF(L395="","",'14_Eingangsrechnungen'!B395)</f>
        <v/>
      </c>
      <c r="O395" s="13">
        <f>IF(L395="","",'14_Eingangsrechnungen'!D395)</f>
        <v/>
      </c>
      <c r="P395" s="13">
        <f>IF(L395="","",'14_Eingangsrechnungen'!C395)</f>
        <v/>
      </c>
      <c r="Q395" s="13">
        <f>IF(L395="","",'14_Eingangsrechnungen'!E395)</f>
        <v/>
      </c>
      <c r="R395" s="15">
        <f>IF(L395="","",'14_Eingangsrechnungen'!M395)</f>
        <v/>
      </c>
      <c r="S395" s="15">
        <f>IF(L395="","",'14_Eingangsrechnungen'!O395)</f>
        <v/>
      </c>
      <c r="T395" s="44">
        <f>IF(L395="","",'14_Eingangsrechnungen'!H395)</f>
        <v/>
      </c>
      <c r="U395" s="45">
        <f>IF(L395="","",'14_Eingangsrechnungen'!P395)</f>
        <v/>
      </c>
    </row>
    <row r="396">
      <c r="A396" s="13">
        <f>IF('13_Ausgangsrechnungen'!A396="","",IF('13_Ausgangsrechnungen'!S396&gt;0.5,"Debitor",""))</f>
        <v/>
      </c>
      <c r="B396" s="13">
        <f>IF(A396="","",'13_Ausgangsrechnungen'!A396)</f>
        <v/>
      </c>
      <c r="C396" s="44">
        <f>IF(A396="","",'13_Ausgangsrechnungen'!B396)</f>
        <v/>
      </c>
      <c r="D396" s="13">
        <f>IF(A396="","",'13_Ausgangsrechnungen'!D396)</f>
        <v/>
      </c>
      <c r="E396" s="13">
        <f>IF(A396="","",'13_Ausgangsrechnungen'!C396)</f>
        <v/>
      </c>
      <c r="F396" s="13">
        <f>IF(A396="","",'13_Ausgangsrechnungen'!E396)</f>
        <v/>
      </c>
      <c r="G396" s="15">
        <f>IF(A396="","",'13_Ausgangsrechnungen'!Q396)</f>
        <v/>
      </c>
      <c r="H396" s="15">
        <f>IF(A396="","",'13_Ausgangsrechnungen'!S396)</f>
        <v/>
      </c>
      <c r="I396" s="44">
        <f>IF(A396="","",'13_Ausgangsrechnungen'!J396)</f>
        <v/>
      </c>
      <c r="J396" s="45">
        <f>IF(A396="","",'13_Ausgangsrechnungen'!T396)</f>
        <v/>
      </c>
      <c r="L396" s="13">
        <f>IF('14_Eingangsrechnungen'!A396="","",IF('14_Eingangsrechnungen'!O396&gt;0.5,"Kreditor",""))</f>
        <v/>
      </c>
      <c r="M396" s="13">
        <f>IF(L396="","",'14_Eingangsrechnungen'!A396)</f>
        <v/>
      </c>
      <c r="N396" s="44">
        <f>IF(L396="","",'14_Eingangsrechnungen'!B396)</f>
        <v/>
      </c>
      <c r="O396" s="13">
        <f>IF(L396="","",'14_Eingangsrechnungen'!D396)</f>
        <v/>
      </c>
      <c r="P396" s="13">
        <f>IF(L396="","",'14_Eingangsrechnungen'!C396)</f>
        <v/>
      </c>
      <c r="Q396" s="13">
        <f>IF(L396="","",'14_Eingangsrechnungen'!E396)</f>
        <v/>
      </c>
      <c r="R396" s="15">
        <f>IF(L396="","",'14_Eingangsrechnungen'!M396)</f>
        <v/>
      </c>
      <c r="S396" s="15">
        <f>IF(L396="","",'14_Eingangsrechnungen'!O396)</f>
        <v/>
      </c>
      <c r="T396" s="44">
        <f>IF(L396="","",'14_Eingangsrechnungen'!H396)</f>
        <v/>
      </c>
      <c r="U396" s="45">
        <f>IF(L396="","",'14_Eingangsrechnungen'!P396)</f>
        <v/>
      </c>
    </row>
    <row r="397">
      <c r="A397" s="13">
        <f>IF('13_Ausgangsrechnungen'!A397="","",IF('13_Ausgangsrechnungen'!S397&gt;0.5,"Debitor",""))</f>
        <v/>
      </c>
      <c r="B397" s="13">
        <f>IF(A397="","",'13_Ausgangsrechnungen'!A397)</f>
        <v/>
      </c>
      <c r="C397" s="44">
        <f>IF(A397="","",'13_Ausgangsrechnungen'!B397)</f>
        <v/>
      </c>
      <c r="D397" s="13">
        <f>IF(A397="","",'13_Ausgangsrechnungen'!D397)</f>
        <v/>
      </c>
      <c r="E397" s="13">
        <f>IF(A397="","",'13_Ausgangsrechnungen'!C397)</f>
        <v/>
      </c>
      <c r="F397" s="13">
        <f>IF(A397="","",'13_Ausgangsrechnungen'!E397)</f>
        <v/>
      </c>
      <c r="G397" s="15">
        <f>IF(A397="","",'13_Ausgangsrechnungen'!Q397)</f>
        <v/>
      </c>
      <c r="H397" s="15">
        <f>IF(A397="","",'13_Ausgangsrechnungen'!S397)</f>
        <v/>
      </c>
      <c r="I397" s="44">
        <f>IF(A397="","",'13_Ausgangsrechnungen'!J397)</f>
        <v/>
      </c>
      <c r="J397" s="45">
        <f>IF(A397="","",'13_Ausgangsrechnungen'!T397)</f>
        <v/>
      </c>
      <c r="L397" s="13">
        <f>IF('14_Eingangsrechnungen'!A397="","",IF('14_Eingangsrechnungen'!O397&gt;0.5,"Kreditor",""))</f>
        <v/>
      </c>
      <c r="M397" s="13">
        <f>IF(L397="","",'14_Eingangsrechnungen'!A397)</f>
        <v/>
      </c>
      <c r="N397" s="44">
        <f>IF(L397="","",'14_Eingangsrechnungen'!B397)</f>
        <v/>
      </c>
      <c r="O397" s="13">
        <f>IF(L397="","",'14_Eingangsrechnungen'!D397)</f>
        <v/>
      </c>
      <c r="P397" s="13">
        <f>IF(L397="","",'14_Eingangsrechnungen'!C397)</f>
        <v/>
      </c>
      <c r="Q397" s="13">
        <f>IF(L397="","",'14_Eingangsrechnungen'!E397)</f>
        <v/>
      </c>
      <c r="R397" s="15">
        <f>IF(L397="","",'14_Eingangsrechnungen'!M397)</f>
        <v/>
      </c>
      <c r="S397" s="15">
        <f>IF(L397="","",'14_Eingangsrechnungen'!O397)</f>
        <v/>
      </c>
      <c r="T397" s="44">
        <f>IF(L397="","",'14_Eingangsrechnungen'!H397)</f>
        <v/>
      </c>
      <c r="U397" s="45">
        <f>IF(L397="","",'14_Eingangsrechnungen'!P397)</f>
        <v/>
      </c>
    </row>
    <row r="398">
      <c r="A398" s="13">
        <f>IF('13_Ausgangsrechnungen'!A398="","",IF('13_Ausgangsrechnungen'!S398&gt;0.5,"Debitor",""))</f>
        <v/>
      </c>
      <c r="B398" s="13">
        <f>IF(A398="","",'13_Ausgangsrechnungen'!A398)</f>
        <v/>
      </c>
      <c r="C398" s="44">
        <f>IF(A398="","",'13_Ausgangsrechnungen'!B398)</f>
        <v/>
      </c>
      <c r="D398" s="13">
        <f>IF(A398="","",'13_Ausgangsrechnungen'!D398)</f>
        <v/>
      </c>
      <c r="E398" s="13">
        <f>IF(A398="","",'13_Ausgangsrechnungen'!C398)</f>
        <v/>
      </c>
      <c r="F398" s="13">
        <f>IF(A398="","",'13_Ausgangsrechnungen'!E398)</f>
        <v/>
      </c>
      <c r="G398" s="15">
        <f>IF(A398="","",'13_Ausgangsrechnungen'!Q398)</f>
        <v/>
      </c>
      <c r="H398" s="15">
        <f>IF(A398="","",'13_Ausgangsrechnungen'!S398)</f>
        <v/>
      </c>
      <c r="I398" s="44">
        <f>IF(A398="","",'13_Ausgangsrechnungen'!J398)</f>
        <v/>
      </c>
      <c r="J398" s="45">
        <f>IF(A398="","",'13_Ausgangsrechnungen'!T398)</f>
        <v/>
      </c>
      <c r="L398" s="13">
        <f>IF('14_Eingangsrechnungen'!A398="","",IF('14_Eingangsrechnungen'!O398&gt;0.5,"Kreditor",""))</f>
        <v/>
      </c>
      <c r="M398" s="13">
        <f>IF(L398="","",'14_Eingangsrechnungen'!A398)</f>
        <v/>
      </c>
      <c r="N398" s="44">
        <f>IF(L398="","",'14_Eingangsrechnungen'!B398)</f>
        <v/>
      </c>
      <c r="O398" s="13">
        <f>IF(L398="","",'14_Eingangsrechnungen'!D398)</f>
        <v/>
      </c>
      <c r="P398" s="13">
        <f>IF(L398="","",'14_Eingangsrechnungen'!C398)</f>
        <v/>
      </c>
      <c r="Q398" s="13">
        <f>IF(L398="","",'14_Eingangsrechnungen'!E398)</f>
        <v/>
      </c>
      <c r="R398" s="15">
        <f>IF(L398="","",'14_Eingangsrechnungen'!M398)</f>
        <v/>
      </c>
      <c r="S398" s="15">
        <f>IF(L398="","",'14_Eingangsrechnungen'!O398)</f>
        <v/>
      </c>
      <c r="T398" s="44">
        <f>IF(L398="","",'14_Eingangsrechnungen'!H398)</f>
        <v/>
      </c>
      <c r="U398" s="45">
        <f>IF(L398="","",'14_Eingangsrechnungen'!P398)</f>
        <v/>
      </c>
    </row>
    <row r="399">
      <c r="A399" s="13">
        <f>IF('13_Ausgangsrechnungen'!A399="","",IF('13_Ausgangsrechnungen'!S399&gt;0.5,"Debitor",""))</f>
        <v/>
      </c>
      <c r="B399" s="13">
        <f>IF(A399="","",'13_Ausgangsrechnungen'!A399)</f>
        <v/>
      </c>
      <c r="C399" s="44">
        <f>IF(A399="","",'13_Ausgangsrechnungen'!B399)</f>
        <v/>
      </c>
      <c r="D399" s="13">
        <f>IF(A399="","",'13_Ausgangsrechnungen'!D399)</f>
        <v/>
      </c>
      <c r="E399" s="13">
        <f>IF(A399="","",'13_Ausgangsrechnungen'!C399)</f>
        <v/>
      </c>
      <c r="F399" s="13">
        <f>IF(A399="","",'13_Ausgangsrechnungen'!E399)</f>
        <v/>
      </c>
      <c r="G399" s="15">
        <f>IF(A399="","",'13_Ausgangsrechnungen'!Q399)</f>
        <v/>
      </c>
      <c r="H399" s="15">
        <f>IF(A399="","",'13_Ausgangsrechnungen'!S399)</f>
        <v/>
      </c>
      <c r="I399" s="44">
        <f>IF(A399="","",'13_Ausgangsrechnungen'!J399)</f>
        <v/>
      </c>
      <c r="J399" s="45">
        <f>IF(A399="","",'13_Ausgangsrechnungen'!T399)</f>
        <v/>
      </c>
      <c r="L399" s="13">
        <f>IF('14_Eingangsrechnungen'!A399="","",IF('14_Eingangsrechnungen'!O399&gt;0.5,"Kreditor",""))</f>
        <v/>
      </c>
      <c r="M399" s="13">
        <f>IF(L399="","",'14_Eingangsrechnungen'!A399)</f>
        <v/>
      </c>
      <c r="N399" s="44">
        <f>IF(L399="","",'14_Eingangsrechnungen'!B399)</f>
        <v/>
      </c>
      <c r="O399" s="13">
        <f>IF(L399="","",'14_Eingangsrechnungen'!D399)</f>
        <v/>
      </c>
      <c r="P399" s="13">
        <f>IF(L399="","",'14_Eingangsrechnungen'!C399)</f>
        <v/>
      </c>
      <c r="Q399" s="13">
        <f>IF(L399="","",'14_Eingangsrechnungen'!E399)</f>
        <v/>
      </c>
      <c r="R399" s="15">
        <f>IF(L399="","",'14_Eingangsrechnungen'!M399)</f>
        <v/>
      </c>
      <c r="S399" s="15">
        <f>IF(L399="","",'14_Eingangsrechnungen'!O399)</f>
        <v/>
      </c>
      <c r="T399" s="44">
        <f>IF(L399="","",'14_Eingangsrechnungen'!H399)</f>
        <v/>
      </c>
      <c r="U399" s="45">
        <f>IF(L399="","",'14_Eingangsrechnungen'!P399)</f>
        <v/>
      </c>
    </row>
    <row r="400">
      <c r="A400" s="13">
        <f>IF('13_Ausgangsrechnungen'!A400="","",IF('13_Ausgangsrechnungen'!S400&gt;0.5,"Debitor",""))</f>
        <v/>
      </c>
      <c r="B400" s="13">
        <f>IF(A400="","",'13_Ausgangsrechnungen'!A400)</f>
        <v/>
      </c>
      <c r="C400" s="44">
        <f>IF(A400="","",'13_Ausgangsrechnungen'!B400)</f>
        <v/>
      </c>
      <c r="D400" s="13">
        <f>IF(A400="","",'13_Ausgangsrechnungen'!D400)</f>
        <v/>
      </c>
      <c r="E400" s="13">
        <f>IF(A400="","",'13_Ausgangsrechnungen'!C400)</f>
        <v/>
      </c>
      <c r="F400" s="13">
        <f>IF(A400="","",'13_Ausgangsrechnungen'!E400)</f>
        <v/>
      </c>
      <c r="G400" s="15">
        <f>IF(A400="","",'13_Ausgangsrechnungen'!Q400)</f>
        <v/>
      </c>
      <c r="H400" s="15">
        <f>IF(A400="","",'13_Ausgangsrechnungen'!S400)</f>
        <v/>
      </c>
      <c r="I400" s="44">
        <f>IF(A400="","",'13_Ausgangsrechnungen'!J400)</f>
        <v/>
      </c>
      <c r="J400" s="45">
        <f>IF(A400="","",'13_Ausgangsrechnungen'!T400)</f>
        <v/>
      </c>
      <c r="L400" s="13">
        <f>IF('14_Eingangsrechnungen'!A400="","",IF('14_Eingangsrechnungen'!O400&gt;0.5,"Kreditor",""))</f>
        <v/>
      </c>
      <c r="M400" s="13">
        <f>IF(L400="","",'14_Eingangsrechnungen'!A400)</f>
        <v/>
      </c>
      <c r="N400" s="44">
        <f>IF(L400="","",'14_Eingangsrechnungen'!B400)</f>
        <v/>
      </c>
      <c r="O400" s="13">
        <f>IF(L400="","",'14_Eingangsrechnungen'!D400)</f>
        <v/>
      </c>
      <c r="P400" s="13">
        <f>IF(L400="","",'14_Eingangsrechnungen'!C400)</f>
        <v/>
      </c>
      <c r="Q400" s="13">
        <f>IF(L400="","",'14_Eingangsrechnungen'!E400)</f>
        <v/>
      </c>
      <c r="R400" s="15">
        <f>IF(L400="","",'14_Eingangsrechnungen'!M400)</f>
        <v/>
      </c>
      <c r="S400" s="15">
        <f>IF(L400="","",'14_Eingangsrechnungen'!O400)</f>
        <v/>
      </c>
      <c r="T400" s="44">
        <f>IF(L400="","",'14_Eingangsrechnungen'!H400)</f>
        <v/>
      </c>
      <c r="U400" s="45">
        <f>IF(L400="","",'14_Eingangsrechnungen'!P400)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F6B4F"/>
    <outlinePr summaryBelow="1" summaryRight="1"/>
    <pageSetUpPr/>
  </sheetPr>
  <dimension ref="A1:T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8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8" customHeight="1">
      <c r="A1" s="1" t="inlineStr">
        <is>
          <t>Ausgangsrechnungen (Abschlag, Anzahlung, Schluss)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8" customHeight="1">
      <c r="A2" s="4" t="inlineStr">
        <is>
          <t>Einbehalt und USt rechnen automatisch · Bezahlt kommt aus dem Zahlungsblatt · Offen speist OPOS, Liquidität und Dashboard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</row>
    <row r="3" ht="28" customHeight="1">
      <c r="A3" s="17" t="inlineStr">
        <is>
          <t>Nr</t>
        </is>
      </c>
      <c r="B3" s="17" t="inlineStr">
        <is>
          <t>Datum</t>
        </is>
      </c>
      <c r="C3" s="17" t="inlineStr">
        <is>
          <t>Projekt</t>
        </is>
      </c>
      <c r="D3" s="17" t="inlineStr">
        <is>
          <t>Kunde</t>
        </is>
      </c>
      <c r="E3" s="17" t="inlineStr">
        <is>
          <t>Typ</t>
        </is>
      </c>
      <c r="F3" s="17" t="inlineStr">
        <is>
          <t>Abschlag-Nr</t>
        </is>
      </c>
      <c r="G3" s="17" t="inlineStr">
        <is>
          <t>Netto</t>
        </is>
      </c>
      <c r="H3" s="17" t="inlineStr">
        <is>
          <t>Einbehalt %</t>
        </is>
      </c>
      <c r="I3" s="17" t="inlineStr">
        <is>
          <t>USt %</t>
        </is>
      </c>
      <c r="J3" s="17" t="inlineStr">
        <is>
          <t>Fällig</t>
        </is>
      </c>
      <c r="K3" s="17" t="inlineStr">
        <is>
          <t>Bezahlt am</t>
        </is>
      </c>
      <c r="L3" s="17" t="inlineStr">
        <is>
          <t>Status</t>
        </is>
      </c>
      <c r="M3" s="17" t="inlineStr">
        <is>
          <t>Text</t>
        </is>
      </c>
      <c r="N3" s="17" t="inlineStr">
        <is>
          <t>Einbehalt EUR</t>
        </is>
      </c>
      <c r="O3" s="17" t="inlineStr">
        <is>
          <t>Netto fällig</t>
        </is>
      </c>
      <c r="P3" s="17" t="inlineStr">
        <is>
          <t>USt EUR</t>
        </is>
      </c>
      <c r="Q3" s="17" t="inlineStr">
        <is>
          <t>Brutto</t>
        </is>
      </c>
      <c r="R3" s="17" t="inlineStr">
        <is>
          <t>Bezahlt</t>
        </is>
      </c>
      <c r="S3" s="17" t="inlineStr">
        <is>
          <t>Offen</t>
        </is>
      </c>
      <c r="T3" s="17" t="inlineStr">
        <is>
          <t>Tage überfällig</t>
        </is>
      </c>
    </row>
    <row r="4">
      <c r="A4" s="30" t="inlineStr">
        <is>
          <t>AR-26001</t>
        </is>
      </c>
      <c r="B4" s="38" t="n">
        <v>46081</v>
      </c>
      <c r="C4" s="30" t="inlineStr">
        <is>
          <t>P-2026-001</t>
        </is>
      </c>
      <c r="D4" s="30" t="inlineStr">
        <is>
          <t>K-1001</t>
        </is>
      </c>
      <c r="E4" s="30" t="inlineStr">
        <is>
          <t>Abschlag</t>
        </is>
      </c>
      <c r="F4" s="31" t="n">
        <v>1</v>
      </c>
      <c r="G4" s="34" t="n">
        <v>360000</v>
      </c>
      <c r="H4" s="32" t="n">
        <v>0.05</v>
      </c>
      <c r="I4" s="32" t="n">
        <v>0.19</v>
      </c>
      <c r="J4" s="38" t="n">
        <v>46111</v>
      </c>
      <c r="K4" s="38" t="n">
        <v>46105</v>
      </c>
      <c r="L4" s="30" t="inlineStr">
        <is>
          <t>bezahlt</t>
        </is>
      </c>
      <c r="M4" s="30" t="inlineStr">
        <is>
          <t>1. Abschlag Rohbau</t>
        </is>
      </c>
      <c r="N4" s="15">
        <f>IF(A4="","",G4*H4)</f>
        <v/>
      </c>
      <c r="O4" s="15">
        <f>IF(A4="","",G4-N4)</f>
        <v/>
      </c>
      <c r="P4" s="15">
        <f>IF(A4="","",O4*I4)</f>
        <v/>
      </c>
      <c r="Q4" s="15">
        <f>IF(A4="","",O4+P4)</f>
        <v/>
      </c>
      <c r="R4" s="15">
        <f>IF(A4="","",SUMIFS('15_Zahlungen'!$F:$F,'15_Zahlungen'!$D:$D,A4,'15_Zahlungen'!$C:$C,"Eingang"))</f>
        <v/>
      </c>
      <c r="S4" s="15">
        <f>IF(A4="","",MAX(0,Q4-R4))</f>
        <v/>
      </c>
      <c r="T4" s="45">
        <f>IF(OR(A4="",L4="bezahlt",J4=""),"",MAX(0,TODAY()-J4))</f>
        <v/>
      </c>
    </row>
    <row r="5">
      <c r="A5" s="30" t="inlineStr">
        <is>
          <t>AR-26002</t>
        </is>
      </c>
      <c r="B5" s="38" t="n">
        <v>46142</v>
      </c>
      <c r="C5" s="30" t="inlineStr">
        <is>
          <t>P-2026-001</t>
        </is>
      </c>
      <c r="D5" s="30" t="inlineStr">
        <is>
          <t>K-1001</t>
        </is>
      </c>
      <c r="E5" s="30" t="inlineStr">
        <is>
          <t>Abschlag</t>
        </is>
      </c>
      <c r="F5" s="31" t="n">
        <v>2</v>
      </c>
      <c r="G5" s="34" t="n">
        <v>420000</v>
      </c>
      <c r="H5" s="32" t="n">
        <v>0.05</v>
      </c>
      <c r="I5" s="32" t="n">
        <v>0.19</v>
      </c>
      <c r="J5" s="38" t="n">
        <v>46172</v>
      </c>
      <c r="K5" s="38" t="n">
        <v>46164</v>
      </c>
      <c r="L5" s="30" t="inlineStr">
        <is>
          <t>bezahlt</t>
        </is>
      </c>
      <c r="M5" s="30" t="inlineStr">
        <is>
          <t>2. Abschlag Geschosse</t>
        </is>
      </c>
      <c r="N5" s="15">
        <f>IF(A5="","",G5*H5)</f>
        <v/>
      </c>
      <c r="O5" s="15">
        <f>IF(A5="","",G5-N5)</f>
        <v/>
      </c>
      <c r="P5" s="15">
        <f>IF(A5="","",O5*I5)</f>
        <v/>
      </c>
      <c r="Q5" s="15">
        <f>IF(A5="","",O5+P5)</f>
        <v/>
      </c>
      <c r="R5" s="15">
        <f>IF(A5="","",SUMIFS('15_Zahlungen'!$F:$F,'15_Zahlungen'!$D:$D,A5,'15_Zahlungen'!$C:$C,"Eingang"))</f>
        <v/>
      </c>
      <c r="S5" s="15">
        <f>IF(A5="","",MAX(0,Q5-R5))</f>
        <v/>
      </c>
      <c r="T5" s="45">
        <f>IF(OR(A5="",L5="bezahlt",J5=""),"",MAX(0,TODAY()-J5))</f>
        <v/>
      </c>
    </row>
    <row r="6">
      <c r="A6" s="30" t="inlineStr">
        <is>
          <t>AR-26003</t>
        </is>
      </c>
      <c r="B6" s="38" t="n">
        <v>46234</v>
      </c>
      <c r="C6" s="30" t="inlineStr">
        <is>
          <t>P-2026-001</t>
        </is>
      </c>
      <c r="D6" s="30" t="inlineStr">
        <is>
          <t>K-1001</t>
        </is>
      </c>
      <c r="E6" s="30" t="inlineStr">
        <is>
          <t>Abschlag</t>
        </is>
      </c>
      <c r="F6" s="31" t="n">
        <v>3</v>
      </c>
      <c r="G6" s="34" t="n">
        <v>380000</v>
      </c>
      <c r="H6" s="32" t="n">
        <v>0.05</v>
      </c>
      <c r="I6" s="32" t="n">
        <v>0.19</v>
      </c>
      <c r="J6" s="38" t="n">
        <v>46264</v>
      </c>
      <c r="K6" s="38" t="n">
        <v>46269</v>
      </c>
      <c r="L6" s="30" t="inlineStr">
        <is>
          <t>bezahlt</t>
        </is>
      </c>
      <c r="M6" s="30" t="inlineStr">
        <is>
          <t>3. Abschlag inkl. Nachtrag N-002</t>
        </is>
      </c>
      <c r="N6" s="15">
        <f>IF(A6="","",G6*H6)</f>
        <v/>
      </c>
      <c r="O6" s="15">
        <f>IF(A6="","",G6-N6)</f>
        <v/>
      </c>
      <c r="P6" s="15">
        <f>IF(A6="","",O6*I6)</f>
        <v/>
      </c>
      <c r="Q6" s="15">
        <f>IF(A6="","",O6+P6)</f>
        <v/>
      </c>
      <c r="R6" s="15">
        <f>IF(A6="","",SUMIFS('15_Zahlungen'!$F:$F,'15_Zahlungen'!$D:$D,A6,'15_Zahlungen'!$C:$C,"Eingang"))</f>
        <v/>
      </c>
      <c r="S6" s="15">
        <f>IF(A6="","",MAX(0,Q6-R6))</f>
        <v/>
      </c>
      <c r="T6" s="45">
        <f>IF(OR(A6="",L6="bezahlt",J6=""),"",MAX(0,TODAY()-J6))</f>
        <v/>
      </c>
    </row>
    <row r="7">
      <c r="A7" s="30" t="inlineStr">
        <is>
          <t>AR-26004</t>
        </is>
      </c>
      <c r="B7" s="38" t="n">
        <v>46295</v>
      </c>
      <c r="C7" s="30" t="inlineStr">
        <is>
          <t>P-2026-001</t>
        </is>
      </c>
      <c r="D7" s="30" t="inlineStr">
        <is>
          <t>K-1001</t>
        </is>
      </c>
      <c r="E7" s="30" t="inlineStr">
        <is>
          <t>Abschlag</t>
        </is>
      </c>
      <c r="F7" s="31" t="n">
        <v>4</v>
      </c>
      <c r="G7" s="34" t="n">
        <v>310000</v>
      </c>
      <c r="H7" s="32" t="n">
        <v>0.05</v>
      </c>
      <c r="I7" s="32" t="n">
        <v>0.19</v>
      </c>
      <c r="J7" s="38" t="n">
        <v>46325</v>
      </c>
      <c r="K7" s="38" t="n"/>
      <c r="L7" s="30" t="inlineStr">
        <is>
          <t>offen</t>
        </is>
      </c>
      <c r="M7" s="30" t="inlineStr">
        <is>
          <t>4. Abschlag Dachbeginn</t>
        </is>
      </c>
      <c r="N7" s="15">
        <f>IF(A7="","",G7*H7)</f>
        <v/>
      </c>
      <c r="O7" s="15">
        <f>IF(A7="","",G7-N7)</f>
        <v/>
      </c>
      <c r="P7" s="15">
        <f>IF(A7="","",O7*I7)</f>
        <v/>
      </c>
      <c r="Q7" s="15">
        <f>IF(A7="","",O7+P7)</f>
        <v/>
      </c>
      <c r="R7" s="15">
        <f>IF(A7="","",SUMIFS('15_Zahlungen'!$F:$F,'15_Zahlungen'!$D:$D,A7,'15_Zahlungen'!$C:$C,"Eingang"))</f>
        <v/>
      </c>
      <c r="S7" s="15">
        <f>IF(A7="","",MAX(0,Q7-R7))</f>
        <v/>
      </c>
      <c r="T7" s="45">
        <f>IF(OR(A7="",L7="bezahlt",J7=""),"",MAX(0,TODAY()-J7))</f>
        <v/>
      </c>
    </row>
    <row r="8">
      <c r="A8" s="30" t="inlineStr">
        <is>
          <t>AR-26005</t>
        </is>
      </c>
      <c r="B8" s="38" t="n">
        <v>46127</v>
      </c>
      <c r="C8" s="30" t="inlineStr">
        <is>
          <t>P-2026-002</t>
        </is>
      </c>
      <c r="D8" s="30" t="inlineStr">
        <is>
          <t>K-1003</t>
        </is>
      </c>
      <c r="E8" s="30" t="inlineStr">
        <is>
          <t>Abschlag</t>
        </is>
      </c>
      <c r="F8" s="31" t="n">
        <v>1</v>
      </c>
      <c r="G8" s="34" t="n">
        <v>178000</v>
      </c>
      <c r="H8" s="32" t="n">
        <v>0.05</v>
      </c>
      <c r="I8" s="32" t="n">
        <v>0.19</v>
      </c>
      <c r="J8" s="38" t="n">
        <v>46148</v>
      </c>
      <c r="K8" s="38" t="n">
        <v>46144</v>
      </c>
      <c r="L8" s="30" t="inlineStr">
        <is>
          <t>bezahlt</t>
        </is>
      </c>
      <c r="M8" s="30" t="inlineStr">
        <is>
          <t>1. Abschlag Kita</t>
        </is>
      </c>
      <c r="N8" s="15">
        <f>IF(A8="","",G8*H8)</f>
        <v/>
      </c>
      <c r="O8" s="15">
        <f>IF(A8="","",G8-N8)</f>
        <v/>
      </c>
      <c r="P8" s="15">
        <f>IF(A8="","",O8*I8)</f>
        <v/>
      </c>
      <c r="Q8" s="15">
        <f>IF(A8="","",O8+P8)</f>
        <v/>
      </c>
      <c r="R8" s="15">
        <f>IF(A8="","",SUMIFS('15_Zahlungen'!$F:$F,'15_Zahlungen'!$D:$D,A8,'15_Zahlungen'!$C:$C,"Eingang"))</f>
        <v/>
      </c>
      <c r="S8" s="15">
        <f>IF(A8="","",MAX(0,Q8-R8))</f>
        <v/>
      </c>
      <c r="T8" s="45">
        <f>IF(OR(A8="",L8="bezahlt",J8=""),"",MAX(0,TODAY()-J8))</f>
        <v/>
      </c>
    </row>
    <row r="9">
      <c r="A9" s="30" t="inlineStr">
        <is>
          <t>AR-26006</t>
        </is>
      </c>
      <c r="B9" s="38" t="n">
        <v>46223</v>
      </c>
      <c r="C9" s="30" t="inlineStr">
        <is>
          <t>P-2026-002</t>
        </is>
      </c>
      <c r="D9" s="30" t="inlineStr">
        <is>
          <t>K-1003</t>
        </is>
      </c>
      <c r="E9" s="30" t="inlineStr">
        <is>
          <t>Abschlag</t>
        </is>
      </c>
      <c r="F9" s="31" t="n">
        <v>2</v>
      </c>
      <c r="G9" s="34" t="n">
        <v>210000</v>
      </c>
      <c r="H9" s="32" t="n">
        <v>0.05</v>
      </c>
      <c r="I9" s="32" t="n">
        <v>0.19</v>
      </c>
      <c r="J9" s="38" t="n">
        <v>46244</v>
      </c>
      <c r="K9" s="38" t="n"/>
      <c r="L9" s="30" t="inlineStr">
        <is>
          <t>gemahnt</t>
        </is>
      </c>
      <c r="M9" s="30" t="inlineStr">
        <is>
          <t>2. Abschlag Rohbau</t>
        </is>
      </c>
      <c r="N9" s="15">
        <f>IF(A9="","",G9*H9)</f>
        <v/>
      </c>
      <c r="O9" s="15">
        <f>IF(A9="","",G9-N9)</f>
        <v/>
      </c>
      <c r="P9" s="15">
        <f>IF(A9="","",O9*I9)</f>
        <v/>
      </c>
      <c r="Q9" s="15">
        <f>IF(A9="","",O9+P9)</f>
        <v/>
      </c>
      <c r="R9" s="15">
        <f>IF(A9="","",SUMIFS('15_Zahlungen'!$F:$F,'15_Zahlungen'!$D:$D,A9,'15_Zahlungen'!$C:$C,"Eingang"))</f>
        <v/>
      </c>
      <c r="S9" s="15">
        <f>IF(A9="","",MAX(0,Q9-R9))</f>
        <v/>
      </c>
      <c r="T9" s="45">
        <f>IF(OR(A9="",L9="bezahlt",J9=""),"",MAX(0,TODAY()-J9))</f>
        <v/>
      </c>
    </row>
    <row r="10">
      <c r="A10" s="30" t="inlineStr">
        <is>
          <t>AR-26007</t>
        </is>
      </c>
      <c r="B10" s="38" t="n">
        <v>46173</v>
      </c>
      <c r="C10" s="30" t="inlineStr">
        <is>
          <t>P-2026-003</t>
        </is>
      </c>
      <c r="D10" s="30" t="inlineStr">
        <is>
          <t>K-1002</t>
        </is>
      </c>
      <c r="E10" s="30" t="inlineStr">
        <is>
          <t>Abschlag</t>
        </is>
      </c>
      <c r="F10" s="31" t="n">
        <v>1</v>
      </c>
      <c r="G10" s="34" t="n">
        <v>220000</v>
      </c>
      <c r="H10" s="32" t="n">
        <v>0.05</v>
      </c>
      <c r="I10" s="32" t="n">
        <v>0.19</v>
      </c>
      <c r="J10" s="38" t="n">
        <v>46218</v>
      </c>
      <c r="K10" s="38" t="n">
        <v>46214</v>
      </c>
      <c r="L10" s="30" t="inlineStr">
        <is>
          <t>bezahlt</t>
        </is>
      </c>
      <c r="M10" s="30" t="inlineStr">
        <is>
          <t>1. Abschlag Rathaus</t>
        </is>
      </c>
      <c r="N10" s="15">
        <f>IF(A10="","",G10*H10)</f>
        <v/>
      </c>
      <c r="O10" s="15">
        <f>IF(A10="","",G10-N10)</f>
        <v/>
      </c>
      <c r="P10" s="15">
        <f>IF(A10="","",O10*I10)</f>
        <v/>
      </c>
      <c r="Q10" s="15">
        <f>IF(A10="","",O10+P10)</f>
        <v/>
      </c>
      <c r="R10" s="15">
        <f>IF(A10="","",SUMIFS('15_Zahlungen'!$F:$F,'15_Zahlungen'!$D:$D,A10,'15_Zahlungen'!$C:$C,"Eingang"))</f>
        <v/>
      </c>
      <c r="S10" s="15">
        <f>IF(A10="","",MAX(0,Q10-R10))</f>
        <v/>
      </c>
      <c r="T10" s="45">
        <f>IF(OR(A10="",L10="bezahlt",J10=""),"",MAX(0,TODAY()-J10))</f>
        <v/>
      </c>
    </row>
    <row r="11">
      <c r="A11" s="30" t="inlineStr">
        <is>
          <t>AR-26008</t>
        </is>
      </c>
      <c r="B11" s="38" t="n">
        <v>46265</v>
      </c>
      <c r="C11" s="30" t="inlineStr">
        <is>
          <t>P-2026-003</t>
        </is>
      </c>
      <c r="D11" s="30" t="inlineStr">
        <is>
          <t>K-1002</t>
        </is>
      </c>
      <c r="E11" s="30" t="inlineStr">
        <is>
          <t>Abschlag</t>
        </is>
      </c>
      <c r="F11" s="31" t="n">
        <v>2</v>
      </c>
      <c r="G11" s="34" t="n">
        <v>185000</v>
      </c>
      <c r="H11" s="32" t="n">
        <v>0.05</v>
      </c>
      <c r="I11" s="32" t="n">
        <v>0.19</v>
      </c>
      <c r="J11" s="38" t="n">
        <v>46310</v>
      </c>
      <c r="K11" s="38" t="n"/>
      <c r="L11" s="30" t="inlineStr">
        <is>
          <t>offen</t>
        </is>
      </c>
      <c r="M11" s="30" t="inlineStr">
        <is>
          <t>2. Abschlag Fassade</t>
        </is>
      </c>
      <c r="N11" s="15">
        <f>IF(A11="","",G11*H11)</f>
        <v/>
      </c>
      <c r="O11" s="15">
        <f>IF(A11="","",G11-N11)</f>
        <v/>
      </c>
      <c r="P11" s="15">
        <f>IF(A11="","",O11*I11)</f>
        <v/>
      </c>
      <c r="Q11" s="15">
        <f>IF(A11="","",O11+P11)</f>
        <v/>
      </c>
      <c r="R11" s="15">
        <f>IF(A11="","",SUMIFS('15_Zahlungen'!$F:$F,'15_Zahlungen'!$D:$D,A11,'15_Zahlungen'!$C:$C,"Eingang"))</f>
        <v/>
      </c>
      <c r="S11" s="15">
        <f>IF(A11="","",MAX(0,Q11-R11))</f>
        <v/>
      </c>
      <c r="T11" s="45">
        <f>IF(OR(A11="",L11="bezahlt",J11=""),"",MAX(0,TODAY()-J11))</f>
        <v/>
      </c>
    </row>
    <row r="12">
      <c r="A12" s="30" t="inlineStr">
        <is>
          <t>AR-26009</t>
        </is>
      </c>
      <c r="B12" s="38" t="n">
        <v>46203</v>
      </c>
      <c r="C12" s="30" t="inlineStr">
        <is>
          <t>P-2026-004</t>
        </is>
      </c>
      <c r="D12" s="30" t="inlineStr">
        <is>
          <t>K-1004</t>
        </is>
      </c>
      <c r="E12" s="30" t="inlineStr">
        <is>
          <t>Abschlag</t>
        </is>
      </c>
      <c r="F12" s="31" t="n">
        <v>1</v>
      </c>
      <c r="G12" s="34" t="n">
        <v>480000</v>
      </c>
      <c r="H12" s="32" t="n">
        <v>0.05</v>
      </c>
      <c r="I12" s="32" t="n">
        <v>0.19</v>
      </c>
      <c r="J12" s="38" t="n">
        <v>46233</v>
      </c>
      <c r="K12" s="38" t="n">
        <v>46224</v>
      </c>
      <c r="L12" s="30" t="inlineStr">
        <is>
          <t>bezahlt</t>
        </is>
      </c>
      <c r="M12" s="30" t="inlineStr">
        <is>
          <t>1. Abschlag Erdbau/Bodenplatte</t>
        </is>
      </c>
      <c r="N12" s="15">
        <f>IF(A12="","",G12*H12)</f>
        <v/>
      </c>
      <c r="O12" s="15">
        <f>IF(A12="","",G12-N12)</f>
        <v/>
      </c>
      <c r="P12" s="15">
        <f>IF(A12="","",O12*I12)</f>
        <v/>
      </c>
      <c r="Q12" s="15">
        <f>IF(A12="","",O12+P12)</f>
        <v/>
      </c>
      <c r="R12" s="15">
        <f>IF(A12="","",SUMIFS('15_Zahlungen'!$F:$F,'15_Zahlungen'!$D:$D,A12,'15_Zahlungen'!$C:$C,"Eingang"))</f>
        <v/>
      </c>
      <c r="S12" s="15">
        <f>IF(A12="","",MAX(0,Q12-R12))</f>
        <v/>
      </c>
      <c r="T12" s="45">
        <f>IF(OR(A12="",L12="bezahlt",J12=""),"",MAX(0,TODAY()-J12))</f>
        <v/>
      </c>
    </row>
    <row r="13">
      <c r="A13" s="30" t="inlineStr">
        <is>
          <t>AR-26010</t>
        </is>
      </c>
      <c r="B13" s="38" t="n">
        <v>46280</v>
      </c>
      <c r="C13" s="30" t="inlineStr">
        <is>
          <t>P-2026-004</t>
        </is>
      </c>
      <c r="D13" s="30" t="inlineStr">
        <is>
          <t>K-1004</t>
        </is>
      </c>
      <c r="E13" s="30" t="inlineStr">
        <is>
          <t>Abschlag</t>
        </is>
      </c>
      <c r="F13" s="31" t="n">
        <v>2</v>
      </c>
      <c r="G13" s="34" t="n">
        <v>520000</v>
      </c>
      <c r="H13" s="32" t="n">
        <v>0.05</v>
      </c>
      <c r="I13" s="32" t="n">
        <v>0.19</v>
      </c>
      <c r="J13" s="38" t="n">
        <v>46310</v>
      </c>
      <c r="K13" s="38" t="n"/>
      <c r="L13" s="30" t="inlineStr">
        <is>
          <t>offen</t>
        </is>
      </c>
      <c r="M13" s="30" t="inlineStr">
        <is>
          <t>2. Abschlag Stahl</t>
        </is>
      </c>
      <c r="N13" s="15">
        <f>IF(A13="","",G13*H13)</f>
        <v/>
      </c>
      <c r="O13" s="15">
        <f>IF(A13="","",G13-N13)</f>
        <v/>
      </c>
      <c r="P13" s="15">
        <f>IF(A13="","",O13*I13)</f>
        <v/>
      </c>
      <c r="Q13" s="15">
        <f>IF(A13="","",O13+P13)</f>
        <v/>
      </c>
      <c r="R13" s="15">
        <f>IF(A13="","",SUMIFS('15_Zahlungen'!$F:$F,'15_Zahlungen'!$D:$D,A13,'15_Zahlungen'!$C:$C,"Eingang"))</f>
        <v/>
      </c>
      <c r="S13" s="15">
        <f>IF(A13="","",MAX(0,Q13-R13))</f>
        <v/>
      </c>
      <c r="T13" s="45">
        <f>IF(OR(A13="",L13="bezahlt",J13=""),"",MAX(0,TODAY()-J13))</f>
        <v/>
      </c>
    </row>
    <row r="14">
      <c r="A14" s="30" t="inlineStr">
        <is>
          <t>AR-26011</t>
        </is>
      </c>
      <c r="B14" s="38" t="n">
        <v>46053</v>
      </c>
      <c r="C14" s="30" t="inlineStr">
        <is>
          <t>P-2026-005</t>
        </is>
      </c>
      <c r="D14" s="30" t="inlineStr">
        <is>
          <t>K-1005</t>
        </is>
      </c>
      <c r="E14" s="30" t="inlineStr">
        <is>
          <t>Abschlag</t>
        </is>
      </c>
      <c r="F14" s="31" t="n">
        <v>3</v>
      </c>
      <c r="G14" s="34" t="n">
        <v>84000</v>
      </c>
      <c r="H14" s="32" t="n">
        <v>0.05</v>
      </c>
      <c r="I14" s="32" t="n">
        <v>0.19</v>
      </c>
      <c r="J14" s="38" t="n">
        <v>46067</v>
      </c>
      <c r="K14" s="38" t="n">
        <v>46063</v>
      </c>
      <c r="L14" s="30" t="inlineStr">
        <is>
          <t>bezahlt</t>
        </is>
      </c>
      <c r="M14" s="30" t="inlineStr">
        <is>
          <t>3. Abschlag EFH</t>
        </is>
      </c>
      <c r="N14" s="15">
        <f>IF(A14="","",G14*H14)</f>
        <v/>
      </c>
      <c r="O14" s="15">
        <f>IF(A14="","",G14-N14)</f>
        <v/>
      </c>
      <c r="P14" s="15">
        <f>IF(A14="","",O14*I14)</f>
        <v/>
      </c>
      <c r="Q14" s="15">
        <f>IF(A14="","",O14+P14)</f>
        <v/>
      </c>
      <c r="R14" s="15">
        <f>IF(A14="","",SUMIFS('15_Zahlungen'!$F:$F,'15_Zahlungen'!$D:$D,A14,'15_Zahlungen'!$C:$C,"Eingang"))</f>
        <v/>
      </c>
      <c r="S14" s="15">
        <f>IF(A14="","",MAX(0,Q14-R14))</f>
        <v/>
      </c>
      <c r="T14" s="45">
        <f>IF(OR(A14="",L14="bezahlt",J14=""),"",MAX(0,TODAY()-J14))</f>
        <v/>
      </c>
    </row>
    <row r="15">
      <c r="A15" s="30" t="inlineStr">
        <is>
          <t>AR-26012</t>
        </is>
      </c>
      <c r="B15" s="38" t="n">
        <v>46136</v>
      </c>
      <c r="C15" s="30" t="inlineStr">
        <is>
          <t>P-2026-005</t>
        </is>
      </c>
      <c r="D15" s="30" t="inlineStr">
        <is>
          <t>K-1005</t>
        </is>
      </c>
      <c r="E15" s="30" t="inlineStr">
        <is>
          <t>Schluss</t>
        </is>
      </c>
      <c r="F15" s="31" t="n">
        <v>4</v>
      </c>
      <c r="G15" s="34" t="n">
        <v>126000</v>
      </c>
      <c r="H15" s="32" t="n">
        <v>0.05</v>
      </c>
      <c r="I15" s="32" t="n">
        <v>0.19</v>
      </c>
      <c r="J15" s="38" t="n">
        <v>46150</v>
      </c>
      <c r="K15" s="38" t="n">
        <v>46148</v>
      </c>
      <c r="L15" s="30" t="inlineStr">
        <is>
          <t>bezahlt</t>
        </is>
      </c>
      <c r="M15" s="30" t="inlineStr">
        <is>
          <t>Schlussrechnung EFH, Einbehalt 5 %</t>
        </is>
      </c>
      <c r="N15" s="15">
        <f>IF(A15="","",G15*H15)</f>
        <v/>
      </c>
      <c r="O15" s="15">
        <f>IF(A15="","",G15-N15)</f>
        <v/>
      </c>
      <c r="P15" s="15">
        <f>IF(A15="","",O15*I15)</f>
        <v/>
      </c>
      <c r="Q15" s="15">
        <f>IF(A15="","",O15+P15)</f>
        <v/>
      </c>
      <c r="R15" s="15">
        <f>IF(A15="","",SUMIFS('15_Zahlungen'!$F:$F,'15_Zahlungen'!$D:$D,A15,'15_Zahlungen'!$C:$C,"Eingang"))</f>
        <v/>
      </c>
      <c r="S15" s="15">
        <f>IF(A15="","",MAX(0,Q15-R15))</f>
        <v/>
      </c>
      <c r="T15" s="45">
        <f>IF(OR(A15="",L15="bezahlt",J15=""),"",MAX(0,TODAY()-J15))</f>
        <v/>
      </c>
    </row>
    <row r="16">
      <c r="A16" s="30" t="inlineStr">
        <is>
          <t>AR-26013</t>
        </is>
      </c>
      <c r="B16" s="38" t="n">
        <v>46300</v>
      </c>
      <c r="C16" s="30" t="inlineStr">
        <is>
          <t>P-2026-006</t>
        </is>
      </c>
      <c r="D16" s="30" t="inlineStr">
        <is>
          <t>K-1006</t>
        </is>
      </c>
      <c r="E16" s="30" t="inlineStr">
        <is>
          <t>Anzahlung</t>
        </is>
      </c>
      <c r="F16" s="31" t="n">
        <v>1</v>
      </c>
      <c r="G16" s="34" t="n">
        <v>180000</v>
      </c>
      <c r="H16" s="32" t="n">
        <v>0</v>
      </c>
      <c r="I16" s="32" t="n">
        <v>0.19</v>
      </c>
      <c r="J16" s="38" t="n">
        <v>46360</v>
      </c>
      <c r="K16" s="38" t="n"/>
      <c r="L16" s="30" t="inlineStr">
        <is>
          <t>offen</t>
        </is>
      </c>
      <c r="M16" s="30" t="inlineStr">
        <is>
          <t>1. Abschlag nach Baubeginn</t>
        </is>
      </c>
      <c r="N16" s="15">
        <f>IF(A16="","",G16*H16)</f>
        <v/>
      </c>
      <c r="O16" s="15">
        <f>IF(A16="","",G16-N16)</f>
        <v/>
      </c>
      <c r="P16" s="15">
        <f>IF(A16="","",O16*I16)</f>
        <v/>
      </c>
      <c r="Q16" s="15">
        <f>IF(A16="","",O16+P16)</f>
        <v/>
      </c>
      <c r="R16" s="15">
        <f>IF(A16="","",SUMIFS('15_Zahlungen'!$F:$F,'15_Zahlungen'!$D:$D,A16,'15_Zahlungen'!$C:$C,"Eingang"))</f>
        <v/>
      </c>
      <c r="S16" s="15">
        <f>IF(A16="","",MAX(0,Q16-R16))</f>
        <v/>
      </c>
      <c r="T16" s="45">
        <f>IF(OR(A16="",L16="bezahlt",J16=""),"",MAX(0,TODAY()-J16))</f>
        <v/>
      </c>
    </row>
    <row r="17">
      <c r="A17" s="30" t="inlineStr"/>
      <c r="B17" s="38" t="inlineStr"/>
      <c r="C17" s="30" t="inlineStr"/>
      <c r="D17" s="30" t="inlineStr"/>
      <c r="E17" s="30" t="inlineStr"/>
      <c r="F17" s="31" t="inlineStr"/>
      <c r="G17" s="34" t="inlineStr"/>
      <c r="H17" s="32" t="inlineStr"/>
      <c r="I17" s="32" t="inlineStr"/>
      <c r="J17" s="38" t="inlineStr"/>
      <c r="K17" s="38" t="inlineStr"/>
      <c r="L17" s="30" t="inlineStr"/>
      <c r="M17" s="30" t="inlineStr"/>
      <c r="N17" s="15">
        <f>IF(A17="","",G17*H17)</f>
        <v/>
      </c>
      <c r="O17" s="15">
        <f>IF(A17="","",G17-N17)</f>
        <v/>
      </c>
      <c r="P17" s="15">
        <f>IF(A17="","",O17*I17)</f>
        <v/>
      </c>
      <c r="Q17" s="15">
        <f>IF(A17="","",O17+P17)</f>
        <v/>
      </c>
      <c r="R17" s="15">
        <f>IF(A17="","",SUMIFS('15_Zahlungen'!$F:$F,'15_Zahlungen'!$D:$D,A17,'15_Zahlungen'!$C:$C,"Eingang"))</f>
        <v/>
      </c>
      <c r="S17" s="15">
        <f>IF(A17="","",MAX(0,Q17-R17))</f>
        <v/>
      </c>
      <c r="T17" s="45">
        <f>IF(OR(A17="",L17="bezahlt",J17=""),"",MAX(0,TODAY()-J17))</f>
        <v/>
      </c>
    </row>
    <row r="18">
      <c r="A18" s="30" t="inlineStr"/>
      <c r="B18" s="38" t="inlineStr"/>
      <c r="C18" s="30" t="inlineStr"/>
      <c r="D18" s="30" t="inlineStr"/>
      <c r="E18" s="30" t="inlineStr"/>
      <c r="F18" s="31" t="inlineStr"/>
      <c r="G18" s="34" t="inlineStr"/>
      <c r="H18" s="32" t="inlineStr"/>
      <c r="I18" s="32" t="inlineStr"/>
      <c r="J18" s="38" t="inlineStr"/>
      <c r="K18" s="38" t="inlineStr"/>
      <c r="L18" s="30" t="inlineStr"/>
      <c r="M18" s="30" t="inlineStr"/>
      <c r="N18" s="15">
        <f>IF(A18="","",G18*H18)</f>
        <v/>
      </c>
      <c r="O18" s="15">
        <f>IF(A18="","",G18-N18)</f>
        <v/>
      </c>
      <c r="P18" s="15">
        <f>IF(A18="","",O18*I18)</f>
        <v/>
      </c>
      <c r="Q18" s="15">
        <f>IF(A18="","",O18+P18)</f>
        <v/>
      </c>
      <c r="R18" s="15">
        <f>IF(A18="","",SUMIFS('15_Zahlungen'!$F:$F,'15_Zahlungen'!$D:$D,A18,'15_Zahlungen'!$C:$C,"Eingang"))</f>
        <v/>
      </c>
      <c r="S18" s="15">
        <f>IF(A18="","",MAX(0,Q18-R18))</f>
        <v/>
      </c>
      <c r="T18" s="45">
        <f>IF(OR(A18="",L18="bezahlt",J18=""),"",MAX(0,TODAY()-J18))</f>
        <v/>
      </c>
    </row>
    <row r="19">
      <c r="A19" s="30" t="inlineStr"/>
      <c r="B19" s="38" t="inlineStr"/>
      <c r="C19" s="30" t="inlineStr"/>
      <c r="D19" s="30" t="inlineStr"/>
      <c r="E19" s="30" t="inlineStr"/>
      <c r="F19" s="31" t="inlineStr"/>
      <c r="G19" s="34" t="inlineStr"/>
      <c r="H19" s="32" t="inlineStr"/>
      <c r="I19" s="32" t="inlineStr"/>
      <c r="J19" s="38" t="inlineStr"/>
      <c r="K19" s="38" t="inlineStr"/>
      <c r="L19" s="30" t="inlineStr"/>
      <c r="M19" s="30" t="inlineStr"/>
      <c r="N19" s="15">
        <f>IF(A19="","",G19*H19)</f>
        <v/>
      </c>
      <c r="O19" s="15">
        <f>IF(A19="","",G19-N19)</f>
        <v/>
      </c>
      <c r="P19" s="15">
        <f>IF(A19="","",O19*I19)</f>
        <v/>
      </c>
      <c r="Q19" s="15">
        <f>IF(A19="","",O19+P19)</f>
        <v/>
      </c>
      <c r="R19" s="15">
        <f>IF(A19="","",SUMIFS('15_Zahlungen'!$F:$F,'15_Zahlungen'!$D:$D,A19,'15_Zahlungen'!$C:$C,"Eingang"))</f>
        <v/>
      </c>
      <c r="S19" s="15">
        <f>IF(A19="","",MAX(0,Q19-R19))</f>
        <v/>
      </c>
      <c r="T19" s="45">
        <f>IF(OR(A19="",L19="bezahlt",J19=""),"",MAX(0,TODAY()-J19))</f>
        <v/>
      </c>
    </row>
    <row r="20">
      <c r="A20" s="30" t="inlineStr"/>
      <c r="B20" s="38" t="inlineStr"/>
      <c r="C20" s="30" t="inlineStr"/>
      <c r="D20" s="30" t="inlineStr"/>
      <c r="E20" s="30" t="inlineStr"/>
      <c r="F20" s="31" t="inlineStr"/>
      <c r="G20" s="34" t="inlineStr"/>
      <c r="H20" s="32" t="inlineStr"/>
      <c r="I20" s="32" t="inlineStr"/>
      <c r="J20" s="38" t="inlineStr"/>
      <c r="K20" s="38" t="inlineStr"/>
      <c r="L20" s="30" t="inlineStr"/>
      <c r="M20" s="30" t="inlineStr"/>
      <c r="N20" s="15">
        <f>IF(A20="","",G20*H20)</f>
        <v/>
      </c>
      <c r="O20" s="15">
        <f>IF(A20="","",G20-N20)</f>
        <v/>
      </c>
      <c r="P20" s="15">
        <f>IF(A20="","",O20*I20)</f>
        <v/>
      </c>
      <c r="Q20" s="15">
        <f>IF(A20="","",O20+P20)</f>
        <v/>
      </c>
      <c r="R20" s="15">
        <f>IF(A20="","",SUMIFS('15_Zahlungen'!$F:$F,'15_Zahlungen'!$D:$D,A20,'15_Zahlungen'!$C:$C,"Eingang"))</f>
        <v/>
      </c>
      <c r="S20" s="15">
        <f>IF(A20="","",MAX(0,Q20-R20))</f>
        <v/>
      </c>
      <c r="T20" s="45">
        <f>IF(OR(A20="",L20="bezahlt",J20=""),"",MAX(0,TODAY()-J20))</f>
        <v/>
      </c>
    </row>
    <row r="21">
      <c r="A21" s="30" t="inlineStr"/>
      <c r="B21" s="38" t="inlineStr"/>
      <c r="C21" s="30" t="inlineStr"/>
      <c r="D21" s="30" t="inlineStr"/>
      <c r="E21" s="30" t="inlineStr"/>
      <c r="F21" s="31" t="inlineStr"/>
      <c r="G21" s="34" t="inlineStr"/>
      <c r="H21" s="32" t="inlineStr"/>
      <c r="I21" s="32" t="inlineStr"/>
      <c r="J21" s="38" t="inlineStr"/>
      <c r="K21" s="38" t="inlineStr"/>
      <c r="L21" s="30" t="inlineStr"/>
      <c r="M21" s="30" t="inlineStr"/>
      <c r="N21" s="15">
        <f>IF(A21="","",G21*H21)</f>
        <v/>
      </c>
      <c r="O21" s="15">
        <f>IF(A21="","",G21-N21)</f>
        <v/>
      </c>
      <c r="P21" s="15">
        <f>IF(A21="","",O21*I21)</f>
        <v/>
      </c>
      <c r="Q21" s="15">
        <f>IF(A21="","",O21+P21)</f>
        <v/>
      </c>
      <c r="R21" s="15">
        <f>IF(A21="","",SUMIFS('15_Zahlungen'!$F:$F,'15_Zahlungen'!$D:$D,A21,'15_Zahlungen'!$C:$C,"Eingang"))</f>
        <v/>
      </c>
      <c r="S21" s="15">
        <f>IF(A21="","",MAX(0,Q21-R21))</f>
        <v/>
      </c>
      <c r="T21" s="45">
        <f>IF(OR(A21="",L21="bezahlt",J21=""),"",MAX(0,TODAY()-J21))</f>
        <v/>
      </c>
    </row>
    <row r="22">
      <c r="A22" s="30" t="inlineStr"/>
      <c r="B22" s="38" t="inlineStr"/>
      <c r="C22" s="30" t="inlineStr"/>
      <c r="D22" s="30" t="inlineStr"/>
      <c r="E22" s="30" t="inlineStr"/>
      <c r="F22" s="31" t="inlineStr"/>
      <c r="G22" s="34" t="inlineStr"/>
      <c r="H22" s="32" t="inlineStr"/>
      <c r="I22" s="32" t="inlineStr"/>
      <c r="J22" s="38" t="inlineStr"/>
      <c r="K22" s="38" t="inlineStr"/>
      <c r="L22" s="30" t="inlineStr"/>
      <c r="M22" s="30" t="inlineStr"/>
      <c r="N22" s="15">
        <f>IF(A22="","",G22*H22)</f>
        <v/>
      </c>
      <c r="O22" s="15">
        <f>IF(A22="","",G22-N22)</f>
        <v/>
      </c>
      <c r="P22" s="15">
        <f>IF(A22="","",O22*I22)</f>
        <v/>
      </c>
      <c r="Q22" s="15">
        <f>IF(A22="","",O22+P22)</f>
        <v/>
      </c>
      <c r="R22" s="15">
        <f>IF(A22="","",SUMIFS('15_Zahlungen'!$F:$F,'15_Zahlungen'!$D:$D,A22,'15_Zahlungen'!$C:$C,"Eingang"))</f>
        <v/>
      </c>
      <c r="S22" s="15">
        <f>IF(A22="","",MAX(0,Q22-R22))</f>
        <v/>
      </c>
      <c r="T22" s="45">
        <f>IF(OR(A22="",L22="bezahlt",J22=""),"",MAX(0,TODAY()-J22))</f>
        <v/>
      </c>
    </row>
    <row r="23">
      <c r="A23" s="30" t="inlineStr"/>
      <c r="B23" s="38" t="inlineStr"/>
      <c r="C23" s="30" t="inlineStr"/>
      <c r="D23" s="30" t="inlineStr"/>
      <c r="E23" s="30" t="inlineStr"/>
      <c r="F23" s="31" t="inlineStr"/>
      <c r="G23" s="34" t="inlineStr"/>
      <c r="H23" s="32" t="inlineStr"/>
      <c r="I23" s="32" t="inlineStr"/>
      <c r="J23" s="38" t="inlineStr"/>
      <c r="K23" s="38" t="inlineStr"/>
      <c r="L23" s="30" t="inlineStr"/>
      <c r="M23" s="30" t="inlineStr"/>
      <c r="N23" s="15">
        <f>IF(A23="","",G23*H23)</f>
        <v/>
      </c>
      <c r="O23" s="15">
        <f>IF(A23="","",G23-N23)</f>
        <v/>
      </c>
      <c r="P23" s="15">
        <f>IF(A23="","",O23*I23)</f>
        <v/>
      </c>
      <c r="Q23" s="15">
        <f>IF(A23="","",O23+P23)</f>
        <v/>
      </c>
      <c r="R23" s="15">
        <f>IF(A23="","",SUMIFS('15_Zahlungen'!$F:$F,'15_Zahlungen'!$D:$D,A23,'15_Zahlungen'!$C:$C,"Eingang"))</f>
        <v/>
      </c>
      <c r="S23" s="15">
        <f>IF(A23="","",MAX(0,Q23-R23))</f>
        <v/>
      </c>
      <c r="T23" s="45">
        <f>IF(OR(A23="",L23="bezahlt",J23=""),"",MAX(0,TODAY()-J23))</f>
        <v/>
      </c>
    </row>
    <row r="24">
      <c r="A24" s="30" t="inlineStr"/>
      <c r="B24" s="38" t="inlineStr"/>
      <c r="C24" s="30" t="inlineStr"/>
      <c r="D24" s="30" t="inlineStr"/>
      <c r="E24" s="30" t="inlineStr"/>
      <c r="F24" s="31" t="inlineStr"/>
      <c r="G24" s="34" t="inlineStr"/>
      <c r="H24" s="32" t="inlineStr"/>
      <c r="I24" s="32" t="inlineStr"/>
      <c r="J24" s="38" t="inlineStr"/>
      <c r="K24" s="38" t="inlineStr"/>
      <c r="L24" s="30" t="inlineStr"/>
      <c r="M24" s="30" t="inlineStr"/>
      <c r="N24" s="15">
        <f>IF(A24="","",G24*H24)</f>
        <v/>
      </c>
      <c r="O24" s="15">
        <f>IF(A24="","",G24-N24)</f>
        <v/>
      </c>
      <c r="P24" s="15">
        <f>IF(A24="","",O24*I24)</f>
        <v/>
      </c>
      <c r="Q24" s="15">
        <f>IF(A24="","",O24+P24)</f>
        <v/>
      </c>
      <c r="R24" s="15">
        <f>IF(A24="","",SUMIFS('15_Zahlungen'!$F:$F,'15_Zahlungen'!$D:$D,A24,'15_Zahlungen'!$C:$C,"Eingang"))</f>
        <v/>
      </c>
      <c r="S24" s="15">
        <f>IF(A24="","",MAX(0,Q24-R24))</f>
        <v/>
      </c>
      <c r="T24" s="45">
        <f>IF(OR(A24="",L24="bezahlt",J24=""),"",MAX(0,TODAY()-J24))</f>
        <v/>
      </c>
    </row>
    <row r="25">
      <c r="A25" s="30" t="inlineStr"/>
      <c r="B25" s="38" t="inlineStr"/>
      <c r="C25" s="30" t="inlineStr"/>
      <c r="D25" s="30" t="inlineStr"/>
      <c r="E25" s="30" t="inlineStr"/>
      <c r="F25" s="31" t="inlineStr"/>
      <c r="G25" s="34" t="inlineStr"/>
      <c r="H25" s="32" t="inlineStr"/>
      <c r="I25" s="32" t="inlineStr"/>
      <c r="J25" s="38" t="inlineStr"/>
      <c r="K25" s="38" t="inlineStr"/>
      <c r="L25" s="30" t="inlineStr"/>
      <c r="M25" s="30" t="inlineStr"/>
      <c r="N25" s="15">
        <f>IF(A25="","",G25*H25)</f>
        <v/>
      </c>
      <c r="O25" s="15">
        <f>IF(A25="","",G25-N25)</f>
        <v/>
      </c>
      <c r="P25" s="15">
        <f>IF(A25="","",O25*I25)</f>
        <v/>
      </c>
      <c r="Q25" s="15">
        <f>IF(A25="","",O25+P25)</f>
        <v/>
      </c>
      <c r="R25" s="15">
        <f>IF(A25="","",SUMIFS('15_Zahlungen'!$F:$F,'15_Zahlungen'!$D:$D,A25,'15_Zahlungen'!$C:$C,"Eingang"))</f>
        <v/>
      </c>
      <c r="S25" s="15">
        <f>IF(A25="","",MAX(0,Q25-R25))</f>
        <v/>
      </c>
      <c r="T25" s="45">
        <f>IF(OR(A25="",L25="bezahlt",J25=""),"",MAX(0,TODAY()-J25))</f>
        <v/>
      </c>
    </row>
    <row r="26">
      <c r="A26" s="30" t="inlineStr"/>
      <c r="B26" s="38" t="inlineStr"/>
      <c r="C26" s="30" t="inlineStr"/>
      <c r="D26" s="30" t="inlineStr"/>
      <c r="E26" s="30" t="inlineStr"/>
      <c r="F26" s="31" t="inlineStr"/>
      <c r="G26" s="34" t="inlineStr"/>
      <c r="H26" s="32" t="inlineStr"/>
      <c r="I26" s="32" t="inlineStr"/>
      <c r="J26" s="38" t="inlineStr"/>
      <c r="K26" s="38" t="inlineStr"/>
      <c r="L26" s="30" t="inlineStr"/>
      <c r="M26" s="30" t="inlineStr"/>
      <c r="N26" s="15">
        <f>IF(A26="","",G26*H26)</f>
        <v/>
      </c>
      <c r="O26" s="15">
        <f>IF(A26="","",G26-N26)</f>
        <v/>
      </c>
      <c r="P26" s="15">
        <f>IF(A26="","",O26*I26)</f>
        <v/>
      </c>
      <c r="Q26" s="15">
        <f>IF(A26="","",O26+P26)</f>
        <v/>
      </c>
      <c r="R26" s="15">
        <f>IF(A26="","",SUMIFS('15_Zahlungen'!$F:$F,'15_Zahlungen'!$D:$D,A26,'15_Zahlungen'!$C:$C,"Eingang"))</f>
        <v/>
      </c>
      <c r="S26" s="15">
        <f>IF(A26="","",MAX(0,Q26-R26))</f>
        <v/>
      </c>
      <c r="T26" s="45">
        <f>IF(OR(A26="",L26="bezahlt",J26=""),"",MAX(0,TODAY()-J26))</f>
        <v/>
      </c>
    </row>
    <row r="27">
      <c r="A27" s="30" t="inlineStr"/>
      <c r="B27" s="38" t="inlineStr"/>
      <c r="C27" s="30" t="inlineStr"/>
      <c r="D27" s="30" t="inlineStr"/>
      <c r="E27" s="30" t="inlineStr"/>
      <c r="F27" s="31" t="inlineStr"/>
      <c r="G27" s="34" t="inlineStr"/>
      <c r="H27" s="32" t="inlineStr"/>
      <c r="I27" s="32" t="inlineStr"/>
      <c r="J27" s="38" t="inlineStr"/>
      <c r="K27" s="38" t="inlineStr"/>
      <c r="L27" s="30" t="inlineStr"/>
      <c r="M27" s="30" t="inlineStr"/>
      <c r="N27" s="15">
        <f>IF(A27="","",G27*H27)</f>
        <v/>
      </c>
      <c r="O27" s="15">
        <f>IF(A27="","",G27-N27)</f>
        <v/>
      </c>
      <c r="P27" s="15">
        <f>IF(A27="","",O27*I27)</f>
        <v/>
      </c>
      <c r="Q27" s="15">
        <f>IF(A27="","",O27+P27)</f>
        <v/>
      </c>
      <c r="R27" s="15">
        <f>IF(A27="","",SUMIFS('15_Zahlungen'!$F:$F,'15_Zahlungen'!$D:$D,A27,'15_Zahlungen'!$C:$C,"Eingang"))</f>
        <v/>
      </c>
      <c r="S27" s="15">
        <f>IF(A27="","",MAX(0,Q27-R27))</f>
        <v/>
      </c>
      <c r="T27" s="45">
        <f>IF(OR(A27="",L27="bezahlt",J27=""),"",MAX(0,TODAY()-J27))</f>
        <v/>
      </c>
    </row>
    <row r="28">
      <c r="A28" s="30" t="inlineStr"/>
      <c r="B28" s="38" t="inlineStr"/>
      <c r="C28" s="30" t="inlineStr"/>
      <c r="D28" s="30" t="inlineStr"/>
      <c r="E28" s="30" t="inlineStr"/>
      <c r="F28" s="31" t="inlineStr"/>
      <c r="G28" s="34" t="inlineStr"/>
      <c r="H28" s="32" t="inlineStr"/>
      <c r="I28" s="32" t="inlineStr"/>
      <c r="J28" s="38" t="inlineStr"/>
      <c r="K28" s="38" t="inlineStr"/>
      <c r="L28" s="30" t="inlineStr"/>
      <c r="M28" s="30" t="inlineStr"/>
      <c r="N28" s="15">
        <f>IF(A28="","",G28*H28)</f>
        <v/>
      </c>
      <c r="O28" s="15">
        <f>IF(A28="","",G28-N28)</f>
        <v/>
      </c>
      <c r="P28" s="15">
        <f>IF(A28="","",O28*I28)</f>
        <v/>
      </c>
      <c r="Q28" s="15">
        <f>IF(A28="","",O28+P28)</f>
        <v/>
      </c>
      <c r="R28" s="15">
        <f>IF(A28="","",SUMIFS('15_Zahlungen'!$F:$F,'15_Zahlungen'!$D:$D,A28,'15_Zahlungen'!$C:$C,"Eingang"))</f>
        <v/>
      </c>
      <c r="S28" s="15">
        <f>IF(A28="","",MAX(0,Q28-R28))</f>
        <v/>
      </c>
      <c r="T28" s="45">
        <f>IF(OR(A28="",L28="bezahlt",J28=""),"",MAX(0,TODAY()-J28))</f>
        <v/>
      </c>
    </row>
    <row r="29">
      <c r="A29" s="30" t="inlineStr"/>
      <c r="B29" s="38" t="inlineStr"/>
      <c r="C29" s="30" t="inlineStr"/>
      <c r="D29" s="30" t="inlineStr"/>
      <c r="E29" s="30" t="inlineStr"/>
      <c r="F29" s="31" t="inlineStr"/>
      <c r="G29" s="34" t="inlineStr"/>
      <c r="H29" s="32" t="inlineStr"/>
      <c r="I29" s="32" t="inlineStr"/>
      <c r="J29" s="38" t="inlineStr"/>
      <c r="K29" s="38" t="inlineStr"/>
      <c r="L29" s="30" t="inlineStr"/>
      <c r="M29" s="30" t="inlineStr"/>
      <c r="N29" s="15">
        <f>IF(A29="","",G29*H29)</f>
        <v/>
      </c>
      <c r="O29" s="15">
        <f>IF(A29="","",G29-N29)</f>
        <v/>
      </c>
      <c r="P29" s="15">
        <f>IF(A29="","",O29*I29)</f>
        <v/>
      </c>
      <c r="Q29" s="15">
        <f>IF(A29="","",O29+P29)</f>
        <v/>
      </c>
      <c r="R29" s="15">
        <f>IF(A29="","",SUMIFS('15_Zahlungen'!$F:$F,'15_Zahlungen'!$D:$D,A29,'15_Zahlungen'!$C:$C,"Eingang"))</f>
        <v/>
      </c>
      <c r="S29" s="15">
        <f>IF(A29="","",MAX(0,Q29-R29))</f>
        <v/>
      </c>
      <c r="T29" s="45">
        <f>IF(OR(A29="",L29="bezahlt",J29=""),"",MAX(0,TODAY()-J29))</f>
        <v/>
      </c>
    </row>
    <row r="30">
      <c r="A30" s="30" t="inlineStr"/>
      <c r="B30" s="38" t="inlineStr"/>
      <c r="C30" s="30" t="inlineStr"/>
      <c r="D30" s="30" t="inlineStr"/>
      <c r="E30" s="30" t="inlineStr"/>
      <c r="F30" s="31" t="inlineStr"/>
      <c r="G30" s="34" t="inlineStr"/>
      <c r="H30" s="32" t="inlineStr"/>
      <c r="I30" s="32" t="inlineStr"/>
      <c r="J30" s="38" t="inlineStr"/>
      <c r="K30" s="38" t="inlineStr"/>
      <c r="L30" s="30" t="inlineStr"/>
      <c r="M30" s="30" t="inlineStr"/>
      <c r="N30" s="15">
        <f>IF(A30="","",G30*H30)</f>
        <v/>
      </c>
      <c r="O30" s="15">
        <f>IF(A30="","",G30-N30)</f>
        <v/>
      </c>
      <c r="P30" s="15">
        <f>IF(A30="","",O30*I30)</f>
        <v/>
      </c>
      <c r="Q30" s="15">
        <f>IF(A30="","",O30+P30)</f>
        <v/>
      </c>
      <c r="R30" s="15">
        <f>IF(A30="","",SUMIFS('15_Zahlungen'!$F:$F,'15_Zahlungen'!$D:$D,A30,'15_Zahlungen'!$C:$C,"Eingang"))</f>
        <v/>
      </c>
      <c r="S30" s="15">
        <f>IF(A30="","",MAX(0,Q30-R30))</f>
        <v/>
      </c>
      <c r="T30" s="45">
        <f>IF(OR(A30="",L30="bezahlt",J30=""),"",MAX(0,TODAY()-J30))</f>
        <v/>
      </c>
    </row>
    <row r="31">
      <c r="A31" s="30" t="inlineStr"/>
      <c r="B31" s="38" t="inlineStr"/>
      <c r="C31" s="30" t="inlineStr"/>
      <c r="D31" s="30" t="inlineStr"/>
      <c r="E31" s="30" t="inlineStr"/>
      <c r="F31" s="31" t="inlineStr"/>
      <c r="G31" s="34" t="inlineStr"/>
      <c r="H31" s="32" t="inlineStr"/>
      <c r="I31" s="32" t="inlineStr"/>
      <c r="J31" s="38" t="inlineStr"/>
      <c r="K31" s="38" t="inlineStr"/>
      <c r="L31" s="30" t="inlineStr"/>
      <c r="M31" s="30" t="inlineStr"/>
      <c r="N31" s="15">
        <f>IF(A31="","",G31*H31)</f>
        <v/>
      </c>
      <c r="O31" s="15">
        <f>IF(A31="","",G31-N31)</f>
        <v/>
      </c>
      <c r="P31" s="15">
        <f>IF(A31="","",O31*I31)</f>
        <v/>
      </c>
      <c r="Q31" s="15">
        <f>IF(A31="","",O31+P31)</f>
        <v/>
      </c>
      <c r="R31" s="15">
        <f>IF(A31="","",SUMIFS('15_Zahlungen'!$F:$F,'15_Zahlungen'!$D:$D,A31,'15_Zahlungen'!$C:$C,"Eingang"))</f>
        <v/>
      </c>
      <c r="S31" s="15">
        <f>IF(A31="","",MAX(0,Q31-R31))</f>
        <v/>
      </c>
      <c r="T31" s="45">
        <f>IF(OR(A31="",L31="bezahlt",J31=""),"",MAX(0,TODAY()-J31))</f>
        <v/>
      </c>
    </row>
    <row r="32">
      <c r="A32" s="30" t="inlineStr"/>
      <c r="B32" s="38" t="inlineStr"/>
      <c r="C32" s="30" t="inlineStr"/>
      <c r="D32" s="30" t="inlineStr"/>
      <c r="E32" s="30" t="inlineStr"/>
      <c r="F32" s="31" t="inlineStr"/>
      <c r="G32" s="34" t="inlineStr"/>
      <c r="H32" s="32" t="inlineStr"/>
      <c r="I32" s="32" t="inlineStr"/>
      <c r="J32" s="38" t="inlineStr"/>
      <c r="K32" s="38" t="inlineStr"/>
      <c r="L32" s="30" t="inlineStr"/>
      <c r="M32" s="30" t="inlineStr"/>
      <c r="N32" s="15">
        <f>IF(A32="","",G32*H32)</f>
        <v/>
      </c>
      <c r="O32" s="15">
        <f>IF(A32="","",G32-N32)</f>
        <v/>
      </c>
      <c r="P32" s="15">
        <f>IF(A32="","",O32*I32)</f>
        <v/>
      </c>
      <c r="Q32" s="15">
        <f>IF(A32="","",O32+P32)</f>
        <v/>
      </c>
      <c r="R32" s="15">
        <f>IF(A32="","",SUMIFS('15_Zahlungen'!$F:$F,'15_Zahlungen'!$D:$D,A32,'15_Zahlungen'!$C:$C,"Eingang"))</f>
        <v/>
      </c>
      <c r="S32" s="15">
        <f>IF(A32="","",MAX(0,Q32-R32))</f>
        <v/>
      </c>
      <c r="T32" s="45">
        <f>IF(OR(A32="",L32="bezahlt",J32=""),"",MAX(0,TODAY()-J32))</f>
        <v/>
      </c>
    </row>
    <row r="33">
      <c r="A33" s="30" t="inlineStr"/>
      <c r="B33" s="38" t="inlineStr"/>
      <c r="C33" s="30" t="inlineStr"/>
      <c r="D33" s="30" t="inlineStr"/>
      <c r="E33" s="30" t="inlineStr"/>
      <c r="F33" s="31" t="inlineStr"/>
      <c r="G33" s="34" t="inlineStr"/>
      <c r="H33" s="32" t="inlineStr"/>
      <c r="I33" s="32" t="inlineStr"/>
      <c r="J33" s="38" t="inlineStr"/>
      <c r="K33" s="38" t="inlineStr"/>
      <c r="L33" s="30" t="inlineStr"/>
      <c r="M33" s="30" t="inlineStr"/>
      <c r="N33" s="15">
        <f>IF(A33="","",G33*H33)</f>
        <v/>
      </c>
      <c r="O33" s="15">
        <f>IF(A33="","",G33-N33)</f>
        <v/>
      </c>
      <c r="P33" s="15">
        <f>IF(A33="","",O33*I33)</f>
        <v/>
      </c>
      <c r="Q33" s="15">
        <f>IF(A33="","",O33+P33)</f>
        <v/>
      </c>
      <c r="R33" s="15">
        <f>IF(A33="","",SUMIFS('15_Zahlungen'!$F:$F,'15_Zahlungen'!$D:$D,A33,'15_Zahlungen'!$C:$C,"Eingang"))</f>
        <v/>
      </c>
      <c r="S33" s="15">
        <f>IF(A33="","",MAX(0,Q33-R33))</f>
        <v/>
      </c>
      <c r="T33" s="45">
        <f>IF(OR(A33="",L33="bezahlt",J33=""),"",MAX(0,TODAY()-J33))</f>
        <v/>
      </c>
    </row>
    <row r="34">
      <c r="A34" s="30" t="inlineStr"/>
      <c r="B34" s="38" t="inlineStr"/>
      <c r="C34" s="30" t="inlineStr"/>
      <c r="D34" s="30" t="inlineStr"/>
      <c r="E34" s="30" t="inlineStr"/>
      <c r="F34" s="31" t="inlineStr"/>
      <c r="G34" s="34" t="inlineStr"/>
      <c r="H34" s="32" t="inlineStr"/>
      <c r="I34" s="32" t="inlineStr"/>
      <c r="J34" s="38" t="inlineStr"/>
      <c r="K34" s="38" t="inlineStr"/>
      <c r="L34" s="30" t="inlineStr"/>
      <c r="M34" s="30" t="inlineStr"/>
      <c r="N34" s="15">
        <f>IF(A34="","",G34*H34)</f>
        <v/>
      </c>
      <c r="O34" s="15">
        <f>IF(A34="","",G34-N34)</f>
        <v/>
      </c>
      <c r="P34" s="15">
        <f>IF(A34="","",O34*I34)</f>
        <v/>
      </c>
      <c r="Q34" s="15">
        <f>IF(A34="","",O34+P34)</f>
        <v/>
      </c>
      <c r="R34" s="15">
        <f>IF(A34="","",SUMIFS('15_Zahlungen'!$F:$F,'15_Zahlungen'!$D:$D,A34,'15_Zahlungen'!$C:$C,"Eingang"))</f>
        <v/>
      </c>
      <c r="S34" s="15">
        <f>IF(A34="","",MAX(0,Q34-R34))</f>
        <v/>
      </c>
      <c r="T34" s="45">
        <f>IF(OR(A34="",L34="bezahlt",J34=""),"",MAX(0,TODAY()-J34))</f>
        <v/>
      </c>
    </row>
    <row r="35">
      <c r="A35" s="30" t="inlineStr"/>
      <c r="B35" s="38" t="inlineStr"/>
      <c r="C35" s="30" t="inlineStr"/>
      <c r="D35" s="30" t="inlineStr"/>
      <c r="E35" s="30" t="inlineStr"/>
      <c r="F35" s="31" t="inlineStr"/>
      <c r="G35" s="34" t="inlineStr"/>
      <c r="H35" s="32" t="inlineStr"/>
      <c r="I35" s="32" t="inlineStr"/>
      <c r="J35" s="38" t="inlineStr"/>
      <c r="K35" s="38" t="inlineStr"/>
      <c r="L35" s="30" t="inlineStr"/>
      <c r="M35" s="30" t="inlineStr"/>
      <c r="N35" s="15">
        <f>IF(A35="","",G35*H35)</f>
        <v/>
      </c>
      <c r="O35" s="15">
        <f>IF(A35="","",G35-N35)</f>
        <v/>
      </c>
      <c r="P35" s="15">
        <f>IF(A35="","",O35*I35)</f>
        <v/>
      </c>
      <c r="Q35" s="15">
        <f>IF(A35="","",O35+P35)</f>
        <v/>
      </c>
      <c r="R35" s="15">
        <f>IF(A35="","",SUMIFS('15_Zahlungen'!$F:$F,'15_Zahlungen'!$D:$D,A35,'15_Zahlungen'!$C:$C,"Eingang"))</f>
        <v/>
      </c>
      <c r="S35" s="15">
        <f>IF(A35="","",MAX(0,Q35-R35))</f>
        <v/>
      </c>
      <c r="T35" s="45">
        <f>IF(OR(A35="",L35="bezahlt",J35=""),"",MAX(0,TODAY()-J35))</f>
        <v/>
      </c>
    </row>
    <row r="36">
      <c r="A36" s="30" t="inlineStr"/>
      <c r="B36" s="38" t="inlineStr"/>
      <c r="C36" s="30" t="inlineStr"/>
      <c r="D36" s="30" t="inlineStr"/>
      <c r="E36" s="30" t="inlineStr"/>
      <c r="F36" s="31" t="inlineStr"/>
      <c r="G36" s="34" t="inlineStr"/>
      <c r="H36" s="32" t="inlineStr"/>
      <c r="I36" s="32" t="inlineStr"/>
      <c r="J36" s="38" t="inlineStr"/>
      <c r="K36" s="38" t="inlineStr"/>
      <c r="L36" s="30" t="inlineStr"/>
      <c r="M36" s="30" t="inlineStr"/>
      <c r="N36" s="15">
        <f>IF(A36="","",G36*H36)</f>
        <v/>
      </c>
      <c r="O36" s="15">
        <f>IF(A36="","",G36-N36)</f>
        <v/>
      </c>
      <c r="P36" s="15">
        <f>IF(A36="","",O36*I36)</f>
        <v/>
      </c>
      <c r="Q36" s="15">
        <f>IF(A36="","",O36+P36)</f>
        <v/>
      </c>
      <c r="R36" s="15">
        <f>IF(A36="","",SUMIFS('15_Zahlungen'!$F:$F,'15_Zahlungen'!$D:$D,A36,'15_Zahlungen'!$C:$C,"Eingang"))</f>
        <v/>
      </c>
      <c r="S36" s="15">
        <f>IF(A36="","",MAX(0,Q36-R36))</f>
        <v/>
      </c>
      <c r="T36" s="45">
        <f>IF(OR(A36="",L36="bezahlt",J36=""),"",MAX(0,TODAY()-J36))</f>
        <v/>
      </c>
    </row>
    <row r="37">
      <c r="A37" s="30" t="inlineStr"/>
      <c r="B37" s="38" t="inlineStr"/>
      <c r="C37" s="30" t="inlineStr"/>
      <c r="D37" s="30" t="inlineStr"/>
      <c r="E37" s="30" t="inlineStr"/>
      <c r="F37" s="31" t="inlineStr"/>
      <c r="G37" s="34" t="inlineStr"/>
      <c r="H37" s="32" t="inlineStr"/>
      <c r="I37" s="32" t="inlineStr"/>
      <c r="J37" s="38" t="inlineStr"/>
      <c r="K37" s="38" t="inlineStr"/>
      <c r="L37" s="30" t="inlineStr"/>
      <c r="M37" s="30" t="inlineStr"/>
      <c r="N37" s="15">
        <f>IF(A37="","",G37*H37)</f>
        <v/>
      </c>
      <c r="O37" s="15">
        <f>IF(A37="","",G37-N37)</f>
        <v/>
      </c>
      <c r="P37" s="15">
        <f>IF(A37="","",O37*I37)</f>
        <v/>
      </c>
      <c r="Q37" s="15">
        <f>IF(A37="","",O37+P37)</f>
        <v/>
      </c>
      <c r="R37" s="15">
        <f>IF(A37="","",SUMIFS('15_Zahlungen'!$F:$F,'15_Zahlungen'!$D:$D,A37,'15_Zahlungen'!$C:$C,"Eingang"))</f>
        <v/>
      </c>
      <c r="S37" s="15">
        <f>IF(A37="","",MAX(0,Q37-R37))</f>
        <v/>
      </c>
      <c r="T37" s="45">
        <f>IF(OR(A37="",L37="bezahlt",J37=""),"",MAX(0,TODAY()-J37))</f>
        <v/>
      </c>
    </row>
    <row r="38">
      <c r="A38" s="30" t="inlineStr"/>
      <c r="B38" s="38" t="inlineStr"/>
      <c r="C38" s="30" t="inlineStr"/>
      <c r="D38" s="30" t="inlineStr"/>
      <c r="E38" s="30" t="inlineStr"/>
      <c r="F38" s="31" t="inlineStr"/>
      <c r="G38" s="34" t="inlineStr"/>
      <c r="H38" s="32" t="inlineStr"/>
      <c r="I38" s="32" t="inlineStr"/>
      <c r="J38" s="38" t="inlineStr"/>
      <c r="K38" s="38" t="inlineStr"/>
      <c r="L38" s="30" t="inlineStr"/>
      <c r="M38" s="30" t="inlineStr"/>
      <c r="N38" s="15">
        <f>IF(A38="","",G38*H38)</f>
        <v/>
      </c>
      <c r="O38" s="15">
        <f>IF(A38="","",G38-N38)</f>
        <v/>
      </c>
      <c r="P38" s="15">
        <f>IF(A38="","",O38*I38)</f>
        <v/>
      </c>
      <c r="Q38" s="15">
        <f>IF(A38="","",O38+P38)</f>
        <v/>
      </c>
      <c r="R38" s="15">
        <f>IF(A38="","",SUMIFS('15_Zahlungen'!$F:$F,'15_Zahlungen'!$D:$D,A38,'15_Zahlungen'!$C:$C,"Eingang"))</f>
        <v/>
      </c>
      <c r="S38" s="15">
        <f>IF(A38="","",MAX(0,Q38-R38))</f>
        <v/>
      </c>
      <c r="T38" s="45">
        <f>IF(OR(A38="",L38="bezahlt",J38=""),"",MAX(0,TODAY()-J38))</f>
        <v/>
      </c>
    </row>
    <row r="39">
      <c r="A39" s="30" t="inlineStr"/>
      <c r="B39" s="38" t="inlineStr"/>
      <c r="C39" s="30" t="inlineStr"/>
      <c r="D39" s="30" t="inlineStr"/>
      <c r="E39" s="30" t="inlineStr"/>
      <c r="F39" s="31" t="inlineStr"/>
      <c r="G39" s="34" t="inlineStr"/>
      <c r="H39" s="32" t="inlineStr"/>
      <c r="I39" s="32" t="inlineStr"/>
      <c r="J39" s="38" t="inlineStr"/>
      <c r="K39" s="38" t="inlineStr"/>
      <c r="L39" s="30" t="inlineStr"/>
      <c r="M39" s="30" t="inlineStr"/>
      <c r="N39" s="15">
        <f>IF(A39="","",G39*H39)</f>
        <v/>
      </c>
      <c r="O39" s="15">
        <f>IF(A39="","",G39-N39)</f>
        <v/>
      </c>
      <c r="P39" s="15">
        <f>IF(A39="","",O39*I39)</f>
        <v/>
      </c>
      <c r="Q39" s="15">
        <f>IF(A39="","",O39+P39)</f>
        <v/>
      </c>
      <c r="R39" s="15">
        <f>IF(A39="","",SUMIFS('15_Zahlungen'!$F:$F,'15_Zahlungen'!$D:$D,A39,'15_Zahlungen'!$C:$C,"Eingang"))</f>
        <v/>
      </c>
      <c r="S39" s="15">
        <f>IF(A39="","",MAX(0,Q39-R39))</f>
        <v/>
      </c>
      <c r="T39" s="45">
        <f>IF(OR(A39="",L39="bezahlt",J39=""),"",MAX(0,TODAY()-J39))</f>
        <v/>
      </c>
    </row>
    <row r="40">
      <c r="A40" s="30" t="inlineStr"/>
      <c r="B40" s="38" t="inlineStr"/>
      <c r="C40" s="30" t="inlineStr"/>
      <c r="D40" s="30" t="inlineStr"/>
      <c r="E40" s="30" t="inlineStr"/>
      <c r="F40" s="31" t="inlineStr"/>
      <c r="G40" s="34" t="inlineStr"/>
      <c r="H40" s="32" t="inlineStr"/>
      <c r="I40" s="32" t="inlineStr"/>
      <c r="J40" s="38" t="inlineStr"/>
      <c r="K40" s="38" t="inlineStr"/>
      <c r="L40" s="30" t="inlineStr"/>
      <c r="M40" s="30" t="inlineStr"/>
      <c r="N40" s="15">
        <f>IF(A40="","",G40*H40)</f>
        <v/>
      </c>
      <c r="O40" s="15">
        <f>IF(A40="","",G40-N40)</f>
        <v/>
      </c>
      <c r="P40" s="15">
        <f>IF(A40="","",O40*I40)</f>
        <v/>
      </c>
      <c r="Q40" s="15">
        <f>IF(A40="","",O40+P40)</f>
        <v/>
      </c>
      <c r="R40" s="15">
        <f>IF(A40="","",SUMIFS('15_Zahlungen'!$F:$F,'15_Zahlungen'!$D:$D,A40,'15_Zahlungen'!$C:$C,"Eingang"))</f>
        <v/>
      </c>
      <c r="S40" s="15">
        <f>IF(A40="","",MAX(0,Q40-R40))</f>
        <v/>
      </c>
      <c r="T40" s="45">
        <f>IF(OR(A40="",L40="bezahlt",J40=""),"",MAX(0,TODAY()-J40))</f>
        <v/>
      </c>
    </row>
    <row r="41">
      <c r="A41" s="30" t="inlineStr"/>
      <c r="B41" s="38" t="inlineStr"/>
      <c r="C41" s="30" t="inlineStr"/>
      <c r="D41" s="30" t="inlineStr"/>
      <c r="E41" s="30" t="inlineStr"/>
      <c r="F41" s="31" t="inlineStr"/>
      <c r="G41" s="34" t="inlineStr"/>
      <c r="H41" s="32" t="inlineStr"/>
      <c r="I41" s="32" t="inlineStr"/>
      <c r="J41" s="38" t="inlineStr"/>
      <c r="K41" s="38" t="inlineStr"/>
      <c r="L41" s="30" t="inlineStr"/>
      <c r="M41" s="30" t="inlineStr"/>
      <c r="N41" s="15">
        <f>IF(A41="","",G41*H41)</f>
        <v/>
      </c>
      <c r="O41" s="15">
        <f>IF(A41="","",G41-N41)</f>
        <v/>
      </c>
      <c r="P41" s="15">
        <f>IF(A41="","",O41*I41)</f>
        <v/>
      </c>
      <c r="Q41" s="15">
        <f>IF(A41="","",O41+P41)</f>
        <v/>
      </c>
      <c r="R41" s="15">
        <f>IF(A41="","",SUMIFS('15_Zahlungen'!$F:$F,'15_Zahlungen'!$D:$D,A41,'15_Zahlungen'!$C:$C,"Eingang"))</f>
        <v/>
      </c>
      <c r="S41" s="15">
        <f>IF(A41="","",MAX(0,Q41-R41))</f>
        <v/>
      </c>
      <c r="T41" s="45">
        <f>IF(OR(A41="",L41="bezahlt",J41=""),"",MAX(0,TODAY()-J41))</f>
        <v/>
      </c>
    </row>
    <row r="42">
      <c r="A42" s="30" t="inlineStr"/>
      <c r="B42" s="38" t="inlineStr"/>
      <c r="C42" s="30" t="inlineStr"/>
      <c r="D42" s="30" t="inlineStr"/>
      <c r="E42" s="30" t="inlineStr"/>
      <c r="F42" s="31" t="inlineStr"/>
      <c r="G42" s="34" t="inlineStr"/>
      <c r="H42" s="32" t="inlineStr"/>
      <c r="I42" s="32" t="inlineStr"/>
      <c r="J42" s="38" t="inlineStr"/>
      <c r="K42" s="38" t="inlineStr"/>
      <c r="L42" s="30" t="inlineStr"/>
      <c r="M42" s="30" t="inlineStr"/>
      <c r="N42" s="15">
        <f>IF(A42="","",G42*H42)</f>
        <v/>
      </c>
      <c r="O42" s="15">
        <f>IF(A42="","",G42-N42)</f>
        <v/>
      </c>
      <c r="P42" s="15">
        <f>IF(A42="","",O42*I42)</f>
        <v/>
      </c>
      <c r="Q42" s="15">
        <f>IF(A42="","",O42+P42)</f>
        <v/>
      </c>
      <c r="R42" s="15">
        <f>IF(A42="","",SUMIFS('15_Zahlungen'!$F:$F,'15_Zahlungen'!$D:$D,A42,'15_Zahlungen'!$C:$C,"Eingang"))</f>
        <v/>
      </c>
      <c r="S42" s="15">
        <f>IF(A42="","",MAX(0,Q42-R42))</f>
        <v/>
      </c>
      <c r="T42" s="45">
        <f>IF(OR(A42="",L42="bezahlt",J42=""),"",MAX(0,TODAY()-J42))</f>
        <v/>
      </c>
    </row>
    <row r="43">
      <c r="A43" s="30" t="inlineStr"/>
      <c r="B43" s="38" t="inlineStr"/>
      <c r="C43" s="30" t="inlineStr"/>
      <c r="D43" s="30" t="inlineStr"/>
      <c r="E43" s="30" t="inlineStr"/>
      <c r="F43" s="31" t="inlineStr"/>
      <c r="G43" s="34" t="inlineStr"/>
      <c r="H43" s="32" t="inlineStr"/>
      <c r="I43" s="32" t="inlineStr"/>
      <c r="J43" s="38" t="inlineStr"/>
      <c r="K43" s="38" t="inlineStr"/>
      <c r="L43" s="30" t="inlineStr"/>
      <c r="M43" s="30" t="inlineStr"/>
      <c r="N43" s="15">
        <f>IF(A43="","",G43*H43)</f>
        <v/>
      </c>
      <c r="O43" s="15">
        <f>IF(A43="","",G43-N43)</f>
        <v/>
      </c>
      <c r="P43" s="15">
        <f>IF(A43="","",O43*I43)</f>
        <v/>
      </c>
      <c r="Q43" s="15">
        <f>IF(A43="","",O43+P43)</f>
        <v/>
      </c>
      <c r="R43" s="15">
        <f>IF(A43="","",SUMIFS('15_Zahlungen'!$F:$F,'15_Zahlungen'!$D:$D,A43,'15_Zahlungen'!$C:$C,"Eingang"))</f>
        <v/>
      </c>
      <c r="S43" s="15">
        <f>IF(A43="","",MAX(0,Q43-R43))</f>
        <v/>
      </c>
      <c r="T43" s="45">
        <f>IF(OR(A43="",L43="bezahlt",J43=""),"",MAX(0,TODAY()-J43))</f>
        <v/>
      </c>
    </row>
    <row r="44">
      <c r="A44" s="30" t="inlineStr"/>
      <c r="B44" s="38" t="inlineStr"/>
      <c r="C44" s="30" t="inlineStr"/>
      <c r="D44" s="30" t="inlineStr"/>
      <c r="E44" s="30" t="inlineStr"/>
      <c r="F44" s="31" t="inlineStr"/>
      <c r="G44" s="34" t="inlineStr"/>
      <c r="H44" s="32" t="inlineStr"/>
      <c r="I44" s="32" t="inlineStr"/>
      <c r="J44" s="38" t="inlineStr"/>
      <c r="K44" s="38" t="inlineStr"/>
      <c r="L44" s="30" t="inlineStr"/>
      <c r="M44" s="30" t="inlineStr"/>
      <c r="N44" s="15">
        <f>IF(A44="","",G44*H44)</f>
        <v/>
      </c>
      <c r="O44" s="15">
        <f>IF(A44="","",G44-N44)</f>
        <v/>
      </c>
      <c r="P44" s="15">
        <f>IF(A44="","",O44*I44)</f>
        <v/>
      </c>
      <c r="Q44" s="15">
        <f>IF(A44="","",O44+P44)</f>
        <v/>
      </c>
      <c r="R44" s="15">
        <f>IF(A44="","",SUMIFS('15_Zahlungen'!$F:$F,'15_Zahlungen'!$D:$D,A44,'15_Zahlungen'!$C:$C,"Eingang"))</f>
        <v/>
      </c>
      <c r="S44" s="15">
        <f>IF(A44="","",MAX(0,Q44-R44))</f>
        <v/>
      </c>
      <c r="T44" s="45">
        <f>IF(OR(A44="",L44="bezahlt",J44=""),"",MAX(0,TODAY()-J44))</f>
        <v/>
      </c>
    </row>
    <row r="45">
      <c r="A45" s="30" t="inlineStr"/>
      <c r="B45" s="38" t="inlineStr"/>
      <c r="C45" s="30" t="inlineStr"/>
      <c r="D45" s="30" t="inlineStr"/>
      <c r="E45" s="30" t="inlineStr"/>
      <c r="F45" s="31" t="inlineStr"/>
      <c r="G45" s="34" t="inlineStr"/>
      <c r="H45" s="32" t="inlineStr"/>
      <c r="I45" s="32" t="inlineStr"/>
      <c r="J45" s="38" t="inlineStr"/>
      <c r="K45" s="38" t="inlineStr"/>
      <c r="L45" s="30" t="inlineStr"/>
      <c r="M45" s="30" t="inlineStr"/>
      <c r="N45" s="15">
        <f>IF(A45="","",G45*H45)</f>
        <v/>
      </c>
      <c r="O45" s="15">
        <f>IF(A45="","",G45-N45)</f>
        <v/>
      </c>
      <c r="P45" s="15">
        <f>IF(A45="","",O45*I45)</f>
        <v/>
      </c>
      <c r="Q45" s="15">
        <f>IF(A45="","",O45+P45)</f>
        <v/>
      </c>
      <c r="R45" s="15">
        <f>IF(A45="","",SUMIFS('15_Zahlungen'!$F:$F,'15_Zahlungen'!$D:$D,A45,'15_Zahlungen'!$C:$C,"Eingang"))</f>
        <v/>
      </c>
      <c r="S45" s="15">
        <f>IF(A45="","",MAX(0,Q45-R45))</f>
        <v/>
      </c>
      <c r="T45" s="45">
        <f>IF(OR(A45="",L45="bezahlt",J45=""),"",MAX(0,TODAY()-J45))</f>
        <v/>
      </c>
    </row>
    <row r="46">
      <c r="A46" s="30" t="inlineStr"/>
      <c r="B46" s="38" t="inlineStr"/>
      <c r="C46" s="30" t="inlineStr"/>
      <c r="D46" s="30" t="inlineStr"/>
      <c r="E46" s="30" t="inlineStr"/>
      <c r="F46" s="31" t="inlineStr"/>
      <c r="G46" s="34" t="inlineStr"/>
      <c r="H46" s="32" t="inlineStr"/>
      <c r="I46" s="32" t="inlineStr"/>
      <c r="J46" s="38" t="inlineStr"/>
      <c r="K46" s="38" t="inlineStr"/>
      <c r="L46" s="30" t="inlineStr"/>
      <c r="M46" s="30" t="inlineStr"/>
      <c r="N46" s="15">
        <f>IF(A46="","",G46*H46)</f>
        <v/>
      </c>
      <c r="O46" s="15">
        <f>IF(A46="","",G46-N46)</f>
        <v/>
      </c>
      <c r="P46" s="15">
        <f>IF(A46="","",O46*I46)</f>
        <v/>
      </c>
      <c r="Q46" s="15">
        <f>IF(A46="","",O46+P46)</f>
        <v/>
      </c>
      <c r="R46" s="15">
        <f>IF(A46="","",SUMIFS('15_Zahlungen'!$F:$F,'15_Zahlungen'!$D:$D,A46,'15_Zahlungen'!$C:$C,"Eingang"))</f>
        <v/>
      </c>
      <c r="S46" s="15">
        <f>IF(A46="","",MAX(0,Q46-R46))</f>
        <v/>
      </c>
      <c r="T46" s="45">
        <f>IF(OR(A46="",L46="bezahlt",J46=""),"",MAX(0,TODAY()-J46))</f>
        <v/>
      </c>
    </row>
    <row r="47">
      <c r="A47" s="30" t="inlineStr"/>
      <c r="B47" s="38" t="inlineStr"/>
      <c r="C47" s="30" t="inlineStr"/>
      <c r="D47" s="30" t="inlineStr"/>
      <c r="E47" s="30" t="inlineStr"/>
      <c r="F47" s="31" t="inlineStr"/>
      <c r="G47" s="34" t="inlineStr"/>
      <c r="H47" s="32" t="inlineStr"/>
      <c r="I47" s="32" t="inlineStr"/>
      <c r="J47" s="38" t="inlineStr"/>
      <c r="K47" s="38" t="inlineStr"/>
      <c r="L47" s="30" t="inlineStr"/>
      <c r="M47" s="30" t="inlineStr"/>
      <c r="N47" s="15">
        <f>IF(A47="","",G47*H47)</f>
        <v/>
      </c>
      <c r="O47" s="15">
        <f>IF(A47="","",G47-N47)</f>
        <v/>
      </c>
      <c r="P47" s="15">
        <f>IF(A47="","",O47*I47)</f>
        <v/>
      </c>
      <c r="Q47" s="15">
        <f>IF(A47="","",O47+P47)</f>
        <v/>
      </c>
      <c r="R47" s="15">
        <f>IF(A47="","",SUMIFS('15_Zahlungen'!$F:$F,'15_Zahlungen'!$D:$D,A47,'15_Zahlungen'!$C:$C,"Eingang"))</f>
        <v/>
      </c>
      <c r="S47" s="15">
        <f>IF(A47="","",MAX(0,Q47-R47))</f>
        <v/>
      </c>
      <c r="T47" s="45">
        <f>IF(OR(A47="",L47="bezahlt",J47=""),"",MAX(0,TODAY()-J47))</f>
        <v/>
      </c>
    </row>
    <row r="48">
      <c r="A48" s="30" t="inlineStr"/>
      <c r="B48" s="38" t="inlineStr"/>
      <c r="C48" s="30" t="inlineStr"/>
      <c r="D48" s="30" t="inlineStr"/>
      <c r="E48" s="30" t="inlineStr"/>
      <c r="F48" s="31" t="inlineStr"/>
      <c r="G48" s="34" t="inlineStr"/>
      <c r="H48" s="32" t="inlineStr"/>
      <c r="I48" s="32" t="inlineStr"/>
      <c r="J48" s="38" t="inlineStr"/>
      <c r="K48" s="38" t="inlineStr"/>
      <c r="L48" s="30" t="inlineStr"/>
      <c r="M48" s="30" t="inlineStr"/>
      <c r="N48" s="15">
        <f>IF(A48="","",G48*H48)</f>
        <v/>
      </c>
      <c r="O48" s="15">
        <f>IF(A48="","",G48-N48)</f>
        <v/>
      </c>
      <c r="P48" s="15">
        <f>IF(A48="","",O48*I48)</f>
        <v/>
      </c>
      <c r="Q48" s="15">
        <f>IF(A48="","",O48+P48)</f>
        <v/>
      </c>
      <c r="R48" s="15">
        <f>IF(A48="","",SUMIFS('15_Zahlungen'!$F:$F,'15_Zahlungen'!$D:$D,A48,'15_Zahlungen'!$C:$C,"Eingang"))</f>
        <v/>
      </c>
      <c r="S48" s="15">
        <f>IF(A48="","",MAX(0,Q48-R48))</f>
        <v/>
      </c>
      <c r="T48" s="45">
        <f>IF(OR(A48="",L48="bezahlt",J48=""),"",MAX(0,TODAY()-J48))</f>
        <v/>
      </c>
    </row>
    <row r="49">
      <c r="A49" s="30" t="inlineStr"/>
      <c r="B49" s="38" t="inlineStr"/>
      <c r="C49" s="30" t="inlineStr"/>
      <c r="D49" s="30" t="inlineStr"/>
      <c r="E49" s="30" t="inlineStr"/>
      <c r="F49" s="31" t="inlineStr"/>
      <c r="G49" s="34" t="inlineStr"/>
      <c r="H49" s="32" t="inlineStr"/>
      <c r="I49" s="32" t="inlineStr"/>
      <c r="J49" s="38" t="inlineStr"/>
      <c r="K49" s="38" t="inlineStr"/>
      <c r="L49" s="30" t="inlineStr"/>
      <c r="M49" s="30" t="inlineStr"/>
      <c r="N49" s="15">
        <f>IF(A49="","",G49*H49)</f>
        <v/>
      </c>
      <c r="O49" s="15">
        <f>IF(A49="","",G49-N49)</f>
        <v/>
      </c>
      <c r="P49" s="15">
        <f>IF(A49="","",O49*I49)</f>
        <v/>
      </c>
      <c r="Q49" s="15">
        <f>IF(A49="","",O49+P49)</f>
        <v/>
      </c>
      <c r="R49" s="15">
        <f>IF(A49="","",SUMIFS('15_Zahlungen'!$F:$F,'15_Zahlungen'!$D:$D,A49,'15_Zahlungen'!$C:$C,"Eingang"))</f>
        <v/>
      </c>
      <c r="S49" s="15">
        <f>IF(A49="","",MAX(0,Q49-R49))</f>
        <v/>
      </c>
      <c r="T49" s="45">
        <f>IF(OR(A49="",L49="bezahlt",J49=""),"",MAX(0,TODAY()-J49))</f>
        <v/>
      </c>
    </row>
    <row r="50">
      <c r="A50" s="30" t="inlineStr"/>
      <c r="B50" s="38" t="inlineStr"/>
      <c r="C50" s="30" t="inlineStr"/>
      <c r="D50" s="30" t="inlineStr"/>
      <c r="E50" s="30" t="inlineStr"/>
      <c r="F50" s="31" t="inlineStr"/>
      <c r="G50" s="34" t="inlineStr"/>
      <c r="H50" s="32" t="inlineStr"/>
      <c r="I50" s="32" t="inlineStr"/>
      <c r="J50" s="38" t="inlineStr"/>
      <c r="K50" s="38" t="inlineStr"/>
      <c r="L50" s="30" t="inlineStr"/>
      <c r="M50" s="30" t="inlineStr"/>
      <c r="N50" s="15">
        <f>IF(A50="","",G50*H50)</f>
        <v/>
      </c>
      <c r="O50" s="15">
        <f>IF(A50="","",G50-N50)</f>
        <v/>
      </c>
      <c r="P50" s="15">
        <f>IF(A50="","",O50*I50)</f>
        <v/>
      </c>
      <c r="Q50" s="15">
        <f>IF(A50="","",O50+P50)</f>
        <v/>
      </c>
      <c r="R50" s="15">
        <f>IF(A50="","",SUMIFS('15_Zahlungen'!$F:$F,'15_Zahlungen'!$D:$D,A50,'15_Zahlungen'!$C:$C,"Eingang"))</f>
        <v/>
      </c>
      <c r="S50" s="15">
        <f>IF(A50="","",MAX(0,Q50-R50))</f>
        <v/>
      </c>
      <c r="T50" s="45">
        <f>IF(OR(A50="",L50="bezahlt",J50=""),"",MAX(0,TODAY()-J50))</f>
        <v/>
      </c>
    </row>
    <row r="51">
      <c r="A51" s="30" t="inlineStr"/>
      <c r="B51" s="38" t="inlineStr"/>
      <c r="C51" s="30" t="inlineStr"/>
      <c r="D51" s="30" t="inlineStr"/>
      <c r="E51" s="30" t="inlineStr"/>
      <c r="F51" s="31" t="inlineStr"/>
      <c r="G51" s="34" t="inlineStr"/>
      <c r="H51" s="32" t="inlineStr"/>
      <c r="I51" s="32" t="inlineStr"/>
      <c r="J51" s="38" t="inlineStr"/>
      <c r="K51" s="38" t="inlineStr"/>
      <c r="L51" s="30" t="inlineStr"/>
      <c r="M51" s="30" t="inlineStr"/>
      <c r="N51" s="15">
        <f>IF(A51="","",G51*H51)</f>
        <v/>
      </c>
      <c r="O51" s="15">
        <f>IF(A51="","",G51-N51)</f>
        <v/>
      </c>
      <c r="P51" s="15">
        <f>IF(A51="","",O51*I51)</f>
        <v/>
      </c>
      <c r="Q51" s="15">
        <f>IF(A51="","",O51+P51)</f>
        <v/>
      </c>
      <c r="R51" s="15">
        <f>IF(A51="","",SUMIFS('15_Zahlungen'!$F:$F,'15_Zahlungen'!$D:$D,A51,'15_Zahlungen'!$C:$C,"Eingang"))</f>
        <v/>
      </c>
      <c r="S51" s="15">
        <f>IF(A51="","",MAX(0,Q51-R51))</f>
        <v/>
      </c>
      <c r="T51" s="45">
        <f>IF(OR(A51="",L51="bezahlt",J51=""),"",MAX(0,TODAY()-J51))</f>
        <v/>
      </c>
    </row>
    <row r="52">
      <c r="A52" s="30" t="inlineStr"/>
      <c r="B52" s="38" t="inlineStr"/>
      <c r="C52" s="30" t="inlineStr"/>
      <c r="D52" s="30" t="inlineStr"/>
      <c r="E52" s="30" t="inlineStr"/>
      <c r="F52" s="31" t="inlineStr"/>
      <c r="G52" s="34" t="inlineStr"/>
      <c r="H52" s="32" t="inlineStr"/>
      <c r="I52" s="32" t="inlineStr"/>
      <c r="J52" s="38" t="inlineStr"/>
      <c r="K52" s="38" t="inlineStr"/>
      <c r="L52" s="30" t="inlineStr"/>
      <c r="M52" s="30" t="inlineStr"/>
      <c r="N52" s="15">
        <f>IF(A52="","",G52*H52)</f>
        <v/>
      </c>
      <c r="O52" s="15">
        <f>IF(A52="","",G52-N52)</f>
        <v/>
      </c>
      <c r="P52" s="15">
        <f>IF(A52="","",O52*I52)</f>
        <v/>
      </c>
      <c r="Q52" s="15">
        <f>IF(A52="","",O52+P52)</f>
        <v/>
      </c>
      <c r="R52" s="15">
        <f>IF(A52="","",SUMIFS('15_Zahlungen'!$F:$F,'15_Zahlungen'!$D:$D,A52,'15_Zahlungen'!$C:$C,"Eingang"))</f>
        <v/>
      </c>
      <c r="S52" s="15">
        <f>IF(A52="","",MAX(0,Q52-R52))</f>
        <v/>
      </c>
      <c r="T52" s="45">
        <f>IF(OR(A52="",L52="bezahlt",J52=""),"",MAX(0,TODAY()-J52))</f>
        <v/>
      </c>
    </row>
    <row r="53">
      <c r="A53" s="30" t="inlineStr"/>
      <c r="B53" s="38" t="inlineStr"/>
      <c r="C53" s="30" t="inlineStr"/>
      <c r="D53" s="30" t="inlineStr"/>
      <c r="E53" s="30" t="inlineStr"/>
      <c r="F53" s="31" t="inlineStr"/>
      <c r="G53" s="34" t="inlineStr"/>
      <c r="H53" s="32" t="inlineStr"/>
      <c r="I53" s="32" t="inlineStr"/>
      <c r="J53" s="38" t="inlineStr"/>
      <c r="K53" s="38" t="inlineStr"/>
      <c r="L53" s="30" t="inlineStr"/>
      <c r="M53" s="30" t="inlineStr"/>
      <c r="N53" s="15">
        <f>IF(A53="","",G53*H53)</f>
        <v/>
      </c>
      <c r="O53" s="15">
        <f>IF(A53="","",G53-N53)</f>
        <v/>
      </c>
      <c r="P53" s="15">
        <f>IF(A53="","",O53*I53)</f>
        <v/>
      </c>
      <c r="Q53" s="15">
        <f>IF(A53="","",O53+P53)</f>
        <v/>
      </c>
      <c r="R53" s="15">
        <f>IF(A53="","",SUMIFS('15_Zahlungen'!$F:$F,'15_Zahlungen'!$D:$D,A53,'15_Zahlungen'!$C:$C,"Eingang"))</f>
        <v/>
      </c>
      <c r="S53" s="15">
        <f>IF(A53="","",MAX(0,Q53-R53))</f>
        <v/>
      </c>
      <c r="T53" s="45">
        <f>IF(OR(A53="",L53="bezahlt",J53=""),"",MAX(0,TODAY()-J53))</f>
        <v/>
      </c>
    </row>
    <row r="54">
      <c r="A54" s="30" t="inlineStr"/>
      <c r="B54" s="38" t="inlineStr"/>
      <c r="C54" s="30" t="inlineStr"/>
      <c r="D54" s="30" t="inlineStr"/>
      <c r="E54" s="30" t="inlineStr"/>
      <c r="F54" s="31" t="inlineStr"/>
      <c r="G54" s="34" t="inlineStr"/>
      <c r="H54" s="32" t="inlineStr"/>
      <c r="I54" s="32" t="inlineStr"/>
      <c r="J54" s="38" t="inlineStr"/>
      <c r="K54" s="38" t="inlineStr"/>
      <c r="L54" s="30" t="inlineStr"/>
      <c r="M54" s="30" t="inlineStr"/>
      <c r="N54" s="15">
        <f>IF(A54="","",G54*H54)</f>
        <v/>
      </c>
      <c r="O54" s="15">
        <f>IF(A54="","",G54-N54)</f>
        <v/>
      </c>
      <c r="P54" s="15">
        <f>IF(A54="","",O54*I54)</f>
        <v/>
      </c>
      <c r="Q54" s="15">
        <f>IF(A54="","",O54+P54)</f>
        <v/>
      </c>
      <c r="R54" s="15">
        <f>IF(A54="","",SUMIFS('15_Zahlungen'!$F:$F,'15_Zahlungen'!$D:$D,A54,'15_Zahlungen'!$C:$C,"Eingang"))</f>
        <v/>
      </c>
      <c r="S54" s="15">
        <f>IF(A54="","",MAX(0,Q54-R54))</f>
        <v/>
      </c>
      <c r="T54" s="45">
        <f>IF(OR(A54="",L54="bezahlt",J54=""),"",MAX(0,TODAY()-J54))</f>
        <v/>
      </c>
    </row>
    <row r="55">
      <c r="A55" s="30" t="inlineStr"/>
      <c r="B55" s="38" t="inlineStr"/>
      <c r="C55" s="30" t="inlineStr"/>
      <c r="D55" s="30" t="inlineStr"/>
      <c r="E55" s="30" t="inlineStr"/>
      <c r="F55" s="31" t="inlineStr"/>
      <c r="G55" s="34" t="inlineStr"/>
      <c r="H55" s="32" t="inlineStr"/>
      <c r="I55" s="32" t="inlineStr"/>
      <c r="J55" s="38" t="inlineStr"/>
      <c r="K55" s="38" t="inlineStr"/>
      <c r="L55" s="30" t="inlineStr"/>
      <c r="M55" s="30" t="inlineStr"/>
      <c r="N55" s="15">
        <f>IF(A55="","",G55*H55)</f>
        <v/>
      </c>
      <c r="O55" s="15">
        <f>IF(A55="","",G55-N55)</f>
        <v/>
      </c>
      <c r="P55" s="15">
        <f>IF(A55="","",O55*I55)</f>
        <v/>
      </c>
      <c r="Q55" s="15">
        <f>IF(A55="","",O55+P55)</f>
        <v/>
      </c>
      <c r="R55" s="15">
        <f>IF(A55="","",SUMIFS('15_Zahlungen'!$F:$F,'15_Zahlungen'!$D:$D,A55,'15_Zahlungen'!$C:$C,"Eingang"))</f>
        <v/>
      </c>
      <c r="S55" s="15">
        <f>IF(A55="","",MAX(0,Q55-R55))</f>
        <v/>
      </c>
      <c r="T55" s="45">
        <f>IF(OR(A55="",L55="bezahlt",J55=""),"",MAX(0,TODAY()-J55))</f>
        <v/>
      </c>
    </row>
    <row r="56">
      <c r="A56" s="30" t="inlineStr"/>
      <c r="B56" s="38" t="inlineStr"/>
      <c r="C56" s="30" t="inlineStr"/>
      <c r="D56" s="30" t="inlineStr"/>
      <c r="E56" s="30" t="inlineStr"/>
      <c r="F56" s="31" t="inlineStr"/>
      <c r="G56" s="34" t="inlineStr"/>
      <c r="H56" s="32" t="inlineStr"/>
      <c r="I56" s="32" t="inlineStr"/>
      <c r="J56" s="38" t="inlineStr"/>
      <c r="K56" s="38" t="inlineStr"/>
      <c r="L56" s="30" t="inlineStr"/>
      <c r="M56" s="30" t="inlineStr"/>
      <c r="N56" s="15">
        <f>IF(A56="","",G56*H56)</f>
        <v/>
      </c>
      <c r="O56" s="15">
        <f>IF(A56="","",G56-N56)</f>
        <v/>
      </c>
      <c r="P56" s="15">
        <f>IF(A56="","",O56*I56)</f>
        <v/>
      </c>
      <c r="Q56" s="15">
        <f>IF(A56="","",O56+P56)</f>
        <v/>
      </c>
      <c r="R56" s="15">
        <f>IF(A56="","",SUMIFS('15_Zahlungen'!$F:$F,'15_Zahlungen'!$D:$D,A56,'15_Zahlungen'!$C:$C,"Eingang"))</f>
        <v/>
      </c>
      <c r="S56" s="15">
        <f>IF(A56="","",MAX(0,Q56-R56))</f>
        <v/>
      </c>
      <c r="T56" s="45">
        <f>IF(OR(A56="",L56="bezahlt",J56=""),"",MAX(0,TODAY()-J56))</f>
        <v/>
      </c>
    </row>
    <row r="57">
      <c r="A57" s="30" t="inlineStr"/>
      <c r="B57" s="38" t="inlineStr"/>
      <c r="C57" s="30" t="inlineStr"/>
      <c r="D57" s="30" t="inlineStr"/>
      <c r="E57" s="30" t="inlineStr"/>
      <c r="F57" s="31" t="inlineStr"/>
      <c r="G57" s="34" t="inlineStr"/>
      <c r="H57" s="32" t="inlineStr"/>
      <c r="I57" s="32" t="inlineStr"/>
      <c r="J57" s="38" t="inlineStr"/>
      <c r="K57" s="38" t="inlineStr"/>
      <c r="L57" s="30" t="inlineStr"/>
      <c r="M57" s="30" t="inlineStr"/>
      <c r="N57" s="15">
        <f>IF(A57="","",G57*H57)</f>
        <v/>
      </c>
      <c r="O57" s="15">
        <f>IF(A57="","",G57-N57)</f>
        <v/>
      </c>
      <c r="P57" s="15">
        <f>IF(A57="","",O57*I57)</f>
        <v/>
      </c>
      <c r="Q57" s="15">
        <f>IF(A57="","",O57+P57)</f>
        <v/>
      </c>
      <c r="R57" s="15">
        <f>IF(A57="","",SUMIFS('15_Zahlungen'!$F:$F,'15_Zahlungen'!$D:$D,A57,'15_Zahlungen'!$C:$C,"Eingang"))</f>
        <v/>
      </c>
      <c r="S57" s="15">
        <f>IF(A57="","",MAX(0,Q57-R57))</f>
        <v/>
      </c>
      <c r="T57" s="45">
        <f>IF(OR(A57="",L57="bezahlt",J57=""),"",MAX(0,TODAY()-J57))</f>
        <v/>
      </c>
    </row>
    <row r="58">
      <c r="A58" s="30" t="inlineStr"/>
      <c r="B58" s="38" t="inlineStr"/>
      <c r="C58" s="30" t="inlineStr"/>
      <c r="D58" s="30" t="inlineStr"/>
      <c r="E58" s="30" t="inlineStr"/>
      <c r="F58" s="31" t="inlineStr"/>
      <c r="G58" s="34" t="inlineStr"/>
      <c r="H58" s="32" t="inlineStr"/>
      <c r="I58" s="32" t="inlineStr"/>
      <c r="J58" s="38" t="inlineStr"/>
      <c r="K58" s="38" t="inlineStr"/>
      <c r="L58" s="30" t="inlineStr"/>
      <c r="M58" s="30" t="inlineStr"/>
      <c r="N58" s="15">
        <f>IF(A58="","",G58*H58)</f>
        <v/>
      </c>
      <c r="O58" s="15">
        <f>IF(A58="","",G58-N58)</f>
        <v/>
      </c>
      <c r="P58" s="15">
        <f>IF(A58="","",O58*I58)</f>
        <v/>
      </c>
      <c r="Q58" s="15">
        <f>IF(A58="","",O58+P58)</f>
        <v/>
      </c>
      <c r="R58" s="15">
        <f>IF(A58="","",SUMIFS('15_Zahlungen'!$F:$F,'15_Zahlungen'!$D:$D,A58,'15_Zahlungen'!$C:$C,"Eingang"))</f>
        <v/>
      </c>
      <c r="S58" s="15">
        <f>IF(A58="","",MAX(0,Q58-R58))</f>
        <v/>
      </c>
      <c r="T58" s="45">
        <f>IF(OR(A58="",L58="bezahlt",J58=""),"",MAX(0,TODAY()-J58))</f>
        <v/>
      </c>
    </row>
    <row r="59">
      <c r="A59" s="30" t="inlineStr"/>
      <c r="B59" s="38" t="inlineStr"/>
      <c r="C59" s="30" t="inlineStr"/>
      <c r="D59" s="30" t="inlineStr"/>
      <c r="E59" s="30" t="inlineStr"/>
      <c r="F59" s="31" t="inlineStr"/>
      <c r="G59" s="34" t="inlineStr"/>
      <c r="H59" s="32" t="inlineStr"/>
      <c r="I59" s="32" t="inlineStr"/>
      <c r="J59" s="38" t="inlineStr"/>
      <c r="K59" s="38" t="inlineStr"/>
      <c r="L59" s="30" t="inlineStr"/>
      <c r="M59" s="30" t="inlineStr"/>
      <c r="N59" s="15">
        <f>IF(A59="","",G59*H59)</f>
        <v/>
      </c>
      <c r="O59" s="15">
        <f>IF(A59="","",G59-N59)</f>
        <v/>
      </c>
      <c r="P59" s="15">
        <f>IF(A59="","",O59*I59)</f>
        <v/>
      </c>
      <c r="Q59" s="15">
        <f>IF(A59="","",O59+P59)</f>
        <v/>
      </c>
      <c r="R59" s="15">
        <f>IF(A59="","",SUMIFS('15_Zahlungen'!$F:$F,'15_Zahlungen'!$D:$D,A59,'15_Zahlungen'!$C:$C,"Eingang"))</f>
        <v/>
      </c>
      <c r="S59" s="15">
        <f>IF(A59="","",MAX(0,Q59-R59))</f>
        <v/>
      </c>
      <c r="T59" s="45">
        <f>IF(OR(A59="",L59="bezahlt",J59=""),"",MAX(0,TODAY()-J59))</f>
        <v/>
      </c>
    </row>
    <row r="60">
      <c r="A60" s="30" t="inlineStr"/>
      <c r="B60" s="38" t="inlineStr"/>
      <c r="C60" s="30" t="inlineStr"/>
      <c r="D60" s="30" t="inlineStr"/>
      <c r="E60" s="30" t="inlineStr"/>
      <c r="F60" s="31" t="inlineStr"/>
      <c r="G60" s="34" t="inlineStr"/>
      <c r="H60" s="32" t="inlineStr"/>
      <c r="I60" s="32" t="inlineStr"/>
      <c r="J60" s="38" t="inlineStr"/>
      <c r="K60" s="38" t="inlineStr"/>
      <c r="L60" s="30" t="inlineStr"/>
      <c r="M60" s="30" t="inlineStr"/>
      <c r="N60" s="15">
        <f>IF(A60="","",G60*H60)</f>
        <v/>
      </c>
      <c r="O60" s="15">
        <f>IF(A60="","",G60-N60)</f>
        <v/>
      </c>
      <c r="P60" s="15">
        <f>IF(A60="","",O60*I60)</f>
        <v/>
      </c>
      <c r="Q60" s="15">
        <f>IF(A60="","",O60+P60)</f>
        <v/>
      </c>
      <c r="R60" s="15">
        <f>IF(A60="","",SUMIFS('15_Zahlungen'!$F:$F,'15_Zahlungen'!$D:$D,A60,'15_Zahlungen'!$C:$C,"Eingang"))</f>
        <v/>
      </c>
      <c r="S60" s="15">
        <f>IF(A60="","",MAX(0,Q60-R60))</f>
        <v/>
      </c>
      <c r="T60" s="45">
        <f>IF(OR(A60="",L60="bezahlt",J60=""),"",MAX(0,TODAY()-J60))</f>
        <v/>
      </c>
    </row>
    <row r="61">
      <c r="A61" s="30" t="inlineStr"/>
      <c r="B61" s="38" t="inlineStr"/>
      <c r="C61" s="30" t="inlineStr"/>
      <c r="D61" s="30" t="inlineStr"/>
      <c r="E61" s="30" t="inlineStr"/>
      <c r="F61" s="31" t="inlineStr"/>
      <c r="G61" s="34" t="inlineStr"/>
      <c r="H61" s="32" t="inlineStr"/>
      <c r="I61" s="32" t="inlineStr"/>
      <c r="J61" s="38" t="inlineStr"/>
      <c r="K61" s="38" t="inlineStr"/>
      <c r="L61" s="30" t="inlineStr"/>
      <c r="M61" s="30" t="inlineStr"/>
      <c r="N61" s="15">
        <f>IF(A61="","",G61*H61)</f>
        <v/>
      </c>
      <c r="O61" s="15">
        <f>IF(A61="","",G61-N61)</f>
        <v/>
      </c>
      <c r="P61" s="15">
        <f>IF(A61="","",O61*I61)</f>
        <v/>
      </c>
      <c r="Q61" s="15">
        <f>IF(A61="","",O61+P61)</f>
        <v/>
      </c>
      <c r="R61" s="15">
        <f>IF(A61="","",SUMIFS('15_Zahlungen'!$F:$F,'15_Zahlungen'!$D:$D,A61,'15_Zahlungen'!$C:$C,"Eingang"))</f>
        <v/>
      </c>
      <c r="S61" s="15">
        <f>IF(A61="","",MAX(0,Q61-R61))</f>
        <v/>
      </c>
      <c r="T61" s="45">
        <f>IF(OR(A61="",L61="bezahlt",J61=""),"",MAX(0,TODAY()-J61))</f>
        <v/>
      </c>
    </row>
    <row r="62">
      <c r="A62" s="30" t="inlineStr"/>
      <c r="B62" s="38" t="inlineStr"/>
      <c r="C62" s="30" t="inlineStr"/>
      <c r="D62" s="30" t="inlineStr"/>
      <c r="E62" s="30" t="inlineStr"/>
      <c r="F62" s="31" t="inlineStr"/>
      <c r="G62" s="34" t="inlineStr"/>
      <c r="H62" s="32" t="inlineStr"/>
      <c r="I62" s="32" t="inlineStr"/>
      <c r="J62" s="38" t="inlineStr"/>
      <c r="K62" s="38" t="inlineStr"/>
      <c r="L62" s="30" t="inlineStr"/>
      <c r="M62" s="30" t="inlineStr"/>
      <c r="N62" s="15">
        <f>IF(A62="","",G62*H62)</f>
        <v/>
      </c>
      <c r="O62" s="15">
        <f>IF(A62="","",G62-N62)</f>
        <v/>
      </c>
      <c r="P62" s="15">
        <f>IF(A62="","",O62*I62)</f>
        <v/>
      </c>
      <c r="Q62" s="15">
        <f>IF(A62="","",O62+P62)</f>
        <v/>
      </c>
      <c r="R62" s="15">
        <f>IF(A62="","",SUMIFS('15_Zahlungen'!$F:$F,'15_Zahlungen'!$D:$D,A62,'15_Zahlungen'!$C:$C,"Eingang"))</f>
        <v/>
      </c>
      <c r="S62" s="15">
        <f>IF(A62="","",MAX(0,Q62-R62))</f>
        <v/>
      </c>
      <c r="T62" s="45">
        <f>IF(OR(A62="",L62="bezahlt",J62=""),"",MAX(0,TODAY()-J62))</f>
        <v/>
      </c>
    </row>
    <row r="63">
      <c r="A63" s="30" t="inlineStr"/>
      <c r="B63" s="38" t="inlineStr"/>
      <c r="C63" s="30" t="inlineStr"/>
      <c r="D63" s="30" t="inlineStr"/>
      <c r="E63" s="30" t="inlineStr"/>
      <c r="F63" s="31" t="inlineStr"/>
      <c r="G63" s="34" t="inlineStr"/>
      <c r="H63" s="32" t="inlineStr"/>
      <c r="I63" s="32" t="inlineStr"/>
      <c r="J63" s="38" t="inlineStr"/>
      <c r="K63" s="38" t="inlineStr"/>
      <c r="L63" s="30" t="inlineStr"/>
      <c r="M63" s="30" t="inlineStr"/>
      <c r="N63" s="15">
        <f>IF(A63="","",G63*H63)</f>
        <v/>
      </c>
      <c r="O63" s="15">
        <f>IF(A63="","",G63-N63)</f>
        <v/>
      </c>
      <c r="P63" s="15">
        <f>IF(A63="","",O63*I63)</f>
        <v/>
      </c>
      <c r="Q63" s="15">
        <f>IF(A63="","",O63+P63)</f>
        <v/>
      </c>
      <c r="R63" s="15">
        <f>IF(A63="","",SUMIFS('15_Zahlungen'!$F:$F,'15_Zahlungen'!$D:$D,A63,'15_Zahlungen'!$C:$C,"Eingang"))</f>
        <v/>
      </c>
      <c r="S63" s="15">
        <f>IF(A63="","",MAX(0,Q63-R63))</f>
        <v/>
      </c>
      <c r="T63" s="45">
        <f>IF(OR(A63="",L63="bezahlt",J63=""),"",MAX(0,TODAY()-J63))</f>
        <v/>
      </c>
    </row>
    <row r="64">
      <c r="A64" s="30" t="inlineStr"/>
      <c r="B64" s="38" t="inlineStr"/>
      <c r="C64" s="30" t="inlineStr"/>
      <c r="D64" s="30" t="inlineStr"/>
      <c r="E64" s="30" t="inlineStr"/>
      <c r="F64" s="31" t="inlineStr"/>
      <c r="G64" s="34" t="inlineStr"/>
      <c r="H64" s="32" t="inlineStr"/>
      <c r="I64" s="32" t="inlineStr"/>
      <c r="J64" s="38" t="inlineStr"/>
      <c r="K64" s="38" t="inlineStr"/>
      <c r="L64" s="30" t="inlineStr"/>
      <c r="M64" s="30" t="inlineStr"/>
      <c r="N64" s="15">
        <f>IF(A64="","",G64*H64)</f>
        <v/>
      </c>
      <c r="O64" s="15">
        <f>IF(A64="","",G64-N64)</f>
        <v/>
      </c>
      <c r="P64" s="15">
        <f>IF(A64="","",O64*I64)</f>
        <v/>
      </c>
      <c r="Q64" s="15">
        <f>IF(A64="","",O64+P64)</f>
        <v/>
      </c>
      <c r="R64" s="15">
        <f>IF(A64="","",SUMIFS('15_Zahlungen'!$F:$F,'15_Zahlungen'!$D:$D,A64,'15_Zahlungen'!$C:$C,"Eingang"))</f>
        <v/>
      </c>
      <c r="S64" s="15">
        <f>IF(A64="","",MAX(0,Q64-R64))</f>
        <v/>
      </c>
      <c r="T64" s="45">
        <f>IF(OR(A64="",L64="bezahlt",J64=""),"",MAX(0,TODAY()-J64))</f>
        <v/>
      </c>
    </row>
    <row r="65">
      <c r="A65" s="30" t="inlineStr"/>
      <c r="B65" s="38" t="inlineStr"/>
      <c r="C65" s="30" t="inlineStr"/>
      <c r="D65" s="30" t="inlineStr"/>
      <c r="E65" s="30" t="inlineStr"/>
      <c r="F65" s="31" t="inlineStr"/>
      <c r="G65" s="34" t="inlineStr"/>
      <c r="H65" s="32" t="inlineStr"/>
      <c r="I65" s="32" t="inlineStr"/>
      <c r="J65" s="38" t="inlineStr"/>
      <c r="K65" s="38" t="inlineStr"/>
      <c r="L65" s="30" t="inlineStr"/>
      <c r="M65" s="30" t="inlineStr"/>
      <c r="N65" s="15">
        <f>IF(A65="","",G65*H65)</f>
        <v/>
      </c>
      <c r="O65" s="15">
        <f>IF(A65="","",G65-N65)</f>
        <v/>
      </c>
      <c r="P65" s="15">
        <f>IF(A65="","",O65*I65)</f>
        <v/>
      </c>
      <c r="Q65" s="15">
        <f>IF(A65="","",O65+P65)</f>
        <v/>
      </c>
      <c r="R65" s="15">
        <f>IF(A65="","",SUMIFS('15_Zahlungen'!$F:$F,'15_Zahlungen'!$D:$D,A65,'15_Zahlungen'!$C:$C,"Eingang"))</f>
        <v/>
      </c>
      <c r="S65" s="15">
        <f>IF(A65="","",MAX(0,Q65-R65))</f>
        <v/>
      </c>
      <c r="T65" s="45">
        <f>IF(OR(A65="",L65="bezahlt",J65=""),"",MAX(0,TODAY()-J65))</f>
        <v/>
      </c>
    </row>
    <row r="66">
      <c r="A66" s="30" t="inlineStr"/>
      <c r="B66" s="38" t="inlineStr"/>
      <c r="C66" s="30" t="inlineStr"/>
      <c r="D66" s="30" t="inlineStr"/>
      <c r="E66" s="30" t="inlineStr"/>
      <c r="F66" s="31" t="inlineStr"/>
      <c r="G66" s="34" t="inlineStr"/>
      <c r="H66" s="32" t="inlineStr"/>
      <c r="I66" s="32" t="inlineStr"/>
      <c r="J66" s="38" t="inlineStr"/>
      <c r="K66" s="38" t="inlineStr"/>
      <c r="L66" s="30" t="inlineStr"/>
      <c r="M66" s="30" t="inlineStr"/>
      <c r="N66" s="15">
        <f>IF(A66="","",G66*H66)</f>
        <v/>
      </c>
      <c r="O66" s="15">
        <f>IF(A66="","",G66-N66)</f>
        <v/>
      </c>
      <c r="P66" s="15">
        <f>IF(A66="","",O66*I66)</f>
        <v/>
      </c>
      <c r="Q66" s="15">
        <f>IF(A66="","",O66+P66)</f>
        <v/>
      </c>
      <c r="R66" s="15">
        <f>IF(A66="","",SUMIFS('15_Zahlungen'!$F:$F,'15_Zahlungen'!$D:$D,A66,'15_Zahlungen'!$C:$C,"Eingang"))</f>
        <v/>
      </c>
      <c r="S66" s="15">
        <f>IF(A66="","",MAX(0,Q66-R66))</f>
        <v/>
      </c>
      <c r="T66" s="45">
        <f>IF(OR(A66="",L66="bezahlt",J66=""),"",MAX(0,TODAY()-J66))</f>
        <v/>
      </c>
    </row>
    <row r="67">
      <c r="A67" s="30" t="inlineStr"/>
      <c r="B67" s="38" t="inlineStr"/>
      <c r="C67" s="30" t="inlineStr"/>
      <c r="D67" s="30" t="inlineStr"/>
      <c r="E67" s="30" t="inlineStr"/>
      <c r="F67" s="31" t="inlineStr"/>
      <c r="G67" s="34" t="inlineStr"/>
      <c r="H67" s="32" t="inlineStr"/>
      <c r="I67" s="32" t="inlineStr"/>
      <c r="J67" s="38" t="inlineStr"/>
      <c r="K67" s="38" t="inlineStr"/>
      <c r="L67" s="30" t="inlineStr"/>
      <c r="M67" s="30" t="inlineStr"/>
      <c r="N67" s="15">
        <f>IF(A67="","",G67*H67)</f>
        <v/>
      </c>
      <c r="O67" s="15">
        <f>IF(A67="","",G67-N67)</f>
        <v/>
      </c>
      <c r="P67" s="15">
        <f>IF(A67="","",O67*I67)</f>
        <v/>
      </c>
      <c r="Q67" s="15">
        <f>IF(A67="","",O67+P67)</f>
        <v/>
      </c>
      <c r="R67" s="15">
        <f>IF(A67="","",SUMIFS('15_Zahlungen'!$F:$F,'15_Zahlungen'!$D:$D,A67,'15_Zahlungen'!$C:$C,"Eingang"))</f>
        <v/>
      </c>
      <c r="S67" s="15">
        <f>IF(A67="","",MAX(0,Q67-R67))</f>
        <v/>
      </c>
      <c r="T67" s="45">
        <f>IF(OR(A67="",L67="bezahlt",J67=""),"",MAX(0,TODAY()-J67))</f>
        <v/>
      </c>
    </row>
    <row r="68">
      <c r="A68" s="30" t="inlineStr"/>
      <c r="B68" s="38" t="inlineStr"/>
      <c r="C68" s="30" t="inlineStr"/>
      <c r="D68" s="30" t="inlineStr"/>
      <c r="E68" s="30" t="inlineStr"/>
      <c r="F68" s="31" t="inlineStr"/>
      <c r="G68" s="34" t="inlineStr"/>
      <c r="H68" s="32" t="inlineStr"/>
      <c r="I68" s="32" t="inlineStr"/>
      <c r="J68" s="38" t="inlineStr"/>
      <c r="K68" s="38" t="inlineStr"/>
      <c r="L68" s="30" t="inlineStr"/>
      <c r="M68" s="30" t="inlineStr"/>
      <c r="N68" s="15">
        <f>IF(A68="","",G68*H68)</f>
        <v/>
      </c>
      <c r="O68" s="15">
        <f>IF(A68="","",G68-N68)</f>
        <v/>
      </c>
      <c r="P68" s="15">
        <f>IF(A68="","",O68*I68)</f>
        <v/>
      </c>
      <c r="Q68" s="15">
        <f>IF(A68="","",O68+P68)</f>
        <v/>
      </c>
      <c r="R68" s="15">
        <f>IF(A68="","",SUMIFS('15_Zahlungen'!$F:$F,'15_Zahlungen'!$D:$D,A68,'15_Zahlungen'!$C:$C,"Eingang"))</f>
        <v/>
      </c>
      <c r="S68" s="15">
        <f>IF(A68="","",MAX(0,Q68-R68))</f>
        <v/>
      </c>
      <c r="T68" s="45">
        <f>IF(OR(A68="",L68="bezahlt",J68=""),"",MAX(0,TODAY()-J68))</f>
        <v/>
      </c>
    </row>
    <row r="69">
      <c r="A69" s="30" t="inlineStr"/>
      <c r="B69" s="38" t="inlineStr"/>
      <c r="C69" s="30" t="inlineStr"/>
      <c r="D69" s="30" t="inlineStr"/>
      <c r="E69" s="30" t="inlineStr"/>
      <c r="F69" s="31" t="inlineStr"/>
      <c r="G69" s="34" t="inlineStr"/>
      <c r="H69" s="32" t="inlineStr"/>
      <c r="I69" s="32" t="inlineStr"/>
      <c r="J69" s="38" t="inlineStr"/>
      <c r="K69" s="38" t="inlineStr"/>
      <c r="L69" s="30" t="inlineStr"/>
      <c r="M69" s="30" t="inlineStr"/>
      <c r="N69" s="15">
        <f>IF(A69="","",G69*H69)</f>
        <v/>
      </c>
      <c r="O69" s="15">
        <f>IF(A69="","",G69-N69)</f>
        <v/>
      </c>
      <c r="P69" s="15">
        <f>IF(A69="","",O69*I69)</f>
        <v/>
      </c>
      <c r="Q69" s="15">
        <f>IF(A69="","",O69+P69)</f>
        <v/>
      </c>
      <c r="R69" s="15">
        <f>IF(A69="","",SUMIFS('15_Zahlungen'!$F:$F,'15_Zahlungen'!$D:$D,A69,'15_Zahlungen'!$C:$C,"Eingang"))</f>
        <v/>
      </c>
      <c r="S69" s="15">
        <f>IF(A69="","",MAX(0,Q69-R69))</f>
        <v/>
      </c>
      <c r="T69" s="45">
        <f>IF(OR(A69="",L69="bezahlt",J69=""),"",MAX(0,TODAY()-J69))</f>
        <v/>
      </c>
    </row>
    <row r="70">
      <c r="A70" s="30" t="inlineStr"/>
      <c r="B70" s="38" t="inlineStr"/>
      <c r="C70" s="30" t="inlineStr"/>
      <c r="D70" s="30" t="inlineStr"/>
      <c r="E70" s="30" t="inlineStr"/>
      <c r="F70" s="31" t="inlineStr"/>
      <c r="G70" s="34" t="inlineStr"/>
      <c r="H70" s="32" t="inlineStr"/>
      <c r="I70" s="32" t="inlineStr"/>
      <c r="J70" s="38" t="inlineStr"/>
      <c r="K70" s="38" t="inlineStr"/>
      <c r="L70" s="30" t="inlineStr"/>
      <c r="M70" s="30" t="inlineStr"/>
      <c r="N70" s="15">
        <f>IF(A70="","",G70*H70)</f>
        <v/>
      </c>
      <c r="O70" s="15">
        <f>IF(A70="","",G70-N70)</f>
        <v/>
      </c>
      <c r="P70" s="15">
        <f>IF(A70="","",O70*I70)</f>
        <v/>
      </c>
      <c r="Q70" s="15">
        <f>IF(A70="","",O70+P70)</f>
        <v/>
      </c>
      <c r="R70" s="15">
        <f>IF(A70="","",SUMIFS('15_Zahlungen'!$F:$F,'15_Zahlungen'!$D:$D,A70,'15_Zahlungen'!$C:$C,"Eingang"))</f>
        <v/>
      </c>
      <c r="S70" s="15">
        <f>IF(A70="","",MAX(0,Q70-R70))</f>
        <v/>
      </c>
      <c r="T70" s="45">
        <f>IF(OR(A70="",L70="bezahlt",J70=""),"",MAX(0,TODAY()-J70))</f>
        <v/>
      </c>
    </row>
    <row r="71">
      <c r="A71" s="30" t="inlineStr"/>
      <c r="B71" s="38" t="inlineStr"/>
      <c r="C71" s="30" t="inlineStr"/>
      <c r="D71" s="30" t="inlineStr"/>
      <c r="E71" s="30" t="inlineStr"/>
      <c r="F71" s="31" t="inlineStr"/>
      <c r="G71" s="34" t="inlineStr"/>
      <c r="H71" s="32" t="inlineStr"/>
      <c r="I71" s="32" t="inlineStr"/>
      <c r="J71" s="38" t="inlineStr"/>
      <c r="K71" s="38" t="inlineStr"/>
      <c r="L71" s="30" t="inlineStr"/>
      <c r="M71" s="30" t="inlineStr"/>
      <c r="N71" s="15">
        <f>IF(A71="","",G71*H71)</f>
        <v/>
      </c>
      <c r="O71" s="15">
        <f>IF(A71="","",G71-N71)</f>
        <v/>
      </c>
      <c r="P71" s="15">
        <f>IF(A71="","",O71*I71)</f>
        <v/>
      </c>
      <c r="Q71" s="15">
        <f>IF(A71="","",O71+P71)</f>
        <v/>
      </c>
      <c r="R71" s="15">
        <f>IF(A71="","",SUMIFS('15_Zahlungen'!$F:$F,'15_Zahlungen'!$D:$D,A71,'15_Zahlungen'!$C:$C,"Eingang"))</f>
        <v/>
      </c>
      <c r="S71" s="15">
        <f>IF(A71="","",MAX(0,Q71-R71))</f>
        <v/>
      </c>
      <c r="T71" s="45">
        <f>IF(OR(A71="",L71="bezahlt",J71=""),"",MAX(0,TODAY()-J71))</f>
        <v/>
      </c>
    </row>
    <row r="72">
      <c r="A72" s="30" t="inlineStr"/>
      <c r="B72" s="38" t="inlineStr"/>
      <c r="C72" s="30" t="inlineStr"/>
      <c r="D72" s="30" t="inlineStr"/>
      <c r="E72" s="30" t="inlineStr"/>
      <c r="F72" s="31" t="inlineStr"/>
      <c r="G72" s="34" t="inlineStr"/>
      <c r="H72" s="32" t="inlineStr"/>
      <c r="I72" s="32" t="inlineStr"/>
      <c r="J72" s="38" t="inlineStr"/>
      <c r="K72" s="38" t="inlineStr"/>
      <c r="L72" s="30" t="inlineStr"/>
      <c r="M72" s="30" t="inlineStr"/>
      <c r="N72" s="15">
        <f>IF(A72="","",G72*H72)</f>
        <v/>
      </c>
      <c r="O72" s="15">
        <f>IF(A72="","",G72-N72)</f>
        <v/>
      </c>
      <c r="P72" s="15">
        <f>IF(A72="","",O72*I72)</f>
        <v/>
      </c>
      <c r="Q72" s="15">
        <f>IF(A72="","",O72+P72)</f>
        <v/>
      </c>
      <c r="R72" s="15">
        <f>IF(A72="","",SUMIFS('15_Zahlungen'!$F:$F,'15_Zahlungen'!$D:$D,A72,'15_Zahlungen'!$C:$C,"Eingang"))</f>
        <v/>
      </c>
      <c r="S72" s="15">
        <f>IF(A72="","",MAX(0,Q72-R72))</f>
        <v/>
      </c>
      <c r="T72" s="45">
        <f>IF(OR(A72="",L72="bezahlt",J72=""),"",MAX(0,TODAY()-J72))</f>
        <v/>
      </c>
    </row>
    <row r="73">
      <c r="A73" s="30" t="inlineStr"/>
      <c r="B73" s="38" t="inlineStr"/>
      <c r="C73" s="30" t="inlineStr"/>
      <c r="D73" s="30" t="inlineStr"/>
      <c r="E73" s="30" t="inlineStr"/>
      <c r="F73" s="31" t="inlineStr"/>
      <c r="G73" s="34" t="inlineStr"/>
      <c r="H73" s="32" t="inlineStr"/>
      <c r="I73" s="32" t="inlineStr"/>
      <c r="J73" s="38" t="inlineStr"/>
      <c r="K73" s="38" t="inlineStr"/>
      <c r="L73" s="30" t="inlineStr"/>
      <c r="M73" s="30" t="inlineStr"/>
      <c r="N73" s="15">
        <f>IF(A73="","",G73*H73)</f>
        <v/>
      </c>
      <c r="O73" s="15">
        <f>IF(A73="","",G73-N73)</f>
        <v/>
      </c>
      <c r="P73" s="15">
        <f>IF(A73="","",O73*I73)</f>
        <v/>
      </c>
      <c r="Q73" s="15">
        <f>IF(A73="","",O73+P73)</f>
        <v/>
      </c>
      <c r="R73" s="15">
        <f>IF(A73="","",SUMIFS('15_Zahlungen'!$F:$F,'15_Zahlungen'!$D:$D,A73,'15_Zahlungen'!$C:$C,"Eingang"))</f>
        <v/>
      </c>
      <c r="S73" s="15">
        <f>IF(A73="","",MAX(0,Q73-R73))</f>
        <v/>
      </c>
      <c r="T73" s="45">
        <f>IF(OR(A73="",L73="bezahlt",J73=""),"",MAX(0,TODAY()-J73))</f>
        <v/>
      </c>
    </row>
    <row r="74">
      <c r="A74" s="30" t="inlineStr"/>
      <c r="B74" s="38" t="inlineStr"/>
      <c r="C74" s="30" t="inlineStr"/>
      <c r="D74" s="30" t="inlineStr"/>
      <c r="E74" s="30" t="inlineStr"/>
      <c r="F74" s="31" t="inlineStr"/>
      <c r="G74" s="34" t="inlineStr"/>
      <c r="H74" s="32" t="inlineStr"/>
      <c r="I74" s="32" t="inlineStr"/>
      <c r="J74" s="38" t="inlineStr"/>
      <c r="K74" s="38" t="inlineStr"/>
      <c r="L74" s="30" t="inlineStr"/>
      <c r="M74" s="30" t="inlineStr"/>
      <c r="N74" s="15">
        <f>IF(A74="","",G74*H74)</f>
        <v/>
      </c>
      <c r="O74" s="15">
        <f>IF(A74="","",G74-N74)</f>
        <v/>
      </c>
      <c r="P74" s="15">
        <f>IF(A74="","",O74*I74)</f>
        <v/>
      </c>
      <c r="Q74" s="15">
        <f>IF(A74="","",O74+P74)</f>
        <v/>
      </c>
      <c r="R74" s="15">
        <f>IF(A74="","",SUMIFS('15_Zahlungen'!$F:$F,'15_Zahlungen'!$D:$D,A74,'15_Zahlungen'!$C:$C,"Eingang"))</f>
        <v/>
      </c>
      <c r="S74" s="15">
        <f>IF(A74="","",MAX(0,Q74-R74))</f>
        <v/>
      </c>
      <c r="T74" s="45">
        <f>IF(OR(A74="",L74="bezahlt",J74=""),"",MAX(0,TODAY()-J74))</f>
        <v/>
      </c>
    </row>
    <row r="75">
      <c r="A75" s="30" t="inlineStr"/>
      <c r="B75" s="38" t="inlineStr"/>
      <c r="C75" s="30" t="inlineStr"/>
      <c r="D75" s="30" t="inlineStr"/>
      <c r="E75" s="30" t="inlineStr"/>
      <c r="F75" s="31" t="inlineStr"/>
      <c r="G75" s="34" t="inlineStr"/>
      <c r="H75" s="32" t="inlineStr"/>
      <c r="I75" s="32" t="inlineStr"/>
      <c r="J75" s="38" t="inlineStr"/>
      <c r="K75" s="38" t="inlineStr"/>
      <c r="L75" s="30" t="inlineStr"/>
      <c r="M75" s="30" t="inlineStr"/>
      <c r="N75" s="15">
        <f>IF(A75="","",G75*H75)</f>
        <v/>
      </c>
      <c r="O75" s="15">
        <f>IF(A75="","",G75-N75)</f>
        <v/>
      </c>
      <c r="P75" s="15">
        <f>IF(A75="","",O75*I75)</f>
        <v/>
      </c>
      <c r="Q75" s="15">
        <f>IF(A75="","",O75+P75)</f>
        <v/>
      </c>
      <c r="R75" s="15">
        <f>IF(A75="","",SUMIFS('15_Zahlungen'!$F:$F,'15_Zahlungen'!$D:$D,A75,'15_Zahlungen'!$C:$C,"Eingang"))</f>
        <v/>
      </c>
      <c r="S75" s="15">
        <f>IF(A75="","",MAX(0,Q75-R75))</f>
        <v/>
      </c>
      <c r="T75" s="45">
        <f>IF(OR(A75="",L75="bezahlt",J75=""),"",MAX(0,TODAY()-J75))</f>
        <v/>
      </c>
    </row>
    <row r="76">
      <c r="A76" s="30" t="inlineStr"/>
      <c r="B76" s="38" t="inlineStr"/>
      <c r="C76" s="30" t="inlineStr"/>
      <c r="D76" s="30" t="inlineStr"/>
      <c r="E76" s="30" t="inlineStr"/>
      <c r="F76" s="31" t="inlineStr"/>
      <c r="G76" s="34" t="inlineStr"/>
      <c r="H76" s="32" t="inlineStr"/>
      <c r="I76" s="32" t="inlineStr"/>
      <c r="J76" s="38" t="inlineStr"/>
      <c r="K76" s="38" t="inlineStr"/>
      <c r="L76" s="30" t="inlineStr"/>
      <c r="M76" s="30" t="inlineStr"/>
      <c r="N76" s="15">
        <f>IF(A76="","",G76*H76)</f>
        <v/>
      </c>
      <c r="O76" s="15">
        <f>IF(A76="","",G76-N76)</f>
        <v/>
      </c>
      <c r="P76" s="15">
        <f>IF(A76="","",O76*I76)</f>
        <v/>
      </c>
      <c r="Q76" s="15">
        <f>IF(A76="","",O76+P76)</f>
        <v/>
      </c>
      <c r="R76" s="15">
        <f>IF(A76="","",SUMIFS('15_Zahlungen'!$F:$F,'15_Zahlungen'!$D:$D,A76,'15_Zahlungen'!$C:$C,"Eingang"))</f>
        <v/>
      </c>
      <c r="S76" s="15">
        <f>IF(A76="","",MAX(0,Q76-R76))</f>
        <v/>
      </c>
      <c r="T76" s="45">
        <f>IF(OR(A76="",L76="bezahlt",J76=""),"",MAX(0,TODAY()-J76))</f>
        <v/>
      </c>
    </row>
    <row r="77">
      <c r="A77" s="30" t="inlineStr"/>
      <c r="B77" s="38" t="inlineStr"/>
      <c r="C77" s="30" t="inlineStr"/>
      <c r="D77" s="30" t="inlineStr"/>
      <c r="E77" s="30" t="inlineStr"/>
      <c r="F77" s="31" t="inlineStr"/>
      <c r="G77" s="34" t="inlineStr"/>
      <c r="H77" s="32" t="inlineStr"/>
      <c r="I77" s="32" t="inlineStr"/>
      <c r="J77" s="38" t="inlineStr"/>
      <c r="K77" s="38" t="inlineStr"/>
      <c r="L77" s="30" t="inlineStr"/>
      <c r="M77" s="30" t="inlineStr"/>
      <c r="N77" s="15">
        <f>IF(A77="","",G77*H77)</f>
        <v/>
      </c>
      <c r="O77" s="15">
        <f>IF(A77="","",G77-N77)</f>
        <v/>
      </c>
      <c r="P77" s="15">
        <f>IF(A77="","",O77*I77)</f>
        <v/>
      </c>
      <c r="Q77" s="15">
        <f>IF(A77="","",O77+P77)</f>
        <v/>
      </c>
      <c r="R77" s="15">
        <f>IF(A77="","",SUMIFS('15_Zahlungen'!$F:$F,'15_Zahlungen'!$D:$D,A77,'15_Zahlungen'!$C:$C,"Eingang"))</f>
        <v/>
      </c>
      <c r="S77" s="15">
        <f>IF(A77="","",MAX(0,Q77-R77))</f>
        <v/>
      </c>
      <c r="T77" s="45">
        <f>IF(OR(A77="",L77="bezahlt",J77=""),"",MAX(0,TODAY()-J77))</f>
        <v/>
      </c>
    </row>
    <row r="78">
      <c r="A78" s="30" t="inlineStr"/>
      <c r="B78" s="38" t="inlineStr"/>
      <c r="C78" s="30" t="inlineStr"/>
      <c r="D78" s="30" t="inlineStr"/>
      <c r="E78" s="30" t="inlineStr"/>
      <c r="F78" s="31" t="inlineStr"/>
      <c r="G78" s="34" t="inlineStr"/>
      <c r="H78" s="32" t="inlineStr"/>
      <c r="I78" s="32" t="inlineStr"/>
      <c r="J78" s="38" t="inlineStr"/>
      <c r="K78" s="38" t="inlineStr"/>
      <c r="L78" s="30" t="inlineStr"/>
      <c r="M78" s="30" t="inlineStr"/>
      <c r="N78" s="15">
        <f>IF(A78="","",G78*H78)</f>
        <v/>
      </c>
      <c r="O78" s="15">
        <f>IF(A78="","",G78-N78)</f>
        <v/>
      </c>
      <c r="P78" s="15">
        <f>IF(A78="","",O78*I78)</f>
        <v/>
      </c>
      <c r="Q78" s="15">
        <f>IF(A78="","",O78+P78)</f>
        <v/>
      </c>
      <c r="R78" s="15">
        <f>IF(A78="","",SUMIFS('15_Zahlungen'!$F:$F,'15_Zahlungen'!$D:$D,A78,'15_Zahlungen'!$C:$C,"Eingang"))</f>
        <v/>
      </c>
      <c r="S78" s="15">
        <f>IF(A78="","",MAX(0,Q78-R78))</f>
        <v/>
      </c>
      <c r="T78" s="45">
        <f>IF(OR(A78="",L78="bezahlt",J78=""),"",MAX(0,TODAY()-J78))</f>
        <v/>
      </c>
    </row>
    <row r="79">
      <c r="A79" s="30" t="inlineStr"/>
      <c r="B79" s="38" t="inlineStr"/>
      <c r="C79" s="30" t="inlineStr"/>
      <c r="D79" s="30" t="inlineStr"/>
      <c r="E79" s="30" t="inlineStr"/>
      <c r="F79" s="31" t="inlineStr"/>
      <c r="G79" s="34" t="inlineStr"/>
      <c r="H79" s="32" t="inlineStr"/>
      <c r="I79" s="32" t="inlineStr"/>
      <c r="J79" s="38" t="inlineStr"/>
      <c r="K79" s="38" t="inlineStr"/>
      <c r="L79" s="30" t="inlineStr"/>
      <c r="M79" s="30" t="inlineStr"/>
      <c r="N79" s="15">
        <f>IF(A79="","",G79*H79)</f>
        <v/>
      </c>
      <c r="O79" s="15">
        <f>IF(A79="","",G79-N79)</f>
        <v/>
      </c>
      <c r="P79" s="15">
        <f>IF(A79="","",O79*I79)</f>
        <v/>
      </c>
      <c r="Q79" s="15">
        <f>IF(A79="","",O79+P79)</f>
        <v/>
      </c>
      <c r="R79" s="15">
        <f>IF(A79="","",SUMIFS('15_Zahlungen'!$F:$F,'15_Zahlungen'!$D:$D,A79,'15_Zahlungen'!$C:$C,"Eingang"))</f>
        <v/>
      </c>
      <c r="S79" s="15">
        <f>IF(A79="","",MAX(0,Q79-R79))</f>
        <v/>
      </c>
      <c r="T79" s="45">
        <f>IF(OR(A79="",L79="bezahlt",J79=""),"",MAX(0,TODAY()-J79))</f>
        <v/>
      </c>
    </row>
    <row r="80">
      <c r="A80" s="30" t="inlineStr"/>
      <c r="B80" s="38" t="inlineStr"/>
      <c r="C80" s="30" t="inlineStr"/>
      <c r="D80" s="30" t="inlineStr"/>
      <c r="E80" s="30" t="inlineStr"/>
      <c r="F80" s="31" t="inlineStr"/>
      <c r="G80" s="34" t="inlineStr"/>
      <c r="H80" s="32" t="inlineStr"/>
      <c r="I80" s="32" t="inlineStr"/>
      <c r="J80" s="38" t="inlineStr"/>
      <c r="K80" s="38" t="inlineStr"/>
      <c r="L80" s="30" t="inlineStr"/>
      <c r="M80" s="30" t="inlineStr"/>
      <c r="N80" s="15">
        <f>IF(A80="","",G80*H80)</f>
        <v/>
      </c>
      <c r="O80" s="15">
        <f>IF(A80="","",G80-N80)</f>
        <v/>
      </c>
      <c r="P80" s="15">
        <f>IF(A80="","",O80*I80)</f>
        <v/>
      </c>
      <c r="Q80" s="15">
        <f>IF(A80="","",O80+P80)</f>
        <v/>
      </c>
      <c r="R80" s="15">
        <f>IF(A80="","",SUMIFS('15_Zahlungen'!$F:$F,'15_Zahlungen'!$D:$D,A80,'15_Zahlungen'!$C:$C,"Eingang"))</f>
        <v/>
      </c>
      <c r="S80" s="15">
        <f>IF(A80="","",MAX(0,Q80-R80))</f>
        <v/>
      </c>
      <c r="T80" s="45">
        <f>IF(OR(A80="",L80="bezahlt",J80=""),"",MAX(0,TODAY()-J80))</f>
        <v/>
      </c>
    </row>
    <row r="81">
      <c r="A81" s="30" t="inlineStr"/>
      <c r="B81" s="38" t="inlineStr"/>
      <c r="C81" s="30" t="inlineStr"/>
      <c r="D81" s="30" t="inlineStr"/>
      <c r="E81" s="30" t="inlineStr"/>
      <c r="F81" s="31" t="inlineStr"/>
      <c r="G81" s="34" t="inlineStr"/>
      <c r="H81" s="32" t="inlineStr"/>
      <c r="I81" s="32" t="inlineStr"/>
      <c r="J81" s="38" t="inlineStr"/>
      <c r="K81" s="38" t="inlineStr"/>
      <c r="L81" s="30" t="inlineStr"/>
      <c r="M81" s="30" t="inlineStr"/>
      <c r="N81" s="15">
        <f>IF(A81="","",G81*H81)</f>
        <v/>
      </c>
      <c r="O81" s="15">
        <f>IF(A81="","",G81-N81)</f>
        <v/>
      </c>
      <c r="P81" s="15">
        <f>IF(A81="","",O81*I81)</f>
        <v/>
      </c>
      <c r="Q81" s="15">
        <f>IF(A81="","",O81+P81)</f>
        <v/>
      </c>
      <c r="R81" s="15">
        <f>IF(A81="","",SUMIFS('15_Zahlungen'!$F:$F,'15_Zahlungen'!$D:$D,A81,'15_Zahlungen'!$C:$C,"Eingang"))</f>
        <v/>
      </c>
      <c r="S81" s="15">
        <f>IF(A81="","",MAX(0,Q81-R81))</f>
        <v/>
      </c>
      <c r="T81" s="45">
        <f>IF(OR(A81="",L81="bezahlt",J81=""),"",MAX(0,TODAY()-J81))</f>
        <v/>
      </c>
    </row>
    <row r="82">
      <c r="A82" s="30" t="inlineStr"/>
      <c r="B82" s="38" t="inlineStr"/>
      <c r="C82" s="30" t="inlineStr"/>
      <c r="D82" s="30" t="inlineStr"/>
      <c r="E82" s="30" t="inlineStr"/>
      <c r="F82" s="31" t="inlineStr"/>
      <c r="G82" s="34" t="inlineStr"/>
      <c r="H82" s="32" t="inlineStr"/>
      <c r="I82" s="32" t="inlineStr"/>
      <c r="J82" s="38" t="inlineStr"/>
      <c r="K82" s="38" t="inlineStr"/>
      <c r="L82" s="30" t="inlineStr"/>
      <c r="M82" s="30" t="inlineStr"/>
      <c r="N82" s="15">
        <f>IF(A82="","",G82*H82)</f>
        <v/>
      </c>
      <c r="O82" s="15">
        <f>IF(A82="","",G82-N82)</f>
        <v/>
      </c>
      <c r="P82" s="15">
        <f>IF(A82="","",O82*I82)</f>
        <v/>
      </c>
      <c r="Q82" s="15">
        <f>IF(A82="","",O82+P82)</f>
        <v/>
      </c>
      <c r="R82" s="15">
        <f>IF(A82="","",SUMIFS('15_Zahlungen'!$F:$F,'15_Zahlungen'!$D:$D,A82,'15_Zahlungen'!$C:$C,"Eingang"))</f>
        <v/>
      </c>
      <c r="S82" s="15">
        <f>IF(A82="","",MAX(0,Q82-R82))</f>
        <v/>
      </c>
      <c r="T82" s="45">
        <f>IF(OR(A82="",L82="bezahlt",J82=""),"",MAX(0,TODAY()-J82))</f>
        <v/>
      </c>
    </row>
    <row r="83">
      <c r="A83" s="30" t="inlineStr"/>
      <c r="B83" s="38" t="inlineStr"/>
      <c r="C83" s="30" t="inlineStr"/>
      <c r="D83" s="30" t="inlineStr"/>
      <c r="E83" s="30" t="inlineStr"/>
      <c r="F83" s="31" t="inlineStr"/>
      <c r="G83" s="34" t="inlineStr"/>
      <c r="H83" s="32" t="inlineStr"/>
      <c r="I83" s="32" t="inlineStr"/>
      <c r="J83" s="38" t="inlineStr"/>
      <c r="K83" s="38" t="inlineStr"/>
      <c r="L83" s="30" t="inlineStr"/>
      <c r="M83" s="30" t="inlineStr"/>
      <c r="N83" s="15">
        <f>IF(A83="","",G83*H83)</f>
        <v/>
      </c>
      <c r="O83" s="15">
        <f>IF(A83="","",G83-N83)</f>
        <v/>
      </c>
      <c r="P83" s="15">
        <f>IF(A83="","",O83*I83)</f>
        <v/>
      </c>
      <c r="Q83" s="15">
        <f>IF(A83="","",O83+P83)</f>
        <v/>
      </c>
      <c r="R83" s="15">
        <f>IF(A83="","",SUMIFS('15_Zahlungen'!$F:$F,'15_Zahlungen'!$D:$D,A83,'15_Zahlungen'!$C:$C,"Eingang"))</f>
        <v/>
      </c>
      <c r="S83" s="15">
        <f>IF(A83="","",MAX(0,Q83-R83))</f>
        <v/>
      </c>
      <c r="T83" s="45">
        <f>IF(OR(A83="",L83="bezahlt",J83=""),"",MAX(0,TODAY()-J83))</f>
        <v/>
      </c>
    </row>
    <row r="84">
      <c r="A84" s="30" t="inlineStr"/>
      <c r="B84" s="38" t="inlineStr"/>
      <c r="C84" s="30" t="inlineStr"/>
      <c r="D84" s="30" t="inlineStr"/>
      <c r="E84" s="30" t="inlineStr"/>
      <c r="F84" s="31" t="inlineStr"/>
      <c r="G84" s="34" t="inlineStr"/>
      <c r="H84" s="32" t="inlineStr"/>
      <c r="I84" s="32" t="inlineStr"/>
      <c r="J84" s="38" t="inlineStr"/>
      <c r="K84" s="38" t="inlineStr"/>
      <c r="L84" s="30" t="inlineStr"/>
      <c r="M84" s="30" t="inlineStr"/>
      <c r="N84" s="15">
        <f>IF(A84="","",G84*H84)</f>
        <v/>
      </c>
      <c r="O84" s="15">
        <f>IF(A84="","",G84-N84)</f>
        <v/>
      </c>
      <c r="P84" s="15">
        <f>IF(A84="","",O84*I84)</f>
        <v/>
      </c>
      <c r="Q84" s="15">
        <f>IF(A84="","",O84+P84)</f>
        <v/>
      </c>
      <c r="R84" s="15">
        <f>IF(A84="","",SUMIFS('15_Zahlungen'!$F:$F,'15_Zahlungen'!$D:$D,A84,'15_Zahlungen'!$C:$C,"Eingang"))</f>
        <v/>
      </c>
      <c r="S84" s="15">
        <f>IF(A84="","",MAX(0,Q84-R84))</f>
        <v/>
      </c>
      <c r="T84" s="45">
        <f>IF(OR(A84="",L84="bezahlt",J84=""),"",MAX(0,TODAY()-J84))</f>
        <v/>
      </c>
    </row>
    <row r="85">
      <c r="A85" s="30" t="inlineStr"/>
      <c r="B85" s="38" t="inlineStr"/>
      <c r="C85" s="30" t="inlineStr"/>
      <c r="D85" s="30" t="inlineStr"/>
      <c r="E85" s="30" t="inlineStr"/>
      <c r="F85" s="31" t="inlineStr"/>
      <c r="G85" s="34" t="inlineStr"/>
      <c r="H85" s="32" t="inlineStr"/>
      <c r="I85" s="32" t="inlineStr"/>
      <c r="J85" s="38" t="inlineStr"/>
      <c r="K85" s="38" t="inlineStr"/>
      <c r="L85" s="30" t="inlineStr"/>
      <c r="M85" s="30" t="inlineStr"/>
      <c r="N85" s="15">
        <f>IF(A85="","",G85*H85)</f>
        <v/>
      </c>
      <c r="O85" s="15">
        <f>IF(A85="","",G85-N85)</f>
        <v/>
      </c>
      <c r="P85" s="15">
        <f>IF(A85="","",O85*I85)</f>
        <v/>
      </c>
      <c r="Q85" s="15">
        <f>IF(A85="","",O85+P85)</f>
        <v/>
      </c>
      <c r="R85" s="15">
        <f>IF(A85="","",SUMIFS('15_Zahlungen'!$F:$F,'15_Zahlungen'!$D:$D,A85,'15_Zahlungen'!$C:$C,"Eingang"))</f>
        <v/>
      </c>
      <c r="S85" s="15">
        <f>IF(A85="","",MAX(0,Q85-R85))</f>
        <v/>
      </c>
      <c r="T85" s="45">
        <f>IF(OR(A85="",L85="bezahlt",J85=""),"",MAX(0,TODAY()-J85))</f>
        <v/>
      </c>
    </row>
    <row r="86">
      <c r="A86" s="30" t="inlineStr"/>
      <c r="B86" s="38" t="inlineStr"/>
      <c r="C86" s="30" t="inlineStr"/>
      <c r="D86" s="30" t="inlineStr"/>
      <c r="E86" s="30" t="inlineStr"/>
      <c r="F86" s="31" t="inlineStr"/>
      <c r="G86" s="34" t="inlineStr"/>
      <c r="H86" s="32" t="inlineStr"/>
      <c r="I86" s="32" t="inlineStr"/>
      <c r="J86" s="38" t="inlineStr"/>
      <c r="K86" s="38" t="inlineStr"/>
      <c r="L86" s="30" t="inlineStr"/>
      <c r="M86" s="30" t="inlineStr"/>
      <c r="N86" s="15">
        <f>IF(A86="","",G86*H86)</f>
        <v/>
      </c>
      <c r="O86" s="15">
        <f>IF(A86="","",G86-N86)</f>
        <v/>
      </c>
      <c r="P86" s="15">
        <f>IF(A86="","",O86*I86)</f>
        <v/>
      </c>
      <c r="Q86" s="15">
        <f>IF(A86="","",O86+P86)</f>
        <v/>
      </c>
      <c r="R86" s="15">
        <f>IF(A86="","",SUMIFS('15_Zahlungen'!$F:$F,'15_Zahlungen'!$D:$D,A86,'15_Zahlungen'!$C:$C,"Eingang"))</f>
        <v/>
      </c>
      <c r="S86" s="15">
        <f>IF(A86="","",MAX(0,Q86-R86))</f>
        <v/>
      </c>
      <c r="T86" s="45">
        <f>IF(OR(A86="",L86="bezahlt",J86=""),"",MAX(0,TODAY()-J86))</f>
        <v/>
      </c>
    </row>
    <row r="87">
      <c r="A87" s="30" t="inlineStr"/>
      <c r="B87" s="38" t="inlineStr"/>
      <c r="C87" s="30" t="inlineStr"/>
      <c r="D87" s="30" t="inlineStr"/>
      <c r="E87" s="30" t="inlineStr"/>
      <c r="F87" s="31" t="inlineStr"/>
      <c r="G87" s="34" t="inlineStr"/>
      <c r="H87" s="32" t="inlineStr"/>
      <c r="I87" s="32" t="inlineStr"/>
      <c r="J87" s="38" t="inlineStr"/>
      <c r="K87" s="38" t="inlineStr"/>
      <c r="L87" s="30" t="inlineStr"/>
      <c r="M87" s="30" t="inlineStr"/>
      <c r="N87" s="15">
        <f>IF(A87="","",G87*H87)</f>
        <v/>
      </c>
      <c r="O87" s="15">
        <f>IF(A87="","",G87-N87)</f>
        <v/>
      </c>
      <c r="P87" s="15">
        <f>IF(A87="","",O87*I87)</f>
        <v/>
      </c>
      <c r="Q87" s="15">
        <f>IF(A87="","",O87+P87)</f>
        <v/>
      </c>
      <c r="R87" s="15">
        <f>IF(A87="","",SUMIFS('15_Zahlungen'!$F:$F,'15_Zahlungen'!$D:$D,A87,'15_Zahlungen'!$C:$C,"Eingang"))</f>
        <v/>
      </c>
      <c r="S87" s="15">
        <f>IF(A87="","",MAX(0,Q87-R87))</f>
        <v/>
      </c>
      <c r="T87" s="45">
        <f>IF(OR(A87="",L87="bezahlt",J87=""),"",MAX(0,TODAY()-J87))</f>
        <v/>
      </c>
    </row>
    <row r="88">
      <c r="A88" s="30" t="inlineStr"/>
      <c r="B88" s="38" t="inlineStr"/>
      <c r="C88" s="30" t="inlineStr"/>
      <c r="D88" s="30" t="inlineStr"/>
      <c r="E88" s="30" t="inlineStr"/>
      <c r="F88" s="31" t="inlineStr"/>
      <c r="G88" s="34" t="inlineStr"/>
      <c r="H88" s="32" t="inlineStr"/>
      <c r="I88" s="32" t="inlineStr"/>
      <c r="J88" s="38" t="inlineStr"/>
      <c r="K88" s="38" t="inlineStr"/>
      <c r="L88" s="30" t="inlineStr"/>
      <c r="M88" s="30" t="inlineStr"/>
      <c r="N88" s="15">
        <f>IF(A88="","",G88*H88)</f>
        <v/>
      </c>
      <c r="O88" s="15">
        <f>IF(A88="","",G88-N88)</f>
        <v/>
      </c>
      <c r="P88" s="15">
        <f>IF(A88="","",O88*I88)</f>
        <v/>
      </c>
      <c r="Q88" s="15">
        <f>IF(A88="","",O88+P88)</f>
        <v/>
      </c>
      <c r="R88" s="15">
        <f>IF(A88="","",SUMIFS('15_Zahlungen'!$F:$F,'15_Zahlungen'!$D:$D,A88,'15_Zahlungen'!$C:$C,"Eingang"))</f>
        <v/>
      </c>
      <c r="S88" s="15">
        <f>IF(A88="","",MAX(0,Q88-R88))</f>
        <v/>
      </c>
      <c r="T88" s="45">
        <f>IF(OR(A88="",L88="bezahlt",J88=""),"",MAX(0,TODAY()-J88))</f>
        <v/>
      </c>
    </row>
    <row r="89">
      <c r="A89" s="30" t="inlineStr"/>
      <c r="B89" s="38" t="inlineStr"/>
      <c r="C89" s="30" t="inlineStr"/>
      <c r="D89" s="30" t="inlineStr"/>
      <c r="E89" s="30" t="inlineStr"/>
      <c r="F89" s="31" t="inlineStr"/>
      <c r="G89" s="34" t="inlineStr"/>
      <c r="H89" s="32" t="inlineStr"/>
      <c r="I89" s="32" t="inlineStr"/>
      <c r="J89" s="38" t="inlineStr"/>
      <c r="K89" s="38" t="inlineStr"/>
      <c r="L89" s="30" t="inlineStr"/>
      <c r="M89" s="30" t="inlineStr"/>
      <c r="N89" s="15">
        <f>IF(A89="","",G89*H89)</f>
        <v/>
      </c>
      <c r="O89" s="15">
        <f>IF(A89="","",G89-N89)</f>
        <v/>
      </c>
      <c r="P89" s="15">
        <f>IF(A89="","",O89*I89)</f>
        <v/>
      </c>
      <c r="Q89" s="15">
        <f>IF(A89="","",O89+P89)</f>
        <v/>
      </c>
      <c r="R89" s="15">
        <f>IF(A89="","",SUMIFS('15_Zahlungen'!$F:$F,'15_Zahlungen'!$D:$D,A89,'15_Zahlungen'!$C:$C,"Eingang"))</f>
        <v/>
      </c>
      <c r="S89" s="15">
        <f>IF(A89="","",MAX(0,Q89-R89))</f>
        <v/>
      </c>
      <c r="T89" s="45">
        <f>IF(OR(A89="",L89="bezahlt",J89=""),"",MAX(0,TODAY()-J89))</f>
        <v/>
      </c>
    </row>
    <row r="90">
      <c r="A90" s="30" t="inlineStr"/>
      <c r="B90" s="38" t="inlineStr"/>
      <c r="C90" s="30" t="inlineStr"/>
      <c r="D90" s="30" t="inlineStr"/>
      <c r="E90" s="30" t="inlineStr"/>
      <c r="F90" s="31" t="inlineStr"/>
      <c r="G90" s="34" t="inlineStr"/>
      <c r="H90" s="32" t="inlineStr"/>
      <c r="I90" s="32" t="inlineStr"/>
      <c r="J90" s="38" t="inlineStr"/>
      <c r="K90" s="38" t="inlineStr"/>
      <c r="L90" s="30" t="inlineStr"/>
      <c r="M90" s="30" t="inlineStr"/>
      <c r="N90" s="15">
        <f>IF(A90="","",G90*H90)</f>
        <v/>
      </c>
      <c r="O90" s="15">
        <f>IF(A90="","",G90-N90)</f>
        <v/>
      </c>
      <c r="P90" s="15">
        <f>IF(A90="","",O90*I90)</f>
        <v/>
      </c>
      <c r="Q90" s="15">
        <f>IF(A90="","",O90+P90)</f>
        <v/>
      </c>
      <c r="R90" s="15">
        <f>IF(A90="","",SUMIFS('15_Zahlungen'!$F:$F,'15_Zahlungen'!$D:$D,A90,'15_Zahlungen'!$C:$C,"Eingang"))</f>
        <v/>
      </c>
      <c r="S90" s="15">
        <f>IF(A90="","",MAX(0,Q90-R90))</f>
        <v/>
      </c>
      <c r="T90" s="45">
        <f>IF(OR(A90="",L90="bezahlt",J90=""),"",MAX(0,TODAY()-J90))</f>
        <v/>
      </c>
    </row>
    <row r="91">
      <c r="A91" s="30" t="inlineStr"/>
      <c r="B91" s="38" t="inlineStr"/>
      <c r="C91" s="30" t="inlineStr"/>
      <c r="D91" s="30" t="inlineStr"/>
      <c r="E91" s="30" t="inlineStr"/>
      <c r="F91" s="31" t="inlineStr"/>
      <c r="G91" s="34" t="inlineStr"/>
      <c r="H91" s="32" t="inlineStr"/>
      <c r="I91" s="32" t="inlineStr"/>
      <c r="J91" s="38" t="inlineStr"/>
      <c r="K91" s="38" t="inlineStr"/>
      <c r="L91" s="30" t="inlineStr"/>
      <c r="M91" s="30" t="inlineStr"/>
      <c r="N91" s="15">
        <f>IF(A91="","",G91*H91)</f>
        <v/>
      </c>
      <c r="O91" s="15">
        <f>IF(A91="","",G91-N91)</f>
        <v/>
      </c>
      <c r="P91" s="15">
        <f>IF(A91="","",O91*I91)</f>
        <v/>
      </c>
      <c r="Q91" s="15">
        <f>IF(A91="","",O91+P91)</f>
        <v/>
      </c>
      <c r="R91" s="15">
        <f>IF(A91="","",SUMIFS('15_Zahlungen'!$F:$F,'15_Zahlungen'!$D:$D,A91,'15_Zahlungen'!$C:$C,"Eingang"))</f>
        <v/>
      </c>
      <c r="S91" s="15">
        <f>IF(A91="","",MAX(0,Q91-R91))</f>
        <v/>
      </c>
      <c r="T91" s="45">
        <f>IF(OR(A91="",L91="bezahlt",J91=""),"",MAX(0,TODAY()-J91))</f>
        <v/>
      </c>
    </row>
    <row r="92">
      <c r="A92" s="30" t="inlineStr"/>
      <c r="B92" s="38" t="inlineStr"/>
      <c r="C92" s="30" t="inlineStr"/>
      <c r="D92" s="30" t="inlineStr"/>
      <c r="E92" s="30" t="inlineStr"/>
      <c r="F92" s="31" t="inlineStr"/>
      <c r="G92" s="34" t="inlineStr"/>
      <c r="H92" s="32" t="inlineStr"/>
      <c r="I92" s="32" t="inlineStr"/>
      <c r="J92" s="38" t="inlineStr"/>
      <c r="K92" s="38" t="inlineStr"/>
      <c r="L92" s="30" t="inlineStr"/>
      <c r="M92" s="30" t="inlineStr"/>
      <c r="N92" s="15">
        <f>IF(A92="","",G92*H92)</f>
        <v/>
      </c>
      <c r="O92" s="15">
        <f>IF(A92="","",G92-N92)</f>
        <v/>
      </c>
      <c r="P92" s="15">
        <f>IF(A92="","",O92*I92)</f>
        <v/>
      </c>
      <c r="Q92" s="15">
        <f>IF(A92="","",O92+P92)</f>
        <v/>
      </c>
      <c r="R92" s="15">
        <f>IF(A92="","",SUMIFS('15_Zahlungen'!$F:$F,'15_Zahlungen'!$D:$D,A92,'15_Zahlungen'!$C:$C,"Eingang"))</f>
        <v/>
      </c>
      <c r="S92" s="15">
        <f>IF(A92="","",MAX(0,Q92-R92))</f>
        <v/>
      </c>
      <c r="T92" s="45">
        <f>IF(OR(A92="",L92="bezahlt",J92=""),"",MAX(0,TODAY()-J92))</f>
        <v/>
      </c>
    </row>
    <row r="93">
      <c r="A93" s="30" t="inlineStr"/>
      <c r="B93" s="38" t="inlineStr"/>
      <c r="C93" s="30" t="inlineStr"/>
      <c r="D93" s="30" t="inlineStr"/>
      <c r="E93" s="30" t="inlineStr"/>
      <c r="F93" s="31" t="inlineStr"/>
      <c r="G93" s="34" t="inlineStr"/>
      <c r="H93" s="32" t="inlineStr"/>
      <c r="I93" s="32" t="inlineStr"/>
      <c r="J93" s="38" t="inlineStr"/>
      <c r="K93" s="38" t="inlineStr"/>
      <c r="L93" s="30" t="inlineStr"/>
      <c r="M93" s="30" t="inlineStr"/>
      <c r="N93" s="15">
        <f>IF(A93="","",G93*H93)</f>
        <v/>
      </c>
      <c r="O93" s="15">
        <f>IF(A93="","",G93-N93)</f>
        <v/>
      </c>
      <c r="P93" s="15">
        <f>IF(A93="","",O93*I93)</f>
        <v/>
      </c>
      <c r="Q93" s="15">
        <f>IF(A93="","",O93+P93)</f>
        <v/>
      </c>
      <c r="R93" s="15">
        <f>IF(A93="","",SUMIFS('15_Zahlungen'!$F:$F,'15_Zahlungen'!$D:$D,A93,'15_Zahlungen'!$C:$C,"Eingang"))</f>
        <v/>
      </c>
      <c r="S93" s="15">
        <f>IF(A93="","",MAX(0,Q93-R93))</f>
        <v/>
      </c>
      <c r="T93" s="45">
        <f>IF(OR(A93="",L93="bezahlt",J93=""),"",MAX(0,TODAY()-J93))</f>
        <v/>
      </c>
    </row>
    <row r="94">
      <c r="A94" s="30" t="inlineStr"/>
      <c r="B94" s="38" t="inlineStr"/>
      <c r="C94" s="30" t="inlineStr"/>
      <c r="D94" s="30" t="inlineStr"/>
      <c r="E94" s="30" t="inlineStr"/>
      <c r="F94" s="31" t="inlineStr"/>
      <c r="G94" s="34" t="inlineStr"/>
      <c r="H94" s="32" t="inlineStr"/>
      <c r="I94" s="32" t="inlineStr"/>
      <c r="J94" s="38" t="inlineStr"/>
      <c r="K94" s="38" t="inlineStr"/>
      <c r="L94" s="30" t="inlineStr"/>
      <c r="M94" s="30" t="inlineStr"/>
      <c r="N94" s="15">
        <f>IF(A94="","",G94*H94)</f>
        <v/>
      </c>
      <c r="O94" s="15">
        <f>IF(A94="","",G94-N94)</f>
        <v/>
      </c>
      <c r="P94" s="15">
        <f>IF(A94="","",O94*I94)</f>
        <v/>
      </c>
      <c r="Q94" s="15">
        <f>IF(A94="","",O94+P94)</f>
        <v/>
      </c>
      <c r="R94" s="15">
        <f>IF(A94="","",SUMIFS('15_Zahlungen'!$F:$F,'15_Zahlungen'!$D:$D,A94,'15_Zahlungen'!$C:$C,"Eingang"))</f>
        <v/>
      </c>
      <c r="S94" s="15">
        <f>IF(A94="","",MAX(0,Q94-R94))</f>
        <v/>
      </c>
      <c r="T94" s="45">
        <f>IF(OR(A94="",L94="bezahlt",J94=""),"",MAX(0,TODAY()-J94))</f>
        <v/>
      </c>
    </row>
    <row r="95">
      <c r="A95" s="30" t="inlineStr"/>
      <c r="B95" s="38" t="inlineStr"/>
      <c r="C95" s="30" t="inlineStr"/>
      <c r="D95" s="30" t="inlineStr"/>
      <c r="E95" s="30" t="inlineStr"/>
      <c r="F95" s="31" t="inlineStr"/>
      <c r="G95" s="34" t="inlineStr"/>
      <c r="H95" s="32" t="inlineStr"/>
      <c r="I95" s="32" t="inlineStr"/>
      <c r="J95" s="38" t="inlineStr"/>
      <c r="K95" s="38" t="inlineStr"/>
      <c r="L95" s="30" t="inlineStr"/>
      <c r="M95" s="30" t="inlineStr"/>
      <c r="N95" s="15">
        <f>IF(A95="","",G95*H95)</f>
        <v/>
      </c>
      <c r="O95" s="15">
        <f>IF(A95="","",G95-N95)</f>
        <v/>
      </c>
      <c r="P95" s="15">
        <f>IF(A95="","",O95*I95)</f>
        <v/>
      </c>
      <c r="Q95" s="15">
        <f>IF(A95="","",O95+P95)</f>
        <v/>
      </c>
      <c r="R95" s="15">
        <f>IF(A95="","",SUMIFS('15_Zahlungen'!$F:$F,'15_Zahlungen'!$D:$D,A95,'15_Zahlungen'!$C:$C,"Eingang"))</f>
        <v/>
      </c>
      <c r="S95" s="15">
        <f>IF(A95="","",MAX(0,Q95-R95))</f>
        <v/>
      </c>
      <c r="T95" s="45">
        <f>IF(OR(A95="",L95="bezahlt",J95=""),"",MAX(0,TODAY()-J95))</f>
        <v/>
      </c>
    </row>
    <row r="96">
      <c r="A96" s="30" t="inlineStr"/>
      <c r="B96" s="38" t="inlineStr"/>
      <c r="C96" s="30" t="inlineStr"/>
      <c r="D96" s="30" t="inlineStr"/>
      <c r="E96" s="30" t="inlineStr"/>
      <c r="F96" s="31" t="inlineStr"/>
      <c r="G96" s="34" t="inlineStr"/>
      <c r="H96" s="32" t="inlineStr"/>
      <c r="I96" s="32" t="inlineStr"/>
      <c r="J96" s="38" t="inlineStr"/>
      <c r="K96" s="38" t="inlineStr"/>
      <c r="L96" s="30" t="inlineStr"/>
      <c r="M96" s="30" t="inlineStr"/>
      <c r="N96" s="15">
        <f>IF(A96="","",G96*H96)</f>
        <v/>
      </c>
      <c r="O96" s="15">
        <f>IF(A96="","",G96-N96)</f>
        <v/>
      </c>
      <c r="P96" s="15">
        <f>IF(A96="","",O96*I96)</f>
        <v/>
      </c>
      <c r="Q96" s="15">
        <f>IF(A96="","",O96+P96)</f>
        <v/>
      </c>
      <c r="R96" s="15">
        <f>IF(A96="","",SUMIFS('15_Zahlungen'!$F:$F,'15_Zahlungen'!$D:$D,A96,'15_Zahlungen'!$C:$C,"Eingang"))</f>
        <v/>
      </c>
      <c r="S96" s="15">
        <f>IF(A96="","",MAX(0,Q96-R96))</f>
        <v/>
      </c>
      <c r="T96" s="45">
        <f>IF(OR(A96="",L96="bezahlt",J96=""),"",MAX(0,TODAY()-J96))</f>
        <v/>
      </c>
    </row>
    <row r="97">
      <c r="A97" s="30" t="inlineStr"/>
      <c r="B97" s="38" t="inlineStr"/>
      <c r="C97" s="30" t="inlineStr"/>
      <c r="D97" s="30" t="inlineStr"/>
      <c r="E97" s="30" t="inlineStr"/>
      <c r="F97" s="31" t="inlineStr"/>
      <c r="G97" s="34" t="inlineStr"/>
      <c r="H97" s="32" t="inlineStr"/>
      <c r="I97" s="32" t="inlineStr"/>
      <c r="J97" s="38" t="inlineStr"/>
      <c r="K97" s="38" t="inlineStr"/>
      <c r="L97" s="30" t="inlineStr"/>
      <c r="M97" s="30" t="inlineStr"/>
      <c r="N97" s="15">
        <f>IF(A97="","",G97*H97)</f>
        <v/>
      </c>
      <c r="O97" s="15">
        <f>IF(A97="","",G97-N97)</f>
        <v/>
      </c>
      <c r="P97" s="15">
        <f>IF(A97="","",O97*I97)</f>
        <v/>
      </c>
      <c r="Q97" s="15">
        <f>IF(A97="","",O97+P97)</f>
        <v/>
      </c>
      <c r="R97" s="15">
        <f>IF(A97="","",SUMIFS('15_Zahlungen'!$F:$F,'15_Zahlungen'!$D:$D,A97,'15_Zahlungen'!$C:$C,"Eingang"))</f>
        <v/>
      </c>
      <c r="S97" s="15">
        <f>IF(A97="","",MAX(0,Q97-R97))</f>
        <v/>
      </c>
      <c r="T97" s="45">
        <f>IF(OR(A97="",L97="bezahlt",J97=""),"",MAX(0,TODAY()-J97))</f>
        <v/>
      </c>
    </row>
    <row r="98">
      <c r="A98" s="30" t="inlineStr"/>
      <c r="B98" s="38" t="inlineStr"/>
      <c r="C98" s="30" t="inlineStr"/>
      <c r="D98" s="30" t="inlineStr"/>
      <c r="E98" s="30" t="inlineStr"/>
      <c r="F98" s="31" t="inlineStr"/>
      <c r="G98" s="34" t="inlineStr"/>
      <c r="H98" s="32" t="inlineStr"/>
      <c r="I98" s="32" t="inlineStr"/>
      <c r="J98" s="38" t="inlineStr"/>
      <c r="K98" s="38" t="inlineStr"/>
      <c r="L98" s="30" t="inlineStr"/>
      <c r="M98" s="30" t="inlineStr"/>
      <c r="N98" s="15">
        <f>IF(A98="","",G98*H98)</f>
        <v/>
      </c>
      <c r="O98" s="15">
        <f>IF(A98="","",G98-N98)</f>
        <v/>
      </c>
      <c r="P98" s="15">
        <f>IF(A98="","",O98*I98)</f>
        <v/>
      </c>
      <c r="Q98" s="15">
        <f>IF(A98="","",O98+P98)</f>
        <v/>
      </c>
      <c r="R98" s="15">
        <f>IF(A98="","",SUMIFS('15_Zahlungen'!$F:$F,'15_Zahlungen'!$D:$D,A98,'15_Zahlungen'!$C:$C,"Eingang"))</f>
        <v/>
      </c>
      <c r="S98" s="15">
        <f>IF(A98="","",MAX(0,Q98-R98))</f>
        <v/>
      </c>
      <c r="T98" s="45">
        <f>IF(OR(A98="",L98="bezahlt",J98=""),"",MAX(0,TODAY()-J98))</f>
        <v/>
      </c>
    </row>
    <row r="99">
      <c r="A99" s="30" t="inlineStr"/>
      <c r="B99" s="38" t="inlineStr"/>
      <c r="C99" s="30" t="inlineStr"/>
      <c r="D99" s="30" t="inlineStr"/>
      <c r="E99" s="30" t="inlineStr"/>
      <c r="F99" s="31" t="inlineStr"/>
      <c r="G99" s="34" t="inlineStr"/>
      <c r="H99" s="32" t="inlineStr"/>
      <c r="I99" s="32" t="inlineStr"/>
      <c r="J99" s="38" t="inlineStr"/>
      <c r="K99" s="38" t="inlineStr"/>
      <c r="L99" s="30" t="inlineStr"/>
      <c r="M99" s="30" t="inlineStr"/>
      <c r="N99" s="15">
        <f>IF(A99="","",G99*H99)</f>
        <v/>
      </c>
      <c r="O99" s="15">
        <f>IF(A99="","",G99-N99)</f>
        <v/>
      </c>
      <c r="P99" s="15">
        <f>IF(A99="","",O99*I99)</f>
        <v/>
      </c>
      <c r="Q99" s="15">
        <f>IF(A99="","",O99+P99)</f>
        <v/>
      </c>
      <c r="R99" s="15">
        <f>IF(A99="","",SUMIFS('15_Zahlungen'!$F:$F,'15_Zahlungen'!$D:$D,A99,'15_Zahlungen'!$C:$C,"Eingang"))</f>
        <v/>
      </c>
      <c r="S99" s="15">
        <f>IF(A99="","",MAX(0,Q99-R99))</f>
        <v/>
      </c>
      <c r="T99" s="45">
        <f>IF(OR(A99="",L99="bezahlt",J99=""),"",MAX(0,TODAY()-J99))</f>
        <v/>
      </c>
    </row>
    <row r="100">
      <c r="A100" s="30" t="inlineStr"/>
      <c r="B100" s="38" t="inlineStr"/>
      <c r="C100" s="30" t="inlineStr"/>
      <c r="D100" s="30" t="inlineStr"/>
      <c r="E100" s="30" t="inlineStr"/>
      <c r="F100" s="31" t="inlineStr"/>
      <c r="G100" s="34" t="inlineStr"/>
      <c r="H100" s="32" t="inlineStr"/>
      <c r="I100" s="32" t="inlineStr"/>
      <c r="J100" s="38" t="inlineStr"/>
      <c r="K100" s="38" t="inlineStr"/>
      <c r="L100" s="30" t="inlineStr"/>
      <c r="M100" s="30" t="inlineStr"/>
      <c r="N100" s="15">
        <f>IF(A100="","",G100*H100)</f>
        <v/>
      </c>
      <c r="O100" s="15">
        <f>IF(A100="","",G100-N100)</f>
        <v/>
      </c>
      <c r="P100" s="15">
        <f>IF(A100="","",O100*I100)</f>
        <v/>
      </c>
      <c r="Q100" s="15">
        <f>IF(A100="","",O100+P100)</f>
        <v/>
      </c>
      <c r="R100" s="15">
        <f>IF(A100="","",SUMIFS('15_Zahlungen'!$F:$F,'15_Zahlungen'!$D:$D,A100,'15_Zahlungen'!$C:$C,"Eingang"))</f>
        <v/>
      </c>
      <c r="S100" s="15">
        <f>IF(A100="","",MAX(0,Q100-R100))</f>
        <v/>
      </c>
      <c r="T100" s="45">
        <f>IF(OR(A100="",L100="bezahlt",J100=""),"",MAX(0,TODAY()-J100))</f>
        <v/>
      </c>
    </row>
    <row r="101">
      <c r="A101" s="30" t="inlineStr"/>
      <c r="B101" s="38" t="inlineStr"/>
      <c r="C101" s="30" t="inlineStr"/>
      <c r="D101" s="30" t="inlineStr"/>
      <c r="E101" s="30" t="inlineStr"/>
      <c r="F101" s="31" t="inlineStr"/>
      <c r="G101" s="34" t="inlineStr"/>
      <c r="H101" s="32" t="inlineStr"/>
      <c r="I101" s="32" t="inlineStr"/>
      <c r="J101" s="38" t="inlineStr"/>
      <c r="K101" s="38" t="inlineStr"/>
      <c r="L101" s="30" t="inlineStr"/>
      <c r="M101" s="30" t="inlineStr"/>
      <c r="N101" s="15">
        <f>IF(A101="","",G101*H101)</f>
        <v/>
      </c>
      <c r="O101" s="15">
        <f>IF(A101="","",G101-N101)</f>
        <v/>
      </c>
      <c r="P101" s="15">
        <f>IF(A101="","",O101*I101)</f>
        <v/>
      </c>
      <c r="Q101" s="15">
        <f>IF(A101="","",O101+P101)</f>
        <v/>
      </c>
      <c r="R101" s="15">
        <f>IF(A101="","",SUMIFS('15_Zahlungen'!$F:$F,'15_Zahlungen'!$D:$D,A101,'15_Zahlungen'!$C:$C,"Eingang"))</f>
        <v/>
      </c>
      <c r="S101" s="15">
        <f>IF(A101="","",MAX(0,Q101-R101))</f>
        <v/>
      </c>
      <c r="T101" s="45">
        <f>IF(OR(A101="",L101="bezahlt",J101=""),"",MAX(0,TODAY()-J101))</f>
        <v/>
      </c>
    </row>
    <row r="102">
      <c r="A102" s="30" t="inlineStr"/>
      <c r="B102" s="38" t="inlineStr"/>
      <c r="C102" s="30" t="inlineStr"/>
      <c r="D102" s="30" t="inlineStr"/>
      <c r="E102" s="30" t="inlineStr"/>
      <c r="F102" s="31" t="inlineStr"/>
      <c r="G102" s="34" t="inlineStr"/>
      <c r="H102" s="32" t="inlineStr"/>
      <c r="I102" s="32" t="inlineStr"/>
      <c r="J102" s="38" t="inlineStr"/>
      <c r="K102" s="38" t="inlineStr"/>
      <c r="L102" s="30" t="inlineStr"/>
      <c r="M102" s="30" t="inlineStr"/>
      <c r="N102" s="15">
        <f>IF(A102="","",G102*H102)</f>
        <v/>
      </c>
      <c r="O102" s="15">
        <f>IF(A102="","",G102-N102)</f>
        <v/>
      </c>
      <c r="P102" s="15">
        <f>IF(A102="","",O102*I102)</f>
        <v/>
      </c>
      <c r="Q102" s="15">
        <f>IF(A102="","",O102+P102)</f>
        <v/>
      </c>
      <c r="R102" s="15">
        <f>IF(A102="","",SUMIFS('15_Zahlungen'!$F:$F,'15_Zahlungen'!$D:$D,A102,'15_Zahlungen'!$C:$C,"Eingang"))</f>
        <v/>
      </c>
      <c r="S102" s="15">
        <f>IF(A102="","",MAX(0,Q102-R102))</f>
        <v/>
      </c>
      <c r="T102" s="45">
        <f>IF(OR(A102="",L102="bezahlt",J102=""),"",MAX(0,TODAY()-J102))</f>
        <v/>
      </c>
    </row>
    <row r="103">
      <c r="A103" s="30" t="inlineStr"/>
      <c r="B103" s="38" t="inlineStr"/>
      <c r="C103" s="30" t="inlineStr"/>
      <c r="D103" s="30" t="inlineStr"/>
      <c r="E103" s="30" t="inlineStr"/>
      <c r="F103" s="31" t="inlineStr"/>
      <c r="G103" s="34" t="inlineStr"/>
      <c r="H103" s="32" t="inlineStr"/>
      <c r="I103" s="32" t="inlineStr"/>
      <c r="J103" s="38" t="inlineStr"/>
      <c r="K103" s="38" t="inlineStr"/>
      <c r="L103" s="30" t="inlineStr"/>
      <c r="M103" s="30" t="inlineStr"/>
      <c r="N103" s="15">
        <f>IF(A103="","",G103*H103)</f>
        <v/>
      </c>
      <c r="O103" s="15">
        <f>IF(A103="","",G103-N103)</f>
        <v/>
      </c>
      <c r="P103" s="15">
        <f>IF(A103="","",O103*I103)</f>
        <v/>
      </c>
      <c r="Q103" s="15">
        <f>IF(A103="","",O103+P103)</f>
        <v/>
      </c>
      <c r="R103" s="15">
        <f>IF(A103="","",SUMIFS('15_Zahlungen'!$F:$F,'15_Zahlungen'!$D:$D,A103,'15_Zahlungen'!$C:$C,"Eingang"))</f>
        <v/>
      </c>
      <c r="S103" s="15">
        <f>IF(A103="","",MAX(0,Q103-R103))</f>
        <v/>
      </c>
      <c r="T103" s="45">
        <f>IF(OR(A103="",L103="bezahlt",J103=""),"",MAX(0,TODAY()-J103))</f>
        <v/>
      </c>
    </row>
    <row r="104">
      <c r="A104" s="30" t="inlineStr"/>
      <c r="B104" s="38" t="inlineStr"/>
      <c r="C104" s="30" t="inlineStr"/>
      <c r="D104" s="30" t="inlineStr"/>
      <c r="E104" s="30" t="inlineStr"/>
      <c r="F104" s="31" t="inlineStr"/>
      <c r="G104" s="34" t="inlineStr"/>
      <c r="H104" s="32" t="inlineStr"/>
      <c r="I104" s="32" t="inlineStr"/>
      <c r="J104" s="38" t="inlineStr"/>
      <c r="K104" s="38" t="inlineStr"/>
      <c r="L104" s="30" t="inlineStr"/>
      <c r="M104" s="30" t="inlineStr"/>
      <c r="N104" s="15">
        <f>IF(A104="","",G104*H104)</f>
        <v/>
      </c>
      <c r="O104" s="15">
        <f>IF(A104="","",G104-N104)</f>
        <v/>
      </c>
      <c r="P104" s="15">
        <f>IF(A104="","",O104*I104)</f>
        <v/>
      </c>
      <c r="Q104" s="15">
        <f>IF(A104="","",O104+P104)</f>
        <v/>
      </c>
      <c r="R104" s="15">
        <f>IF(A104="","",SUMIFS('15_Zahlungen'!$F:$F,'15_Zahlungen'!$D:$D,A104,'15_Zahlungen'!$C:$C,"Eingang"))</f>
        <v/>
      </c>
      <c r="S104" s="15">
        <f>IF(A104="","",MAX(0,Q104-R104))</f>
        <v/>
      </c>
      <c r="T104" s="45">
        <f>IF(OR(A104="",L104="bezahlt",J104=""),"",MAX(0,TODAY()-J104))</f>
        <v/>
      </c>
    </row>
    <row r="105">
      <c r="A105" s="30" t="inlineStr"/>
      <c r="B105" s="38" t="inlineStr"/>
      <c r="C105" s="30" t="inlineStr"/>
      <c r="D105" s="30" t="inlineStr"/>
      <c r="E105" s="30" t="inlineStr"/>
      <c r="F105" s="31" t="inlineStr"/>
      <c r="G105" s="34" t="inlineStr"/>
      <c r="H105" s="32" t="inlineStr"/>
      <c r="I105" s="32" t="inlineStr"/>
      <c r="J105" s="38" t="inlineStr"/>
      <c r="K105" s="38" t="inlineStr"/>
      <c r="L105" s="30" t="inlineStr"/>
      <c r="M105" s="30" t="inlineStr"/>
      <c r="N105" s="15">
        <f>IF(A105="","",G105*H105)</f>
        <v/>
      </c>
      <c r="O105" s="15">
        <f>IF(A105="","",G105-N105)</f>
        <v/>
      </c>
      <c r="P105" s="15">
        <f>IF(A105="","",O105*I105)</f>
        <v/>
      </c>
      <c r="Q105" s="15">
        <f>IF(A105="","",O105+P105)</f>
        <v/>
      </c>
      <c r="R105" s="15">
        <f>IF(A105="","",SUMIFS('15_Zahlungen'!$F:$F,'15_Zahlungen'!$D:$D,A105,'15_Zahlungen'!$C:$C,"Eingang"))</f>
        <v/>
      </c>
      <c r="S105" s="15">
        <f>IF(A105="","",MAX(0,Q105-R105))</f>
        <v/>
      </c>
      <c r="T105" s="45">
        <f>IF(OR(A105="",L105="bezahlt",J105=""),"",MAX(0,TODAY()-J105))</f>
        <v/>
      </c>
    </row>
    <row r="106">
      <c r="A106" s="30" t="inlineStr"/>
      <c r="B106" s="38" t="inlineStr"/>
      <c r="C106" s="30" t="inlineStr"/>
      <c r="D106" s="30" t="inlineStr"/>
      <c r="E106" s="30" t="inlineStr"/>
      <c r="F106" s="31" t="inlineStr"/>
      <c r="G106" s="34" t="inlineStr"/>
      <c r="H106" s="32" t="inlineStr"/>
      <c r="I106" s="32" t="inlineStr"/>
      <c r="J106" s="38" t="inlineStr"/>
      <c r="K106" s="38" t="inlineStr"/>
      <c r="L106" s="30" t="inlineStr"/>
      <c r="M106" s="30" t="inlineStr"/>
      <c r="N106" s="15">
        <f>IF(A106="","",G106*H106)</f>
        <v/>
      </c>
      <c r="O106" s="15">
        <f>IF(A106="","",G106-N106)</f>
        <v/>
      </c>
      <c r="P106" s="15">
        <f>IF(A106="","",O106*I106)</f>
        <v/>
      </c>
      <c r="Q106" s="15">
        <f>IF(A106="","",O106+P106)</f>
        <v/>
      </c>
      <c r="R106" s="15">
        <f>IF(A106="","",SUMIFS('15_Zahlungen'!$F:$F,'15_Zahlungen'!$D:$D,A106,'15_Zahlungen'!$C:$C,"Eingang"))</f>
        <v/>
      </c>
      <c r="S106" s="15">
        <f>IF(A106="","",MAX(0,Q106-R106))</f>
        <v/>
      </c>
      <c r="T106" s="45">
        <f>IF(OR(A106="",L106="bezahlt",J106=""),"",MAX(0,TODAY()-J106))</f>
        <v/>
      </c>
    </row>
    <row r="107">
      <c r="A107" s="30" t="inlineStr"/>
      <c r="B107" s="38" t="inlineStr"/>
      <c r="C107" s="30" t="inlineStr"/>
      <c r="D107" s="30" t="inlineStr"/>
      <c r="E107" s="30" t="inlineStr"/>
      <c r="F107" s="31" t="inlineStr"/>
      <c r="G107" s="34" t="inlineStr"/>
      <c r="H107" s="32" t="inlineStr"/>
      <c r="I107" s="32" t="inlineStr"/>
      <c r="J107" s="38" t="inlineStr"/>
      <c r="K107" s="38" t="inlineStr"/>
      <c r="L107" s="30" t="inlineStr"/>
      <c r="M107" s="30" t="inlineStr"/>
      <c r="N107" s="15">
        <f>IF(A107="","",G107*H107)</f>
        <v/>
      </c>
      <c r="O107" s="15">
        <f>IF(A107="","",G107-N107)</f>
        <v/>
      </c>
      <c r="P107" s="15">
        <f>IF(A107="","",O107*I107)</f>
        <v/>
      </c>
      <c r="Q107" s="15">
        <f>IF(A107="","",O107+P107)</f>
        <v/>
      </c>
      <c r="R107" s="15">
        <f>IF(A107="","",SUMIFS('15_Zahlungen'!$F:$F,'15_Zahlungen'!$D:$D,A107,'15_Zahlungen'!$C:$C,"Eingang"))</f>
        <v/>
      </c>
      <c r="S107" s="15">
        <f>IF(A107="","",MAX(0,Q107-R107))</f>
        <v/>
      </c>
      <c r="T107" s="45">
        <f>IF(OR(A107="",L107="bezahlt",J107=""),"",MAX(0,TODAY()-J107))</f>
        <v/>
      </c>
    </row>
    <row r="108">
      <c r="A108" s="30" t="inlineStr"/>
      <c r="B108" s="38" t="inlineStr"/>
      <c r="C108" s="30" t="inlineStr"/>
      <c r="D108" s="30" t="inlineStr"/>
      <c r="E108" s="30" t="inlineStr"/>
      <c r="F108" s="31" t="inlineStr"/>
      <c r="G108" s="34" t="inlineStr"/>
      <c r="H108" s="32" t="inlineStr"/>
      <c r="I108" s="32" t="inlineStr"/>
      <c r="J108" s="38" t="inlineStr"/>
      <c r="K108" s="38" t="inlineStr"/>
      <c r="L108" s="30" t="inlineStr"/>
      <c r="M108" s="30" t="inlineStr"/>
      <c r="N108" s="15">
        <f>IF(A108="","",G108*H108)</f>
        <v/>
      </c>
      <c r="O108" s="15">
        <f>IF(A108="","",G108-N108)</f>
        <v/>
      </c>
      <c r="P108" s="15">
        <f>IF(A108="","",O108*I108)</f>
        <v/>
      </c>
      <c r="Q108" s="15">
        <f>IF(A108="","",O108+P108)</f>
        <v/>
      </c>
      <c r="R108" s="15">
        <f>IF(A108="","",SUMIFS('15_Zahlungen'!$F:$F,'15_Zahlungen'!$D:$D,A108,'15_Zahlungen'!$C:$C,"Eingang"))</f>
        <v/>
      </c>
      <c r="S108" s="15">
        <f>IF(A108="","",MAX(0,Q108-R108))</f>
        <v/>
      </c>
      <c r="T108" s="45">
        <f>IF(OR(A108="",L108="bezahlt",J108=""),"",MAX(0,TODAY()-J108))</f>
        <v/>
      </c>
    </row>
    <row r="109">
      <c r="A109" s="30" t="inlineStr"/>
      <c r="B109" s="38" t="inlineStr"/>
      <c r="C109" s="30" t="inlineStr"/>
      <c r="D109" s="30" t="inlineStr"/>
      <c r="E109" s="30" t="inlineStr"/>
      <c r="F109" s="31" t="inlineStr"/>
      <c r="G109" s="34" t="inlineStr"/>
      <c r="H109" s="32" t="inlineStr"/>
      <c r="I109" s="32" t="inlineStr"/>
      <c r="J109" s="38" t="inlineStr"/>
      <c r="K109" s="38" t="inlineStr"/>
      <c r="L109" s="30" t="inlineStr"/>
      <c r="M109" s="30" t="inlineStr"/>
      <c r="N109" s="15">
        <f>IF(A109="","",G109*H109)</f>
        <v/>
      </c>
      <c r="O109" s="15">
        <f>IF(A109="","",G109-N109)</f>
        <v/>
      </c>
      <c r="P109" s="15">
        <f>IF(A109="","",O109*I109)</f>
        <v/>
      </c>
      <c r="Q109" s="15">
        <f>IF(A109="","",O109+P109)</f>
        <v/>
      </c>
      <c r="R109" s="15">
        <f>IF(A109="","",SUMIFS('15_Zahlungen'!$F:$F,'15_Zahlungen'!$D:$D,A109,'15_Zahlungen'!$C:$C,"Eingang"))</f>
        <v/>
      </c>
      <c r="S109" s="15">
        <f>IF(A109="","",MAX(0,Q109-R109))</f>
        <v/>
      </c>
      <c r="T109" s="45">
        <f>IF(OR(A109="",L109="bezahlt",J109=""),"",MAX(0,TODAY()-J109))</f>
        <v/>
      </c>
    </row>
    <row r="110">
      <c r="A110" s="30" t="inlineStr"/>
      <c r="B110" s="38" t="inlineStr"/>
      <c r="C110" s="30" t="inlineStr"/>
      <c r="D110" s="30" t="inlineStr"/>
      <c r="E110" s="30" t="inlineStr"/>
      <c r="F110" s="31" t="inlineStr"/>
      <c r="G110" s="34" t="inlineStr"/>
      <c r="H110" s="32" t="inlineStr"/>
      <c r="I110" s="32" t="inlineStr"/>
      <c r="J110" s="38" t="inlineStr"/>
      <c r="K110" s="38" t="inlineStr"/>
      <c r="L110" s="30" t="inlineStr"/>
      <c r="M110" s="30" t="inlineStr"/>
      <c r="N110" s="15">
        <f>IF(A110="","",G110*H110)</f>
        <v/>
      </c>
      <c r="O110" s="15">
        <f>IF(A110="","",G110-N110)</f>
        <v/>
      </c>
      <c r="P110" s="15">
        <f>IF(A110="","",O110*I110)</f>
        <v/>
      </c>
      <c r="Q110" s="15">
        <f>IF(A110="","",O110+P110)</f>
        <v/>
      </c>
      <c r="R110" s="15">
        <f>IF(A110="","",SUMIFS('15_Zahlungen'!$F:$F,'15_Zahlungen'!$D:$D,A110,'15_Zahlungen'!$C:$C,"Eingang"))</f>
        <v/>
      </c>
      <c r="S110" s="15">
        <f>IF(A110="","",MAX(0,Q110-R110))</f>
        <v/>
      </c>
      <c r="T110" s="45">
        <f>IF(OR(A110="",L110="bezahlt",J110=""),"",MAX(0,TODAY()-J110))</f>
        <v/>
      </c>
    </row>
    <row r="111">
      <c r="A111" s="30" t="inlineStr"/>
      <c r="B111" s="38" t="inlineStr"/>
      <c r="C111" s="30" t="inlineStr"/>
      <c r="D111" s="30" t="inlineStr"/>
      <c r="E111" s="30" t="inlineStr"/>
      <c r="F111" s="31" t="inlineStr"/>
      <c r="G111" s="34" t="inlineStr"/>
      <c r="H111" s="32" t="inlineStr"/>
      <c r="I111" s="32" t="inlineStr"/>
      <c r="J111" s="38" t="inlineStr"/>
      <c r="K111" s="38" t="inlineStr"/>
      <c r="L111" s="30" t="inlineStr"/>
      <c r="M111" s="30" t="inlineStr"/>
      <c r="N111" s="15">
        <f>IF(A111="","",G111*H111)</f>
        <v/>
      </c>
      <c r="O111" s="15">
        <f>IF(A111="","",G111-N111)</f>
        <v/>
      </c>
      <c r="P111" s="15">
        <f>IF(A111="","",O111*I111)</f>
        <v/>
      </c>
      <c r="Q111" s="15">
        <f>IF(A111="","",O111+P111)</f>
        <v/>
      </c>
      <c r="R111" s="15">
        <f>IF(A111="","",SUMIFS('15_Zahlungen'!$F:$F,'15_Zahlungen'!$D:$D,A111,'15_Zahlungen'!$C:$C,"Eingang"))</f>
        <v/>
      </c>
      <c r="S111" s="15">
        <f>IF(A111="","",MAX(0,Q111-R111))</f>
        <v/>
      </c>
      <c r="T111" s="45">
        <f>IF(OR(A111="",L111="bezahlt",J111=""),"",MAX(0,TODAY()-J111))</f>
        <v/>
      </c>
    </row>
    <row r="112">
      <c r="A112" s="30" t="inlineStr"/>
      <c r="B112" s="38" t="inlineStr"/>
      <c r="C112" s="30" t="inlineStr"/>
      <c r="D112" s="30" t="inlineStr"/>
      <c r="E112" s="30" t="inlineStr"/>
      <c r="F112" s="31" t="inlineStr"/>
      <c r="G112" s="34" t="inlineStr"/>
      <c r="H112" s="32" t="inlineStr"/>
      <c r="I112" s="32" t="inlineStr"/>
      <c r="J112" s="38" t="inlineStr"/>
      <c r="K112" s="38" t="inlineStr"/>
      <c r="L112" s="30" t="inlineStr"/>
      <c r="M112" s="30" t="inlineStr"/>
      <c r="N112" s="15">
        <f>IF(A112="","",G112*H112)</f>
        <v/>
      </c>
      <c r="O112" s="15">
        <f>IF(A112="","",G112-N112)</f>
        <v/>
      </c>
      <c r="P112" s="15">
        <f>IF(A112="","",O112*I112)</f>
        <v/>
      </c>
      <c r="Q112" s="15">
        <f>IF(A112="","",O112+P112)</f>
        <v/>
      </c>
      <c r="R112" s="15">
        <f>IF(A112="","",SUMIFS('15_Zahlungen'!$F:$F,'15_Zahlungen'!$D:$D,A112,'15_Zahlungen'!$C:$C,"Eingang"))</f>
        <v/>
      </c>
      <c r="S112" s="15">
        <f>IF(A112="","",MAX(0,Q112-R112))</f>
        <v/>
      </c>
      <c r="T112" s="45">
        <f>IF(OR(A112="",L112="bezahlt",J112=""),"",MAX(0,TODAY()-J112))</f>
        <v/>
      </c>
    </row>
    <row r="113">
      <c r="A113" s="30" t="inlineStr"/>
      <c r="B113" s="38" t="inlineStr"/>
      <c r="C113" s="30" t="inlineStr"/>
      <c r="D113" s="30" t="inlineStr"/>
      <c r="E113" s="30" t="inlineStr"/>
      <c r="F113" s="31" t="inlineStr"/>
      <c r="G113" s="34" t="inlineStr"/>
      <c r="H113" s="32" t="inlineStr"/>
      <c r="I113" s="32" t="inlineStr"/>
      <c r="J113" s="38" t="inlineStr"/>
      <c r="K113" s="38" t="inlineStr"/>
      <c r="L113" s="30" t="inlineStr"/>
      <c r="M113" s="30" t="inlineStr"/>
      <c r="N113" s="15">
        <f>IF(A113="","",G113*H113)</f>
        <v/>
      </c>
      <c r="O113" s="15">
        <f>IF(A113="","",G113-N113)</f>
        <v/>
      </c>
      <c r="P113" s="15">
        <f>IF(A113="","",O113*I113)</f>
        <v/>
      </c>
      <c r="Q113" s="15">
        <f>IF(A113="","",O113+P113)</f>
        <v/>
      </c>
      <c r="R113" s="15">
        <f>IF(A113="","",SUMIFS('15_Zahlungen'!$F:$F,'15_Zahlungen'!$D:$D,A113,'15_Zahlungen'!$C:$C,"Eingang"))</f>
        <v/>
      </c>
      <c r="S113" s="15">
        <f>IF(A113="","",MAX(0,Q113-R113))</f>
        <v/>
      </c>
      <c r="T113" s="45">
        <f>IF(OR(A113="",L113="bezahlt",J113=""),"",MAX(0,TODAY()-J113))</f>
        <v/>
      </c>
    </row>
    <row r="114">
      <c r="A114" s="30" t="inlineStr"/>
      <c r="B114" s="38" t="inlineStr"/>
      <c r="C114" s="30" t="inlineStr"/>
      <c r="D114" s="30" t="inlineStr"/>
      <c r="E114" s="30" t="inlineStr"/>
      <c r="F114" s="31" t="inlineStr"/>
      <c r="G114" s="34" t="inlineStr"/>
      <c r="H114" s="32" t="inlineStr"/>
      <c r="I114" s="32" t="inlineStr"/>
      <c r="J114" s="38" t="inlineStr"/>
      <c r="K114" s="38" t="inlineStr"/>
      <c r="L114" s="30" t="inlineStr"/>
      <c r="M114" s="30" t="inlineStr"/>
      <c r="N114" s="15">
        <f>IF(A114="","",G114*H114)</f>
        <v/>
      </c>
      <c r="O114" s="15">
        <f>IF(A114="","",G114-N114)</f>
        <v/>
      </c>
      <c r="P114" s="15">
        <f>IF(A114="","",O114*I114)</f>
        <v/>
      </c>
      <c r="Q114" s="15">
        <f>IF(A114="","",O114+P114)</f>
        <v/>
      </c>
      <c r="R114" s="15">
        <f>IF(A114="","",SUMIFS('15_Zahlungen'!$F:$F,'15_Zahlungen'!$D:$D,A114,'15_Zahlungen'!$C:$C,"Eingang"))</f>
        <v/>
      </c>
      <c r="S114" s="15">
        <f>IF(A114="","",MAX(0,Q114-R114))</f>
        <v/>
      </c>
      <c r="T114" s="45">
        <f>IF(OR(A114="",L114="bezahlt",J114=""),"",MAX(0,TODAY()-J114))</f>
        <v/>
      </c>
    </row>
    <row r="115">
      <c r="A115" s="30" t="inlineStr"/>
      <c r="B115" s="38" t="inlineStr"/>
      <c r="C115" s="30" t="inlineStr"/>
      <c r="D115" s="30" t="inlineStr"/>
      <c r="E115" s="30" t="inlineStr"/>
      <c r="F115" s="31" t="inlineStr"/>
      <c r="G115" s="34" t="inlineStr"/>
      <c r="H115" s="32" t="inlineStr"/>
      <c r="I115" s="32" t="inlineStr"/>
      <c r="J115" s="38" t="inlineStr"/>
      <c r="K115" s="38" t="inlineStr"/>
      <c r="L115" s="30" t="inlineStr"/>
      <c r="M115" s="30" t="inlineStr"/>
      <c r="N115" s="15">
        <f>IF(A115="","",G115*H115)</f>
        <v/>
      </c>
      <c r="O115" s="15">
        <f>IF(A115="","",G115-N115)</f>
        <v/>
      </c>
      <c r="P115" s="15">
        <f>IF(A115="","",O115*I115)</f>
        <v/>
      </c>
      <c r="Q115" s="15">
        <f>IF(A115="","",O115+P115)</f>
        <v/>
      </c>
      <c r="R115" s="15">
        <f>IF(A115="","",SUMIFS('15_Zahlungen'!$F:$F,'15_Zahlungen'!$D:$D,A115,'15_Zahlungen'!$C:$C,"Eingang"))</f>
        <v/>
      </c>
      <c r="S115" s="15">
        <f>IF(A115="","",MAX(0,Q115-R115))</f>
        <v/>
      </c>
      <c r="T115" s="45">
        <f>IF(OR(A115="",L115="bezahlt",J115=""),"",MAX(0,TODAY()-J115))</f>
        <v/>
      </c>
    </row>
    <row r="116">
      <c r="A116" s="30" t="inlineStr"/>
      <c r="B116" s="38" t="inlineStr"/>
      <c r="C116" s="30" t="inlineStr"/>
      <c r="D116" s="30" t="inlineStr"/>
      <c r="E116" s="30" t="inlineStr"/>
      <c r="F116" s="31" t="inlineStr"/>
      <c r="G116" s="34" t="inlineStr"/>
      <c r="H116" s="32" t="inlineStr"/>
      <c r="I116" s="32" t="inlineStr"/>
      <c r="J116" s="38" t="inlineStr"/>
      <c r="K116" s="38" t="inlineStr"/>
      <c r="L116" s="30" t="inlineStr"/>
      <c r="M116" s="30" t="inlineStr"/>
      <c r="N116" s="15">
        <f>IF(A116="","",G116*H116)</f>
        <v/>
      </c>
      <c r="O116" s="15">
        <f>IF(A116="","",G116-N116)</f>
        <v/>
      </c>
      <c r="P116" s="15">
        <f>IF(A116="","",O116*I116)</f>
        <v/>
      </c>
      <c r="Q116" s="15">
        <f>IF(A116="","",O116+P116)</f>
        <v/>
      </c>
      <c r="R116" s="15">
        <f>IF(A116="","",SUMIFS('15_Zahlungen'!$F:$F,'15_Zahlungen'!$D:$D,A116,'15_Zahlungen'!$C:$C,"Eingang"))</f>
        <v/>
      </c>
      <c r="S116" s="15">
        <f>IF(A116="","",MAX(0,Q116-R116))</f>
        <v/>
      </c>
      <c r="T116" s="45">
        <f>IF(OR(A116="",L116="bezahlt",J116=""),"",MAX(0,TODAY()-J116))</f>
        <v/>
      </c>
    </row>
    <row r="117">
      <c r="A117" s="30" t="inlineStr"/>
      <c r="B117" s="38" t="inlineStr"/>
      <c r="C117" s="30" t="inlineStr"/>
      <c r="D117" s="30" t="inlineStr"/>
      <c r="E117" s="30" t="inlineStr"/>
      <c r="F117" s="31" t="inlineStr"/>
      <c r="G117" s="34" t="inlineStr"/>
      <c r="H117" s="32" t="inlineStr"/>
      <c r="I117" s="32" t="inlineStr"/>
      <c r="J117" s="38" t="inlineStr"/>
      <c r="K117" s="38" t="inlineStr"/>
      <c r="L117" s="30" t="inlineStr"/>
      <c r="M117" s="30" t="inlineStr"/>
      <c r="N117" s="15">
        <f>IF(A117="","",G117*H117)</f>
        <v/>
      </c>
      <c r="O117" s="15">
        <f>IF(A117="","",G117-N117)</f>
        <v/>
      </c>
      <c r="P117" s="15">
        <f>IF(A117="","",O117*I117)</f>
        <v/>
      </c>
      <c r="Q117" s="15">
        <f>IF(A117="","",O117+P117)</f>
        <v/>
      </c>
      <c r="R117" s="15">
        <f>IF(A117="","",SUMIFS('15_Zahlungen'!$F:$F,'15_Zahlungen'!$D:$D,A117,'15_Zahlungen'!$C:$C,"Eingang"))</f>
        <v/>
      </c>
      <c r="S117" s="15">
        <f>IF(A117="","",MAX(0,Q117-R117))</f>
        <v/>
      </c>
      <c r="T117" s="45">
        <f>IF(OR(A117="",L117="bezahlt",J117=""),"",MAX(0,TODAY()-J117))</f>
        <v/>
      </c>
    </row>
    <row r="118">
      <c r="A118" s="30" t="inlineStr"/>
      <c r="B118" s="38" t="inlineStr"/>
      <c r="C118" s="30" t="inlineStr"/>
      <c r="D118" s="30" t="inlineStr"/>
      <c r="E118" s="30" t="inlineStr"/>
      <c r="F118" s="31" t="inlineStr"/>
      <c r="G118" s="34" t="inlineStr"/>
      <c r="H118" s="32" t="inlineStr"/>
      <c r="I118" s="32" t="inlineStr"/>
      <c r="J118" s="38" t="inlineStr"/>
      <c r="K118" s="38" t="inlineStr"/>
      <c r="L118" s="30" t="inlineStr"/>
      <c r="M118" s="30" t="inlineStr"/>
      <c r="N118" s="15">
        <f>IF(A118="","",G118*H118)</f>
        <v/>
      </c>
      <c r="O118" s="15">
        <f>IF(A118="","",G118-N118)</f>
        <v/>
      </c>
      <c r="P118" s="15">
        <f>IF(A118="","",O118*I118)</f>
        <v/>
      </c>
      <c r="Q118" s="15">
        <f>IF(A118="","",O118+P118)</f>
        <v/>
      </c>
      <c r="R118" s="15">
        <f>IF(A118="","",SUMIFS('15_Zahlungen'!$F:$F,'15_Zahlungen'!$D:$D,A118,'15_Zahlungen'!$C:$C,"Eingang"))</f>
        <v/>
      </c>
      <c r="S118" s="15">
        <f>IF(A118="","",MAX(0,Q118-R118))</f>
        <v/>
      </c>
      <c r="T118" s="45">
        <f>IF(OR(A118="",L118="bezahlt",J118=""),"",MAX(0,TODAY()-J118))</f>
        <v/>
      </c>
    </row>
    <row r="119">
      <c r="A119" s="30" t="inlineStr"/>
      <c r="B119" s="38" t="inlineStr"/>
      <c r="C119" s="30" t="inlineStr"/>
      <c r="D119" s="30" t="inlineStr"/>
      <c r="E119" s="30" t="inlineStr"/>
      <c r="F119" s="31" t="inlineStr"/>
      <c r="G119" s="34" t="inlineStr"/>
      <c r="H119" s="32" t="inlineStr"/>
      <c r="I119" s="32" t="inlineStr"/>
      <c r="J119" s="38" t="inlineStr"/>
      <c r="K119" s="38" t="inlineStr"/>
      <c r="L119" s="30" t="inlineStr"/>
      <c r="M119" s="30" t="inlineStr"/>
      <c r="N119" s="15">
        <f>IF(A119="","",G119*H119)</f>
        <v/>
      </c>
      <c r="O119" s="15">
        <f>IF(A119="","",G119-N119)</f>
        <v/>
      </c>
      <c r="P119" s="15">
        <f>IF(A119="","",O119*I119)</f>
        <v/>
      </c>
      <c r="Q119" s="15">
        <f>IF(A119="","",O119+P119)</f>
        <v/>
      </c>
      <c r="R119" s="15">
        <f>IF(A119="","",SUMIFS('15_Zahlungen'!$F:$F,'15_Zahlungen'!$D:$D,A119,'15_Zahlungen'!$C:$C,"Eingang"))</f>
        <v/>
      </c>
      <c r="S119" s="15">
        <f>IF(A119="","",MAX(0,Q119-R119))</f>
        <v/>
      </c>
      <c r="T119" s="45">
        <f>IF(OR(A119="",L119="bezahlt",J119=""),"",MAX(0,TODAY()-J119))</f>
        <v/>
      </c>
    </row>
    <row r="120">
      <c r="A120" s="30" t="inlineStr"/>
      <c r="B120" s="38" t="inlineStr"/>
      <c r="C120" s="30" t="inlineStr"/>
      <c r="D120" s="30" t="inlineStr"/>
      <c r="E120" s="30" t="inlineStr"/>
      <c r="F120" s="31" t="inlineStr"/>
      <c r="G120" s="34" t="inlineStr"/>
      <c r="H120" s="32" t="inlineStr"/>
      <c r="I120" s="32" t="inlineStr"/>
      <c r="J120" s="38" t="inlineStr"/>
      <c r="K120" s="38" t="inlineStr"/>
      <c r="L120" s="30" t="inlineStr"/>
      <c r="M120" s="30" t="inlineStr"/>
      <c r="N120" s="15">
        <f>IF(A120="","",G120*H120)</f>
        <v/>
      </c>
      <c r="O120" s="15">
        <f>IF(A120="","",G120-N120)</f>
        <v/>
      </c>
      <c r="P120" s="15">
        <f>IF(A120="","",O120*I120)</f>
        <v/>
      </c>
      <c r="Q120" s="15">
        <f>IF(A120="","",O120+P120)</f>
        <v/>
      </c>
      <c r="R120" s="15">
        <f>IF(A120="","",SUMIFS('15_Zahlungen'!$F:$F,'15_Zahlungen'!$D:$D,A120,'15_Zahlungen'!$C:$C,"Eingang"))</f>
        <v/>
      </c>
      <c r="S120" s="15">
        <f>IF(A120="","",MAX(0,Q120-R120))</f>
        <v/>
      </c>
      <c r="T120" s="45">
        <f>IF(OR(A120="",L120="bezahlt",J120=""),"",MAX(0,TODAY()-J120))</f>
        <v/>
      </c>
    </row>
    <row r="121">
      <c r="A121" s="30" t="inlineStr"/>
      <c r="B121" s="38" t="inlineStr"/>
      <c r="C121" s="30" t="inlineStr"/>
      <c r="D121" s="30" t="inlineStr"/>
      <c r="E121" s="30" t="inlineStr"/>
      <c r="F121" s="31" t="inlineStr"/>
      <c r="G121" s="34" t="inlineStr"/>
      <c r="H121" s="32" t="inlineStr"/>
      <c r="I121" s="32" t="inlineStr"/>
      <c r="J121" s="38" t="inlineStr"/>
      <c r="K121" s="38" t="inlineStr"/>
      <c r="L121" s="30" t="inlineStr"/>
      <c r="M121" s="30" t="inlineStr"/>
      <c r="N121" s="15">
        <f>IF(A121="","",G121*H121)</f>
        <v/>
      </c>
      <c r="O121" s="15">
        <f>IF(A121="","",G121-N121)</f>
        <v/>
      </c>
      <c r="P121" s="15">
        <f>IF(A121="","",O121*I121)</f>
        <v/>
      </c>
      <c r="Q121" s="15">
        <f>IF(A121="","",O121+P121)</f>
        <v/>
      </c>
      <c r="R121" s="15">
        <f>IF(A121="","",SUMIFS('15_Zahlungen'!$F:$F,'15_Zahlungen'!$D:$D,A121,'15_Zahlungen'!$C:$C,"Eingang"))</f>
        <v/>
      </c>
      <c r="S121" s="15">
        <f>IF(A121="","",MAX(0,Q121-R121))</f>
        <v/>
      </c>
      <c r="T121" s="45">
        <f>IF(OR(A121="",L121="bezahlt",J121=""),"",MAX(0,TODAY()-J121))</f>
        <v/>
      </c>
    </row>
    <row r="122">
      <c r="A122" s="30" t="inlineStr"/>
      <c r="B122" s="38" t="inlineStr"/>
      <c r="C122" s="30" t="inlineStr"/>
      <c r="D122" s="30" t="inlineStr"/>
      <c r="E122" s="30" t="inlineStr"/>
      <c r="F122" s="31" t="inlineStr"/>
      <c r="G122" s="34" t="inlineStr"/>
      <c r="H122" s="32" t="inlineStr"/>
      <c r="I122" s="32" t="inlineStr"/>
      <c r="J122" s="38" t="inlineStr"/>
      <c r="K122" s="38" t="inlineStr"/>
      <c r="L122" s="30" t="inlineStr"/>
      <c r="M122" s="30" t="inlineStr"/>
      <c r="N122" s="15">
        <f>IF(A122="","",G122*H122)</f>
        <v/>
      </c>
      <c r="O122" s="15">
        <f>IF(A122="","",G122-N122)</f>
        <v/>
      </c>
      <c r="P122" s="15">
        <f>IF(A122="","",O122*I122)</f>
        <v/>
      </c>
      <c r="Q122" s="15">
        <f>IF(A122="","",O122+P122)</f>
        <v/>
      </c>
      <c r="R122" s="15">
        <f>IF(A122="","",SUMIFS('15_Zahlungen'!$F:$F,'15_Zahlungen'!$D:$D,A122,'15_Zahlungen'!$C:$C,"Eingang"))</f>
        <v/>
      </c>
      <c r="S122" s="15">
        <f>IF(A122="","",MAX(0,Q122-R122))</f>
        <v/>
      </c>
      <c r="T122" s="45">
        <f>IF(OR(A122="",L122="bezahlt",J122=""),"",MAX(0,TODAY()-J122))</f>
        <v/>
      </c>
    </row>
    <row r="123">
      <c r="A123" s="30" t="inlineStr"/>
      <c r="B123" s="38" t="inlineStr"/>
      <c r="C123" s="30" t="inlineStr"/>
      <c r="D123" s="30" t="inlineStr"/>
      <c r="E123" s="30" t="inlineStr"/>
      <c r="F123" s="31" t="inlineStr"/>
      <c r="G123" s="34" t="inlineStr"/>
      <c r="H123" s="32" t="inlineStr"/>
      <c r="I123" s="32" t="inlineStr"/>
      <c r="J123" s="38" t="inlineStr"/>
      <c r="K123" s="38" t="inlineStr"/>
      <c r="L123" s="30" t="inlineStr"/>
      <c r="M123" s="30" t="inlineStr"/>
      <c r="N123" s="15">
        <f>IF(A123="","",G123*H123)</f>
        <v/>
      </c>
      <c r="O123" s="15">
        <f>IF(A123="","",G123-N123)</f>
        <v/>
      </c>
      <c r="P123" s="15">
        <f>IF(A123="","",O123*I123)</f>
        <v/>
      </c>
      <c r="Q123" s="15">
        <f>IF(A123="","",O123+P123)</f>
        <v/>
      </c>
      <c r="R123" s="15">
        <f>IF(A123="","",SUMIFS('15_Zahlungen'!$F:$F,'15_Zahlungen'!$D:$D,A123,'15_Zahlungen'!$C:$C,"Eingang"))</f>
        <v/>
      </c>
      <c r="S123" s="15">
        <f>IF(A123="","",MAX(0,Q123-R123))</f>
        <v/>
      </c>
      <c r="T123" s="45">
        <f>IF(OR(A123="",L123="bezahlt",J123=""),"",MAX(0,TODAY()-J123))</f>
        <v/>
      </c>
    </row>
    <row r="124">
      <c r="A124" s="30" t="inlineStr"/>
      <c r="B124" s="38" t="inlineStr"/>
      <c r="C124" s="30" t="inlineStr"/>
      <c r="D124" s="30" t="inlineStr"/>
      <c r="E124" s="30" t="inlineStr"/>
      <c r="F124" s="31" t="inlineStr"/>
      <c r="G124" s="34" t="inlineStr"/>
      <c r="H124" s="32" t="inlineStr"/>
      <c r="I124" s="32" t="inlineStr"/>
      <c r="J124" s="38" t="inlineStr"/>
      <c r="K124" s="38" t="inlineStr"/>
      <c r="L124" s="30" t="inlineStr"/>
      <c r="M124" s="30" t="inlineStr"/>
      <c r="N124" s="15">
        <f>IF(A124="","",G124*H124)</f>
        <v/>
      </c>
      <c r="O124" s="15">
        <f>IF(A124="","",G124-N124)</f>
        <v/>
      </c>
      <c r="P124" s="15">
        <f>IF(A124="","",O124*I124)</f>
        <v/>
      </c>
      <c r="Q124" s="15">
        <f>IF(A124="","",O124+P124)</f>
        <v/>
      </c>
      <c r="R124" s="15">
        <f>IF(A124="","",SUMIFS('15_Zahlungen'!$F:$F,'15_Zahlungen'!$D:$D,A124,'15_Zahlungen'!$C:$C,"Eingang"))</f>
        <v/>
      </c>
      <c r="S124" s="15">
        <f>IF(A124="","",MAX(0,Q124-R124))</f>
        <v/>
      </c>
      <c r="T124" s="45">
        <f>IF(OR(A124="",L124="bezahlt",J124=""),"",MAX(0,TODAY()-J124))</f>
        <v/>
      </c>
    </row>
    <row r="125">
      <c r="A125" s="30" t="inlineStr"/>
      <c r="B125" s="38" t="inlineStr"/>
      <c r="C125" s="30" t="inlineStr"/>
      <c r="D125" s="30" t="inlineStr"/>
      <c r="E125" s="30" t="inlineStr"/>
      <c r="F125" s="31" t="inlineStr"/>
      <c r="G125" s="34" t="inlineStr"/>
      <c r="H125" s="32" t="inlineStr"/>
      <c r="I125" s="32" t="inlineStr"/>
      <c r="J125" s="38" t="inlineStr"/>
      <c r="K125" s="38" t="inlineStr"/>
      <c r="L125" s="30" t="inlineStr"/>
      <c r="M125" s="30" t="inlineStr"/>
      <c r="N125" s="15">
        <f>IF(A125="","",G125*H125)</f>
        <v/>
      </c>
      <c r="O125" s="15">
        <f>IF(A125="","",G125-N125)</f>
        <v/>
      </c>
      <c r="P125" s="15">
        <f>IF(A125="","",O125*I125)</f>
        <v/>
      </c>
      <c r="Q125" s="15">
        <f>IF(A125="","",O125+P125)</f>
        <v/>
      </c>
      <c r="R125" s="15">
        <f>IF(A125="","",SUMIFS('15_Zahlungen'!$F:$F,'15_Zahlungen'!$D:$D,A125,'15_Zahlungen'!$C:$C,"Eingang"))</f>
        <v/>
      </c>
      <c r="S125" s="15">
        <f>IF(A125="","",MAX(0,Q125-R125))</f>
        <v/>
      </c>
      <c r="T125" s="45">
        <f>IF(OR(A125="",L125="bezahlt",J125=""),"",MAX(0,TODAY()-J125))</f>
        <v/>
      </c>
    </row>
    <row r="126">
      <c r="A126" s="30" t="inlineStr"/>
      <c r="B126" s="38" t="inlineStr"/>
      <c r="C126" s="30" t="inlineStr"/>
      <c r="D126" s="30" t="inlineStr"/>
      <c r="E126" s="30" t="inlineStr"/>
      <c r="F126" s="31" t="inlineStr"/>
      <c r="G126" s="34" t="inlineStr"/>
      <c r="H126" s="32" t="inlineStr"/>
      <c r="I126" s="32" t="inlineStr"/>
      <c r="J126" s="38" t="inlineStr"/>
      <c r="K126" s="38" t="inlineStr"/>
      <c r="L126" s="30" t="inlineStr"/>
      <c r="M126" s="30" t="inlineStr"/>
      <c r="N126" s="15">
        <f>IF(A126="","",G126*H126)</f>
        <v/>
      </c>
      <c r="O126" s="15">
        <f>IF(A126="","",G126-N126)</f>
        <v/>
      </c>
      <c r="P126" s="15">
        <f>IF(A126="","",O126*I126)</f>
        <v/>
      </c>
      <c r="Q126" s="15">
        <f>IF(A126="","",O126+P126)</f>
        <v/>
      </c>
      <c r="R126" s="15">
        <f>IF(A126="","",SUMIFS('15_Zahlungen'!$F:$F,'15_Zahlungen'!$D:$D,A126,'15_Zahlungen'!$C:$C,"Eingang"))</f>
        <v/>
      </c>
      <c r="S126" s="15">
        <f>IF(A126="","",MAX(0,Q126-R126))</f>
        <v/>
      </c>
      <c r="T126" s="45">
        <f>IF(OR(A126="",L126="bezahlt",J126=""),"",MAX(0,TODAY()-J126))</f>
        <v/>
      </c>
    </row>
    <row r="127">
      <c r="A127" s="30" t="inlineStr"/>
      <c r="B127" s="38" t="inlineStr"/>
      <c r="C127" s="30" t="inlineStr"/>
      <c r="D127" s="30" t="inlineStr"/>
      <c r="E127" s="30" t="inlineStr"/>
      <c r="F127" s="31" t="inlineStr"/>
      <c r="G127" s="34" t="inlineStr"/>
      <c r="H127" s="32" t="inlineStr"/>
      <c r="I127" s="32" t="inlineStr"/>
      <c r="J127" s="38" t="inlineStr"/>
      <c r="K127" s="38" t="inlineStr"/>
      <c r="L127" s="30" t="inlineStr"/>
      <c r="M127" s="30" t="inlineStr"/>
      <c r="N127" s="15">
        <f>IF(A127="","",G127*H127)</f>
        <v/>
      </c>
      <c r="O127" s="15">
        <f>IF(A127="","",G127-N127)</f>
        <v/>
      </c>
      <c r="P127" s="15">
        <f>IF(A127="","",O127*I127)</f>
        <v/>
      </c>
      <c r="Q127" s="15">
        <f>IF(A127="","",O127+P127)</f>
        <v/>
      </c>
      <c r="R127" s="15">
        <f>IF(A127="","",SUMIFS('15_Zahlungen'!$F:$F,'15_Zahlungen'!$D:$D,A127,'15_Zahlungen'!$C:$C,"Eingang"))</f>
        <v/>
      </c>
      <c r="S127" s="15">
        <f>IF(A127="","",MAX(0,Q127-R127))</f>
        <v/>
      </c>
      <c r="T127" s="45">
        <f>IF(OR(A127="",L127="bezahlt",J127=""),"",MAX(0,TODAY()-J127))</f>
        <v/>
      </c>
    </row>
    <row r="128">
      <c r="A128" s="30" t="inlineStr"/>
      <c r="B128" s="38" t="inlineStr"/>
      <c r="C128" s="30" t="inlineStr"/>
      <c r="D128" s="30" t="inlineStr"/>
      <c r="E128" s="30" t="inlineStr"/>
      <c r="F128" s="31" t="inlineStr"/>
      <c r="G128" s="34" t="inlineStr"/>
      <c r="H128" s="32" t="inlineStr"/>
      <c r="I128" s="32" t="inlineStr"/>
      <c r="J128" s="38" t="inlineStr"/>
      <c r="K128" s="38" t="inlineStr"/>
      <c r="L128" s="30" t="inlineStr"/>
      <c r="M128" s="30" t="inlineStr"/>
      <c r="N128" s="15">
        <f>IF(A128="","",G128*H128)</f>
        <v/>
      </c>
      <c r="O128" s="15">
        <f>IF(A128="","",G128-N128)</f>
        <v/>
      </c>
      <c r="P128" s="15">
        <f>IF(A128="","",O128*I128)</f>
        <v/>
      </c>
      <c r="Q128" s="15">
        <f>IF(A128="","",O128+P128)</f>
        <v/>
      </c>
      <c r="R128" s="15">
        <f>IF(A128="","",SUMIFS('15_Zahlungen'!$F:$F,'15_Zahlungen'!$D:$D,A128,'15_Zahlungen'!$C:$C,"Eingang"))</f>
        <v/>
      </c>
      <c r="S128" s="15">
        <f>IF(A128="","",MAX(0,Q128-R128))</f>
        <v/>
      </c>
      <c r="T128" s="45">
        <f>IF(OR(A128="",L128="bezahlt",J128=""),"",MAX(0,TODAY()-J128))</f>
        <v/>
      </c>
    </row>
    <row r="129">
      <c r="A129" s="30" t="inlineStr"/>
      <c r="B129" s="38" t="inlineStr"/>
      <c r="C129" s="30" t="inlineStr"/>
      <c r="D129" s="30" t="inlineStr"/>
      <c r="E129" s="30" t="inlineStr"/>
      <c r="F129" s="31" t="inlineStr"/>
      <c r="G129" s="34" t="inlineStr"/>
      <c r="H129" s="32" t="inlineStr"/>
      <c r="I129" s="32" t="inlineStr"/>
      <c r="J129" s="38" t="inlineStr"/>
      <c r="K129" s="38" t="inlineStr"/>
      <c r="L129" s="30" t="inlineStr"/>
      <c r="M129" s="30" t="inlineStr"/>
      <c r="N129" s="15">
        <f>IF(A129="","",G129*H129)</f>
        <v/>
      </c>
      <c r="O129" s="15">
        <f>IF(A129="","",G129-N129)</f>
        <v/>
      </c>
      <c r="P129" s="15">
        <f>IF(A129="","",O129*I129)</f>
        <v/>
      </c>
      <c r="Q129" s="15">
        <f>IF(A129="","",O129+P129)</f>
        <v/>
      </c>
      <c r="R129" s="15">
        <f>IF(A129="","",SUMIFS('15_Zahlungen'!$F:$F,'15_Zahlungen'!$D:$D,A129,'15_Zahlungen'!$C:$C,"Eingang"))</f>
        <v/>
      </c>
      <c r="S129" s="15">
        <f>IF(A129="","",MAX(0,Q129-R129))</f>
        <v/>
      </c>
      <c r="T129" s="45">
        <f>IF(OR(A129="",L129="bezahlt",J129=""),"",MAX(0,TODAY()-J129))</f>
        <v/>
      </c>
    </row>
    <row r="130">
      <c r="A130" s="30" t="inlineStr"/>
      <c r="B130" s="38" t="inlineStr"/>
      <c r="C130" s="30" t="inlineStr"/>
      <c r="D130" s="30" t="inlineStr"/>
      <c r="E130" s="30" t="inlineStr"/>
      <c r="F130" s="31" t="inlineStr"/>
      <c r="G130" s="34" t="inlineStr"/>
      <c r="H130" s="32" t="inlineStr"/>
      <c r="I130" s="32" t="inlineStr"/>
      <c r="J130" s="38" t="inlineStr"/>
      <c r="K130" s="38" t="inlineStr"/>
      <c r="L130" s="30" t="inlineStr"/>
      <c r="M130" s="30" t="inlineStr"/>
      <c r="N130" s="15">
        <f>IF(A130="","",G130*H130)</f>
        <v/>
      </c>
      <c r="O130" s="15">
        <f>IF(A130="","",G130-N130)</f>
        <v/>
      </c>
      <c r="P130" s="15">
        <f>IF(A130="","",O130*I130)</f>
        <v/>
      </c>
      <c r="Q130" s="15">
        <f>IF(A130="","",O130+P130)</f>
        <v/>
      </c>
      <c r="R130" s="15">
        <f>IF(A130="","",SUMIFS('15_Zahlungen'!$F:$F,'15_Zahlungen'!$D:$D,A130,'15_Zahlungen'!$C:$C,"Eingang"))</f>
        <v/>
      </c>
      <c r="S130" s="15">
        <f>IF(A130="","",MAX(0,Q130-R130))</f>
        <v/>
      </c>
      <c r="T130" s="45">
        <f>IF(OR(A130="",L130="bezahlt",J130=""),"",MAX(0,TODAY()-J130))</f>
        <v/>
      </c>
    </row>
    <row r="131">
      <c r="A131" s="30" t="inlineStr"/>
      <c r="B131" s="38" t="inlineStr"/>
      <c r="C131" s="30" t="inlineStr"/>
      <c r="D131" s="30" t="inlineStr"/>
      <c r="E131" s="30" t="inlineStr"/>
      <c r="F131" s="31" t="inlineStr"/>
      <c r="G131" s="34" t="inlineStr"/>
      <c r="H131" s="32" t="inlineStr"/>
      <c r="I131" s="32" t="inlineStr"/>
      <c r="J131" s="38" t="inlineStr"/>
      <c r="K131" s="38" t="inlineStr"/>
      <c r="L131" s="30" t="inlineStr"/>
      <c r="M131" s="30" t="inlineStr"/>
      <c r="N131" s="15">
        <f>IF(A131="","",G131*H131)</f>
        <v/>
      </c>
      <c r="O131" s="15">
        <f>IF(A131="","",G131-N131)</f>
        <v/>
      </c>
      <c r="P131" s="15">
        <f>IF(A131="","",O131*I131)</f>
        <v/>
      </c>
      <c r="Q131" s="15">
        <f>IF(A131="","",O131+P131)</f>
        <v/>
      </c>
      <c r="R131" s="15">
        <f>IF(A131="","",SUMIFS('15_Zahlungen'!$F:$F,'15_Zahlungen'!$D:$D,A131,'15_Zahlungen'!$C:$C,"Eingang"))</f>
        <v/>
      </c>
      <c r="S131" s="15">
        <f>IF(A131="","",MAX(0,Q131-R131))</f>
        <v/>
      </c>
      <c r="T131" s="45">
        <f>IF(OR(A131="",L131="bezahlt",J131=""),"",MAX(0,TODAY()-J131))</f>
        <v/>
      </c>
    </row>
    <row r="132">
      <c r="A132" s="30" t="inlineStr"/>
      <c r="B132" s="38" t="inlineStr"/>
      <c r="C132" s="30" t="inlineStr"/>
      <c r="D132" s="30" t="inlineStr"/>
      <c r="E132" s="30" t="inlineStr"/>
      <c r="F132" s="31" t="inlineStr"/>
      <c r="G132" s="34" t="inlineStr"/>
      <c r="H132" s="32" t="inlineStr"/>
      <c r="I132" s="32" t="inlineStr"/>
      <c r="J132" s="38" t="inlineStr"/>
      <c r="K132" s="38" t="inlineStr"/>
      <c r="L132" s="30" t="inlineStr"/>
      <c r="M132" s="30" t="inlineStr"/>
      <c r="N132" s="15">
        <f>IF(A132="","",G132*H132)</f>
        <v/>
      </c>
      <c r="O132" s="15">
        <f>IF(A132="","",G132-N132)</f>
        <v/>
      </c>
      <c r="P132" s="15">
        <f>IF(A132="","",O132*I132)</f>
        <v/>
      </c>
      <c r="Q132" s="15">
        <f>IF(A132="","",O132+P132)</f>
        <v/>
      </c>
      <c r="R132" s="15">
        <f>IF(A132="","",SUMIFS('15_Zahlungen'!$F:$F,'15_Zahlungen'!$D:$D,A132,'15_Zahlungen'!$C:$C,"Eingang"))</f>
        <v/>
      </c>
      <c r="S132" s="15">
        <f>IF(A132="","",MAX(0,Q132-R132))</f>
        <v/>
      </c>
      <c r="T132" s="45">
        <f>IF(OR(A132="",L132="bezahlt",J132=""),"",MAX(0,TODAY()-J132))</f>
        <v/>
      </c>
    </row>
    <row r="133">
      <c r="A133" s="30" t="inlineStr"/>
      <c r="B133" s="38" t="inlineStr"/>
      <c r="C133" s="30" t="inlineStr"/>
      <c r="D133" s="30" t="inlineStr"/>
      <c r="E133" s="30" t="inlineStr"/>
      <c r="F133" s="31" t="inlineStr"/>
      <c r="G133" s="34" t="inlineStr"/>
      <c r="H133" s="32" t="inlineStr"/>
      <c r="I133" s="32" t="inlineStr"/>
      <c r="J133" s="38" t="inlineStr"/>
      <c r="K133" s="38" t="inlineStr"/>
      <c r="L133" s="30" t="inlineStr"/>
      <c r="M133" s="30" t="inlineStr"/>
      <c r="N133" s="15">
        <f>IF(A133="","",G133*H133)</f>
        <v/>
      </c>
      <c r="O133" s="15">
        <f>IF(A133="","",G133-N133)</f>
        <v/>
      </c>
      <c r="P133" s="15">
        <f>IF(A133="","",O133*I133)</f>
        <v/>
      </c>
      <c r="Q133" s="15">
        <f>IF(A133="","",O133+P133)</f>
        <v/>
      </c>
      <c r="R133" s="15">
        <f>IF(A133="","",SUMIFS('15_Zahlungen'!$F:$F,'15_Zahlungen'!$D:$D,A133,'15_Zahlungen'!$C:$C,"Eingang"))</f>
        <v/>
      </c>
      <c r="S133" s="15">
        <f>IF(A133="","",MAX(0,Q133-R133))</f>
        <v/>
      </c>
      <c r="T133" s="45">
        <f>IF(OR(A133="",L133="bezahlt",J133=""),"",MAX(0,TODAY()-J133))</f>
        <v/>
      </c>
    </row>
    <row r="134">
      <c r="A134" s="30" t="inlineStr"/>
      <c r="B134" s="38" t="inlineStr"/>
      <c r="C134" s="30" t="inlineStr"/>
      <c r="D134" s="30" t="inlineStr"/>
      <c r="E134" s="30" t="inlineStr"/>
      <c r="F134" s="31" t="inlineStr"/>
      <c r="G134" s="34" t="inlineStr"/>
      <c r="H134" s="32" t="inlineStr"/>
      <c r="I134" s="32" t="inlineStr"/>
      <c r="J134" s="38" t="inlineStr"/>
      <c r="K134" s="38" t="inlineStr"/>
      <c r="L134" s="30" t="inlineStr"/>
      <c r="M134" s="30" t="inlineStr"/>
      <c r="N134" s="15">
        <f>IF(A134="","",G134*H134)</f>
        <v/>
      </c>
      <c r="O134" s="15">
        <f>IF(A134="","",G134-N134)</f>
        <v/>
      </c>
      <c r="P134" s="15">
        <f>IF(A134="","",O134*I134)</f>
        <v/>
      </c>
      <c r="Q134" s="15">
        <f>IF(A134="","",O134+P134)</f>
        <v/>
      </c>
      <c r="R134" s="15">
        <f>IF(A134="","",SUMIFS('15_Zahlungen'!$F:$F,'15_Zahlungen'!$D:$D,A134,'15_Zahlungen'!$C:$C,"Eingang"))</f>
        <v/>
      </c>
      <c r="S134" s="15">
        <f>IF(A134="","",MAX(0,Q134-R134))</f>
        <v/>
      </c>
      <c r="T134" s="45">
        <f>IF(OR(A134="",L134="bezahlt",J134=""),"",MAX(0,TODAY()-J134))</f>
        <v/>
      </c>
    </row>
    <row r="135">
      <c r="A135" s="30" t="inlineStr"/>
      <c r="B135" s="38" t="inlineStr"/>
      <c r="C135" s="30" t="inlineStr"/>
      <c r="D135" s="30" t="inlineStr"/>
      <c r="E135" s="30" t="inlineStr"/>
      <c r="F135" s="31" t="inlineStr"/>
      <c r="G135" s="34" t="inlineStr"/>
      <c r="H135" s="32" t="inlineStr"/>
      <c r="I135" s="32" t="inlineStr"/>
      <c r="J135" s="38" t="inlineStr"/>
      <c r="K135" s="38" t="inlineStr"/>
      <c r="L135" s="30" t="inlineStr"/>
      <c r="M135" s="30" t="inlineStr"/>
      <c r="N135" s="15">
        <f>IF(A135="","",G135*H135)</f>
        <v/>
      </c>
      <c r="O135" s="15">
        <f>IF(A135="","",G135-N135)</f>
        <v/>
      </c>
      <c r="P135" s="15">
        <f>IF(A135="","",O135*I135)</f>
        <v/>
      </c>
      <c r="Q135" s="15">
        <f>IF(A135="","",O135+P135)</f>
        <v/>
      </c>
      <c r="R135" s="15">
        <f>IF(A135="","",SUMIFS('15_Zahlungen'!$F:$F,'15_Zahlungen'!$D:$D,A135,'15_Zahlungen'!$C:$C,"Eingang"))</f>
        <v/>
      </c>
      <c r="S135" s="15">
        <f>IF(A135="","",MAX(0,Q135-R135))</f>
        <v/>
      </c>
      <c r="T135" s="45">
        <f>IF(OR(A135="",L135="bezahlt",J135=""),"",MAX(0,TODAY()-J135))</f>
        <v/>
      </c>
    </row>
    <row r="136">
      <c r="A136" s="30" t="inlineStr"/>
      <c r="B136" s="38" t="inlineStr"/>
      <c r="C136" s="30" t="inlineStr"/>
      <c r="D136" s="30" t="inlineStr"/>
      <c r="E136" s="30" t="inlineStr"/>
      <c r="F136" s="31" t="inlineStr"/>
      <c r="G136" s="34" t="inlineStr"/>
      <c r="H136" s="32" t="inlineStr"/>
      <c r="I136" s="32" t="inlineStr"/>
      <c r="J136" s="38" t="inlineStr"/>
      <c r="K136" s="38" t="inlineStr"/>
      <c r="L136" s="30" t="inlineStr"/>
      <c r="M136" s="30" t="inlineStr"/>
      <c r="N136" s="15">
        <f>IF(A136="","",G136*H136)</f>
        <v/>
      </c>
      <c r="O136" s="15">
        <f>IF(A136="","",G136-N136)</f>
        <v/>
      </c>
      <c r="P136" s="15">
        <f>IF(A136="","",O136*I136)</f>
        <v/>
      </c>
      <c r="Q136" s="15">
        <f>IF(A136="","",O136+P136)</f>
        <v/>
      </c>
      <c r="R136" s="15">
        <f>IF(A136="","",SUMIFS('15_Zahlungen'!$F:$F,'15_Zahlungen'!$D:$D,A136,'15_Zahlungen'!$C:$C,"Eingang"))</f>
        <v/>
      </c>
      <c r="S136" s="15">
        <f>IF(A136="","",MAX(0,Q136-R136))</f>
        <v/>
      </c>
      <c r="T136" s="45">
        <f>IF(OR(A136="",L136="bezahlt",J136=""),"",MAX(0,TODAY()-J136))</f>
        <v/>
      </c>
    </row>
    <row r="137">
      <c r="A137" s="30" t="inlineStr"/>
      <c r="B137" s="38" t="inlineStr"/>
      <c r="C137" s="30" t="inlineStr"/>
      <c r="D137" s="30" t="inlineStr"/>
      <c r="E137" s="30" t="inlineStr"/>
      <c r="F137" s="31" t="inlineStr"/>
      <c r="G137" s="34" t="inlineStr"/>
      <c r="H137" s="32" t="inlineStr"/>
      <c r="I137" s="32" t="inlineStr"/>
      <c r="J137" s="38" t="inlineStr"/>
      <c r="K137" s="38" t="inlineStr"/>
      <c r="L137" s="30" t="inlineStr"/>
      <c r="M137" s="30" t="inlineStr"/>
      <c r="N137" s="15">
        <f>IF(A137="","",G137*H137)</f>
        <v/>
      </c>
      <c r="O137" s="15">
        <f>IF(A137="","",G137-N137)</f>
        <v/>
      </c>
      <c r="P137" s="15">
        <f>IF(A137="","",O137*I137)</f>
        <v/>
      </c>
      <c r="Q137" s="15">
        <f>IF(A137="","",O137+P137)</f>
        <v/>
      </c>
      <c r="R137" s="15">
        <f>IF(A137="","",SUMIFS('15_Zahlungen'!$F:$F,'15_Zahlungen'!$D:$D,A137,'15_Zahlungen'!$C:$C,"Eingang"))</f>
        <v/>
      </c>
      <c r="S137" s="15">
        <f>IF(A137="","",MAX(0,Q137-R137))</f>
        <v/>
      </c>
      <c r="T137" s="45">
        <f>IF(OR(A137="",L137="bezahlt",J137=""),"",MAX(0,TODAY()-J137))</f>
        <v/>
      </c>
    </row>
    <row r="138">
      <c r="A138" s="30" t="inlineStr"/>
      <c r="B138" s="38" t="inlineStr"/>
      <c r="C138" s="30" t="inlineStr"/>
      <c r="D138" s="30" t="inlineStr"/>
      <c r="E138" s="30" t="inlineStr"/>
      <c r="F138" s="31" t="inlineStr"/>
      <c r="G138" s="34" t="inlineStr"/>
      <c r="H138" s="32" t="inlineStr"/>
      <c r="I138" s="32" t="inlineStr"/>
      <c r="J138" s="38" t="inlineStr"/>
      <c r="K138" s="38" t="inlineStr"/>
      <c r="L138" s="30" t="inlineStr"/>
      <c r="M138" s="30" t="inlineStr"/>
      <c r="N138" s="15">
        <f>IF(A138="","",G138*H138)</f>
        <v/>
      </c>
      <c r="O138" s="15">
        <f>IF(A138="","",G138-N138)</f>
        <v/>
      </c>
      <c r="P138" s="15">
        <f>IF(A138="","",O138*I138)</f>
        <v/>
      </c>
      <c r="Q138" s="15">
        <f>IF(A138="","",O138+P138)</f>
        <v/>
      </c>
      <c r="R138" s="15">
        <f>IF(A138="","",SUMIFS('15_Zahlungen'!$F:$F,'15_Zahlungen'!$D:$D,A138,'15_Zahlungen'!$C:$C,"Eingang"))</f>
        <v/>
      </c>
      <c r="S138" s="15">
        <f>IF(A138="","",MAX(0,Q138-R138))</f>
        <v/>
      </c>
      <c r="T138" s="45">
        <f>IF(OR(A138="",L138="bezahlt",J138=""),"",MAX(0,TODAY()-J138))</f>
        <v/>
      </c>
    </row>
    <row r="139">
      <c r="A139" s="30" t="inlineStr"/>
      <c r="B139" s="38" t="inlineStr"/>
      <c r="C139" s="30" t="inlineStr"/>
      <c r="D139" s="30" t="inlineStr"/>
      <c r="E139" s="30" t="inlineStr"/>
      <c r="F139" s="31" t="inlineStr"/>
      <c r="G139" s="34" t="inlineStr"/>
      <c r="H139" s="32" t="inlineStr"/>
      <c r="I139" s="32" t="inlineStr"/>
      <c r="J139" s="38" t="inlineStr"/>
      <c r="K139" s="38" t="inlineStr"/>
      <c r="L139" s="30" t="inlineStr"/>
      <c r="M139" s="30" t="inlineStr"/>
      <c r="N139" s="15">
        <f>IF(A139="","",G139*H139)</f>
        <v/>
      </c>
      <c r="O139" s="15">
        <f>IF(A139="","",G139-N139)</f>
        <v/>
      </c>
      <c r="P139" s="15">
        <f>IF(A139="","",O139*I139)</f>
        <v/>
      </c>
      <c r="Q139" s="15">
        <f>IF(A139="","",O139+P139)</f>
        <v/>
      </c>
      <c r="R139" s="15">
        <f>IF(A139="","",SUMIFS('15_Zahlungen'!$F:$F,'15_Zahlungen'!$D:$D,A139,'15_Zahlungen'!$C:$C,"Eingang"))</f>
        <v/>
      </c>
      <c r="S139" s="15">
        <f>IF(A139="","",MAX(0,Q139-R139))</f>
        <v/>
      </c>
      <c r="T139" s="45">
        <f>IF(OR(A139="",L139="bezahlt",J139=""),"",MAX(0,TODAY()-J139))</f>
        <v/>
      </c>
    </row>
    <row r="140">
      <c r="A140" s="30" t="inlineStr"/>
      <c r="B140" s="38" t="inlineStr"/>
      <c r="C140" s="30" t="inlineStr"/>
      <c r="D140" s="30" t="inlineStr"/>
      <c r="E140" s="30" t="inlineStr"/>
      <c r="F140" s="31" t="inlineStr"/>
      <c r="G140" s="34" t="inlineStr"/>
      <c r="H140" s="32" t="inlineStr"/>
      <c r="I140" s="32" t="inlineStr"/>
      <c r="J140" s="38" t="inlineStr"/>
      <c r="K140" s="38" t="inlineStr"/>
      <c r="L140" s="30" t="inlineStr"/>
      <c r="M140" s="30" t="inlineStr"/>
      <c r="N140" s="15">
        <f>IF(A140="","",G140*H140)</f>
        <v/>
      </c>
      <c r="O140" s="15">
        <f>IF(A140="","",G140-N140)</f>
        <v/>
      </c>
      <c r="P140" s="15">
        <f>IF(A140="","",O140*I140)</f>
        <v/>
      </c>
      <c r="Q140" s="15">
        <f>IF(A140="","",O140+P140)</f>
        <v/>
      </c>
      <c r="R140" s="15">
        <f>IF(A140="","",SUMIFS('15_Zahlungen'!$F:$F,'15_Zahlungen'!$D:$D,A140,'15_Zahlungen'!$C:$C,"Eingang"))</f>
        <v/>
      </c>
      <c r="S140" s="15">
        <f>IF(A140="","",MAX(0,Q140-R140))</f>
        <v/>
      </c>
      <c r="T140" s="45">
        <f>IF(OR(A140="",L140="bezahlt",J140=""),"",MAX(0,TODAY()-J140))</f>
        <v/>
      </c>
    </row>
    <row r="141">
      <c r="A141" s="30" t="inlineStr"/>
      <c r="B141" s="38" t="inlineStr"/>
      <c r="C141" s="30" t="inlineStr"/>
      <c r="D141" s="30" t="inlineStr"/>
      <c r="E141" s="30" t="inlineStr"/>
      <c r="F141" s="31" t="inlineStr"/>
      <c r="G141" s="34" t="inlineStr"/>
      <c r="H141" s="32" t="inlineStr"/>
      <c r="I141" s="32" t="inlineStr"/>
      <c r="J141" s="38" t="inlineStr"/>
      <c r="K141" s="38" t="inlineStr"/>
      <c r="L141" s="30" t="inlineStr"/>
      <c r="M141" s="30" t="inlineStr"/>
      <c r="N141" s="15">
        <f>IF(A141="","",G141*H141)</f>
        <v/>
      </c>
      <c r="O141" s="15">
        <f>IF(A141="","",G141-N141)</f>
        <v/>
      </c>
      <c r="P141" s="15">
        <f>IF(A141="","",O141*I141)</f>
        <v/>
      </c>
      <c r="Q141" s="15">
        <f>IF(A141="","",O141+P141)</f>
        <v/>
      </c>
      <c r="R141" s="15">
        <f>IF(A141="","",SUMIFS('15_Zahlungen'!$F:$F,'15_Zahlungen'!$D:$D,A141,'15_Zahlungen'!$C:$C,"Eingang"))</f>
        <v/>
      </c>
      <c r="S141" s="15">
        <f>IF(A141="","",MAX(0,Q141-R141))</f>
        <v/>
      </c>
      <c r="T141" s="45">
        <f>IF(OR(A141="",L141="bezahlt",J141=""),"",MAX(0,TODAY()-J141))</f>
        <v/>
      </c>
    </row>
    <row r="142">
      <c r="A142" s="30" t="inlineStr"/>
      <c r="B142" s="38" t="inlineStr"/>
      <c r="C142" s="30" t="inlineStr"/>
      <c r="D142" s="30" t="inlineStr"/>
      <c r="E142" s="30" t="inlineStr"/>
      <c r="F142" s="31" t="inlineStr"/>
      <c r="G142" s="34" t="inlineStr"/>
      <c r="H142" s="32" t="inlineStr"/>
      <c r="I142" s="32" t="inlineStr"/>
      <c r="J142" s="38" t="inlineStr"/>
      <c r="K142" s="38" t="inlineStr"/>
      <c r="L142" s="30" t="inlineStr"/>
      <c r="M142" s="30" t="inlineStr"/>
      <c r="N142" s="15">
        <f>IF(A142="","",G142*H142)</f>
        <v/>
      </c>
      <c r="O142" s="15">
        <f>IF(A142="","",G142-N142)</f>
        <v/>
      </c>
      <c r="P142" s="15">
        <f>IF(A142="","",O142*I142)</f>
        <v/>
      </c>
      <c r="Q142" s="15">
        <f>IF(A142="","",O142+P142)</f>
        <v/>
      </c>
      <c r="R142" s="15">
        <f>IF(A142="","",SUMIFS('15_Zahlungen'!$F:$F,'15_Zahlungen'!$D:$D,A142,'15_Zahlungen'!$C:$C,"Eingang"))</f>
        <v/>
      </c>
      <c r="S142" s="15">
        <f>IF(A142="","",MAX(0,Q142-R142))</f>
        <v/>
      </c>
      <c r="T142" s="45">
        <f>IF(OR(A142="",L142="bezahlt",J142=""),"",MAX(0,TODAY()-J142))</f>
        <v/>
      </c>
    </row>
    <row r="143">
      <c r="A143" s="30" t="inlineStr"/>
      <c r="B143" s="38" t="inlineStr"/>
      <c r="C143" s="30" t="inlineStr"/>
      <c r="D143" s="30" t="inlineStr"/>
      <c r="E143" s="30" t="inlineStr"/>
      <c r="F143" s="31" t="inlineStr"/>
      <c r="G143" s="34" t="inlineStr"/>
      <c r="H143" s="32" t="inlineStr"/>
      <c r="I143" s="32" t="inlineStr"/>
      <c r="J143" s="38" t="inlineStr"/>
      <c r="K143" s="38" t="inlineStr"/>
      <c r="L143" s="30" t="inlineStr"/>
      <c r="M143" s="30" t="inlineStr"/>
      <c r="N143" s="15">
        <f>IF(A143="","",G143*H143)</f>
        <v/>
      </c>
      <c r="O143" s="15">
        <f>IF(A143="","",G143-N143)</f>
        <v/>
      </c>
      <c r="P143" s="15">
        <f>IF(A143="","",O143*I143)</f>
        <v/>
      </c>
      <c r="Q143" s="15">
        <f>IF(A143="","",O143+P143)</f>
        <v/>
      </c>
      <c r="R143" s="15">
        <f>IF(A143="","",SUMIFS('15_Zahlungen'!$F:$F,'15_Zahlungen'!$D:$D,A143,'15_Zahlungen'!$C:$C,"Eingang"))</f>
        <v/>
      </c>
      <c r="S143" s="15">
        <f>IF(A143="","",MAX(0,Q143-R143))</f>
        <v/>
      </c>
      <c r="T143" s="45">
        <f>IF(OR(A143="",L143="bezahlt",J143=""),"",MAX(0,TODAY()-J143))</f>
        <v/>
      </c>
    </row>
    <row r="144">
      <c r="A144" s="30" t="inlineStr"/>
      <c r="B144" s="38" t="inlineStr"/>
      <c r="C144" s="30" t="inlineStr"/>
      <c r="D144" s="30" t="inlineStr"/>
      <c r="E144" s="30" t="inlineStr"/>
      <c r="F144" s="31" t="inlineStr"/>
      <c r="G144" s="34" t="inlineStr"/>
      <c r="H144" s="32" t="inlineStr"/>
      <c r="I144" s="32" t="inlineStr"/>
      <c r="J144" s="38" t="inlineStr"/>
      <c r="K144" s="38" t="inlineStr"/>
      <c r="L144" s="30" t="inlineStr"/>
      <c r="M144" s="30" t="inlineStr"/>
      <c r="N144" s="15">
        <f>IF(A144="","",G144*H144)</f>
        <v/>
      </c>
      <c r="O144" s="15">
        <f>IF(A144="","",G144-N144)</f>
        <v/>
      </c>
      <c r="P144" s="15">
        <f>IF(A144="","",O144*I144)</f>
        <v/>
      </c>
      <c r="Q144" s="15">
        <f>IF(A144="","",O144+P144)</f>
        <v/>
      </c>
      <c r="R144" s="15">
        <f>IF(A144="","",SUMIFS('15_Zahlungen'!$F:$F,'15_Zahlungen'!$D:$D,A144,'15_Zahlungen'!$C:$C,"Eingang"))</f>
        <v/>
      </c>
      <c r="S144" s="15">
        <f>IF(A144="","",MAX(0,Q144-R144))</f>
        <v/>
      </c>
      <c r="T144" s="45">
        <f>IF(OR(A144="",L144="bezahlt",J144=""),"",MAX(0,TODAY()-J144))</f>
        <v/>
      </c>
    </row>
    <row r="145">
      <c r="A145" s="30" t="inlineStr"/>
      <c r="B145" s="38" t="inlineStr"/>
      <c r="C145" s="30" t="inlineStr"/>
      <c r="D145" s="30" t="inlineStr"/>
      <c r="E145" s="30" t="inlineStr"/>
      <c r="F145" s="31" t="inlineStr"/>
      <c r="G145" s="34" t="inlineStr"/>
      <c r="H145" s="32" t="inlineStr"/>
      <c r="I145" s="32" t="inlineStr"/>
      <c r="J145" s="38" t="inlineStr"/>
      <c r="K145" s="38" t="inlineStr"/>
      <c r="L145" s="30" t="inlineStr"/>
      <c r="M145" s="30" t="inlineStr"/>
      <c r="N145" s="15">
        <f>IF(A145="","",G145*H145)</f>
        <v/>
      </c>
      <c r="O145" s="15">
        <f>IF(A145="","",G145-N145)</f>
        <v/>
      </c>
      <c r="P145" s="15">
        <f>IF(A145="","",O145*I145)</f>
        <v/>
      </c>
      <c r="Q145" s="15">
        <f>IF(A145="","",O145+P145)</f>
        <v/>
      </c>
      <c r="R145" s="15">
        <f>IF(A145="","",SUMIFS('15_Zahlungen'!$F:$F,'15_Zahlungen'!$D:$D,A145,'15_Zahlungen'!$C:$C,"Eingang"))</f>
        <v/>
      </c>
      <c r="S145" s="15">
        <f>IF(A145="","",MAX(0,Q145-R145))</f>
        <v/>
      </c>
      <c r="T145" s="45">
        <f>IF(OR(A145="",L145="bezahlt",J145=""),"",MAX(0,TODAY()-J145))</f>
        <v/>
      </c>
    </row>
    <row r="146">
      <c r="A146" s="30" t="inlineStr"/>
      <c r="B146" s="38" t="inlineStr"/>
      <c r="C146" s="30" t="inlineStr"/>
      <c r="D146" s="30" t="inlineStr"/>
      <c r="E146" s="30" t="inlineStr"/>
      <c r="F146" s="31" t="inlineStr"/>
      <c r="G146" s="34" t="inlineStr"/>
      <c r="H146" s="32" t="inlineStr"/>
      <c r="I146" s="32" t="inlineStr"/>
      <c r="J146" s="38" t="inlineStr"/>
      <c r="K146" s="38" t="inlineStr"/>
      <c r="L146" s="30" t="inlineStr"/>
      <c r="M146" s="30" t="inlineStr"/>
      <c r="N146" s="15">
        <f>IF(A146="","",G146*H146)</f>
        <v/>
      </c>
      <c r="O146" s="15">
        <f>IF(A146="","",G146-N146)</f>
        <v/>
      </c>
      <c r="P146" s="15">
        <f>IF(A146="","",O146*I146)</f>
        <v/>
      </c>
      <c r="Q146" s="15">
        <f>IF(A146="","",O146+P146)</f>
        <v/>
      </c>
      <c r="R146" s="15">
        <f>IF(A146="","",SUMIFS('15_Zahlungen'!$F:$F,'15_Zahlungen'!$D:$D,A146,'15_Zahlungen'!$C:$C,"Eingang"))</f>
        <v/>
      </c>
      <c r="S146" s="15">
        <f>IF(A146="","",MAX(0,Q146-R146))</f>
        <v/>
      </c>
      <c r="T146" s="45">
        <f>IF(OR(A146="",L146="bezahlt",J146=""),"",MAX(0,TODAY()-J146))</f>
        <v/>
      </c>
    </row>
    <row r="147">
      <c r="A147" s="30" t="inlineStr"/>
      <c r="B147" s="38" t="inlineStr"/>
      <c r="C147" s="30" t="inlineStr"/>
      <c r="D147" s="30" t="inlineStr"/>
      <c r="E147" s="30" t="inlineStr"/>
      <c r="F147" s="31" t="inlineStr"/>
      <c r="G147" s="34" t="inlineStr"/>
      <c r="H147" s="32" t="inlineStr"/>
      <c r="I147" s="32" t="inlineStr"/>
      <c r="J147" s="38" t="inlineStr"/>
      <c r="K147" s="38" t="inlineStr"/>
      <c r="L147" s="30" t="inlineStr"/>
      <c r="M147" s="30" t="inlineStr"/>
      <c r="N147" s="15">
        <f>IF(A147="","",G147*H147)</f>
        <v/>
      </c>
      <c r="O147" s="15">
        <f>IF(A147="","",G147-N147)</f>
        <v/>
      </c>
      <c r="P147" s="15">
        <f>IF(A147="","",O147*I147)</f>
        <v/>
      </c>
      <c r="Q147" s="15">
        <f>IF(A147="","",O147+P147)</f>
        <v/>
      </c>
      <c r="R147" s="15">
        <f>IF(A147="","",SUMIFS('15_Zahlungen'!$F:$F,'15_Zahlungen'!$D:$D,A147,'15_Zahlungen'!$C:$C,"Eingang"))</f>
        <v/>
      </c>
      <c r="S147" s="15">
        <f>IF(A147="","",MAX(0,Q147-R147))</f>
        <v/>
      </c>
      <c r="T147" s="45">
        <f>IF(OR(A147="",L147="bezahlt",J147=""),"",MAX(0,TODAY()-J147))</f>
        <v/>
      </c>
    </row>
    <row r="148">
      <c r="A148" s="30" t="inlineStr"/>
      <c r="B148" s="38" t="inlineStr"/>
      <c r="C148" s="30" t="inlineStr"/>
      <c r="D148" s="30" t="inlineStr"/>
      <c r="E148" s="30" t="inlineStr"/>
      <c r="F148" s="31" t="inlineStr"/>
      <c r="G148" s="34" t="inlineStr"/>
      <c r="H148" s="32" t="inlineStr"/>
      <c r="I148" s="32" t="inlineStr"/>
      <c r="J148" s="38" t="inlineStr"/>
      <c r="K148" s="38" t="inlineStr"/>
      <c r="L148" s="30" t="inlineStr"/>
      <c r="M148" s="30" t="inlineStr"/>
      <c r="N148" s="15">
        <f>IF(A148="","",G148*H148)</f>
        <v/>
      </c>
      <c r="O148" s="15">
        <f>IF(A148="","",G148-N148)</f>
        <v/>
      </c>
      <c r="P148" s="15">
        <f>IF(A148="","",O148*I148)</f>
        <v/>
      </c>
      <c r="Q148" s="15">
        <f>IF(A148="","",O148+P148)</f>
        <v/>
      </c>
      <c r="R148" s="15">
        <f>IF(A148="","",SUMIFS('15_Zahlungen'!$F:$F,'15_Zahlungen'!$D:$D,A148,'15_Zahlungen'!$C:$C,"Eingang"))</f>
        <v/>
      </c>
      <c r="S148" s="15">
        <f>IF(A148="","",MAX(0,Q148-R148))</f>
        <v/>
      </c>
      <c r="T148" s="45">
        <f>IF(OR(A148="",L148="bezahlt",J148=""),"",MAX(0,TODAY()-J148))</f>
        <v/>
      </c>
    </row>
    <row r="149">
      <c r="A149" s="30" t="inlineStr"/>
      <c r="B149" s="38" t="inlineStr"/>
      <c r="C149" s="30" t="inlineStr"/>
      <c r="D149" s="30" t="inlineStr"/>
      <c r="E149" s="30" t="inlineStr"/>
      <c r="F149" s="31" t="inlineStr"/>
      <c r="G149" s="34" t="inlineStr"/>
      <c r="H149" s="32" t="inlineStr"/>
      <c r="I149" s="32" t="inlineStr"/>
      <c r="J149" s="38" t="inlineStr"/>
      <c r="K149" s="38" t="inlineStr"/>
      <c r="L149" s="30" t="inlineStr"/>
      <c r="M149" s="30" t="inlineStr"/>
      <c r="N149" s="15">
        <f>IF(A149="","",G149*H149)</f>
        <v/>
      </c>
      <c r="O149" s="15">
        <f>IF(A149="","",G149-N149)</f>
        <v/>
      </c>
      <c r="P149" s="15">
        <f>IF(A149="","",O149*I149)</f>
        <v/>
      </c>
      <c r="Q149" s="15">
        <f>IF(A149="","",O149+P149)</f>
        <v/>
      </c>
      <c r="R149" s="15">
        <f>IF(A149="","",SUMIFS('15_Zahlungen'!$F:$F,'15_Zahlungen'!$D:$D,A149,'15_Zahlungen'!$C:$C,"Eingang"))</f>
        <v/>
      </c>
      <c r="S149" s="15">
        <f>IF(A149="","",MAX(0,Q149-R149))</f>
        <v/>
      </c>
      <c r="T149" s="45">
        <f>IF(OR(A149="",L149="bezahlt",J149=""),"",MAX(0,TODAY()-J149))</f>
        <v/>
      </c>
    </row>
    <row r="150">
      <c r="A150" s="30" t="inlineStr"/>
      <c r="B150" s="38" t="inlineStr"/>
      <c r="C150" s="30" t="inlineStr"/>
      <c r="D150" s="30" t="inlineStr"/>
      <c r="E150" s="30" t="inlineStr"/>
      <c r="F150" s="31" t="inlineStr"/>
      <c r="G150" s="34" t="inlineStr"/>
      <c r="H150" s="32" t="inlineStr"/>
      <c r="I150" s="32" t="inlineStr"/>
      <c r="J150" s="38" t="inlineStr"/>
      <c r="K150" s="38" t="inlineStr"/>
      <c r="L150" s="30" t="inlineStr"/>
      <c r="M150" s="30" t="inlineStr"/>
      <c r="N150" s="15">
        <f>IF(A150="","",G150*H150)</f>
        <v/>
      </c>
      <c r="O150" s="15">
        <f>IF(A150="","",G150-N150)</f>
        <v/>
      </c>
      <c r="P150" s="15">
        <f>IF(A150="","",O150*I150)</f>
        <v/>
      </c>
      <c r="Q150" s="15">
        <f>IF(A150="","",O150+P150)</f>
        <v/>
      </c>
      <c r="R150" s="15">
        <f>IF(A150="","",SUMIFS('15_Zahlungen'!$F:$F,'15_Zahlungen'!$D:$D,A150,'15_Zahlungen'!$C:$C,"Eingang"))</f>
        <v/>
      </c>
      <c r="S150" s="15">
        <f>IF(A150="","",MAX(0,Q150-R150))</f>
        <v/>
      </c>
      <c r="T150" s="45">
        <f>IF(OR(A150="",L150="bezahlt",J150=""),"",MAX(0,TODAY()-J150))</f>
        <v/>
      </c>
    </row>
    <row r="151">
      <c r="A151" s="30" t="inlineStr"/>
      <c r="B151" s="38" t="inlineStr"/>
      <c r="C151" s="30" t="inlineStr"/>
      <c r="D151" s="30" t="inlineStr"/>
      <c r="E151" s="30" t="inlineStr"/>
      <c r="F151" s="31" t="inlineStr"/>
      <c r="G151" s="34" t="inlineStr"/>
      <c r="H151" s="32" t="inlineStr"/>
      <c r="I151" s="32" t="inlineStr"/>
      <c r="J151" s="38" t="inlineStr"/>
      <c r="K151" s="38" t="inlineStr"/>
      <c r="L151" s="30" t="inlineStr"/>
      <c r="M151" s="30" t="inlineStr"/>
      <c r="N151" s="15">
        <f>IF(A151="","",G151*H151)</f>
        <v/>
      </c>
      <c r="O151" s="15">
        <f>IF(A151="","",G151-N151)</f>
        <v/>
      </c>
      <c r="P151" s="15">
        <f>IF(A151="","",O151*I151)</f>
        <v/>
      </c>
      <c r="Q151" s="15">
        <f>IF(A151="","",O151+P151)</f>
        <v/>
      </c>
      <c r="R151" s="15">
        <f>IF(A151="","",SUMIFS('15_Zahlungen'!$F:$F,'15_Zahlungen'!$D:$D,A151,'15_Zahlungen'!$C:$C,"Eingang"))</f>
        <v/>
      </c>
      <c r="S151" s="15">
        <f>IF(A151="","",MAX(0,Q151-R151))</f>
        <v/>
      </c>
      <c r="T151" s="45">
        <f>IF(OR(A151="",L151="bezahlt",J151=""),"",MAX(0,TODAY()-J151))</f>
        <v/>
      </c>
    </row>
    <row r="152">
      <c r="A152" s="30" t="inlineStr"/>
      <c r="B152" s="38" t="inlineStr"/>
      <c r="C152" s="30" t="inlineStr"/>
      <c r="D152" s="30" t="inlineStr"/>
      <c r="E152" s="30" t="inlineStr"/>
      <c r="F152" s="31" t="inlineStr"/>
      <c r="G152" s="34" t="inlineStr"/>
      <c r="H152" s="32" t="inlineStr"/>
      <c r="I152" s="32" t="inlineStr"/>
      <c r="J152" s="38" t="inlineStr"/>
      <c r="K152" s="38" t="inlineStr"/>
      <c r="L152" s="30" t="inlineStr"/>
      <c r="M152" s="30" t="inlineStr"/>
      <c r="N152" s="15">
        <f>IF(A152="","",G152*H152)</f>
        <v/>
      </c>
      <c r="O152" s="15">
        <f>IF(A152="","",G152-N152)</f>
        <v/>
      </c>
      <c r="P152" s="15">
        <f>IF(A152="","",O152*I152)</f>
        <v/>
      </c>
      <c r="Q152" s="15">
        <f>IF(A152="","",O152+P152)</f>
        <v/>
      </c>
      <c r="R152" s="15">
        <f>IF(A152="","",SUMIFS('15_Zahlungen'!$F:$F,'15_Zahlungen'!$D:$D,A152,'15_Zahlungen'!$C:$C,"Eingang"))</f>
        <v/>
      </c>
      <c r="S152" s="15">
        <f>IF(A152="","",MAX(0,Q152-R152))</f>
        <v/>
      </c>
      <c r="T152" s="45">
        <f>IF(OR(A152="",L152="bezahlt",J152=""),"",MAX(0,TODAY()-J152))</f>
        <v/>
      </c>
    </row>
    <row r="153">
      <c r="A153" s="30" t="inlineStr"/>
      <c r="B153" s="38" t="inlineStr"/>
      <c r="C153" s="30" t="inlineStr"/>
      <c r="D153" s="30" t="inlineStr"/>
      <c r="E153" s="30" t="inlineStr"/>
      <c r="F153" s="31" t="inlineStr"/>
      <c r="G153" s="34" t="inlineStr"/>
      <c r="H153" s="32" t="inlineStr"/>
      <c r="I153" s="32" t="inlineStr"/>
      <c r="J153" s="38" t="inlineStr"/>
      <c r="K153" s="38" t="inlineStr"/>
      <c r="L153" s="30" t="inlineStr"/>
      <c r="M153" s="30" t="inlineStr"/>
      <c r="N153" s="15">
        <f>IF(A153="","",G153*H153)</f>
        <v/>
      </c>
      <c r="O153" s="15">
        <f>IF(A153="","",G153-N153)</f>
        <v/>
      </c>
      <c r="P153" s="15">
        <f>IF(A153="","",O153*I153)</f>
        <v/>
      </c>
      <c r="Q153" s="15">
        <f>IF(A153="","",O153+P153)</f>
        <v/>
      </c>
      <c r="R153" s="15">
        <f>IF(A153="","",SUMIFS('15_Zahlungen'!$F:$F,'15_Zahlungen'!$D:$D,A153,'15_Zahlungen'!$C:$C,"Eingang"))</f>
        <v/>
      </c>
      <c r="S153" s="15">
        <f>IF(A153="","",MAX(0,Q153-R153))</f>
        <v/>
      </c>
      <c r="T153" s="45">
        <f>IF(OR(A153="",L153="bezahlt",J153=""),"",MAX(0,TODAY()-J153))</f>
        <v/>
      </c>
    </row>
    <row r="154">
      <c r="A154" s="30" t="inlineStr"/>
      <c r="B154" s="38" t="inlineStr"/>
      <c r="C154" s="30" t="inlineStr"/>
      <c r="D154" s="30" t="inlineStr"/>
      <c r="E154" s="30" t="inlineStr"/>
      <c r="F154" s="31" t="inlineStr"/>
      <c r="G154" s="34" t="inlineStr"/>
      <c r="H154" s="32" t="inlineStr"/>
      <c r="I154" s="32" t="inlineStr"/>
      <c r="J154" s="38" t="inlineStr"/>
      <c r="K154" s="38" t="inlineStr"/>
      <c r="L154" s="30" t="inlineStr"/>
      <c r="M154" s="30" t="inlineStr"/>
      <c r="N154" s="15">
        <f>IF(A154="","",G154*H154)</f>
        <v/>
      </c>
      <c r="O154" s="15">
        <f>IF(A154="","",G154-N154)</f>
        <v/>
      </c>
      <c r="P154" s="15">
        <f>IF(A154="","",O154*I154)</f>
        <v/>
      </c>
      <c r="Q154" s="15">
        <f>IF(A154="","",O154+P154)</f>
        <v/>
      </c>
      <c r="R154" s="15">
        <f>IF(A154="","",SUMIFS('15_Zahlungen'!$F:$F,'15_Zahlungen'!$D:$D,A154,'15_Zahlungen'!$C:$C,"Eingang"))</f>
        <v/>
      </c>
      <c r="S154" s="15">
        <f>IF(A154="","",MAX(0,Q154-R154))</f>
        <v/>
      </c>
      <c r="T154" s="45">
        <f>IF(OR(A154="",L154="bezahlt",J154=""),"",MAX(0,TODAY()-J154))</f>
        <v/>
      </c>
    </row>
    <row r="155">
      <c r="A155" s="30" t="inlineStr"/>
      <c r="B155" s="38" t="inlineStr"/>
      <c r="C155" s="30" t="inlineStr"/>
      <c r="D155" s="30" t="inlineStr"/>
      <c r="E155" s="30" t="inlineStr"/>
      <c r="F155" s="31" t="inlineStr"/>
      <c r="G155" s="34" t="inlineStr"/>
      <c r="H155" s="32" t="inlineStr"/>
      <c r="I155" s="32" t="inlineStr"/>
      <c r="J155" s="38" t="inlineStr"/>
      <c r="K155" s="38" t="inlineStr"/>
      <c r="L155" s="30" t="inlineStr"/>
      <c r="M155" s="30" t="inlineStr"/>
      <c r="N155" s="15">
        <f>IF(A155="","",G155*H155)</f>
        <v/>
      </c>
      <c r="O155" s="15">
        <f>IF(A155="","",G155-N155)</f>
        <v/>
      </c>
      <c r="P155" s="15">
        <f>IF(A155="","",O155*I155)</f>
        <v/>
      </c>
      <c r="Q155" s="15">
        <f>IF(A155="","",O155+P155)</f>
        <v/>
      </c>
      <c r="R155" s="15">
        <f>IF(A155="","",SUMIFS('15_Zahlungen'!$F:$F,'15_Zahlungen'!$D:$D,A155,'15_Zahlungen'!$C:$C,"Eingang"))</f>
        <v/>
      </c>
      <c r="S155" s="15">
        <f>IF(A155="","",MAX(0,Q155-R155))</f>
        <v/>
      </c>
      <c r="T155" s="45">
        <f>IF(OR(A155="",L155="bezahlt",J155=""),"",MAX(0,TODAY()-J155))</f>
        <v/>
      </c>
    </row>
    <row r="156">
      <c r="A156" s="30" t="inlineStr"/>
      <c r="B156" s="38" t="inlineStr"/>
      <c r="C156" s="30" t="inlineStr"/>
      <c r="D156" s="30" t="inlineStr"/>
      <c r="E156" s="30" t="inlineStr"/>
      <c r="F156" s="31" t="inlineStr"/>
      <c r="G156" s="34" t="inlineStr"/>
      <c r="H156" s="32" t="inlineStr"/>
      <c r="I156" s="32" t="inlineStr"/>
      <c r="J156" s="38" t="inlineStr"/>
      <c r="K156" s="38" t="inlineStr"/>
      <c r="L156" s="30" t="inlineStr"/>
      <c r="M156" s="30" t="inlineStr"/>
      <c r="N156" s="15">
        <f>IF(A156="","",G156*H156)</f>
        <v/>
      </c>
      <c r="O156" s="15">
        <f>IF(A156="","",G156-N156)</f>
        <v/>
      </c>
      <c r="P156" s="15">
        <f>IF(A156="","",O156*I156)</f>
        <v/>
      </c>
      <c r="Q156" s="15">
        <f>IF(A156="","",O156+P156)</f>
        <v/>
      </c>
      <c r="R156" s="15">
        <f>IF(A156="","",SUMIFS('15_Zahlungen'!$F:$F,'15_Zahlungen'!$D:$D,A156,'15_Zahlungen'!$C:$C,"Eingang"))</f>
        <v/>
      </c>
      <c r="S156" s="15">
        <f>IF(A156="","",MAX(0,Q156-R156))</f>
        <v/>
      </c>
      <c r="T156" s="45">
        <f>IF(OR(A156="",L156="bezahlt",J156=""),"",MAX(0,TODAY()-J156))</f>
        <v/>
      </c>
    </row>
    <row r="157">
      <c r="A157" s="30" t="inlineStr"/>
      <c r="B157" s="38" t="inlineStr"/>
      <c r="C157" s="30" t="inlineStr"/>
      <c r="D157" s="30" t="inlineStr"/>
      <c r="E157" s="30" t="inlineStr"/>
      <c r="F157" s="31" t="inlineStr"/>
      <c r="G157" s="34" t="inlineStr"/>
      <c r="H157" s="32" t="inlineStr"/>
      <c r="I157" s="32" t="inlineStr"/>
      <c r="J157" s="38" t="inlineStr"/>
      <c r="K157" s="38" t="inlineStr"/>
      <c r="L157" s="30" t="inlineStr"/>
      <c r="M157" s="30" t="inlineStr"/>
      <c r="N157" s="15">
        <f>IF(A157="","",G157*H157)</f>
        <v/>
      </c>
      <c r="O157" s="15">
        <f>IF(A157="","",G157-N157)</f>
        <v/>
      </c>
      <c r="P157" s="15">
        <f>IF(A157="","",O157*I157)</f>
        <v/>
      </c>
      <c r="Q157" s="15">
        <f>IF(A157="","",O157+P157)</f>
        <v/>
      </c>
      <c r="R157" s="15">
        <f>IF(A157="","",SUMIFS('15_Zahlungen'!$F:$F,'15_Zahlungen'!$D:$D,A157,'15_Zahlungen'!$C:$C,"Eingang"))</f>
        <v/>
      </c>
      <c r="S157" s="15">
        <f>IF(A157="","",MAX(0,Q157-R157))</f>
        <v/>
      </c>
      <c r="T157" s="45">
        <f>IF(OR(A157="",L157="bezahlt",J157=""),"",MAX(0,TODAY()-J157))</f>
        <v/>
      </c>
    </row>
    <row r="158">
      <c r="A158" s="30" t="inlineStr"/>
      <c r="B158" s="38" t="inlineStr"/>
      <c r="C158" s="30" t="inlineStr"/>
      <c r="D158" s="30" t="inlineStr"/>
      <c r="E158" s="30" t="inlineStr"/>
      <c r="F158" s="31" t="inlineStr"/>
      <c r="G158" s="34" t="inlineStr"/>
      <c r="H158" s="32" t="inlineStr"/>
      <c r="I158" s="32" t="inlineStr"/>
      <c r="J158" s="38" t="inlineStr"/>
      <c r="K158" s="38" t="inlineStr"/>
      <c r="L158" s="30" t="inlineStr"/>
      <c r="M158" s="30" t="inlineStr"/>
      <c r="N158" s="15">
        <f>IF(A158="","",G158*H158)</f>
        <v/>
      </c>
      <c r="O158" s="15">
        <f>IF(A158="","",G158-N158)</f>
        <v/>
      </c>
      <c r="P158" s="15">
        <f>IF(A158="","",O158*I158)</f>
        <v/>
      </c>
      <c r="Q158" s="15">
        <f>IF(A158="","",O158+P158)</f>
        <v/>
      </c>
      <c r="R158" s="15">
        <f>IF(A158="","",SUMIFS('15_Zahlungen'!$F:$F,'15_Zahlungen'!$D:$D,A158,'15_Zahlungen'!$C:$C,"Eingang"))</f>
        <v/>
      </c>
      <c r="S158" s="15">
        <f>IF(A158="","",MAX(0,Q158-R158))</f>
        <v/>
      </c>
      <c r="T158" s="45">
        <f>IF(OR(A158="",L158="bezahlt",J158=""),"",MAX(0,TODAY()-J158))</f>
        <v/>
      </c>
    </row>
    <row r="159">
      <c r="A159" s="30" t="inlineStr"/>
      <c r="B159" s="38" t="inlineStr"/>
      <c r="C159" s="30" t="inlineStr"/>
      <c r="D159" s="30" t="inlineStr"/>
      <c r="E159" s="30" t="inlineStr"/>
      <c r="F159" s="31" t="inlineStr"/>
      <c r="G159" s="34" t="inlineStr"/>
      <c r="H159" s="32" t="inlineStr"/>
      <c r="I159" s="32" t="inlineStr"/>
      <c r="J159" s="38" t="inlineStr"/>
      <c r="K159" s="38" t="inlineStr"/>
      <c r="L159" s="30" t="inlineStr"/>
      <c r="M159" s="30" t="inlineStr"/>
      <c r="N159" s="15">
        <f>IF(A159="","",G159*H159)</f>
        <v/>
      </c>
      <c r="O159" s="15">
        <f>IF(A159="","",G159-N159)</f>
        <v/>
      </c>
      <c r="P159" s="15">
        <f>IF(A159="","",O159*I159)</f>
        <v/>
      </c>
      <c r="Q159" s="15">
        <f>IF(A159="","",O159+P159)</f>
        <v/>
      </c>
      <c r="R159" s="15">
        <f>IF(A159="","",SUMIFS('15_Zahlungen'!$F:$F,'15_Zahlungen'!$D:$D,A159,'15_Zahlungen'!$C:$C,"Eingang"))</f>
        <v/>
      </c>
      <c r="S159" s="15">
        <f>IF(A159="","",MAX(0,Q159-R159))</f>
        <v/>
      </c>
      <c r="T159" s="45">
        <f>IF(OR(A159="",L159="bezahlt",J159=""),"",MAX(0,TODAY()-J159))</f>
        <v/>
      </c>
    </row>
    <row r="160">
      <c r="A160" s="30" t="inlineStr"/>
      <c r="B160" s="38" t="inlineStr"/>
      <c r="C160" s="30" t="inlineStr"/>
      <c r="D160" s="30" t="inlineStr"/>
      <c r="E160" s="30" t="inlineStr"/>
      <c r="F160" s="31" t="inlineStr"/>
      <c r="G160" s="34" t="inlineStr"/>
      <c r="H160" s="32" t="inlineStr"/>
      <c r="I160" s="32" t="inlineStr"/>
      <c r="J160" s="38" t="inlineStr"/>
      <c r="K160" s="38" t="inlineStr"/>
      <c r="L160" s="30" t="inlineStr"/>
      <c r="M160" s="30" t="inlineStr"/>
      <c r="N160" s="15">
        <f>IF(A160="","",G160*H160)</f>
        <v/>
      </c>
      <c r="O160" s="15">
        <f>IF(A160="","",G160-N160)</f>
        <v/>
      </c>
      <c r="P160" s="15">
        <f>IF(A160="","",O160*I160)</f>
        <v/>
      </c>
      <c r="Q160" s="15">
        <f>IF(A160="","",O160+P160)</f>
        <v/>
      </c>
      <c r="R160" s="15">
        <f>IF(A160="","",SUMIFS('15_Zahlungen'!$F:$F,'15_Zahlungen'!$D:$D,A160,'15_Zahlungen'!$C:$C,"Eingang"))</f>
        <v/>
      </c>
      <c r="S160" s="15">
        <f>IF(A160="","",MAX(0,Q160-R160))</f>
        <v/>
      </c>
      <c r="T160" s="45">
        <f>IF(OR(A160="",L160="bezahlt",J160=""),"",MAX(0,TODAY()-J160))</f>
        <v/>
      </c>
    </row>
    <row r="161">
      <c r="A161" s="30" t="inlineStr"/>
      <c r="B161" s="38" t="inlineStr"/>
      <c r="C161" s="30" t="inlineStr"/>
      <c r="D161" s="30" t="inlineStr"/>
      <c r="E161" s="30" t="inlineStr"/>
      <c r="F161" s="31" t="inlineStr"/>
      <c r="G161" s="34" t="inlineStr"/>
      <c r="H161" s="32" t="inlineStr"/>
      <c r="I161" s="32" t="inlineStr"/>
      <c r="J161" s="38" t="inlineStr"/>
      <c r="K161" s="38" t="inlineStr"/>
      <c r="L161" s="30" t="inlineStr"/>
      <c r="M161" s="30" t="inlineStr"/>
      <c r="N161" s="15">
        <f>IF(A161="","",G161*H161)</f>
        <v/>
      </c>
      <c r="O161" s="15">
        <f>IF(A161="","",G161-N161)</f>
        <v/>
      </c>
      <c r="P161" s="15">
        <f>IF(A161="","",O161*I161)</f>
        <v/>
      </c>
      <c r="Q161" s="15">
        <f>IF(A161="","",O161+P161)</f>
        <v/>
      </c>
      <c r="R161" s="15">
        <f>IF(A161="","",SUMIFS('15_Zahlungen'!$F:$F,'15_Zahlungen'!$D:$D,A161,'15_Zahlungen'!$C:$C,"Eingang"))</f>
        <v/>
      </c>
      <c r="S161" s="15">
        <f>IF(A161="","",MAX(0,Q161-R161))</f>
        <v/>
      </c>
      <c r="T161" s="45">
        <f>IF(OR(A161="",L161="bezahlt",J161=""),"",MAX(0,TODAY()-J161))</f>
        <v/>
      </c>
    </row>
    <row r="162">
      <c r="A162" s="30" t="inlineStr"/>
      <c r="B162" s="38" t="inlineStr"/>
      <c r="C162" s="30" t="inlineStr"/>
      <c r="D162" s="30" t="inlineStr"/>
      <c r="E162" s="30" t="inlineStr"/>
      <c r="F162" s="31" t="inlineStr"/>
      <c r="G162" s="34" t="inlineStr"/>
      <c r="H162" s="32" t="inlineStr"/>
      <c r="I162" s="32" t="inlineStr"/>
      <c r="J162" s="38" t="inlineStr"/>
      <c r="K162" s="38" t="inlineStr"/>
      <c r="L162" s="30" t="inlineStr"/>
      <c r="M162" s="30" t="inlineStr"/>
      <c r="N162" s="15">
        <f>IF(A162="","",G162*H162)</f>
        <v/>
      </c>
      <c r="O162" s="15">
        <f>IF(A162="","",G162-N162)</f>
        <v/>
      </c>
      <c r="P162" s="15">
        <f>IF(A162="","",O162*I162)</f>
        <v/>
      </c>
      <c r="Q162" s="15">
        <f>IF(A162="","",O162+P162)</f>
        <v/>
      </c>
      <c r="R162" s="15">
        <f>IF(A162="","",SUMIFS('15_Zahlungen'!$F:$F,'15_Zahlungen'!$D:$D,A162,'15_Zahlungen'!$C:$C,"Eingang"))</f>
        <v/>
      </c>
      <c r="S162" s="15">
        <f>IF(A162="","",MAX(0,Q162-R162))</f>
        <v/>
      </c>
      <c r="T162" s="45">
        <f>IF(OR(A162="",L162="bezahlt",J162=""),"",MAX(0,TODAY()-J162))</f>
        <v/>
      </c>
    </row>
    <row r="163">
      <c r="A163" s="30" t="inlineStr"/>
      <c r="B163" s="38" t="inlineStr"/>
      <c r="C163" s="30" t="inlineStr"/>
      <c r="D163" s="30" t="inlineStr"/>
      <c r="E163" s="30" t="inlineStr"/>
      <c r="F163" s="31" t="inlineStr"/>
      <c r="G163" s="34" t="inlineStr"/>
      <c r="H163" s="32" t="inlineStr"/>
      <c r="I163" s="32" t="inlineStr"/>
      <c r="J163" s="38" t="inlineStr"/>
      <c r="K163" s="38" t="inlineStr"/>
      <c r="L163" s="30" t="inlineStr"/>
      <c r="M163" s="30" t="inlineStr"/>
      <c r="N163" s="15">
        <f>IF(A163="","",G163*H163)</f>
        <v/>
      </c>
      <c r="O163" s="15">
        <f>IF(A163="","",G163-N163)</f>
        <v/>
      </c>
      <c r="P163" s="15">
        <f>IF(A163="","",O163*I163)</f>
        <v/>
      </c>
      <c r="Q163" s="15">
        <f>IF(A163="","",O163+P163)</f>
        <v/>
      </c>
      <c r="R163" s="15">
        <f>IF(A163="","",SUMIFS('15_Zahlungen'!$F:$F,'15_Zahlungen'!$D:$D,A163,'15_Zahlungen'!$C:$C,"Eingang"))</f>
        <v/>
      </c>
      <c r="S163" s="15">
        <f>IF(A163="","",MAX(0,Q163-R163))</f>
        <v/>
      </c>
      <c r="T163" s="45">
        <f>IF(OR(A163="",L163="bezahlt",J163=""),"",MAX(0,TODAY()-J163))</f>
        <v/>
      </c>
    </row>
    <row r="164">
      <c r="A164" s="30" t="inlineStr"/>
      <c r="B164" s="38" t="inlineStr"/>
      <c r="C164" s="30" t="inlineStr"/>
      <c r="D164" s="30" t="inlineStr"/>
      <c r="E164" s="30" t="inlineStr"/>
      <c r="F164" s="31" t="inlineStr"/>
      <c r="G164" s="34" t="inlineStr"/>
      <c r="H164" s="32" t="inlineStr"/>
      <c r="I164" s="32" t="inlineStr"/>
      <c r="J164" s="38" t="inlineStr"/>
      <c r="K164" s="38" t="inlineStr"/>
      <c r="L164" s="30" t="inlineStr"/>
      <c r="M164" s="30" t="inlineStr"/>
      <c r="N164" s="15">
        <f>IF(A164="","",G164*H164)</f>
        <v/>
      </c>
      <c r="O164" s="15">
        <f>IF(A164="","",G164-N164)</f>
        <v/>
      </c>
      <c r="P164" s="15">
        <f>IF(A164="","",O164*I164)</f>
        <v/>
      </c>
      <c r="Q164" s="15">
        <f>IF(A164="","",O164+P164)</f>
        <v/>
      </c>
      <c r="R164" s="15">
        <f>IF(A164="","",SUMIFS('15_Zahlungen'!$F:$F,'15_Zahlungen'!$D:$D,A164,'15_Zahlungen'!$C:$C,"Eingang"))</f>
        <v/>
      </c>
      <c r="S164" s="15">
        <f>IF(A164="","",MAX(0,Q164-R164))</f>
        <v/>
      </c>
      <c r="T164" s="45">
        <f>IF(OR(A164="",L164="bezahlt",J164=""),"",MAX(0,TODAY()-J164))</f>
        <v/>
      </c>
    </row>
    <row r="165">
      <c r="A165" s="30" t="inlineStr"/>
      <c r="B165" s="38" t="inlineStr"/>
      <c r="C165" s="30" t="inlineStr"/>
      <c r="D165" s="30" t="inlineStr"/>
      <c r="E165" s="30" t="inlineStr"/>
      <c r="F165" s="31" t="inlineStr"/>
      <c r="G165" s="34" t="inlineStr"/>
      <c r="H165" s="32" t="inlineStr"/>
      <c r="I165" s="32" t="inlineStr"/>
      <c r="J165" s="38" t="inlineStr"/>
      <c r="K165" s="38" t="inlineStr"/>
      <c r="L165" s="30" t="inlineStr"/>
      <c r="M165" s="30" t="inlineStr"/>
      <c r="N165" s="15">
        <f>IF(A165="","",G165*H165)</f>
        <v/>
      </c>
      <c r="O165" s="15">
        <f>IF(A165="","",G165-N165)</f>
        <v/>
      </c>
      <c r="P165" s="15">
        <f>IF(A165="","",O165*I165)</f>
        <v/>
      </c>
      <c r="Q165" s="15">
        <f>IF(A165="","",O165+P165)</f>
        <v/>
      </c>
      <c r="R165" s="15">
        <f>IF(A165="","",SUMIFS('15_Zahlungen'!$F:$F,'15_Zahlungen'!$D:$D,A165,'15_Zahlungen'!$C:$C,"Eingang"))</f>
        <v/>
      </c>
      <c r="S165" s="15">
        <f>IF(A165="","",MAX(0,Q165-R165))</f>
        <v/>
      </c>
      <c r="T165" s="45">
        <f>IF(OR(A165="",L165="bezahlt",J165=""),"",MAX(0,TODAY()-J165))</f>
        <v/>
      </c>
    </row>
    <row r="166">
      <c r="A166" s="30" t="inlineStr"/>
      <c r="B166" s="38" t="inlineStr"/>
      <c r="C166" s="30" t="inlineStr"/>
      <c r="D166" s="30" t="inlineStr"/>
      <c r="E166" s="30" t="inlineStr"/>
      <c r="F166" s="31" t="inlineStr"/>
      <c r="G166" s="34" t="inlineStr"/>
      <c r="H166" s="32" t="inlineStr"/>
      <c r="I166" s="32" t="inlineStr"/>
      <c r="J166" s="38" t="inlineStr"/>
      <c r="K166" s="38" t="inlineStr"/>
      <c r="L166" s="30" t="inlineStr"/>
      <c r="M166" s="30" t="inlineStr"/>
      <c r="N166" s="15">
        <f>IF(A166="","",G166*H166)</f>
        <v/>
      </c>
      <c r="O166" s="15">
        <f>IF(A166="","",G166-N166)</f>
        <v/>
      </c>
      <c r="P166" s="15">
        <f>IF(A166="","",O166*I166)</f>
        <v/>
      </c>
      <c r="Q166" s="15">
        <f>IF(A166="","",O166+P166)</f>
        <v/>
      </c>
      <c r="R166" s="15">
        <f>IF(A166="","",SUMIFS('15_Zahlungen'!$F:$F,'15_Zahlungen'!$D:$D,A166,'15_Zahlungen'!$C:$C,"Eingang"))</f>
        <v/>
      </c>
      <c r="S166" s="15">
        <f>IF(A166="","",MAX(0,Q166-R166))</f>
        <v/>
      </c>
      <c r="T166" s="45">
        <f>IF(OR(A166="",L166="bezahlt",J166=""),"",MAX(0,TODAY()-J166))</f>
        <v/>
      </c>
    </row>
    <row r="167">
      <c r="A167" s="30" t="inlineStr"/>
      <c r="B167" s="38" t="inlineStr"/>
      <c r="C167" s="30" t="inlineStr"/>
      <c r="D167" s="30" t="inlineStr"/>
      <c r="E167" s="30" t="inlineStr"/>
      <c r="F167" s="31" t="inlineStr"/>
      <c r="G167" s="34" t="inlineStr"/>
      <c r="H167" s="32" t="inlineStr"/>
      <c r="I167" s="32" t="inlineStr"/>
      <c r="J167" s="38" t="inlineStr"/>
      <c r="K167" s="38" t="inlineStr"/>
      <c r="L167" s="30" t="inlineStr"/>
      <c r="M167" s="30" t="inlineStr"/>
      <c r="N167" s="15">
        <f>IF(A167="","",G167*H167)</f>
        <v/>
      </c>
      <c r="O167" s="15">
        <f>IF(A167="","",G167-N167)</f>
        <v/>
      </c>
      <c r="P167" s="15">
        <f>IF(A167="","",O167*I167)</f>
        <v/>
      </c>
      <c r="Q167" s="15">
        <f>IF(A167="","",O167+P167)</f>
        <v/>
      </c>
      <c r="R167" s="15">
        <f>IF(A167="","",SUMIFS('15_Zahlungen'!$F:$F,'15_Zahlungen'!$D:$D,A167,'15_Zahlungen'!$C:$C,"Eingang"))</f>
        <v/>
      </c>
      <c r="S167" s="15">
        <f>IF(A167="","",MAX(0,Q167-R167))</f>
        <v/>
      </c>
      <c r="T167" s="45">
        <f>IF(OR(A167="",L167="bezahlt",J167=""),"",MAX(0,TODAY()-J167))</f>
        <v/>
      </c>
    </row>
    <row r="168">
      <c r="A168" s="30" t="inlineStr"/>
      <c r="B168" s="38" t="inlineStr"/>
      <c r="C168" s="30" t="inlineStr"/>
      <c r="D168" s="30" t="inlineStr"/>
      <c r="E168" s="30" t="inlineStr"/>
      <c r="F168" s="31" t="inlineStr"/>
      <c r="G168" s="34" t="inlineStr"/>
      <c r="H168" s="32" t="inlineStr"/>
      <c r="I168" s="32" t="inlineStr"/>
      <c r="J168" s="38" t="inlineStr"/>
      <c r="K168" s="38" t="inlineStr"/>
      <c r="L168" s="30" t="inlineStr"/>
      <c r="M168" s="30" t="inlineStr"/>
      <c r="N168" s="15">
        <f>IF(A168="","",G168*H168)</f>
        <v/>
      </c>
      <c r="O168" s="15">
        <f>IF(A168="","",G168-N168)</f>
        <v/>
      </c>
      <c r="P168" s="15">
        <f>IF(A168="","",O168*I168)</f>
        <v/>
      </c>
      <c r="Q168" s="15">
        <f>IF(A168="","",O168+P168)</f>
        <v/>
      </c>
      <c r="R168" s="15">
        <f>IF(A168="","",SUMIFS('15_Zahlungen'!$F:$F,'15_Zahlungen'!$D:$D,A168,'15_Zahlungen'!$C:$C,"Eingang"))</f>
        <v/>
      </c>
      <c r="S168" s="15">
        <f>IF(A168="","",MAX(0,Q168-R168))</f>
        <v/>
      </c>
      <c r="T168" s="45">
        <f>IF(OR(A168="",L168="bezahlt",J168=""),"",MAX(0,TODAY()-J168))</f>
        <v/>
      </c>
    </row>
    <row r="169">
      <c r="A169" s="30" t="inlineStr"/>
      <c r="B169" s="38" t="inlineStr"/>
      <c r="C169" s="30" t="inlineStr"/>
      <c r="D169" s="30" t="inlineStr"/>
      <c r="E169" s="30" t="inlineStr"/>
      <c r="F169" s="31" t="inlineStr"/>
      <c r="G169" s="34" t="inlineStr"/>
      <c r="H169" s="32" t="inlineStr"/>
      <c r="I169" s="32" t="inlineStr"/>
      <c r="J169" s="38" t="inlineStr"/>
      <c r="K169" s="38" t="inlineStr"/>
      <c r="L169" s="30" t="inlineStr"/>
      <c r="M169" s="30" t="inlineStr"/>
      <c r="N169" s="15">
        <f>IF(A169="","",G169*H169)</f>
        <v/>
      </c>
      <c r="O169" s="15">
        <f>IF(A169="","",G169-N169)</f>
        <v/>
      </c>
      <c r="P169" s="15">
        <f>IF(A169="","",O169*I169)</f>
        <v/>
      </c>
      <c r="Q169" s="15">
        <f>IF(A169="","",O169+P169)</f>
        <v/>
      </c>
      <c r="R169" s="15">
        <f>IF(A169="","",SUMIFS('15_Zahlungen'!$F:$F,'15_Zahlungen'!$D:$D,A169,'15_Zahlungen'!$C:$C,"Eingang"))</f>
        <v/>
      </c>
      <c r="S169" s="15">
        <f>IF(A169="","",MAX(0,Q169-R169))</f>
        <v/>
      </c>
      <c r="T169" s="45">
        <f>IF(OR(A169="",L169="bezahlt",J169=""),"",MAX(0,TODAY()-J169))</f>
        <v/>
      </c>
    </row>
    <row r="170">
      <c r="A170" s="30" t="inlineStr"/>
      <c r="B170" s="38" t="inlineStr"/>
      <c r="C170" s="30" t="inlineStr"/>
      <c r="D170" s="30" t="inlineStr"/>
      <c r="E170" s="30" t="inlineStr"/>
      <c r="F170" s="31" t="inlineStr"/>
      <c r="G170" s="34" t="inlineStr"/>
      <c r="H170" s="32" t="inlineStr"/>
      <c r="I170" s="32" t="inlineStr"/>
      <c r="J170" s="38" t="inlineStr"/>
      <c r="K170" s="38" t="inlineStr"/>
      <c r="L170" s="30" t="inlineStr"/>
      <c r="M170" s="30" t="inlineStr"/>
      <c r="N170" s="15">
        <f>IF(A170="","",G170*H170)</f>
        <v/>
      </c>
      <c r="O170" s="15">
        <f>IF(A170="","",G170-N170)</f>
        <v/>
      </c>
      <c r="P170" s="15">
        <f>IF(A170="","",O170*I170)</f>
        <v/>
      </c>
      <c r="Q170" s="15">
        <f>IF(A170="","",O170+P170)</f>
        <v/>
      </c>
      <c r="R170" s="15">
        <f>IF(A170="","",SUMIFS('15_Zahlungen'!$F:$F,'15_Zahlungen'!$D:$D,A170,'15_Zahlungen'!$C:$C,"Eingang"))</f>
        <v/>
      </c>
      <c r="S170" s="15">
        <f>IF(A170="","",MAX(0,Q170-R170))</f>
        <v/>
      </c>
      <c r="T170" s="45">
        <f>IF(OR(A170="",L170="bezahlt",J170=""),"",MAX(0,TODAY()-J170))</f>
        <v/>
      </c>
    </row>
    <row r="171">
      <c r="A171" s="30" t="inlineStr"/>
      <c r="B171" s="38" t="inlineStr"/>
      <c r="C171" s="30" t="inlineStr"/>
      <c r="D171" s="30" t="inlineStr"/>
      <c r="E171" s="30" t="inlineStr"/>
      <c r="F171" s="31" t="inlineStr"/>
      <c r="G171" s="34" t="inlineStr"/>
      <c r="H171" s="32" t="inlineStr"/>
      <c r="I171" s="32" t="inlineStr"/>
      <c r="J171" s="38" t="inlineStr"/>
      <c r="K171" s="38" t="inlineStr"/>
      <c r="L171" s="30" t="inlineStr"/>
      <c r="M171" s="30" t="inlineStr"/>
      <c r="N171" s="15">
        <f>IF(A171="","",G171*H171)</f>
        <v/>
      </c>
      <c r="O171" s="15">
        <f>IF(A171="","",G171-N171)</f>
        <v/>
      </c>
      <c r="P171" s="15">
        <f>IF(A171="","",O171*I171)</f>
        <v/>
      </c>
      <c r="Q171" s="15">
        <f>IF(A171="","",O171+P171)</f>
        <v/>
      </c>
      <c r="R171" s="15">
        <f>IF(A171="","",SUMIFS('15_Zahlungen'!$F:$F,'15_Zahlungen'!$D:$D,A171,'15_Zahlungen'!$C:$C,"Eingang"))</f>
        <v/>
      </c>
      <c r="S171" s="15">
        <f>IF(A171="","",MAX(0,Q171-R171))</f>
        <v/>
      </c>
      <c r="T171" s="45">
        <f>IF(OR(A171="",L171="bezahlt",J171=""),"",MAX(0,TODAY()-J171))</f>
        <v/>
      </c>
    </row>
    <row r="172">
      <c r="A172" s="30" t="inlineStr"/>
      <c r="B172" s="38" t="inlineStr"/>
      <c r="C172" s="30" t="inlineStr"/>
      <c r="D172" s="30" t="inlineStr"/>
      <c r="E172" s="30" t="inlineStr"/>
      <c r="F172" s="31" t="inlineStr"/>
      <c r="G172" s="34" t="inlineStr"/>
      <c r="H172" s="32" t="inlineStr"/>
      <c r="I172" s="32" t="inlineStr"/>
      <c r="J172" s="38" t="inlineStr"/>
      <c r="K172" s="38" t="inlineStr"/>
      <c r="L172" s="30" t="inlineStr"/>
      <c r="M172" s="30" t="inlineStr"/>
      <c r="N172" s="15">
        <f>IF(A172="","",G172*H172)</f>
        <v/>
      </c>
      <c r="O172" s="15">
        <f>IF(A172="","",G172-N172)</f>
        <v/>
      </c>
      <c r="P172" s="15">
        <f>IF(A172="","",O172*I172)</f>
        <v/>
      </c>
      <c r="Q172" s="15">
        <f>IF(A172="","",O172+P172)</f>
        <v/>
      </c>
      <c r="R172" s="15">
        <f>IF(A172="","",SUMIFS('15_Zahlungen'!$F:$F,'15_Zahlungen'!$D:$D,A172,'15_Zahlungen'!$C:$C,"Eingang"))</f>
        <v/>
      </c>
      <c r="S172" s="15">
        <f>IF(A172="","",MAX(0,Q172-R172))</f>
        <v/>
      </c>
      <c r="T172" s="45">
        <f>IF(OR(A172="",L172="bezahlt",J172=""),"",MAX(0,TODAY()-J172))</f>
        <v/>
      </c>
    </row>
    <row r="173">
      <c r="A173" s="30" t="inlineStr"/>
      <c r="B173" s="38" t="inlineStr"/>
      <c r="C173" s="30" t="inlineStr"/>
      <c r="D173" s="30" t="inlineStr"/>
      <c r="E173" s="30" t="inlineStr"/>
      <c r="F173" s="31" t="inlineStr"/>
      <c r="G173" s="34" t="inlineStr"/>
      <c r="H173" s="32" t="inlineStr"/>
      <c r="I173" s="32" t="inlineStr"/>
      <c r="J173" s="38" t="inlineStr"/>
      <c r="K173" s="38" t="inlineStr"/>
      <c r="L173" s="30" t="inlineStr"/>
      <c r="M173" s="30" t="inlineStr"/>
      <c r="N173" s="15">
        <f>IF(A173="","",G173*H173)</f>
        <v/>
      </c>
      <c r="O173" s="15">
        <f>IF(A173="","",G173-N173)</f>
        <v/>
      </c>
      <c r="P173" s="15">
        <f>IF(A173="","",O173*I173)</f>
        <v/>
      </c>
      <c r="Q173" s="15">
        <f>IF(A173="","",O173+P173)</f>
        <v/>
      </c>
      <c r="R173" s="15">
        <f>IF(A173="","",SUMIFS('15_Zahlungen'!$F:$F,'15_Zahlungen'!$D:$D,A173,'15_Zahlungen'!$C:$C,"Eingang"))</f>
        <v/>
      </c>
      <c r="S173" s="15">
        <f>IF(A173="","",MAX(0,Q173-R173))</f>
        <v/>
      </c>
      <c r="T173" s="45">
        <f>IF(OR(A173="",L173="bezahlt",J173=""),"",MAX(0,TODAY()-J173))</f>
        <v/>
      </c>
    </row>
    <row r="174">
      <c r="A174" s="30" t="inlineStr"/>
      <c r="B174" s="38" t="inlineStr"/>
      <c r="C174" s="30" t="inlineStr"/>
      <c r="D174" s="30" t="inlineStr"/>
      <c r="E174" s="30" t="inlineStr"/>
      <c r="F174" s="31" t="inlineStr"/>
      <c r="G174" s="34" t="inlineStr"/>
      <c r="H174" s="32" t="inlineStr"/>
      <c r="I174" s="32" t="inlineStr"/>
      <c r="J174" s="38" t="inlineStr"/>
      <c r="K174" s="38" t="inlineStr"/>
      <c r="L174" s="30" t="inlineStr"/>
      <c r="M174" s="30" t="inlineStr"/>
      <c r="N174" s="15">
        <f>IF(A174="","",G174*H174)</f>
        <v/>
      </c>
      <c r="O174" s="15">
        <f>IF(A174="","",G174-N174)</f>
        <v/>
      </c>
      <c r="P174" s="15">
        <f>IF(A174="","",O174*I174)</f>
        <v/>
      </c>
      <c r="Q174" s="15">
        <f>IF(A174="","",O174+P174)</f>
        <v/>
      </c>
      <c r="R174" s="15">
        <f>IF(A174="","",SUMIFS('15_Zahlungen'!$F:$F,'15_Zahlungen'!$D:$D,A174,'15_Zahlungen'!$C:$C,"Eingang"))</f>
        <v/>
      </c>
      <c r="S174" s="15">
        <f>IF(A174="","",MAX(0,Q174-R174))</f>
        <v/>
      </c>
      <c r="T174" s="45">
        <f>IF(OR(A174="",L174="bezahlt",J174=""),"",MAX(0,TODAY()-J174))</f>
        <v/>
      </c>
    </row>
    <row r="175">
      <c r="A175" s="30" t="inlineStr"/>
      <c r="B175" s="38" t="inlineStr"/>
      <c r="C175" s="30" t="inlineStr"/>
      <c r="D175" s="30" t="inlineStr"/>
      <c r="E175" s="30" t="inlineStr"/>
      <c r="F175" s="31" t="inlineStr"/>
      <c r="G175" s="34" t="inlineStr"/>
      <c r="H175" s="32" t="inlineStr"/>
      <c r="I175" s="32" t="inlineStr"/>
      <c r="J175" s="38" t="inlineStr"/>
      <c r="K175" s="38" t="inlineStr"/>
      <c r="L175" s="30" t="inlineStr"/>
      <c r="M175" s="30" t="inlineStr"/>
      <c r="N175" s="15">
        <f>IF(A175="","",G175*H175)</f>
        <v/>
      </c>
      <c r="O175" s="15">
        <f>IF(A175="","",G175-N175)</f>
        <v/>
      </c>
      <c r="P175" s="15">
        <f>IF(A175="","",O175*I175)</f>
        <v/>
      </c>
      <c r="Q175" s="15">
        <f>IF(A175="","",O175+P175)</f>
        <v/>
      </c>
      <c r="R175" s="15">
        <f>IF(A175="","",SUMIFS('15_Zahlungen'!$F:$F,'15_Zahlungen'!$D:$D,A175,'15_Zahlungen'!$C:$C,"Eingang"))</f>
        <v/>
      </c>
      <c r="S175" s="15">
        <f>IF(A175="","",MAX(0,Q175-R175))</f>
        <v/>
      </c>
      <c r="T175" s="45">
        <f>IF(OR(A175="",L175="bezahlt",J175=""),"",MAX(0,TODAY()-J175))</f>
        <v/>
      </c>
    </row>
    <row r="176">
      <c r="A176" s="30" t="inlineStr"/>
      <c r="B176" s="38" t="inlineStr"/>
      <c r="C176" s="30" t="inlineStr"/>
      <c r="D176" s="30" t="inlineStr"/>
      <c r="E176" s="30" t="inlineStr"/>
      <c r="F176" s="31" t="inlineStr"/>
      <c r="G176" s="34" t="inlineStr"/>
      <c r="H176" s="32" t="inlineStr"/>
      <c r="I176" s="32" t="inlineStr"/>
      <c r="J176" s="38" t="inlineStr"/>
      <c r="K176" s="38" t="inlineStr"/>
      <c r="L176" s="30" t="inlineStr"/>
      <c r="M176" s="30" t="inlineStr"/>
      <c r="N176" s="15">
        <f>IF(A176="","",G176*H176)</f>
        <v/>
      </c>
      <c r="O176" s="15">
        <f>IF(A176="","",G176-N176)</f>
        <v/>
      </c>
      <c r="P176" s="15">
        <f>IF(A176="","",O176*I176)</f>
        <v/>
      </c>
      <c r="Q176" s="15">
        <f>IF(A176="","",O176+P176)</f>
        <v/>
      </c>
      <c r="R176" s="15">
        <f>IF(A176="","",SUMIFS('15_Zahlungen'!$F:$F,'15_Zahlungen'!$D:$D,A176,'15_Zahlungen'!$C:$C,"Eingang"))</f>
        <v/>
      </c>
      <c r="S176" s="15">
        <f>IF(A176="","",MAX(0,Q176-R176))</f>
        <v/>
      </c>
      <c r="T176" s="45">
        <f>IF(OR(A176="",L176="bezahlt",J176=""),"",MAX(0,TODAY()-J176))</f>
        <v/>
      </c>
    </row>
    <row r="177">
      <c r="A177" s="30" t="inlineStr"/>
      <c r="B177" s="38" t="inlineStr"/>
      <c r="C177" s="30" t="inlineStr"/>
      <c r="D177" s="30" t="inlineStr"/>
      <c r="E177" s="30" t="inlineStr"/>
      <c r="F177" s="31" t="inlineStr"/>
      <c r="G177" s="34" t="inlineStr"/>
      <c r="H177" s="32" t="inlineStr"/>
      <c r="I177" s="32" t="inlineStr"/>
      <c r="J177" s="38" t="inlineStr"/>
      <c r="K177" s="38" t="inlineStr"/>
      <c r="L177" s="30" t="inlineStr"/>
      <c r="M177" s="30" t="inlineStr"/>
      <c r="N177" s="15">
        <f>IF(A177="","",G177*H177)</f>
        <v/>
      </c>
      <c r="O177" s="15">
        <f>IF(A177="","",G177-N177)</f>
        <v/>
      </c>
      <c r="P177" s="15">
        <f>IF(A177="","",O177*I177)</f>
        <v/>
      </c>
      <c r="Q177" s="15">
        <f>IF(A177="","",O177+P177)</f>
        <v/>
      </c>
      <c r="R177" s="15">
        <f>IF(A177="","",SUMIFS('15_Zahlungen'!$F:$F,'15_Zahlungen'!$D:$D,A177,'15_Zahlungen'!$C:$C,"Eingang"))</f>
        <v/>
      </c>
      <c r="S177" s="15">
        <f>IF(A177="","",MAX(0,Q177-R177))</f>
        <v/>
      </c>
      <c r="T177" s="45">
        <f>IF(OR(A177="",L177="bezahlt",J177=""),"",MAX(0,TODAY()-J177))</f>
        <v/>
      </c>
    </row>
    <row r="178">
      <c r="A178" s="30" t="inlineStr"/>
      <c r="B178" s="38" t="inlineStr"/>
      <c r="C178" s="30" t="inlineStr"/>
      <c r="D178" s="30" t="inlineStr"/>
      <c r="E178" s="30" t="inlineStr"/>
      <c r="F178" s="31" t="inlineStr"/>
      <c r="G178" s="34" t="inlineStr"/>
      <c r="H178" s="32" t="inlineStr"/>
      <c r="I178" s="32" t="inlineStr"/>
      <c r="J178" s="38" t="inlineStr"/>
      <c r="K178" s="38" t="inlineStr"/>
      <c r="L178" s="30" t="inlineStr"/>
      <c r="M178" s="30" t="inlineStr"/>
      <c r="N178" s="15">
        <f>IF(A178="","",G178*H178)</f>
        <v/>
      </c>
      <c r="O178" s="15">
        <f>IF(A178="","",G178-N178)</f>
        <v/>
      </c>
      <c r="P178" s="15">
        <f>IF(A178="","",O178*I178)</f>
        <v/>
      </c>
      <c r="Q178" s="15">
        <f>IF(A178="","",O178+P178)</f>
        <v/>
      </c>
      <c r="R178" s="15">
        <f>IF(A178="","",SUMIFS('15_Zahlungen'!$F:$F,'15_Zahlungen'!$D:$D,A178,'15_Zahlungen'!$C:$C,"Eingang"))</f>
        <v/>
      </c>
      <c r="S178" s="15">
        <f>IF(A178="","",MAX(0,Q178-R178))</f>
        <v/>
      </c>
      <c r="T178" s="45">
        <f>IF(OR(A178="",L178="bezahlt",J178=""),"",MAX(0,TODAY()-J178))</f>
        <v/>
      </c>
    </row>
    <row r="179">
      <c r="A179" s="30" t="inlineStr"/>
      <c r="B179" s="38" t="inlineStr"/>
      <c r="C179" s="30" t="inlineStr"/>
      <c r="D179" s="30" t="inlineStr"/>
      <c r="E179" s="30" t="inlineStr"/>
      <c r="F179" s="31" t="inlineStr"/>
      <c r="G179" s="34" t="inlineStr"/>
      <c r="H179" s="32" t="inlineStr"/>
      <c r="I179" s="32" t="inlineStr"/>
      <c r="J179" s="38" t="inlineStr"/>
      <c r="K179" s="38" t="inlineStr"/>
      <c r="L179" s="30" t="inlineStr"/>
      <c r="M179" s="30" t="inlineStr"/>
      <c r="N179" s="15">
        <f>IF(A179="","",G179*H179)</f>
        <v/>
      </c>
      <c r="O179" s="15">
        <f>IF(A179="","",G179-N179)</f>
        <v/>
      </c>
      <c r="P179" s="15">
        <f>IF(A179="","",O179*I179)</f>
        <v/>
      </c>
      <c r="Q179" s="15">
        <f>IF(A179="","",O179+P179)</f>
        <v/>
      </c>
      <c r="R179" s="15">
        <f>IF(A179="","",SUMIFS('15_Zahlungen'!$F:$F,'15_Zahlungen'!$D:$D,A179,'15_Zahlungen'!$C:$C,"Eingang"))</f>
        <v/>
      </c>
      <c r="S179" s="15">
        <f>IF(A179="","",MAX(0,Q179-R179))</f>
        <v/>
      </c>
      <c r="T179" s="45">
        <f>IF(OR(A179="",L179="bezahlt",J179=""),"",MAX(0,TODAY()-J179))</f>
        <v/>
      </c>
    </row>
    <row r="180">
      <c r="A180" s="30" t="inlineStr"/>
      <c r="B180" s="38" t="inlineStr"/>
      <c r="C180" s="30" t="inlineStr"/>
      <c r="D180" s="30" t="inlineStr"/>
      <c r="E180" s="30" t="inlineStr"/>
      <c r="F180" s="31" t="inlineStr"/>
      <c r="G180" s="34" t="inlineStr"/>
      <c r="H180" s="32" t="inlineStr"/>
      <c r="I180" s="32" t="inlineStr"/>
      <c r="J180" s="38" t="inlineStr"/>
      <c r="K180" s="38" t="inlineStr"/>
      <c r="L180" s="30" t="inlineStr"/>
      <c r="M180" s="30" t="inlineStr"/>
      <c r="N180" s="15">
        <f>IF(A180="","",G180*H180)</f>
        <v/>
      </c>
      <c r="O180" s="15">
        <f>IF(A180="","",G180-N180)</f>
        <v/>
      </c>
      <c r="P180" s="15">
        <f>IF(A180="","",O180*I180)</f>
        <v/>
      </c>
      <c r="Q180" s="15">
        <f>IF(A180="","",O180+P180)</f>
        <v/>
      </c>
      <c r="R180" s="15">
        <f>IF(A180="","",SUMIFS('15_Zahlungen'!$F:$F,'15_Zahlungen'!$D:$D,A180,'15_Zahlungen'!$C:$C,"Eingang"))</f>
        <v/>
      </c>
      <c r="S180" s="15">
        <f>IF(A180="","",MAX(0,Q180-R180))</f>
        <v/>
      </c>
      <c r="T180" s="45">
        <f>IF(OR(A180="",L180="bezahlt",J180=""),"",MAX(0,TODAY()-J180))</f>
        <v/>
      </c>
    </row>
    <row r="181">
      <c r="A181" s="30" t="inlineStr"/>
      <c r="B181" s="38" t="inlineStr"/>
      <c r="C181" s="30" t="inlineStr"/>
      <c r="D181" s="30" t="inlineStr"/>
      <c r="E181" s="30" t="inlineStr"/>
      <c r="F181" s="31" t="inlineStr"/>
      <c r="G181" s="34" t="inlineStr"/>
      <c r="H181" s="32" t="inlineStr"/>
      <c r="I181" s="32" t="inlineStr"/>
      <c r="J181" s="38" t="inlineStr"/>
      <c r="K181" s="38" t="inlineStr"/>
      <c r="L181" s="30" t="inlineStr"/>
      <c r="M181" s="30" t="inlineStr"/>
      <c r="N181" s="15">
        <f>IF(A181="","",G181*H181)</f>
        <v/>
      </c>
      <c r="O181" s="15">
        <f>IF(A181="","",G181-N181)</f>
        <v/>
      </c>
      <c r="P181" s="15">
        <f>IF(A181="","",O181*I181)</f>
        <v/>
      </c>
      <c r="Q181" s="15">
        <f>IF(A181="","",O181+P181)</f>
        <v/>
      </c>
      <c r="R181" s="15">
        <f>IF(A181="","",SUMIFS('15_Zahlungen'!$F:$F,'15_Zahlungen'!$D:$D,A181,'15_Zahlungen'!$C:$C,"Eingang"))</f>
        <v/>
      </c>
      <c r="S181" s="15">
        <f>IF(A181="","",MAX(0,Q181-R181))</f>
        <v/>
      </c>
      <c r="T181" s="45">
        <f>IF(OR(A181="",L181="bezahlt",J181=""),"",MAX(0,TODAY()-J181))</f>
        <v/>
      </c>
    </row>
    <row r="182">
      <c r="A182" s="30" t="inlineStr"/>
      <c r="B182" s="38" t="inlineStr"/>
      <c r="C182" s="30" t="inlineStr"/>
      <c r="D182" s="30" t="inlineStr"/>
      <c r="E182" s="30" t="inlineStr"/>
      <c r="F182" s="31" t="inlineStr"/>
      <c r="G182" s="34" t="inlineStr"/>
      <c r="H182" s="32" t="inlineStr"/>
      <c r="I182" s="32" t="inlineStr"/>
      <c r="J182" s="38" t="inlineStr"/>
      <c r="K182" s="38" t="inlineStr"/>
      <c r="L182" s="30" t="inlineStr"/>
      <c r="M182" s="30" t="inlineStr"/>
      <c r="N182" s="15">
        <f>IF(A182="","",G182*H182)</f>
        <v/>
      </c>
      <c r="O182" s="15">
        <f>IF(A182="","",G182-N182)</f>
        <v/>
      </c>
      <c r="P182" s="15">
        <f>IF(A182="","",O182*I182)</f>
        <v/>
      </c>
      <c r="Q182" s="15">
        <f>IF(A182="","",O182+P182)</f>
        <v/>
      </c>
      <c r="R182" s="15">
        <f>IF(A182="","",SUMIFS('15_Zahlungen'!$F:$F,'15_Zahlungen'!$D:$D,A182,'15_Zahlungen'!$C:$C,"Eingang"))</f>
        <v/>
      </c>
      <c r="S182" s="15">
        <f>IF(A182="","",MAX(0,Q182-R182))</f>
        <v/>
      </c>
      <c r="T182" s="45">
        <f>IF(OR(A182="",L182="bezahlt",J182=""),"",MAX(0,TODAY()-J182))</f>
        <v/>
      </c>
    </row>
    <row r="183">
      <c r="A183" s="30" t="inlineStr"/>
      <c r="B183" s="38" t="inlineStr"/>
      <c r="C183" s="30" t="inlineStr"/>
      <c r="D183" s="30" t="inlineStr"/>
      <c r="E183" s="30" t="inlineStr"/>
      <c r="F183" s="31" t="inlineStr"/>
      <c r="G183" s="34" t="inlineStr"/>
      <c r="H183" s="32" t="inlineStr"/>
      <c r="I183" s="32" t="inlineStr"/>
      <c r="J183" s="38" t="inlineStr"/>
      <c r="K183" s="38" t="inlineStr"/>
      <c r="L183" s="30" t="inlineStr"/>
      <c r="M183" s="30" t="inlineStr"/>
      <c r="N183" s="15">
        <f>IF(A183="","",G183*H183)</f>
        <v/>
      </c>
      <c r="O183" s="15">
        <f>IF(A183="","",G183-N183)</f>
        <v/>
      </c>
      <c r="P183" s="15">
        <f>IF(A183="","",O183*I183)</f>
        <v/>
      </c>
      <c r="Q183" s="15">
        <f>IF(A183="","",O183+P183)</f>
        <v/>
      </c>
      <c r="R183" s="15">
        <f>IF(A183="","",SUMIFS('15_Zahlungen'!$F:$F,'15_Zahlungen'!$D:$D,A183,'15_Zahlungen'!$C:$C,"Eingang"))</f>
        <v/>
      </c>
      <c r="S183" s="15">
        <f>IF(A183="","",MAX(0,Q183-R183))</f>
        <v/>
      </c>
      <c r="T183" s="45">
        <f>IF(OR(A183="",L183="bezahlt",J183=""),"",MAX(0,TODAY()-J183))</f>
        <v/>
      </c>
    </row>
    <row r="184">
      <c r="A184" s="30" t="inlineStr"/>
      <c r="B184" s="38" t="inlineStr"/>
      <c r="C184" s="30" t="inlineStr"/>
      <c r="D184" s="30" t="inlineStr"/>
      <c r="E184" s="30" t="inlineStr"/>
      <c r="F184" s="31" t="inlineStr"/>
      <c r="G184" s="34" t="inlineStr"/>
      <c r="H184" s="32" t="inlineStr"/>
      <c r="I184" s="32" t="inlineStr"/>
      <c r="J184" s="38" t="inlineStr"/>
      <c r="K184" s="38" t="inlineStr"/>
      <c r="L184" s="30" t="inlineStr"/>
      <c r="M184" s="30" t="inlineStr"/>
      <c r="N184" s="15">
        <f>IF(A184="","",G184*H184)</f>
        <v/>
      </c>
      <c r="O184" s="15">
        <f>IF(A184="","",G184-N184)</f>
        <v/>
      </c>
      <c r="P184" s="15">
        <f>IF(A184="","",O184*I184)</f>
        <v/>
      </c>
      <c r="Q184" s="15">
        <f>IF(A184="","",O184+P184)</f>
        <v/>
      </c>
      <c r="R184" s="15">
        <f>IF(A184="","",SUMIFS('15_Zahlungen'!$F:$F,'15_Zahlungen'!$D:$D,A184,'15_Zahlungen'!$C:$C,"Eingang"))</f>
        <v/>
      </c>
      <c r="S184" s="15">
        <f>IF(A184="","",MAX(0,Q184-R184))</f>
        <v/>
      </c>
      <c r="T184" s="45">
        <f>IF(OR(A184="",L184="bezahlt",J184=""),"",MAX(0,TODAY()-J184))</f>
        <v/>
      </c>
    </row>
    <row r="185">
      <c r="A185" s="30" t="inlineStr"/>
      <c r="B185" s="38" t="inlineStr"/>
      <c r="C185" s="30" t="inlineStr"/>
      <c r="D185" s="30" t="inlineStr"/>
      <c r="E185" s="30" t="inlineStr"/>
      <c r="F185" s="31" t="inlineStr"/>
      <c r="G185" s="34" t="inlineStr"/>
      <c r="H185" s="32" t="inlineStr"/>
      <c r="I185" s="32" t="inlineStr"/>
      <c r="J185" s="38" t="inlineStr"/>
      <c r="K185" s="38" t="inlineStr"/>
      <c r="L185" s="30" t="inlineStr"/>
      <c r="M185" s="30" t="inlineStr"/>
      <c r="N185" s="15">
        <f>IF(A185="","",G185*H185)</f>
        <v/>
      </c>
      <c r="O185" s="15">
        <f>IF(A185="","",G185-N185)</f>
        <v/>
      </c>
      <c r="P185" s="15">
        <f>IF(A185="","",O185*I185)</f>
        <v/>
      </c>
      <c r="Q185" s="15">
        <f>IF(A185="","",O185+P185)</f>
        <v/>
      </c>
      <c r="R185" s="15">
        <f>IF(A185="","",SUMIFS('15_Zahlungen'!$F:$F,'15_Zahlungen'!$D:$D,A185,'15_Zahlungen'!$C:$C,"Eingang"))</f>
        <v/>
      </c>
      <c r="S185" s="15">
        <f>IF(A185="","",MAX(0,Q185-R185))</f>
        <v/>
      </c>
      <c r="T185" s="45">
        <f>IF(OR(A185="",L185="bezahlt",J185=""),"",MAX(0,TODAY()-J185))</f>
        <v/>
      </c>
    </row>
    <row r="186">
      <c r="A186" s="30" t="inlineStr"/>
      <c r="B186" s="38" t="inlineStr"/>
      <c r="C186" s="30" t="inlineStr"/>
      <c r="D186" s="30" t="inlineStr"/>
      <c r="E186" s="30" t="inlineStr"/>
      <c r="F186" s="31" t="inlineStr"/>
      <c r="G186" s="34" t="inlineStr"/>
      <c r="H186" s="32" t="inlineStr"/>
      <c r="I186" s="32" t="inlineStr"/>
      <c r="J186" s="38" t="inlineStr"/>
      <c r="K186" s="38" t="inlineStr"/>
      <c r="L186" s="30" t="inlineStr"/>
      <c r="M186" s="30" t="inlineStr"/>
      <c r="N186" s="15">
        <f>IF(A186="","",G186*H186)</f>
        <v/>
      </c>
      <c r="O186" s="15">
        <f>IF(A186="","",G186-N186)</f>
        <v/>
      </c>
      <c r="P186" s="15">
        <f>IF(A186="","",O186*I186)</f>
        <v/>
      </c>
      <c r="Q186" s="15">
        <f>IF(A186="","",O186+P186)</f>
        <v/>
      </c>
      <c r="R186" s="15">
        <f>IF(A186="","",SUMIFS('15_Zahlungen'!$F:$F,'15_Zahlungen'!$D:$D,A186,'15_Zahlungen'!$C:$C,"Eingang"))</f>
        <v/>
      </c>
      <c r="S186" s="15">
        <f>IF(A186="","",MAX(0,Q186-R186))</f>
        <v/>
      </c>
      <c r="T186" s="45">
        <f>IF(OR(A186="",L186="bezahlt",J186=""),"",MAX(0,TODAY()-J186))</f>
        <v/>
      </c>
    </row>
    <row r="187">
      <c r="A187" s="30" t="inlineStr"/>
      <c r="B187" s="38" t="inlineStr"/>
      <c r="C187" s="30" t="inlineStr"/>
      <c r="D187" s="30" t="inlineStr"/>
      <c r="E187" s="30" t="inlineStr"/>
      <c r="F187" s="31" t="inlineStr"/>
      <c r="G187" s="34" t="inlineStr"/>
      <c r="H187" s="32" t="inlineStr"/>
      <c r="I187" s="32" t="inlineStr"/>
      <c r="J187" s="38" t="inlineStr"/>
      <c r="K187" s="38" t="inlineStr"/>
      <c r="L187" s="30" t="inlineStr"/>
      <c r="M187" s="30" t="inlineStr"/>
      <c r="N187" s="15">
        <f>IF(A187="","",G187*H187)</f>
        <v/>
      </c>
      <c r="O187" s="15">
        <f>IF(A187="","",G187-N187)</f>
        <v/>
      </c>
      <c r="P187" s="15">
        <f>IF(A187="","",O187*I187)</f>
        <v/>
      </c>
      <c r="Q187" s="15">
        <f>IF(A187="","",O187+P187)</f>
        <v/>
      </c>
      <c r="R187" s="15">
        <f>IF(A187="","",SUMIFS('15_Zahlungen'!$F:$F,'15_Zahlungen'!$D:$D,A187,'15_Zahlungen'!$C:$C,"Eingang"))</f>
        <v/>
      </c>
      <c r="S187" s="15">
        <f>IF(A187="","",MAX(0,Q187-R187))</f>
        <v/>
      </c>
      <c r="T187" s="45">
        <f>IF(OR(A187="",L187="bezahlt",J187=""),"",MAX(0,TODAY()-J187))</f>
        <v/>
      </c>
    </row>
    <row r="188">
      <c r="A188" s="30" t="inlineStr"/>
      <c r="B188" s="38" t="inlineStr"/>
      <c r="C188" s="30" t="inlineStr"/>
      <c r="D188" s="30" t="inlineStr"/>
      <c r="E188" s="30" t="inlineStr"/>
      <c r="F188" s="31" t="inlineStr"/>
      <c r="G188" s="34" t="inlineStr"/>
      <c r="H188" s="32" t="inlineStr"/>
      <c r="I188" s="32" t="inlineStr"/>
      <c r="J188" s="38" t="inlineStr"/>
      <c r="K188" s="38" t="inlineStr"/>
      <c r="L188" s="30" t="inlineStr"/>
      <c r="M188" s="30" t="inlineStr"/>
      <c r="N188" s="15">
        <f>IF(A188="","",G188*H188)</f>
        <v/>
      </c>
      <c r="O188" s="15">
        <f>IF(A188="","",G188-N188)</f>
        <v/>
      </c>
      <c r="P188" s="15">
        <f>IF(A188="","",O188*I188)</f>
        <v/>
      </c>
      <c r="Q188" s="15">
        <f>IF(A188="","",O188+P188)</f>
        <v/>
      </c>
      <c r="R188" s="15">
        <f>IF(A188="","",SUMIFS('15_Zahlungen'!$F:$F,'15_Zahlungen'!$D:$D,A188,'15_Zahlungen'!$C:$C,"Eingang"))</f>
        <v/>
      </c>
      <c r="S188" s="15">
        <f>IF(A188="","",MAX(0,Q188-R188))</f>
        <v/>
      </c>
      <c r="T188" s="45">
        <f>IF(OR(A188="",L188="bezahlt",J188=""),"",MAX(0,TODAY()-J188))</f>
        <v/>
      </c>
    </row>
    <row r="189">
      <c r="A189" s="30" t="inlineStr"/>
      <c r="B189" s="38" t="inlineStr"/>
      <c r="C189" s="30" t="inlineStr"/>
      <c r="D189" s="30" t="inlineStr"/>
      <c r="E189" s="30" t="inlineStr"/>
      <c r="F189" s="31" t="inlineStr"/>
      <c r="G189" s="34" t="inlineStr"/>
      <c r="H189" s="32" t="inlineStr"/>
      <c r="I189" s="32" t="inlineStr"/>
      <c r="J189" s="38" t="inlineStr"/>
      <c r="K189" s="38" t="inlineStr"/>
      <c r="L189" s="30" t="inlineStr"/>
      <c r="M189" s="30" t="inlineStr"/>
      <c r="N189" s="15">
        <f>IF(A189="","",G189*H189)</f>
        <v/>
      </c>
      <c r="O189" s="15">
        <f>IF(A189="","",G189-N189)</f>
        <v/>
      </c>
      <c r="P189" s="15">
        <f>IF(A189="","",O189*I189)</f>
        <v/>
      </c>
      <c r="Q189" s="15">
        <f>IF(A189="","",O189+P189)</f>
        <v/>
      </c>
      <c r="R189" s="15">
        <f>IF(A189="","",SUMIFS('15_Zahlungen'!$F:$F,'15_Zahlungen'!$D:$D,A189,'15_Zahlungen'!$C:$C,"Eingang"))</f>
        <v/>
      </c>
      <c r="S189" s="15">
        <f>IF(A189="","",MAX(0,Q189-R189))</f>
        <v/>
      </c>
      <c r="T189" s="45">
        <f>IF(OR(A189="",L189="bezahlt",J189=""),"",MAX(0,TODAY()-J189))</f>
        <v/>
      </c>
    </row>
    <row r="190">
      <c r="A190" s="30" t="inlineStr"/>
      <c r="B190" s="38" t="inlineStr"/>
      <c r="C190" s="30" t="inlineStr"/>
      <c r="D190" s="30" t="inlineStr"/>
      <c r="E190" s="30" t="inlineStr"/>
      <c r="F190" s="31" t="inlineStr"/>
      <c r="G190" s="34" t="inlineStr"/>
      <c r="H190" s="32" t="inlineStr"/>
      <c r="I190" s="32" t="inlineStr"/>
      <c r="J190" s="38" t="inlineStr"/>
      <c r="K190" s="38" t="inlineStr"/>
      <c r="L190" s="30" t="inlineStr"/>
      <c r="M190" s="30" t="inlineStr"/>
      <c r="N190" s="15">
        <f>IF(A190="","",G190*H190)</f>
        <v/>
      </c>
      <c r="O190" s="15">
        <f>IF(A190="","",G190-N190)</f>
        <v/>
      </c>
      <c r="P190" s="15">
        <f>IF(A190="","",O190*I190)</f>
        <v/>
      </c>
      <c r="Q190" s="15">
        <f>IF(A190="","",O190+P190)</f>
        <v/>
      </c>
      <c r="R190" s="15">
        <f>IF(A190="","",SUMIFS('15_Zahlungen'!$F:$F,'15_Zahlungen'!$D:$D,A190,'15_Zahlungen'!$C:$C,"Eingang"))</f>
        <v/>
      </c>
      <c r="S190" s="15">
        <f>IF(A190="","",MAX(0,Q190-R190))</f>
        <v/>
      </c>
      <c r="T190" s="45">
        <f>IF(OR(A190="",L190="bezahlt",J190=""),"",MAX(0,TODAY()-J190))</f>
        <v/>
      </c>
    </row>
    <row r="191">
      <c r="A191" s="30" t="inlineStr"/>
      <c r="B191" s="38" t="inlineStr"/>
      <c r="C191" s="30" t="inlineStr"/>
      <c r="D191" s="30" t="inlineStr"/>
      <c r="E191" s="30" t="inlineStr"/>
      <c r="F191" s="31" t="inlineStr"/>
      <c r="G191" s="34" t="inlineStr"/>
      <c r="H191" s="32" t="inlineStr"/>
      <c r="I191" s="32" t="inlineStr"/>
      <c r="J191" s="38" t="inlineStr"/>
      <c r="K191" s="38" t="inlineStr"/>
      <c r="L191" s="30" t="inlineStr"/>
      <c r="M191" s="30" t="inlineStr"/>
      <c r="N191" s="15">
        <f>IF(A191="","",G191*H191)</f>
        <v/>
      </c>
      <c r="O191" s="15">
        <f>IF(A191="","",G191-N191)</f>
        <v/>
      </c>
      <c r="P191" s="15">
        <f>IF(A191="","",O191*I191)</f>
        <v/>
      </c>
      <c r="Q191" s="15">
        <f>IF(A191="","",O191+P191)</f>
        <v/>
      </c>
      <c r="R191" s="15">
        <f>IF(A191="","",SUMIFS('15_Zahlungen'!$F:$F,'15_Zahlungen'!$D:$D,A191,'15_Zahlungen'!$C:$C,"Eingang"))</f>
        <v/>
      </c>
      <c r="S191" s="15">
        <f>IF(A191="","",MAX(0,Q191-R191))</f>
        <v/>
      </c>
      <c r="T191" s="45">
        <f>IF(OR(A191="",L191="bezahlt",J191=""),"",MAX(0,TODAY()-J191))</f>
        <v/>
      </c>
    </row>
    <row r="192">
      <c r="A192" s="30" t="inlineStr"/>
      <c r="B192" s="38" t="inlineStr"/>
      <c r="C192" s="30" t="inlineStr"/>
      <c r="D192" s="30" t="inlineStr"/>
      <c r="E192" s="30" t="inlineStr"/>
      <c r="F192" s="31" t="inlineStr"/>
      <c r="G192" s="34" t="inlineStr"/>
      <c r="H192" s="32" t="inlineStr"/>
      <c r="I192" s="32" t="inlineStr"/>
      <c r="J192" s="38" t="inlineStr"/>
      <c r="K192" s="38" t="inlineStr"/>
      <c r="L192" s="30" t="inlineStr"/>
      <c r="M192" s="30" t="inlineStr"/>
      <c r="N192" s="15">
        <f>IF(A192="","",G192*H192)</f>
        <v/>
      </c>
      <c r="O192" s="15">
        <f>IF(A192="","",G192-N192)</f>
        <v/>
      </c>
      <c r="P192" s="15">
        <f>IF(A192="","",O192*I192)</f>
        <v/>
      </c>
      <c r="Q192" s="15">
        <f>IF(A192="","",O192+P192)</f>
        <v/>
      </c>
      <c r="R192" s="15">
        <f>IF(A192="","",SUMIFS('15_Zahlungen'!$F:$F,'15_Zahlungen'!$D:$D,A192,'15_Zahlungen'!$C:$C,"Eingang"))</f>
        <v/>
      </c>
      <c r="S192" s="15">
        <f>IF(A192="","",MAX(0,Q192-R192))</f>
        <v/>
      </c>
      <c r="T192" s="45">
        <f>IF(OR(A192="",L192="bezahlt",J192=""),"",MAX(0,TODAY()-J192))</f>
        <v/>
      </c>
    </row>
    <row r="193">
      <c r="A193" s="30" t="inlineStr"/>
      <c r="B193" s="38" t="inlineStr"/>
      <c r="C193" s="30" t="inlineStr"/>
      <c r="D193" s="30" t="inlineStr"/>
      <c r="E193" s="30" t="inlineStr"/>
      <c r="F193" s="31" t="inlineStr"/>
      <c r="G193" s="34" t="inlineStr"/>
      <c r="H193" s="32" t="inlineStr"/>
      <c r="I193" s="32" t="inlineStr"/>
      <c r="J193" s="38" t="inlineStr"/>
      <c r="K193" s="38" t="inlineStr"/>
      <c r="L193" s="30" t="inlineStr"/>
      <c r="M193" s="30" t="inlineStr"/>
      <c r="N193" s="15">
        <f>IF(A193="","",G193*H193)</f>
        <v/>
      </c>
      <c r="O193" s="15">
        <f>IF(A193="","",G193-N193)</f>
        <v/>
      </c>
      <c r="P193" s="15">
        <f>IF(A193="","",O193*I193)</f>
        <v/>
      </c>
      <c r="Q193" s="15">
        <f>IF(A193="","",O193+P193)</f>
        <v/>
      </c>
      <c r="R193" s="15">
        <f>IF(A193="","",SUMIFS('15_Zahlungen'!$F:$F,'15_Zahlungen'!$D:$D,A193,'15_Zahlungen'!$C:$C,"Eingang"))</f>
        <v/>
      </c>
      <c r="S193" s="15">
        <f>IF(A193="","",MAX(0,Q193-R193))</f>
        <v/>
      </c>
      <c r="T193" s="45">
        <f>IF(OR(A193="",L193="bezahlt",J193=""),"",MAX(0,TODAY()-J193))</f>
        <v/>
      </c>
    </row>
    <row r="194">
      <c r="A194" s="30" t="inlineStr"/>
      <c r="B194" s="38" t="inlineStr"/>
      <c r="C194" s="30" t="inlineStr"/>
      <c r="D194" s="30" t="inlineStr"/>
      <c r="E194" s="30" t="inlineStr"/>
      <c r="F194" s="31" t="inlineStr"/>
      <c r="G194" s="34" t="inlineStr"/>
      <c r="H194" s="32" t="inlineStr"/>
      <c r="I194" s="32" t="inlineStr"/>
      <c r="J194" s="38" t="inlineStr"/>
      <c r="K194" s="38" t="inlineStr"/>
      <c r="L194" s="30" t="inlineStr"/>
      <c r="M194" s="30" t="inlineStr"/>
      <c r="N194" s="15">
        <f>IF(A194="","",G194*H194)</f>
        <v/>
      </c>
      <c r="O194" s="15">
        <f>IF(A194="","",G194-N194)</f>
        <v/>
      </c>
      <c r="P194" s="15">
        <f>IF(A194="","",O194*I194)</f>
        <v/>
      </c>
      <c r="Q194" s="15">
        <f>IF(A194="","",O194+P194)</f>
        <v/>
      </c>
      <c r="R194" s="15">
        <f>IF(A194="","",SUMIFS('15_Zahlungen'!$F:$F,'15_Zahlungen'!$D:$D,A194,'15_Zahlungen'!$C:$C,"Eingang"))</f>
        <v/>
      </c>
      <c r="S194" s="15">
        <f>IF(A194="","",MAX(0,Q194-R194))</f>
        <v/>
      </c>
      <c r="T194" s="45">
        <f>IF(OR(A194="",L194="bezahlt",J194=""),"",MAX(0,TODAY()-J194))</f>
        <v/>
      </c>
    </row>
    <row r="195">
      <c r="A195" s="30" t="inlineStr"/>
      <c r="B195" s="38" t="inlineStr"/>
      <c r="C195" s="30" t="inlineStr"/>
      <c r="D195" s="30" t="inlineStr"/>
      <c r="E195" s="30" t="inlineStr"/>
      <c r="F195" s="31" t="inlineStr"/>
      <c r="G195" s="34" t="inlineStr"/>
      <c r="H195" s="32" t="inlineStr"/>
      <c r="I195" s="32" t="inlineStr"/>
      <c r="J195" s="38" t="inlineStr"/>
      <c r="K195" s="38" t="inlineStr"/>
      <c r="L195" s="30" t="inlineStr"/>
      <c r="M195" s="30" t="inlineStr"/>
      <c r="N195" s="15">
        <f>IF(A195="","",G195*H195)</f>
        <v/>
      </c>
      <c r="O195" s="15">
        <f>IF(A195="","",G195-N195)</f>
        <v/>
      </c>
      <c r="P195" s="15">
        <f>IF(A195="","",O195*I195)</f>
        <v/>
      </c>
      <c r="Q195" s="15">
        <f>IF(A195="","",O195+P195)</f>
        <v/>
      </c>
      <c r="R195" s="15">
        <f>IF(A195="","",SUMIFS('15_Zahlungen'!$F:$F,'15_Zahlungen'!$D:$D,A195,'15_Zahlungen'!$C:$C,"Eingang"))</f>
        <v/>
      </c>
      <c r="S195" s="15">
        <f>IF(A195="","",MAX(0,Q195-R195))</f>
        <v/>
      </c>
      <c r="T195" s="45">
        <f>IF(OR(A195="",L195="bezahlt",J195=""),"",MAX(0,TODAY()-J195))</f>
        <v/>
      </c>
    </row>
    <row r="196">
      <c r="A196" s="30" t="inlineStr"/>
      <c r="B196" s="38" t="inlineStr"/>
      <c r="C196" s="30" t="inlineStr"/>
      <c r="D196" s="30" t="inlineStr"/>
      <c r="E196" s="30" t="inlineStr"/>
      <c r="F196" s="31" t="inlineStr"/>
      <c r="G196" s="34" t="inlineStr"/>
      <c r="H196" s="32" t="inlineStr"/>
      <c r="I196" s="32" t="inlineStr"/>
      <c r="J196" s="38" t="inlineStr"/>
      <c r="K196" s="38" t="inlineStr"/>
      <c r="L196" s="30" t="inlineStr"/>
      <c r="M196" s="30" t="inlineStr"/>
      <c r="N196" s="15">
        <f>IF(A196="","",G196*H196)</f>
        <v/>
      </c>
      <c r="O196" s="15">
        <f>IF(A196="","",G196-N196)</f>
        <v/>
      </c>
      <c r="P196" s="15">
        <f>IF(A196="","",O196*I196)</f>
        <v/>
      </c>
      <c r="Q196" s="15">
        <f>IF(A196="","",O196+P196)</f>
        <v/>
      </c>
      <c r="R196" s="15">
        <f>IF(A196="","",SUMIFS('15_Zahlungen'!$F:$F,'15_Zahlungen'!$D:$D,A196,'15_Zahlungen'!$C:$C,"Eingang"))</f>
        <v/>
      </c>
      <c r="S196" s="15">
        <f>IF(A196="","",MAX(0,Q196-R196))</f>
        <v/>
      </c>
      <c r="T196" s="45">
        <f>IF(OR(A196="",L196="bezahlt",J196=""),"",MAX(0,TODAY()-J196))</f>
        <v/>
      </c>
    </row>
    <row r="197">
      <c r="A197" s="30" t="inlineStr"/>
      <c r="B197" s="38" t="inlineStr"/>
      <c r="C197" s="30" t="inlineStr"/>
      <c r="D197" s="30" t="inlineStr"/>
      <c r="E197" s="30" t="inlineStr"/>
      <c r="F197" s="31" t="inlineStr"/>
      <c r="G197" s="34" t="inlineStr"/>
      <c r="H197" s="32" t="inlineStr"/>
      <c r="I197" s="32" t="inlineStr"/>
      <c r="J197" s="38" t="inlineStr"/>
      <c r="K197" s="38" t="inlineStr"/>
      <c r="L197" s="30" t="inlineStr"/>
      <c r="M197" s="30" t="inlineStr"/>
      <c r="N197" s="15">
        <f>IF(A197="","",G197*H197)</f>
        <v/>
      </c>
      <c r="O197" s="15">
        <f>IF(A197="","",G197-N197)</f>
        <v/>
      </c>
      <c r="P197" s="15">
        <f>IF(A197="","",O197*I197)</f>
        <v/>
      </c>
      <c r="Q197" s="15">
        <f>IF(A197="","",O197+P197)</f>
        <v/>
      </c>
      <c r="R197" s="15">
        <f>IF(A197="","",SUMIFS('15_Zahlungen'!$F:$F,'15_Zahlungen'!$D:$D,A197,'15_Zahlungen'!$C:$C,"Eingang"))</f>
        <v/>
      </c>
      <c r="S197" s="15">
        <f>IF(A197="","",MAX(0,Q197-R197))</f>
        <v/>
      </c>
      <c r="T197" s="45">
        <f>IF(OR(A197="",L197="bezahlt",J197=""),"",MAX(0,TODAY()-J197))</f>
        <v/>
      </c>
    </row>
    <row r="198">
      <c r="A198" s="30" t="inlineStr"/>
      <c r="B198" s="38" t="inlineStr"/>
      <c r="C198" s="30" t="inlineStr"/>
      <c r="D198" s="30" t="inlineStr"/>
      <c r="E198" s="30" t="inlineStr"/>
      <c r="F198" s="31" t="inlineStr"/>
      <c r="G198" s="34" t="inlineStr"/>
      <c r="H198" s="32" t="inlineStr"/>
      <c r="I198" s="32" t="inlineStr"/>
      <c r="J198" s="38" t="inlineStr"/>
      <c r="K198" s="38" t="inlineStr"/>
      <c r="L198" s="30" t="inlineStr"/>
      <c r="M198" s="30" t="inlineStr"/>
      <c r="N198" s="15">
        <f>IF(A198="","",G198*H198)</f>
        <v/>
      </c>
      <c r="O198" s="15">
        <f>IF(A198="","",G198-N198)</f>
        <v/>
      </c>
      <c r="P198" s="15">
        <f>IF(A198="","",O198*I198)</f>
        <v/>
      </c>
      <c r="Q198" s="15">
        <f>IF(A198="","",O198+P198)</f>
        <v/>
      </c>
      <c r="R198" s="15">
        <f>IF(A198="","",SUMIFS('15_Zahlungen'!$F:$F,'15_Zahlungen'!$D:$D,A198,'15_Zahlungen'!$C:$C,"Eingang"))</f>
        <v/>
      </c>
      <c r="S198" s="15">
        <f>IF(A198="","",MAX(0,Q198-R198))</f>
        <v/>
      </c>
      <c r="T198" s="45">
        <f>IF(OR(A198="",L198="bezahlt",J198=""),"",MAX(0,TODAY()-J198))</f>
        <v/>
      </c>
    </row>
    <row r="199">
      <c r="A199" s="30" t="inlineStr"/>
      <c r="B199" s="38" t="inlineStr"/>
      <c r="C199" s="30" t="inlineStr"/>
      <c r="D199" s="30" t="inlineStr"/>
      <c r="E199" s="30" t="inlineStr"/>
      <c r="F199" s="31" t="inlineStr"/>
      <c r="G199" s="34" t="inlineStr"/>
      <c r="H199" s="32" t="inlineStr"/>
      <c r="I199" s="32" t="inlineStr"/>
      <c r="J199" s="38" t="inlineStr"/>
      <c r="K199" s="38" t="inlineStr"/>
      <c r="L199" s="30" t="inlineStr"/>
      <c r="M199" s="30" t="inlineStr"/>
      <c r="N199" s="15">
        <f>IF(A199="","",G199*H199)</f>
        <v/>
      </c>
      <c r="O199" s="15">
        <f>IF(A199="","",G199-N199)</f>
        <v/>
      </c>
      <c r="P199" s="15">
        <f>IF(A199="","",O199*I199)</f>
        <v/>
      </c>
      <c r="Q199" s="15">
        <f>IF(A199="","",O199+P199)</f>
        <v/>
      </c>
      <c r="R199" s="15">
        <f>IF(A199="","",SUMIFS('15_Zahlungen'!$F:$F,'15_Zahlungen'!$D:$D,A199,'15_Zahlungen'!$C:$C,"Eingang"))</f>
        <v/>
      </c>
      <c r="S199" s="15">
        <f>IF(A199="","",MAX(0,Q199-R199))</f>
        <v/>
      </c>
      <c r="T199" s="45">
        <f>IF(OR(A199="",L199="bezahlt",J199=""),"",MAX(0,TODAY()-J199))</f>
        <v/>
      </c>
    </row>
    <row r="200">
      <c r="A200" s="30" t="inlineStr"/>
      <c r="B200" s="38" t="inlineStr"/>
      <c r="C200" s="30" t="inlineStr"/>
      <c r="D200" s="30" t="inlineStr"/>
      <c r="E200" s="30" t="inlineStr"/>
      <c r="F200" s="31" t="inlineStr"/>
      <c r="G200" s="34" t="inlineStr"/>
      <c r="H200" s="32" t="inlineStr"/>
      <c r="I200" s="32" t="inlineStr"/>
      <c r="J200" s="38" t="inlineStr"/>
      <c r="K200" s="38" t="inlineStr"/>
      <c r="L200" s="30" t="inlineStr"/>
      <c r="M200" s="30" t="inlineStr"/>
      <c r="N200" s="15">
        <f>IF(A200="","",G200*H200)</f>
        <v/>
      </c>
      <c r="O200" s="15">
        <f>IF(A200="","",G200-N200)</f>
        <v/>
      </c>
      <c r="P200" s="15">
        <f>IF(A200="","",O200*I200)</f>
        <v/>
      </c>
      <c r="Q200" s="15">
        <f>IF(A200="","",O200+P200)</f>
        <v/>
      </c>
      <c r="R200" s="15">
        <f>IF(A200="","",SUMIFS('15_Zahlungen'!$F:$F,'15_Zahlungen'!$D:$D,A200,'15_Zahlungen'!$C:$C,"Eingang"))</f>
        <v/>
      </c>
      <c r="S200" s="15">
        <f>IF(A200="","",MAX(0,Q200-R200))</f>
        <v/>
      </c>
      <c r="T200" s="45">
        <f>IF(OR(A200="",L200="bezahlt",J200=""),"",MAX(0,TODAY()-J200))</f>
        <v/>
      </c>
    </row>
    <row r="201">
      <c r="A201" s="30" t="inlineStr"/>
      <c r="B201" s="38" t="inlineStr"/>
      <c r="C201" s="30" t="inlineStr"/>
      <c r="D201" s="30" t="inlineStr"/>
      <c r="E201" s="30" t="inlineStr"/>
      <c r="F201" s="31" t="inlineStr"/>
      <c r="G201" s="34" t="inlineStr"/>
      <c r="H201" s="32" t="inlineStr"/>
      <c r="I201" s="32" t="inlineStr"/>
      <c r="J201" s="38" t="inlineStr"/>
      <c r="K201" s="38" t="inlineStr"/>
      <c r="L201" s="30" t="inlineStr"/>
      <c r="M201" s="30" t="inlineStr"/>
      <c r="N201" s="15">
        <f>IF(A201="","",G201*H201)</f>
        <v/>
      </c>
      <c r="O201" s="15">
        <f>IF(A201="","",G201-N201)</f>
        <v/>
      </c>
      <c r="P201" s="15">
        <f>IF(A201="","",O201*I201)</f>
        <v/>
      </c>
      <c r="Q201" s="15">
        <f>IF(A201="","",O201+P201)</f>
        <v/>
      </c>
      <c r="R201" s="15">
        <f>IF(A201="","",SUMIFS('15_Zahlungen'!$F:$F,'15_Zahlungen'!$D:$D,A201,'15_Zahlungen'!$C:$C,"Eingang"))</f>
        <v/>
      </c>
      <c r="S201" s="15">
        <f>IF(A201="","",MAX(0,Q201-R201))</f>
        <v/>
      </c>
      <c r="T201" s="45">
        <f>IF(OR(A201="",L201="bezahlt",J201=""),"",MAX(0,TODAY()-J201))</f>
        <v/>
      </c>
    </row>
    <row r="202">
      <c r="A202" s="30" t="inlineStr"/>
      <c r="B202" s="38" t="inlineStr"/>
      <c r="C202" s="30" t="inlineStr"/>
      <c r="D202" s="30" t="inlineStr"/>
      <c r="E202" s="30" t="inlineStr"/>
      <c r="F202" s="31" t="inlineStr"/>
      <c r="G202" s="34" t="inlineStr"/>
      <c r="H202" s="32" t="inlineStr"/>
      <c r="I202" s="32" t="inlineStr"/>
      <c r="J202" s="38" t="inlineStr"/>
      <c r="K202" s="38" t="inlineStr"/>
      <c r="L202" s="30" t="inlineStr"/>
      <c r="M202" s="30" t="inlineStr"/>
      <c r="N202" s="15">
        <f>IF(A202="","",G202*H202)</f>
        <v/>
      </c>
      <c r="O202" s="15">
        <f>IF(A202="","",G202-N202)</f>
        <v/>
      </c>
      <c r="P202" s="15">
        <f>IF(A202="","",O202*I202)</f>
        <v/>
      </c>
      <c r="Q202" s="15">
        <f>IF(A202="","",O202+P202)</f>
        <v/>
      </c>
      <c r="R202" s="15">
        <f>IF(A202="","",SUMIFS('15_Zahlungen'!$F:$F,'15_Zahlungen'!$D:$D,A202,'15_Zahlungen'!$C:$C,"Eingang"))</f>
        <v/>
      </c>
      <c r="S202" s="15">
        <f>IF(A202="","",MAX(0,Q202-R202))</f>
        <v/>
      </c>
      <c r="T202" s="45">
        <f>IF(OR(A202="",L202="bezahlt",J202=""),"",MAX(0,TODAY()-J202))</f>
        <v/>
      </c>
    </row>
    <row r="203">
      <c r="A203" s="30" t="inlineStr"/>
      <c r="B203" s="38" t="inlineStr"/>
      <c r="C203" s="30" t="inlineStr"/>
      <c r="D203" s="30" t="inlineStr"/>
      <c r="E203" s="30" t="inlineStr"/>
      <c r="F203" s="31" t="inlineStr"/>
      <c r="G203" s="34" t="inlineStr"/>
      <c r="H203" s="32" t="inlineStr"/>
      <c r="I203" s="32" t="inlineStr"/>
      <c r="J203" s="38" t="inlineStr"/>
      <c r="K203" s="38" t="inlineStr"/>
      <c r="L203" s="30" t="inlineStr"/>
      <c r="M203" s="30" t="inlineStr"/>
      <c r="N203" s="15">
        <f>IF(A203="","",G203*H203)</f>
        <v/>
      </c>
      <c r="O203" s="15">
        <f>IF(A203="","",G203-N203)</f>
        <v/>
      </c>
      <c r="P203" s="15">
        <f>IF(A203="","",O203*I203)</f>
        <v/>
      </c>
      <c r="Q203" s="15">
        <f>IF(A203="","",O203+P203)</f>
        <v/>
      </c>
      <c r="R203" s="15">
        <f>IF(A203="","",SUMIFS('15_Zahlungen'!$F:$F,'15_Zahlungen'!$D:$D,A203,'15_Zahlungen'!$C:$C,"Eingang"))</f>
        <v/>
      </c>
      <c r="S203" s="15">
        <f>IF(A203="","",MAX(0,Q203-R203))</f>
        <v/>
      </c>
      <c r="T203" s="45">
        <f>IF(OR(A203="",L203="bezahlt",J203=""),"",MAX(0,TODAY()-J203))</f>
        <v/>
      </c>
    </row>
    <row r="204">
      <c r="A204" s="30" t="inlineStr"/>
      <c r="B204" s="38" t="inlineStr"/>
      <c r="C204" s="30" t="inlineStr"/>
      <c r="D204" s="30" t="inlineStr"/>
      <c r="E204" s="30" t="inlineStr"/>
      <c r="F204" s="31" t="inlineStr"/>
      <c r="G204" s="34" t="inlineStr"/>
      <c r="H204" s="32" t="inlineStr"/>
      <c r="I204" s="32" t="inlineStr"/>
      <c r="J204" s="38" t="inlineStr"/>
      <c r="K204" s="38" t="inlineStr"/>
      <c r="L204" s="30" t="inlineStr"/>
      <c r="M204" s="30" t="inlineStr"/>
      <c r="N204" s="15">
        <f>IF(A204="","",G204*H204)</f>
        <v/>
      </c>
      <c r="O204" s="15">
        <f>IF(A204="","",G204-N204)</f>
        <v/>
      </c>
      <c r="P204" s="15">
        <f>IF(A204="","",O204*I204)</f>
        <v/>
      </c>
      <c r="Q204" s="15">
        <f>IF(A204="","",O204+P204)</f>
        <v/>
      </c>
      <c r="R204" s="15">
        <f>IF(A204="","",SUMIFS('15_Zahlungen'!$F:$F,'15_Zahlungen'!$D:$D,A204,'15_Zahlungen'!$C:$C,"Eingang"))</f>
        <v/>
      </c>
      <c r="S204" s="15">
        <f>IF(A204="","",MAX(0,Q204-R204))</f>
        <v/>
      </c>
      <c r="T204" s="45">
        <f>IF(OR(A204="",L204="bezahlt",J204=""),"",MAX(0,TODAY()-J204))</f>
        <v/>
      </c>
    </row>
    <row r="205">
      <c r="A205" s="30" t="inlineStr"/>
      <c r="B205" s="38" t="inlineStr"/>
      <c r="C205" s="30" t="inlineStr"/>
      <c r="D205" s="30" t="inlineStr"/>
      <c r="E205" s="30" t="inlineStr"/>
      <c r="F205" s="31" t="inlineStr"/>
      <c r="G205" s="34" t="inlineStr"/>
      <c r="H205" s="32" t="inlineStr"/>
      <c r="I205" s="32" t="inlineStr"/>
      <c r="J205" s="38" t="inlineStr"/>
      <c r="K205" s="38" t="inlineStr"/>
      <c r="L205" s="30" t="inlineStr"/>
      <c r="M205" s="30" t="inlineStr"/>
      <c r="N205" s="15">
        <f>IF(A205="","",G205*H205)</f>
        <v/>
      </c>
      <c r="O205" s="15">
        <f>IF(A205="","",G205-N205)</f>
        <v/>
      </c>
      <c r="P205" s="15">
        <f>IF(A205="","",O205*I205)</f>
        <v/>
      </c>
      <c r="Q205" s="15">
        <f>IF(A205="","",O205+P205)</f>
        <v/>
      </c>
      <c r="R205" s="15">
        <f>IF(A205="","",SUMIFS('15_Zahlungen'!$F:$F,'15_Zahlungen'!$D:$D,A205,'15_Zahlungen'!$C:$C,"Eingang"))</f>
        <v/>
      </c>
      <c r="S205" s="15">
        <f>IF(A205="","",MAX(0,Q205-R205))</f>
        <v/>
      </c>
      <c r="T205" s="45">
        <f>IF(OR(A205="",L205="bezahlt",J205=""),"",MAX(0,TODAY()-J205))</f>
        <v/>
      </c>
    </row>
    <row r="206">
      <c r="A206" s="30" t="inlineStr"/>
      <c r="B206" s="38" t="inlineStr"/>
      <c r="C206" s="30" t="inlineStr"/>
      <c r="D206" s="30" t="inlineStr"/>
      <c r="E206" s="30" t="inlineStr"/>
      <c r="F206" s="31" t="inlineStr"/>
      <c r="G206" s="34" t="inlineStr"/>
      <c r="H206" s="32" t="inlineStr"/>
      <c r="I206" s="32" t="inlineStr"/>
      <c r="J206" s="38" t="inlineStr"/>
      <c r="K206" s="38" t="inlineStr"/>
      <c r="L206" s="30" t="inlineStr"/>
      <c r="M206" s="30" t="inlineStr"/>
      <c r="N206" s="15">
        <f>IF(A206="","",G206*H206)</f>
        <v/>
      </c>
      <c r="O206" s="15">
        <f>IF(A206="","",G206-N206)</f>
        <v/>
      </c>
      <c r="P206" s="15">
        <f>IF(A206="","",O206*I206)</f>
        <v/>
      </c>
      <c r="Q206" s="15">
        <f>IF(A206="","",O206+P206)</f>
        <v/>
      </c>
      <c r="R206" s="15">
        <f>IF(A206="","",SUMIFS('15_Zahlungen'!$F:$F,'15_Zahlungen'!$D:$D,A206,'15_Zahlungen'!$C:$C,"Eingang"))</f>
        <v/>
      </c>
      <c r="S206" s="15">
        <f>IF(A206="","",MAX(0,Q206-R206))</f>
        <v/>
      </c>
      <c r="T206" s="45">
        <f>IF(OR(A206="",L206="bezahlt",J206=""),"",MAX(0,TODAY()-J206))</f>
        <v/>
      </c>
    </row>
    <row r="207">
      <c r="A207" s="30" t="inlineStr"/>
      <c r="B207" s="38" t="inlineStr"/>
      <c r="C207" s="30" t="inlineStr"/>
      <c r="D207" s="30" t="inlineStr"/>
      <c r="E207" s="30" t="inlineStr"/>
      <c r="F207" s="31" t="inlineStr"/>
      <c r="G207" s="34" t="inlineStr"/>
      <c r="H207" s="32" t="inlineStr"/>
      <c r="I207" s="32" t="inlineStr"/>
      <c r="J207" s="38" t="inlineStr"/>
      <c r="K207" s="38" t="inlineStr"/>
      <c r="L207" s="30" t="inlineStr"/>
      <c r="M207" s="30" t="inlineStr"/>
      <c r="N207" s="15">
        <f>IF(A207="","",G207*H207)</f>
        <v/>
      </c>
      <c r="O207" s="15">
        <f>IF(A207="","",G207-N207)</f>
        <v/>
      </c>
      <c r="P207" s="15">
        <f>IF(A207="","",O207*I207)</f>
        <v/>
      </c>
      <c r="Q207" s="15">
        <f>IF(A207="","",O207+P207)</f>
        <v/>
      </c>
      <c r="R207" s="15">
        <f>IF(A207="","",SUMIFS('15_Zahlungen'!$F:$F,'15_Zahlungen'!$D:$D,A207,'15_Zahlungen'!$C:$C,"Eingang"))</f>
        <v/>
      </c>
      <c r="S207" s="15">
        <f>IF(A207="","",MAX(0,Q207-R207))</f>
        <v/>
      </c>
      <c r="T207" s="45">
        <f>IF(OR(A207="",L207="bezahlt",J207=""),"",MAX(0,TODAY()-J207))</f>
        <v/>
      </c>
    </row>
    <row r="208">
      <c r="A208" s="30" t="inlineStr"/>
      <c r="B208" s="38" t="inlineStr"/>
      <c r="C208" s="30" t="inlineStr"/>
      <c r="D208" s="30" t="inlineStr"/>
      <c r="E208" s="30" t="inlineStr"/>
      <c r="F208" s="31" t="inlineStr"/>
      <c r="G208" s="34" t="inlineStr"/>
      <c r="H208" s="32" t="inlineStr"/>
      <c r="I208" s="32" t="inlineStr"/>
      <c r="J208" s="38" t="inlineStr"/>
      <c r="K208" s="38" t="inlineStr"/>
      <c r="L208" s="30" t="inlineStr"/>
      <c r="M208" s="30" t="inlineStr"/>
      <c r="N208" s="15">
        <f>IF(A208="","",G208*H208)</f>
        <v/>
      </c>
      <c r="O208" s="15">
        <f>IF(A208="","",G208-N208)</f>
        <v/>
      </c>
      <c r="P208" s="15">
        <f>IF(A208="","",O208*I208)</f>
        <v/>
      </c>
      <c r="Q208" s="15">
        <f>IF(A208="","",O208+P208)</f>
        <v/>
      </c>
      <c r="R208" s="15">
        <f>IF(A208="","",SUMIFS('15_Zahlungen'!$F:$F,'15_Zahlungen'!$D:$D,A208,'15_Zahlungen'!$C:$C,"Eingang"))</f>
        <v/>
      </c>
      <c r="S208" s="15">
        <f>IF(A208="","",MAX(0,Q208-R208))</f>
        <v/>
      </c>
      <c r="T208" s="45">
        <f>IF(OR(A208="",L208="bezahlt",J208=""),"",MAX(0,TODAY()-J208))</f>
        <v/>
      </c>
    </row>
    <row r="209">
      <c r="A209" s="30" t="inlineStr"/>
      <c r="B209" s="38" t="inlineStr"/>
      <c r="C209" s="30" t="inlineStr"/>
      <c r="D209" s="30" t="inlineStr"/>
      <c r="E209" s="30" t="inlineStr"/>
      <c r="F209" s="31" t="inlineStr"/>
      <c r="G209" s="34" t="inlineStr"/>
      <c r="H209" s="32" t="inlineStr"/>
      <c r="I209" s="32" t="inlineStr"/>
      <c r="J209" s="38" t="inlineStr"/>
      <c r="K209" s="38" t="inlineStr"/>
      <c r="L209" s="30" t="inlineStr"/>
      <c r="M209" s="30" t="inlineStr"/>
      <c r="N209" s="15">
        <f>IF(A209="","",G209*H209)</f>
        <v/>
      </c>
      <c r="O209" s="15">
        <f>IF(A209="","",G209-N209)</f>
        <v/>
      </c>
      <c r="P209" s="15">
        <f>IF(A209="","",O209*I209)</f>
        <v/>
      </c>
      <c r="Q209" s="15">
        <f>IF(A209="","",O209+P209)</f>
        <v/>
      </c>
      <c r="R209" s="15">
        <f>IF(A209="","",SUMIFS('15_Zahlungen'!$F:$F,'15_Zahlungen'!$D:$D,A209,'15_Zahlungen'!$C:$C,"Eingang"))</f>
        <v/>
      </c>
      <c r="S209" s="15">
        <f>IF(A209="","",MAX(0,Q209-R209))</f>
        <v/>
      </c>
      <c r="T209" s="45">
        <f>IF(OR(A209="",L209="bezahlt",J209=""),"",MAX(0,TODAY()-J209))</f>
        <v/>
      </c>
    </row>
    <row r="210">
      <c r="A210" s="30" t="inlineStr"/>
      <c r="B210" s="38" t="inlineStr"/>
      <c r="C210" s="30" t="inlineStr"/>
      <c r="D210" s="30" t="inlineStr"/>
      <c r="E210" s="30" t="inlineStr"/>
      <c r="F210" s="31" t="inlineStr"/>
      <c r="G210" s="34" t="inlineStr"/>
      <c r="H210" s="32" t="inlineStr"/>
      <c r="I210" s="32" t="inlineStr"/>
      <c r="J210" s="38" t="inlineStr"/>
      <c r="K210" s="38" t="inlineStr"/>
      <c r="L210" s="30" t="inlineStr"/>
      <c r="M210" s="30" t="inlineStr"/>
      <c r="N210" s="15">
        <f>IF(A210="","",G210*H210)</f>
        <v/>
      </c>
      <c r="O210" s="15">
        <f>IF(A210="","",G210-N210)</f>
        <v/>
      </c>
      <c r="P210" s="15">
        <f>IF(A210="","",O210*I210)</f>
        <v/>
      </c>
      <c r="Q210" s="15">
        <f>IF(A210="","",O210+P210)</f>
        <v/>
      </c>
      <c r="R210" s="15">
        <f>IF(A210="","",SUMIFS('15_Zahlungen'!$F:$F,'15_Zahlungen'!$D:$D,A210,'15_Zahlungen'!$C:$C,"Eingang"))</f>
        <v/>
      </c>
      <c r="S210" s="15">
        <f>IF(A210="","",MAX(0,Q210-R210))</f>
        <v/>
      </c>
      <c r="T210" s="45">
        <f>IF(OR(A210="",L210="bezahlt",J210=""),"",MAX(0,TODAY()-J210))</f>
        <v/>
      </c>
    </row>
    <row r="211">
      <c r="A211" s="30" t="inlineStr"/>
      <c r="B211" s="38" t="inlineStr"/>
      <c r="C211" s="30" t="inlineStr"/>
      <c r="D211" s="30" t="inlineStr"/>
      <c r="E211" s="30" t="inlineStr"/>
      <c r="F211" s="31" t="inlineStr"/>
      <c r="G211" s="34" t="inlineStr"/>
      <c r="H211" s="32" t="inlineStr"/>
      <c r="I211" s="32" t="inlineStr"/>
      <c r="J211" s="38" t="inlineStr"/>
      <c r="K211" s="38" t="inlineStr"/>
      <c r="L211" s="30" t="inlineStr"/>
      <c r="M211" s="30" t="inlineStr"/>
      <c r="N211" s="15">
        <f>IF(A211="","",G211*H211)</f>
        <v/>
      </c>
      <c r="O211" s="15">
        <f>IF(A211="","",G211-N211)</f>
        <v/>
      </c>
      <c r="P211" s="15">
        <f>IF(A211="","",O211*I211)</f>
        <v/>
      </c>
      <c r="Q211" s="15">
        <f>IF(A211="","",O211+P211)</f>
        <v/>
      </c>
      <c r="R211" s="15">
        <f>IF(A211="","",SUMIFS('15_Zahlungen'!$F:$F,'15_Zahlungen'!$D:$D,A211,'15_Zahlungen'!$C:$C,"Eingang"))</f>
        <v/>
      </c>
      <c r="S211" s="15">
        <f>IF(A211="","",MAX(0,Q211-R211))</f>
        <v/>
      </c>
      <c r="T211" s="45">
        <f>IF(OR(A211="",L211="bezahlt",J211=""),"",MAX(0,TODAY()-J211))</f>
        <v/>
      </c>
    </row>
    <row r="212">
      <c r="A212" s="30" t="inlineStr"/>
      <c r="B212" s="38" t="inlineStr"/>
      <c r="C212" s="30" t="inlineStr"/>
      <c r="D212" s="30" t="inlineStr"/>
      <c r="E212" s="30" t="inlineStr"/>
      <c r="F212" s="31" t="inlineStr"/>
      <c r="G212" s="34" t="inlineStr"/>
      <c r="H212" s="32" t="inlineStr"/>
      <c r="I212" s="32" t="inlineStr"/>
      <c r="J212" s="38" t="inlineStr"/>
      <c r="K212" s="38" t="inlineStr"/>
      <c r="L212" s="30" t="inlineStr"/>
      <c r="M212" s="30" t="inlineStr"/>
      <c r="N212" s="15">
        <f>IF(A212="","",G212*H212)</f>
        <v/>
      </c>
      <c r="O212" s="15">
        <f>IF(A212="","",G212-N212)</f>
        <v/>
      </c>
      <c r="P212" s="15">
        <f>IF(A212="","",O212*I212)</f>
        <v/>
      </c>
      <c r="Q212" s="15">
        <f>IF(A212="","",O212+P212)</f>
        <v/>
      </c>
      <c r="R212" s="15">
        <f>IF(A212="","",SUMIFS('15_Zahlungen'!$F:$F,'15_Zahlungen'!$D:$D,A212,'15_Zahlungen'!$C:$C,"Eingang"))</f>
        <v/>
      </c>
      <c r="S212" s="15">
        <f>IF(A212="","",MAX(0,Q212-R212))</f>
        <v/>
      </c>
      <c r="T212" s="45">
        <f>IF(OR(A212="",L212="bezahlt",J212=""),"",MAX(0,TODAY()-J212))</f>
        <v/>
      </c>
    </row>
    <row r="213">
      <c r="A213" s="30" t="inlineStr"/>
      <c r="B213" s="38" t="inlineStr"/>
      <c r="C213" s="30" t="inlineStr"/>
      <c r="D213" s="30" t="inlineStr"/>
      <c r="E213" s="30" t="inlineStr"/>
      <c r="F213" s="31" t="inlineStr"/>
      <c r="G213" s="34" t="inlineStr"/>
      <c r="H213" s="32" t="inlineStr"/>
      <c r="I213" s="32" t="inlineStr"/>
      <c r="J213" s="38" t="inlineStr"/>
      <c r="K213" s="38" t="inlineStr"/>
      <c r="L213" s="30" t="inlineStr"/>
      <c r="M213" s="30" t="inlineStr"/>
      <c r="N213" s="15">
        <f>IF(A213="","",G213*H213)</f>
        <v/>
      </c>
      <c r="O213" s="15">
        <f>IF(A213="","",G213-N213)</f>
        <v/>
      </c>
      <c r="P213" s="15">
        <f>IF(A213="","",O213*I213)</f>
        <v/>
      </c>
      <c r="Q213" s="15">
        <f>IF(A213="","",O213+P213)</f>
        <v/>
      </c>
      <c r="R213" s="15">
        <f>IF(A213="","",SUMIFS('15_Zahlungen'!$F:$F,'15_Zahlungen'!$D:$D,A213,'15_Zahlungen'!$C:$C,"Eingang"))</f>
        <v/>
      </c>
      <c r="S213" s="15">
        <f>IF(A213="","",MAX(0,Q213-R213))</f>
        <v/>
      </c>
      <c r="T213" s="45">
        <f>IF(OR(A213="",L213="bezahlt",J213=""),"",MAX(0,TODAY()-J213))</f>
        <v/>
      </c>
    </row>
    <row r="214">
      <c r="A214" s="30" t="inlineStr"/>
      <c r="B214" s="38" t="inlineStr"/>
      <c r="C214" s="30" t="inlineStr"/>
      <c r="D214" s="30" t="inlineStr"/>
      <c r="E214" s="30" t="inlineStr"/>
      <c r="F214" s="31" t="inlineStr"/>
      <c r="G214" s="34" t="inlineStr"/>
      <c r="H214" s="32" t="inlineStr"/>
      <c r="I214" s="32" t="inlineStr"/>
      <c r="J214" s="38" t="inlineStr"/>
      <c r="K214" s="38" t="inlineStr"/>
      <c r="L214" s="30" t="inlineStr"/>
      <c r="M214" s="30" t="inlineStr"/>
      <c r="N214" s="15">
        <f>IF(A214="","",G214*H214)</f>
        <v/>
      </c>
      <c r="O214" s="15">
        <f>IF(A214="","",G214-N214)</f>
        <v/>
      </c>
      <c r="P214" s="15">
        <f>IF(A214="","",O214*I214)</f>
        <v/>
      </c>
      <c r="Q214" s="15">
        <f>IF(A214="","",O214+P214)</f>
        <v/>
      </c>
      <c r="R214" s="15">
        <f>IF(A214="","",SUMIFS('15_Zahlungen'!$F:$F,'15_Zahlungen'!$D:$D,A214,'15_Zahlungen'!$C:$C,"Eingang"))</f>
        <v/>
      </c>
      <c r="S214" s="15">
        <f>IF(A214="","",MAX(0,Q214-R214))</f>
        <v/>
      </c>
      <c r="T214" s="45">
        <f>IF(OR(A214="",L214="bezahlt",J214=""),"",MAX(0,TODAY()-J214))</f>
        <v/>
      </c>
    </row>
    <row r="215">
      <c r="A215" s="30" t="inlineStr"/>
      <c r="B215" s="38" t="inlineStr"/>
      <c r="C215" s="30" t="inlineStr"/>
      <c r="D215" s="30" t="inlineStr"/>
      <c r="E215" s="30" t="inlineStr"/>
      <c r="F215" s="31" t="inlineStr"/>
      <c r="G215" s="34" t="inlineStr"/>
      <c r="H215" s="32" t="inlineStr"/>
      <c r="I215" s="32" t="inlineStr"/>
      <c r="J215" s="38" t="inlineStr"/>
      <c r="K215" s="38" t="inlineStr"/>
      <c r="L215" s="30" t="inlineStr"/>
      <c r="M215" s="30" t="inlineStr"/>
      <c r="N215" s="15">
        <f>IF(A215="","",G215*H215)</f>
        <v/>
      </c>
      <c r="O215" s="15">
        <f>IF(A215="","",G215-N215)</f>
        <v/>
      </c>
      <c r="P215" s="15">
        <f>IF(A215="","",O215*I215)</f>
        <v/>
      </c>
      <c r="Q215" s="15">
        <f>IF(A215="","",O215+P215)</f>
        <v/>
      </c>
      <c r="R215" s="15">
        <f>IF(A215="","",SUMIFS('15_Zahlungen'!$F:$F,'15_Zahlungen'!$D:$D,A215,'15_Zahlungen'!$C:$C,"Eingang"))</f>
        <v/>
      </c>
      <c r="S215" s="15">
        <f>IF(A215="","",MAX(0,Q215-R215))</f>
        <v/>
      </c>
      <c r="T215" s="45">
        <f>IF(OR(A215="",L215="bezahlt",J215=""),"",MAX(0,TODAY()-J215))</f>
        <v/>
      </c>
    </row>
    <row r="216">
      <c r="A216" s="30" t="inlineStr"/>
      <c r="B216" s="38" t="inlineStr"/>
      <c r="C216" s="30" t="inlineStr"/>
      <c r="D216" s="30" t="inlineStr"/>
      <c r="E216" s="30" t="inlineStr"/>
      <c r="F216" s="31" t="inlineStr"/>
      <c r="G216" s="34" t="inlineStr"/>
      <c r="H216" s="32" t="inlineStr"/>
      <c r="I216" s="32" t="inlineStr"/>
      <c r="J216" s="38" t="inlineStr"/>
      <c r="K216" s="38" t="inlineStr"/>
      <c r="L216" s="30" t="inlineStr"/>
      <c r="M216" s="30" t="inlineStr"/>
      <c r="N216" s="15">
        <f>IF(A216="","",G216*H216)</f>
        <v/>
      </c>
      <c r="O216" s="15">
        <f>IF(A216="","",G216-N216)</f>
        <v/>
      </c>
      <c r="P216" s="15">
        <f>IF(A216="","",O216*I216)</f>
        <v/>
      </c>
      <c r="Q216" s="15">
        <f>IF(A216="","",O216+P216)</f>
        <v/>
      </c>
      <c r="R216" s="15">
        <f>IF(A216="","",SUMIFS('15_Zahlungen'!$F:$F,'15_Zahlungen'!$D:$D,A216,'15_Zahlungen'!$C:$C,"Eingang"))</f>
        <v/>
      </c>
      <c r="S216" s="15">
        <f>IF(A216="","",MAX(0,Q216-R216))</f>
        <v/>
      </c>
      <c r="T216" s="45">
        <f>IF(OR(A216="",L216="bezahlt",J216=""),"",MAX(0,TODAY()-J216))</f>
        <v/>
      </c>
    </row>
    <row r="217">
      <c r="A217" s="30" t="inlineStr"/>
      <c r="B217" s="38" t="inlineStr"/>
      <c r="C217" s="30" t="inlineStr"/>
      <c r="D217" s="30" t="inlineStr"/>
      <c r="E217" s="30" t="inlineStr"/>
      <c r="F217" s="31" t="inlineStr"/>
      <c r="G217" s="34" t="inlineStr"/>
      <c r="H217" s="32" t="inlineStr"/>
      <c r="I217" s="32" t="inlineStr"/>
      <c r="J217" s="38" t="inlineStr"/>
      <c r="K217" s="38" t="inlineStr"/>
      <c r="L217" s="30" t="inlineStr"/>
      <c r="M217" s="30" t="inlineStr"/>
      <c r="N217" s="15">
        <f>IF(A217="","",G217*H217)</f>
        <v/>
      </c>
      <c r="O217" s="15">
        <f>IF(A217="","",G217-N217)</f>
        <v/>
      </c>
      <c r="P217" s="15">
        <f>IF(A217="","",O217*I217)</f>
        <v/>
      </c>
      <c r="Q217" s="15">
        <f>IF(A217="","",O217+P217)</f>
        <v/>
      </c>
      <c r="R217" s="15">
        <f>IF(A217="","",SUMIFS('15_Zahlungen'!$F:$F,'15_Zahlungen'!$D:$D,A217,'15_Zahlungen'!$C:$C,"Eingang"))</f>
        <v/>
      </c>
      <c r="S217" s="15">
        <f>IF(A217="","",MAX(0,Q217-R217))</f>
        <v/>
      </c>
      <c r="T217" s="45">
        <f>IF(OR(A217="",L217="bezahlt",J217=""),"",MAX(0,TODAY()-J217))</f>
        <v/>
      </c>
    </row>
    <row r="218">
      <c r="A218" s="30" t="inlineStr"/>
      <c r="B218" s="38" t="inlineStr"/>
      <c r="C218" s="30" t="inlineStr"/>
      <c r="D218" s="30" t="inlineStr"/>
      <c r="E218" s="30" t="inlineStr"/>
      <c r="F218" s="31" t="inlineStr"/>
      <c r="G218" s="34" t="inlineStr"/>
      <c r="H218" s="32" t="inlineStr"/>
      <c r="I218" s="32" t="inlineStr"/>
      <c r="J218" s="38" t="inlineStr"/>
      <c r="K218" s="38" t="inlineStr"/>
      <c r="L218" s="30" t="inlineStr"/>
      <c r="M218" s="30" t="inlineStr"/>
      <c r="N218" s="15">
        <f>IF(A218="","",G218*H218)</f>
        <v/>
      </c>
      <c r="O218" s="15">
        <f>IF(A218="","",G218-N218)</f>
        <v/>
      </c>
      <c r="P218" s="15">
        <f>IF(A218="","",O218*I218)</f>
        <v/>
      </c>
      <c r="Q218" s="15">
        <f>IF(A218="","",O218+P218)</f>
        <v/>
      </c>
      <c r="R218" s="15">
        <f>IF(A218="","",SUMIFS('15_Zahlungen'!$F:$F,'15_Zahlungen'!$D:$D,A218,'15_Zahlungen'!$C:$C,"Eingang"))</f>
        <v/>
      </c>
      <c r="S218" s="15">
        <f>IF(A218="","",MAX(0,Q218-R218))</f>
        <v/>
      </c>
      <c r="T218" s="45">
        <f>IF(OR(A218="",L218="bezahlt",J218=""),"",MAX(0,TODAY()-J218))</f>
        <v/>
      </c>
    </row>
    <row r="219">
      <c r="A219" s="30" t="inlineStr"/>
      <c r="B219" s="38" t="inlineStr"/>
      <c r="C219" s="30" t="inlineStr"/>
      <c r="D219" s="30" t="inlineStr"/>
      <c r="E219" s="30" t="inlineStr"/>
      <c r="F219" s="31" t="inlineStr"/>
      <c r="G219" s="34" t="inlineStr"/>
      <c r="H219" s="32" t="inlineStr"/>
      <c r="I219" s="32" t="inlineStr"/>
      <c r="J219" s="38" t="inlineStr"/>
      <c r="K219" s="38" t="inlineStr"/>
      <c r="L219" s="30" t="inlineStr"/>
      <c r="M219" s="30" t="inlineStr"/>
      <c r="N219" s="15">
        <f>IF(A219="","",G219*H219)</f>
        <v/>
      </c>
      <c r="O219" s="15">
        <f>IF(A219="","",G219-N219)</f>
        <v/>
      </c>
      <c r="P219" s="15">
        <f>IF(A219="","",O219*I219)</f>
        <v/>
      </c>
      <c r="Q219" s="15">
        <f>IF(A219="","",O219+P219)</f>
        <v/>
      </c>
      <c r="R219" s="15">
        <f>IF(A219="","",SUMIFS('15_Zahlungen'!$F:$F,'15_Zahlungen'!$D:$D,A219,'15_Zahlungen'!$C:$C,"Eingang"))</f>
        <v/>
      </c>
      <c r="S219" s="15">
        <f>IF(A219="","",MAX(0,Q219-R219))</f>
        <v/>
      </c>
      <c r="T219" s="45">
        <f>IF(OR(A219="",L219="bezahlt",J219=""),"",MAX(0,TODAY()-J219))</f>
        <v/>
      </c>
    </row>
    <row r="220">
      <c r="A220" s="30" t="inlineStr"/>
      <c r="B220" s="38" t="inlineStr"/>
      <c r="C220" s="30" t="inlineStr"/>
      <c r="D220" s="30" t="inlineStr"/>
      <c r="E220" s="30" t="inlineStr"/>
      <c r="F220" s="31" t="inlineStr"/>
      <c r="G220" s="34" t="inlineStr"/>
      <c r="H220" s="32" t="inlineStr"/>
      <c r="I220" s="32" t="inlineStr"/>
      <c r="J220" s="38" t="inlineStr"/>
      <c r="K220" s="38" t="inlineStr"/>
      <c r="L220" s="30" t="inlineStr"/>
      <c r="M220" s="30" t="inlineStr"/>
      <c r="N220" s="15">
        <f>IF(A220="","",G220*H220)</f>
        <v/>
      </c>
      <c r="O220" s="15">
        <f>IF(A220="","",G220-N220)</f>
        <v/>
      </c>
      <c r="P220" s="15">
        <f>IF(A220="","",O220*I220)</f>
        <v/>
      </c>
      <c r="Q220" s="15">
        <f>IF(A220="","",O220+P220)</f>
        <v/>
      </c>
      <c r="R220" s="15">
        <f>IF(A220="","",SUMIFS('15_Zahlungen'!$F:$F,'15_Zahlungen'!$D:$D,A220,'15_Zahlungen'!$C:$C,"Eingang"))</f>
        <v/>
      </c>
      <c r="S220" s="15">
        <f>IF(A220="","",MAX(0,Q220-R220))</f>
        <v/>
      </c>
      <c r="T220" s="45">
        <f>IF(OR(A220="",L220="bezahlt",J220=""),"",MAX(0,TODAY()-J220))</f>
        <v/>
      </c>
    </row>
    <row r="221">
      <c r="A221" s="30" t="inlineStr"/>
      <c r="B221" s="38" t="inlineStr"/>
      <c r="C221" s="30" t="inlineStr"/>
      <c r="D221" s="30" t="inlineStr"/>
      <c r="E221" s="30" t="inlineStr"/>
      <c r="F221" s="31" t="inlineStr"/>
      <c r="G221" s="34" t="inlineStr"/>
      <c r="H221" s="32" t="inlineStr"/>
      <c r="I221" s="32" t="inlineStr"/>
      <c r="J221" s="38" t="inlineStr"/>
      <c r="K221" s="38" t="inlineStr"/>
      <c r="L221" s="30" t="inlineStr"/>
      <c r="M221" s="30" t="inlineStr"/>
      <c r="N221" s="15">
        <f>IF(A221="","",G221*H221)</f>
        <v/>
      </c>
      <c r="O221" s="15">
        <f>IF(A221="","",G221-N221)</f>
        <v/>
      </c>
      <c r="P221" s="15">
        <f>IF(A221="","",O221*I221)</f>
        <v/>
      </c>
      <c r="Q221" s="15">
        <f>IF(A221="","",O221+P221)</f>
        <v/>
      </c>
      <c r="R221" s="15">
        <f>IF(A221="","",SUMIFS('15_Zahlungen'!$F:$F,'15_Zahlungen'!$D:$D,A221,'15_Zahlungen'!$C:$C,"Eingang"))</f>
        <v/>
      </c>
      <c r="S221" s="15">
        <f>IF(A221="","",MAX(0,Q221-R221))</f>
        <v/>
      </c>
      <c r="T221" s="45">
        <f>IF(OR(A221="",L221="bezahlt",J221=""),"",MAX(0,TODAY()-J221))</f>
        <v/>
      </c>
    </row>
    <row r="222">
      <c r="A222" s="30" t="inlineStr"/>
      <c r="B222" s="38" t="inlineStr"/>
      <c r="C222" s="30" t="inlineStr"/>
      <c r="D222" s="30" t="inlineStr"/>
      <c r="E222" s="30" t="inlineStr"/>
      <c r="F222" s="31" t="inlineStr"/>
      <c r="G222" s="34" t="inlineStr"/>
      <c r="H222" s="32" t="inlineStr"/>
      <c r="I222" s="32" t="inlineStr"/>
      <c r="J222" s="38" t="inlineStr"/>
      <c r="K222" s="38" t="inlineStr"/>
      <c r="L222" s="30" t="inlineStr"/>
      <c r="M222" s="30" t="inlineStr"/>
      <c r="N222" s="15">
        <f>IF(A222="","",G222*H222)</f>
        <v/>
      </c>
      <c r="O222" s="15">
        <f>IF(A222="","",G222-N222)</f>
        <v/>
      </c>
      <c r="P222" s="15">
        <f>IF(A222="","",O222*I222)</f>
        <v/>
      </c>
      <c r="Q222" s="15">
        <f>IF(A222="","",O222+P222)</f>
        <v/>
      </c>
      <c r="R222" s="15">
        <f>IF(A222="","",SUMIFS('15_Zahlungen'!$F:$F,'15_Zahlungen'!$D:$D,A222,'15_Zahlungen'!$C:$C,"Eingang"))</f>
        <v/>
      </c>
      <c r="S222" s="15">
        <f>IF(A222="","",MAX(0,Q222-R222))</f>
        <v/>
      </c>
      <c r="T222" s="45">
        <f>IF(OR(A222="",L222="bezahlt",J222=""),"",MAX(0,TODAY()-J222))</f>
        <v/>
      </c>
    </row>
    <row r="223">
      <c r="A223" s="30" t="inlineStr"/>
      <c r="B223" s="38" t="inlineStr"/>
      <c r="C223" s="30" t="inlineStr"/>
      <c r="D223" s="30" t="inlineStr"/>
      <c r="E223" s="30" t="inlineStr"/>
      <c r="F223" s="31" t="inlineStr"/>
      <c r="G223" s="34" t="inlineStr"/>
      <c r="H223" s="32" t="inlineStr"/>
      <c r="I223" s="32" t="inlineStr"/>
      <c r="J223" s="38" t="inlineStr"/>
      <c r="K223" s="38" t="inlineStr"/>
      <c r="L223" s="30" t="inlineStr"/>
      <c r="M223" s="30" t="inlineStr"/>
      <c r="N223" s="15">
        <f>IF(A223="","",G223*H223)</f>
        <v/>
      </c>
      <c r="O223" s="15">
        <f>IF(A223="","",G223-N223)</f>
        <v/>
      </c>
      <c r="P223" s="15">
        <f>IF(A223="","",O223*I223)</f>
        <v/>
      </c>
      <c r="Q223" s="15">
        <f>IF(A223="","",O223+P223)</f>
        <v/>
      </c>
      <c r="R223" s="15">
        <f>IF(A223="","",SUMIFS('15_Zahlungen'!$F:$F,'15_Zahlungen'!$D:$D,A223,'15_Zahlungen'!$C:$C,"Eingang"))</f>
        <v/>
      </c>
      <c r="S223" s="15">
        <f>IF(A223="","",MAX(0,Q223-R223))</f>
        <v/>
      </c>
      <c r="T223" s="45">
        <f>IF(OR(A223="",L223="bezahlt",J223=""),"",MAX(0,TODAY()-J223))</f>
        <v/>
      </c>
    </row>
    <row r="224">
      <c r="A224" s="30" t="inlineStr"/>
      <c r="B224" s="38" t="inlineStr"/>
      <c r="C224" s="30" t="inlineStr"/>
      <c r="D224" s="30" t="inlineStr"/>
      <c r="E224" s="30" t="inlineStr"/>
      <c r="F224" s="31" t="inlineStr"/>
      <c r="G224" s="34" t="inlineStr"/>
      <c r="H224" s="32" t="inlineStr"/>
      <c r="I224" s="32" t="inlineStr"/>
      <c r="J224" s="38" t="inlineStr"/>
      <c r="K224" s="38" t="inlineStr"/>
      <c r="L224" s="30" t="inlineStr"/>
      <c r="M224" s="30" t="inlineStr"/>
      <c r="N224" s="15">
        <f>IF(A224="","",G224*H224)</f>
        <v/>
      </c>
      <c r="O224" s="15">
        <f>IF(A224="","",G224-N224)</f>
        <v/>
      </c>
      <c r="P224" s="15">
        <f>IF(A224="","",O224*I224)</f>
        <v/>
      </c>
      <c r="Q224" s="15">
        <f>IF(A224="","",O224+P224)</f>
        <v/>
      </c>
      <c r="R224" s="15">
        <f>IF(A224="","",SUMIFS('15_Zahlungen'!$F:$F,'15_Zahlungen'!$D:$D,A224,'15_Zahlungen'!$C:$C,"Eingang"))</f>
        <v/>
      </c>
      <c r="S224" s="15">
        <f>IF(A224="","",MAX(0,Q224-R224))</f>
        <v/>
      </c>
      <c r="T224" s="45">
        <f>IF(OR(A224="",L224="bezahlt",J224=""),"",MAX(0,TODAY()-J224))</f>
        <v/>
      </c>
    </row>
    <row r="225">
      <c r="A225" s="30" t="inlineStr"/>
      <c r="B225" s="38" t="inlineStr"/>
      <c r="C225" s="30" t="inlineStr"/>
      <c r="D225" s="30" t="inlineStr"/>
      <c r="E225" s="30" t="inlineStr"/>
      <c r="F225" s="31" t="inlineStr"/>
      <c r="G225" s="34" t="inlineStr"/>
      <c r="H225" s="32" t="inlineStr"/>
      <c r="I225" s="32" t="inlineStr"/>
      <c r="J225" s="38" t="inlineStr"/>
      <c r="K225" s="38" t="inlineStr"/>
      <c r="L225" s="30" t="inlineStr"/>
      <c r="M225" s="30" t="inlineStr"/>
      <c r="N225" s="15">
        <f>IF(A225="","",G225*H225)</f>
        <v/>
      </c>
      <c r="O225" s="15">
        <f>IF(A225="","",G225-N225)</f>
        <v/>
      </c>
      <c r="P225" s="15">
        <f>IF(A225="","",O225*I225)</f>
        <v/>
      </c>
      <c r="Q225" s="15">
        <f>IF(A225="","",O225+P225)</f>
        <v/>
      </c>
      <c r="R225" s="15">
        <f>IF(A225="","",SUMIFS('15_Zahlungen'!$F:$F,'15_Zahlungen'!$D:$D,A225,'15_Zahlungen'!$C:$C,"Eingang"))</f>
        <v/>
      </c>
      <c r="S225" s="15">
        <f>IF(A225="","",MAX(0,Q225-R225))</f>
        <v/>
      </c>
      <c r="T225" s="45">
        <f>IF(OR(A225="",L225="bezahlt",J225=""),"",MAX(0,TODAY()-J225))</f>
        <v/>
      </c>
    </row>
    <row r="226">
      <c r="A226" s="30" t="inlineStr"/>
      <c r="B226" s="38" t="inlineStr"/>
      <c r="C226" s="30" t="inlineStr"/>
      <c r="D226" s="30" t="inlineStr"/>
      <c r="E226" s="30" t="inlineStr"/>
      <c r="F226" s="31" t="inlineStr"/>
      <c r="G226" s="34" t="inlineStr"/>
      <c r="H226" s="32" t="inlineStr"/>
      <c r="I226" s="32" t="inlineStr"/>
      <c r="J226" s="38" t="inlineStr"/>
      <c r="K226" s="38" t="inlineStr"/>
      <c r="L226" s="30" t="inlineStr"/>
      <c r="M226" s="30" t="inlineStr"/>
      <c r="N226" s="15">
        <f>IF(A226="","",G226*H226)</f>
        <v/>
      </c>
      <c r="O226" s="15">
        <f>IF(A226="","",G226-N226)</f>
        <v/>
      </c>
      <c r="P226" s="15">
        <f>IF(A226="","",O226*I226)</f>
        <v/>
      </c>
      <c r="Q226" s="15">
        <f>IF(A226="","",O226+P226)</f>
        <v/>
      </c>
      <c r="R226" s="15">
        <f>IF(A226="","",SUMIFS('15_Zahlungen'!$F:$F,'15_Zahlungen'!$D:$D,A226,'15_Zahlungen'!$C:$C,"Eingang"))</f>
        <v/>
      </c>
      <c r="S226" s="15">
        <f>IF(A226="","",MAX(0,Q226-R226))</f>
        <v/>
      </c>
      <c r="T226" s="45">
        <f>IF(OR(A226="",L226="bezahlt",J226=""),"",MAX(0,TODAY()-J226))</f>
        <v/>
      </c>
    </row>
    <row r="227">
      <c r="A227" s="30" t="inlineStr"/>
      <c r="B227" s="38" t="inlineStr"/>
      <c r="C227" s="30" t="inlineStr"/>
      <c r="D227" s="30" t="inlineStr"/>
      <c r="E227" s="30" t="inlineStr"/>
      <c r="F227" s="31" t="inlineStr"/>
      <c r="G227" s="34" t="inlineStr"/>
      <c r="H227" s="32" t="inlineStr"/>
      <c r="I227" s="32" t="inlineStr"/>
      <c r="J227" s="38" t="inlineStr"/>
      <c r="K227" s="38" t="inlineStr"/>
      <c r="L227" s="30" t="inlineStr"/>
      <c r="M227" s="30" t="inlineStr"/>
      <c r="N227" s="15">
        <f>IF(A227="","",G227*H227)</f>
        <v/>
      </c>
      <c r="O227" s="15">
        <f>IF(A227="","",G227-N227)</f>
        <v/>
      </c>
      <c r="P227" s="15">
        <f>IF(A227="","",O227*I227)</f>
        <v/>
      </c>
      <c r="Q227" s="15">
        <f>IF(A227="","",O227+P227)</f>
        <v/>
      </c>
      <c r="R227" s="15">
        <f>IF(A227="","",SUMIFS('15_Zahlungen'!$F:$F,'15_Zahlungen'!$D:$D,A227,'15_Zahlungen'!$C:$C,"Eingang"))</f>
        <v/>
      </c>
      <c r="S227" s="15">
        <f>IF(A227="","",MAX(0,Q227-R227))</f>
        <v/>
      </c>
      <c r="T227" s="45">
        <f>IF(OR(A227="",L227="bezahlt",J227=""),"",MAX(0,TODAY()-J227))</f>
        <v/>
      </c>
    </row>
    <row r="228">
      <c r="A228" s="30" t="inlineStr"/>
      <c r="B228" s="38" t="inlineStr"/>
      <c r="C228" s="30" t="inlineStr"/>
      <c r="D228" s="30" t="inlineStr"/>
      <c r="E228" s="30" t="inlineStr"/>
      <c r="F228" s="31" t="inlineStr"/>
      <c r="G228" s="34" t="inlineStr"/>
      <c r="H228" s="32" t="inlineStr"/>
      <c r="I228" s="32" t="inlineStr"/>
      <c r="J228" s="38" t="inlineStr"/>
      <c r="K228" s="38" t="inlineStr"/>
      <c r="L228" s="30" t="inlineStr"/>
      <c r="M228" s="30" t="inlineStr"/>
      <c r="N228" s="15">
        <f>IF(A228="","",G228*H228)</f>
        <v/>
      </c>
      <c r="O228" s="15">
        <f>IF(A228="","",G228-N228)</f>
        <v/>
      </c>
      <c r="P228" s="15">
        <f>IF(A228="","",O228*I228)</f>
        <v/>
      </c>
      <c r="Q228" s="15">
        <f>IF(A228="","",O228+P228)</f>
        <v/>
      </c>
      <c r="R228" s="15">
        <f>IF(A228="","",SUMIFS('15_Zahlungen'!$F:$F,'15_Zahlungen'!$D:$D,A228,'15_Zahlungen'!$C:$C,"Eingang"))</f>
        <v/>
      </c>
      <c r="S228" s="15">
        <f>IF(A228="","",MAX(0,Q228-R228))</f>
        <v/>
      </c>
      <c r="T228" s="45">
        <f>IF(OR(A228="",L228="bezahlt",J228=""),"",MAX(0,TODAY()-J228))</f>
        <v/>
      </c>
    </row>
    <row r="229">
      <c r="A229" s="30" t="inlineStr"/>
      <c r="B229" s="38" t="inlineStr"/>
      <c r="C229" s="30" t="inlineStr"/>
      <c r="D229" s="30" t="inlineStr"/>
      <c r="E229" s="30" t="inlineStr"/>
      <c r="F229" s="31" t="inlineStr"/>
      <c r="G229" s="34" t="inlineStr"/>
      <c r="H229" s="32" t="inlineStr"/>
      <c r="I229" s="32" t="inlineStr"/>
      <c r="J229" s="38" t="inlineStr"/>
      <c r="K229" s="38" t="inlineStr"/>
      <c r="L229" s="30" t="inlineStr"/>
      <c r="M229" s="30" t="inlineStr"/>
      <c r="N229" s="15">
        <f>IF(A229="","",G229*H229)</f>
        <v/>
      </c>
      <c r="O229" s="15">
        <f>IF(A229="","",G229-N229)</f>
        <v/>
      </c>
      <c r="P229" s="15">
        <f>IF(A229="","",O229*I229)</f>
        <v/>
      </c>
      <c r="Q229" s="15">
        <f>IF(A229="","",O229+P229)</f>
        <v/>
      </c>
      <c r="R229" s="15">
        <f>IF(A229="","",SUMIFS('15_Zahlungen'!$F:$F,'15_Zahlungen'!$D:$D,A229,'15_Zahlungen'!$C:$C,"Eingang"))</f>
        <v/>
      </c>
      <c r="S229" s="15">
        <f>IF(A229="","",MAX(0,Q229-R229))</f>
        <v/>
      </c>
      <c r="T229" s="45">
        <f>IF(OR(A229="",L229="bezahlt",J229=""),"",MAX(0,TODAY()-J229))</f>
        <v/>
      </c>
    </row>
    <row r="230">
      <c r="A230" s="30" t="inlineStr"/>
      <c r="B230" s="38" t="inlineStr"/>
      <c r="C230" s="30" t="inlineStr"/>
      <c r="D230" s="30" t="inlineStr"/>
      <c r="E230" s="30" t="inlineStr"/>
      <c r="F230" s="31" t="inlineStr"/>
      <c r="G230" s="34" t="inlineStr"/>
      <c r="H230" s="32" t="inlineStr"/>
      <c r="I230" s="32" t="inlineStr"/>
      <c r="J230" s="38" t="inlineStr"/>
      <c r="K230" s="38" t="inlineStr"/>
      <c r="L230" s="30" t="inlineStr"/>
      <c r="M230" s="30" t="inlineStr"/>
      <c r="N230" s="15">
        <f>IF(A230="","",G230*H230)</f>
        <v/>
      </c>
      <c r="O230" s="15">
        <f>IF(A230="","",G230-N230)</f>
        <v/>
      </c>
      <c r="P230" s="15">
        <f>IF(A230="","",O230*I230)</f>
        <v/>
      </c>
      <c r="Q230" s="15">
        <f>IF(A230="","",O230+P230)</f>
        <v/>
      </c>
      <c r="R230" s="15">
        <f>IF(A230="","",SUMIFS('15_Zahlungen'!$F:$F,'15_Zahlungen'!$D:$D,A230,'15_Zahlungen'!$C:$C,"Eingang"))</f>
        <v/>
      </c>
      <c r="S230" s="15">
        <f>IF(A230="","",MAX(0,Q230-R230))</f>
        <v/>
      </c>
      <c r="T230" s="45">
        <f>IF(OR(A230="",L230="bezahlt",J230=""),"",MAX(0,TODAY()-J230))</f>
        <v/>
      </c>
    </row>
    <row r="231">
      <c r="A231" s="30" t="inlineStr"/>
      <c r="B231" s="38" t="inlineStr"/>
      <c r="C231" s="30" t="inlineStr"/>
      <c r="D231" s="30" t="inlineStr"/>
      <c r="E231" s="30" t="inlineStr"/>
      <c r="F231" s="31" t="inlineStr"/>
      <c r="G231" s="34" t="inlineStr"/>
      <c r="H231" s="32" t="inlineStr"/>
      <c r="I231" s="32" t="inlineStr"/>
      <c r="J231" s="38" t="inlineStr"/>
      <c r="K231" s="38" t="inlineStr"/>
      <c r="L231" s="30" t="inlineStr"/>
      <c r="M231" s="30" t="inlineStr"/>
      <c r="N231" s="15">
        <f>IF(A231="","",G231*H231)</f>
        <v/>
      </c>
      <c r="O231" s="15">
        <f>IF(A231="","",G231-N231)</f>
        <v/>
      </c>
      <c r="P231" s="15">
        <f>IF(A231="","",O231*I231)</f>
        <v/>
      </c>
      <c r="Q231" s="15">
        <f>IF(A231="","",O231+P231)</f>
        <v/>
      </c>
      <c r="R231" s="15">
        <f>IF(A231="","",SUMIFS('15_Zahlungen'!$F:$F,'15_Zahlungen'!$D:$D,A231,'15_Zahlungen'!$C:$C,"Eingang"))</f>
        <v/>
      </c>
      <c r="S231" s="15">
        <f>IF(A231="","",MAX(0,Q231-R231))</f>
        <v/>
      </c>
      <c r="T231" s="45">
        <f>IF(OR(A231="",L231="bezahlt",J231=""),"",MAX(0,TODAY()-J231))</f>
        <v/>
      </c>
    </row>
    <row r="232">
      <c r="A232" s="30" t="inlineStr"/>
      <c r="B232" s="38" t="inlineStr"/>
      <c r="C232" s="30" t="inlineStr"/>
      <c r="D232" s="30" t="inlineStr"/>
      <c r="E232" s="30" t="inlineStr"/>
      <c r="F232" s="31" t="inlineStr"/>
      <c r="G232" s="34" t="inlineStr"/>
      <c r="H232" s="32" t="inlineStr"/>
      <c r="I232" s="32" t="inlineStr"/>
      <c r="J232" s="38" t="inlineStr"/>
      <c r="K232" s="38" t="inlineStr"/>
      <c r="L232" s="30" t="inlineStr"/>
      <c r="M232" s="30" t="inlineStr"/>
      <c r="N232" s="15">
        <f>IF(A232="","",G232*H232)</f>
        <v/>
      </c>
      <c r="O232" s="15">
        <f>IF(A232="","",G232-N232)</f>
        <v/>
      </c>
      <c r="P232" s="15">
        <f>IF(A232="","",O232*I232)</f>
        <v/>
      </c>
      <c r="Q232" s="15">
        <f>IF(A232="","",O232+P232)</f>
        <v/>
      </c>
      <c r="R232" s="15">
        <f>IF(A232="","",SUMIFS('15_Zahlungen'!$F:$F,'15_Zahlungen'!$D:$D,A232,'15_Zahlungen'!$C:$C,"Eingang"))</f>
        <v/>
      </c>
      <c r="S232" s="15">
        <f>IF(A232="","",MAX(0,Q232-R232))</f>
        <v/>
      </c>
      <c r="T232" s="45">
        <f>IF(OR(A232="",L232="bezahlt",J232=""),"",MAX(0,TODAY()-J232))</f>
        <v/>
      </c>
    </row>
    <row r="233">
      <c r="A233" s="30" t="inlineStr"/>
      <c r="B233" s="38" t="inlineStr"/>
      <c r="C233" s="30" t="inlineStr"/>
      <c r="D233" s="30" t="inlineStr"/>
      <c r="E233" s="30" t="inlineStr"/>
      <c r="F233" s="31" t="inlineStr"/>
      <c r="G233" s="34" t="inlineStr"/>
      <c r="H233" s="32" t="inlineStr"/>
      <c r="I233" s="32" t="inlineStr"/>
      <c r="J233" s="38" t="inlineStr"/>
      <c r="K233" s="38" t="inlineStr"/>
      <c r="L233" s="30" t="inlineStr"/>
      <c r="M233" s="30" t="inlineStr"/>
      <c r="N233" s="15">
        <f>IF(A233="","",G233*H233)</f>
        <v/>
      </c>
      <c r="O233" s="15">
        <f>IF(A233="","",G233-N233)</f>
        <v/>
      </c>
      <c r="P233" s="15">
        <f>IF(A233="","",O233*I233)</f>
        <v/>
      </c>
      <c r="Q233" s="15">
        <f>IF(A233="","",O233+P233)</f>
        <v/>
      </c>
      <c r="R233" s="15">
        <f>IF(A233="","",SUMIFS('15_Zahlungen'!$F:$F,'15_Zahlungen'!$D:$D,A233,'15_Zahlungen'!$C:$C,"Eingang"))</f>
        <v/>
      </c>
      <c r="S233" s="15">
        <f>IF(A233="","",MAX(0,Q233-R233))</f>
        <v/>
      </c>
      <c r="T233" s="45">
        <f>IF(OR(A233="",L233="bezahlt",J233=""),"",MAX(0,TODAY()-J233))</f>
        <v/>
      </c>
    </row>
    <row r="234">
      <c r="A234" s="30" t="inlineStr"/>
      <c r="B234" s="38" t="inlineStr"/>
      <c r="C234" s="30" t="inlineStr"/>
      <c r="D234" s="30" t="inlineStr"/>
      <c r="E234" s="30" t="inlineStr"/>
      <c r="F234" s="31" t="inlineStr"/>
      <c r="G234" s="34" t="inlineStr"/>
      <c r="H234" s="32" t="inlineStr"/>
      <c r="I234" s="32" t="inlineStr"/>
      <c r="J234" s="38" t="inlineStr"/>
      <c r="K234" s="38" t="inlineStr"/>
      <c r="L234" s="30" t="inlineStr"/>
      <c r="M234" s="30" t="inlineStr"/>
      <c r="N234" s="15">
        <f>IF(A234="","",G234*H234)</f>
        <v/>
      </c>
      <c r="O234" s="15">
        <f>IF(A234="","",G234-N234)</f>
        <v/>
      </c>
      <c r="P234" s="15">
        <f>IF(A234="","",O234*I234)</f>
        <v/>
      </c>
      <c r="Q234" s="15">
        <f>IF(A234="","",O234+P234)</f>
        <v/>
      </c>
      <c r="R234" s="15">
        <f>IF(A234="","",SUMIFS('15_Zahlungen'!$F:$F,'15_Zahlungen'!$D:$D,A234,'15_Zahlungen'!$C:$C,"Eingang"))</f>
        <v/>
      </c>
      <c r="S234" s="15">
        <f>IF(A234="","",MAX(0,Q234-R234))</f>
        <v/>
      </c>
      <c r="T234" s="45">
        <f>IF(OR(A234="",L234="bezahlt",J234=""),"",MAX(0,TODAY()-J234))</f>
        <v/>
      </c>
    </row>
    <row r="235">
      <c r="A235" s="30" t="inlineStr"/>
      <c r="B235" s="38" t="inlineStr"/>
      <c r="C235" s="30" t="inlineStr"/>
      <c r="D235" s="30" t="inlineStr"/>
      <c r="E235" s="30" t="inlineStr"/>
      <c r="F235" s="31" t="inlineStr"/>
      <c r="G235" s="34" t="inlineStr"/>
      <c r="H235" s="32" t="inlineStr"/>
      <c r="I235" s="32" t="inlineStr"/>
      <c r="J235" s="38" t="inlineStr"/>
      <c r="K235" s="38" t="inlineStr"/>
      <c r="L235" s="30" t="inlineStr"/>
      <c r="M235" s="30" t="inlineStr"/>
      <c r="N235" s="15">
        <f>IF(A235="","",G235*H235)</f>
        <v/>
      </c>
      <c r="O235" s="15">
        <f>IF(A235="","",G235-N235)</f>
        <v/>
      </c>
      <c r="P235" s="15">
        <f>IF(A235="","",O235*I235)</f>
        <v/>
      </c>
      <c r="Q235" s="15">
        <f>IF(A235="","",O235+P235)</f>
        <v/>
      </c>
      <c r="R235" s="15">
        <f>IF(A235="","",SUMIFS('15_Zahlungen'!$F:$F,'15_Zahlungen'!$D:$D,A235,'15_Zahlungen'!$C:$C,"Eingang"))</f>
        <v/>
      </c>
      <c r="S235" s="15">
        <f>IF(A235="","",MAX(0,Q235-R235))</f>
        <v/>
      </c>
      <c r="T235" s="45">
        <f>IF(OR(A235="",L235="bezahlt",J235=""),"",MAX(0,TODAY()-J235))</f>
        <v/>
      </c>
    </row>
    <row r="236">
      <c r="A236" s="30" t="inlineStr"/>
      <c r="B236" s="38" t="inlineStr"/>
      <c r="C236" s="30" t="inlineStr"/>
      <c r="D236" s="30" t="inlineStr"/>
      <c r="E236" s="30" t="inlineStr"/>
      <c r="F236" s="31" t="inlineStr"/>
      <c r="G236" s="34" t="inlineStr"/>
      <c r="H236" s="32" t="inlineStr"/>
      <c r="I236" s="32" t="inlineStr"/>
      <c r="J236" s="38" t="inlineStr"/>
      <c r="K236" s="38" t="inlineStr"/>
      <c r="L236" s="30" t="inlineStr"/>
      <c r="M236" s="30" t="inlineStr"/>
      <c r="N236" s="15">
        <f>IF(A236="","",G236*H236)</f>
        <v/>
      </c>
      <c r="O236" s="15">
        <f>IF(A236="","",G236-N236)</f>
        <v/>
      </c>
      <c r="P236" s="15">
        <f>IF(A236="","",O236*I236)</f>
        <v/>
      </c>
      <c r="Q236" s="15">
        <f>IF(A236="","",O236+P236)</f>
        <v/>
      </c>
      <c r="R236" s="15">
        <f>IF(A236="","",SUMIFS('15_Zahlungen'!$F:$F,'15_Zahlungen'!$D:$D,A236,'15_Zahlungen'!$C:$C,"Eingang"))</f>
        <v/>
      </c>
      <c r="S236" s="15">
        <f>IF(A236="","",MAX(0,Q236-R236))</f>
        <v/>
      </c>
      <c r="T236" s="45">
        <f>IF(OR(A236="",L236="bezahlt",J236=""),"",MAX(0,TODAY()-J236))</f>
        <v/>
      </c>
    </row>
    <row r="237">
      <c r="A237" s="30" t="inlineStr"/>
      <c r="B237" s="38" t="inlineStr"/>
      <c r="C237" s="30" t="inlineStr"/>
      <c r="D237" s="30" t="inlineStr"/>
      <c r="E237" s="30" t="inlineStr"/>
      <c r="F237" s="31" t="inlineStr"/>
      <c r="G237" s="34" t="inlineStr"/>
      <c r="H237" s="32" t="inlineStr"/>
      <c r="I237" s="32" t="inlineStr"/>
      <c r="J237" s="38" t="inlineStr"/>
      <c r="K237" s="38" t="inlineStr"/>
      <c r="L237" s="30" t="inlineStr"/>
      <c r="M237" s="30" t="inlineStr"/>
      <c r="N237" s="15">
        <f>IF(A237="","",G237*H237)</f>
        <v/>
      </c>
      <c r="O237" s="15">
        <f>IF(A237="","",G237-N237)</f>
        <v/>
      </c>
      <c r="P237" s="15">
        <f>IF(A237="","",O237*I237)</f>
        <v/>
      </c>
      <c r="Q237" s="15">
        <f>IF(A237="","",O237+P237)</f>
        <v/>
      </c>
      <c r="R237" s="15">
        <f>IF(A237="","",SUMIFS('15_Zahlungen'!$F:$F,'15_Zahlungen'!$D:$D,A237,'15_Zahlungen'!$C:$C,"Eingang"))</f>
        <v/>
      </c>
      <c r="S237" s="15">
        <f>IF(A237="","",MAX(0,Q237-R237))</f>
        <v/>
      </c>
      <c r="T237" s="45">
        <f>IF(OR(A237="",L237="bezahlt",J237=""),"",MAX(0,TODAY()-J237))</f>
        <v/>
      </c>
    </row>
    <row r="238">
      <c r="A238" s="30" t="inlineStr"/>
      <c r="B238" s="38" t="inlineStr"/>
      <c r="C238" s="30" t="inlineStr"/>
      <c r="D238" s="30" t="inlineStr"/>
      <c r="E238" s="30" t="inlineStr"/>
      <c r="F238" s="31" t="inlineStr"/>
      <c r="G238" s="34" t="inlineStr"/>
      <c r="H238" s="32" t="inlineStr"/>
      <c r="I238" s="32" t="inlineStr"/>
      <c r="J238" s="38" t="inlineStr"/>
      <c r="K238" s="38" t="inlineStr"/>
      <c r="L238" s="30" t="inlineStr"/>
      <c r="M238" s="30" t="inlineStr"/>
      <c r="N238" s="15">
        <f>IF(A238="","",G238*H238)</f>
        <v/>
      </c>
      <c r="O238" s="15">
        <f>IF(A238="","",G238-N238)</f>
        <v/>
      </c>
      <c r="P238" s="15">
        <f>IF(A238="","",O238*I238)</f>
        <v/>
      </c>
      <c r="Q238" s="15">
        <f>IF(A238="","",O238+P238)</f>
        <v/>
      </c>
      <c r="R238" s="15">
        <f>IF(A238="","",SUMIFS('15_Zahlungen'!$F:$F,'15_Zahlungen'!$D:$D,A238,'15_Zahlungen'!$C:$C,"Eingang"))</f>
        <v/>
      </c>
      <c r="S238" s="15">
        <f>IF(A238="","",MAX(0,Q238-R238))</f>
        <v/>
      </c>
      <c r="T238" s="45">
        <f>IF(OR(A238="",L238="bezahlt",J238=""),"",MAX(0,TODAY()-J238))</f>
        <v/>
      </c>
    </row>
    <row r="239">
      <c r="A239" s="30" t="inlineStr"/>
      <c r="B239" s="38" t="inlineStr"/>
      <c r="C239" s="30" t="inlineStr"/>
      <c r="D239" s="30" t="inlineStr"/>
      <c r="E239" s="30" t="inlineStr"/>
      <c r="F239" s="31" t="inlineStr"/>
      <c r="G239" s="34" t="inlineStr"/>
      <c r="H239" s="32" t="inlineStr"/>
      <c r="I239" s="32" t="inlineStr"/>
      <c r="J239" s="38" t="inlineStr"/>
      <c r="K239" s="38" t="inlineStr"/>
      <c r="L239" s="30" t="inlineStr"/>
      <c r="M239" s="30" t="inlineStr"/>
      <c r="N239" s="15">
        <f>IF(A239="","",G239*H239)</f>
        <v/>
      </c>
      <c r="O239" s="15">
        <f>IF(A239="","",G239-N239)</f>
        <v/>
      </c>
      <c r="P239" s="15">
        <f>IF(A239="","",O239*I239)</f>
        <v/>
      </c>
      <c r="Q239" s="15">
        <f>IF(A239="","",O239+P239)</f>
        <v/>
      </c>
      <c r="R239" s="15">
        <f>IF(A239="","",SUMIFS('15_Zahlungen'!$F:$F,'15_Zahlungen'!$D:$D,A239,'15_Zahlungen'!$C:$C,"Eingang"))</f>
        <v/>
      </c>
      <c r="S239" s="15">
        <f>IF(A239="","",MAX(0,Q239-R239))</f>
        <v/>
      </c>
      <c r="T239" s="45">
        <f>IF(OR(A239="",L239="bezahlt",J239=""),"",MAX(0,TODAY()-J239))</f>
        <v/>
      </c>
    </row>
    <row r="240">
      <c r="A240" s="30" t="inlineStr"/>
      <c r="B240" s="38" t="inlineStr"/>
      <c r="C240" s="30" t="inlineStr"/>
      <c r="D240" s="30" t="inlineStr"/>
      <c r="E240" s="30" t="inlineStr"/>
      <c r="F240" s="31" t="inlineStr"/>
      <c r="G240" s="34" t="inlineStr"/>
      <c r="H240" s="32" t="inlineStr"/>
      <c r="I240" s="32" t="inlineStr"/>
      <c r="J240" s="38" t="inlineStr"/>
      <c r="K240" s="38" t="inlineStr"/>
      <c r="L240" s="30" t="inlineStr"/>
      <c r="M240" s="30" t="inlineStr"/>
      <c r="N240" s="15">
        <f>IF(A240="","",G240*H240)</f>
        <v/>
      </c>
      <c r="O240" s="15">
        <f>IF(A240="","",G240-N240)</f>
        <v/>
      </c>
      <c r="P240" s="15">
        <f>IF(A240="","",O240*I240)</f>
        <v/>
      </c>
      <c r="Q240" s="15">
        <f>IF(A240="","",O240+P240)</f>
        <v/>
      </c>
      <c r="R240" s="15">
        <f>IF(A240="","",SUMIFS('15_Zahlungen'!$F:$F,'15_Zahlungen'!$D:$D,A240,'15_Zahlungen'!$C:$C,"Eingang"))</f>
        <v/>
      </c>
      <c r="S240" s="15">
        <f>IF(A240="","",MAX(0,Q240-R240))</f>
        <v/>
      </c>
      <c r="T240" s="45">
        <f>IF(OR(A240="",L240="bezahlt",J240=""),"",MAX(0,TODAY()-J240))</f>
        <v/>
      </c>
    </row>
    <row r="241">
      <c r="A241" s="30" t="inlineStr"/>
      <c r="B241" s="38" t="inlineStr"/>
      <c r="C241" s="30" t="inlineStr"/>
      <c r="D241" s="30" t="inlineStr"/>
      <c r="E241" s="30" t="inlineStr"/>
      <c r="F241" s="31" t="inlineStr"/>
      <c r="G241" s="34" t="inlineStr"/>
      <c r="H241" s="32" t="inlineStr"/>
      <c r="I241" s="32" t="inlineStr"/>
      <c r="J241" s="38" t="inlineStr"/>
      <c r="K241" s="38" t="inlineStr"/>
      <c r="L241" s="30" t="inlineStr"/>
      <c r="M241" s="30" t="inlineStr"/>
      <c r="N241" s="15">
        <f>IF(A241="","",G241*H241)</f>
        <v/>
      </c>
      <c r="O241" s="15">
        <f>IF(A241="","",G241-N241)</f>
        <v/>
      </c>
      <c r="P241" s="15">
        <f>IF(A241="","",O241*I241)</f>
        <v/>
      </c>
      <c r="Q241" s="15">
        <f>IF(A241="","",O241+P241)</f>
        <v/>
      </c>
      <c r="R241" s="15">
        <f>IF(A241="","",SUMIFS('15_Zahlungen'!$F:$F,'15_Zahlungen'!$D:$D,A241,'15_Zahlungen'!$C:$C,"Eingang"))</f>
        <v/>
      </c>
      <c r="S241" s="15">
        <f>IF(A241="","",MAX(0,Q241-R241))</f>
        <v/>
      </c>
      <c r="T241" s="45">
        <f>IF(OR(A241="",L241="bezahlt",J241=""),"",MAX(0,TODAY()-J241))</f>
        <v/>
      </c>
    </row>
    <row r="242">
      <c r="A242" s="30" t="inlineStr"/>
      <c r="B242" s="38" t="inlineStr"/>
      <c r="C242" s="30" t="inlineStr"/>
      <c r="D242" s="30" t="inlineStr"/>
      <c r="E242" s="30" t="inlineStr"/>
      <c r="F242" s="31" t="inlineStr"/>
      <c r="G242" s="34" t="inlineStr"/>
      <c r="H242" s="32" t="inlineStr"/>
      <c r="I242" s="32" t="inlineStr"/>
      <c r="J242" s="38" t="inlineStr"/>
      <c r="K242" s="38" t="inlineStr"/>
      <c r="L242" s="30" t="inlineStr"/>
      <c r="M242" s="30" t="inlineStr"/>
      <c r="N242" s="15">
        <f>IF(A242="","",G242*H242)</f>
        <v/>
      </c>
      <c r="O242" s="15">
        <f>IF(A242="","",G242-N242)</f>
        <v/>
      </c>
      <c r="P242" s="15">
        <f>IF(A242="","",O242*I242)</f>
        <v/>
      </c>
      <c r="Q242" s="15">
        <f>IF(A242="","",O242+P242)</f>
        <v/>
      </c>
      <c r="R242" s="15">
        <f>IF(A242="","",SUMIFS('15_Zahlungen'!$F:$F,'15_Zahlungen'!$D:$D,A242,'15_Zahlungen'!$C:$C,"Eingang"))</f>
        <v/>
      </c>
      <c r="S242" s="15">
        <f>IF(A242="","",MAX(0,Q242-R242))</f>
        <v/>
      </c>
      <c r="T242" s="45">
        <f>IF(OR(A242="",L242="bezahlt",J242=""),"",MAX(0,TODAY()-J242))</f>
        <v/>
      </c>
    </row>
    <row r="243">
      <c r="A243" s="30" t="inlineStr"/>
      <c r="B243" s="38" t="inlineStr"/>
      <c r="C243" s="30" t="inlineStr"/>
      <c r="D243" s="30" t="inlineStr"/>
      <c r="E243" s="30" t="inlineStr"/>
      <c r="F243" s="31" t="inlineStr"/>
      <c r="G243" s="34" t="inlineStr"/>
      <c r="H243" s="32" t="inlineStr"/>
      <c r="I243" s="32" t="inlineStr"/>
      <c r="J243" s="38" t="inlineStr"/>
      <c r="K243" s="38" t="inlineStr"/>
      <c r="L243" s="30" t="inlineStr"/>
      <c r="M243" s="30" t="inlineStr"/>
      <c r="N243" s="15">
        <f>IF(A243="","",G243*H243)</f>
        <v/>
      </c>
      <c r="O243" s="15">
        <f>IF(A243="","",G243-N243)</f>
        <v/>
      </c>
      <c r="P243" s="15">
        <f>IF(A243="","",O243*I243)</f>
        <v/>
      </c>
      <c r="Q243" s="15">
        <f>IF(A243="","",O243+P243)</f>
        <v/>
      </c>
      <c r="R243" s="15">
        <f>IF(A243="","",SUMIFS('15_Zahlungen'!$F:$F,'15_Zahlungen'!$D:$D,A243,'15_Zahlungen'!$C:$C,"Eingang"))</f>
        <v/>
      </c>
      <c r="S243" s="15">
        <f>IF(A243="","",MAX(0,Q243-R243))</f>
        <v/>
      </c>
      <c r="T243" s="45">
        <f>IF(OR(A243="",L243="bezahlt",J243=""),"",MAX(0,TODAY()-J243))</f>
        <v/>
      </c>
    </row>
    <row r="244">
      <c r="A244" s="30" t="inlineStr"/>
      <c r="B244" s="38" t="inlineStr"/>
      <c r="C244" s="30" t="inlineStr"/>
      <c r="D244" s="30" t="inlineStr"/>
      <c r="E244" s="30" t="inlineStr"/>
      <c r="F244" s="31" t="inlineStr"/>
      <c r="G244" s="34" t="inlineStr"/>
      <c r="H244" s="32" t="inlineStr"/>
      <c r="I244" s="32" t="inlineStr"/>
      <c r="J244" s="38" t="inlineStr"/>
      <c r="K244" s="38" t="inlineStr"/>
      <c r="L244" s="30" t="inlineStr"/>
      <c r="M244" s="30" t="inlineStr"/>
      <c r="N244" s="15">
        <f>IF(A244="","",G244*H244)</f>
        <v/>
      </c>
      <c r="O244" s="15">
        <f>IF(A244="","",G244-N244)</f>
        <v/>
      </c>
      <c r="P244" s="15">
        <f>IF(A244="","",O244*I244)</f>
        <v/>
      </c>
      <c r="Q244" s="15">
        <f>IF(A244="","",O244+P244)</f>
        <v/>
      </c>
      <c r="R244" s="15">
        <f>IF(A244="","",SUMIFS('15_Zahlungen'!$F:$F,'15_Zahlungen'!$D:$D,A244,'15_Zahlungen'!$C:$C,"Eingang"))</f>
        <v/>
      </c>
      <c r="S244" s="15">
        <f>IF(A244="","",MAX(0,Q244-R244))</f>
        <v/>
      </c>
      <c r="T244" s="45">
        <f>IF(OR(A244="",L244="bezahlt",J244=""),"",MAX(0,TODAY()-J244))</f>
        <v/>
      </c>
    </row>
    <row r="245">
      <c r="A245" s="30" t="inlineStr"/>
      <c r="B245" s="38" t="inlineStr"/>
      <c r="C245" s="30" t="inlineStr"/>
      <c r="D245" s="30" t="inlineStr"/>
      <c r="E245" s="30" t="inlineStr"/>
      <c r="F245" s="31" t="inlineStr"/>
      <c r="G245" s="34" t="inlineStr"/>
      <c r="H245" s="32" t="inlineStr"/>
      <c r="I245" s="32" t="inlineStr"/>
      <c r="J245" s="38" t="inlineStr"/>
      <c r="K245" s="38" t="inlineStr"/>
      <c r="L245" s="30" t="inlineStr"/>
      <c r="M245" s="30" t="inlineStr"/>
      <c r="N245" s="15">
        <f>IF(A245="","",G245*H245)</f>
        <v/>
      </c>
      <c r="O245" s="15">
        <f>IF(A245="","",G245-N245)</f>
        <v/>
      </c>
      <c r="P245" s="15">
        <f>IF(A245="","",O245*I245)</f>
        <v/>
      </c>
      <c r="Q245" s="15">
        <f>IF(A245="","",O245+P245)</f>
        <v/>
      </c>
      <c r="R245" s="15">
        <f>IF(A245="","",SUMIFS('15_Zahlungen'!$F:$F,'15_Zahlungen'!$D:$D,A245,'15_Zahlungen'!$C:$C,"Eingang"))</f>
        <v/>
      </c>
      <c r="S245" s="15">
        <f>IF(A245="","",MAX(0,Q245-R245))</f>
        <v/>
      </c>
      <c r="T245" s="45">
        <f>IF(OR(A245="",L245="bezahlt",J245=""),"",MAX(0,TODAY()-J245))</f>
        <v/>
      </c>
    </row>
    <row r="246">
      <c r="A246" s="30" t="inlineStr"/>
      <c r="B246" s="38" t="inlineStr"/>
      <c r="C246" s="30" t="inlineStr"/>
      <c r="D246" s="30" t="inlineStr"/>
      <c r="E246" s="30" t="inlineStr"/>
      <c r="F246" s="31" t="inlineStr"/>
      <c r="G246" s="34" t="inlineStr"/>
      <c r="H246" s="32" t="inlineStr"/>
      <c r="I246" s="32" t="inlineStr"/>
      <c r="J246" s="38" t="inlineStr"/>
      <c r="K246" s="38" t="inlineStr"/>
      <c r="L246" s="30" t="inlineStr"/>
      <c r="M246" s="30" t="inlineStr"/>
      <c r="N246" s="15">
        <f>IF(A246="","",G246*H246)</f>
        <v/>
      </c>
      <c r="O246" s="15">
        <f>IF(A246="","",G246-N246)</f>
        <v/>
      </c>
      <c r="P246" s="15">
        <f>IF(A246="","",O246*I246)</f>
        <v/>
      </c>
      <c r="Q246" s="15">
        <f>IF(A246="","",O246+P246)</f>
        <v/>
      </c>
      <c r="R246" s="15">
        <f>IF(A246="","",SUMIFS('15_Zahlungen'!$F:$F,'15_Zahlungen'!$D:$D,A246,'15_Zahlungen'!$C:$C,"Eingang"))</f>
        <v/>
      </c>
      <c r="S246" s="15">
        <f>IF(A246="","",MAX(0,Q246-R246))</f>
        <v/>
      </c>
      <c r="T246" s="45">
        <f>IF(OR(A246="",L246="bezahlt",J246=""),"",MAX(0,TODAY()-J246))</f>
        <v/>
      </c>
    </row>
    <row r="247">
      <c r="A247" s="30" t="inlineStr"/>
      <c r="B247" s="38" t="inlineStr"/>
      <c r="C247" s="30" t="inlineStr"/>
      <c r="D247" s="30" t="inlineStr"/>
      <c r="E247" s="30" t="inlineStr"/>
      <c r="F247" s="31" t="inlineStr"/>
      <c r="G247" s="34" t="inlineStr"/>
      <c r="H247" s="32" t="inlineStr"/>
      <c r="I247" s="32" t="inlineStr"/>
      <c r="J247" s="38" t="inlineStr"/>
      <c r="K247" s="38" t="inlineStr"/>
      <c r="L247" s="30" t="inlineStr"/>
      <c r="M247" s="30" t="inlineStr"/>
      <c r="N247" s="15">
        <f>IF(A247="","",G247*H247)</f>
        <v/>
      </c>
      <c r="O247" s="15">
        <f>IF(A247="","",G247-N247)</f>
        <v/>
      </c>
      <c r="P247" s="15">
        <f>IF(A247="","",O247*I247)</f>
        <v/>
      </c>
      <c r="Q247" s="15">
        <f>IF(A247="","",O247+P247)</f>
        <v/>
      </c>
      <c r="R247" s="15">
        <f>IF(A247="","",SUMIFS('15_Zahlungen'!$F:$F,'15_Zahlungen'!$D:$D,A247,'15_Zahlungen'!$C:$C,"Eingang"))</f>
        <v/>
      </c>
      <c r="S247" s="15">
        <f>IF(A247="","",MAX(0,Q247-R247))</f>
        <v/>
      </c>
      <c r="T247" s="45">
        <f>IF(OR(A247="",L247="bezahlt",J247=""),"",MAX(0,TODAY()-J247))</f>
        <v/>
      </c>
    </row>
    <row r="248">
      <c r="A248" s="30" t="inlineStr"/>
      <c r="B248" s="38" t="inlineStr"/>
      <c r="C248" s="30" t="inlineStr"/>
      <c r="D248" s="30" t="inlineStr"/>
      <c r="E248" s="30" t="inlineStr"/>
      <c r="F248" s="31" t="inlineStr"/>
      <c r="G248" s="34" t="inlineStr"/>
      <c r="H248" s="32" t="inlineStr"/>
      <c r="I248" s="32" t="inlineStr"/>
      <c r="J248" s="38" t="inlineStr"/>
      <c r="K248" s="38" t="inlineStr"/>
      <c r="L248" s="30" t="inlineStr"/>
      <c r="M248" s="30" t="inlineStr"/>
      <c r="N248" s="15">
        <f>IF(A248="","",G248*H248)</f>
        <v/>
      </c>
      <c r="O248" s="15">
        <f>IF(A248="","",G248-N248)</f>
        <v/>
      </c>
      <c r="P248" s="15">
        <f>IF(A248="","",O248*I248)</f>
        <v/>
      </c>
      <c r="Q248" s="15">
        <f>IF(A248="","",O248+P248)</f>
        <v/>
      </c>
      <c r="R248" s="15">
        <f>IF(A248="","",SUMIFS('15_Zahlungen'!$F:$F,'15_Zahlungen'!$D:$D,A248,'15_Zahlungen'!$C:$C,"Eingang"))</f>
        <v/>
      </c>
      <c r="S248" s="15">
        <f>IF(A248="","",MAX(0,Q248-R248))</f>
        <v/>
      </c>
      <c r="T248" s="45">
        <f>IF(OR(A248="",L248="bezahlt",J248=""),"",MAX(0,TODAY()-J248))</f>
        <v/>
      </c>
    </row>
    <row r="249">
      <c r="A249" s="30" t="inlineStr"/>
      <c r="B249" s="38" t="inlineStr"/>
      <c r="C249" s="30" t="inlineStr"/>
      <c r="D249" s="30" t="inlineStr"/>
      <c r="E249" s="30" t="inlineStr"/>
      <c r="F249" s="31" t="inlineStr"/>
      <c r="G249" s="34" t="inlineStr"/>
      <c r="H249" s="32" t="inlineStr"/>
      <c r="I249" s="32" t="inlineStr"/>
      <c r="J249" s="38" t="inlineStr"/>
      <c r="K249" s="38" t="inlineStr"/>
      <c r="L249" s="30" t="inlineStr"/>
      <c r="M249" s="30" t="inlineStr"/>
      <c r="N249" s="15">
        <f>IF(A249="","",G249*H249)</f>
        <v/>
      </c>
      <c r="O249" s="15">
        <f>IF(A249="","",G249-N249)</f>
        <v/>
      </c>
      <c r="P249" s="15">
        <f>IF(A249="","",O249*I249)</f>
        <v/>
      </c>
      <c r="Q249" s="15">
        <f>IF(A249="","",O249+P249)</f>
        <v/>
      </c>
      <c r="R249" s="15">
        <f>IF(A249="","",SUMIFS('15_Zahlungen'!$F:$F,'15_Zahlungen'!$D:$D,A249,'15_Zahlungen'!$C:$C,"Eingang"))</f>
        <v/>
      </c>
      <c r="S249" s="15">
        <f>IF(A249="","",MAX(0,Q249-R249))</f>
        <v/>
      </c>
      <c r="T249" s="45">
        <f>IF(OR(A249="",L249="bezahlt",J249=""),"",MAX(0,TODAY()-J249))</f>
        <v/>
      </c>
    </row>
    <row r="250">
      <c r="A250" s="30" t="inlineStr"/>
      <c r="B250" s="38" t="inlineStr"/>
      <c r="C250" s="30" t="inlineStr"/>
      <c r="D250" s="30" t="inlineStr"/>
      <c r="E250" s="30" t="inlineStr"/>
      <c r="F250" s="31" t="inlineStr"/>
      <c r="G250" s="34" t="inlineStr"/>
      <c r="H250" s="32" t="inlineStr"/>
      <c r="I250" s="32" t="inlineStr"/>
      <c r="J250" s="38" t="inlineStr"/>
      <c r="K250" s="38" t="inlineStr"/>
      <c r="L250" s="30" t="inlineStr"/>
      <c r="M250" s="30" t="inlineStr"/>
      <c r="N250" s="15">
        <f>IF(A250="","",G250*H250)</f>
        <v/>
      </c>
      <c r="O250" s="15">
        <f>IF(A250="","",G250-N250)</f>
        <v/>
      </c>
      <c r="P250" s="15">
        <f>IF(A250="","",O250*I250)</f>
        <v/>
      </c>
      <c r="Q250" s="15">
        <f>IF(A250="","",O250+P250)</f>
        <v/>
      </c>
      <c r="R250" s="15">
        <f>IF(A250="","",SUMIFS('15_Zahlungen'!$F:$F,'15_Zahlungen'!$D:$D,A250,'15_Zahlungen'!$C:$C,"Eingang"))</f>
        <v/>
      </c>
      <c r="S250" s="15">
        <f>IF(A250="","",MAX(0,Q250-R250))</f>
        <v/>
      </c>
      <c r="T250" s="45">
        <f>IF(OR(A250="",L250="bezahlt",J250=""),"",MAX(0,TODAY()-J250))</f>
        <v/>
      </c>
    </row>
    <row r="251">
      <c r="A251" s="30" t="inlineStr"/>
      <c r="B251" s="38" t="inlineStr"/>
      <c r="C251" s="30" t="inlineStr"/>
      <c r="D251" s="30" t="inlineStr"/>
      <c r="E251" s="30" t="inlineStr"/>
      <c r="F251" s="31" t="inlineStr"/>
      <c r="G251" s="34" t="inlineStr"/>
      <c r="H251" s="32" t="inlineStr"/>
      <c r="I251" s="32" t="inlineStr"/>
      <c r="J251" s="38" t="inlineStr"/>
      <c r="K251" s="38" t="inlineStr"/>
      <c r="L251" s="30" t="inlineStr"/>
      <c r="M251" s="30" t="inlineStr"/>
      <c r="N251" s="15">
        <f>IF(A251="","",G251*H251)</f>
        <v/>
      </c>
      <c r="O251" s="15">
        <f>IF(A251="","",G251-N251)</f>
        <v/>
      </c>
      <c r="P251" s="15">
        <f>IF(A251="","",O251*I251)</f>
        <v/>
      </c>
      <c r="Q251" s="15">
        <f>IF(A251="","",O251+P251)</f>
        <v/>
      </c>
      <c r="R251" s="15">
        <f>IF(A251="","",SUMIFS('15_Zahlungen'!$F:$F,'15_Zahlungen'!$D:$D,A251,'15_Zahlungen'!$C:$C,"Eingang"))</f>
        <v/>
      </c>
      <c r="S251" s="15">
        <f>IF(A251="","",MAX(0,Q251-R251))</f>
        <v/>
      </c>
      <c r="T251" s="45">
        <f>IF(OR(A251="",L251="bezahlt",J251=""),"",MAX(0,TODAY()-J251))</f>
        <v/>
      </c>
    </row>
    <row r="252">
      <c r="A252" s="30" t="inlineStr"/>
      <c r="B252" s="38" t="inlineStr"/>
      <c r="C252" s="30" t="inlineStr"/>
      <c r="D252" s="30" t="inlineStr"/>
      <c r="E252" s="30" t="inlineStr"/>
      <c r="F252" s="31" t="inlineStr"/>
      <c r="G252" s="34" t="inlineStr"/>
      <c r="H252" s="32" t="inlineStr"/>
      <c r="I252" s="32" t="inlineStr"/>
      <c r="J252" s="38" t="inlineStr"/>
      <c r="K252" s="38" t="inlineStr"/>
      <c r="L252" s="30" t="inlineStr"/>
      <c r="M252" s="30" t="inlineStr"/>
      <c r="N252" s="15">
        <f>IF(A252="","",G252*H252)</f>
        <v/>
      </c>
      <c r="O252" s="15">
        <f>IF(A252="","",G252-N252)</f>
        <v/>
      </c>
      <c r="P252" s="15">
        <f>IF(A252="","",O252*I252)</f>
        <v/>
      </c>
      <c r="Q252" s="15">
        <f>IF(A252="","",O252+P252)</f>
        <v/>
      </c>
      <c r="R252" s="15">
        <f>IF(A252="","",SUMIFS('15_Zahlungen'!$F:$F,'15_Zahlungen'!$D:$D,A252,'15_Zahlungen'!$C:$C,"Eingang"))</f>
        <v/>
      </c>
      <c r="S252" s="15">
        <f>IF(A252="","",MAX(0,Q252-R252))</f>
        <v/>
      </c>
      <c r="T252" s="45">
        <f>IF(OR(A252="",L252="bezahlt",J252=""),"",MAX(0,TODAY()-J252))</f>
        <v/>
      </c>
    </row>
    <row r="253">
      <c r="A253" s="30" t="inlineStr"/>
      <c r="B253" s="38" t="inlineStr"/>
      <c r="C253" s="30" t="inlineStr"/>
      <c r="D253" s="30" t="inlineStr"/>
      <c r="E253" s="30" t="inlineStr"/>
      <c r="F253" s="31" t="inlineStr"/>
      <c r="G253" s="34" t="inlineStr"/>
      <c r="H253" s="32" t="inlineStr"/>
      <c r="I253" s="32" t="inlineStr"/>
      <c r="J253" s="38" t="inlineStr"/>
      <c r="K253" s="38" t="inlineStr"/>
      <c r="L253" s="30" t="inlineStr"/>
      <c r="M253" s="30" t="inlineStr"/>
      <c r="N253" s="15">
        <f>IF(A253="","",G253*H253)</f>
        <v/>
      </c>
      <c r="O253" s="15">
        <f>IF(A253="","",G253-N253)</f>
        <v/>
      </c>
      <c r="P253" s="15">
        <f>IF(A253="","",O253*I253)</f>
        <v/>
      </c>
      <c r="Q253" s="15">
        <f>IF(A253="","",O253+P253)</f>
        <v/>
      </c>
      <c r="R253" s="15">
        <f>IF(A253="","",SUMIFS('15_Zahlungen'!$F:$F,'15_Zahlungen'!$D:$D,A253,'15_Zahlungen'!$C:$C,"Eingang"))</f>
        <v/>
      </c>
      <c r="S253" s="15">
        <f>IF(A253="","",MAX(0,Q253-R253))</f>
        <v/>
      </c>
      <c r="T253" s="45">
        <f>IF(OR(A253="",L253="bezahlt",J253=""),"",MAX(0,TODAY()-J253))</f>
        <v/>
      </c>
    </row>
    <row r="254">
      <c r="A254" s="30" t="inlineStr"/>
      <c r="B254" s="38" t="inlineStr"/>
      <c r="C254" s="30" t="inlineStr"/>
      <c r="D254" s="30" t="inlineStr"/>
      <c r="E254" s="30" t="inlineStr"/>
      <c r="F254" s="31" t="inlineStr"/>
      <c r="G254" s="34" t="inlineStr"/>
      <c r="H254" s="32" t="inlineStr"/>
      <c r="I254" s="32" t="inlineStr"/>
      <c r="J254" s="38" t="inlineStr"/>
      <c r="K254" s="38" t="inlineStr"/>
      <c r="L254" s="30" t="inlineStr"/>
      <c r="M254" s="30" t="inlineStr"/>
      <c r="N254" s="15">
        <f>IF(A254="","",G254*H254)</f>
        <v/>
      </c>
      <c r="O254" s="15">
        <f>IF(A254="","",G254-N254)</f>
        <v/>
      </c>
      <c r="P254" s="15">
        <f>IF(A254="","",O254*I254)</f>
        <v/>
      </c>
      <c r="Q254" s="15">
        <f>IF(A254="","",O254+P254)</f>
        <v/>
      </c>
      <c r="R254" s="15">
        <f>IF(A254="","",SUMIFS('15_Zahlungen'!$F:$F,'15_Zahlungen'!$D:$D,A254,'15_Zahlungen'!$C:$C,"Eingang"))</f>
        <v/>
      </c>
      <c r="S254" s="15">
        <f>IF(A254="","",MAX(0,Q254-R254))</f>
        <v/>
      </c>
      <c r="T254" s="45">
        <f>IF(OR(A254="",L254="bezahlt",J254=""),"",MAX(0,TODAY()-J254))</f>
        <v/>
      </c>
    </row>
    <row r="255">
      <c r="A255" s="30" t="inlineStr"/>
      <c r="B255" s="38" t="inlineStr"/>
      <c r="C255" s="30" t="inlineStr"/>
      <c r="D255" s="30" t="inlineStr"/>
      <c r="E255" s="30" t="inlineStr"/>
      <c r="F255" s="31" t="inlineStr"/>
      <c r="G255" s="34" t="inlineStr"/>
      <c r="H255" s="32" t="inlineStr"/>
      <c r="I255" s="32" t="inlineStr"/>
      <c r="J255" s="38" t="inlineStr"/>
      <c r="K255" s="38" t="inlineStr"/>
      <c r="L255" s="30" t="inlineStr"/>
      <c r="M255" s="30" t="inlineStr"/>
      <c r="N255" s="15">
        <f>IF(A255="","",G255*H255)</f>
        <v/>
      </c>
      <c r="O255" s="15">
        <f>IF(A255="","",G255-N255)</f>
        <v/>
      </c>
      <c r="P255" s="15">
        <f>IF(A255="","",O255*I255)</f>
        <v/>
      </c>
      <c r="Q255" s="15">
        <f>IF(A255="","",O255+P255)</f>
        <v/>
      </c>
      <c r="R255" s="15">
        <f>IF(A255="","",SUMIFS('15_Zahlungen'!$F:$F,'15_Zahlungen'!$D:$D,A255,'15_Zahlungen'!$C:$C,"Eingang"))</f>
        <v/>
      </c>
      <c r="S255" s="15">
        <f>IF(A255="","",MAX(0,Q255-R255))</f>
        <v/>
      </c>
      <c r="T255" s="45">
        <f>IF(OR(A255="",L255="bezahlt",J255=""),"",MAX(0,TODAY()-J255))</f>
        <v/>
      </c>
    </row>
    <row r="256">
      <c r="A256" s="30" t="inlineStr"/>
      <c r="B256" s="38" t="inlineStr"/>
      <c r="C256" s="30" t="inlineStr"/>
      <c r="D256" s="30" t="inlineStr"/>
      <c r="E256" s="30" t="inlineStr"/>
      <c r="F256" s="31" t="inlineStr"/>
      <c r="G256" s="34" t="inlineStr"/>
      <c r="H256" s="32" t="inlineStr"/>
      <c r="I256" s="32" t="inlineStr"/>
      <c r="J256" s="38" t="inlineStr"/>
      <c r="K256" s="38" t="inlineStr"/>
      <c r="L256" s="30" t="inlineStr"/>
      <c r="M256" s="30" t="inlineStr"/>
      <c r="N256" s="15">
        <f>IF(A256="","",G256*H256)</f>
        <v/>
      </c>
      <c r="O256" s="15">
        <f>IF(A256="","",G256-N256)</f>
        <v/>
      </c>
      <c r="P256" s="15">
        <f>IF(A256="","",O256*I256)</f>
        <v/>
      </c>
      <c r="Q256" s="15">
        <f>IF(A256="","",O256+P256)</f>
        <v/>
      </c>
      <c r="R256" s="15">
        <f>IF(A256="","",SUMIFS('15_Zahlungen'!$F:$F,'15_Zahlungen'!$D:$D,A256,'15_Zahlungen'!$C:$C,"Eingang"))</f>
        <v/>
      </c>
      <c r="S256" s="15">
        <f>IF(A256="","",MAX(0,Q256-R256))</f>
        <v/>
      </c>
      <c r="T256" s="45">
        <f>IF(OR(A256="",L256="bezahlt",J256=""),"",MAX(0,TODAY()-J256))</f>
        <v/>
      </c>
    </row>
    <row r="257">
      <c r="A257" s="30" t="inlineStr"/>
      <c r="B257" s="38" t="inlineStr"/>
      <c r="C257" s="30" t="inlineStr"/>
      <c r="D257" s="30" t="inlineStr"/>
      <c r="E257" s="30" t="inlineStr"/>
      <c r="F257" s="31" t="inlineStr"/>
      <c r="G257" s="34" t="inlineStr"/>
      <c r="H257" s="32" t="inlineStr"/>
      <c r="I257" s="32" t="inlineStr"/>
      <c r="J257" s="38" t="inlineStr"/>
      <c r="K257" s="38" t="inlineStr"/>
      <c r="L257" s="30" t="inlineStr"/>
      <c r="M257" s="30" t="inlineStr"/>
      <c r="N257" s="15">
        <f>IF(A257="","",G257*H257)</f>
        <v/>
      </c>
      <c r="O257" s="15">
        <f>IF(A257="","",G257-N257)</f>
        <v/>
      </c>
      <c r="P257" s="15">
        <f>IF(A257="","",O257*I257)</f>
        <v/>
      </c>
      <c r="Q257" s="15">
        <f>IF(A257="","",O257+P257)</f>
        <v/>
      </c>
      <c r="R257" s="15">
        <f>IF(A257="","",SUMIFS('15_Zahlungen'!$F:$F,'15_Zahlungen'!$D:$D,A257,'15_Zahlungen'!$C:$C,"Eingang"))</f>
        <v/>
      </c>
      <c r="S257" s="15">
        <f>IF(A257="","",MAX(0,Q257-R257))</f>
        <v/>
      </c>
      <c r="T257" s="45">
        <f>IF(OR(A257="",L257="bezahlt",J257=""),"",MAX(0,TODAY()-J257))</f>
        <v/>
      </c>
    </row>
    <row r="258">
      <c r="A258" s="30" t="inlineStr"/>
      <c r="B258" s="38" t="inlineStr"/>
      <c r="C258" s="30" t="inlineStr"/>
      <c r="D258" s="30" t="inlineStr"/>
      <c r="E258" s="30" t="inlineStr"/>
      <c r="F258" s="31" t="inlineStr"/>
      <c r="G258" s="34" t="inlineStr"/>
      <c r="H258" s="32" t="inlineStr"/>
      <c r="I258" s="32" t="inlineStr"/>
      <c r="J258" s="38" t="inlineStr"/>
      <c r="K258" s="38" t="inlineStr"/>
      <c r="L258" s="30" t="inlineStr"/>
      <c r="M258" s="30" t="inlineStr"/>
      <c r="N258" s="15">
        <f>IF(A258="","",G258*H258)</f>
        <v/>
      </c>
      <c r="O258" s="15">
        <f>IF(A258="","",G258-N258)</f>
        <v/>
      </c>
      <c r="P258" s="15">
        <f>IF(A258="","",O258*I258)</f>
        <v/>
      </c>
      <c r="Q258" s="15">
        <f>IF(A258="","",O258+P258)</f>
        <v/>
      </c>
      <c r="R258" s="15">
        <f>IF(A258="","",SUMIFS('15_Zahlungen'!$F:$F,'15_Zahlungen'!$D:$D,A258,'15_Zahlungen'!$C:$C,"Eingang"))</f>
        <v/>
      </c>
      <c r="S258" s="15">
        <f>IF(A258="","",MAX(0,Q258-R258))</f>
        <v/>
      </c>
      <c r="T258" s="45">
        <f>IF(OR(A258="",L258="bezahlt",J258=""),"",MAX(0,TODAY()-J258))</f>
        <v/>
      </c>
    </row>
    <row r="259">
      <c r="A259" s="30" t="inlineStr"/>
      <c r="B259" s="38" t="inlineStr"/>
      <c r="C259" s="30" t="inlineStr"/>
      <c r="D259" s="30" t="inlineStr"/>
      <c r="E259" s="30" t="inlineStr"/>
      <c r="F259" s="31" t="inlineStr"/>
      <c r="G259" s="34" t="inlineStr"/>
      <c r="H259" s="32" t="inlineStr"/>
      <c r="I259" s="32" t="inlineStr"/>
      <c r="J259" s="38" t="inlineStr"/>
      <c r="K259" s="38" t="inlineStr"/>
      <c r="L259" s="30" t="inlineStr"/>
      <c r="M259" s="30" t="inlineStr"/>
      <c r="N259" s="15">
        <f>IF(A259="","",G259*H259)</f>
        <v/>
      </c>
      <c r="O259" s="15">
        <f>IF(A259="","",G259-N259)</f>
        <v/>
      </c>
      <c r="P259" s="15">
        <f>IF(A259="","",O259*I259)</f>
        <v/>
      </c>
      <c r="Q259" s="15">
        <f>IF(A259="","",O259+P259)</f>
        <v/>
      </c>
      <c r="R259" s="15">
        <f>IF(A259="","",SUMIFS('15_Zahlungen'!$F:$F,'15_Zahlungen'!$D:$D,A259,'15_Zahlungen'!$C:$C,"Eingang"))</f>
        <v/>
      </c>
      <c r="S259" s="15">
        <f>IF(A259="","",MAX(0,Q259-R259))</f>
        <v/>
      </c>
      <c r="T259" s="45">
        <f>IF(OR(A259="",L259="bezahlt",J259=""),"",MAX(0,TODAY()-J259))</f>
        <v/>
      </c>
    </row>
    <row r="260">
      <c r="A260" s="30" t="inlineStr"/>
      <c r="B260" s="38" t="inlineStr"/>
      <c r="C260" s="30" t="inlineStr"/>
      <c r="D260" s="30" t="inlineStr"/>
      <c r="E260" s="30" t="inlineStr"/>
      <c r="F260" s="31" t="inlineStr"/>
      <c r="G260" s="34" t="inlineStr"/>
      <c r="H260" s="32" t="inlineStr"/>
      <c r="I260" s="32" t="inlineStr"/>
      <c r="J260" s="38" t="inlineStr"/>
      <c r="K260" s="38" t="inlineStr"/>
      <c r="L260" s="30" t="inlineStr"/>
      <c r="M260" s="30" t="inlineStr"/>
      <c r="N260" s="15">
        <f>IF(A260="","",G260*H260)</f>
        <v/>
      </c>
      <c r="O260" s="15">
        <f>IF(A260="","",G260-N260)</f>
        <v/>
      </c>
      <c r="P260" s="15">
        <f>IF(A260="","",O260*I260)</f>
        <v/>
      </c>
      <c r="Q260" s="15">
        <f>IF(A260="","",O260+P260)</f>
        <v/>
      </c>
      <c r="R260" s="15">
        <f>IF(A260="","",SUMIFS('15_Zahlungen'!$F:$F,'15_Zahlungen'!$D:$D,A260,'15_Zahlungen'!$C:$C,"Eingang"))</f>
        <v/>
      </c>
      <c r="S260" s="15">
        <f>IF(A260="","",MAX(0,Q260-R260))</f>
        <v/>
      </c>
      <c r="T260" s="45">
        <f>IF(OR(A260="",L260="bezahlt",J260=""),"",MAX(0,TODAY()-J260))</f>
        <v/>
      </c>
    </row>
    <row r="261">
      <c r="A261" s="30" t="inlineStr"/>
      <c r="B261" s="38" t="inlineStr"/>
      <c r="C261" s="30" t="inlineStr"/>
      <c r="D261" s="30" t="inlineStr"/>
      <c r="E261" s="30" t="inlineStr"/>
      <c r="F261" s="31" t="inlineStr"/>
      <c r="G261" s="34" t="inlineStr"/>
      <c r="H261" s="32" t="inlineStr"/>
      <c r="I261" s="32" t="inlineStr"/>
      <c r="J261" s="38" t="inlineStr"/>
      <c r="K261" s="38" t="inlineStr"/>
      <c r="L261" s="30" t="inlineStr"/>
      <c r="M261" s="30" t="inlineStr"/>
      <c r="N261" s="15">
        <f>IF(A261="","",G261*H261)</f>
        <v/>
      </c>
      <c r="O261" s="15">
        <f>IF(A261="","",G261-N261)</f>
        <v/>
      </c>
      <c r="P261" s="15">
        <f>IF(A261="","",O261*I261)</f>
        <v/>
      </c>
      <c r="Q261" s="15">
        <f>IF(A261="","",O261+P261)</f>
        <v/>
      </c>
      <c r="R261" s="15">
        <f>IF(A261="","",SUMIFS('15_Zahlungen'!$F:$F,'15_Zahlungen'!$D:$D,A261,'15_Zahlungen'!$C:$C,"Eingang"))</f>
        <v/>
      </c>
      <c r="S261" s="15">
        <f>IF(A261="","",MAX(0,Q261-R261))</f>
        <v/>
      </c>
      <c r="T261" s="45">
        <f>IF(OR(A261="",L261="bezahlt",J261=""),"",MAX(0,TODAY()-J261))</f>
        <v/>
      </c>
    </row>
    <row r="262">
      <c r="A262" s="30" t="inlineStr"/>
      <c r="B262" s="38" t="inlineStr"/>
      <c r="C262" s="30" t="inlineStr"/>
      <c r="D262" s="30" t="inlineStr"/>
      <c r="E262" s="30" t="inlineStr"/>
      <c r="F262" s="31" t="inlineStr"/>
      <c r="G262" s="34" t="inlineStr"/>
      <c r="H262" s="32" t="inlineStr"/>
      <c r="I262" s="32" t="inlineStr"/>
      <c r="J262" s="38" t="inlineStr"/>
      <c r="K262" s="38" t="inlineStr"/>
      <c r="L262" s="30" t="inlineStr"/>
      <c r="M262" s="30" t="inlineStr"/>
      <c r="N262" s="15">
        <f>IF(A262="","",G262*H262)</f>
        <v/>
      </c>
      <c r="O262" s="15">
        <f>IF(A262="","",G262-N262)</f>
        <v/>
      </c>
      <c r="P262" s="15">
        <f>IF(A262="","",O262*I262)</f>
        <v/>
      </c>
      <c r="Q262" s="15">
        <f>IF(A262="","",O262+P262)</f>
        <v/>
      </c>
      <c r="R262" s="15">
        <f>IF(A262="","",SUMIFS('15_Zahlungen'!$F:$F,'15_Zahlungen'!$D:$D,A262,'15_Zahlungen'!$C:$C,"Eingang"))</f>
        <v/>
      </c>
      <c r="S262" s="15">
        <f>IF(A262="","",MAX(0,Q262-R262))</f>
        <v/>
      </c>
      <c r="T262" s="45">
        <f>IF(OR(A262="",L262="bezahlt",J262=""),"",MAX(0,TODAY()-J262))</f>
        <v/>
      </c>
    </row>
    <row r="263">
      <c r="A263" s="30" t="inlineStr"/>
      <c r="B263" s="38" t="inlineStr"/>
      <c r="C263" s="30" t="inlineStr"/>
      <c r="D263" s="30" t="inlineStr"/>
      <c r="E263" s="30" t="inlineStr"/>
      <c r="F263" s="31" t="inlineStr"/>
      <c r="G263" s="34" t="inlineStr"/>
      <c r="H263" s="32" t="inlineStr"/>
      <c r="I263" s="32" t="inlineStr"/>
      <c r="J263" s="38" t="inlineStr"/>
      <c r="K263" s="38" t="inlineStr"/>
      <c r="L263" s="30" t="inlineStr"/>
      <c r="M263" s="30" t="inlineStr"/>
      <c r="N263" s="15">
        <f>IF(A263="","",G263*H263)</f>
        <v/>
      </c>
      <c r="O263" s="15">
        <f>IF(A263="","",G263-N263)</f>
        <v/>
      </c>
      <c r="P263" s="15">
        <f>IF(A263="","",O263*I263)</f>
        <v/>
      </c>
      <c r="Q263" s="15">
        <f>IF(A263="","",O263+P263)</f>
        <v/>
      </c>
      <c r="R263" s="15">
        <f>IF(A263="","",SUMIFS('15_Zahlungen'!$F:$F,'15_Zahlungen'!$D:$D,A263,'15_Zahlungen'!$C:$C,"Eingang"))</f>
        <v/>
      </c>
      <c r="S263" s="15">
        <f>IF(A263="","",MAX(0,Q263-R263))</f>
        <v/>
      </c>
      <c r="T263" s="45">
        <f>IF(OR(A263="",L263="bezahlt",J263=""),"",MAX(0,TODAY()-J263))</f>
        <v/>
      </c>
    </row>
    <row r="264">
      <c r="A264" s="30" t="inlineStr"/>
      <c r="B264" s="38" t="inlineStr"/>
      <c r="C264" s="30" t="inlineStr"/>
      <c r="D264" s="30" t="inlineStr"/>
      <c r="E264" s="30" t="inlineStr"/>
      <c r="F264" s="31" t="inlineStr"/>
      <c r="G264" s="34" t="inlineStr"/>
      <c r="H264" s="32" t="inlineStr"/>
      <c r="I264" s="32" t="inlineStr"/>
      <c r="J264" s="38" t="inlineStr"/>
      <c r="K264" s="38" t="inlineStr"/>
      <c r="L264" s="30" t="inlineStr"/>
      <c r="M264" s="30" t="inlineStr"/>
      <c r="N264" s="15">
        <f>IF(A264="","",G264*H264)</f>
        <v/>
      </c>
      <c r="O264" s="15">
        <f>IF(A264="","",G264-N264)</f>
        <v/>
      </c>
      <c r="P264" s="15">
        <f>IF(A264="","",O264*I264)</f>
        <v/>
      </c>
      <c r="Q264" s="15">
        <f>IF(A264="","",O264+P264)</f>
        <v/>
      </c>
      <c r="R264" s="15">
        <f>IF(A264="","",SUMIFS('15_Zahlungen'!$F:$F,'15_Zahlungen'!$D:$D,A264,'15_Zahlungen'!$C:$C,"Eingang"))</f>
        <v/>
      </c>
      <c r="S264" s="15">
        <f>IF(A264="","",MAX(0,Q264-R264))</f>
        <v/>
      </c>
      <c r="T264" s="45">
        <f>IF(OR(A264="",L264="bezahlt",J264=""),"",MAX(0,TODAY()-J264))</f>
        <v/>
      </c>
    </row>
    <row r="265">
      <c r="A265" s="30" t="inlineStr"/>
      <c r="B265" s="38" t="inlineStr"/>
      <c r="C265" s="30" t="inlineStr"/>
      <c r="D265" s="30" t="inlineStr"/>
      <c r="E265" s="30" t="inlineStr"/>
      <c r="F265" s="31" t="inlineStr"/>
      <c r="G265" s="34" t="inlineStr"/>
      <c r="H265" s="32" t="inlineStr"/>
      <c r="I265" s="32" t="inlineStr"/>
      <c r="J265" s="38" t="inlineStr"/>
      <c r="K265" s="38" t="inlineStr"/>
      <c r="L265" s="30" t="inlineStr"/>
      <c r="M265" s="30" t="inlineStr"/>
      <c r="N265" s="15">
        <f>IF(A265="","",G265*H265)</f>
        <v/>
      </c>
      <c r="O265" s="15">
        <f>IF(A265="","",G265-N265)</f>
        <v/>
      </c>
      <c r="P265" s="15">
        <f>IF(A265="","",O265*I265)</f>
        <v/>
      </c>
      <c r="Q265" s="15">
        <f>IF(A265="","",O265+P265)</f>
        <v/>
      </c>
      <c r="R265" s="15">
        <f>IF(A265="","",SUMIFS('15_Zahlungen'!$F:$F,'15_Zahlungen'!$D:$D,A265,'15_Zahlungen'!$C:$C,"Eingang"))</f>
        <v/>
      </c>
      <c r="S265" s="15">
        <f>IF(A265="","",MAX(0,Q265-R265))</f>
        <v/>
      </c>
      <c r="T265" s="45">
        <f>IF(OR(A265="",L265="bezahlt",J265=""),"",MAX(0,TODAY()-J265))</f>
        <v/>
      </c>
    </row>
    <row r="266">
      <c r="A266" s="30" t="inlineStr"/>
      <c r="B266" s="38" t="inlineStr"/>
      <c r="C266" s="30" t="inlineStr"/>
      <c r="D266" s="30" t="inlineStr"/>
      <c r="E266" s="30" t="inlineStr"/>
      <c r="F266" s="31" t="inlineStr"/>
      <c r="G266" s="34" t="inlineStr"/>
      <c r="H266" s="32" t="inlineStr"/>
      <c r="I266" s="32" t="inlineStr"/>
      <c r="J266" s="38" t="inlineStr"/>
      <c r="K266" s="38" t="inlineStr"/>
      <c r="L266" s="30" t="inlineStr"/>
      <c r="M266" s="30" t="inlineStr"/>
      <c r="N266" s="15">
        <f>IF(A266="","",G266*H266)</f>
        <v/>
      </c>
      <c r="O266" s="15">
        <f>IF(A266="","",G266-N266)</f>
        <v/>
      </c>
      <c r="P266" s="15">
        <f>IF(A266="","",O266*I266)</f>
        <v/>
      </c>
      <c r="Q266" s="15">
        <f>IF(A266="","",O266+P266)</f>
        <v/>
      </c>
      <c r="R266" s="15">
        <f>IF(A266="","",SUMIFS('15_Zahlungen'!$F:$F,'15_Zahlungen'!$D:$D,A266,'15_Zahlungen'!$C:$C,"Eingang"))</f>
        <v/>
      </c>
      <c r="S266" s="15">
        <f>IF(A266="","",MAX(0,Q266-R266))</f>
        <v/>
      </c>
      <c r="T266" s="45">
        <f>IF(OR(A266="",L266="bezahlt",J266=""),"",MAX(0,TODAY()-J266))</f>
        <v/>
      </c>
    </row>
    <row r="267">
      <c r="A267" s="30" t="inlineStr"/>
      <c r="B267" s="38" t="inlineStr"/>
      <c r="C267" s="30" t="inlineStr"/>
      <c r="D267" s="30" t="inlineStr"/>
      <c r="E267" s="30" t="inlineStr"/>
      <c r="F267" s="31" t="inlineStr"/>
      <c r="G267" s="34" t="inlineStr"/>
      <c r="H267" s="32" t="inlineStr"/>
      <c r="I267" s="32" t="inlineStr"/>
      <c r="J267" s="38" t="inlineStr"/>
      <c r="K267" s="38" t="inlineStr"/>
      <c r="L267" s="30" t="inlineStr"/>
      <c r="M267" s="30" t="inlineStr"/>
      <c r="N267" s="15">
        <f>IF(A267="","",G267*H267)</f>
        <v/>
      </c>
      <c r="O267" s="15">
        <f>IF(A267="","",G267-N267)</f>
        <v/>
      </c>
      <c r="P267" s="15">
        <f>IF(A267="","",O267*I267)</f>
        <v/>
      </c>
      <c r="Q267" s="15">
        <f>IF(A267="","",O267+P267)</f>
        <v/>
      </c>
      <c r="R267" s="15">
        <f>IF(A267="","",SUMIFS('15_Zahlungen'!$F:$F,'15_Zahlungen'!$D:$D,A267,'15_Zahlungen'!$C:$C,"Eingang"))</f>
        <v/>
      </c>
      <c r="S267" s="15">
        <f>IF(A267="","",MAX(0,Q267-R267))</f>
        <v/>
      </c>
      <c r="T267" s="45">
        <f>IF(OR(A267="",L267="bezahlt",J267=""),"",MAX(0,TODAY()-J267))</f>
        <v/>
      </c>
    </row>
    <row r="268">
      <c r="A268" s="30" t="inlineStr"/>
      <c r="B268" s="38" t="inlineStr"/>
      <c r="C268" s="30" t="inlineStr"/>
      <c r="D268" s="30" t="inlineStr"/>
      <c r="E268" s="30" t="inlineStr"/>
      <c r="F268" s="31" t="inlineStr"/>
      <c r="G268" s="34" t="inlineStr"/>
      <c r="H268" s="32" t="inlineStr"/>
      <c r="I268" s="32" t="inlineStr"/>
      <c r="J268" s="38" t="inlineStr"/>
      <c r="K268" s="38" t="inlineStr"/>
      <c r="L268" s="30" t="inlineStr"/>
      <c r="M268" s="30" t="inlineStr"/>
      <c r="N268" s="15">
        <f>IF(A268="","",G268*H268)</f>
        <v/>
      </c>
      <c r="O268" s="15">
        <f>IF(A268="","",G268-N268)</f>
        <v/>
      </c>
      <c r="P268" s="15">
        <f>IF(A268="","",O268*I268)</f>
        <v/>
      </c>
      <c r="Q268" s="15">
        <f>IF(A268="","",O268+P268)</f>
        <v/>
      </c>
      <c r="R268" s="15">
        <f>IF(A268="","",SUMIFS('15_Zahlungen'!$F:$F,'15_Zahlungen'!$D:$D,A268,'15_Zahlungen'!$C:$C,"Eingang"))</f>
        <v/>
      </c>
      <c r="S268" s="15">
        <f>IF(A268="","",MAX(0,Q268-R268))</f>
        <v/>
      </c>
      <c r="T268" s="45">
        <f>IF(OR(A268="",L268="bezahlt",J268=""),"",MAX(0,TODAY()-J268))</f>
        <v/>
      </c>
    </row>
    <row r="269">
      <c r="A269" s="30" t="inlineStr"/>
      <c r="B269" s="38" t="inlineStr"/>
      <c r="C269" s="30" t="inlineStr"/>
      <c r="D269" s="30" t="inlineStr"/>
      <c r="E269" s="30" t="inlineStr"/>
      <c r="F269" s="31" t="inlineStr"/>
      <c r="G269" s="34" t="inlineStr"/>
      <c r="H269" s="32" t="inlineStr"/>
      <c r="I269" s="32" t="inlineStr"/>
      <c r="J269" s="38" t="inlineStr"/>
      <c r="K269" s="38" t="inlineStr"/>
      <c r="L269" s="30" t="inlineStr"/>
      <c r="M269" s="30" t="inlineStr"/>
      <c r="N269" s="15">
        <f>IF(A269="","",G269*H269)</f>
        <v/>
      </c>
      <c r="O269" s="15">
        <f>IF(A269="","",G269-N269)</f>
        <v/>
      </c>
      <c r="P269" s="15">
        <f>IF(A269="","",O269*I269)</f>
        <v/>
      </c>
      <c r="Q269" s="15">
        <f>IF(A269="","",O269+P269)</f>
        <v/>
      </c>
      <c r="R269" s="15">
        <f>IF(A269="","",SUMIFS('15_Zahlungen'!$F:$F,'15_Zahlungen'!$D:$D,A269,'15_Zahlungen'!$C:$C,"Eingang"))</f>
        <v/>
      </c>
      <c r="S269" s="15">
        <f>IF(A269="","",MAX(0,Q269-R269))</f>
        <v/>
      </c>
      <c r="T269" s="45">
        <f>IF(OR(A269="",L269="bezahlt",J269=""),"",MAX(0,TODAY()-J269))</f>
        <v/>
      </c>
    </row>
    <row r="270">
      <c r="A270" s="30" t="inlineStr"/>
      <c r="B270" s="38" t="inlineStr"/>
      <c r="C270" s="30" t="inlineStr"/>
      <c r="D270" s="30" t="inlineStr"/>
      <c r="E270" s="30" t="inlineStr"/>
      <c r="F270" s="31" t="inlineStr"/>
      <c r="G270" s="34" t="inlineStr"/>
      <c r="H270" s="32" t="inlineStr"/>
      <c r="I270" s="32" t="inlineStr"/>
      <c r="J270" s="38" t="inlineStr"/>
      <c r="K270" s="38" t="inlineStr"/>
      <c r="L270" s="30" t="inlineStr"/>
      <c r="M270" s="30" t="inlineStr"/>
      <c r="N270" s="15">
        <f>IF(A270="","",G270*H270)</f>
        <v/>
      </c>
      <c r="O270" s="15">
        <f>IF(A270="","",G270-N270)</f>
        <v/>
      </c>
      <c r="P270" s="15">
        <f>IF(A270="","",O270*I270)</f>
        <v/>
      </c>
      <c r="Q270" s="15">
        <f>IF(A270="","",O270+P270)</f>
        <v/>
      </c>
      <c r="R270" s="15">
        <f>IF(A270="","",SUMIFS('15_Zahlungen'!$F:$F,'15_Zahlungen'!$D:$D,A270,'15_Zahlungen'!$C:$C,"Eingang"))</f>
        <v/>
      </c>
      <c r="S270" s="15">
        <f>IF(A270="","",MAX(0,Q270-R270))</f>
        <v/>
      </c>
      <c r="T270" s="45">
        <f>IF(OR(A270="",L270="bezahlt",J270=""),"",MAX(0,TODAY()-J270))</f>
        <v/>
      </c>
    </row>
    <row r="271">
      <c r="A271" s="30" t="inlineStr"/>
      <c r="B271" s="38" t="inlineStr"/>
      <c r="C271" s="30" t="inlineStr"/>
      <c r="D271" s="30" t="inlineStr"/>
      <c r="E271" s="30" t="inlineStr"/>
      <c r="F271" s="31" t="inlineStr"/>
      <c r="G271" s="34" t="inlineStr"/>
      <c r="H271" s="32" t="inlineStr"/>
      <c r="I271" s="32" t="inlineStr"/>
      <c r="J271" s="38" t="inlineStr"/>
      <c r="K271" s="38" t="inlineStr"/>
      <c r="L271" s="30" t="inlineStr"/>
      <c r="M271" s="30" t="inlineStr"/>
      <c r="N271" s="15">
        <f>IF(A271="","",G271*H271)</f>
        <v/>
      </c>
      <c r="O271" s="15">
        <f>IF(A271="","",G271-N271)</f>
        <v/>
      </c>
      <c r="P271" s="15">
        <f>IF(A271="","",O271*I271)</f>
        <v/>
      </c>
      <c r="Q271" s="15">
        <f>IF(A271="","",O271+P271)</f>
        <v/>
      </c>
      <c r="R271" s="15">
        <f>IF(A271="","",SUMIFS('15_Zahlungen'!$F:$F,'15_Zahlungen'!$D:$D,A271,'15_Zahlungen'!$C:$C,"Eingang"))</f>
        <v/>
      </c>
      <c r="S271" s="15">
        <f>IF(A271="","",MAX(0,Q271-R271))</f>
        <v/>
      </c>
      <c r="T271" s="45">
        <f>IF(OR(A271="",L271="bezahlt",J271=""),"",MAX(0,TODAY()-J271))</f>
        <v/>
      </c>
    </row>
    <row r="272">
      <c r="A272" s="30" t="inlineStr"/>
      <c r="B272" s="38" t="inlineStr"/>
      <c r="C272" s="30" t="inlineStr"/>
      <c r="D272" s="30" t="inlineStr"/>
      <c r="E272" s="30" t="inlineStr"/>
      <c r="F272" s="31" t="inlineStr"/>
      <c r="G272" s="34" t="inlineStr"/>
      <c r="H272" s="32" t="inlineStr"/>
      <c r="I272" s="32" t="inlineStr"/>
      <c r="J272" s="38" t="inlineStr"/>
      <c r="K272" s="38" t="inlineStr"/>
      <c r="L272" s="30" t="inlineStr"/>
      <c r="M272" s="30" t="inlineStr"/>
      <c r="N272" s="15">
        <f>IF(A272="","",G272*H272)</f>
        <v/>
      </c>
      <c r="O272" s="15">
        <f>IF(A272="","",G272-N272)</f>
        <v/>
      </c>
      <c r="P272" s="15">
        <f>IF(A272="","",O272*I272)</f>
        <v/>
      </c>
      <c r="Q272" s="15">
        <f>IF(A272="","",O272+P272)</f>
        <v/>
      </c>
      <c r="R272" s="15">
        <f>IF(A272="","",SUMIFS('15_Zahlungen'!$F:$F,'15_Zahlungen'!$D:$D,A272,'15_Zahlungen'!$C:$C,"Eingang"))</f>
        <v/>
      </c>
      <c r="S272" s="15">
        <f>IF(A272="","",MAX(0,Q272-R272))</f>
        <v/>
      </c>
      <c r="T272" s="45">
        <f>IF(OR(A272="",L272="bezahlt",J272=""),"",MAX(0,TODAY()-J272))</f>
        <v/>
      </c>
    </row>
    <row r="273">
      <c r="A273" s="30" t="inlineStr"/>
      <c r="B273" s="38" t="inlineStr"/>
      <c r="C273" s="30" t="inlineStr"/>
      <c r="D273" s="30" t="inlineStr"/>
      <c r="E273" s="30" t="inlineStr"/>
      <c r="F273" s="31" t="inlineStr"/>
      <c r="G273" s="34" t="inlineStr"/>
      <c r="H273" s="32" t="inlineStr"/>
      <c r="I273" s="32" t="inlineStr"/>
      <c r="J273" s="38" t="inlineStr"/>
      <c r="K273" s="38" t="inlineStr"/>
      <c r="L273" s="30" t="inlineStr"/>
      <c r="M273" s="30" t="inlineStr"/>
      <c r="N273" s="15">
        <f>IF(A273="","",G273*H273)</f>
        <v/>
      </c>
      <c r="O273" s="15">
        <f>IF(A273="","",G273-N273)</f>
        <v/>
      </c>
      <c r="P273" s="15">
        <f>IF(A273="","",O273*I273)</f>
        <v/>
      </c>
      <c r="Q273" s="15">
        <f>IF(A273="","",O273+P273)</f>
        <v/>
      </c>
      <c r="R273" s="15">
        <f>IF(A273="","",SUMIFS('15_Zahlungen'!$F:$F,'15_Zahlungen'!$D:$D,A273,'15_Zahlungen'!$C:$C,"Eingang"))</f>
        <v/>
      </c>
      <c r="S273" s="15">
        <f>IF(A273="","",MAX(0,Q273-R273))</f>
        <v/>
      </c>
      <c r="T273" s="45">
        <f>IF(OR(A273="",L273="bezahlt",J273=""),"",MAX(0,TODAY()-J273))</f>
        <v/>
      </c>
    </row>
    <row r="274">
      <c r="A274" s="30" t="inlineStr"/>
      <c r="B274" s="38" t="inlineStr"/>
      <c r="C274" s="30" t="inlineStr"/>
      <c r="D274" s="30" t="inlineStr"/>
      <c r="E274" s="30" t="inlineStr"/>
      <c r="F274" s="31" t="inlineStr"/>
      <c r="G274" s="34" t="inlineStr"/>
      <c r="H274" s="32" t="inlineStr"/>
      <c r="I274" s="32" t="inlineStr"/>
      <c r="J274" s="38" t="inlineStr"/>
      <c r="K274" s="38" t="inlineStr"/>
      <c r="L274" s="30" t="inlineStr"/>
      <c r="M274" s="30" t="inlineStr"/>
      <c r="N274" s="15">
        <f>IF(A274="","",G274*H274)</f>
        <v/>
      </c>
      <c r="O274" s="15">
        <f>IF(A274="","",G274-N274)</f>
        <v/>
      </c>
      <c r="P274" s="15">
        <f>IF(A274="","",O274*I274)</f>
        <v/>
      </c>
      <c r="Q274" s="15">
        <f>IF(A274="","",O274+P274)</f>
        <v/>
      </c>
      <c r="R274" s="15">
        <f>IF(A274="","",SUMIFS('15_Zahlungen'!$F:$F,'15_Zahlungen'!$D:$D,A274,'15_Zahlungen'!$C:$C,"Eingang"))</f>
        <v/>
      </c>
      <c r="S274" s="15">
        <f>IF(A274="","",MAX(0,Q274-R274))</f>
        <v/>
      </c>
      <c r="T274" s="45">
        <f>IF(OR(A274="",L274="bezahlt",J274=""),"",MAX(0,TODAY()-J274))</f>
        <v/>
      </c>
    </row>
    <row r="275">
      <c r="A275" s="30" t="inlineStr"/>
      <c r="B275" s="38" t="inlineStr"/>
      <c r="C275" s="30" t="inlineStr"/>
      <c r="D275" s="30" t="inlineStr"/>
      <c r="E275" s="30" t="inlineStr"/>
      <c r="F275" s="31" t="inlineStr"/>
      <c r="G275" s="34" t="inlineStr"/>
      <c r="H275" s="32" t="inlineStr"/>
      <c r="I275" s="32" t="inlineStr"/>
      <c r="J275" s="38" t="inlineStr"/>
      <c r="K275" s="38" t="inlineStr"/>
      <c r="L275" s="30" t="inlineStr"/>
      <c r="M275" s="30" t="inlineStr"/>
      <c r="N275" s="15">
        <f>IF(A275="","",G275*H275)</f>
        <v/>
      </c>
      <c r="O275" s="15">
        <f>IF(A275="","",G275-N275)</f>
        <v/>
      </c>
      <c r="P275" s="15">
        <f>IF(A275="","",O275*I275)</f>
        <v/>
      </c>
      <c r="Q275" s="15">
        <f>IF(A275="","",O275+P275)</f>
        <v/>
      </c>
      <c r="R275" s="15">
        <f>IF(A275="","",SUMIFS('15_Zahlungen'!$F:$F,'15_Zahlungen'!$D:$D,A275,'15_Zahlungen'!$C:$C,"Eingang"))</f>
        <v/>
      </c>
      <c r="S275" s="15">
        <f>IF(A275="","",MAX(0,Q275-R275))</f>
        <v/>
      </c>
      <c r="T275" s="45">
        <f>IF(OR(A275="",L275="bezahlt",J275=""),"",MAX(0,TODAY()-J275))</f>
        <v/>
      </c>
    </row>
    <row r="276">
      <c r="A276" s="30" t="inlineStr"/>
      <c r="B276" s="38" t="inlineStr"/>
      <c r="C276" s="30" t="inlineStr"/>
      <c r="D276" s="30" t="inlineStr"/>
      <c r="E276" s="30" t="inlineStr"/>
      <c r="F276" s="31" t="inlineStr"/>
      <c r="G276" s="34" t="inlineStr"/>
      <c r="H276" s="32" t="inlineStr"/>
      <c r="I276" s="32" t="inlineStr"/>
      <c r="J276" s="38" t="inlineStr"/>
      <c r="K276" s="38" t="inlineStr"/>
      <c r="L276" s="30" t="inlineStr"/>
      <c r="M276" s="30" t="inlineStr"/>
      <c r="N276" s="15">
        <f>IF(A276="","",G276*H276)</f>
        <v/>
      </c>
      <c r="O276" s="15">
        <f>IF(A276="","",G276-N276)</f>
        <v/>
      </c>
      <c r="P276" s="15">
        <f>IF(A276="","",O276*I276)</f>
        <v/>
      </c>
      <c r="Q276" s="15">
        <f>IF(A276="","",O276+P276)</f>
        <v/>
      </c>
      <c r="R276" s="15">
        <f>IF(A276="","",SUMIFS('15_Zahlungen'!$F:$F,'15_Zahlungen'!$D:$D,A276,'15_Zahlungen'!$C:$C,"Eingang"))</f>
        <v/>
      </c>
      <c r="S276" s="15">
        <f>IF(A276="","",MAX(0,Q276-R276))</f>
        <v/>
      </c>
      <c r="T276" s="45">
        <f>IF(OR(A276="",L276="bezahlt",J276=""),"",MAX(0,TODAY()-J276))</f>
        <v/>
      </c>
    </row>
    <row r="277">
      <c r="A277" s="30" t="inlineStr"/>
      <c r="B277" s="38" t="inlineStr"/>
      <c r="C277" s="30" t="inlineStr"/>
      <c r="D277" s="30" t="inlineStr"/>
      <c r="E277" s="30" t="inlineStr"/>
      <c r="F277" s="31" t="inlineStr"/>
      <c r="G277" s="34" t="inlineStr"/>
      <c r="H277" s="32" t="inlineStr"/>
      <c r="I277" s="32" t="inlineStr"/>
      <c r="J277" s="38" t="inlineStr"/>
      <c r="K277" s="38" t="inlineStr"/>
      <c r="L277" s="30" t="inlineStr"/>
      <c r="M277" s="30" t="inlineStr"/>
      <c r="N277" s="15">
        <f>IF(A277="","",G277*H277)</f>
        <v/>
      </c>
      <c r="O277" s="15">
        <f>IF(A277="","",G277-N277)</f>
        <v/>
      </c>
      <c r="P277" s="15">
        <f>IF(A277="","",O277*I277)</f>
        <v/>
      </c>
      <c r="Q277" s="15">
        <f>IF(A277="","",O277+P277)</f>
        <v/>
      </c>
      <c r="R277" s="15">
        <f>IF(A277="","",SUMIFS('15_Zahlungen'!$F:$F,'15_Zahlungen'!$D:$D,A277,'15_Zahlungen'!$C:$C,"Eingang"))</f>
        <v/>
      </c>
      <c r="S277" s="15">
        <f>IF(A277="","",MAX(0,Q277-R277))</f>
        <v/>
      </c>
      <c r="T277" s="45">
        <f>IF(OR(A277="",L277="bezahlt",J277=""),"",MAX(0,TODAY()-J277))</f>
        <v/>
      </c>
    </row>
    <row r="278">
      <c r="A278" s="30" t="inlineStr"/>
      <c r="B278" s="38" t="inlineStr"/>
      <c r="C278" s="30" t="inlineStr"/>
      <c r="D278" s="30" t="inlineStr"/>
      <c r="E278" s="30" t="inlineStr"/>
      <c r="F278" s="31" t="inlineStr"/>
      <c r="G278" s="34" t="inlineStr"/>
      <c r="H278" s="32" t="inlineStr"/>
      <c r="I278" s="32" t="inlineStr"/>
      <c r="J278" s="38" t="inlineStr"/>
      <c r="K278" s="38" t="inlineStr"/>
      <c r="L278" s="30" t="inlineStr"/>
      <c r="M278" s="30" t="inlineStr"/>
      <c r="N278" s="15">
        <f>IF(A278="","",G278*H278)</f>
        <v/>
      </c>
      <c r="O278" s="15">
        <f>IF(A278="","",G278-N278)</f>
        <v/>
      </c>
      <c r="P278" s="15">
        <f>IF(A278="","",O278*I278)</f>
        <v/>
      </c>
      <c r="Q278" s="15">
        <f>IF(A278="","",O278+P278)</f>
        <v/>
      </c>
      <c r="R278" s="15">
        <f>IF(A278="","",SUMIFS('15_Zahlungen'!$F:$F,'15_Zahlungen'!$D:$D,A278,'15_Zahlungen'!$C:$C,"Eingang"))</f>
        <v/>
      </c>
      <c r="S278" s="15">
        <f>IF(A278="","",MAX(0,Q278-R278))</f>
        <v/>
      </c>
      <c r="T278" s="45">
        <f>IF(OR(A278="",L278="bezahlt",J278=""),"",MAX(0,TODAY()-J278))</f>
        <v/>
      </c>
    </row>
    <row r="279">
      <c r="A279" s="30" t="inlineStr"/>
      <c r="B279" s="38" t="inlineStr"/>
      <c r="C279" s="30" t="inlineStr"/>
      <c r="D279" s="30" t="inlineStr"/>
      <c r="E279" s="30" t="inlineStr"/>
      <c r="F279" s="31" t="inlineStr"/>
      <c r="G279" s="34" t="inlineStr"/>
      <c r="H279" s="32" t="inlineStr"/>
      <c r="I279" s="32" t="inlineStr"/>
      <c r="J279" s="38" t="inlineStr"/>
      <c r="K279" s="38" t="inlineStr"/>
      <c r="L279" s="30" t="inlineStr"/>
      <c r="M279" s="30" t="inlineStr"/>
      <c r="N279" s="15">
        <f>IF(A279="","",G279*H279)</f>
        <v/>
      </c>
      <c r="O279" s="15">
        <f>IF(A279="","",G279-N279)</f>
        <v/>
      </c>
      <c r="P279" s="15">
        <f>IF(A279="","",O279*I279)</f>
        <v/>
      </c>
      <c r="Q279" s="15">
        <f>IF(A279="","",O279+P279)</f>
        <v/>
      </c>
      <c r="R279" s="15">
        <f>IF(A279="","",SUMIFS('15_Zahlungen'!$F:$F,'15_Zahlungen'!$D:$D,A279,'15_Zahlungen'!$C:$C,"Eingang"))</f>
        <v/>
      </c>
      <c r="S279" s="15">
        <f>IF(A279="","",MAX(0,Q279-R279))</f>
        <v/>
      </c>
      <c r="T279" s="45">
        <f>IF(OR(A279="",L279="bezahlt",J279=""),"",MAX(0,TODAY()-J279))</f>
        <v/>
      </c>
    </row>
    <row r="280">
      <c r="A280" s="30" t="inlineStr"/>
      <c r="B280" s="38" t="inlineStr"/>
      <c r="C280" s="30" t="inlineStr"/>
      <c r="D280" s="30" t="inlineStr"/>
      <c r="E280" s="30" t="inlineStr"/>
      <c r="F280" s="31" t="inlineStr"/>
      <c r="G280" s="34" t="inlineStr"/>
      <c r="H280" s="32" t="inlineStr"/>
      <c r="I280" s="32" t="inlineStr"/>
      <c r="J280" s="38" t="inlineStr"/>
      <c r="K280" s="38" t="inlineStr"/>
      <c r="L280" s="30" t="inlineStr"/>
      <c r="M280" s="30" t="inlineStr"/>
      <c r="N280" s="15">
        <f>IF(A280="","",G280*H280)</f>
        <v/>
      </c>
      <c r="O280" s="15">
        <f>IF(A280="","",G280-N280)</f>
        <v/>
      </c>
      <c r="P280" s="15">
        <f>IF(A280="","",O280*I280)</f>
        <v/>
      </c>
      <c r="Q280" s="15">
        <f>IF(A280="","",O280+P280)</f>
        <v/>
      </c>
      <c r="R280" s="15">
        <f>IF(A280="","",SUMIFS('15_Zahlungen'!$F:$F,'15_Zahlungen'!$D:$D,A280,'15_Zahlungen'!$C:$C,"Eingang"))</f>
        <v/>
      </c>
      <c r="S280" s="15">
        <f>IF(A280="","",MAX(0,Q280-R280))</f>
        <v/>
      </c>
      <c r="T280" s="45">
        <f>IF(OR(A280="",L280="bezahlt",J280=""),"",MAX(0,TODAY()-J280))</f>
        <v/>
      </c>
    </row>
    <row r="281">
      <c r="A281" s="30" t="inlineStr"/>
      <c r="B281" s="38" t="inlineStr"/>
      <c r="C281" s="30" t="inlineStr"/>
      <c r="D281" s="30" t="inlineStr"/>
      <c r="E281" s="30" t="inlineStr"/>
      <c r="F281" s="31" t="inlineStr"/>
      <c r="G281" s="34" t="inlineStr"/>
      <c r="H281" s="32" t="inlineStr"/>
      <c r="I281" s="32" t="inlineStr"/>
      <c r="J281" s="38" t="inlineStr"/>
      <c r="K281" s="38" t="inlineStr"/>
      <c r="L281" s="30" t="inlineStr"/>
      <c r="M281" s="30" t="inlineStr"/>
      <c r="N281" s="15">
        <f>IF(A281="","",G281*H281)</f>
        <v/>
      </c>
      <c r="O281" s="15">
        <f>IF(A281="","",G281-N281)</f>
        <v/>
      </c>
      <c r="P281" s="15">
        <f>IF(A281="","",O281*I281)</f>
        <v/>
      </c>
      <c r="Q281" s="15">
        <f>IF(A281="","",O281+P281)</f>
        <v/>
      </c>
      <c r="R281" s="15">
        <f>IF(A281="","",SUMIFS('15_Zahlungen'!$F:$F,'15_Zahlungen'!$D:$D,A281,'15_Zahlungen'!$C:$C,"Eingang"))</f>
        <v/>
      </c>
      <c r="S281" s="15">
        <f>IF(A281="","",MAX(0,Q281-R281))</f>
        <v/>
      </c>
      <c r="T281" s="45">
        <f>IF(OR(A281="",L281="bezahlt",J281=""),"",MAX(0,TODAY()-J281))</f>
        <v/>
      </c>
    </row>
    <row r="282">
      <c r="A282" s="30" t="inlineStr"/>
      <c r="B282" s="38" t="inlineStr"/>
      <c r="C282" s="30" t="inlineStr"/>
      <c r="D282" s="30" t="inlineStr"/>
      <c r="E282" s="30" t="inlineStr"/>
      <c r="F282" s="31" t="inlineStr"/>
      <c r="G282" s="34" t="inlineStr"/>
      <c r="H282" s="32" t="inlineStr"/>
      <c r="I282" s="32" t="inlineStr"/>
      <c r="J282" s="38" t="inlineStr"/>
      <c r="K282" s="38" t="inlineStr"/>
      <c r="L282" s="30" t="inlineStr"/>
      <c r="M282" s="30" t="inlineStr"/>
      <c r="N282" s="15">
        <f>IF(A282="","",G282*H282)</f>
        <v/>
      </c>
      <c r="O282" s="15">
        <f>IF(A282="","",G282-N282)</f>
        <v/>
      </c>
      <c r="P282" s="15">
        <f>IF(A282="","",O282*I282)</f>
        <v/>
      </c>
      <c r="Q282" s="15">
        <f>IF(A282="","",O282+P282)</f>
        <v/>
      </c>
      <c r="R282" s="15">
        <f>IF(A282="","",SUMIFS('15_Zahlungen'!$F:$F,'15_Zahlungen'!$D:$D,A282,'15_Zahlungen'!$C:$C,"Eingang"))</f>
        <v/>
      </c>
      <c r="S282" s="15">
        <f>IF(A282="","",MAX(0,Q282-R282))</f>
        <v/>
      </c>
      <c r="T282" s="45">
        <f>IF(OR(A282="",L282="bezahlt",J282=""),"",MAX(0,TODAY()-J282))</f>
        <v/>
      </c>
    </row>
    <row r="283">
      <c r="A283" s="30" t="inlineStr"/>
      <c r="B283" s="38" t="inlineStr"/>
      <c r="C283" s="30" t="inlineStr"/>
      <c r="D283" s="30" t="inlineStr"/>
      <c r="E283" s="30" t="inlineStr"/>
      <c r="F283" s="31" t="inlineStr"/>
      <c r="G283" s="34" t="inlineStr"/>
      <c r="H283" s="32" t="inlineStr"/>
      <c r="I283" s="32" t="inlineStr"/>
      <c r="J283" s="38" t="inlineStr"/>
      <c r="K283" s="38" t="inlineStr"/>
      <c r="L283" s="30" t="inlineStr"/>
      <c r="M283" s="30" t="inlineStr"/>
      <c r="N283" s="15">
        <f>IF(A283="","",G283*H283)</f>
        <v/>
      </c>
      <c r="O283" s="15">
        <f>IF(A283="","",G283-N283)</f>
        <v/>
      </c>
      <c r="P283" s="15">
        <f>IF(A283="","",O283*I283)</f>
        <v/>
      </c>
      <c r="Q283" s="15">
        <f>IF(A283="","",O283+P283)</f>
        <v/>
      </c>
      <c r="R283" s="15">
        <f>IF(A283="","",SUMIFS('15_Zahlungen'!$F:$F,'15_Zahlungen'!$D:$D,A283,'15_Zahlungen'!$C:$C,"Eingang"))</f>
        <v/>
      </c>
      <c r="S283" s="15">
        <f>IF(A283="","",MAX(0,Q283-R283))</f>
        <v/>
      </c>
      <c r="T283" s="45">
        <f>IF(OR(A283="",L283="bezahlt",J283=""),"",MAX(0,TODAY()-J283))</f>
        <v/>
      </c>
    </row>
    <row r="284">
      <c r="A284" s="30" t="inlineStr"/>
      <c r="B284" s="38" t="inlineStr"/>
      <c r="C284" s="30" t="inlineStr"/>
      <c r="D284" s="30" t="inlineStr"/>
      <c r="E284" s="30" t="inlineStr"/>
      <c r="F284" s="31" t="inlineStr"/>
      <c r="G284" s="34" t="inlineStr"/>
      <c r="H284" s="32" t="inlineStr"/>
      <c r="I284" s="32" t="inlineStr"/>
      <c r="J284" s="38" t="inlineStr"/>
      <c r="K284" s="38" t="inlineStr"/>
      <c r="L284" s="30" t="inlineStr"/>
      <c r="M284" s="30" t="inlineStr"/>
      <c r="N284" s="15">
        <f>IF(A284="","",G284*H284)</f>
        <v/>
      </c>
      <c r="O284" s="15">
        <f>IF(A284="","",G284-N284)</f>
        <v/>
      </c>
      <c r="P284" s="15">
        <f>IF(A284="","",O284*I284)</f>
        <v/>
      </c>
      <c r="Q284" s="15">
        <f>IF(A284="","",O284+P284)</f>
        <v/>
      </c>
      <c r="R284" s="15">
        <f>IF(A284="","",SUMIFS('15_Zahlungen'!$F:$F,'15_Zahlungen'!$D:$D,A284,'15_Zahlungen'!$C:$C,"Eingang"))</f>
        <v/>
      </c>
      <c r="S284" s="15">
        <f>IF(A284="","",MAX(0,Q284-R284))</f>
        <v/>
      </c>
      <c r="T284" s="45">
        <f>IF(OR(A284="",L284="bezahlt",J284=""),"",MAX(0,TODAY()-J284))</f>
        <v/>
      </c>
    </row>
    <row r="285">
      <c r="A285" s="30" t="inlineStr"/>
      <c r="B285" s="38" t="inlineStr"/>
      <c r="C285" s="30" t="inlineStr"/>
      <c r="D285" s="30" t="inlineStr"/>
      <c r="E285" s="30" t="inlineStr"/>
      <c r="F285" s="31" t="inlineStr"/>
      <c r="G285" s="34" t="inlineStr"/>
      <c r="H285" s="32" t="inlineStr"/>
      <c r="I285" s="32" t="inlineStr"/>
      <c r="J285" s="38" t="inlineStr"/>
      <c r="K285" s="38" t="inlineStr"/>
      <c r="L285" s="30" t="inlineStr"/>
      <c r="M285" s="30" t="inlineStr"/>
      <c r="N285" s="15">
        <f>IF(A285="","",G285*H285)</f>
        <v/>
      </c>
      <c r="O285" s="15">
        <f>IF(A285="","",G285-N285)</f>
        <v/>
      </c>
      <c r="P285" s="15">
        <f>IF(A285="","",O285*I285)</f>
        <v/>
      </c>
      <c r="Q285" s="15">
        <f>IF(A285="","",O285+P285)</f>
        <v/>
      </c>
      <c r="R285" s="15">
        <f>IF(A285="","",SUMIFS('15_Zahlungen'!$F:$F,'15_Zahlungen'!$D:$D,A285,'15_Zahlungen'!$C:$C,"Eingang"))</f>
        <v/>
      </c>
      <c r="S285" s="15">
        <f>IF(A285="","",MAX(0,Q285-R285))</f>
        <v/>
      </c>
      <c r="T285" s="45">
        <f>IF(OR(A285="",L285="bezahlt",J285=""),"",MAX(0,TODAY()-J285))</f>
        <v/>
      </c>
    </row>
    <row r="286">
      <c r="A286" s="30" t="inlineStr"/>
      <c r="B286" s="38" t="inlineStr"/>
      <c r="C286" s="30" t="inlineStr"/>
      <c r="D286" s="30" t="inlineStr"/>
      <c r="E286" s="30" t="inlineStr"/>
      <c r="F286" s="31" t="inlineStr"/>
      <c r="G286" s="34" t="inlineStr"/>
      <c r="H286" s="32" t="inlineStr"/>
      <c r="I286" s="32" t="inlineStr"/>
      <c r="J286" s="38" t="inlineStr"/>
      <c r="K286" s="38" t="inlineStr"/>
      <c r="L286" s="30" t="inlineStr"/>
      <c r="M286" s="30" t="inlineStr"/>
      <c r="N286" s="15">
        <f>IF(A286="","",G286*H286)</f>
        <v/>
      </c>
      <c r="O286" s="15">
        <f>IF(A286="","",G286-N286)</f>
        <v/>
      </c>
      <c r="P286" s="15">
        <f>IF(A286="","",O286*I286)</f>
        <v/>
      </c>
      <c r="Q286" s="15">
        <f>IF(A286="","",O286+P286)</f>
        <v/>
      </c>
      <c r="R286" s="15">
        <f>IF(A286="","",SUMIFS('15_Zahlungen'!$F:$F,'15_Zahlungen'!$D:$D,A286,'15_Zahlungen'!$C:$C,"Eingang"))</f>
        <v/>
      </c>
      <c r="S286" s="15">
        <f>IF(A286="","",MAX(0,Q286-R286))</f>
        <v/>
      </c>
      <c r="T286" s="45">
        <f>IF(OR(A286="",L286="bezahlt",J286=""),"",MAX(0,TODAY()-J286))</f>
        <v/>
      </c>
    </row>
    <row r="287">
      <c r="A287" s="30" t="inlineStr"/>
      <c r="B287" s="38" t="inlineStr"/>
      <c r="C287" s="30" t="inlineStr"/>
      <c r="D287" s="30" t="inlineStr"/>
      <c r="E287" s="30" t="inlineStr"/>
      <c r="F287" s="31" t="inlineStr"/>
      <c r="G287" s="34" t="inlineStr"/>
      <c r="H287" s="32" t="inlineStr"/>
      <c r="I287" s="32" t="inlineStr"/>
      <c r="J287" s="38" t="inlineStr"/>
      <c r="K287" s="38" t="inlineStr"/>
      <c r="L287" s="30" t="inlineStr"/>
      <c r="M287" s="30" t="inlineStr"/>
      <c r="N287" s="15">
        <f>IF(A287="","",G287*H287)</f>
        <v/>
      </c>
      <c r="O287" s="15">
        <f>IF(A287="","",G287-N287)</f>
        <v/>
      </c>
      <c r="P287" s="15">
        <f>IF(A287="","",O287*I287)</f>
        <v/>
      </c>
      <c r="Q287" s="15">
        <f>IF(A287="","",O287+P287)</f>
        <v/>
      </c>
      <c r="R287" s="15">
        <f>IF(A287="","",SUMIFS('15_Zahlungen'!$F:$F,'15_Zahlungen'!$D:$D,A287,'15_Zahlungen'!$C:$C,"Eingang"))</f>
        <v/>
      </c>
      <c r="S287" s="15">
        <f>IF(A287="","",MAX(0,Q287-R287))</f>
        <v/>
      </c>
      <c r="T287" s="45">
        <f>IF(OR(A287="",L287="bezahlt",J287=""),"",MAX(0,TODAY()-J287))</f>
        <v/>
      </c>
    </row>
    <row r="288">
      <c r="A288" s="30" t="inlineStr"/>
      <c r="B288" s="38" t="inlineStr"/>
      <c r="C288" s="30" t="inlineStr"/>
      <c r="D288" s="30" t="inlineStr"/>
      <c r="E288" s="30" t="inlineStr"/>
      <c r="F288" s="31" t="inlineStr"/>
      <c r="G288" s="34" t="inlineStr"/>
      <c r="H288" s="32" t="inlineStr"/>
      <c r="I288" s="32" t="inlineStr"/>
      <c r="J288" s="38" t="inlineStr"/>
      <c r="K288" s="38" t="inlineStr"/>
      <c r="L288" s="30" t="inlineStr"/>
      <c r="M288" s="30" t="inlineStr"/>
      <c r="N288" s="15">
        <f>IF(A288="","",G288*H288)</f>
        <v/>
      </c>
      <c r="O288" s="15">
        <f>IF(A288="","",G288-N288)</f>
        <v/>
      </c>
      <c r="P288" s="15">
        <f>IF(A288="","",O288*I288)</f>
        <v/>
      </c>
      <c r="Q288" s="15">
        <f>IF(A288="","",O288+P288)</f>
        <v/>
      </c>
      <c r="R288" s="15">
        <f>IF(A288="","",SUMIFS('15_Zahlungen'!$F:$F,'15_Zahlungen'!$D:$D,A288,'15_Zahlungen'!$C:$C,"Eingang"))</f>
        <v/>
      </c>
      <c r="S288" s="15">
        <f>IF(A288="","",MAX(0,Q288-R288))</f>
        <v/>
      </c>
      <c r="T288" s="45">
        <f>IF(OR(A288="",L288="bezahlt",J288=""),"",MAX(0,TODAY()-J288))</f>
        <v/>
      </c>
    </row>
    <row r="289">
      <c r="A289" s="30" t="inlineStr"/>
      <c r="B289" s="38" t="inlineStr"/>
      <c r="C289" s="30" t="inlineStr"/>
      <c r="D289" s="30" t="inlineStr"/>
      <c r="E289" s="30" t="inlineStr"/>
      <c r="F289" s="31" t="inlineStr"/>
      <c r="G289" s="34" t="inlineStr"/>
      <c r="H289" s="32" t="inlineStr"/>
      <c r="I289" s="32" t="inlineStr"/>
      <c r="J289" s="38" t="inlineStr"/>
      <c r="K289" s="38" t="inlineStr"/>
      <c r="L289" s="30" t="inlineStr"/>
      <c r="M289" s="30" t="inlineStr"/>
      <c r="N289" s="15">
        <f>IF(A289="","",G289*H289)</f>
        <v/>
      </c>
      <c r="O289" s="15">
        <f>IF(A289="","",G289-N289)</f>
        <v/>
      </c>
      <c r="P289" s="15">
        <f>IF(A289="","",O289*I289)</f>
        <v/>
      </c>
      <c r="Q289" s="15">
        <f>IF(A289="","",O289+P289)</f>
        <v/>
      </c>
      <c r="R289" s="15">
        <f>IF(A289="","",SUMIFS('15_Zahlungen'!$F:$F,'15_Zahlungen'!$D:$D,A289,'15_Zahlungen'!$C:$C,"Eingang"))</f>
        <v/>
      </c>
      <c r="S289" s="15">
        <f>IF(A289="","",MAX(0,Q289-R289))</f>
        <v/>
      </c>
      <c r="T289" s="45">
        <f>IF(OR(A289="",L289="bezahlt",J289=""),"",MAX(0,TODAY()-J289))</f>
        <v/>
      </c>
    </row>
    <row r="290">
      <c r="A290" s="30" t="inlineStr"/>
      <c r="B290" s="38" t="inlineStr"/>
      <c r="C290" s="30" t="inlineStr"/>
      <c r="D290" s="30" t="inlineStr"/>
      <c r="E290" s="30" t="inlineStr"/>
      <c r="F290" s="31" t="inlineStr"/>
      <c r="G290" s="34" t="inlineStr"/>
      <c r="H290" s="32" t="inlineStr"/>
      <c r="I290" s="32" t="inlineStr"/>
      <c r="J290" s="38" t="inlineStr"/>
      <c r="K290" s="38" t="inlineStr"/>
      <c r="L290" s="30" t="inlineStr"/>
      <c r="M290" s="30" t="inlineStr"/>
      <c r="N290" s="15">
        <f>IF(A290="","",G290*H290)</f>
        <v/>
      </c>
      <c r="O290" s="15">
        <f>IF(A290="","",G290-N290)</f>
        <v/>
      </c>
      <c r="P290" s="15">
        <f>IF(A290="","",O290*I290)</f>
        <v/>
      </c>
      <c r="Q290" s="15">
        <f>IF(A290="","",O290+P290)</f>
        <v/>
      </c>
      <c r="R290" s="15">
        <f>IF(A290="","",SUMIFS('15_Zahlungen'!$F:$F,'15_Zahlungen'!$D:$D,A290,'15_Zahlungen'!$C:$C,"Eingang"))</f>
        <v/>
      </c>
      <c r="S290" s="15">
        <f>IF(A290="","",MAX(0,Q290-R290))</f>
        <v/>
      </c>
      <c r="T290" s="45">
        <f>IF(OR(A290="",L290="bezahlt",J290=""),"",MAX(0,TODAY()-J290))</f>
        <v/>
      </c>
    </row>
    <row r="291">
      <c r="A291" s="30" t="inlineStr"/>
      <c r="B291" s="38" t="inlineStr"/>
      <c r="C291" s="30" t="inlineStr"/>
      <c r="D291" s="30" t="inlineStr"/>
      <c r="E291" s="30" t="inlineStr"/>
      <c r="F291" s="31" t="inlineStr"/>
      <c r="G291" s="34" t="inlineStr"/>
      <c r="H291" s="32" t="inlineStr"/>
      <c r="I291" s="32" t="inlineStr"/>
      <c r="J291" s="38" t="inlineStr"/>
      <c r="K291" s="38" t="inlineStr"/>
      <c r="L291" s="30" t="inlineStr"/>
      <c r="M291" s="30" t="inlineStr"/>
      <c r="N291" s="15">
        <f>IF(A291="","",G291*H291)</f>
        <v/>
      </c>
      <c r="O291" s="15">
        <f>IF(A291="","",G291-N291)</f>
        <v/>
      </c>
      <c r="P291" s="15">
        <f>IF(A291="","",O291*I291)</f>
        <v/>
      </c>
      <c r="Q291" s="15">
        <f>IF(A291="","",O291+P291)</f>
        <v/>
      </c>
      <c r="R291" s="15">
        <f>IF(A291="","",SUMIFS('15_Zahlungen'!$F:$F,'15_Zahlungen'!$D:$D,A291,'15_Zahlungen'!$C:$C,"Eingang"))</f>
        <v/>
      </c>
      <c r="S291" s="15">
        <f>IF(A291="","",MAX(0,Q291-R291))</f>
        <v/>
      </c>
      <c r="T291" s="45">
        <f>IF(OR(A291="",L291="bezahlt",J291=""),"",MAX(0,TODAY()-J291))</f>
        <v/>
      </c>
    </row>
    <row r="292">
      <c r="A292" s="30" t="inlineStr"/>
      <c r="B292" s="38" t="inlineStr"/>
      <c r="C292" s="30" t="inlineStr"/>
      <c r="D292" s="30" t="inlineStr"/>
      <c r="E292" s="30" t="inlineStr"/>
      <c r="F292" s="31" t="inlineStr"/>
      <c r="G292" s="34" t="inlineStr"/>
      <c r="H292" s="32" t="inlineStr"/>
      <c r="I292" s="32" t="inlineStr"/>
      <c r="J292" s="38" t="inlineStr"/>
      <c r="K292" s="38" t="inlineStr"/>
      <c r="L292" s="30" t="inlineStr"/>
      <c r="M292" s="30" t="inlineStr"/>
      <c r="N292" s="15">
        <f>IF(A292="","",G292*H292)</f>
        <v/>
      </c>
      <c r="O292" s="15">
        <f>IF(A292="","",G292-N292)</f>
        <v/>
      </c>
      <c r="P292" s="15">
        <f>IF(A292="","",O292*I292)</f>
        <v/>
      </c>
      <c r="Q292" s="15">
        <f>IF(A292="","",O292+P292)</f>
        <v/>
      </c>
      <c r="R292" s="15">
        <f>IF(A292="","",SUMIFS('15_Zahlungen'!$F:$F,'15_Zahlungen'!$D:$D,A292,'15_Zahlungen'!$C:$C,"Eingang"))</f>
        <v/>
      </c>
      <c r="S292" s="15">
        <f>IF(A292="","",MAX(0,Q292-R292))</f>
        <v/>
      </c>
      <c r="T292" s="45">
        <f>IF(OR(A292="",L292="bezahlt",J292=""),"",MAX(0,TODAY()-J292))</f>
        <v/>
      </c>
    </row>
    <row r="293">
      <c r="A293" s="30" t="inlineStr"/>
      <c r="B293" s="38" t="inlineStr"/>
      <c r="C293" s="30" t="inlineStr"/>
      <c r="D293" s="30" t="inlineStr"/>
      <c r="E293" s="30" t="inlineStr"/>
      <c r="F293" s="31" t="inlineStr"/>
      <c r="G293" s="34" t="inlineStr"/>
      <c r="H293" s="32" t="inlineStr"/>
      <c r="I293" s="32" t="inlineStr"/>
      <c r="J293" s="38" t="inlineStr"/>
      <c r="K293" s="38" t="inlineStr"/>
      <c r="L293" s="30" t="inlineStr"/>
      <c r="M293" s="30" t="inlineStr"/>
      <c r="N293" s="15">
        <f>IF(A293="","",G293*H293)</f>
        <v/>
      </c>
      <c r="O293" s="15">
        <f>IF(A293="","",G293-N293)</f>
        <v/>
      </c>
      <c r="P293" s="15">
        <f>IF(A293="","",O293*I293)</f>
        <v/>
      </c>
      <c r="Q293" s="15">
        <f>IF(A293="","",O293+P293)</f>
        <v/>
      </c>
      <c r="R293" s="15">
        <f>IF(A293="","",SUMIFS('15_Zahlungen'!$F:$F,'15_Zahlungen'!$D:$D,A293,'15_Zahlungen'!$C:$C,"Eingang"))</f>
        <v/>
      </c>
      <c r="S293" s="15">
        <f>IF(A293="","",MAX(0,Q293-R293))</f>
        <v/>
      </c>
      <c r="T293" s="45">
        <f>IF(OR(A293="",L293="bezahlt",J293=""),"",MAX(0,TODAY()-J293))</f>
        <v/>
      </c>
    </row>
    <row r="294">
      <c r="A294" s="30" t="inlineStr"/>
      <c r="B294" s="38" t="inlineStr"/>
      <c r="C294" s="30" t="inlineStr"/>
      <c r="D294" s="30" t="inlineStr"/>
      <c r="E294" s="30" t="inlineStr"/>
      <c r="F294" s="31" t="inlineStr"/>
      <c r="G294" s="34" t="inlineStr"/>
      <c r="H294" s="32" t="inlineStr"/>
      <c r="I294" s="32" t="inlineStr"/>
      <c r="J294" s="38" t="inlineStr"/>
      <c r="K294" s="38" t="inlineStr"/>
      <c r="L294" s="30" t="inlineStr"/>
      <c r="M294" s="30" t="inlineStr"/>
      <c r="N294" s="15">
        <f>IF(A294="","",G294*H294)</f>
        <v/>
      </c>
      <c r="O294" s="15">
        <f>IF(A294="","",G294-N294)</f>
        <v/>
      </c>
      <c r="P294" s="15">
        <f>IF(A294="","",O294*I294)</f>
        <v/>
      </c>
      <c r="Q294" s="15">
        <f>IF(A294="","",O294+P294)</f>
        <v/>
      </c>
      <c r="R294" s="15">
        <f>IF(A294="","",SUMIFS('15_Zahlungen'!$F:$F,'15_Zahlungen'!$D:$D,A294,'15_Zahlungen'!$C:$C,"Eingang"))</f>
        <v/>
      </c>
      <c r="S294" s="15">
        <f>IF(A294="","",MAX(0,Q294-R294))</f>
        <v/>
      </c>
      <c r="T294" s="45">
        <f>IF(OR(A294="",L294="bezahlt",J294=""),"",MAX(0,TODAY()-J294))</f>
        <v/>
      </c>
    </row>
    <row r="295">
      <c r="A295" s="30" t="inlineStr"/>
      <c r="B295" s="38" t="inlineStr"/>
      <c r="C295" s="30" t="inlineStr"/>
      <c r="D295" s="30" t="inlineStr"/>
      <c r="E295" s="30" t="inlineStr"/>
      <c r="F295" s="31" t="inlineStr"/>
      <c r="G295" s="34" t="inlineStr"/>
      <c r="H295" s="32" t="inlineStr"/>
      <c r="I295" s="32" t="inlineStr"/>
      <c r="J295" s="38" t="inlineStr"/>
      <c r="K295" s="38" t="inlineStr"/>
      <c r="L295" s="30" t="inlineStr"/>
      <c r="M295" s="30" t="inlineStr"/>
      <c r="N295" s="15">
        <f>IF(A295="","",G295*H295)</f>
        <v/>
      </c>
      <c r="O295" s="15">
        <f>IF(A295="","",G295-N295)</f>
        <v/>
      </c>
      <c r="P295" s="15">
        <f>IF(A295="","",O295*I295)</f>
        <v/>
      </c>
      <c r="Q295" s="15">
        <f>IF(A295="","",O295+P295)</f>
        <v/>
      </c>
      <c r="R295" s="15">
        <f>IF(A295="","",SUMIFS('15_Zahlungen'!$F:$F,'15_Zahlungen'!$D:$D,A295,'15_Zahlungen'!$C:$C,"Eingang"))</f>
        <v/>
      </c>
      <c r="S295" s="15">
        <f>IF(A295="","",MAX(0,Q295-R295))</f>
        <v/>
      </c>
      <c r="T295" s="45">
        <f>IF(OR(A295="",L295="bezahlt",J295=""),"",MAX(0,TODAY()-J295))</f>
        <v/>
      </c>
    </row>
    <row r="296">
      <c r="A296" s="30" t="inlineStr"/>
      <c r="B296" s="38" t="inlineStr"/>
      <c r="C296" s="30" t="inlineStr"/>
      <c r="D296" s="30" t="inlineStr"/>
      <c r="E296" s="30" t="inlineStr"/>
      <c r="F296" s="31" t="inlineStr"/>
      <c r="G296" s="34" t="inlineStr"/>
      <c r="H296" s="32" t="inlineStr"/>
      <c r="I296" s="32" t="inlineStr"/>
      <c r="J296" s="38" t="inlineStr"/>
      <c r="K296" s="38" t="inlineStr"/>
      <c r="L296" s="30" t="inlineStr"/>
      <c r="M296" s="30" t="inlineStr"/>
      <c r="N296" s="15">
        <f>IF(A296="","",G296*H296)</f>
        <v/>
      </c>
      <c r="O296" s="15">
        <f>IF(A296="","",G296-N296)</f>
        <v/>
      </c>
      <c r="P296" s="15">
        <f>IF(A296="","",O296*I296)</f>
        <v/>
      </c>
      <c r="Q296" s="15">
        <f>IF(A296="","",O296+P296)</f>
        <v/>
      </c>
      <c r="R296" s="15">
        <f>IF(A296="","",SUMIFS('15_Zahlungen'!$F:$F,'15_Zahlungen'!$D:$D,A296,'15_Zahlungen'!$C:$C,"Eingang"))</f>
        <v/>
      </c>
      <c r="S296" s="15">
        <f>IF(A296="","",MAX(0,Q296-R296))</f>
        <v/>
      </c>
      <c r="T296" s="45">
        <f>IF(OR(A296="",L296="bezahlt",J296=""),"",MAX(0,TODAY()-J296))</f>
        <v/>
      </c>
    </row>
    <row r="297">
      <c r="A297" s="30" t="inlineStr"/>
      <c r="B297" s="38" t="inlineStr"/>
      <c r="C297" s="30" t="inlineStr"/>
      <c r="D297" s="30" t="inlineStr"/>
      <c r="E297" s="30" t="inlineStr"/>
      <c r="F297" s="31" t="inlineStr"/>
      <c r="G297" s="34" t="inlineStr"/>
      <c r="H297" s="32" t="inlineStr"/>
      <c r="I297" s="32" t="inlineStr"/>
      <c r="J297" s="38" t="inlineStr"/>
      <c r="K297" s="38" t="inlineStr"/>
      <c r="L297" s="30" t="inlineStr"/>
      <c r="M297" s="30" t="inlineStr"/>
      <c r="N297" s="15">
        <f>IF(A297="","",G297*H297)</f>
        <v/>
      </c>
      <c r="O297" s="15">
        <f>IF(A297="","",G297-N297)</f>
        <v/>
      </c>
      <c r="P297" s="15">
        <f>IF(A297="","",O297*I297)</f>
        <v/>
      </c>
      <c r="Q297" s="15">
        <f>IF(A297="","",O297+P297)</f>
        <v/>
      </c>
      <c r="R297" s="15">
        <f>IF(A297="","",SUMIFS('15_Zahlungen'!$F:$F,'15_Zahlungen'!$D:$D,A297,'15_Zahlungen'!$C:$C,"Eingang"))</f>
        <v/>
      </c>
      <c r="S297" s="15">
        <f>IF(A297="","",MAX(0,Q297-R297))</f>
        <v/>
      </c>
      <c r="T297" s="45">
        <f>IF(OR(A297="",L297="bezahlt",J297=""),"",MAX(0,TODAY()-J297))</f>
        <v/>
      </c>
    </row>
    <row r="298">
      <c r="A298" s="30" t="inlineStr"/>
      <c r="B298" s="38" t="inlineStr"/>
      <c r="C298" s="30" t="inlineStr"/>
      <c r="D298" s="30" t="inlineStr"/>
      <c r="E298" s="30" t="inlineStr"/>
      <c r="F298" s="31" t="inlineStr"/>
      <c r="G298" s="34" t="inlineStr"/>
      <c r="H298" s="32" t="inlineStr"/>
      <c r="I298" s="32" t="inlineStr"/>
      <c r="J298" s="38" t="inlineStr"/>
      <c r="K298" s="38" t="inlineStr"/>
      <c r="L298" s="30" t="inlineStr"/>
      <c r="M298" s="30" t="inlineStr"/>
      <c r="N298" s="15">
        <f>IF(A298="","",G298*H298)</f>
        <v/>
      </c>
      <c r="O298" s="15">
        <f>IF(A298="","",G298-N298)</f>
        <v/>
      </c>
      <c r="P298" s="15">
        <f>IF(A298="","",O298*I298)</f>
        <v/>
      </c>
      <c r="Q298" s="15">
        <f>IF(A298="","",O298+P298)</f>
        <v/>
      </c>
      <c r="R298" s="15">
        <f>IF(A298="","",SUMIFS('15_Zahlungen'!$F:$F,'15_Zahlungen'!$D:$D,A298,'15_Zahlungen'!$C:$C,"Eingang"))</f>
        <v/>
      </c>
      <c r="S298" s="15">
        <f>IF(A298="","",MAX(0,Q298-R298))</f>
        <v/>
      </c>
      <c r="T298" s="45">
        <f>IF(OR(A298="",L298="bezahlt",J298=""),"",MAX(0,TODAY()-J298))</f>
        <v/>
      </c>
    </row>
    <row r="299">
      <c r="A299" s="30" t="inlineStr"/>
      <c r="B299" s="38" t="inlineStr"/>
      <c r="C299" s="30" t="inlineStr"/>
      <c r="D299" s="30" t="inlineStr"/>
      <c r="E299" s="30" t="inlineStr"/>
      <c r="F299" s="31" t="inlineStr"/>
      <c r="G299" s="34" t="inlineStr"/>
      <c r="H299" s="32" t="inlineStr"/>
      <c r="I299" s="32" t="inlineStr"/>
      <c r="J299" s="38" t="inlineStr"/>
      <c r="K299" s="38" t="inlineStr"/>
      <c r="L299" s="30" t="inlineStr"/>
      <c r="M299" s="30" t="inlineStr"/>
      <c r="N299" s="15">
        <f>IF(A299="","",G299*H299)</f>
        <v/>
      </c>
      <c r="O299" s="15">
        <f>IF(A299="","",G299-N299)</f>
        <v/>
      </c>
      <c r="P299" s="15">
        <f>IF(A299="","",O299*I299)</f>
        <v/>
      </c>
      <c r="Q299" s="15">
        <f>IF(A299="","",O299+P299)</f>
        <v/>
      </c>
      <c r="R299" s="15">
        <f>IF(A299="","",SUMIFS('15_Zahlungen'!$F:$F,'15_Zahlungen'!$D:$D,A299,'15_Zahlungen'!$C:$C,"Eingang"))</f>
        <v/>
      </c>
      <c r="S299" s="15">
        <f>IF(A299="","",MAX(0,Q299-R299))</f>
        <v/>
      </c>
      <c r="T299" s="45">
        <f>IF(OR(A299="",L299="bezahlt",J299=""),"",MAX(0,TODAY()-J299))</f>
        <v/>
      </c>
    </row>
    <row r="300">
      <c r="A300" s="30" t="inlineStr"/>
      <c r="B300" s="38" t="inlineStr"/>
      <c r="C300" s="30" t="inlineStr"/>
      <c r="D300" s="30" t="inlineStr"/>
      <c r="E300" s="30" t="inlineStr"/>
      <c r="F300" s="31" t="inlineStr"/>
      <c r="G300" s="34" t="inlineStr"/>
      <c r="H300" s="32" t="inlineStr"/>
      <c r="I300" s="32" t="inlineStr"/>
      <c r="J300" s="38" t="inlineStr"/>
      <c r="K300" s="38" t="inlineStr"/>
      <c r="L300" s="30" t="inlineStr"/>
      <c r="M300" s="30" t="inlineStr"/>
      <c r="N300" s="15">
        <f>IF(A300="","",G300*H300)</f>
        <v/>
      </c>
      <c r="O300" s="15">
        <f>IF(A300="","",G300-N300)</f>
        <v/>
      </c>
      <c r="P300" s="15">
        <f>IF(A300="","",O300*I300)</f>
        <v/>
      </c>
      <c r="Q300" s="15">
        <f>IF(A300="","",O300+P300)</f>
        <v/>
      </c>
      <c r="R300" s="15">
        <f>IF(A300="","",SUMIFS('15_Zahlungen'!$F:$F,'15_Zahlungen'!$D:$D,A300,'15_Zahlungen'!$C:$C,"Eingang"))</f>
        <v/>
      </c>
      <c r="S300" s="15">
        <f>IF(A300="","",MAX(0,Q300-R300))</f>
        <v/>
      </c>
      <c r="T300" s="45">
        <f>IF(OR(A300="",L300="bezahlt",J300=""),"",MAX(0,TODAY()-J300))</f>
        <v/>
      </c>
    </row>
    <row r="301">
      <c r="A301" s="30" t="inlineStr"/>
      <c r="B301" s="38" t="inlineStr"/>
      <c r="C301" s="30" t="inlineStr"/>
      <c r="D301" s="30" t="inlineStr"/>
      <c r="E301" s="30" t="inlineStr"/>
      <c r="F301" s="31" t="inlineStr"/>
      <c r="G301" s="34" t="inlineStr"/>
      <c r="H301" s="32" t="inlineStr"/>
      <c r="I301" s="32" t="inlineStr"/>
      <c r="J301" s="38" t="inlineStr"/>
      <c r="K301" s="38" t="inlineStr"/>
      <c r="L301" s="30" t="inlineStr"/>
      <c r="M301" s="30" t="inlineStr"/>
      <c r="N301" s="15">
        <f>IF(A301="","",G301*H301)</f>
        <v/>
      </c>
      <c r="O301" s="15">
        <f>IF(A301="","",G301-N301)</f>
        <v/>
      </c>
      <c r="P301" s="15">
        <f>IF(A301="","",O301*I301)</f>
        <v/>
      </c>
      <c r="Q301" s="15">
        <f>IF(A301="","",O301+P301)</f>
        <v/>
      </c>
      <c r="R301" s="15">
        <f>IF(A301="","",SUMIFS('15_Zahlungen'!$F:$F,'15_Zahlungen'!$D:$D,A301,'15_Zahlungen'!$C:$C,"Eingang"))</f>
        <v/>
      </c>
      <c r="S301" s="15">
        <f>IF(A301="","",MAX(0,Q301-R301))</f>
        <v/>
      </c>
      <c r="T301" s="45">
        <f>IF(OR(A301="",L301="bezahlt",J301=""),"",MAX(0,TODAY()-J301))</f>
        <v/>
      </c>
    </row>
    <row r="302">
      <c r="A302" s="30" t="inlineStr"/>
      <c r="B302" s="38" t="inlineStr"/>
      <c r="C302" s="30" t="inlineStr"/>
      <c r="D302" s="30" t="inlineStr"/>
      <c r="E302" s="30" t="inlineStr"/>
      <c r="F302" s="31" t="inlineStr"/>
      <c r="G302" s="34" t="inlineStr"/>
      <c r="H302" s="32" t="inlineStr"/>
      <c r="I302" s="32" t="inlineStr"/>
      <c r="J302" s="38" t="inlineStr"/>
      <c r="K302" s="38" t="inlineStr"/>
      <c r="L302" s="30" t="inlineStr"/>
      <c r="M302" s="30" t="inlineStr"/>
      <c r="N302" s="15">
        <f>IF(A302="","",G302*H302)</f>
        <v/>
      </c>
      <c r="O302" s="15">
        <f>IF(A302="","",G302-N302)</f>
        <v/>
      </c>
      <c r="P302" s="15">
        <f>IF(A302="","",O302*I302)</f>
        <v/>
      </c>
      <c r="Q302" s="15">
        <f>IF(A302="","",O302+P302)</f>
        <v/>
      </c>
      <c r="R302" s="15">
        <f>IF(A302="","",SUMIFS('15_Zahlungen'!$F:$F,'15_Zahlungen'!$D:$D,A302,'15_Zahlungen'!$C:$C,"Eingang"))</f>
        <v/>
      </c>
      <c r="S302" s="15">
        <f>IF(A302="","",MAX(0,Q302-R302))</f>
        <v/>
      </c>
      <c r="T302" s="45">
        <f>IF(OR(A302="",L302="bezahlt",J302=""),"",MAX(0,TODAY()-J302))</f>
        <v/>
      </c>
    </row>
    <row r="303">
      <c r="A303" s="30" t="inlineStr"/>
      <c r="B303" s="38" t="inlineStr"/>
      <c r="C303" s="30" t="inlineStr"/>
      <c r="D303" s="30" t="inlineStr"/>
      <c r="E303" s="30" t="inlineStr"/>
      <c r="F303" s="31" t="inlineStr"/>
      <c r="G303" s="34" t="inlineStr"/>
      <c r="H303" s="32" t="inlineStr"/>
      <c r="I303" s="32" t="inlineStr"/>
      <c r="J303" s="38" t="inlineStr"/>
      <c r="K303" s="38" t="inlineStr"/>
      <c r="L303" s="30" t="inlineStr"/>
      <c r="M303" s="30" t="inlineStr"/>
      <c r="N303" s="15">
        <f>IF(A303="","",G303*H303)</f>
        <v/>
      </c>
      <c r="O303" s="15">
        <f>IF(A303="","",G303-N303)</f>
        <v/>
      </c>
      <c r="P303" s="15">
        <f>IF(A303="","",O303*I303)</f>
        <v/>
      </c>
      <c r="Q303" s="15">
        <f>IF(A303="","",O303+P303)</f>
        <v/>
      </c>
      <c r="R303" s="15">
        <f>IF(A303="","",SUMIFS('15_Zahlungen'!$F:$F,'15_Zahlungen'!$D:$D,A303,'15_Zahlungen'!$C:$C,"Eingang"))</f>
        <v/>
      </c>
      <c r="S303" s="15">
        <f>IF(A303="","",MAX(0,Q303-R303))</f>
        <v/>
      </c>
      <c r="T303" s="45">
        <f>IF(OR(A303="",L303="bezahlt",J303=""),"",MAX(0,TODAY()-J303))</f>
        <v/>
      </c>
    </row>
    <row r="304">
      <c r="A304" s="30" t="inlineStr"/>
      <c r="B304" s="38" t="inlineStr"/>
      <c r="C304" s="30" t="inlineStr"/>
      <c r="D304" s="30" t="inlineStr"/>
      <c r="E304" s="30" t="inlineStr"/>
      <c r="F304" s="31" t="inlineStr"/>
      <c r="G304" s="34" t="inlineStr"/>
      <c r="H304" s="32" t="inlineStr"/>
      <c r="I304" s="32" t="inlineStr"/>
      <c r="J304" s="38" t="inlineStr"/>
      <c r="K304" s="38" t="inlineStr"/>
      <c r="L304" s="30" t="inlineStr"/>
      <c r="M304" s="30" t="inlineStr"/>
      <c r="N304" s="15">
        <f>IF(A304="","",G304*H304)</f>
        <v/>
      </c>
      <c r="O304" s="15">
        <f>IF(A304="","",G304-N304)</f>
        <v/>
      </c>
      <c r="P304" s="15">
        <f>IF(A304="","",O304*I304)</f>
        <v/>
      </c>
      <c r="Q304" s="15">
        <f>IF(A304="","",O304+P304)</f>
        <v/>
      </c>
      <c r="R304" s="15">
        <f>IF(A304="","",SUMIFS('15_Zahlungen'!$F:$F,'15_Zahlungen'!$D:$D,A304,'15_Zahlungen'!$C:$C,"Eingang"))</f>
        <v/>
      </c>
      <c r="S304" s="15">
        <f>IF(A304="","",MAX(0,Q304-R304))</f>
        <v/>
      </c>
      <c r="T304" s="45">
        <f>IF(OR(A304="",L304="bezahlt",J304=""),"",MAX(0,TODAY()-J304))</f>
        <v/>
      </c>
    </row>
    <row r="305">
      <c r="A305" s="30" t="inlineStr"/>
      <c r="B305" s="38" t="inlineStr"/>
      <c r="C305" s="30" t="inlineStr"/>
      <c r="D305" s="30" t="inlineStr"/>
      <c r="E305" s="30" t="inlineStr"/>
      <c r="F305" s="31" t="inlineStr"/>
      <c r="G305" s="34" t="inlineStr"/>
      <c r="H305" s="32" t="inlineStr"/>
      <c r="I305" s="32" t="inlineStr"/>
      <c r="J305" s="38" t="inlineStr"/>
      <c r="K305" s="38" t="inlineStr"/>
      <c r="L305" s="30" t="inlineStr"/>
      <c r="M305" s="30" t="inlineStr"/>
      <c r="N305" s="15">
        <f>IF(A305="","",G305*H305)</f>
        <v/>
      </c>
      <c r="O305" s="15">
        <f>IF(A305="","",G305-N305)</f>
        <v/>
      </c>
      <c r="P305" s="15">
        <f>IF(A305="","",O305*I305)</f>
        <v/>
      </c>
      <c r="Q305" s="15">
        <f>IF(A305="","",O305+P305)</f>
        <v/>
      </c>
      <c r="R305" s="15">
        <f>IF(A305="","",SUMIFS('15_Zahlungen'!$F:$F,'15_Zahlungen'!$D:$D,A305,'15_Zahlungen'!$C:$C,"Eingang"))</f>
        <v/>
      </c>
      <c r="S305" s="15">
        <f>IF(A305="","",MAX(0,Q305-R305))</f>
        <v/>
      </c>
      <c r="T305" s="45">
        <f>IF(OR(A305="",L305="bezahlt",J305=""),"",MAX(0,TODAY()-J305))</f>
        <v/>
      </c>
    </row>
    <row r="306">
      <c r="A306" s="30" t="inlineStr"/>
      <c r="B306" s="38" t="inlineStr"/>
      <c r="C306" s="30" t="inlineStr"/>
      <c r="D306" s="30" t="inlineStr"/>
      <c r="E306" s="30" t="inlineStr"/>
      <c r="F306" s="31" t="inlineStr"/>
      <c r="G306" s="34" t="inlineStr"/>
      <c r="H306" s="32" t="inlineStr"/>
      <c r="I306" s="32" t="inlineStr"/>
      <c r="J306" s="38" t="inlineStr"/>
      <c r="K306" s="38" t="inlineStr"/>
      <c r="L306" s="30" t="inlineStr"/>
      <c r="M306" s="30" t="inlineStr"/>
      <c r="N306" s="15">
        <f>IF(A306="","",G306*H306)</f>
        <v/>
      </c>
      <c r="O306" s="15">
        <f>IF(A306="","",G306-N306)</f>
        <v/>
      </c>
      <c r="P306" s="15">
        <f>IF(A306="","",O306*I306)</f>
        <v/>
      </c>
      <c r="Q306" s="15">
        <f>IF(A306="","",O306+P306)</f>
        <v/>
      </c>
      <c r="R306" s="15">
        <f>IF(A306="","",SUMIFS('15_Zahlungen'!$F:$F,'15_Zahlungen'!$D:$D,A306,'15_Zahlungen'!$C:$C,"Eingang"))</f>
        <v/>
      </c>
      <c r="S306" s="15">
        <f>IF(A306="","",MAX(0,Q306-R306))</f>
        <v/>
      </c>
      <c r="T306" s="45">
        <f>IF(OR(A306="",L306="bezahlt",J306=""),"",MAX(0,TODAY()-J306))</f>
        <v/>
      </c>
    </row>
    <row r="307">
      <c r="A307" s="30" t="inlineStr"/>
      <c r="B307" s="38" t="inlineStr"/>
      <c r="C307" s="30" t="inlineStr"/>
      <c r="D307" s="30" t="inlineStr"/>
      <c r="E307" s="30" t="inlineStr"/>
      <c r="F307" s="31" t="inlineStr"/>
      <c r="G307" s="34" t="inlineStr"/>
      <c r="H307" s="32" t="inlineStr"/>
      <c r="I307" s="32" t="inlineStr"/>
      <c r="J307" s="38" t="inlineStr"/>
      <c r="K307" s="38" t="inlineStr"/>
      <c r="L307" s="30" t="inlineStr"/>
      <c r="M307" s="30" t="inlineStr"/>
      <c r="N307" s="15">
        <f>IF(A307="","",G307*H307)</f>
        <v/>
      </c>
      <c r="O307" s="15">
        <f>IF(A307="","",G307-N307)</f>
        <v/>
      </c>
      <c r="P307" s="15">
        <f>IF(A307="","",O307*I307)</f>
        <v/>
      </c>
      <c r="Q307" s="15">
        <f>IF(A307="","",O307+P307)</f>
        <v/>
      </c>
      <c r="R307" s="15">
        <f>IF(A307="","",SUMIFS('15_Zahlungen'!$F:$F,'15_Zahlungen'!$D:$D,A307,'15_Zahlungen'!$C:$C,"Eingang"))</f>
        <v/>
      </c>
      <c r="S307" s="15">
        <f>IF(A307="","",MAX(0,Q307-R307))</f>
        <v/>
      </c>
      <c r="T307" s="45">
        <f>IF(OR(A307="",L307="bezahlt",J307=""),"",MAX(0,TODAY()-J307))</f>
        <v/>
      </c>
    </row>
    <row r="308">
      <c r="A308" s="30" t="inlineStr"/>
      <c r="B308" s="38" t="inlineStr"/>
      <c r="C308" s="30" t="inlineStr"/>
      <c r="D308" s="30" t="inlineStr"/>
      <c r="E308" s="30" t="inlineStr"/>
      <c r="F308" s="31" t="inlineStr"/>
      <c r="G308" s="34" t="inlineStr"/>
      <c r="H308" s="32" t="inlineStr"/>
      <c r="I308" s="32" t="inlineStr"/>
      <c r="J308" s="38" t="inlineStr"/>
      <c r="K308" s="38" t="inlineStr"/>
      <c r="L308" s="30" t="inlineStr"/>
      <c r="M308" s="30" t="inlineStr"/>
      <c r="N308" s="15">
        <f>IF(A308="","",G308*H308)</f>
        <v/>
      </c>
      <c r="O308" s="15">
        <f>IF(A308="","",G308-N308)</f>
        <v/>
      </c>
      <c r="P308" s="15">
        <f>IF(A308="","",O308*I308)</f>
        <v/>
      </c>
      <c r="Q308" s="15">
        <f>IF(A308="","",O308+P308)</f>
        <v/>
      </c>
      <c r="R308" s="15">
        <f>IF(A308="","",SUMIFS('15_Zahlungen'!$F:$F,'15_Zahlungen'!$D:$D,A308,'15_Zahlungen'!$C:$C,"Eingang"))</f>
        <v/>
      </c>
      <c r="S308" s="15">
        <f>IF(A308="","",MAX(0,Q308-R308))</f>
        <v/>
      </c>
      <c r="T308" s="45">
        <f>IF(OR(A308="",L308="bezahlt",J308=""),"",MAX(0,TODAY()-J308))</f>
        <v/>
      </c>
    </row>
    <row r="309">
      <c r="A309" s="30" t="inlineStr"/>
      <c r="B309" s="38" t="inlineStr"/>
      <c r="C309" s="30" t="inlineStr"/>
      <c r="D309" s="30" t="inlineStr"/>
      <c r="E309" s="30" t="inlineStr"/>
      <c r="F309" s="31" t="inlineStr"/>
      <c r="G309" s="34" t="inlineStr"/>
      <c r="H309" s="32" t="inlineStr"/>
      <c r="I309" s="32" t="inlineStr"/>
      <c r="J309" s="38" t="inlineStr"/>
      <c r="K309" s="38" t="inlineStr"/>
      <c r="L309" s="30" t="inlineStr"/>
      <c r="M309" s="30" t="inlineStr"/>
      <c r="N309" s="15">
        <f>IF(A309="","",G309*H309)</f>
        <v/>
      </c>
      <c r="O309" s="15">
        <f>IF(A309="","",G309-N309)</f>
        <v/>
      </c>
      <c r="P309" s="15">
        <f>IF(A309="","",O309*I309)</f>
        <v/>
      </c>
      <c r="Q309" s="15">
        <f>IF(A309="","",O309+P309)</f>
        <v/>
      </c>
      <c r="R309" s="15">
        <f>IF(A309="","",SUMIFS('15_Zahlungen'!$F:$F,'15_Zahlungen'!$D:$D,A309,'15_Zahlungen'!$C:$C,"Eingang"))</f>
        <v/>
      </c>
      <c r="S309" s="15">
        <f>IF(A309="","",MAX(0,Q309-R309))</f>
        <v/>
      </c>
      <c r="T309" s="45">
        <f>IF(OR(A309="",L309="bezahlt",J309=""),"",MAX(0,TODAY()-J309))</f>
        <v/>
      </c>
    </row>
    <row r="310">
      <c r="A310" s="30" t="inlineStr"/>
      <c r="B310" s="38" t="inlineStr"/>
      <c r="C310" s="30" t="inlineStr"/>
      <c r="D310" s="30" t="inlineStr"/>
      <c r="E310" s="30" t="inlineStr"/>
      <c r="F310" s="31" t="inlineStr"/>
      <c r="G310" s="34" t="inlineStr"/>
      <c r="H310" s="32" t="inlineStr"/>
      <c r="I310" s="32" t="inlineStr"/>
      <c r="J310" s="38" t="inlineStr"/>
      <c r="K310" s="38" t="inlineStr"/>
      <c r="L310" s="30" t="inlineStr"/>
      <c r="M310" s="30" t="inlineStr"/>
      <c r="N310" s="15">
        <f>IF(A310="","",G310*H310)</f>
        <v/>
      </c>
      <c r="O310" s="15">
        <f>IF(A310="","",G310-N310)</f>
        <v/>
      </c>
      <c r="P310" s="15">
        <f>IF(A310="","",O310*I310)</f>
        <v/>
      </c>
      <c r="Q310" s="15">
        <f>IF(A310="","",O310+P310)</f>
        <v/>
      </c>
      <c r="R310" s="15">
        <f>IF(A310="","",SUMIFS('15_Zahlungen'!$F:$F,'15_Zahlungen'!$D:$D,A310,'15_Zahlungen'!$C:$C,"Eingang"))</f>
        <v/>
      </c>
      <c r="S310" s="15">
        <f>IF(A310="","",MAX(0,Q310-R310))</f>
        <v/>
      </c>
      <c r="T310" s="45">
        <f>IF(OR(A310="",L310="bezahlt",J310=""),"",MAX(0,TODAY()-J310))</f>
        <v/>
      </c>
    </row>
    <row r="311">
      <c r="A311" s="30" t="inlineStr"/>
      <c r="B311" s="38" t="inlineStr"/>
      <c r="C311" s="30" t="inlineStr"/>
      <c r="D311" s="30" t="inlineStr"/>
      <c r="E311" s="30" t="inlineStr"/>
      <c r="F311" s="31" t="inlineStr"/>
      <c r="G311" s="34" t="inlineStr"/>
      <c r="H311" s="32" t="inlineStr"/>
      <c r="I311" s="32" t="inlineStr"/>
      <c r="J311" s="38" t="inlineStr"/>
      <c r="K311" s="38" t="inlineStr"/>
      <c r="L311" s="30" t="inlineStr"/>
      <c r="M311" s="30" t="inlineStr"/>
      <c r="N311" s="15">
        <f>IF(A311="","",G311*H311)</f>
        <v/>
      </c>
      <c r="O311" s="15">
        <f>IF(A311="","",G311-N311)</f>
        <v/>
      </c>
      <c r="P311" s="15">
        <f>IF(A311="","",O311*I311)</f>
        <v/>
      </c>
      <c r="Q311" s="15">
        <f>IF(A311="","",O311+P311)</f>
        <v/>
      </c>
      <c r="R311" s="15">
        <f>IF(A311="","",SUMIFS('15_Zahlungen'!$F:$F,'15_Zahlungen'!$D:$D,A311,'15_Zahlungen'!$C:$C,"Eingang"))</f>
        <v/>
      </c>
      <c r="S311" s="15">
        <f>IF(A311="","",MAX(0,Q311-R311))</f>
        <v/>
      </c>
      <c r="T311" s="45">
        <f>IF(OR(A311="",L311="bezahlt",J311=""),"",MAX(0,TODAY()-J311))</f>
        <v/>
      </c>
    </row>
    <row r="312">
      <c r="A312" s="30" t="inlineStr"/>
      <c r="B312" s="38" t="inlineStr"/>
      <c r="C312" s="30" t="inlineStr"/>
      <c r="D312" s="30" t="inlineStr"/>
      <c r="E312" s="30" t="inlineStr"/>
      <c r="F312" s="31" t="inlineStr"/>
      <c r="G312" s="34" t="inlineStr"/>
      <c r="H312" s="32" t="inlineStr"/>
      <c r="I312" s="32" t="inlineStr"/>
      <c r="J312" s="38" t="inlineStr"/>
      <c r="K312" s="38" t="inlineStr"/>
      <c r="L312" s="30" t="inlineStr"/>
      <c r="M312" s="30" t="inlineStr"/>
      <c r="N312" s="15">
        <f>IF(A312="","",G312*H312)</f>
        <v/>
      </c>
      <c r="O312" s="15">
        <f>IF(A312="","",G312-N312)</f>
        <v/>
      </c>
      <c r="P312" s="15">
        <f>IF(A312="","",O312*I312)</f>
        <v/>
      </c>
      <c r="Q312" s="15">
        <f>IF(A312="","",O312+P312)</f>
        <v/>
      </c>
      <c r="R312" s="15">
        <f>IF(A312="","",SUMIFS('15_Zahlungen'!$F:$F,'15_Zahlungen'!$D:$D,A312,'15_Zahlungen'!$C:$C,"Eingang"))</f>
        <v/>
      </c>
      <c r="S312" s="15">
        <f>IF(A312="","",MAX(0,Q312-R312))</f>
        <v/>
      </c>
      <c r="T312" s="45">
        <f>IF(OR(A312="",L312="bezahlt",J312=""),"",MAX(0,TODAY()-J312))</f>
        <v/>
      </c>
    </row>
    <row r="313">
      <c r="A313" s="30" t="inlineStr"/>
      <c r="B313" s="38" t="inlineStr"/>
      <c r="C313" s="30" t="inlineStr"/>
      <c r="D313" s="30" t="inlineStr"/>
      <c r="E313" s="30" t="inlineStr"/>
      <c r="F313" s="31" t="inlineStr"/>
      <c r="G313" s="34" t="inlineStr"/>
      <c r="H313" s="32" t="inlineStr"/>
      <c r="I313" s="32" t="inlineStr"/>
      <c r="J313" s="38" t="inlineStr"/>
      <c r="K313" s="38" t="inlineStr"/>
      <c r="L313" s="30" t="inlineStr"/>
      <c r="M313" s="30" t="inlineStr"/>
      <c r="N313" s="15">
        <f>IF(A313="","",G313*H313)</f>
        <v/>
      </c>
      <c r="O313" s="15">
        <f>IF(A313="","",G313-N313)</f>
        <v/>
      </c>
      <c r="P313" s="15">
        <f>IF(A313="","",O313*I313)</f>
        <v/>
      </c>
      <c r="Q313" s="15">
        <f>IF(A313="","",O313+P313)</f>
        <v/>
      </c>
      <c r="R313" s="15">
        <f>IF(A313="","",SUMIFS('15_Zahlungen'!$F:$F,'15_Zahlungen'!$D:$D,A313,'15_Zahlungen'!$C:$C,"Eingang"))</f>
        <v/>
      </c>
      <c r="S313" s="15">
        <f>IF(A313="","",MAX(0,Q313-R313))</f>
        <v/>
      </c>
      <c r="T313" s="45">
        <f>IF(OR(A313="",L313="bezahlt",J313=""),"",MAX(0,TODAY()-J313))</f>
        <v/>
      </c>
    </row>
    <row r="314">
      <c r="A314" s="30" t="inlineStr"/>
      <c r="B314" s="38" t="inlineStr"/>
      <c r="C314" s="30" t="inlineStr"/>
      <c r="D314" s="30" t="inlineStr"/>
      <c r="E314" s="30" t="inlineStr"/>
      <c r="F314" s="31" t="inlineStr"/>
      <c r="G314" s="34" t="inlineStr"/>
      <c r="H314" s="32" t="inlineStr"/>
      <c r="I314" s="32" t="inlineStr"/>
      <c r="J314" s="38" t="inlineStr"/>
      <c r="K314" s="38" t="inlineStr"/>
      <c r="L314" s="30" t="inlineStr"/>
      <c r="M314" s="30" t="inlineStr"/>
      <c r="N314" s="15">
        <f>IF(A314="","",G314*H314)</f>
        <v/>
      </c>
      <c r="O314" s="15">
        <f>IF(A314="","",G314-N314)</f>
        <v/>
      </c>
      <c r="P314" s="15">
        <f>IF(A314="","",O314*I314)</f>
        <v/>
      </c>
      <c r="Q314" s="15">
        <f>IF(A314="","",O314+P314)</f>
        <v/>
      </c>
      <c r="R314" s="15">
        <f>IF(A314="","",SUMIFS('15_Zahlungen'!$F:$F,'15_Zahlungen'!$D:$D,A314,'15_Zahlungen'!$C:$C,"Eingang"))</f>
        <v/>
      </c>
      <c r="S314" s="15">
        <f>IF(A314="","",MAX(0,Q314-R314))</f>
        <v/>
      </c>
      <c r="T314" s="45">
        <f>IF(OR(A314="",L314="bezahlt",J314=""),"",MAX(0,TODAY()-J314))</f>
        <v/>
      </c>
    </row>
    <row r="315">
      <c r="A315" s="30" t="inlineStr"/>
      <c r="B315" s="38" t="inlineStr"/>
      <c r="C315" s="30" t="inlineStr"/>
      <c r="D315" s="30" t="inlineStr"/>
      <c r="E315" s="30" t="inlineStr"/>
      <c r="F315" s="31" t="inlineStr"/>
      <c r="G315" s="34" t="inlineStr"/>
      <c r="H315" s="32" t="inlineStr"/>
      <c r="I315" s="32" t="inlineStr"/>
      <c r="J315" s="38" t="inlineStr"/>
      <c r="K315" s="38" t="inlineStr"/>
      <c r="L315" s="30" t="inlineStr"/>
      <c r="M315" s="30" t="inlineStr"/>
      <c r="N315" s="15">
        <f>IF(A315="","",G315*H315)</f>
        <v/>
      </c>
      <c r="O315" s="15">
        <f>IF(A315="","",G315-N315)</f>
        <v/>
      </c>
      <c r="P315" s="15">
        <f>IF(A315="","",O315*I315)</f>
        <v/>
      </c>
      <c r="Q315" s="15">
        <f>IF(A315="","",O315+P315)</f>
        <v/>
      </c>
      <c r="R315" s="15">
        <f>IF(A315="","",SUMIFS('15_Zahlungen'!$F:$F,'15_Zahlungen'!$D:$D,A315,'15_Zahlungen'!$C:$C,"Eingang"))</f>
        <v/>
      </c>
      <c r="S315" s="15">
        <f>IF(A315="","",MAX(0,Q315-R315))</f>
        <v/>
      </c>
      <c r="T315" s="45">
        <f>IF(OR(A315="",L315="bezahlt",J315=""),"",MAX(0,TODAY()-J315))</f>
        <v/>
      </c>
    </row>
    <row r="316">
      <c r="A316" s="30" t="inlineStr"/>
      <c r="B316" s="38" t="inlineStr"/>
      <c r="C316" s="30" t="inlineStr"/>
      <c r="D316" s="30" t="inlineStr"/>
      <c r="E316" s="30" t="inlineStr"/>
      <c r="F316" s="31" t="inlineStr"/>
      <c r="G316" s="34" t="inlineStr"/>
      <c r="H316" s="32" t="inlineStr"/>
      <c r="I316" s="32" t="inlineStr"/>
      <c r="J316" s="38" t="inlineStr"/>
      <c r="K316" s="38" t="inlineStr"/>
      <c r="L316" s="30" t="inlineStr"/>
      <c r="M316" s="30" t="inlineStr"/>
      <c r="N316" s="15">
        <f>IF(A316="","",G316*H316)</f>
        <v/>
      </c>
      <c r="O316" s="15">
        <f>IF(A316="","",G316-N316)</f>
        <v/>
      </c>
      <c r="P316" s="15">
        <f>IF(A316="","",O316*I316)</f>
        <v/>
      </c>
      <c r="Q316" s="15">
        <f>IF(A316="","",O316+P316)</f>
        <v/>
      </c>
      <c r="R316" s="15">
        <f>IF(A316="","",SUMIFS('15_Zahlungen'!$F:$F,'15_Zahlungen'!$D:$D,A316,'15_Zahlungen'!$C:$C,"Eingang"))</f>
        <v/>
      </c>
      <c r="S316" s="15">
        <f>IF(A316="","",MAX(0,Q316-R316))</f>
        <v/>
      </c>
      <c r="T316" s="45">
        <f>IF(OR(A316="",L316="bezahlt",J316=""),"",MAX(0,TODAY()-J316))</f>
        <v/>
      </c>
    </row>
    <row r="317">
      <c r="A317" s="30" t="inlineStr"/>
      <c r="B317" s="38" t="inlineStr"/>
      <c r="C317" s="30" t="inlineStr"/>
      <c r="D317" s="30" t="inlineStr"/>
      <c r="E317" s="30" t="inlineStr"/>
      <c r="F317" s="31" t="inlineStr"/>
      <c r="G317" s="34" t="inlineStr"/>
      <c r="H317" s="32" t="inlineStr"/>
      <c r="I317" s="32" t="inlineStr"/>
      <c r="J317" s="38" t="inlineStr"/>
      <c r="K317" s="38" t="inlineStr"/>
      <c r="L317" s="30" t="inlineStr"/>
      <c r="M317" s="30" t="inlineStr"/>
      <c r="N317" s="15">
        <f>IF(A317="","",G317*H317)</f>
        <v/>
      </c>
      <c r="O317" s="15">
        <f>IF(A317="","",G317-N317)</f>
        <v/>
      </c>
      <c r="P317" s="15">
        <f>IF(A317="","",O317*I317)</f>
        <v/>
      </c>
      <c r="Q317" s="15">
        <f>IF(A317="","",O317+P317)</f>
        <v/>
      </c>
      <c r="R317" s="15">
        <f>IF(A317="","",SUMIFS('15_Zahlungen'!$F:$F,'15_Zahlungen'!$D:$D,A317,'15_Zahlungen'!$C:$C,"Eingang"))</f>
        <v/>
      </c>
      <c r="S317" s="15">
        <f>IF(A317="","",MAX(0,Q317-R317))</f>
        <v/>
      </c>
      <c r="T317" s="45">
        <f>IF(OR(A317="",L317="bezahlt",J317=""),"",MAX(0,TODAY()-J317))</f>
        <v/>
      </c>
    </row>
    <row r="318">
      <c r="A318" s="30" t="inlineStr"/>
      <c r="B318" s="38" t="inlineStr"/>
      <c r="C318" s="30" t="inlineStr"/>
      <c r="D318" s="30" t="inlineStr"/>
      <c r="E318" s="30" t="inlineStr"/>
      <c r="F318" s="31" t="inlineStr"/>
      <c r="G318" s="34" t="inlineStr"/>
      <c r="H318" s="32" t="inlineStr"/>
      <c r="I318" s="32" t="inlineStr"/>
      <c r="J318" s="38" t="inlineStr"/>
      <c r="K318" s="38" t="inlineStr"/>
      <c r="L318" s="30" t="inlineStr"/>
      <c r="M318" s="30" t="inlineStr"/>
      <c r="N318" s="15">
        <f>IF(A318="","",G318*H318)</f>
        <v/>
      </c>
      <c r="O318" s="15">
        <f>IF(A318="","",G318-N318)</f>
        <v/>
      </c>
      <c r="P318" s="15">
        <f>IF(A318="","",O318*I318)</f>
        <v/>
      </c>
      <c r="Q318" s="15">
        <f>IF(A318="","",O318+P318)</f>
        <v/>
      </c>
      <c r="R318" s="15">
        <f>IF(A318="","",SUMIFS('15_Zahlungen'!$F:$F,'15_Zahlungen'!$D:$D,A318,'15_Zahlungen'!$C:$C,"Eingang"))</f>
        <v/>
      </c>
      <c r="S318" s="15">
        <f>IF(A318="","",MAX(0,Q318-R318))</f>
        <v/>
      </c>
      <c r="T318" s="45">
        <f>IF(OR(A318="",L318="bezahlt",J318=""),"",MAX(0,TODAY()-J318))</f>
        <v/>
      </c>
    </row>
    <row r="319">
      <c r="A319" s="30" t="inlineStr"/>
      <c r="B319" s="38" t="inlineStr"/>
      <c r="C319" s="30" t="inlineStr"/>
      <c r="D319" s="30" t="inlineStr"/>
      <c r="E319" s="30" t="inlineStr"/>
      <c r="F319" s="31" t="inlineStr"/>
      <c r="G319" s="34" t="inlineStr"/>
      <c r="H319" s="32" t="inlineStr"/>
      <c r="I319" s="32" t="inlineStr"/>
      <c r="J319" s="38" t="inlineStr"/>
      <c r="K319" s="38" t="inlineStr"/>
      <c r="L319" s="30" t="inlineStr"/>
      <c r="M319" s="30" t="inlineStr"/>
      <c r="N319" s="15">
        <f>IF(A319="","",G319*H319)</f>
        <v/>
      </c>
      <c r="O319" s="15">
        <f>IF(A319="","",G319-N319)</f>
        <v/>
      </c>
      <c r="P319" s="15">
        <f>IF(A319="","",O319*I319)</f>
        <v/>
      </c>
      <c r="Q319" s="15">
        <f>IF(A319="","",O319+P319)</f>
        <v/>
      </c>
      <c r="R319" s="15">
        <f>IF(A319="","",SUMIFS('15_Zahlungen'!$F:$F,'15_Zahlungen'!$D:$D,A319,'15_Zahlungen'!$C:$C,"Eingang"))</f>
        <v/>
      </c>
      <c r="S319" s="15">
        <f>IF(A319="","",MAX(0,Q319-R319))</f>
        <v/>
      </c>
      <c r="T319" s="45">
        <f>IF(OR(A319="",L319="bezahlt",J319=""),"",MAX(0,TODAY()-J319))</f>
        <v/>
      </c>
    </row>
    <row r="320">
      <c r="A320" s="30" t="inlineStr"/>
      <c r="B320" s="38" t="inlineStr"/>
      <c r="C320" s="30" t="inlineStr"/>
      <c r="D320" s="30" t="inlineStr"/>
      <c r="E320" s="30" t="inlineStr"/>
      <c r="F320" s="31" t="inlineStr"/>
      <c r="G320" s="34" t="inlineStr"/>
      <c r="H320" s="32" t="inlineStr"/>
      <c r="I320" s="32" t="inlineStr"/>
      <c r="J320" s="38" t="inlineStr"/>
      <c r="K320" s="38" t="inlineStr"/>
      <c r="L320" s="30" t="inlineStr"/>
      <c r="M320" s="30" t="inlineStr"/>
      <c r="N320" s="15">
        <f>IF(A320="","",G320*H320)</f>
        <v/>
      </c>
      <c r="O320" s="15">
        <f>IF(A320="","",G320-N320)</f>
        <v/>
      </c>
      <c r="P320" s="15">
        <f>IF(A320="","",O320*I320)</f>
        <v/>
      </c>
      <c r="Q320" s="15">
        <f>IF(A320="","",O320+P320)</f>
        <v/>
      </c>
      <c r="R320" s="15">
        <f>IF(A320="","",SUMIFS('15_Zahlungen'!$F:$F,'15_Zahlungen'!$D:$D,A320,'15_Zahlungen'!$C:$C,"Eingang"))</f>
        <v/>
      </c>
      <c r="S320" s="15">
        <f>IF(A320="","",MAX(0,Q320-R320))</f>
        <v/>
      </c>
      <c r="T320" s="45">
        <f>IF(OR(A320="",L320="bezahlt",J320=""),"",MAX(0,TODAY()-J320))</f>
        <v/>
      </c>
    </row>
    <row r="321">
      <c r="A321" s="30" t="inlineStr"/>
      <c r="B321" s="38" t="inlineStr"/>
      <c r="C321" s="30" t="inlineStr"/>
      <c r="D321" s="30" t="inlineStr"/>
      <c r="E321" s="30" t="inlineStr"/>
      <c r="F321" s="31" t="inlineStr"/>
      <c r="G321" s="34" t="inlineStr"/>
      <c r="H321" s="32" t="inlineStr"/>
      <c r="I321" s="32" t="inlineStr"/>
      <c r="J321" s="38" t="inlineStr"/>
      <c r="K321" s="38" t="inlineStr"/>
      <c r="L321" s="30" t="inlineStr"/>
      <c r="M321" s="30" t="inlineStr"/>
      <c r="N321" s="15">
        <f>IF(A321="","",G321*H321)</f>
        <v/>
      </c>
      <c r="O321" s="15">
        <f>IF(A321="","",G321-N321)</f>
        <v/>
      </c>
      <c r="P321" s="15">
        <f>IF(A321="","",O321*I321)</f>
        <v/>
      </c>
      <c r="Q321" s="15">
        <f>IF(A321="","",O321+P321)</f>
        <v/>
      </c>
      <c r="R321" s="15">
        <f>IF(A321="","",SUMIFS('15_Zahlungen'!$F:$F,'15_Zahlungen'!$D:$D,A321,'15_Zahlungen'!$C:$C,"Eingang"))</f>
        <v/>
      </c>
      <c r="S321" s="15">
        <f>IF(A321="","",MAX(0,Q321-R321))</f>
        <v/>
      </c>
      <c r="T321" s="45">
        <f>IF(OR(A321="",L321="bezahlt",J321=""),"",MAX(0,TODAY()-J321))</f>
        <v/>
      </c>
    </row>
    <row r="322">
      <c r="A322" s="30" t="inlineStr"/>
      <c r="B322" s="38" t="inlineStr"/>
      <c r="C322" s="30" t="inlineStr"/>
      <c r="D322" s="30" t="inlineStr"/>
      <c r="E322" s="30" t="inlineStr"/>
      <c r="F322" s="31" t="inlineStr"/>
      <c r="G322" s="34" t="inlineStr"/>
      <c r="H322" s="32" t="inlineStr"/>
      <c r="I322" s="32" t="inlineStr"/>
      <c r="J322" s="38" t="inlineStr"/>
      <c r="K322" s="38" t="inlineStr"/>
      <c r="L322" s="30" t="inlineStr"/>
      <c r="M322" s="30" t="inlineStr"/>
      <c r="N322" s="15">
        <f>IF(A322="","",G322*H322)</f>
        <v/>
      </c>
      <c r="O322" s="15">
        <f>IF(A322="","",G322-N322)</f>
        <v/>
      </c>
      <c r="P322" s="15">
        <f>IF(A322="","",O322*I322)</f>
        <v/>
      </c>
      <c r="Q322" s="15">
        <f>IF(A322="","",O322+P322)</f>
        <v/>
      </c>
      <c r="R322" s="15">
        <f>IF(A322="","",SUMIFS('15_Zahlungen'!$F:$F,'15_Zahlungen'!$D:$D,A322,'15_Zahlungen'!$C:$C,"Eingang"))</f>
        <v/>
      </c>
      <c r="S322" s="15">
        <f>IF(A322="","",MAX(0,Q322-R322))</f>
        <v/>
      </c>
      <c r="T322" s="45">
        <f>IF(OR(A322="",L322="bezahlt",J322=""),"",MAX(0,TODAY()-J322))</f>
        <v/>
      </c>
    </row>
    <row r="323">
      <c r="A323" s="30" t="inlineStr"/>
      <c r="B323" s="38" t="inlineStr"/>
      <c r="C323" s="30" t="inlineStr"/>
      <c r="D323" s="30" t="inlineStr"/>
      <c r="E323" s="30" t="inlineStr"/>
      <c r="F323" s="31" t="inlineStr"/>
      <c r="G323" s="34" t="inlineStr"/>
      <c r="H323" s="32" t="inlineStr"/>
      <c r="I323" s="32" t="inlineStr"/>
      <c r="J323" s="38" t="inlineStr"/>
      <c r="K323" s="38" t="inlineStr"/>
      <c r="L323" s="30" t="inlineStr"/>
      <c r="M323" s="30" t="inlineStr"/>
      <c r="N323" s="15">
        <f>IF(A323="","",G323*H323)</f>
        <v/>
      </c>
      <c r="O323" s="15">
        <f>IF(A323="","",G323-N323)</f>
        <v/>
      </c>
      <c r="P323" s="15">
        <f>IF(A323="","",O323*I323)</f>
        <v/>
      </c>
      <c r="Q323" s="15">
        <f>IF(A323="","",O323+P323)</f>
        <v/>
      </c>
      <c r="R323" s="15">
        <f>IF(A323="","",SUMIFS('15_Zahlungen'!$F:$F,'15_Zahlungen'!$D:$D,A323,'15_Zahlungen'!$C:$C,"Eingang"))</f>
        <v/>
      </c>
      <c r="S323" s="15">
        <f>IF(A323="","",MAX(0,Q323-R323))</f>
        <v/>
      </c>
      <c r="T323" s="45">
        <f>IF(OR(A323="",L323="bezahlt",J323=""),"",MAX(0,TODAY()-J323))</f>
        <v/>
      </c>
    </row>
    <row r="324">
      <c r="A324" s="30" t="inlineStr"/>
      <c r="B324" s="38" t="inlineStr"/>
      <c r="C324" s="30" t="inlineStr"/>
      <c r="D324" s="30" t="inlineStr"/>
      <c r="E324" s="30" t="inlineStr"/>
      <c r="F324" s="31" t="inlineStr"/>
      <c r="G324" s="34" t="inlineStr"/>
      <c r="H324" s="32" t="inlineStr"/>
      <c r="I324" s="32" t="inlineStr"/>
      <c r="J324" s="38" t="inlineStr"/>
      <c r="K324" s="38" t="inlineStr"/>
      <c r="L324" s="30" t="inlineStr"/>
      <c r="M324" s="30" t="inlineStr"/>
      <c r="N324" s="15">
        <f>IF(A324="","",G324*H324)</f>
        <v/>
      </c>
      <c r="O324" s="15">
        <f>IF(A324="","",G324-N324)</f>
        <v/>
      </c>
      <c r="P324" s="15">
        <f>IF(A324="","",O324*I324)</f>
        <v/>
      </c>
      <c r="Q324" s="15">
        <f>IF(A324="","",O324+P324)</f>
        <v/>
      </c>
      <c r="R324" s="15">
        <f>IF(A324="","",SUMIFS('15_Zahlungen'!$F:$F,'15_Zahlungen'!$D:$D,A324,'15_Zahlungen'!$C:$C,"Eingang"))</f>
        <v/>
      </c>
      <c r="S324" s="15">
        <f>IF(A324="","",MAX(0,Q324-R324))</f>
        <v/>
      </c>
      <c r="T324" s="45">
        <f>IF(OR(A324="",L324="bezahlt",J324=""),"",MAX(0,TODAY()-J324))</f>
        <v/>
      </c>
    </row>
    <row r="325">
      <c r="A325" s="30" t="inlineStr"/>
      <c r="B325" s="38" t="inlineStr"/>
      <c r="C325" s="30" t="inlineStr"/>
      <c r="D325" s="30" t="inlineStr"/>
      <c r="E325" s="30" t="inlineStr"/>
      <c r="F325" s="31" t="inlineStr"/>
      <c r="G325" s="34" t="inlineStr"/>
      <c r="H325" s="32" t="inlineStr"/>
      <c r="I325" s="32" t="inlineStr"/>
      <c r="J325" s="38" t="inlineStr"/>
      <c r="K325" s="38" t="inlineStr"/>
      <c r="L325" s="30" t="inlineStr"/>
      <c r="M325" s="30" t="inlineStr"/>
      <c r="N325" s="15">
        <f>IF(A325="","",G325*H325)</f>
        <v/>
      </c>
      <c r="O325" s="15">
        <f>IF(A325="","",G325-N325)</f>
        <v/>
      </c>
      <c r="P325" s="15">
        <f>IF(A325="","",O325*I325)</f>
        <v/>
      </c>
      <c r="Q325" s="15">
        <f>IF(A325="","",O325+P325)</f>
        <v/>
      </c>
      <c r="R325" s="15">
        <f>IF(A325="","",SUMIFS('15_Zahlungen'!$F:$F,'15_Zahlungen'!$D:$D,A325,'15_Zahlungen'!$C:$C,"Eingang"))</f>
        <v/>
      </c>
      <c r="S325" s="15">
        <f>IF(A325="","",MAX(0,Q325-R325))</f>
        <v/>
      </c>
      <c r="T325" s="45">
        <f>IF(OR(A325="",L325="bezahlt",J325=""),"",MAX(0,TODAY()-J325))</f>
        <v/>
      </c>
    </row>
    <row r="326">
      <c r="A326" s="30" t="inlineStr"/>
      <c r="B326" s="38" t="inlineStr"/>
      <c r="C326" s="30" t="inlineStr"/>
      <c r="D326" s="30" t="inlineStr"/>
      <c r="E326" s="30" t="inlineStr"/>
      <c r="F326" s="31" t="inlineStr"/>
      <c r="G326" s="34" t="inlineStr"/>
      <c r="H326" s="32" t="inlineStr"/>
      <c r="I326" s="32" t="inlineStr"/>
      <c r="J326" s="38" t="inlineStr"/>
      <c r="K326" s="38" t="inlineStr"/>
      <c r="L326" s="30" t="inlineStr"/>
      <c r="M326" s="30" t="inlineStr"/>
      <c r="N326" s="15">
        <f>IF(A326="","",G326*H326)</f>
        <v/>
      </c>
      <c r="O326" s="15">
        <f>IF(A326="","",G326-N326)</f>
        <v/>
      </c>
      <c r="P326" s="15">
        <f>IF(A326="","",O326*I326)</f>
        <v/>
      </c>
      <c r="Q326" s="15">
        <f>IF(A326="","",O326+P326)</f>
        <v/>
      </c>
      <c r="R326" s="15">
        <f>IF(A326="","",SUMIFS('15_Zahlungen'!$F:$F,'15_Zahlungen'!$D:$D,A326,'15_Zahlungen'!$C:$C,"Eingang"))</f>
        <v/>
      </c>
      <c r="S326" s="15">
        <f>IF(A326="","",MAX(0,Q326-R326))</f>
        <v/>
      </c>
      <c r="T326" s="45">
        <f>IF(OR(A326="",L326="bezahlt",J326=""),"",MAX(0,TODAY()-J326))</f>
        <v/>
      </c>
    </row>
    <row r="327">
      <c r="A327" s="30" t="inlineStr"/>
      <c r="B327" s="38" t="inlineStr"/>
      <c r="C327" s="30" t="inlineStr"/>
      <c r="D327" s="30" t="inlineStr"/>
      <c r="E327" s="30" t="inlineStr"/>
      <c r="F327" s="31" t="inlineStr"/>
      <c r="G327" s="34" t="inlineStr"/>
      <c r="H327" s="32" t="inlineStr"/>
      <c r="I327" s="32" t="inlineStr"/>
      <c r="J327" s="38" t="inlineStr"/>
      <c r="K327" s="38" t="inlineStr"/>
      <c r="L327" s="30" t="inlineStr"/>
      <c r="M327" s="30" t="inlineStr"/>
      <c r="N327" s="15">
        <f>IF(A327="","",G327*H327)</f>
        <v/>
      </c>
      <c r="O327" s="15">
        <f>IF(A327="","",G327-N327)</f>
        <v/>
      </c>
      <c r="P327" s="15">
        <f>IF(A327="","",O327*I327)</f>
        <v/>
      </c>
      <c r="Q327" s="15">
        <f>IF(A327="","",O327+P327)</f>
        <v/>
      </c>
      <c r="R327" s="15">
        <f>IF(A327="","",SUMIFS('15_Zahlungen'!$F:$F,'15_Zahlungen'!$D:$D,A327,'15_Zahlungen'!$C:$C,"Eingang"))</f>
        <v/>
      </c>
      <c r="S327" s="15">
        <f>IF(A327="","",MAX(0,Q327-R327))</f>
        <v/>
      </c>
      <c r="T327" s="45">
        <f>IF(OR(A327="",L327="bezahlt",J327=""),"",MAX(0,TODAY()-J327))</f>
        <v/>
      </c>
    </row>
    <row r="328">
      <c r="A328" s="30" t="inlineStr"/>
      <c r="B328" s="38" t="inlineStr"/>
      <c r="C328" s="30" t="inlineStr"/>
      <c r="D328" s="30" t="inlineStr"/>
      <c r="E328" s="30" t="inlineStr"/>
      <c r="F328" s="31" t="inlineStr"/>
      <c r="G328" s="34" t="inlineStr"/>
      <c r="H328" s="32" t="inlineStr"/>
      <c r="I328" s="32" t="inlineStr"/>
      <c r="J328" s="38" t="inlineStr"/>
      <c r="K328" s="38" t="inlineStr"/>
      <c r="L328" s="30" t="inlineStr"/>
      <c r="M328" s="30" t="inlineStr"/>
      <c r="N328" s="15">
        <f>IF(A328="","",G328*H328)</f>
        <v/>
      </c>
      <c r="O328" s="15">
        <f>IF(A328="","",G328-N328)</f>
        <v/>
      </c>
      <c r="P328" s="15">
        <f>IF(A328="","",O328*I328)</f>
        <v/>
      </c>
      <c r="Q328" s="15">
        <f>IF(A328="","",O328+P328)</f>
        <v/>
      </c>
      <c r="R328" s="15">
        <f>IF(A328="","",SUMIFS('15_Zahlungen'!$F:$F,'15_Zahlungen'!$D:$D,A328,'15_Zahlungen'!$C:$C,"Eingang"))</f>
        <v/>
      </c>
      <c r="S328" s="15">
        <f>IF(A328="","",MAX(0,Q328-R328))</f>
        <v/>
      </c>
      <c r="T328" s="45">
        <f>IF(OR(A328="",L328="bezahlt",J328=""),"",MAX(0,TODAY()-J328))</f>
        <v/>
      </c>
    </row>
    <row r="329">
      <c r="A329" s="30" t="inlineStr"/>
      <c r="B329" s="38" t="inlineStr"/>
      <c r="C329" s="30" t="inlineStr"/>
      <c r="D329" s="30" t="inlineStr"/>
      <c r="E329" s="30" t="inlineStr"/>
      <c r="F329" s="31" t="inlineStr"/>
      <c r="G329" s="34" t="inlineStr"/>
      <c r="H329" s="32" t="inlineStr"/>
      <c r="I329" s="32" t="inlineStr"/>
      <c r="J329" s="38" t="inlineStr"/>
      <c r="K329" s="38" t="inlineStr"/>
      <c r="L329" s="30" t="inlineStr"/>
      <c r="M329" s="30" t="inlineStr"/>
      <c r="N329" s="15">
        <f>IF(A329="","",G329*H329)</f>
        <v/>
      </c>
      <c r="O329" s="15">
        <f>IF(A329="","",G329-N329)</f>
        <v/>
      </c>
      <c r="P329" s="15">
        <f>IF(A329="","",O329*I329)</f>
        <v/>
      </c>
      <c r="Q329" s="15">
        <f>IF(A329="","",O329+P329)</f>
        <v/>
      </c>
      <c r="R329" s="15">
        <f>IF(A329="","",SUMIFS('15_Zahlungen'!$F:$F,'15_Zahlungen'!$D:$D,A329,'15_Zahlungen'!$C:$C,"Eingang"))</f>
        <v/>
      </c>
      <c r="S329" s="15">
        <f>IF(A329="","",MAX(0,Q329-R329))</f>
        <v/>
      </c>
      <c r="T329" s="45">
        <f>IF(OR(A329="",L329="bezahlt",J329=""),"",MAX(0,TODAY()-J329))</f>
        <v/>
      </c>
    </row>
    <row r="330">
      <c r="A330" s="30" t="inlineStr"/>
      <c r="B330" s="38" t="inlineStr"/>
      <c r="C330" s="30" t="inlineStr"/>
      <c r="D330" s="30" t="inlineStr"/>
      <c r="E330" s="30" t="inlineStr"/>
      <c r="F330" s="31" t="inlineStr"/>
      <c r="G330" s="34" t="inlineStr"/>
      <c r="H330" s="32" t="inlineStr"/>
      <c r="I330" s="32" t="inlineStr"/>
      <c r="J330" s="38" t="inlineStr"/>
      <c r="K330" s="38" t="inlineStr"/>
      <c r="L330" s="30" t="inlineStr"/>
      <c r="M330" s="30" t="inlineStr"/>
      <c r="N330" s="15">
        <f>IF(A330="","",G330*H330)</f>
        <v/>
      </c>
      <c r="O330" s="15">
        <f>IF(A330="","",G330-N330)</f>
        <v/>
      </c>
      <c r="P330" s="15">
        <f>IF(A330="","",O330*I330)</f>
        <v/>
      </c>
      <c r="Q330" s="15">
        <f>IF(A330="","",O330+P330)</f>
        <v/>
      </c>
      <c r="R330" s="15">
        <f>IF(A330="","",SUMIFS('15_Zahlungen'!$F:$F,'15_Zahlungen'!$D:$D,A330,'15_Zahlungen'!$C:$C,"Eingang"))</f>
        <v/>
      </c>
      <c r="S330" s="15">
        <f>IF(A330="","",MAX(0,Q330-R330))</f>
        <v/>
      </c>
      <c r="T330" s="45">
        <f>IF(OR(A330="",L330="bezahlt",J330=""),"",MAX(0,TODAY()-J330))</f>
        <v/>
      </c>
    </row>
    <row r="331">
      <c r="A331" s="30" t="inlineStr"/>
      <c r="B331" s="38" t="inlineStr"/>
      <c r="C331" s="30" t="inlineStr"/>
      <c r="D331" s="30" t="inlineStr"/>
      <c r="E331" s="30" t="inlineStr"/>
      <c r="F331" s="31" t="inlineStr"/>
      <c r="G331" s="34" t="inlineStr"/>
      <c r="H331" s="32" t="inlineStr"/>
      <c r="I331" s="32" t="inlineStr"/>
      <c r="J331" s="38" t="inlineStr"/>
      <c r="K331" s="38" t="inlineStr"/>
      <c r="L331" s="30" t="inlineStr"/>
      <c r="M331" s="30" t="inlineStr"/>
      <c r="N331" s="15">
        <f>IF(A331="","",G331*H331)</f>
        <v/>
      </c>
      <c r="O331" s="15">
        <f>IF(A331="","",G331-N331)</f>
        <v/>
      </c>
      <c r="P331" s="15">
        <f>IF(A331="","",O331*I331)</f>
        <v/>
      </c>
      <c r="Q331" s="15">
        <f>IF(A331="","",O331+P331)</f>
        <v/>
      </c>
      <c r="R331" s="15">
        <f>IF(A331="","",SUMIFS('15_Zahlungen'!$F:$F,'15_Zahlungen'!$D:$D,A331,'15_Zahlungen'!$C:$C,"Eingang"))</f>
        <v/>
      </c>
      <c r="S331" s="15">
        <f>IF(A331="","",MAX(0,Q331-R331))</f>
        <v/>
      </c>
      <c r="T331" s="45">
        <f>IF(OR(A331="",L331="bezahlt",J331=""),"",MAX(0,TODAY()-J331))</f>
        <v/>
      </c>
    </row>
    <row r="332">
      <c r="A332" s="30" t="inlineStr"/>
      <c r="B332" s="38" t="inlineStr"/>
      <c r="C332" s="30" t="inlineStr"/>
      <c r="D332" s="30" t="inlineStr"/>
      <c r="E332" s="30" t="inlineStr"/>
      <c r="F332" s="31" t="inlineStr"/>
      <c r="G332" s="34" t="inlineStr"/>
      <c r="H332" s="32" t="inlineStr"/>
      <c r="I332" s="32" t="inlineStr"/>
      <c r="J332" s="38" t="inlineStr"/>
      <c r="K332" s="38" t="inlineStr"/>
      <c r="L332" s="30" t="inlineStr"/>
      <c r="M332" s="30" t="inlineStr"/>
      <c r="N332" s="15">
        <f>IF(A332="","",G332*H332)</f>
        <v/>
      </c>
      <c r="O332" s="15">
        <f>IF(A332="","",G332-N332)</f>
        <v/>
      </c>
      <c r="P332" s="15">
        <f>IF(A332="","",O332*I332)</f>
        <v/>
      </c>
      <c r="Q332" s="15">
        <f>IF(A332="","",O332+P332)</f>
        <v/>
      </c>
      <c r="R332" s="15">
        <f>IF(A332="","",SUMIFS('15_Zahlungen'!$F:$F,'15_Zahlungen'!$D:$D,A332,'15_Zahlungen'!$C:$C,"Eingang"))</f>
        <v/>
      </c>
      <c r="S332" s="15">
        <f>IF(A332="","",MAX(0,Q332-R332))</f>
        <v/>
      </c>
      <c r="T332" s="45">
        <f>IF(OR(A332="",L332="bezahlt",J332=""),"",MAX(0,TODAY()-J332))</f>
        <v/>
      </c>
    </row>
    <row r="333">
      <c r="A333" s="30" t="inlineStr"/>
      <c r="B333" s="38" t="inlineStr"/>
      <c r="C333" s="30" t="inlineStr"/>
      <c r="D333" s="30" t="inlineStr"/>
      <c r="E333" s="30" t="inlineStr"/>
      <c r="F333" s="31" t="inlineStr"/>
      <c r="G333" s="34" t="inlineStr"/>
      <c r="H333" s="32" t="inlineStr"/>
      <c r="I333" s="32" t="inlineStr"/>
      <c r="J333" s="38" t="inlineStr"/>
      <c r="K333" s="38" t="inlineStr"/>
      <c r="L333" s="30" t="inlineStr"/>
      <c r="M333" s="30" t="inlineStr"/>
      <c r="N333" s="15">
        <f>IF(A333="","",G333*H333)</f>
        <v/>
      </c>
      <c r="O333" s="15">
        <f>IF(A333="","",G333-N333)</f>
        <v/>
      </c>
      <c r="P333" s="15">
        <f>IF(A333="","",O333*I333)</f>
        <v/>
      </c>
      <c r="Q333" s="15">
        <f>IF(A333="","",O333+P333)</f>
        <v/>
      </c>
      <c r="R333" s="15">
        <f>IF(A333="","",SUMIFS('15_Zahlungen'!$F:$F,'15_Zahlungen'!$D:$D,A333,'15_Zahlungen'!$C:$C,"Eingang"))</f>
        <v/>
      </c>
      <c r="S333" s="15">
        <f>IF(A333="","",MAX(0,Q333-R333))</f>
        <v/>
      </c>
      <c r="T333" s="45">
        <f>IF(OR(A333="",L333="bezahlt",J333=""),"",MAX(0,TODAY()-J333))</f>
        <v/>
      </c>
    </row>
    <row r="334">
      <c r="A334" s="30" t="inlineStr"/>
      <c r="B334" s="38" t="inlineStr"/>
      <c r="C334" s="30" t="inlineStr"/>
      <c r="D334" s="30" t="inlineStr"/>
      <c r="E334" s="30" t="inlineStr"/>
      <c r="F334" s="31" t="inlineStr"/>
      <c r="G334" s="34" t="inlineStr"/>
      <c r="H334" s="32" t="inlineStr"/>
      <c r="I334" s="32" t="inlineStr"/>
      <c r="J334" s="38" t="inlineStr"/>
      <c r="K334" s="38" t="inlineStr"/>
      <c r="L334" s="30" t="inlineStr"/>
      <c r="M334" s="30" t="inlineStr"/>
      <c r="N334" s="15">
        <f>IF(A334="","",G334*H334)</f>
        <v/>
      </c>
      <c r="O334" s="15">
        <f>IF(A334="","",G334-N334)</f>
        <v/>
      </c>
      <c r="P334" s="15">
        <f>IF(A334="","",O334*I334)</f>
        <v/>
      </c>
      <c r="Q334" s="15">
        <f>IF(A334="","",O334+P334)</f>
        <v/>
      </c>
      <c r="R334" s="15">
        <f>IF(A334="","",SUMIFS('15_Zahlungen'!$F:$F,'15_Zahlungen'!$D:$D,A334,'15_Zahlungen'!$C:$C,"Eingang"))</f>
        <v/>
      </c>
      <c r="S334" s="15">
        <f>IF(A334="","",MAX(0,Q334-R334))</f>
        <v/>
      </c>
      <c r="T334" s="45">
        <f>IF(OR(A334="",L334="bezahlt",J334=""),"",MAX(0,TODAY()-J334))</f>
        <v/>
      </c>
    </row>
    <row r="335">
      <c r="A335" s="30" t="inlineStr"/>
      <c r="B335" s="38" t="inlineStr"/>
      <c r="C335" s="30" t="inlineStr"/>
      <c r="D335" s="30" t="inlineStr"/>
      <c r="E335" s="30" t="inlineStr"/>
      <c r="F335" s="31" t="inlineStr"/>
      <c r="G335" s="34" t="inlineStr"/>
      <c r="H335" s="32" t="inlineStr"/>
      <c r="I335" s="32" t="inlineStr"/>
      <c r="J335" s="38" t="inlineStr"/>
      <c r="K335" s="38" t="inlineStr"/>
      <c r="L335" s="30" t="inlineStr"/>
      <c r="M335" s="30" t="inlineStr"/>
      <c r="N335" s="15">
        <f>IF(A335="","",G335*H335)</f>
        <v/>
      </c>
      <c r="O335" s="15">
        <f>IF(A335="","",G335-N335)</f>
        <v/>
      </c>
      <c r="P335" s="15">
        <f>IF(A335="","",O335*I335)</f>
        <v/>
      </c>
      <c r="Q335" s="15">
        <f>IF(A335="","",O335+P335)</f>
        <v/>
      </c>
      <c r="R335" s="15">
        <f>IF(A335="","",SUMIFS('15_Zahlungen'!$F:$F,'15_Zahlungen'!$D:$D,A335,'15_Zahlungen'!$C:$C,"Eingang"))</f>
        <v/>
      </c>
      <c r="S335" s="15">
        <f>IF(A335="","",MAX(0,Q335-R335))</f>
        <v/>
      </c>
      <c r="T335" s="45">
        <f>IF(OR(A335="",L335="bezahlt",J335=""),"",MAX(0,TODAY()-J335))</f>
        <v/>
      </c>
    </row>
    <row r="336">
      <c r="A336" s="30" t="inlineStr"/>
      <c r="B336" s="38" t="inlineStr"/>
      <c r="C336" s="30" t="inlineStr"/>
      <c r="D336" s="30" t="inlineStr"/>
      <c r="E336" s="30" t="inlineStr"/>
      <c r="F336" s="31" t="inlineStr"/>
      <c r="G336" s="34" t="inlineStr"/>
      <c r="H336" s="32" t="inlineStr"/>
      <c r="I336" s="32" t="inlineStr"/>
      <c r="J336" s="38" t="inlineStr"/>
      <c r="K336" s="38" t="inlineStr"/>
      <c r="L336" s="30" t="inlineStr"/>
      <c r="M336" s="30" t="inlineStr"/>
      <c r="N336" s="15">
        <f>IF(A336="","",G336*H336)</f>
        <v/>
      </c>
      <c r="O336" s="15">
        <f>IF(A336="","",G336-N336)</f>
        <v/>
      </c>
      <c r="P336" s="15">
        <f>IF(A336="","",O336*I336)</f>
        <v/>
      </c>
      <c r="Q336" s="15">
        <f>IF(A336="","",O336+P336)</f>
        <v/>
      </c>
      <c r="R336" s="15">
        <f>IF(A336="","",SUMIFS('15_Zahlungen'!$F:$F,'15_Zahlungen'!$D:$D,A336,'15_Zahlungen'!$C:$C,"Eingang"))</f>
        <v/>
      </c>
      <c r="S336" s="15">
        <f>IF(A336="","",MAX(0,Q336-R336))</f>
        <v/>
      </c>
      <c r="T336" s="45">
        <f>IF(OR(A336="",L336="bezahlt",J336=""),"",MAX(0,TODAY()-J336))</f>
        <v/>
      </c>
    </row>
    <row r="337">
      <c r="A337" s="30" t="inlineStr"/>
      <c r="B337" s="38" t="inlineStr"/>
      <c r="C337" s="30" t="inlineStr"/>
      <c r="D337" s="30" t="inlineStr"/>
      <c r="E337" s="30" t="inlineStr"/>
      <c r="F337" s="31" t="inlineStr"/>
      <c r="G337" s="34" t="inlineStr"/>
      <c r="H337" s="32" t="inlineStr"/>
      <c r="I337" s="32" t="inlineStr"/>
      <c r="J337" s="38" t="inlineStr"/>
      <c r="K337" s="38" t="inlineStr"/>
      <c r="L337" s="30" t="inlineStr"/>
      <c r="M337" s="30" t="inlineStr"/>
      <c r="N337" s="15">
        <f>IF(A337="","",G337*H337)</f>
        <v/>
      </c>
      <c r="O337" s="15">
        <f>IF(A337="","",G337-N337)</f>
        <v/>
      </c>
      <c r="P337" s="15">
        <f>IF(A337="","",O337*I337)</f>
        <v/>
      </c>
      <c r="Q337" s="15">
        <f>IF(A337="","",O337+P337)</f>
        <v/>
      </c>
      <c r="R337" s="15">
        <f>IF(A337="","",SUMIFS('15_Zahlungen'!$F:$F,'15_Zahlungen'!$D:$D,A337,'15_Zahlungen'!$C:$C,"Eingang"))</f>
        <v/>
      </c>
      <c r="S337" s="15">
        <f>IF(A337="","",MAX(0,Q337-R337))</f>
        <v/>
      </c>
      <c r="T337" s="45">
        <f>IF(OR(A337="",L337="bezahlt",J337=""),"",MAX(0,TODAY()-J337))</f>
        <v/>
      </c>
    </row>
    <row r="338">
      <c r="A338" s="30" t="inlineStr"/>
      <c r="B338" s="38" t="inlineStr"/>
      <c r="C338" s="30" t="inlineStr"/>
      <c r="D338" s="30" t="inlineStr"/>
      <c r="E338" s="30" t="inlineStr"/>
      <c r="F338" s="31" t="inlineStr"/>
      <c r="G338" s="34" t="inlineStr"/>
      <c r="H338" s="32" t="inlineStr"/>
      <c r="I338" s="32" t="inlineStr"/>
      <c r="J338" s="38" t="inlineStr"/>
      <c r="K338" s="38" t="inlineStr"/>
      <c r="L338" s="30" t="inlineStr"/>
      <c r="M338" s="30" t="inlineStr"/>
      <c r="N338" s="15">
        <f>IF(A338="","",G338*H338)</f>
        <v/>
      </c>
      <c r="O338" s="15">
        <f>IF(A338="","",G338-N338)</f>
        <v/>
      </c>
      <c r="P338" s="15">
        <f>IF(A338="","",O338*I338)</f>
        <v/>
      </c>
      <c r="Q338" s="15">
        <f>IF(A338="","",O338+P338)</f>
        <v/>
      </c>
      <c r="R338" s="15">
        <f>IF(A338="","",SUMIFS('15_Zahlungen'!$F:$F,'15_Zahlungen'!$D:$D,A338,'15_Zahlungen'!$C:$C,"Eingang"))</f>
        <v/>
      </c>
      <c r="S338" s="15">
        <f>IF(A338="","",MAX(0,Q338-R338))</f>
        <v/>
      </c>
      <c r="T338" s="45">
        <f>IF(OR(A338="",L338="bezahlt",J338=""),"",MAX(0,TODAY()-J338))</f>
        <v/>
      </c>
    </row>
    <row r="339">
      <c r="A339" s="30" t="inlineStr"/>
      <c r="B339" s="38" t="inlineStr"/>
      <c r="C339" s="30" t="inlineStr"/>
      <c r="D339" s="30" t="inlineStr"/>
      <c r="E339" s="30" t="inlineStr"/>
      <c r="F339" s="31" t="inlineStr"/>
      <c r="G339" s="34" t="inlineStr"/>
      <c r="H339" s="32" t="inlineStr"/>
      <c r="I339" s="32" t="inlineStr"/>
      <c r="J339" s="38" t="inlineStr"/>
      <c r="K339" s="38" t="inlineStr"/>
      <c r="L339" s="30" t="inlineStr"/>
      <c r="M339" s="30" t="inlineStr"/>
      <c r="N339" s="15">
        <f>IF(A339="","",G339*H339)</f>
        <v/>
      </c>
      <c r="O339" s="15">
        <f>IF(A339="","",G339-N339)</f>
        <v/>
      </c>
      <c r="P339" s="15">
        <f>IF(A339="","",O339*I339)</f>
        <v/>
      </c>
      <c r="Q339" s="15">
        <f>IF(A339="","",O339+P339)</f>
        <v/>
      </c>
      <c r="R339" s="15">
        <f>IF(A339="","",SUMIFS('15_Zahlungen'!$F:$F,'15_Zahlungen'!$D:$D,A339,'15_Zahlungen'!$C:$C,"Eingang"))</f>
        <v/>
      </c>
      <c r="S339" s="15">
        <f>IF(A339="","",MAX(0,Q339-R339))</f>
        <v/>
      </c>
      <c r="T339" s="45">
        <f>IF(OR(A339="",L339="bezahlt",J339=""),"",MAX(0,TODAY()-J339))</f>
        <v/>
      </c>
    </row>
    <row r="340">
      <c r="A340" s="30" t="inlineStr"/>
      <c r="B340" s="38" t="inlineStr"/>
      <c r="C340" s="30" t="inlineStr"/>
      <c r="D340" s="30" t="inlineStr"/>
      <c r="E340" s="30" t="inlineStr"/>
      <c r="F340" s="31" t="inlineStr"/>
      <c r="G340" s="34" t="inlineStr"/>
      <c r="H340" s="32" t="inlineStr"/>
      <c r="I340" s="32" t="inlineStr"/>
      <c r="J340" s="38" t="inlineStr"/>
      <c r="K340" s="38" t="inlineStr"/>
      <c r="L340" s="30" t="inlineStr"/>
      <c r="M340" s="30" t="inlineStr"/>
      <c r="N340" s="15">
        <f>IF(A340="","",G340*H340)</f>
        <v/>
      </c>
      <c r="O340" s="15">
        <f>IF(A340="","",G340-N340)</f>
        <v/>
      </c>
      <c r="P340" s="15">
        <f>IF(A340="","",O340*I340)</f>
        <v/>
      </c>
      <c r="Q340" s="15">
        <f>IF(A340="","",O340+P340)</f>
        <v/>
      </c>
      <c r="R340" s="15">
        <f>IF(A340="","",SUMIFS('15_Zahlungen'!$F:$F,'15_Zahlungen'!$D:$D,A340,'15_Zahlungen'!$C:$C,"Eingang"))</f>
        <v/>
      </c>
      <c r="S340" s="15">
        <f>IF(A340="","",MAX(0,Q340-R340))</f>
        <v/>
      </c>
      <c r="T340" s="45">
        <f>IF(OR(A340="",L340="bezahlt",J340=""),"",MAX(0,TODAY()-J340))</f>
        <v/>
      </c>
    </row>
    <row r="341">
      <c r="A341" s="30" t="inlineStr"/>
      <c r="B341" s="38" t="inlineStr"/>
      <c r="C341" s="30" t="inlineStr"/>
      <c r="D341" s="30" t="inlineStr"/>
      <c r="E341" s="30" t="inlineStr"/>
      <c r="F341" s="31" t="inlineStr"/>
      <c r="G341" s="34" t="inlineStr"/>
      <c r="H341" s="32" t="inlineStr"/>
      <c r="I341" s="32" t="inlineStr"/>
      <c r="J341" s="38" t="inlineStr"/>
      <c r="K341" s="38" t="inlineStr"/>
      <c r="L341" s="30" t="inlineStr"/>
      <c r="M341" s="30" t="inlineStr"/>
      <c r="N341" s="15">
        <f>IF(A341="","",G341*H341)</f>
        <v/>
      </c>
      <c r="O341" s="15">
        <f>IF(A341="","",G341-N341)</f>
        <v/>
      </c>
      <c r="P341" s="15">
        <f>IF(A341="","",O341*I341)</f>
        <v/>
      </c>
      <c r="Q341" s="15">
        <f>IF(A341="","",O341+P341)</f>
        <v/>
      </c>
      <c r="R341" s="15">
        <f>IF(A341="","",SUMIFS('15_Zahlungen'!$F:$F,'15_Zahlungen'!$D:$D,A341,'15_Zahlungen'!$C:$C,"Eingang"))</f>
        <v/>
      </c>
      <c r="S341" s="15">
        <f>IF(A341="","",MAX(0,Q341-R341))</f>
        <v/>
      </c>
      <c r="T341" s="45">
        <f>IF(OR(A341="",L341="bezahlt",J341=""),"",MAX(0,TODAY()-J341))</f>
        <v/>
      </c>
    </row>
    <row r="342">
      <c r="A342" s="30" t="inlineStr"/>
      <c r="B342" s="38" t="inlineStr"/>
      <c r="C342" s="30" t="inlineStr"/>
      <c r="D342" s="30" t="inlineStr"/>
      <c r="E342" s="30" t="inlineStr"/>
      <c r="F342" s="31" t="inlineStr"/>
      <c r="G342" s="34" t="inlineStr"/>
      <c r="H342" s="32" t="inlineStr"/>
      <c r="I342" s="32" t="inlineStr"/>
      <c r="J342" s="38" t="inlineStr"/>
      <c r="K342" s="38" t="inlineStr"/>
      <c r="L342" s="30" t="inlineStr"/>
      <c r="M342" s="30" t="inlineStr"/>
      <c r="N342" s="15">
        <f>IF(A342="","",G342*H342)</f>
        <v/>
      </c>
      <c r="O342" s="15">
        <f>IF(A342="","",G342-N342)</f>
        <v/>
      </c>
      <c r="P342" s="15">
        <f>IF(A342="","",O342*I342)</f>
        <v/>
      </c>
      <c r="Q342" s="15">
        <f>IF(A342="","",O342+P342)</f>
        <v/>
      </c>
      <c r="R342" s="15">
        <f>IF(A342="","",SUMIFS('15_Zahlungen'!$F:$F,'15_Zahlungen'!$D:$D,A342,'15_Zahlungen'!$C:$C,"Eingang"))</f>
        <v/>
      </c>
      <c r="S342" s="15">
        <f>IF(A342="","",MAX(0,Q342-R342))</f>
        <v/>
      </c>
      <c r="T342" s="45">
        <f>IF(OR(A342="",L342="bezahlt",J342=""),"",MAX(0,TODAY()-J342))</f>
        <v/>
      </c>
    </row>
    <row r="343">
      <c r="A343" s="30" t="inlineStr"/>
      <c r="B343" s="38" t="inlineStr"/>
      <c r="C343" s="30" t="inlineStr"/>
      <c r="D343" s="30" t="inlineStr"/>
      <c r="E343" s="30" t="inlineStr"/>
      <c r="F343" s="31" t="inlineStr"/>
      <c r="G343" s="34" t="inlineStr"/>
      <c r="H343" s="32" t="inlineStr"/>
      <c r="I343" s="32" t="inlineStr"/>
      <c r="J343" s="38" t="inlineStr"/>
      <c r="K343" s="38" t="inlineStr"/>
      <c r="L343" s="30" t="inlineStr"/>
      <c r="M343" s="30" t="inlineStr"/>
      <c r="N343" s="15">
        <f>IF(A343="","",G343*H343)</f>
        <v/>
      </c>
      <c r="O343" s="15">
        <f>IF(A343="","",G343-N343)</f>
        <v/>
      </c>
      <c r="P343" s="15">
        <f>IF(A343="","",O343*I343)</f>
        <v/>
      </c>
      <c r="Q343" s="15">
        <f>IF(A343="","",O343+P343)</f>
        <v/>
      </c>
      <c r="R343" s="15">
        <f>IF(A343="","",SUMIFS('15_Zahlungen'!$F:$F,'15_Zahlungen'!$D:$D,A343,'15_Zahlungen'!$C:$C,"Eingang"))</f>
        <v/>
      </c>
      <c r="S343" s="15">
        <f>IF(A343="","",MAX(0,Q343-R343))</f>
        <v/>
      </c>
      <c r="T343" s="45">
        <f>IF(OR(A343="",L343="bezahlt",J343=""),"",MAX(0,TODAY()-J343))</f>
        <v/>
      </c>
    </row>
    <row r="344">
      <c r="A344" s="30" t="inlineStr"/>
      <c r="B344" s="38" t="inlineStr"/>
      <c r="C344" s="30" t="inlineStr"/>
      <c r="D344" s="30" t="inlineStr"/>
      <c r="E344" s="30" t="inlineStr"/>
      <c r="F344" s="31" t="inlineStr"/>
      <c r="G344" s="34" t="inlineStr"/>
      <c r="H344" s="32" t="inlineStr"/>
      <c r="I344" s="32" t="inlineStr"/>
      <c r="J344" s="38" t="inlineStr"/>
      <c r="K344" s="38" t="inlineStr"/>
      <c r="L344" s="30" t="inlineStr"/>
      <c r="M344" s="30" t="inlineStr"/>
      <c r="N344" s="15">
        <f>IF(A344="","",G344*H344)</f>
        <v/>
      </c>
      <c r="O344" s="15">
        <f>IF(A344="","",G344-N344)</f>
        <v/>
      </c>
      <c r="P344" s="15">
        <f>IF(A344="","",O344*I344)</f>
        <v/>
      </c>
      <c r="Q344" s="15">
        <f>IF(A344="","",O344+P344)</f>
        <v/>
      </c>
      <c r="R344" s="15">
        <f>IF(A344="","",SUMIFS('15_Zahlungen'!$F:$F,'15_Zahlungen'!$D:$D,A344,'15_Zahlungen'!$C:$C,"Eingang"))</f>
        <v/>
      </c>
      <c r="S344" s="15">
        <f>IF(A344="","",MAX(0,Q344-R344))</f>
        <v/>
      </c>
      <c r="T344" s="45">
        <f>IF(OR(A344="",L344="bezahlt",J344=""),"",MAX(0,TODAY()-J344))</f>
        <v/>
      </c>
    </row>
    <row r="345">
      <c r="A345" s="30" t="inlineStr"/>
      <c r="B345" s="38" t="inlineStr"/>
      <c r="C345" s="30" t="inlineStr"/>
      <c r="D345" s="30" t="inlineStr"/>
      <c r="E345" s="30" t="inlineStr"/>
      <c r="F345" s="31" t="inlineStr"/>
      <c r="G345" s="34" t="inlineStr"/>
      <c r="H345" s="32" t="inlineStr"/>
      <c r="I345" s="32" t="inlineStr"/>
      <c r="J345" s="38" t="inlineStr"/>
      <c r="K345" s="38" t="inlineStr"/>
      <c r="L345" s="30" t="inlineStr"/>
      <c r="M345" s="30" t="inlineStr"/>
      <c r="N345" s="15">
        <f>IF(A345="","",G345*H345)</f>
        <v/>
      </c>
      <c r="O345" s="15">
        <f>IF(A345="","",G345-N345)</f>
        <v/>
      </c>
      <c r="P345" s="15">
        <f>IF(A345="","",O345*I345)</f>
        <v/>
      </c>
      <c r="Q345" s="15">
        <f>IF(A345="","",O345+P345)</f>
        <v/>
      </c>
      <c r="R345" s="15">
        <f>IF(A345="","",SUMIFS('15_Zahlungen'!$F:$F,'15_Zahlungen'!$D:$D,A345,'15_Zahlungen'!$C:$C,"Eingang"))</f>
        <v/>
      </c>
      <c r="S345" s="15">
        <f>IF(A345="","",MAX(0,Q345-R345))</f>
        <v/>
      </c>
      <c r="T345" s="45">
        <f>IF(OR(A345="",L345="bezahlt",J345=""),"",MAX(0,TODAY()-J345))</f>
        <v/>
      </c>
    </row>
    <row r="346">
      <c r="A346" s="30" t="inlineStr"/>
      <c r="B346" s="38" t="inlineStr"/>
      <c r="C346" s="30" t="inlineStr"/>
      <c r="D346" s="30" t="inlineStr"/>
      <c r="E346" s="30" t="inlineStr"/>
      <c r="F346" s="31" t="inlineStr"/>
      <c r="G346" s="34" t="inlineStr"/>
      <c r="H346" s="32" t="inlineStr"/>
      <c r="I346" s="32" t="inlineStr"/>
      <c r="J346" s="38" t="inlineStr"/>
      <c r="K346" s="38" t="inlineStr"/>
      <c r="L346" s="30" t="inlineStr"/>
      <c r="M346" s="30" t="inlineStr"/>
      <c r="N346" s="15">
        <f>IF(A346="","",G346*H346)</f>
        <v/>
      </c>
      <c r="O346" s="15">
        <f>IF(A346="","",G346-N346)</f>
        <v/>
      </c>
      <c r="P346" s="15">
        <f>IF(A346="","",O346*I346)</f>
        <v/>
      </c>
      <c r="Q346" s="15">
        <f>IF(A346="","",O346+P346)</f>
        <v/>
      </c>
      <c r="R346" s="15">
        <f>IF(A346="","",SUMIFS('15_Zahlungen'!$F:$F,'15_Zahlungen'!$D:$D,A346,'15_Zahlungen'!$C:$C,"Eingang"))</f>
        <v/>
      </c>
      <c r="S346" s="15">
        <f>IF(A346="","",MAX(0,Q346-R346))</f>
        <v/>
      </c>
      <c r="T346" s="45">
        <f>IF(OR(A346="",L346="bezahlt",J346=""),"",MAX(0,TODAY()-J346))</f>
        <v/>
      </c>
    </row>
    <row r="347">
      <c r="A347" s="30" t="inlineStr"/>
      <c r="B347" s="38" t="inlineStr"/>
      <c r="C347" s="30" t="inlineStr"/>
      <c r="D347" s="30" t="inlineStr"/>
      <c r="E347" s="30" t="inlineStr"/>
      <c r="F347" s="31" t="inlineStr"/>
      <c r="G347" s="34" t="inlineStr"/>
      <c r="H347" s="32" t="inlineStr"/>
      <c r="I347" s="32" t="inlineStr"/>
      <c r="J347" s="38" t="inlineStr"/>
      <c r="K347" s="38" t="inlineStr"/>
      <c r="L347" s="30" t="inlineStr"/>
      <c r="M347" s="30" t="inlineStr"/>
      <c r="N347" s="15">
        <f>IF(A347="","",G347*H347)</f>
        <v/>
      </c>
      <c r="O347" s="15">
        <f>IF(A347="","",G347-N347)</f>
        <v/>
      </c>
      <c r="P347" s="15">
        <f>IF(A347="","",O347*I347)</f>
        <v/>
      </c>
      <c r="Q347" s="15">
        <f>IF(A347="","",O347+P347)</f>
        <v/>
      </c>
      <c r="R347" s="15">
        <f>IF(A347="","",SUMIFS('15_Zahlungen'!$F:$F,'15_Zahlungen'!$D:$D,A347,'15_Zahlungen'!$C:$C,"Eingang"))</f>
        <v/>
      </c>
      <c r="S347" s="15">
        <f>IF(A347="","",MAX(0,Q347-R347))</f>
        <v/>
      </c>
      <c r="T347" s="45">
        <f>IF(OR(A347="",L347="bezahlt",J347=""),"",MAX(0,TODAY()-J347))</f>
        <v/>
      </c>
    </row>
    <row r="348">
      <c r="A348" s="30" t="inlineStr"/>
      <c r="B348" s="38" t="inlineStr"/>
      <c r="C348" s="30" t="inlineStr"/>
      <c r="D348" s="30" t="inlineStr"/>
      <c r="E348" s="30" t="inlineStr"/>
      <c r="F348" s="31" t="inlineStr"/>
      <c r="G348" s="34" t="inlineStr"/>
      <c r="H348" s="32" t="inlineStr"/>
      <c r="I348" s="32" t="inlineStr"/>
      <c r="J348" s="38" t="inlineStr"/>
      <c r="K348" s="38" t="inlineStr"/>
      <c r="L348" s="30" t="inlineStr"/>
      <c r="M348" s="30" t="inlineStr"/>
      <c r="N348" s="15">
        <f>IF(A348="","",G348*H348)</f>
        <v/>
      </c>
      <c r="O348" s="15">
        <f>IF(A348="","",G348-N348)</f>
        <v/>
      </c>
      <c r="P348" s="15">
        <f>IF(A348="","",O348*I348)</f>
        <v/>
      </c>
      <c r="Q348" s="15">
        <f>IF(A348="","",O348+P348)</f>
        <v/>
      </c>
      <c r="R348" s="15">
        <f>IF(A348="","",SUMIFS('15_Zahlungen'!$F:$F,'15_Zahlungen'!$D:$D,A348,'15_Zahlungen'!$C:$C,"Eingang"))</f>
        <v/>
      </c>
      <c r="S348" s="15">
        <f>IF(A348="","",MAX(0,Q348-R348))</f>
        <v/>
      </c>
      <c r="T348" s="45">
        <f>IF(OR(A348="",L348="bezahlt",J348=""),"",MAX(0,TODAY()-J348))</f>
        <v/>
      </c>
    </row>
    <row r="349">
      <c r="A349" s="30" t="inlineStr"/>
      <c r="B349" s="38" t="inlineStr"/>
      <c r="C349" s="30" t="inlineStr"/>
      <c r="D349" s="30" t="inlineStr"/>
      <c r="E349" s="30" t="inlineStr"/>
      <c r="F349" s="31" t="inlineStr"/>
      <c r="G349" s="34" t="inlineStr"/>
      <c r="H349" s="32" t="inlineStr"/>
      <c r="I349" s="32" t="inlineStr"/>
      <c r="J349" s="38" t="inlineStr"/>
      <c r="K349" s="38" t="inlineStr"/>
      <c r="L349" s="30" t="inlineStr"/>
      <c r="M349" s="30" t="inlineStr"/>
      <c r="N349" s="15">
        <f>IF(A349="","",G349*H349)</f>
        <v/>
      </c>
      <c r="O349" s="15">
        <f>IF(A349="","",G349-N349)</f>
        <v/>
      </c>
      <c r="P349" s="15">
        <f>IF(A349="","",O349*I349)</f>
        <v/>
      </c>
      <c r="Q349" s="15">
        <f>IF(A349="","",O349+P349)</f>
        <v/>
      </c>
      <c r="R349" s="15">
        <f>IF(A349="","",SUMIFS('15_Zahlungen'!$F:$F,'15_Zahlungen'!$D:$D,A349,'15_Zahlungen'!$C:$C,"Eingang"))</f>
        <v/>
      </c>
      <c r="S349" s="15">
        <f>IF(A349="","",MAX(0,Q349-R349))</f>
        <v/>
      </c>
      <c r="T349" s="45">
        <f>IF(OR(A349="",L349="bezahlt",J349=""),"",MAX(0,TODAY()-J349))</f>
        <v/>
      </c>
    </row>
    <row r="350">
      <c r="A350" s="30" t="inlineStr"/>
      <c r="B350" s="38" t="inlineStr"/>
      <c r="C350" s="30" t="inlineStr"/>
      <c r="D350" s="30" t="inlineStr"/>
      <c r="E350" s="30" t="inlineStr"/>
      <c r="F350" s="31" t="inlineStr"/>
      <c r="G350" s="34" t="inlineStr"/>
      <c r="H350" s="32" t="inlineStr"/>
      <c r="I350" s="32" t="inlineStr"/>
      <c r="J350" s="38" t="inlineStr"/>
      <c r="K350" s="38" t="inlineStr"/>
      <c r="L350" s="30" t="inlineStr"/>
      <c r="M350" s="30" t="inlineStr"/>
      <c r="N350" s="15">
        <f>IF(A350="","",G350*H350)</f>
        <v/>
      </c>
      <c r="O350" s="15">
        <f>IF(A350="","",G350-N350)</f>
        <v/>
      </c>
      <c r="P350" s="15">
        <f>IF(A350="","",O350*I350)</f>
        <v/>
      </c>
      <c r="Q350" s="15">
        <f>IF(A350="","",O350+P350)</f>
        <v/>
      </c>
      <c r="R350" s="15">
        <f>IF(A350="","",SUMIFS('15_Zahlungen'!$F:$F,'15_Zahlungen'!$D:$D,A350,'15_Zahlungen'!$C:$C,"Eingang"))</f>
        <v/>
      </c>
      <c r="S350" s="15">
        <f>IF(A350="","",MAX(0,Q350-R350))</f>
        <v/>
      </c>
      <c r="T350" s="45">
        <f>IF(OR(A350="",L350="bezahlt",J350=""),"",MAX(0,TODAY()-J350))</f>
        <v/>
      </c>
    </row>
    <row r="351">
      <c r="A351" s="30" t="inlineStr"/>
      <c r="B351" s="38" t="inlineStr"/>
      <c r="C351" s="30" t="inlineStr"/>
      <c r="D351" s="30" t="inlineStr"/>
      <c r="E351" s="30" t="inlineStr"/>
      <c r="F351" s="31" t="inlineStr"/>
      <c r="G351" s="34" t="inlineStr"/>
      <c r="H351" s="32" t="inlineStr"/>
      <c r="I351" s="32" t="inlineStr"/>
      <c r="J351" s="38" t="inlineStr"/>
      <c r="K351" s="38" t="inlineStr"/>
      <c r="L351" s="30" t="inlineStr"/>
      <c r="M351" s="30" t="inlineStr"/>
      <c r="N351" s="15">
        <f>IF(A351="","",G351*H351)</f>
        <v/>
      </c>
      <c r="O351" s="15">
        <f>IF(A351="","",G351-N351)</f>
        <v/>
      </c>
      <c r="P351" s="15">
        <f>IF(A351="","",O351*I351)</f>
        <v/>
      </c>
      <c r="Q351" s="15">
        <f>IF(A351="","",O351+P351)</f>
        <v/>
      </c>
      <c r="R351" s="15">
        <f>IF(A351="","",SUMIFS('15_Zahlungen'!$F:$F,'15_Zahlungen'!$D:$D,A351,'15_Zahlungen'!$C:$C,"Eingang"))</f>
        <v/>
      </c>
      <c r="S351" s="15">
        <f>IF(A351="","",MAX(0,Q351-R351))</f>
        <v/>
      </c>
      <c r="T351" s="45">
        <f>IF(OR(A351="",L351="bezahlt",J351=""),"",MAX(0,TODAY()-J351))</f>
        <v/>
      </c>
    </row>
    <row r="352">
      <c r="A352" s="30" t="inlineStr"/>
      <c r="B352" s="38" t="inlineStr"/>
      <c r="C352" s="30" t="inlineStr"/>
      <c r="D352" s="30" t="inlineStr"/>
      <c r="E352" s="30" t="inlineStr"/>
      <c r="F352" s="31" t="inlineStr"/>
      <c r="G352" s="34" t="inlineStr"/>
      <c r="H352" s="32" t="inlineStr"/>
      <c r="I352" s="32" t="inlineStr"/>
      <c r="J352" s="38" t="inlineStr"/>
      <c r="K352" s="38" t="inlineStr"/>
      <c r="L352" s="30" t="inlineStr"/>
      <c r="M352" s="30" t="inlineStr"/>
      <c r="N352" s="15">
        <f>IF(A352="","",G352*H352)</f>
        <v/>
      </c>
      <c r="O352" s="15">
        <f>IF(A352="","",G352-N352)</f>
        <v/>
      </c>
      <c r="P352" s="15">
        <f>IF(A352="","",O352*I352)</f>
        <v/>
      </c>
      <c r="Q352" s="15">
        <f>IF(A352="","",O352+P352)</f>
        <v/>
      </c>
      <c r="R352" s="15">
        <f>IF(A352="","",SUMIFS('15_Zahlungen'!$F:$F,'15_Zahlungen'!$D:$D,A352,'15_Zahlungen'!$C:$C,"Eingang"))</f>
        <v/>
      </c>
      <c r="S352" s="15">
        <f>IF(A352="","",MAX(0,Q352-R352))</f>
        <v/>
      </c>
      <c r="T352" s="45">
        <f>IF(OR(A352="",L352="bezahlt",J352=""),"",MAX(0,TODAY()-J352))</f>
        <v/>
      </c>
    </row>
    <row r="353">
      <c r="A353" s="30" t="inlineStr"/>
      <c r="B353" s="38" t="inlineStr"/>
      <c r="C353" s="30" t="inlineStr"/>
      <c r="D353" s="30" t="inlineStr"/>
      <c r="E353" s="30" t="inlineStr"/>
      <c r="F353" s="31" t="inlineStr"/>
      <c r="G353" s="34" t="inlineStr"/>
      <c r="H353" s="32" t="inlineStr"/>
      <c r="I353" s="32" t="inlineStr"/>
      <c r="J353" s="38" t="inlineStr"/>
      <c r="K353" s="38" t="inlineStr"/>
      <c r="L353" s="30" t="inlineStr"/>
      <c r="M353" s="30" t="inlineStr"/>
      <c r="N353" s="15">
        <f>IF(A353="","",G353*H353)</f>
        <v/>
      </c>
      <c r="O353" s="15">
        <f>IF(A353="","",G353-N353)</f>
        <v/>
      </c>
      <c r="P353" s="15">
        <f>IF(A353="","",O353*I353)</f>
        <v/>
      </c>
      <c r="Q353" s="15">
        <f>IF(A353="","",O353+P353)</f>
        <v/>
      </c>
      <c r="R353" s="15">
        <f>IF(A353="","",SUMIFS('15_Zahlungen'!$F:$F,'15_Zahlungen'!$D:$D,A353,'15_Zahlungen'!$C:$C,"Eingang"))</f>
        <v/>
      </c>
      <c r="S353" s="15">
        <f>IF(A353="","",MAX(0,Q353-R353))</f>
        <v/>
      </c>
      <c r="T353" s="45">
        <f>IF(OR(A353="",L353="bezahlt",J353=""),"",MAX(0,TODAY()-J353))</f>
        <v/>
      </c>
    </row>
    <row r="354">
      <c r="A354" s="30" t="inlineStr"/>
      <c r="B354" s="38" t="inlineStr"/>
      <c r="C354" s="30" t="inlineStr"/>
      <c r="D354" s="30" t="inlineStr"/>
      <c r="E354" s="30" t="inlineStr"/>
      <c r="F354" s="31" t="inlineStr"/>
      <c r="G354" s="34" t="inlineStr"/>
      <c r="H354" s="32" t="inlineStr"/>
      <c r="I354" s="32" t="inlineStr"/>
      <c r="J354" s="38" t="inlineStr"/>
      <c r="K354" s="38" t="inlineStr"/>
      <c r="L354" s="30" t="inlineStr"/>
      <c r="M354" s="30" t="inlineStr"/>
      <c r="N354" s="15">
        <f>IF(A354="","",G354*H354)</f>
        <v/>
      </c>
      <c r="O354" s="15">
        <f>IF(A354="","",G354-N354)</f>
        <v/>
      </c>
      <c r="P354" s="15">
        <f>IF(A354="","",O354*I354)</f>
        <v/>
      </c>
      <c r="Q354" s="15">
        <f>IF(A354="","",O354+P354)</f>
        <v/>
      </c>
      <c r="R354" s="15">
        <f>IF(A354="","",SUMIFS('15_Zahlungen'!$F:$F,'15_Zahlungen'!$D:$D,A354,'15_Zahlungen'!$C:$C,"Eingang"))</f>
        <v/>
      </c>
      <c r="S354" s="15">
        <f>IF(A354="","",MAX(0,Q354-R354))</f>
        <v/>
      </c>
      <c r="T354" s="45">
        <f>IF(OR(A354="",L354="bezahlt",J354=""),"",MAX(0,TODAY()-J354))</f>
        <v/>
      </c>
    </row>
    <row r="355">
      <c r="A355" s="30" t="inlineStr"/>
      <c r="B355" s="38" t="inlineStr"/>
      <c r="C355" s="30" t="inlineStr"/>
      <c r="D355" s="30" t="inlineStr"/>
      <c r="E355" s="30" t="inlineStr"/>
      <c r="F355" s="31" t="inlineStr"/>
      <c r="G355" s="34" t="inlineStr"/>
      <c r="H355" s="32" t="inlineStr"/>
      <c r="I355" s="32" t="inlineStr"/>
      <c r="J355" s="38" t="inlineStr"/>
      <c r="K355" s="38" t="inlineStr"/>
      <c r="L355" s="30" t="inlineStr"/>
      <c r="M355" s="30" t="inlineStr"/>
      <c r="N355" s="15">
        <f>IF(A355="","",G355*H355)</f>
        <v/>
      </c>
      <c r="O355" s="15">
        <f>IF(A355="","",G355-N355)</f>
        <v/>
      </c>
      <c r="P355" s="15">
        <f>IF(A355="","",O355*I355)</f>
        <v/>
      </c>
      <c r="Q355" s="15">
        <f>IF(A355="","",O355+P355)</f>
        <v/>
      </c>
      <c r="R355" s="15">
        <f>IF(A355="","",SUMIFS('15_Zahlungen'!$F:$F,'15_Zahlungen'!$D:$D,A355,'15_Zahlungen'!$C:$C,"Eingang"))</f>
        <v/>
      </c>
      <c r="S355" s="15">
        <f>IF(A355="","",MAX(0,Q355-R355))</f>
        <v/>
      </c>
      <c r="T355" s="45">
        <f>IF(OR(A355="",L355="bezahlt",J355=""),"",MAX(0,TODAY()-J355))</f>
        <v/>
      </c>
    </row>
    <row r="356">
      <c r="A356" s="30" t="inlineStr"/>
      <c r="B356" s="38" t="inlineStr"/>
      <c r="C356" s="30" t="inlineStr"/>
      <c r="D356" s="30" t="inlineStr"/>
      <c r="E356" s="30" t="inlineStr"/>
      <c r="F356" s="31" t="inlineStr"/>
      <c r="G356" s="34" t="inlineStr"/>
      <c r="H356" s="32" t="inlineStr"/>
      <c r="I356" s="32" t="inlineStr"/>
      <c r="J356" s="38" t="inlineStr"/>
      <c r="K356" s="38" t="inlineStr"/>
      <c r="L356" s="30" t="inlineStr"/>
      <c r="M356" s="30" t="inlineStr"/>
      <c r="N356" s="15">
        <f>IF(A356="","",G356*H356)</f>
        <v/>
      </c>
      <c r="O356" s="15">
        <f>IF(A356="","",G356-N356)</f>
        <v/>
      </c>
      <c r="P356" s="15">
        <f>IF(A356="","",O356*I356)</f>
        <v/>
      </c>
      <c r="Q356" s="15">
        <f>IF(A356="","",O356+P356)</f>
        <v/>
      </c>
      <c r="R356" s="15">
        <f>IF(A356="","",SUMIFS('15_Zahlungen'!$F:$F,'15_Zahlungen'!$D:$D,A356,'15_Zahlungen'!$C:$C,"Eingang"))</f>
        <v/>
      </c>
      <c r="S356" s="15">
        <f>IF(A356="","",MAX(0,Q356-R356))</f>
        <v/>
      </c>
      <c r="T356" s="45">
        <f>IF(OR(A356="",L356="bezahlt",J356=""),"",MAX(0,TODAY()-J356))</f>
        <v/>
      </c>
    </row>
    <row r="357">
      <c r="A357" s="30" t="inlineStr"/>
      <c r="B357" s="38" t="inlineStr"/>
      <c r="C357" s="30" t="inlineStr"/>
      <c r="D357" s="30" t="inlineStr"/>
      <c r="E357" s="30" t="inlineStr"/>
      <c r="F357" s="31" t="inlineStr"/>
      <c r="G357" s="34" t="inlineStr"/>
      <c r="H357" s="32" t="inlineStr"/>
      <c r="I357" s="32" t="inlineStr"/>
      <c r="J357" s="38" t="inlineStr"/>
      <c r="K357" s="38" t="inlineStr"/>
      <c r="L357" s="30" t="inlineStr"/>
      <c r="M357" s="30" t="inlineStr"/>
      <c r="N357" s="15">
        <f>IF(A357="","",G357*H357)</f>
        <v/>
      </c>
      <c r="O357" s="15">
        <f>IF(A357="","",G357-N357)</f>
        <v/>
      </c>
      <c r="P357" s="15">
        <f>IF(A357="","",O357*I357)</f>
        <v/>
      </c>
      <c r="Q357" s="15">
        <f>IF(A357="","",O357+P357)</f>
        <v/>
      </c>
      <c r="R357" s="15">
        <f>IF(A357="","",SUMIFS('15_Zahlungen'!$F:$F,'15_Zahlungen'!$D:$D,A357,'15_Zahlungen'!$C:$C,"Eingang"))</f>
        <v/>
      </c>
      <c r="S357" s="15">
        <f>IF(A357="","",MAX(0,Q357-R357))</f>
        <v/>
      </c>
      <c r="T357" s="45">
        <f>IF(OR(A357="",L357="bezahlt",J357=""),"",MAX(0,TODAY()-J357))</f>
        <v/>
      </c>
    </row>
    <row r="358">
      <c r="A358" s="30" t="inlineStr"/>
      <c r="B358" s="38" t="inlineStr"/>
      <c r="C358" s="30" t="inlineStr"/>
      <c r="D358" s="30" t="inlineStr"/>
      <c r="E358" s="30" t="inlineStr"/>
      <c r="F358" s="31" t="inlineStr"/>
      <c r="G358" s="34" t="inlineStr"/>
      <c r="H358" s="32" t="inlineStr"/>
      <c r="I358" s="32" t="inlineStr"/>
      <c r="J358" s="38" t="inlineStr"/>
      <c r="K358" s="38" t="inlineStr"/>
      <c r="L358" s="30" t="inlineStr"/>
      <c r="M358" s="30" t="inlineStr"/>
      <c r="N358" s="15">
        <f>IF(A358="","",G358*H358)</f>
        <v/>
      </c>
      <c r="O358" s="15">
        <f>IF(A358="","",G358-N358)</f>
        <v/>
      </c>
      <c r="P358" s="15">
        <f>IF(A358="","",O358*I358)</f>
        <v/>
      </c>
      <c r="Q358" s="15">
        <f>IF(A358="","",O358+P358)</f>
        <v/>
      </c>
      <c r="R358" s="15">
        <f>IF(A358="","",SUMIFS('15_Zahlungen'!$F:$F,'15_Zahlungen'!$D:$D,A358,'15_Zahlungen'!$C:$C,"Eingang"))</f>
        <v/>
      </c>
      <c r="S358" s="15">
        <f>IF(A358="","",MAX(0,Q358-R358))</f>
        <v/>
      </c>
      <c r="T358" s="45">
        <f>IF(OR(A358="",L358="bezahlt",J358=""),"",MAX(0,TODAY()-J358))</f>
        <v/>
      </c>
    </row>
    <row r="359">
      <c r="A359" s="30" t="inlineStr"/>
      <c r="B359" s="38" t="inlineStr"/>
      <c r="C359" s="30" t="inlineStr"/>
      <c r="D359" s="30" t="inlineStr"/>
      <c r="E359" s="30" t="inlineStr"/>
      <c r="F359" s="31" t="inlineStr"/>
      <c r="G359" s="34" t="inlineStr"/>
      <c r="H359" s="32" t="inlineStr"/>
      <c r="I359" s="32" t="inlineStr"/>
      <c r="J359" s="38" t="inlineStr"/>
      <c r="K359" s="38" t="inlineStr"/>
      <c r="L359" s="30" t="inlineStr"/>
      <c r="M359" s="30" t="inlineStr"/>
      <c r="N359" s="15">
        <f>IF(A359="","",G359*H359)</f>
        <v/>
      </c>
      <c r="O359" s="15">
        <f>IF(A359="","",G359-N359)</f>
        <v/>
      </c>
      <c r="P359" s="15">
        <f>IF(A359="","",O359*I359)</f>
        <v/>
      </c>
      <c r="Q359" s="15">
        <f>IF(A359="","",O359+P359)</f>
        <v/>
      </c>
      <c r="R359" s="15">
        <f>IF(A359="","",SUMIFS('15_Zahlungen'!$F:$F,'15_Zahlungen'!$D:$D,A359,'15_Zahlungen'!$C:$C,"Eingang"))</f>
        <v/>
      </c>
      <c r="S359" s="15">
        <f>IF(A359="","",MAX(0,Q359-R359))</f>
        <v/>
      </c>
      <c r="T359" s="45">
        <f>IF(OR(A359="",L359="bezahlt",J359=""),"",MAX(0,TODAY()-J359))</f>
        <v/>
      </c>
    </row>
    <row r="360">
      <c r="A360" s="30" t="inlineStr"/>
      <c r="B360" s="38" t="inlineStr"/>
      <c r="C360" s="30" t="inlineStr"/>
      <c r="D360" s="30" t="inlineStr"/>
      <c r="E360" s="30" t="inlineStr"/>
      <c r="F360" s="31" t="inlineStr"/>
      <c r="G360" s="34" t="inlineStr"/>
      <c r="H360" s="32" t="inlineStr"/>
      <c r="I360" s="32" t="inlineStr"/>
      <c r="J360" s="38" t="inlineStr"/>
      <c r="K360" s="38" t="inlineStr"/>
      <c r="L360" s="30" t="inlineStr"/>
      <c r="M360" s="30" t="inlineStr"/>
      <c r="N360" s="15">
        <f>IF(A360="","",G360*H360)</f>
        <v/>
      </c>
      <c r="O360" s="15">
        <f>IF(A360="","",G360-N360)</f>
        <v/>
      </c>
      <c r="P360" s="15">
        <f>IF(A360="","",O360*I360)</f>
        <v/>
      </c>
      <c r="Q360" s="15">
        <f>IF(A360="","",O360+P360)</f>
        <v/>
      </c>
      <c r="R360" s="15">
        <f>IF(A360="","",SUMIFS('15_Zahlungen'!$F:$F,'15_Zahlungen'!$D:$D,A360,'15_Zahlungen'!$C:$C,"Eingang"))</f>
        <v/>
      </c>
      <c r="S360" s="15">
        <f>IF(A360="","",MAX(0,Q360-R360))</f>
        <v/>
      </c>
      <c r="T360" s="45">
        <f>IF(OR(A360="",L360="bezahlt",J360=""),"",MAX(0,TODAY()-J360))</f>
        <v/>
      </c>
    </row>
    <row r="361">
      <c r="A361" s="30" t="inlineStr"/>
      <c r="B361" s="38" t="inlineStr"/>
      <c r="C361" s="30" t="inlineStr"/>
      <c r="D361" s="30" t="inlineStr"/>
      <c r="E361" s="30" t="inlineStr"/>
      <c r="F361" s="31" t="inlineStr"/>
      <c r="G361" s="34" t="inlineStr"/>
      <c r="H361" s="32" t="inlineStr"/>
      <c r="I361" s="32" t="inlineStr"/>
      <c r="J361" s="38" t="inlineStr"/>
      <c r="K361" s="38" t="inlineStr"/>
      <c r="L361" s="30" t="inlineStr"/>
      <c r="M361" s="30" t="inlineStr"/>
      <c r="N361" s="15">
        <f>IF(A361="","",G361*H361)</f>
        <v/>
      </c>
      <c r="O361" s="15">
        <f>IF(A361="","",G361-N361)</f>
        <v/>
      </c>
      <c r="P361" s="15">
        <f>IF(A361="","",O361*I361)</f>
        <v/>
      </c>
      <c r="Q361" s="15">
        <f>IF(A361="","",O361+P361)</f>
        <v/>
      </c>
      <c r="R361" s="15">
        <f>IF(A361="","",SUMIFS('15_Zahlungen'!$F:$F,'15_Zahlungen'!$D:$D,A361,'15_Zahlungen'!$C:$C,"Eingang"))</f>
        <v/>
      </c>
      <c r="S361" s="15">
        <f>IF(A361="","",MAX(0,Q361-R361))</f>
        <v/>
      </c>
      <c r="T361" s="45">
        <f>IF(OR(A361="",L361="bezahlt",J361=""),"",MAX(0,TODAY()-J361))</f>
        <v/>
      </c>
    </row>
    <row r="362">
      <c r="A362" s="30" t="inlineStr"/>
      <c r="B362" s="38" t="inlineStr"/>
      <c r="C362" s="30" t="inlineStr"/>
      <c r="D362" s="30" t="inlineStr"/>
      <c r="E362" s="30" t="inlineStr"/>
      <c r="F362" s="31" t="inlineStr"/>
      <c r="G362" s="34" t="inlineStr"/>
      <c r="H362" s="32" t="inlineStr"/>
      <c r="I362" s="32" t="inlineStr"/>
      <c r="J362" s="38" t="inlineStr"/>
      <c r="K362" s="38" t="inlineStr"/>
      <c r="L362" s="30" t="inlineStr"/>
      <c r="M362" s="30" t="inlineStr"/>
      <c r="N362" s="15">
        <f>IF(A362="","",G362*H362)</f>
        <v/>
      </c>
      <c r="O362" s="15">
        <f>IF(A362="","",G362-N362)</f>
        <v/>
      </c>
      <c r="P362" s="15">
        <f>IF(A362="","",O362*I362)</f>
        <v/>
      </c>
      <c r="Q362" s="15">
        <f>IF(A362="","",O362+P362)</f>
        <v/>
      </c>
      <c r="R362" s="15">
        <f>IF(A362="","",SUMIFS('15_Zahlungen'!$F:$F,'15_Zahlungen'!$D:$D,A362,'15_Zahlungen'!$C:$C,"Eingang"))</f>
        <v/>
      </c>
      <c r="S362" s="15">
        <f>IF(A362="","",MAX(0,Q362-R362))</f>
        <v/>
      </c>
      <c r="T362" s="45">
        <f>IF(OR(A362="",L362="bezahlt",J362=""),"",MAX(0,TODAY()-J362))</f>
        <v/>
      </c>
    </row>
    <row r="363">
      <c r="A363" s="30" t="inlineStr"/>
      <c r="B363" s="38" t="inlineStr"/>
      <c r="C363" s="30" t="inlineStr"/>
      <c r="D363" s="30" t="inlineStr"/>
      <c r="E363" s="30" t="inlineStr"/>
      <c r="F363" s="31" t="inlineStr"/>
      <c r="G363" s="34" t="inlineStr"/>
      <c r="H363" s="32" t="inlineStr"/>
      <c r="I363" s="32" t="inlineStr"/>
      <c r="J363" s="38" t="inlineStr"/>
      <c r="K363" s="38" t="inlineStr"/>
      <c r="L363" s="30" t="inlineStr"/>
      <c r="M363" s="30" t="inlineStr"/>
      <c r="N363" s="15">
        <f>IF(A363="","",G363*H363)</f>
        <v/>
      </c>
      <c r="O363" s="15">
        <f>IF(A363="","",G363-N363)</f>
        <v/>
      </c>
      <c r="P363" s="15">
        <f>IF(A363="","",O363*I363)</f>
        <v/>
      </c>
      <c r="Q363" s="15">
        <f>IF(A363="","",O363+P363)</f>
        <v/>
      </c>
      <c r="R363" s="15">
        <f>IF(A363="","",SUMIFS('15_Zahlungen'!$F:$F,'15_Zahlungen'!$D:$D,A363,'15_Zahlungen'!$C:$C,"Eingang"))</f>
        <v/>
      </c>
      <c r="S363" s="15">
        <f>IF(A363="","",MAX(0,Q363-R363))</f>
        <v/>
      </c>
      <c r="T363" s="45">
        <f>IF(OR(A363="",L363="bezahlt",J363=""),"",MAX(0,TODAY()-J363))</f>
        <v/>
      </c>
    </row>
    <row r="364">
      <c r="A364" s="30" t="inlineStr"/>
      <c r="B364" s="38" t="inlineStr"/>
      <c r="C364" s="30" t="inlineStr"/>
      <c r="D364" s="30" t="inlineStr"/>
      <c r="E364" s="30" t="inlineStr"/>
      <c r="F364" s="31" t="inlineStr"/>
      <c r="G364" s="34" t="inlineStr"/>
      <c r="H364" s="32" t="inlineStr"/>
      <c r="I364" s="32" t="inlineStr"/>
      <c r="J364" s="38" t="inlineStr"/>
      <c r="K364" s="38" t="inlineStr"/>
      <c r="L364" s="30" t="inlineStr"/>
      <c r="M364" s="30" t="inlineStr"/>
      <c r="N364" s="15">
        <f>IF(A364="","",G364*H364)</f>
        <v/>
      </c>
      <c r="O364" s="15">
        <f>IF(A364="","",G364-N364)</f>
        <v/>
      </c>
      <c r="P364" s="15">
        <f>IF(A364="","",O364*I364)</f>
        <v/>
      </c>
      <c r="Q364" s="15">
        <f>IF(A364="","",O364+P364)</f>
        <v/>
      </c>
      <c r="R364" s="15">
        <f>IF(A364="","",SUMIFS('15_Zahlungen'!$F:$F,'15_Zahlungen'!$D:$D,A364,'15_Zahlungen'!$C:$C,"Eingang"))</f>
        <v/>
      </c>
      <c r="S364" s="15">
        <f>IF(A364="","",MAX(0,Q364-R364))</f>
        <v/>
      </c>
      <c r="T364" s="45">
        <f>IF(OR(A364="",L364="bezahlt",J364=""),"",MAX(0,TODAY()-J364))</f>
        <v/>
      </c>
    </row>
    <row r="365">
      <c r="A365" s="30" t="inlineStr"/>
      <c r="B365" s="38" t="inlineStr"/>
      <c r="C365" s="30" t="inlineStr"/>
      <c r="D365" s="30" t="inlineStr"/>
      <c r="E365" s="30" t="inlineStr"/>
      <c r="F365" s="31" t="inlineStr"/>
      <c r="G365" s="34" t="inlineStr"/>
      <c r="H365" s="32" t="inlineStr"/>
      <c r="I365" s="32" t="inlineStr"/>
      <c r="J365" s="38" t="inlineStr"/>
      <c r="K365" s="38" t="inlineStr"/>
      <c r="L365" s="30" t="inlineStr"/>
      <c r="M365" s="30" t="inlineStr"/>
      <c r="N365" s="15">
        <f>IF(A365="","",G365*H365)</f>
        <v/>
      </c>
      <c r="O365" s="15">
        <f>IF(A365="","",G365-N365)</f>
        <v/>
      </c>
      <c r="P365" s="15">
        <f>IF(A365="","",O365*I365)</f>
        <v/>
      </c>
      <c r="Q365" s="15">
        <f>IF(A365="","",O365+P365)</f>
        <v/>
      </c>
      <c r="R365" s="15">
        <f>IF(A365="","",SUMIFS('15_Zahlungen'!$F:$F,'15_Zahlungen'!$D:$D,A365,'15_Zahlungen'!$C:$C,"Eingang"))</f>
        <v/>
      </c>
      <c r="S365" s="15">
        <f>IF(A365="","",MAX(0,Q365-R365))</f>
        <v/>
      </c>
      <c r="T365" s="45">
        <f>IF(OR(A365="",L365="bezahlt",J365=""),"",MAX(0,TODAY()-J365))</f>
        <v/>
      </c>
    </row>
    <row r="366">
      <c r="A366" s="30" t="inlineStr"/>
      <c r="B366" s="38" t="inlineStr"/>
      <c r="C366" s="30" t="inlineStr"/>
      <c r="D366" s="30" t="inlineStr"/>
      <c r="E366" s="30" t="inlineStr"/>
      <c r="F366" s="31" t="inlineStr"/>
      <c r="G366" s="34" t="inlineStr"/>
      <c r="H366" s="32" t="inlineStr"/>
      <c r="I366" s="32" t="inlineStr"/>
      <c r="J366" s="38" t="inlineStr"/>
      <c r="K366" s="38" t="inlineStr"/>
      <c r="L366" s="30" t="inlineStr"/>
      <c r="M366" s="30" t="inlineStr"/>
      <c r="N366" s="15">
        <f>IF(A366="","",G366*H366)</f>
        <v/>
      </c>
      <c r="O366" s="15">
        <f>IF(A366="","",G366-N366)</f>
        <v/>
      </c>
      <c r="P366" s="15">
        <f>IF(A366="","",O366*I366)</f>
        <v/>
      </c>
      <c r="Q366" s="15">
        <f>IF(A366="","",O366+P366)</f>
        <v/>
      </c>
      <c r="R366" s="15">
        <f>IF(A366="","",SUMIFS('15_Zahlungen'!$F:$F,'15_Zahlungen'!$D:$D,A366,'15_Zahlungen'!$C:$C,"Eingang"))</f>
        <v/>
      </c>
      <c r="S366" s="15">
        <f>IF(A366="","",MAX(0,Q366-R366))</f>
        <v/>
      </c>
      <c r="T366" s="45">
        <f>IF(OR(A366="",L366="bezahlt",J366=""),"",MAX(0,TODAY()-J366))</f>
        <v/>
      </c>
    </row>
    <row r="367">
      <c r="A367" s="30" t="inlineStr"/>
      <c r="B367" s="38" t="inlineStr"/>
      <c r="C367" s="30" t="inlineStr"/>
      <c r="D367" s="30" t="inlineStr"/>
      <c r="E367" s="30" t="inlineStr"/>
      <c r="F367" s="31" t="inlineStr"/>
      <c r="G367" s="34" t="inlineStr"/>
      <c r="H367" s="32" t="inlineStr"/>
      <c r="I367" s="32" t="inlineStr"/>
      <c r="J367" s="38" t="inlineStr"/>
      <c r="K367" s="38" t="inlineStr"/>
      <c r="L367" s="30" t="inlineStr"/>
      <c r="M367" s="30" t="inlineStr"/>
      <c r="N367" s="15">
        <f>IF(A367="","",G367*H367)</f>
        <v/>
      </c>
      <c r="O367" s="15">
        <f>IF(A367="","",G367-N367)</f>
        <v/>
      </c>
      <c r="P367" s="15">
        <f>IF(A367="","",O367*I367)</f>
        <v/>
      </c>
      <c r="Q367" s="15">
        <f>IF(A367="","",O367+P367)</f>
        <v/>
      </c>
      <c r="R367" s="15">
        <f>IF(A367="","",SUMIFS('15_Zahlungen'!$F:$F,'15_Zahlungen'!$D:$D,A367,'15_Zahlungen'!$C:$C,"Eingang"))</f>
        <v/>
      </c>
      <c r="S367" s="15">
        <f>IF(A367="","",MAX(0,Q367-R367))</f>
        <v/>
      </c>
      <c r="T367" s="45">
        <f>IF(OR(A367="",L367="bezahlt",J367=""),"",MAX(0,TODAY()-J367))</f>
        <v/>
      </c>
    </row>
    <row r="368">
      <c r="A368" s="30" t="inlineStr"/>
      <c r="B368" s="38" t="inlineStr"/>
      <c r="C368" s="30" t="inlineStr"/>
      <c r="D368" s="30" t="inlineStr"/>
      <c r="E368" s="30" t="inlineStr"/>
      <c r="F368" s="31" t="inlineStr"/>
      <c r="G368" s="34" t="inlineStr"/>
      <c r="H368" s="32" t="inlineStr"/>
      <c r="I368" s="32" t="inlineStr"/>
      <c r="J368" s="38" t="inlineStr"/>
      <c r="K368" s="38" t="inlineStr"/>
      <c r="L368" s="30" t="inlineStr"/>
      <c r="M368" s="30" t="inlineStr"/>
      <c r="N368" s="15">
        <f>IF(A368="","",G368*H368)</f>
        <v/>
      </c>
      <c r="O368" s="15">
        <f>IF(A368="","",G368-N368)</f>
        <v/>
      </c>
      <c r="P368" s="15">
        <f>IF(A368="","",O368*I368)</f>
        <v/>
      </c>
      <c r="Q368" s="15">
        <f>IF(A368="","",O368+P368)</f>
        <v/>
      </c>
      <c r="R368" s="15">
        <f>IF(A368="","",SUMIFS('15_Zahlungen'!$F:$F,'15_Zahlungen'!$D:$D,A368,'15_Zahlungen'!$C:$C,"Eingang"))</f>
        <v/>
      </c>
      <c r="S368" s="15">
        <f>IF(A368="","",MAX(0,Q368-R368))</f>
        <v/>
      </c>
      <c r="T368" s="45">
        <f>IF(OR(A368="",L368="bezahlt",J368=""),"",MAX(0,TODAY()-J368))</f>
        <v/>
      </c>
    </row>
    <row r="369">
      <c r="A369" s="30" t="inlineStr"/>
      <c r="B369" s="38" t="inlineStr"/>
      <c r="C369" s="30" t="inlineStr"/>
      <c r="D369" s="30" t="inlineStr"/>
      <c r="E369" s="30" t="inlineStr"/>
      <c r="F369" s="31" t="inlineStr"/>
      <c r="G369" s="34" t="inlineStr"/>
      <c r="H369" s="32" t="inlineStr"/>
      <c r="I369" s="32" t="inlineStr"/>
      <c r="J369" s="38" t="inlineStr"/>
      <c r="K369" s="38" t="inlineStr"/>
      <c r="L369" s="30" t="inlineStr"/>
      <c r="M369" s="30" t="inlineStr"/>
      <c r="N369" s="15">
        <f>IF(A369="","",G369*H369)</f>
        <v/>
      </c>
      <c r="O369" s="15">
        <f>IF(A369="","",G369-N369)</f>
        <v/>
      </c>
      <c r="P369" s="15">
        <f>IF(A369="","",O369*I369)</f>
        <v/>
      </c>
      <c r="Q369" s="15">
        <f>IF(A369="","",O369+P369)</f>
        <v/>
      </c>
      <c r="R369" s="15">
        <f>IF(A369="","",SUMIFS('15_Zahlungen'!$F:$F,'15_Zahlungen'!$D:$D,A369,'15_Zahlungen'!$C:$C,"Eingang"))</f>
        <v/>
      </c>
      <c r="S369" s="15">
        <f>IF(A369="","",MAX(0,Q369-R369))</f>
        <v/>
      </c>
      <c r="T369" s="45">
        <f>IF(OR(A369="",L369="bezahlt",J369=""),"",MAX(0,TODAY()-J369))</f>
        <v/>
      </c>
    </row>
    <row r="370">
      <c r="A370" s="30" t="inlineStr"/>
      <c r="B370" s="38" t="inlineStr"/>
      <c r="C370" s="30" t="inlineStr"/>
      <c r="D370" s="30" t="inlineStr"/>
      <c r="E370" s="30" t="inlineStr"/>
      <c r="F370" s="31" t="inlineStr"/>
      <c r="G370" s="34" t="inlineStr"/>
      <c r="H370" s="32" t="inlineStr"/>
      <c r="I370" s="32" t="inlineStr"/>
      <c r="J370" s="38" t="inlineStr"/>
      <c r="K370" s="38" t="inlineStr"/>
      <c r="L370" s="30" t="inlineStr"/>
      <c r="M370" s="30" t="inlineStr"/>
      <c r="N370" s="15">
        <f>IF(A370="","",G370*H370)</f>
        <v/>
      </c>
      <c r="O370" s="15">
        <f>IF(A370="","",G370-N370)</f>
        <v/>
      </c>
      <c r="P370" s="15">
        <f>IF(A370="","",O370*I370)</f>
        <v/>
      </c>
      <c r="Q370" s="15">
        <f>IF(A370="","",O370+P370)</f>
        <v/>
      </c>
      <c r="R370" s="15">
        <f>IF(A370="","",SUMIFS('15_Zahlungen'!$F:$F,'15_Zahlungen'!$D:$D,A370,'15_Zahlungen'!$C:$C,"Eingang"))</f>
        <v/>
      </c>
      <c r="S370" s="15">
        <f>IF(A370="","",MAX(0,Q370-R370))</f>
        <v/>
      </c>
      <c r="T370" s="45">
        <f>IF(OR(A370="",L370="bezahlt",J370=""),"",MAX(0,TODAY()-J370))</f>
        <v/>
      </c>
    </row>
    <row r="371">
      <c r="A371" s="30" t="inlineStr"/>
      <c r="B371" s="38" t="inlineStr"/>
      <c r="C371" s="30" t="inlineStr"/>
      <c r="D371" s="30" t="inlineStr"/>
      <c r="E371" s="30" t="inlineStr"/>
      <c r="F371" s="31" t="inlineStr"/>
      <c r="G371" s="34" t="inlineStr"/>
      <c r="H371" s="32" t="inlineStr"/>
      <c r="I371" s="32" t="inlineStr"/>
      <c r="J371" s="38" t="inlineStr"/>
      <c r="K371" s="38" t="inlineStr"/>
      <c r="L371" s="30" t="inlineStr"/>
      <c r="M371" s="30" t="inlineStr"/>
      <c r="N371" s="15">
        <f>IF(A371="","",G371*H371)</f>
        <v/>
      </c>
      <c r="O371" s="15">
        <f>IF(A371="","",G371-N371)</f>
        <v/>
      </c>
      <c r="P371" s="15">
        <f>IF(A371="","",O371*I371)</f>
        <v/>
      </c>
      <c r="Q371" s="15">
        <f>IF(A371="","",O371+P371)</f>
        <v/>
      </c>
      <c r="R371" s="15">
        <f>IF(A371="","",SUMIFS('15_Zahlungen'!$F:$F,'15_Zahlungen'!$D:$D,A371,'15_Zahlungen'!$C:$C,"Eingang"))</f>
        <v/>
      </c>
      <c r="S371" s="15">
        <f>IF(A371="","",MAX(0,Q371-R371))</f>
        <v/>
      </c>
      <c r="T371" s="45">
        <f>IF(OR(A371="",L371="bezahlt",J371=""),"",MAX(0,TODAY()-J371))</f>
        <v/>
      </c>
    </row>
    <row r="372">
      <c r="A372" s="30" t="inlineStr"/>
      <c r="B372" s="38" t="inlineStr"/>
      <c r="C372" s="30" t="inlineStr"/>
      <c r="D372" s="30" t="inlineStr"/>
      <c r="E372" s="30" t="inlineStr"/>
      <c r="F372" s="31" t="inlineStr"/>
      <c r="G372" s="34" t="inlineStr"/>
      <c r="H372" s="32" t="inlineStr"/>
      <c r="I372" s="32" t="inlineStr"/>
      <c r="J372" s="38" t="inlineStr"/>
      <c r="K372" s="38" t="inlineStr"/>
      <c r="L372" s="30" t="inlineStr"/>
      <c r="M372" s="30" t="inlineStr"/>
      <c r="N372" s="15">
        <f>IF(A372="","",G372*H372)</f>
        <v/>
      </c>
      <c r="O372" s="15">
        <f>IF(A372="","",G372-N372)</f>
        <v/>
      </c>
      <c r="P372" s="15">
        <f>IF(A372="","",O372*I372)</f>
        <v/>
      </c>
      <c r="Q372" s="15">
        <f>IF(A372="","",O372+P372)</f>
        <v/>
      </c>
      <c r="R372" s="15">
        <f>IF(A372="","",SUMIFS('15_Zahlungen'!$F:$F,'15_Zahlungen'!$D:$D,A372,'15_Zahlungen'!$C:$C,"Eingang"))</f>
        <v/>
      </c>
      <c r="S372" s="15">
        <f>IF(A372="","",MAX(0,Q372-R372))</f>
        <v/>
      </c>
      <c r="T372" s="45">
        <f>IF(OR(A372="",L372="bezahlt",J372=""),"",MAX(0,TODAY()-J372))</f>
        <v/>
      </c>
    </row>
    <row r="373">
      <c r="A373" s="30" t="inlineStr"/>
      <c r="B373" s="38" t="inlineStr"/>
      <c r="C373" s="30" t="inlineStr"/>
      <c r="D373" s="30" t="inlineStr"/>
      <c r="E373" s="30" t="inlineStr"/>
      <c r="F373" s="31" t="inlineStr"/>
      <c r="G373" s="34" t="inlineStr"/>
      <c r="H373" s="32" t="inlineStr"/>
      <c r="I373" s="32" t="inlineStr"/>
      <c r="J373" s="38" t="inlineStr"/>
      <c r="K373" s="38" t="inlineStr"/>
      <c r="L373" s="30" t="inlineStr"/>
      <c r="M373" s="30" t="inlineStr"/>
      <c r="N373" s="15">
        <f>IF(A373="","",G373*H373)</f>
        <v/>
      </c>
      <c r="O373" s="15">
        <f>IF(A373="","",G373-N373)</f>
        <v/>
      </c>
      <c r="P373" s="15">
        <f>IF(A373="","",O373*I373)</f>
        <v/>
      </c>
      <c r="Q373" s="15">
        <f>IF(A373="","",O373+P373)</f>
        <v/>
      </c>
      <c r="R373" s="15">
        <f>IF(A373="","",SUMIFS('15_Zahlungen'!$F:$F,'15_Zahlungen'!$D:$D,A373,'15_Zahlungen'!$C:$C,"Eingang"))</f>
        <v/>
      </c>
      <c r="S373" s="15">
        <f>IF(A373="","",MAX(0,Q373-R373))</f>
        <v/>
      </c>
      <c r="T373" s="45">
        <f>IF(OR(A373="",L373="bezahlt",J373=""),"",MAX(0,TODAY()-J373))</f>
        <v/>
      </c>
    </row>
    <row r="374">
      <c r="A374" s="30" t="inlineStr"/>
      <c r="B374" s="38" t="inlineStr"/>
      <c r="C374" s="30" t="inlineStr"/>
      <c r="D374" s="30" t="inlineStr"/>
      <c r="E374" s="30" t="inlineStr"/>
      <c r="F374" s="31" t="inlineStr"/>
      <c r="G374" s="34" t="inlineStr"/>
      <c r="H374" s="32" t="inlineStr"/>
      <c r="I374" s="32" t="inlineStr"/>
      <c r="J374" s="38" t="inlineStr"/>
      <c r="K374" s="38" t="inlineStr"/>
      <c r="L374" s="30" t="inlineStr"/>
      <c r="M374" s="30" t="inlineStr"/>
      <c r="N374" s="15">
        <f>IF(A374="","",G374*H374)</f>
        <v/>
      </c>
      <c r="O374" s="15">
        <f>IF(A374="","",G374-N374)</f>
        <v/>
      </c>
      <c r="P374" s="15">
        <f>IF(A374="","",O374*I374)</f>
        <v/>
      </c>
      <c r="Q374" s="15">
        <f>IF(A374="","",O374+P374)</f>
        <v/>
      </c>
      <c r="R374" s="15">
        <f>IF(A374="","",SUMIFS('15_Zahlungen'!$F:$F,'15_Zahlungen'!$D:$D,A374,'15_Zahlungen'!$C:$C,"Eingang"))</f>
        <v/>
      </c>
      <c r="S374" s="15">
        <f>IF(A374="","",MAX(0,Q374-R374))</f>
        <v/>
      </c>
      <c r="T374" s="45">
        <f>IF(OR(A374="",L374="bezahlt",J374=""),"",MAX(0,TODAY()-J374))</f>
        <v/>
      </c>
    </row>
    <row r="375">
      <c r="A375" s="30" t="inlineStr"/>
      <c r="B375" s="38" t="inlineStr"/>
      <c r="C375" s="30" t="inlineStr"/>
      <c r="D375" s="30" t="inlineStr"/>
      <c r="E375" s="30" t="inlineStr"/>
      <c r="F375" s="31" t="inlineStr"/>
      <c r="G375" s="34" t="inlineStr"/>
      <c r="H375" s="32" t="inlineStr"/>
      <c r="I375" s="32" t="inlineStr"/>
      <c r="J375" s="38" t="inlineStr"/>
      <c r="K375" s="38" t="inlineStr"/>
      <c r="L375" s="30" t="inlineStr"/>
      <c r="M375" s="30" t="inlineStr"/>
      <c r="N375" s="15">
        <f>IF(A375="","",G375*H375)</f>
        <v/>
      </c>
      <c r="O375" s="15">
        <f>IF(A375="","",G375-N375)</f>
        <v/>
      </c>
      <c r="P375" s="15">
        <f>IF(A375="","",O375*I375)</f>
        <v/>
      </c>
      <c r="Q375" s="15">
        <f>IF(A375="","",O375+P375)</f>
        <v/>
      </c>
      <c r="R375" s="15">
        <f>IF(A375="","",SUMIFS('15_Zahlungen'!$F:$F,'15_Zahlungen'!$D:$D,A375,'15_Zahlungen'!$C:$C,"Eingang"))</f>
        <v/>
      </c>
      <c r="S375" s="15">
        <f>IF(A375="","",MAX(0,Q375-R375))</f>
        <v/>
      </c>
      <c r="T375" s="45">
        <f>IF(OR(A375="",L375="bezahlt",J375=""),"",MAX(0,TODAY()-J375))</f>
        <v/>
      </c>
    </row>
    <row r="376">
      <c r="A376" s="30" t="inlineStr"/>
      <c r="B376" s="38" t="inlineStr"/>
      <c r="C376" s="30" t="inlineStr"/>
      <c r="D376" s="30" t="inlineStr"/>
      <c r="E376" s="30" t="inlineStr"/>
      <c r="F376" s="31" t="inlineStr"/>
      <c r="G376" s="34" t="inlineStr"/>
      <c r="H376" s="32" t="inlineStr"/>
      <c r="I376" s="32" t="inlineStr"/>
      <c r="J376" s="38" t="inlineStr"/>
      <c r="K376" s="38" t="inlineStr"/>
      <c r="L376" s="30" t="inlineStr"/>
      <c r="M376" s="30" t="inlineStr"/>
      <c r="N376" s="15">
        <f>IF(A376="","",G376*H376)</f>
        <v/>
      </c>
      <c r="O376" s="15">
        <f>IF(A376="","",G376-N376)</f>
        <v/>
      </c>
      <c r="P376" s="15">
        <f>IF(A376="","",O376*I376)</f>
        <v/>
      </c>
      <c r="Q376" s="15">
        <f>IF(A376="","",O376+P376)</f>
        <v/>
      </c>
      <c r="R376" s="15">
        <f>IF(A376="","",SUMIFS('15_Zahlungen'!$F:$F,'15_Zahlungen'!$D:$D,A376,'15_Zahlungen'!$C:$C,"Eingang"))</f>
        <v/>
      </c>
      <c r="S376" s="15">
        <f>IF(A376="","",MAX(0,Q376-R376))</f>
        <v/>
      </c>
      <c r="T376" s="45">
        <f>IF(OR(A376="",L376="bezahlt",J376=""),"",MAX(0,TODAY()-J376))</f>
        <v/>
      </c>
    </row>
    <row r="377">
      <c r="A377" s="30" t="inlineStr"/>
      <c r="B377" s="38" t="inlineStr"/>
      <c r="C377" s="30" t="inlineStr"/>
      <c r="D377" s="30" t="inlineStr"/>
      <c r="E377" s="30" t="inlineStr"/>
      <c r="F377" s="31" t="inlineStr"/>
      <c r="G377" s="34" t="inlineStr"/>
      <c r="H377" s="32" t="inlineStr"/>
      <c r="I377" s="32" t="inlineStr"/>
      <c r="J377" s="38" t="inlineStr"/>
      <c r="K377" s="38" t="inlineStr"/>
      <c r="L377" s="30" t="inlineStr"/>
      <c r="M377" s="30" t="inlineStr"/>
      <c r="N377" s="15">
        <f>IF(A377="","",G377*H377)</f>
        <v/>
      </c>
      <c r="O377" s="15">
        <f>IF(A377="","",G377-N377)</f>
        <v/>
      </c>
      <c r="P377" s="15">
        <f>IF(A377="","",O377*I377)</f>
        <v/>
      </c>
      <c r="Q377" s="15">
        <f>IF(A377="","",O377+P377)</f>
        <v/>
      </c>
      <c r="R377" s="15">
        <f>IF(A377="","",SUMIFS('15_Zahlungen'!$F:$F,'15_Zahlungen'!$D:$D,A377,'15_Zahlungen'!$C:$C,"Eingang"))</f>
        <v/>
      </c>
      <c r="S377" s="15">
        <f>IF(A377="","",MAX(0,Q377-R377))</f>
        <v/>
      </c>
      <c r="T377" s="45">
        <f>IF(OR(A377="",L377="bezahlt",J377=""),"",MAX(0,TODAY()-J377))</f>
        <v/>
      </c>
    </row>
    <row r="378">
      <c r="A378" s="30" t="inlineStr"/>
      <c r="B378" s="38" t="inlineStr"/>
      <c r="C378" s="30" t="inlineStr"/>
      <c r="D378" s="30" t="inlineStr"/>
      <c r="E378" s="30" t="inlineStr"/>
      <c r="F378" s="31" t="inlineStr"/>
      <c r="G378" s="34" t="inlineStr"/>
      <c r="H378" s="32" t="inlineStr"/>
      <c r="I378" s="32" t="inlineStr"/>
      <c r="J378" s="38" t="inlineStr"/>
      <c r="K378" s="38" t="inlineStr"/>
      <c r="L378" s="30" t="inlineStr"/>
      <c r="M378" s="30" t="inlineStr"/>
      <c r="N378" s="15">
        <f>IF(A378="","",G378*H378)</f>
        <v/>
      </c>
      <c r="O378" s="15">
        <f>IF(A378="","",G378-N378)</f>
        <v/>
      </c>
      <c r="P378" s="15">
        <f>IF(A378="","",O378*I378)</f>
        <v/>
      </c>
      <c r="Q378" s="15">
        <f>IF(A378="","",O378+P378)</f>
        <v/>
      </c>
      <c r="R378" s="15">
        <f>IF(A378="","",SUMIFS('15_Zahlungen'!$F:$F,'15_Zahlungen'!$D:$D,A378,'15_Zahlungen'!$C:$C,"Eingang"))</f>
        <v/>
      </c>
      <c r="S378" s="15">
        <f>IF(A378="","",MAX(0,Q378-R378))</f>
        <v/>
      </c>
      <c r="T378" s="45">
        <f>IF(OR(A378="",L378="bezahlt",J378=""),"",MAX(0,TODAY()-J378))</f>
        <v/>
      </c>
    </row>
    <row r="379">
      <c r="A379" s="30" t="inlineStr"/>
      <c r="B379" s="38" t="inlineStr"/>
      <c r="C379" s="30" t="inlineStr"/>
      <c r="D379" s="30" t="inlineStr"/>
      <c r="E379" s="30" t="inlineStr"/>
      <c r="F379" s="31" t="inlineStr"/>
      <c r="G379" s="34" t="inlineStr"/>
      <c r="H379" s="32" t="inlineStr"/>
      <c r="I379" s="32" t="inlineStr"/>
      <c r="J379" s="38" t="inlineStr"/>
      <c r="K379" s="38" t="inlineStr"/>
      <c r="L379" s="30" t="inlineStr"/>
      <c r="M379" s="30" t="inlineStr"/>
      <c r="N379" s="15">
        <f>IF(A379="","",G379*H379)</f>
        <v/>
      </c>
      <c r="O379" s="15">
        <f>IF(A379="","",G379-N379)</f>
        <v/>
      </c>
      <c r="P379" s="15">
        <f>IF(A379="","",O379*I379)</f>
        <v/>
      </c>
      <c r="Q379" s="15">
        <f>IF(A379="","",O379+P379)</f>
        <v/>
      </c>
      <c r="R379" s="15">
        <f>IF(A379="","",SUMIFS('15_Zahlungen'!$F:$F,'15_Zahlungen'!$D:$D,A379,'15_Zahlungen'!$C:$C,"Eingang"))</f>
        <v/>
      </c>
      <c r="S379" s="15">
        <f>IF(A379="","",MAX(0,Q379-R379))</f>
        <v/>
      </c>
      <c r="T379" s="45">
        <f>IF(OR(A379="",L379="bezahlt",J379=""),"",MAX(0,TODAY()-J379))</f>
        <v/>
      </c>
    </row>
    <row r="380">
      <c r="A380" s="30" t="inlineStr"/>
      <c r="B380" s="38" t="inlineStr"/>
      <c r="C380" s="30" t="inlineStr"/>
      <c r="D380" s="30" t="inlineStr"/>
      <c r="E380" s="30" t="inlineStr"/>
      <c r="F380" s="31" t="inlineStr"/>
      <c r="G380" s="34" t="inlineStr"/>
      <c r="H380" s="32" t="inlineStr"/>
      <c r="I380" s="32" t="inlineStr"/>
      <c r="J380" s="38" t="inlineStr"/>
      <c r="K380" s="38" t="inlineStr"/>
      <c r="L380" s="30" t="inlineStr"/>
      <c r="M380" s="30" t="inlineStr"/>
      <c r="N380" s="15">
        <f>IF(A380="","",G380*H380)</f>
        <v/>
      </c>
      <c r="O380" s="15">
        <f>IF(A380="","",G380-N380)</f>
        <v/>
      </c>
      <c r="P380" s="15">
        <f>IF(A380="","",O380*I380)</f>
        <v/>
      </c>
      <c r="Q380" s="15">
        <f>IF(A380="","",O380+P380)</f>
        <v/>
      </c>
      <c r="R380" s="15">
        <f>IF(A380="","",SUMIFS('15_Zahlungen'!$F:$F,'15_Zahlungen'!$D:$D,A380,'15_Zahlungen'!$C:$C,"Eingang"))</f>
        <v/>
      </c>
      <c r="S380" s="15">
        <f>IF(A380="","",MAX(0,Q380-R380))</f>
        <v/>
      </c>
      <c r="T380" s="45">
        <f>IF(OR(A380="",L380="bezahlt",J380=""),"",MAX(0,TODAY()-J380))</f>
        <v/>
      </c>
    </row>
    <row r="381">
      <c r="A381" s="30" t="inlineStr"/>
      <c r="B381" s="38" t="inlineStr"/>
      <c r="C381" s="30" t="inlineStr"/>
      <c r="D381" s="30" t="inlineStr"/>
      <c r="E381" s="30" t="inlineStr"/>
      <c r="F381" s="31" t="inlineStr"/>
      <c r="G381" s="34" t="inlineStr"/>
      <c r="H381" s="32" t="inlineStr"/>
      <c r="I381" s="32" t="inlineStr"/>
      <c r="J381" s="38" t="inlineStr"/>
      <c r="K381" s="38" t="inlineStr"/>
      <c r="L381" s="30" t="inlineStr"/>
      <c r="M381" s="30" t="inlineStr"/>
      <c r="N381" s="15">
        <f>IF(A381="","",G381*H381)</f>
        <v/>
      </c>
      <c r="O381" s="15">
        <f>IF(A381="","",G381-N381)</f>
        <v/>
      </c>
      <c r="P381" s="15">
        <f>IF(A381="","",O381*I381)</f>
        <v/>
      </c>
      <c r="Q381" s="15">
        <f>IF(A381="","",O381+P381)</f>
        <v/>
      </c>
      <c r="R381" s="15">
        <f>IF(A381="","",SUMIFS('15_Zahlungen'!$F:$F,'15_Zahlungen'!$D:$D,A381,'15_Zahlungen'!$C:$C,"Eingang"))</f>
        <v/>
      </c>
      <c r="S381" s="15">
        <f>IF(A381="","",MAX(0,Q381-R381))</f>
        <v/>
      </c>
      <c r="T381" s="45">
        <f>IF(OR(A381="",L381="bezahlt",J381=""),"",MAX(0,TODAY()-J381))</f>
        <v/>
      </c>
    </row>
    <row r="382">
      <c r="A382" s="30" t="inlineStr"/>
      <c r="B382" s="38" t="inlineStr"/>
      <c r="C382" s="30" t="inlineStr"/>
      <c r="D382" s="30" t="inlineStr"/>
      <c r="E382" s="30" t="inlineStr"/>
      <c r="F382" s="31" t="inlineStr"/>
      <c r="G382" s="34" t="inlineStr"/>
      <c r="H382" s="32" t="inlineStr"/>
      <c r="I382" s="32" t="inlineStr"/>
      <c r="J382" s="38" t="inlineStr"/>
      <c r="K382" s="38" t="inlineStr"/>
      <c r="L382" s="30" t="inlineStr"/>
      <c r="M382" s="30" t="inlineStr"/>
      <c r="N382" s="15">
        <f>IF(A382="","",G382*H382)</f>
        <v/>
      </c>
      <c r="O382" s="15">
        <f>IF(A382="","",G382-N382)</f>
        <v/>
      </c>
      <c r="P382" s="15">
        <f>IF(A382="","",O382*I382)</f>
        <v/>
      </c>
      <c r="Q382" s="15">
        <f>IF(A382="","",O382+P382)</f>
        <v/>
      </c>
      <c r="R382" s="15">
        <f>IF(A382="","",SUMIFS('15_Zahlungen'!$F:$F,'15_Zahlungen'!$D:$D,A382,'15_Zahlungen'!$C:$C,"Eingang"))</f>
        <v/>
      </c>
      <c r="S382" s="15">
        <f>IF(A382="","",MAX(0,Q382-R382))</f>
        <v/>
      </c>
      <c r="T382" s="45">
        <f>IF(OR(A382="",L382="bezahlt",J382=""),"",MAX(0,TODAY()-J382))</f>
        <v/>
      </c>
    </row>
    <row r="383">
      <c r="A383" s="30" t="inlineStr"/>
      <c r="B383" s="38" t="inlineStr"/>
      <c r="C383" s="30" t="inlineStr"/>
      <c r="D383" s="30" t="inlineStr"/>
      <c r="E383" s="30" t="inlineStr"/>
      <c r="F383" s="31" t="inlineStr"/>
      <c r="G383" s="34" t="inlineStr"/>
      <c r="H383" s="32" t="inlineStr"/>
      <c r="I383" s="32" t="inlineStr"/>
      <c r="J383" s="38" t="inlineStr"/>
      <c r="K383" s="38" t="inlineStr"/>
      <c r="L383" s="30" t="inlineStr"/>
      <c r="M383" s="30" t="inlineStr"/>
      <c r="N383" s="15">
        <f>IF(A383="","",G383*H383)</f>
        <v/>
      </c>
      <c r="O383" s="15">
        <f>IF(A383="","",G383-N383)</f>
        <v/>
      </c>
      <c r="P383" s="15">
        <f>IF(A383="","",O383*I383)</f>
        <v/>
      </c>
      <c r="Q383" s="15">
        <f>IF(A383="","",O383+P383)</f>
        <v/>
      </c>
      <c r="R383" s="15">
        <f>IF(A383="","",SUMIFS('15_Zahlungen'!$F:$F,'15_Zahlungen'!$D:$D,A383,'15_Zahlungen'!$C:$C,"Eingang"))</f>
        <v/>
      </c>
      <c r="S383" s="15">
        <f>IF(A383="","",MAX(0,Q383-R383))</f>
        <v/>
      </c>
      <c r="T383" s="45">
        <f>IF(OR(A383="",L383="bezahlt",J383=""),"",MAX(0,TODAY()-J383))</f>
        <v/>
      </c>
    </row>
    <row r="384">
      <c r="A384" s="30" t="inlineStr"/>
      <c r="B384" s="38" t="inlineStr"/>
      <c r="C384" s="30" t="inlineStr"/>
      <c r="D384" s="30" t="inlineStr"/>
      <c r="E384" s="30" t="inlineStr"/>
      <c r="F384" s="31" t="inlineStr"/>
      <c r="G384" s="34" t="inlineStr"/>
      <c r="H384" s="32" t="inlineStr"/>
      <c r="I384" s="32" t="inlineStr"/>
      <c r="J384" s="38" t="inlineStr"/>
      <c r="K384" s="38" t="inlineStr"/>
      <c r="L384" s="30" t="inlineStr"/>
      <c r="M384" s="30" t="inlineStr"/>
      <c r="N384" s="15">
        <f>IF(A384="","",G384*H384)</f>
        <v/>
      </c>
      <c r="O384" s="15">
        <f>IF(A384="","",G384-N384)</f>
        <v/>
      </c>
      <c r="P384" s="15">
        <f>IF(A384="","",O384*I384)</f>
        <v/>
      </c>
      <c r="Q384" s="15">
        <f>IF(A384="","",O384+P384)</f>
        <v/>
      </c>
      <c r="R384" s="15">
        <f>IF(A384="","",SUMIFS('15_Zahlungen'!$F:$F,'15_Zahlungen'!$D:$D,A384,'15_Zahlungen'!$C:$C,"Eingang"))</f>
        <v/>
      </c>
      <c r="S384" s="15">
        <f>IF(A384="","",MAX(0,Q384-R384))</f>
        <v/>
      </c>
      <c r="T384" s="45">
        <f>IF(OR(A384="",L384="bezahlt",J384=""),"",MAX(0,TODAY()-J384))</f>
        <v/>
      </c>
    </row>
    <row r="385">
      <c r="A385" s="30" t="inlineStr"/>
      <c r="B385" s="38" t="inlineStr"/>
      <c r="C385" s="30" t="inlineStr"/>
      <c r="D385" s="30" t="inlineStr"/>
      <c r="E385" s="30" t="inlineStr"/>
      <c r="F385" s="31" t="inlineStr"/>
      <c r="G385" s="34" t="inlineStr"/>
      <c r="H385" s="32" t="inlineStr"/>
      <c r="I385" s="32" t="inlineStr"/>
      <c r="J385" s="38" t="inlineStr"/>
      <c r="K385" s="38" t="inlineStr"/>
      <c r="L385" s="30" t="inlineStr"/>
      <c r="M385" s="30" t="inlineStr"/>
      <c r="N385" s="15">
        <f>IF(A385="","",G385*H385)</f>
        <v/>
      </c>
      <c r="O385" s="15">
        <f>IF(A385="","",G385-N385)</f>
        <v/>
      </c>
      <c r="P385" s="15">
        <f>IF(A385="","",O385*I385)</f>
        <v/>
      </c>
      <c r="Q385" s="15">
        <f>IF(A385="","",O385+P385)</f>
        <v/>
      </c>
      <c r="R385" s="15">
        <f>IF(A385="","",SUMIFS('15_Zahlungen'!$F:$F,'15_Zahlungen'!$D:$D,A385,'15_Zahlungen'!$C:$C,"Eingang"))</f>
        <v/>
      </c>
      <c r="S385" s="15">
        <f>IF(A385="","",MAX(0,Q385-R385))</f>
        <v/>
      </c>
      <c r="T385" s="45">
        <f>IF(OR(A385="",L385="bezahlt",J385=""),"",MAX(0,TODAY()-J385))</f>
        <v/>
      </c>
    </row>
    <row r="386">
      <c r="A386" s="30" t="inlineStr"/>
      <c r="B386" s="38" t="inlineStr"/>
      <c r="C386" s="30" t="inlineStr"/>
      <c r="D386" s="30" t="inlineStr"/>
      <c r="E386" s="30" t="inlineStr"/>
      <c r="F386" s="31" t="inlineStr"/>
      <c r="G386" s="34" t="inlineStr"/>
      <c r="H386" s="32" t="inlineStr"/>
      <c r="I386" s="32" t="inlineStr"/>
      <c r="J386" s="38" t="inlineStr"/>
      <c r="K386" s="38" t="inlineStr"/>
      <c r="L386" s="30" t="inlineStr"/>
      <c r="M386" s="30" t="inlineStr"/>
      <c r="N386" s="15">
        <f>IF(A386="","",G386*H386)</f>
        <v/>
      </c>
      <c r="O386" s="15">
        <f>IF(A386="","",G386-N386)</f>
        <v/>
      </c>
      <c r="P386" s="15">
        <f>IF(A386="","",O386*I386)</f>
        <v/>
      </c>
      <c r="Q386" s="15">
        <f>IF(A386="","",O386+P386)</f>
        <v/>
      </c>
      <c r="R386" s="15">
        <f>IF(A386="","",SUMIFS('15_Zahlungen'!$F:$F,'15_Zahlungen'!$D:$D,A386,'15_Zahlungen'!$C:$C,"Eingang"))</f>
        <v/>
      </c>
      <c r="S386" s="15">
        <f>IF(A386="","",MAX(0,Q386-R386))</f>
        <v/>
      </c>
      <c r="T386" s="45">
        <f>IF(OR(A386="",L386="bezahlt",J386=""),"",MAX(0,TODAY()-J386))</f>
        <v/>
      </c>
    </row>
    <row r="387">
      <c r="A387" s="30" t="inlineStr"/>
      <c r="B387" s="38" t="inlineStr"/>
      <c r="C387" s="30" t="inlineStr"/>
      <c r="D387" s="30" t="inlineStr"/>
      <c r="E387" s="30" t="inlineStr"/>
      <c r="F387" s="31" t="inlineStr"/>
      <c r="G387" s="34" t="inlineStr"/>
      <c r="H387" s="32" t="inlineStr"/>
      <c r="I387" s="32" t="inlineStr"/>
      <c r="J387" s="38" t="inlineStr"/>
      <c r="K387" s="38" t="inlineStr"/>
      <c r="L387" s="30" t="inlineStr"/>
      <c r="M387" s="30" t="inlineStr"/>
      <c r="N387" s="15">
        <f>IF(A387="","",G387*H387)</f>
        <v/>
      </c>
      <c r="O387" s="15">
        <f>IF(A387="","",G387-N387)</f>
        <v/>
      </c>
      <c r="P387" s="15">
        <f>IF(A387="","",O387*I387)</f>
        <v/>
      </c>
      <c r="Q387" s="15">
        <f>IF(A387="","",O387+P387)</f>
        <v/>
      </c>
      <c r="R387" s="15">
        <f>IF(A387="","",SUMIFS('15_Zahlungen'!$F:$F,'15_Zahlungen'!$D:$D,A387,'15_Zahlungen'!$C:$C,"Eingang"))</f>
        <v/>
      </c>
      <c r="S387" s="15">
        <f>IF(A387="","",MAX(0,Q387-R387))</f>
        <v/>
      </c>
      <c r="T387" s="45">
        <f>IF(OR(A387="",L387="bezahlt",J387=""),"",MAX(0,TODAY()-J387))</f>
        <v/>
      </c>
    </row>
    <row r="388">
      <c r="A388" s="30" t="inlineStr"/>
      <c r="B388" s="38" t="inlineStr"/>
      <c r="C388" s="30" t="inlineStr"/>
      <c r="D388" s="30" t="inlineStr"/>
      <c r="E388" s="30" t="inlineStr"/>
      <c r="F388" s="31" t="inlineStr"/>
      <c r="G388" s="34" t="inlineStr"/>
      <c r="H388" s="32" t="inlineStr"/>
      <c r="I388" s="32" t="inlineStr"/>
      <c r="J388" s="38" t="inlineStr"/>
      <c r="K388" s="38" t="inlineStr"/>
      <c r="L388" s="30" t="inlineStr"/>
      <c r="M388" s="30" t="inlineStr"/>
      <c r="N388" s="15">
        <f>IF(A388="","",G388*H388)</f>
        <v/>
      </c>
      <c r="O388" s="15">
        <f>IF(A388="","",G388-N388)</f>
        <v/>
      </c>
      <c r="P388" s="15">
        <f>IF(A388="","",O388*I388)</f>
        <v/>
      </c>
      <c r="Q388" s="15">
        <f>IF(A388="","",O388+P388)</f>
        <v/>
      </c>
      <c r="R388" s="15">
        <f>IF(A388="","",SUMIFS('15_Zahlungen'!$F:$F,'15_Zahlungen'!$D:$D,A388,'15_Zahlungen'!$C:$C,"Eingang"))</f>
        <v/>
      </c>
      <c r="S388" s="15">
        <f>IF(A388="","",MAX(0,Q388-R388))</f>
        <v/>
      </c>
      <c r="T388" s="45">
        <f>IF(OR(A388="",L388="bezahlt",J388=""),"",MAX(0,TODAY()-J388))</f>
        <v/>
      </c>
    </row>
    <row r="389">
      <c r="A389" s="30" t="inlineStr"/>
      <c r="B389" s="38" t="inlineStr"/>
      <c r="C389" s="30" t="inlineStr"/>
      <c r="D389" s="30" t="inlineStr"/>
      <c r="E389" s="30" t="inlineStr"/>
      <c r="F389" s="31" t="inlineStr"/>
      <c r="G389" s="34" t="inlineStr"/>
      <c r="H389" s="32" t="inlineStr"/>
      <c r="I389" s="32" t="inlineStr"/>
      <c r="J389" s="38" t="inlineStr"/>
      <c r="K389" s="38" t="inlineStr"/>
      <c r="L389" s="30" t="inlineStr"/>
      <c r="M389" s="30" t="inlineStr"/>
      <c r="N389" s="15">
        <f>IF(A389="","",G389*H389)</f>
        <v/>
      </c>
      <c r="O389" s="15">
        <f>IF(A389="","",G389-N389)</f>
        <v/>
      </c>
      <c r="P389" s="15">
        <f>IF(A389="","",O389*I389)</f>
        <v/>
      </c>
      <c r="Q389" s="15">
        <f>IF(A389="","",O389+P389)</f>
        <v/>
      </c>
      <c r="R389" s="15">
        <f>IF(A389="","",SUMIFS('15_Zahlungen'!$F:$F,'15_Zahlungen'!$D:$D,A389,'15_Zahlungen'!$C:$C,"Eingang"))</f>
        <v/>
      </c>
      <c r="S389" s="15">
        <f>IF(A389="","",MAX(0,Q389-R389))</f>
        <v/>
      </c>
      <c r="T389" s="45">
        <f>IF(OR(A389="",L389="bezahlt",J389=""),"",MAX(0,TODAY()-J389))</f>
        <v/>
      </c>
    </row>
    <row r="390">
      <c r="A390" s="30" t="inlineStr"/>
      <c r="B390" s="38" t="inlineStr"/>
      <c r="C390" s="30" t="inlineStr"/>
      <c r="D390" s="30" t="inlineStr"/>
      <c r="E390" s="30" t="inlineStr"/>
      <c r="F390" s="31" t="inlineStr"/>
      <c r="G390" s="34" t="inlineStr"/>
      <c r="H390" s="32" t="inlineStr"/>
      <c r="I390" s="32" t="inlineStr"/>
      <c r="J390" s="38" t="inlineStr"/>
      <c r="K390" s="38" t="inlineStr"/>
      <c r="L390" s="30" t="inlineStr"/>
      <c r="M390" s="30" t="inlineStr"/>
      <c r="N390" s="15">
        <f>IF(A390="","",G390*H390)</f>
        <v/>
      </c>
      <c r="O390" s="15">
        <f>IF(A390="","",G390-N390)</f>
        <v/>
      </c>
      <c r="P390" s="15">
        <f>IF(A390="","",O390*I390)</f>
        <v/>
      </c>
      <c r="Q390" s="15">
        <f>IF(A390="","",O390+P390)</f>
        <v/>
      </c>
      <c r="R390" s="15">
        <f>IF(A390="","",SUMIFS('15_Zahlungen'!$F:$F,'15_Zahlungen'!$D:$D,A390,'15_Zahlungen'!$C:$C,"Eingang"))</f>
        <v/>
      </c>
      <c r="S390" s="15">
        <f>IF(A390="","",MAX(0,Q390-R390))</f>
        <v/>
      </c>
      <c r="T390" s="45">
        <f>IF(OR(A390="",L390="bezahlt",J390=""),"",MAX(0,TODAY()-J390))</f>
        <v/>
      </c>
    </row>
    <row r="391">
      <c r="A391" s="30" t="inlineStr"/>
      <c r="B391" s="38" t="inlineStr"/>
      <c r="C391" s="30" t="inlineStr"/>
      <c r="D391" s="30" t="inlineStr"/>
      <c r="E391" s="30" t="inlineStr"/>
      <c r="F391" s="31" t="inlineStr"/>
      <c r="G391" s="34" t="inlineStr"/>
      <c r="H391" s="32" t="inlineStr"/>
      <c r="I391" s="32" t="inlineStr"/>
      <c r="J391" s="38" t="inlineStr"/>
      <c r="K391" s="38" t="inlineStr"/>
      <c r="L391" s="30" t="inlineStr"/>
      <c r="M391" s="30" t="inlineStr"/>
      <c r="N391" s="15">
        <f>IF(A391="","",G391*H391)</f>
        <v/>
      </c>
      <c r="O391" s="15">
        <f>IF(A391="","",G391-N391)</f>
        <v/>
      </c>
      <c r="P391" s="15">
        <f>IF(A391="","",O391*I391)</f>
        <v/>
      </c>
      <c r="Q391" s="15">
        <f>IF(A391="","",O391+P391)</f>
        <v/>
      </c>
      <c r="R391" s="15">
        <f>IF(A391="","",SUMIFS('15_Zahlungen'!$F:$F,'15_Zahlungen'!$D:$D,A391,'15_Zahlungen'!$C:$C,"Eingang"))</f>
        <v/>
      </c>
      <c r="S391" s="15">
        <f>IF(A391="","",MAX(0,Q391-R391))</f>
        <v/>
      </c>
      <c r="T391" s="45">
        <f>IF(OR(A391="",L391="bezahlt",J391=""),"",MAX(0,TODAY()-J391))</f>
        <v/>
      </c>
    </row>
    <row r="392">
      <c r="A392" s="30" t="inlineStr"/>
      <c r="B392" s="38" t="inlineStr"/>
      <c r="C392" s="30" t="inlineStr"/>
      <c r="D392" s="30" t="inlineStr"/>
      <c r="E392" s="30" t="inlineStr"/>
      <c r="F392" s="31" t="inlineStr"/>
      <c r="G392" s="34" t="inlineStr"/>
      <c r="H392" s="32" t="inlineStr"/>
      <c r="I392" s="32" t="inlineStr"/>
      <c r="J392" s="38" t="inlineStr"/>
      <c r="K392" s="38" t="inlineStr"/>
      <c r="L392" s="30" t="inlineStr"/>
      <c r="M392" s="30" t="inlineStr"/>
      <c r="N392" s="15">
        <f>IF(A392="","",G392*H392)</f>
        <v/>
      </c>
      <c r="O392" s="15">
        <f>IF(A392="","",G392-N392)</f>
        <v/>
      </c>
      <c r="P392" s="15">
        <f>IF(A392="","",O392*I392)</f>
        <v/>
      </c>
      <c r="Q392" s="15">
        <f>IF(A392="","",O392+P392)</f>
        <v/>
      </c>
      <c r="R392" s="15">
        <f>IF(A392="","",SUMIFS('15_Zahlungen'!$F:$F,'15_Zahlungen'!$D:$D,A392,'15_Zahlungen'!$C:$C,"Eingang"))</f>
        <v/>
      </c>
      <c r="S392" s="15">
        <f>IF(A392="","",MAX(0,Q392-R392))</f>
        <v/>
      </c>
      <c r="T392" s="45">
        <f>IF(OR(A392="",L392="bezahlt",J392=""),"",MAX(0,TODAY()-J392))</f>
        <v/>
      </c>
    </row>
    <row r="393">
      <c r="A393" s="30" t="inlineStr"/>
      <c r="B393" s="38" t="inlineStr"/>
      <c r="C393" s="30" t="inlineStr"/>
      <c r="D393" s="30" t="inlineStr"/>
      <c r="E393" s="30" t="inlineStr"/>
      <c r="F393" s="31" t="inlineStr"/>
      <c r="G393" s="34" t="inlineStr"/>
      <c r="H393" s="32" t="inlineStr"/>
      <c r="I393" s="32" t="inlineStr"/>
      <c r="J393" s="38" t="inlineStr"/>
      <c r="K393" s="38" t="inlineStr"/>
      <c r="L393" s="30" t="inlineStr"/>
      <c r="M393" s="30" t="inlineStr"/>
      <c r="N393" s="15">
        <f>IF(A393="","",G393*H393)</f>
        <v/>
      </c>
      <c r="O393" s="15">
        <f>IF(A393="","",G393-N393)</f>
        <v/>
      </c>
      <c r="P393" s="15">
        <f>IF(A393="","",O393*I393)</f>
        <v/>
      </c>
      <c r="Q393" s="15">
        <f>IF(A393="","",O393+P393)</f>
        <v/>
      </c>
      <c r="R393" s="15">
        <f>IF(A393="","",SUMIFS('15_Zahlungen'!$F:$F,'15_Zahlungen'!$D:$D,A393,'15_Zahlungen'!$C:$C,"Eingang"))</f>
        <v/>
      </c>
      <c r="S393" s="15">
        <f>IF(A393="","",MAX(0,Q393-R393))</f>
        <v/>
      </c>
      <c r="T393" s="45">
        <f>IF(OR(A393="",L393="bezahlt",J393=""),"",MAX(0,TODAY()-J393))</f>
        <v/>
      </c>
    </row>
    <row r="394">
      <c r="A394" s="30" t="inlineStr"/>
      <c r="B394" s="38" t="inlineStr"/>
      <c r="C394" s="30" t="inlineStr"/>
      <c r="D394" s="30" t="inlineStr"/>
      <c r="E394" s="30" t="inlineStr"/>
      <c r="F394" s="31" t="inlineStr"/>
      <c r="G394" s="34" t="inlineStr"/>
      <c r="H394" s="32" t="inlineStr"/>
      <c r="I394" s="32" t="inlineStr"/>
      <c r="J394" s="38" t="inlineStr"/>
      <c r="K394" s="38" t="inlineStr"/>
      <c r="L394" s="30" t="inlineStr"/>
      <c r="M394" s="30" t="inlineStr"/>
      <c r="N394" s="15">
        <f>IF(A394="","",G394*H394)</f>
        <v/>
      </c>
      <c r="O394" s="15">
        <f>IF(A394="","",G394-N394)</f>
        <v/>
      </c>
      <c r="P394" s="15">
        <f>IF(A394="","",O394*I394)</f>
        <v/>
      </c>
      <c r="Q394" s="15">
        <f>IF(A394="","",O394+P394)</f>
        <v/>
      </c>
      <c r="R394" s="15">
        <f>IF(A394="","",SUMIFS('15_Zahlungen'!$F:$F,'15_Zahlungen'!$D:$D,A394,'15_Zahlungen'!$C:$C,"Eingang"))</f>
        <v/>
      </c>
      <c r="S394" s="15">
        <f>IF(A394="","",MAX(0,Q394-R394))</f>
        <v/>
      </c>
      <c r="T394" s="45">
        <f>IF(OR(A394="",L394="bezahlt",J394=""),"",MAX(0,TODAY()-J394))</f>
        <v/>
      </c>
    </row>
    <row r="395">
      <c r="A395" s="30" t="inlineStr"/>
      <c r="B395" s="38" t="inlineStr"/>
      <c r="C395" s="30" t="inlineStr"/>
      <c r="D395" s="30" t="inlineStr"/>
      <c r="E395" s="30" t="inlineStr"/>
      <c r="F395" s="31" t="inlineStr"/>
      <c r="G395" s="34" t="inlineStr"/>
      <c r="H395" s="32" t="inlineStr"/>
      <c r="I395" s="32" t="inlineStr"/>
      <c r="J395" s="38" t="inlineStr"/>
      <c r="K395" s="38" t="inlineStr"/>
      <c r="L395" s="30" t="inlineStr"/>
      <c r="M395" s="30" t="inlineStr"/>
      <c r="N395" s="15">
        <f>IF(A395="","",G395*H395)</f>
        <v/>
      </c>
      <c r="O395" s="15">
        <f>IF(A395="","",G395-N395)</f>
        <v/>
      </c>
      <c r="P395" s="15">
        <f>IF(A395="","",O395*I395)</f>
        <v/>
      </c>
      <c r="Q395" s="15">
        <f>IF(A395="","",O395+P395)</f>
        <v/>
      </c>
      <c r="R395" s="15">
        <f>IF(A395="","",SUMIFS('15_Zahlungen'!$F:$F,'15_Zahlungen'!$D:$D,A395,'15_Zahlungen'!$C:$C,"Eingang"))</f>
        <v/>
      </c>
      <c r="S395" s="15">
        <f>IF(A395="","",MAX(0,Q395-R395))</f>
        <v/>
      </c>
      <c r="T395" s="45">
        <f>IF(OR(A395="",L395="bezahlt",J395=""),"",MAX(0,TODAY()-J395))</f>
        <v/>
      </c>
    </row>
    <row r="396">
      <c r="A396" s="30" t="inlineStr"/>
      <c r="B396" s="38" t="inlineStr"/>
      <c r="C396" s="30" t="inlineStr"/>
      <c r="D396" s="30" t="inlineStr"/>
      <c r="E396" s="30" t="inlineStr"/>
      <c r="F396" s="31" t="inlineStr"/>
      <c r="G396" s="34" t="inlineStr"/>
      <c r="H396" s="32" t="inlineStr"/>
      <c r="I396" s="32" t="inlineStr"/>
      <c r="J396" s="38" t="inlineStr"/>
      <c r="K396" s="38" t="inlineStr"/>
      <c r="L396" s="30" t="inlineStr"/>
      <c r="M396" s="30" t="inlineStr"/>
      <c r="N396" s="15">
        <f>IF(A396="","",G396*H396)</f>
        <v/>
      </c>
      <c r="O396" s="15">
        <f>IF(A396="","",G396-N396)</f>
        <v/>
      </c>
      <c r="P396" s="15">
        <f>IF(A396="","",O396*I396)</f>
        <v/>
      </c>
      <c r="Q396" s="15">
        <f>IF(A396="","",O396+P396)</f>
        <v/>
      </c>
      <c r="R396" s="15">
        <f>IF(A396="","",SUMIFS('15_Zahlungen'!$F:$F,'15_Zahlungen'!$D:$D,A396,'15_Zahlungen'!$C:$C,"Eingang"))</f>
        <v/>
      </c>
      <c r="S396" s="15">
        <f>IF(A396="","",MAX(0,Q396-R396))</f>
        <v/>
      </c>
      <c r="T396" s="45">
        <f>IF(OR(A396="",L396="bezahlt",J396=""),"",MAX(0,TODAY()-J396))</f>
        <v/>
      </c>
    </row>
    <row r="397">
      <c r="A397" s="30" t="inlineStr"/>
      <c r="B397" s="38" t="inlineStr"/>
      <c r="C397" s="30" t="inlineStr"/>
      <c r="D397" s="30" t="inlineStr"/>
      <c r="E397" s="30" t="inlineStr"/>
      <c r="F397" s="31" t="inlineStr"/>
      <c r="G397" s="34" t="inlineStr"/>
      <c r="H397" s="32" t="inlineStr"/>
      <c r="I397" s="32" t="inlineStr"/>
      <c r="J397" s="38" t="inlineStr"/>
      <c r="K397" s="38" t="inlineStr"/>
      <c r="L397" s="30" t="inlineStr"/>
      <c r="M397" s="30" t="inlineStr"/>
      <c r="N397" s="15">
        <f>IF(A397="","",G397*H397)</f>
        <v/>
      </c>
      <c r="O397" s="15">
        <f>IF(A397="","",G397-N397)</f>
        <v/>
      </c>
      <c r="P397" s="15">
        <f>IF(A397="","",O397*I397)</f>
        <v/>
      </c>
      <c r="Q397" s="15">
        <f>IF(A397="","",O397+P397)</f>
        <v/>
      </c>
      <c r="R397" s="15">
        <f>IF(A397="","",SUMIFS('15_Zahlungen'!$F:$F,'15_Zahlungen'!$D:$D,A397,'15_Zahlungen'!$C:$C,"Eingang"))</f>
        <v/>
      </c>
      <c r="S397" s="15">
        <f>IF(A397="","",MAX(0,Q397-R397))</f>
        <v/>
      </c>
      <c r="T397" s="45">
        <f>IF(OR(A397="",L397="bezahlt",J397=""),"",MAX(0,TODAY()-J397))</f>
        <v/>
      </c>
    </row>
    <row r="398">
      <c r="A398" s="30" t="inlineStr"/>
      <c r="B398" s="38" t="inlineStr"/>
      <c r="C398" s="30" t="inlineStr"/>
      <c r="D398" s="30" t="inlineStr"/>
      <c r="E398" s="30" t="inlineStr"/>
      <c r="F398" s="31" t="inlineStr"/>
      <c r="G398" s="34" t="inlineStr"/>
      <c r="H398" s="32" t="inlineStr"/>
      <c r="I398" s="32" t="inlineStr"/>
      <c r="J398" s="38" t="inlineStr"/>
      <c r="K398" s="38" t="inlineStr"/>
      <c r="L398" s="30" t="inlineStr"/>
      <c r="M398" s="30" t="inlineStr"/>
      <c r="N398" s="15">
        <f>IF(A398="","",G398*H398)</f>
        <v/>
      </c>
      <c r="O398" s="15">
        <f>IF(A398="","",G398-N398)</f>
        <v/>
      </c>
      <c r="P398" s="15">
        <f>IF(A398="","",O398*I398)</f>
        <v/>
      </c>
      <c r="Q398" s="15">
        <f>IF(A398="","",O398+P398)</f>
        <v/>
      </c>
      <c r="R398" s="15">
        <f>IF(A398="","",SUMIFS('15_Zahlungen'!$F:$F,'15_Zahlungen'!$D:$D,A398,'15_Zahlungen'!$C:$C,"Eingang"))</f>
        <v/>
      </c>
      <c r="S398" s="15">
        <f>IF(A398="","",MAX(0,Q398-R398))</f>
        <v/>
      </c>
      <c r="T398" s="45">
        <f>IF(OR(A398="",L398="bezahlt",J398=""),"",MAX(0,TODAY()-J398))</f>
        <v/>
      </c>
    </row>
    <row r="399">
      <c r="A399" s="30" t="inlineStr"/>
      <c r="B399" s="38" t="inlineStr"/>
      <c r="C399" s="30" t="inlineStr"/>
      <c r="D399" s="30" t="inlineStr"/>
      <c r="E399" s="30" t="inlineStr"/>
      <c r="F399" s="31" t="inlineStr"/>
      <c r="G399" s="34" t="inlineStr"/>
      <c r="H399" s="32" t="inlineStr"/>
      <c r="I399" s="32" t="inlineStr"/>
      <c r="J399" s="38" t="inlineStr"/>
      <c r="K399" s="38" t="inlineStr"/>
      <c r="L399" s="30" t="inlineStr"/>
      <c r="M399" s="30" t="inlineStr"/>
      <c r="N399" s="15">
        <f>IF(A399="","",G399*H399)</f>
        <v/>
      </c>
      <c r="O399" s="15">
        <f>IF(A399="","",G399-N399)</f>
        <v/>
      </c>
      <c r="P399" s="15">
        <f>IF(A399="","",O399*I399)</f>
        <v/>
      </c>
      <c r="Q399" s="15">
        <f>IF(A399="","",O399+P399)</f>
        <v/>
      </c>
      <c r="R399" s="15">
        <f>IF(A399="","",SUMIFS('15_Zahlungen'!$F:$F,'15_Zahlungen'!$D:$D,A399,'15_Zahlungen'!$C:$C,"Eingang"))</f>
        <v/>
      </c>
      <c r="S399" s="15">
        <f>IF(A399="","",MAX(0,Q399-R399))</f>
        <v/>
      </c>
      <c r="T399" s="45">
        <f>IF(OR(A399="",L399="bezahlt",J399=""),"",MAX(0,TODAY()-J399))</f>
        <v/>
      </c>
    </row>
    <row r="400">
      <c r="A400" s="30" t="inlineStr"/>
      <c r="B400" s="38" t="inlineStr"/>
      <c r="C400" s="30" t="inlineStr"/>
      <c r="D400" s="30" t="inlineStr"/>
      <c r="E400" s="30" t="inlineStr"/>
      <c r="F400" s="31" t="inlineStr"/>
      <c r="G400" s="34" t="inlineStr"/>
      <c r="H400" s="32" t="inlineStr"/>
      <c r="I400" s="32" t="inlineStr"/>
      <c r="J400" s="38" t="inlineStr"/>
      <c r="K400" s="38" t="inlineStr"/>
      <c r="L400" s="30" t="inlineStr"/>
      <c r="M400" s="30" t="inlineStr"/>
      <c r="N400" s="15">
        <f>IF(A400="","",G400*H400)</f>
        <v/>
      </c>
      <c r="O400" s="15">
        <f>IF(A400="","",G400-N400)</f>
        <v/>
      </c>
      <c r="P400" s="15">
        <f>IF(A400="","",O400*I400)</f>
        <v/>
      </c>
      <c r="Q400" s="15">
        <f>IF(A400="","",O400+P400)</f>
        <v/>
      </c>
      <c r="R400" s="15">
        <f>IF(A400="","",SUMIFS('15_Zahlungen'!$F:$F,'15_Zahlungen'!$D:$D,A400,'15_Zahlungen'!$C:$C,"Eingang"))</f>
        <v/>
      </c>
      <c r="S400" s="15">
        <f>IF(A400="","",MAX(0,Q400-R400))</f>
        <v/>
      </c>
      <c r="T400" s="45">
        <f>IF(OR(A400="",L400="bezahlt",J400=""),"",MAX(0,TODAY()-J400))</f>
        <v/>
      </c>
    </row>
  </sheetData>
  <mergeCells count="2">
    <mergeCell ref="A1:T1"/>
    <mergeCell ref="A2:T2"/>
  </mergeCells>
  <conditionalFormatting sqref="L4:L400">
    <cfRule type="expression" priority="1" dxfId="0">
      <formula>OR(L4="bezahlt",L4="abgeschlossen",L4="angenommen")</formula>
    </cfRule>
    <cfRule type="expression" priority="2" dxfId="1">
      <formula>OR(L4="überfällig",L4="gemahnt",L4="stopp",L4="verlust")</formula>
    </cfRule>
    <cfRule type="expression" priority="3" dxfId="2">
      <formula>OR(L4="offen",L4="in Bau",L4="geplant",L4="teilbezahlt")</formula>
    </cfRule>
  </conditionalFormatting>
  <dataValidations count="4">
    <dataValidation sqref="C4:C400" showDropDown="0" showInputMessage="0" showErrorMessage="0" allowBlank="1" errorTitle="Ungültige Auswahl" error="Bitte einen Wert aus der Liste wählen." promptTitle="Liste" prompt="Auswahl" type="list">
      <formula1>=ProjektNr</formula1>
    </dataValidation>
    <dataValidation sqref="D4:D400" showDropDown="0" showInputMessage="0" showErrorMessage="0" allowBlank="1" errorTitle="Ungültige Auswahl" error="Bitte einen Wert aus der Liste wählen." promptTitle="Liste" prompt="Auswahl" type="list">
      <formula1>=KundenNr</formula1>
    </dataValidation>
    <dataValidation sqref="E4:E400" showDropDown="0" showInputMessage="0" showErrorMessage="0" allowBlank="1" errorTitle="Ungültige Auswahl" error="Bitte einen Wert aus der Liste wählen." promptTitle="Liste" prompt="Auswahl" type="list">
      <formula1>=lstARTyp</formula1>
    </dataValidation>
    <dataValidation sqref="L4:L400" showDropDown="0" showInputMessage="0" showErrorMessage="0" allowBlank="1" errorTitle="Ungültige Auswahl" error="Bitte einen Wert aus der Liste wählen." promptTitle="Liste" prompt="Auswahl" type="list">
      <formula1>=lstBelegStatus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2F6B4F"/>
    <outlinePr summaryBelow="1" summaryRight="1"/>
    <pageSetUpPr/>
  </sheetPr>
  <dimension ref="A1:P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6" customWidth="1" min="5" max="5"/>
    <col width="14" customWidth="1" min="6" max="6"/>
    <col width="10" customWidth="1" min="7" max="7"/>
    <col width="12" customWidth="1" min="8" max="8"/>
    <col width="12" customWidth="1" min="9" max="9"/>
    <col width="12" customWidth="1" min="10" max="10"/>
    <col width="2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 ht="28" customHeight="1">
      <c r="A1" s="1" t="inlineStr">
        <is>
          <t>Eingangsrechnungen / Kreditoren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4" t="inlineStr">
        <is>
          <t>Material, Nachunternehmer, Gerät — steuert Cash-out, BWA und offene Verbindlichkeiten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 ht="28" customHeight="1">
      <c r="A3" s="17" t="inlineStr">
        <is>
          <t>Nr</t>
        </is>
      </c>
      <c r="B3" s="17" t="inlineStr">
        <is>
          <t>Datum</t>
        </is>
      </c>
      <c r="C3" s="17" t="inlineStr">
        <is>
          <t>Projekt</t>
        </is>
      </c>
      <c r="D3" s="17" t="inlineStr">
        <is>
          <t>Lieferant</t>
        </is>
      </c>
      <c r="E3" s="17" t="inlineStr">
        <is>
          <t>Typ</t>
        </is>
      </c>
      <c r="F3" s="17" t="inlineStr">
        <is>
          <t>Netto</t>
        </is>
      </c>
      <c r="G3" s="17" t="inlineStr">
        <is>
          <t>USt %</t>
        </is>
      </c>
      <c r="H3" s="17" t="inlineStr">
        <is>
          <t>Fällig</t>
        </is>
      </c>
      <c r="I3" s="17" t="inlineStr">
        <is>
          <t>Bezahlt am</t>
        </is>
      </c>
      <c r="J3" s="17" t="inlineStr">
        <is>
          <t>Status</t>
        </is>
      </c>
      <c r="K3" s="17" t="inlineStr">
        <is>
          <t>Text</t>
        </is>
      </c>
      <c r="L3" s="17" t="inlineStr">
        <is>
          <t>USt EUR</t>
        </is>
      </c>
      <c r="M3" s="17" t="inlineStr">
        <is>
          <t>Brutto</t>
        </is>
      </c>
      <c r="N3" s="17" t="inlineStr">
        <is>
          <t>Bezahlt</t>
        </is>
      </c>
      <c r="O3" s="17" t="inlineStr">
        <is>
          <t>Offen</t>
        </is>
      </c>
      <c r="P3" s="17" t="inlineStr">
        <is>
          <t>Tage überfällig</t>
        </is>
      </c>
    </row>
    <row r="4">
      <c r="A4" s="30" t="inlineStr">
        <is>
          <t>ER-5401</t>
        </is>
      </c>
      <c r="B4" s="38" t="n">
        <v>46225</v>
      </c>
      <c r="C4" s="30" t="inlineStr">
        <is>
          <t>P-2026-005</t>
        </is>
      </c>
      <c r="D4" s="30" t="inlineStr">
        <is>
          <t>L-2001</t>
        </is>
      </c>
      <c r="E4" s="30" t="inlineStr">
        <is>
          <t>Material</t>
        </is>
      </c>
      <c r="F4" s="34" t="n">
        <v>3441</v>
      </c>
      <c r="G4" s="32" t="n">
        <v>0.19</v>
      </c>
      <c r="H4" s="38" t="n">
        <v>46255</v>
      </c>
      <c r="I4" s="38" t="n">
        <v>46246</v>
      </c>
      <c r="J4" s="30" t="inlineStr">
        <is>
          <t>bezahlt</t>
        </is>
      </c>
      <c r="K4" s="30" t="inlineStr">
        <is>
          <t>Estrich</t>
        </is>
      </c>
      <c r="L4" s="15">
        <f>IF(A4="","",F4*G4)</f>
        <v/>
      </c>
      <c r="M4" s="15">
        <f>IF(A4="","",F4+L4)</f>
        <v/>
      </c>
      <c r="N4" s="15">
        <f>IF(A4="","",SUMIFS('15_Zahlungen'!$F:$F,'15_Zahlungen'!$D:$D,A4,'15_Zahlungen'!$C:$C,"Ausgang"))</f>
        <v/>
      </c>
      <c r="O4" s="15">
        <f>IF(A4="","",MAX(0,M4-N4))</f>
        <v/>
      </c>
      <c r="P4" s="45">
        <f>IF(OR(A4="",J4="bezahlt",H4=""),"",MAX(0,TODAY()-H4))</f>
        <v/>
      </c>
    </row>
    <row r="5">
      <c r="A5" s="30" t="inlineStr">
        <is>
          <t>ER-5512</t>
        </is>
      </c>
      <c r="B5" s="38" t="n">
        <v>46246</v>
      </c>
      <c r="C5" s="30" t="inlineStr">
        <is>
          <t>P-2026-001</t>
        </is>
      </c>
      <c r="D5" s="30" t="inlineStr">
        <is>
          <t>L-2001</t>
        </is>
      </c>
      <c r="E5" s="30" t="inlineStr">
        <is>
          <t>Material</t>
        </is>
      </c>
      <c r="F5" s="34" t="n">
        <v>12212</v>
      </c>
      <c r="G5" s="32" t="n">
        <v>0.19</v>
      </c>
      <c r="H5" s="38" t="n">
        <v>46276</v>
      </c>
      <c r="I5" s="38" t="n">
        <v>46269</v>
      </c>
      <c r="J5" s="30" t="inlineStr">
        <is>
          <t>bezahlt</t>
        </is>
      </c>
      <c r="K5" s="30" t="inlineStr">
        <is>
          <t>Transportbeton</t>
        </is>
      </c>
      <c r="L5" s="15">
        <f>IF(A5="","",F5*G5)</f>
        <v/>
      </c>
      <c r="M5" s="15">
        <f>IF(A5="","",F5+L5)</f>
        <v/>
      </c>
      <c r="N5" s="15">
        <f>IF(A5="","",SUMIFS('15_Zahlungen'!$F:$F,'15_Zahlungen'!$D:$D,A5,'15_Zahlungen'!$C:$C,"Ausgang"))</f>
        <v/>
      </c>
      <c r="O5" s="15">
        <f>IF(A5="","",MAX(0,M5-N5))</f>
        <v/>
      </c>
      <c r="P5" s="45">
        <f>IF(OR(A5="",J5="bezahlt",H5=""),"",MAX(0,TODAY()-H5))</f>
        <v/>
      </c>
    </row>
    <row r="6">
      <c r="A6" s="30" t="inlineStr">
        <is>
          <t>ER-5518</t>
        </is>
      </c>
      <c r="B6" s="38" t="n">
        <v>46248</v>
      </c>
      <c r="C6" s="30" t="inlineStr">
        <is>
          <t>P-2026-001</t>
        </is>
      </c>
      <c r="D6" s="30" t="inlineStr">
        <is>
          <t>L-2002</t>
        </is>
      </c>
      <c r="E6" s="30" t="inlineStr">
        <is>
          <t>Material</t>
        </is>
      </c>
      <c r="F6" s="34" t="n">
        <v>12152</v>
      </c>
      <c r="G6" s="32" t="n">
        <v>0.19</v>
      </c>
      <c r="H6" s="38" t="n">
        <v>46278</v>
      </c>
      <c r="I6" s="38" t="n">
        <v>46262</v>
      </c>
      <c r="J6" s="30" t="inlineStr">
        <is>
          <t>bezahlt</t>
        </is>
      </c>
      <c r="K6" s="30" t="inlineStr">
        <is>
          <t>Betonstahl Skonto</t>
        </is>
      </c>
      <c r="L6" s="15">
        <f>IF(A6="","",F6*G6)</f>
        <v/>
      </c>
      <c r="M6" s="15">
        <f>IF(A6="","",F6+L6)</f>
        <v/>
      </c>
      <c r="N6" s="15">
        <f>IF(A6="","",SUMIFS('15_Zahlungen'!$F:$F,'15_Zahlungen'!$D:$D,A6,'15_Zahlungen'!$C:$C,"Ausgang"))</f>
        <v/>
      </c>
      <c r="O6" s="15">
        <f>IF(A6="","",MAX(0,M6-N6))</f>
        <v/>
      </c>
      <c r="P6" s="45">
        <f>IF(OR(A6="",J6="bezahlt",H6=""),"",MAX(0,TODAY()-H6))</f>
        <v/>
      </c>
    </row>
    <row r="7">
      <c r="A7" s="30" t="inlineStr">
        <is>
          <t>ER-5531</t>
        </is>
      </c>
      <c r="B7" s="38" t="n">
        <v>46254</v>
      </c>
      <c r="C7" s="30" t="inlineStr">
        <is>
          <t>P-2026-002</t>
        </is>
      </c>
      <c r="D7" s="30" t="inlineStr">
        <is>
          <t>L-2001</t>
        </is>
      </c>
      <c r="E7" s="30" t="inlineStr">
        <is>
          <t>Material</t>
        </is>
      </c>
      <c r="F7" s="34" t="n">
        <v>4692</v>
      </c>
      <c r="G7" s="32" t="n">
        <v>0.19</v>
      </c>
      <c r="H7" s="38" t="n">
        <v>46284</v>
      </c>
      <c r="I7" s="38" t="n"/>
      <c r="J7" s="30" t="inlineStr">
        <is>
          <t>offen</t>
        </is>
      </c>
      <c r="K7" s="30" t="inlineStr">
        <is>
          <t>Beton Kita</t>
        </is>
      </c>
      <c r="L7" s="15">
        <f>IF(A7="","",F7*G7)</f>
        <v/>
      </c>
      <c r="M7" s="15">
        <f>IF(A7="","",F7+L7)</f>
        <v/>
      </c>
      <c r="N7" s="15">
        <f>IF(A7="","",SUMIFS('15_Zahlungen'!$F:$F,'15_Zahlungen'!$D:$D,A7,'15_Zahlungen'!$C:$C,"Ausgang"))</f>
        <v/>
      </c>
      <c r="O7" s="15">
        <f>IF(A7="","",MAX(0,M7-N7))</f>
        <v/>
      </c>
      <c r="P7" s="45">
        <f>IF(OR(A7="",J7="bezahlt",H7=""),"",MAX(0,TODAY()-H7))</f>
        <v/>
      </c>
    </row>
    <row r="8">
      <c r="A8" s="30" t="inlineStr">
        <is>
          <t>ER-5540</t>
        </is>
      </c>
      <c r="B8" s="38" t="n">
        <v>46259</v>
      </c>
      <c r="C8" s="30" t="inlineStr">
        <is>
          <t>P-2026-001</t>
        </is>
      </c>
      <c r="D8" s="30" t="inlineStr">
        <is>
          <t>L-2003</t>
        </is>
      </c>
      <c r="E8" s="30" t="inlineStr">
        <is>
          <t>Nachunternehmer</t>
        </is>
      </c>
      <c r="F8" s="34" t="n">
        <v>28600</v>
      </c>
      <c r="G8" s="32" t="n">
        <v>0.19</v>
      </c>
      <c r="H8" s="38" t="n">
        <v>46280</v>
      </c>
      <c r="I8" s="38" t="n"/>
      <c r="J8" s="30" t="inlineStr">
        <is>
          <t>offen</t>
        </is>
      </c>
      <c r="K8" s="30" t="inlineStr">
        <is>
          <t>Elektro Steigstränge</t>
        </is>
      </c>
      <c r="L8" s="15">
        <f>IF(A8="","",F8*G8)</f>
        <v/>
      </c>
      <c r="M8" s="15">
        <f>IF(A8="","",F8+L8)</f>
        <v/>
      </c>
      <c r="N8" s="15">
        <f>IF(A8="","",SUMIFS('15_Zahlungen'!$F:$F,'15_Zahlungen'!$D:$D,A8,'15_Zahlungen'!$C:$C,"Ausgang"))</f>
        <v/>
      </c>
      <c r="O8" s="15">
        <f>IF(A8="","",MAX(0,M8-N8))</f>
        <v/>
      </c>
      <c r="P8" s="45">
        <f>IF(OR(A8="",J8="bezahlt",H8=""),"",MAX(0,TODAY()-H8))</f>
        <v/>
      </c>
    </row>
    <row r="9">
      <c r="A9" s="30" t="inlineStr">
        <is>
          <t>ER-5555</t>
        </is>
      </c>
      <c r="B9" s="38" t="n">
        <v>46262</v>
      </c>
      <c r="C9" s="30" t="inlineStr">
        <is>
          <t>P-2026-003</t>
        </is>
      </c>
      <c r="D9" s="30" t="inlineStr">
        <is>
          <t>L-2004</t>
        </is>
      </c>
      <c r="E9" s="30" t="inlineStr">
        <is>
          <t>Nachunternehmer</t>
        </is>
      </c>
      <c r="F9" s="34" t="n">
        <v>19400</v>
      </c>
      <c r="G9" s="32" t="n">
        <v>0.19</v>
      </c>
      <c r="H9" s="38" t="n">
        <v>46283</v>
      </c>
      <c r="I9" s="38" t="n">
        <v>46275</v>
      </c>
      <c r="J9" s="30" t="inlineStr">
        <is>
          <t>bezahlt</t>
        </is>
      </c>
      <c r="K9" s="30" t="inlineStr">
        <is>
          <t>HLS 1. Rate</t>
        </is>
      </c>
      <c r="L9" s="15">
        <f>IF(A9="","",F9*G9)</f>
        <v/>
      </c>
      <c r="M9" s="15">
        <f>IF(A9="","",F9+L9)</f>
        <v/>
      </c>
      <c r="N9" s="15">
        <f>IF(A9="","",SUMIFS('15_Zahlungen'!$F:$F,'15_Zahlungen'!$D:$D,A9,'15_Zahlungen'!$C:$C,"Ausgang"))</f>
        <v/>
      </c>
      <c r="O9" s="15">
        <f>IF(A9="","",MAX(0,M9-N9))</f>
        <v/>
      </c>
      <c r="P9" s="45">
        <f>IF(OR(A9="",J9="bezahlt",H9=""),"",MAX(0,TODAY()-H9))</f>
        <v/>
      </c>
    </row>
    <row r="10">
      <c r="A10" s="30" t="inlineStr">
        <is>
          <t>ER-5602</t>
        </is>
      </c>
      <c r="B10" s="38" t="n">
        <v>46267</v>
      </c>
      <c r="C10" s="30" t="inlineStr">
        <is>
          <t>P-2026-004</t>
        </is>
      </c>
      <c r="D10" s="30" t="inlineStr">
        <is>
          <t>L-2002</t>
        </is>
      </c>
      <c r="E10" s="30" t="inlineStr">
        <is>
          <t>Material</t>
        </is>
      </c>
      <c r="F10" s="34" t="n">
        <v>26412</v>
      </c>
      <c r="G10" s="32" t="n">
        <v>0.19</v>
      </c>
      <c r="H10" s="38" t="n">
        <v>46297</v>
      </c>
      <c r="I10" s="38" t="n"/>
      <c r="J10" s="30" t="inlineStr">
        <is>
          <t>offen</t>
        </is>
      </c>
      <c r="K10" s="30" t="inlineStr">
        <is>
          <t>Stahlträger</t>
        </is>
      </c>
      <c r="L10" s="15">
        <f>IF(A10="","",F10*G10)</f>
        <v/>
      </c>
      <c r="M10" s="15">
        <f>IF(A10="","",F10+L10)</f>
        <v/>
      </c>
      <c r="N10" s="15">
        <f>IF(A10="","",SUMIFS('15_Zahlungen'!$F:$F,'15_Zahlungen'!$D:$D,A10,'15_Zahlungen'!$C:$C,"Ausgang"))</f>
        <v/>
      </c>
      <c r="O10" s="15">
        <f>IF(A10="","",MAX(0,M10-N10))</f>
        <v/>
      </c>
      <c r="P10" s="45">
        <f>IF(OR(A10="",J10="bezahlt",H10=""),"",MAX(0,TODAY()-H10))</f>
        <v/>
      </c>
    </row>
    <row r="11">
      <c r="A11" s="30" t="inlineStr">
        <is>
          <t>ER-5610</t>
        </is>
      </c>
      <c r="B11" s="38" t="n">
        <v>46270</v>
      </c>
      <c r="C11" s="30" t="inlineStr">
        <is>
          <t>P-2026-003</t>
        </is>
      </c>
      <c r="D11" s="30" t="inlineStr">
        <is>
          <t>L-2007</t>
        </is>
      </c>
      <c r="E11" s="30" t="inlineStr">
        <is>
          <t>Nachunternehmer</t>
        </is>
      </c>
      <c r="F11" s="34" t="n">
        <v>4800</v>
      </c>
      <c r="G11" s="32" t="n">
        <v>0.19</v>
      </c>
      <c r="H11" s="38" t="n">
        <v>46284</v>
      </c>
      <c r="I11" s="38" t="n"/>
      <c r="J11" s="30" t="inlineStr">
        <is>
          <t>offen</t>
        </is>
      </c>
      <c r="K11" s="30" t="inlineStr">
        <is>
          <t>Gerüstmiete</t>
        </is>
      </c>
      <c r="L11" s="15">
        <f>IF(A11="","",F11*G11)</f>
        <v/>
      </c>
      <c r="M11" s="15">
        <f>IF(A11="","",F11+L11)</f>
        <v/>
      </c>
      <c r="N11" s="15">
        <f>IF(A11="","",SUMIFS('15_Zahlungen'!$F:$F,'15_Zahlungen'!$D:$D,A11,'15_Zahlungen'!$C:$C,"Ausgang"))</f>
        <v/>
      </c>
      <c r="O11" s="15">
        <f>IF(A11="","",MAX(0,M11-N11))</f>
        <v/>
      </c>
      <c r="P11" s="45">
        <f>IF(OR(A11="",J11="bezahlt",H11=""),"",MAX(0,TODAY()-H11))</f>
        <v/>
      </c>
    </row>
    <row r="12">
      <c r="A12" s="30" t="inlineStr">
        <is>
          <t>ER-5622</t>
        </is>
      </c>
      <c r="B12" s="38" t="n">
        <v>46273</v>
      </c>
      <c r="C12" s="30" t="inlineStr">
        <is>
          <t>Allgemein</t>
        </is>
      </c>
      <c r="D12" s="30" t="inlineStr">
        <is>
          <t>L-2005</t>
        </is>
      </c>
      <c r="E12" s="30" t="inlineStr">
        <is>
          <t>Gerät</t>
        </is>
      </c>
      <c r="F12" s="34" t="n">
        <v>6200</v>
      </c>
      <c r="G12" s="32" t="n">
        <v>0.19</v>
      </c>
      <c r="H12" s="38" t="n">
        <v>46287</v>
      </c>
      <c r="I12" s="38" t="n"/>
      <c r="J12" s="30" t="inlineStr">
        <is>
          <t>offen</t>
        </is>
      </c>
      <c r="K12" s="30" t="inlineStr">
        <is>
          <t>Kranmiete September</t>
        </is>
      </c>
      <c r="L12" s="15">
        <f>IF(A12="","",F12*G12)</f>
        <v/>
      </c>
      <c r="M12" s="15">
        <f>IF(A12="","",F12+L12)</f>
        <v/>
      </c>
      <c r="N12" s="15">
        <f>IF(A12="","",SUMIFS('15_Zahlungen'!$F:$F,'15_Zahlungen'!$D:$D,A12,'15_Zahlungen'!$C:$C,"Ausgang"))</f>
        <v/>
      </c>
      <c r="O12" s="15">
        <f>IF(A12="","",MAX(0,M12-N12))</f>
        <v/>
      </c>
      <c r="P12" s="45">
        <f>IF(OR(A12="",J12="bezahlt",H12=""),"",MAX(0,TODAY()-H12))</f>
        <v/>
      </c>
    </row>
    <row r="13">
      <c r="A13" s="30" t="inlineStr">
        <is>
          <t>ER-5630</t>
        </is>
      </c>
      <c r="B13" s="38" t="n">
        <v>46275</v>
      </c>
      <c r="C13" s="30" t="inlineStr">
        <is>
          <t>P-2026-002</t>
        </is>
      </c>
      <c r="D13" s="30" t="inlineStr">
        <is>
          <t>L-2004</t>
        </is>
      </c>
      <c r="E13" s="30" t="inlineStr">
        <is>
          <t>Nachunternehmer</t>
        </is>
      </c>
      <c r="F13" s="34" t="n">
        <v>15800</v>
      </c>
      <c r="G13" s="32" t="n">
        <v>0.19</v>
      </c>
      <c r="H13" s="38" t="n">
        <v>46296</v>
      </c>
      <c r="I13" s="38" t="n"/>
      <c r="J13" s="30" t="inlineStr">
        <is>
          <t>offen</t>
        </is>
      </c>
      <c r="K13" s="30" t="inlineStr">
        <is>
          <t>HLS Kita</t>
        </is>
      </c>
      <c r="L13" s="15">
        <f>IF(A13="","",F13*G13)</f>
        <v/>
      </c>
      <c r="M13" s="15">
        <f>IF(A13="","",F13+L13)</f>
        <v/>
      </c>
      <c r="N13" s="15">
        <f>IF(A13="","",SUMIFS('15_Zahlungen'!$F:$F,'15_Zahlungen'!$D:$D,A13,'15_Zahlungen'!$C:$C,"Ausgang"))</f>
        <v/>
      </c>
      <c r="O13" s="15">
        <f>IF(A13="","",MAX(0,M13-N13))</f>
        <v/>
      </c>
      <c r="P13" s="45">
        <f>IF(OR(A13="",J13="bezahlt",H13=""),"",MAX(0,TODAY()-H13))</f>
        <v/>
      </c>
    </row>
    <row r="14">
      <c r="A14" s="30" t="inlineStr"/>
      <c r="B14" s="38" t="inlineStr"/>
      <c r="C14" s="30" t="inlineStr"/>
      <c r="D14" s="30" t="inlineStr"/>
      <c r="E14" s="30" t="inlineStr"/>
      <c r="F14" s="34" t="inlineStr"/>
      <c r="G14" s="32" t="inlineStr"/>
      <c r="H14" s="38" t="inlineStr"/>
      <c r="I14" s="38" t="inlineStr"/>
      <c r="J14" s="30" t="inlineStr"/>
      <c r="K14" s="30" t="inlineStr"/>
      <c r="L14" s="15">
        <f>IF(A14="","",F14*G14)</f>
        <v/>
      </c>
      <c r="M14" s="15">
        <f>IF(A14="","",F14+L14)</f>
        <v/>
      </c>
      <c r="N14" s="15">
        <f>IF(A14="","",SUMIFS('15_Zahlungen'!$F:$F,'15_Zahlungen'!$D:$D,A14,'15_Zahlungen'!$C:$C,"Ausgang"))</f>
        <v/>
      </c>
      <c r="O14" s="15">
        <f>IF(A14="","",MAX(0,M14-N14))</f>
        <v/>
      </c>
      <c r="P14" s="45">
        <f>IF(OR(A14="",J14="bezahlt",H14=""),"",MAX(0,TODAY()-H14))</f>
        <v/>
      </c>
    </row>
    <row r="15">
      <c r="A15" s="30" t="inlineStr"/>
      <c r="B15" s="38" t="inlineStr"/>
      <c r="C15" s="30" t="inlineStr"/>
      <c r="D15" s="30" t="inlineStr"/>
      <c r="E15" s="30" t="inlineStr"/>
      <c r="F15" s="34" t="inlineStr"/>
      <c r="G15" s="32" t="inlineStr"/>
      <c r="H15" s="38" t="inlineStr"/>
      <c r="I15" s="38" t="inlineStr"/>
      <c r="J15" s="30" t="inlineStr"/>
      <c r="K15" s="30" t="inlineStr"/>
      <c r="L15" s="15">
        <f>IF(A15="","",F15*G15)</f>
        <v/>
      </c>
      <c r="M15" s="15">
        <f>IF(A15="","",F15+L15)</f>
        <v/>
      </c>
      <c r="N15" s="15">
        <f>IF(A15="","",SUMIFS('15_Zahlungen'!$F:$F,'15_Zahlungen'!$D:$D,A15,'15_Zahlungen'!$C:$C,"Ausgang"))</f>
        <v/>
      </c>
      <c r="O15" s="15">
        <f>IF(A15="","",MAX(0,M15-N15))</f>
        <v/>
      </c>
      <c r="P15" s="45">
        <f>IF(OR(A15="",J15="bezahlt",H15=""),"",MAX(0,TODAY()-H15))</f>
        <v/>
      </c>
    </row>
    <row r="16">
      <c r="A16" s="30" t="inlineStr"/>
      <c r="B16" s="38" t="inlineStr"/>
      <c r="C16" s="30" t="inlineStr"/>
      <c r="D16" s="30" t="inlineStr"/>
      <c r="E16" s="30" t="inlineStr"/>
      <c r="F16" s="34" t="inlineStr"/>
      <c r="G16" s="32" t="inlineStr"/>
      <c r="H16" s="38" t="inlineStr"/>
      <c r="I16" s="38" t="inlineStr"/>
      <c r="J16" s="30" t="inlineStr"/>
      <c r="K16" s="30" t="inlineStr"/>
      <c r="L16" s="15">
        <f>IF(A16="","",F16*G16)</f>
        <v/>
      </c>
      <c r="M16" s="15">
        <f>IF(A16="","",F16+L16)</f>
        <v/>
      </c>
      <c r="N16" s="15">
        <f>IF(A16="","",SUMIFS('15_Zahlungen'!$F:$F,'15_Zahlungen'!$D:$D,A16,'15_Zahlungen'!$C:$C,"Ausgang"))</f>
        <v/>
      </c>
      <c r="O16" s="15">
        <f>IF(A16="","",MAX(0,M16-N16))</f>
        <v/>
      </c>
      <c r="P16" s="45">
        <f>IF(OR(A16="",J16="bezahlt",H16=""),"",MAX(0,TODAY()-H16))</f>
        <v/>
      </c>
    </row>
    <row r="17">
      <c r="A17" s="30" t="inlineStr"/>
      <c r="B17" s="38" t="inlineStr"/>
      <c r="C17" s="30" t="inlineStr"/>
      <c r="D17" s="30" t="inlineStr"/>
      <c r="E17" s="30" t="inlineStr"/>
      <c r="F17" s="34" t="inlineStr"/>
      <c r="G17" s="32" t="inlineStr"/>
      <c r="H17" s="38" t="inlineStr"/>
      <c r="I17" s="38" t="inlineStr"/>
      <c r="J17" s="30" t="inlineStr"/>
      <c r="K17" s="30" t="inlineStr"/>
      <c r="L17" s="15">
        <f>IF(A17="","",F17*G17)</f>
        <v/>
      </c>
      <c r="M17" s="15">
        <f>IF(A17="","",F17+L17)</f>
        <v/>
      </c>
      <c r="N17" s="15">
        <f>IF(A17="","",SUMIFS('15_Zahlungen'!$F:$F,'15_Zahlungen'!$D:$D,A17,'15_Zahlungen'!$C:$C,"Ausgang"))</f>
        <v/>
      </c>
      <c r="O17" s="15">
        <f>IF(A17="","",MAX(0,M17-N17))</f>
        <v/>
      </c>
      <c r="P17" s="45">
        <f>IF(OR(A17="",J17="bezahlt",H17=""),"",MAX(0,TODAY()-H17))</f>
        <v/>
      </c>
    </row>
    <row r="18">
      <c r="A18" s="30" t="inlineStr"/>
      <c r="B18" s="38" t="inlineStr"/>
      <c r="C18" s="30" t="inlineStr"/>
      <c r="D18" s="30" t="inlineStr"/>
      <c r="E18" s="30" t="inlineStr"/>
      <c r="F18" s="34" t="inlineStr"/>
      <c r="G18" s="32" t="inlineStr"/>
      <c r="H18" s="38" t="inlineStr"/>
      <c r="I18" s="38" t="inlineStr"/>
      <c r="J18" s="30" t="inlineStr"/>
      <c r="K18" s="30" t="inlineStr"/>
      <c r="L18" s="15">
        <f>IF(A18="","",F18*G18)</f>
        <v/>
      </c>
      <c r="M18" s="15">
        <f>IF(A18="","",F18+L18)</f>
        <v/>
      </c>
      <c r="N18" s="15">
        <f>IF(A18="","",SUMIFS('15_Zahlungen'!$F:$F,'15_Zahlungen'!$D:$D,A18,'15_Zahlungen'!$C:$C,"Ausgang"))</f>
        <v/>
      </c>
      <c r="O18" s="15">
        <f>IF(A18="","",MAX(0,M18-N18))</f>
        <v/>
      </c>
      <c r="P18" s="45">
        <f>IF(OR(A18="",J18="bezahlt",H18=""),"",MAX(0,TODAY()-H18))</f>
        <v/>
      </c>
    </row>
    <row r="19">
      <c r="A19" s="30" t="inlineStr"/>
      <c r="B19" s="38" t="inlineStr"/>
      <c r="C19" s="30" t="inlineStr"/>
      <c r="D19" s="30" t="inlineStr"/>
      <c r="E19" s="30" t="inlineStr"/>
      <c r="F19" s="34" t="inlineStr"/>
      <c r="G19" s="32" t="inlineStr"/>
      <c r="H19" s="38" t="inlineStr"/>
      <c r="I19" s="38" t="inlineStr"/>
      <c r="J19" s="30" t="inlineStr"/>
      <c r="K19" s="30" t="inlineStr"/>
      <c r="L19" s="15">
        <f>IF(A19="","",F19*G19)</f>
        <v/>
      </c>
      <c r="M19" s="15">
        <f>IF(A19="","",F19+L19)</f>
        <v/>
      </c>
      <c r="N19" s="15">
        <f>IF(A19="","",SUMIFS('15_Zahlungen'!$F:$F,'15_Zahlungen'!$D:$D,A19,'15_Zahlungen'!$C:$C,"Ausgang"))</f>
        <v/>
      </c>
      <c r="O19" s="15">
        <f>IF(A19="","",MAX(0,M19-N19))</f>
        <v/>
      </c>
      <c r="P19" s="45">
        <f>IF(OR(A19="",J19="bezahlt",H19=""),"",MAX(0,TODAY()-H19))</f>
        <v/>
      </c>
    </row>
    <row r="20">
      <c r="A20" s="30" t="inlineStr"/>
      <c r="B20" s="38" t="inlineStr"/>
      <c r="C20" s="30" t="inlineStr"/>
      <c r="D20" s="30" t="inlineStr"/>
      <c r="E20" s="30" t="inlineStr"/>
      <c r="F20" s="34" t="inlineStr"/>
      <c r="G20" s="32" t="inlineStr"/>
      <c r="H20" s="38" t="inlineStr"/>
      <c r="I20" s="38" t="inlineStr"/>
      <c r="J20" s="30" t="inlineStr"/>
      <c r="K20" s="30" t="inlineStr"/>
      <c r="L20" s="15">
        <f>IF(A20="","",F20*G20)</f>
        <v/>
      </c>
      <c r="M20" s="15">
        <f>IF(A20="","",F20+L20)</f>
        <v/>
      </c>
      <c r="N20" s="15">
        <f>IF(A20="","",SUMIFS('15_Zahlungen'!$F:$F,'15_Zahlungen'!$D:$D,A20,'15_Zahlungen'!$C:$C,"Ausgang"))</f>
        <v/>
      </c>
      <c r="O20" s="15">
        <f>IF(A20="","",MAX(0,M20-N20))</f>
        <v/>
      </c>
      <c r="P20" s="45">
        <f>IF(OR(A20="",J20="bezahlt",H20=""),"",MAX(0,TODAY()-H20))</f>
        <v/>
      </c>
    </row>
    <row r="21">
      <c r="A21" s="30" t="inlineStr"/>
      <c r="B21" s="38" t="inlineStr"/>
      <c r="C21" s="30" t="inlineStr"/>
      <c r="D21" s="30" t="inlineStr"/>
      <c r="E21" s="30" t="inlineStr"/>
      <c r="F21" s="34" t="inlineStr"/>
      <c r="G21" s="32" t="inlineStr"/>
      <c r="H21" s="38" t="inlineStr"/>
      <c r="I21" s="38" t="inlineStr"/>
      <c r="J21" s="30" t="inlineStr"/>
      <c r="K21" s="30" t="inlineStr"/>
      <c r="L21" s="15">
        <f>IF(A21="","",F21*G21)</f>
        <v/>
      </c>
      <c r="M21" s="15">
        <f>IF(A21="","",F21+L21)</f>
        <v/>
      </c>
      <c r="N21" s="15">
        <f>IF(A21="","",SUMIFS('15_Zahlungen'!$F:$F,'15_Zahlungen'!$D:$D,A21,'15_Zahlungen'!$C:$C,"Ausgang"))</f>
        <v/>
      </c>
      <c r="O21" s="15">
        <f>IF(A21="","",MAX(0,M21-N21))</f>
        <v/>
      </c>
      <c r="P21" s="45">
        <f>IF(OR(A21="",J21="bezahlt",H21=""),"",MAX(0,TODAY()-H21))</f>
        <v/>
      </c>
    </row>
    <row r="22">
      <c r="A22" s="30" t="inlineStr"/>
      <c r="B22" s="38" t="inlineStr"/>
      <c r="C22" s="30" t="inlineStr"/>
      <c r="D22" s="30" t="inlineStr"/>
      <c r="E22" s="30" t="inlineStr"/>
      <c r="F22" s="34" t="inlineStr"/>
      <c r="G22" s="32" t="inlineStr"/>
      <c r="H22" s="38" t="inlineStr"/>
      <c r="I22" s="38" t="inlineStr"/>
      <c r="J22" s="30" t="inlineStr"/>
      <c r="K22" s="30" t="inlineStr"/>
      <c r="L22" s="15">
        <f>IF(A22="","",F22*G22)</f>
        <v/>
      </c>
      <c r="M22" s="15">
        <f>IF(A22="","",F22+L22)</f>
        <v/>
      </c>
      <c r="N22" s="15">
        <f>IF(A22="","",SUMIFS('15_Zahlungen'!$F:$F,'15_Zahlungen'!$D:$D,A22,'15_Zahlungen'!$C:$C,"Ausgang"))</f>
        <v/>
      </c>
      <c r="O22" s="15">
        <f>IF(A22="","",MAX(0,M22-N22))</f>
        <v/>
      </c>
      <c r="P22" s="45">
        <f>IF(OR(A22="",J22="bezahlt",H22=""),"",MAX(0,TODAY()-H22))</f>
        <v/>
      </c>
    </row>
    <row r="23">
      <c r="A23" s="30" t="inlineStr"/>
      <c r="B23" s="38" t="inlineStr"/>
      <c r="C23" s="30" t="inlineStr"/>
      <c r="D23" s="30" t="inlineStr"/>
      <c r="E23" s="30" t="inlineStr"/>
      <c r="F23" s="34" t="inlineStr"/>
      <c r="G23" s="32" t="inlineStr"/>
      <c r="H23" s="38" t="inlineStr"/>
      <c r="I23" s="38" t="inlineStr"/>
      <c r="J23" s="30" t="inlineStr"/>
      <c r="K23" s="30" t="inlineStr"/>
      <c r="L23" s="15">
        <f>IF(A23="","",F23*G23)</f>
        <v/>
      </c>
      <c r="M23" s="15">
        <f>IF(A23="","",F23+L23)</f>
        <v/>
      </c>
      <c r="N23" s="15">
        <f>IF(A23="","",SUMIFS('15_Zahlungen'!$F:$F,'15_Zahlungen'!$D:$D,A23,'15_Zahlungen'!$C:$C,"Ausgang"))</f>
        <v/>
      </c>
      <c r="O23" s="15">
        <f>IF(A23="","",MAX(0,M23-N23))</f>
        <v/>
      </c>
      <c r="P23" s="45">
        <f>IF(OR(A23="",J23="bezahlt",H23=""),"",MAX(0,TODAY()-H23))</f>
        <v/>
      </c>
    </row>
    <row r="24">
      <c r="A24" s="30" t="inlineStr"/>
      <c r="B24" s="38" t="inlineStr"/>
      <c r="C24" s="30" t="inlineStr"/>
      <c r="D24" s="30" t="inlineStr"/>
      <c r="E24" s="30" t="inlineStr"/>
      <c r="F24" s="34" t="inlineStr"/>
      <c r="G24" s="32" t="inlineStr"/>
      <c r="H24" s="38" t="inlineStr"/>
      <c r="I24" s="38" t="inlineStr"/>
      <c r="J24" s="30" t="inlineStr"/>
      <c r="K24" s="30" t="inlineStr"/>
      <c r="L24" s="15">
        <f>IF(A24="","",F24*G24)</f>
        <v/>
      </c>
      <c r="M24" s="15">
        <f>IF(A24="","",F24+L24)</f>
        <v/>
      </c>
      <c r="N24" s="15">
        <f>IF(A24="","",SUMIFS('15_Zahlungen'!$F:$F,'15_Zahlungen'!$D:$D,A24,'15_Zahlungen'!$C:$C,"Ausgang"))</f>
        <v/>
      </c>
      <c r="O24" s="15">
        <f>IF(A24="","",MAX(0,M24-N24))</f>
        <v/>
      </c>
      <c r="P24" s="45">
        <f>IF(OR(A24="",J24="bezahlt",H24=""),"",MAX(0,TODAY()-H24))</f>
        <v/>
      </c>
    </row>
    <row r="25">
      <c r="A25" s="30" t="inlineStr"/>
      <c r="B25" s="38" t="inlineStr"/>
      <c r="C25" s="30" t="inlineStr"/>
      <c r="D25" s="30" t="inlineStr"/>
      <c r="E25" s="30" t="inlineStr"/>
      <c r="F25" s="34" t="inlineStr"/>
      <c r="G25" s="32" t="inlineStr"/>
      <c r="H25" s="38" t="inlineStr"/>
      <c r="I25" s="38" t="inlineStr"/>
      <c r="J25" s="30" t="inlineStr"/>
      <c r="K25" s="30" t="inlineStr"/>
      <c r="L25" s="15">
        <f>IF(A25="","",F25*G25)</f>
        <v/>
      </c>
      <c r="M25" s="15">
        <f>IF(A25="","",F25+L25)</f>
        <v/>
      </c>
      <c r="N25" s="15">
        <f>IF(A25="","",SUMIFS('15_Zahlungen'!$F:$F,'15_Zahlungen'!$D:$D,A25,'15_Zahlungen'!$C:$C,"Ausgang"))</f>
        <v/>
      </c>
      <c r="O25" s="15">
        <f>IF(A25="","",MAX(0,M25-N25))</f>
        <v/>
      </c>
      <c r="P25" s="45">
        <f>IF(OR(A25="",J25="bezahlt",H25=""),"",MAX(0,TODAY()-H25))</f>
        <v/>
      </c>
    </row>
    <row r="26">
      <c r="A26" s="30" t="inlineStr"/>
      <c r="B26" s="38" t="inlineStr"/>
      <c r="C26" s="30" t="inlineStr"/>
      <c r="D26" s="30" t="inlineStr"/>
      <c r="E26" s="30" t="inlineStr"/>
      <c r="F26" s="34" t="inlineStr"/>
      <c r="G26" s="32" t="inlineStr"/>
      <c r="H26" s="38" t="inlineStr"/>
      <c r="I26" s="38" t="inlineStr"/>
      <c r="J26" s="30" t="inlineStr"/>
      <c r="K26" s="30" t="inlineStr"/>
      <c r="L26" s="15">
        <f>IF(A26="","",F26*G26)</f>
        <v/>
      </c>
      <c r="M26" s="15">
        <f>IF(A26="","",F26+L26)</f>
        <v/>
      </c>
      <c r="N26" s="15">
        <f>IF(A26="","",SUMIFS('15_Zahlungen'!$F:$F,'15_Zahlungen'!$D:$D,A26,'15_Zahlungen'!$C:$C,"Ausgang"))</f>
        <v/>
      </c>
      <c r="O26" s="15">
        <f>IF(A26="","",MAX(0,M26-N26))</f>
        <v/>
      </c>
      <c r="P26" s="45">
        <f>IF(OR(A26="",J26="bezahlt",H26=""),"",MAX(0,TODAY()-H26))</f>
        <v/>
      </c>
    </row>
    <row r="27">
      <c r="A27" s="30" t="inlineStr"/>
      <c r="B27" s="38" t="inlineStr"/>
      <c r="C27" s="30" t="inlineStr"/>
      <c r="D27" s="30" t="inlineStr"/>
      <c r="E27" s="30" t="inlineStr"/>
      <c r="F27" s="34" t="inlineStr"/>
      <c r="G27" s="32" t="inlineStr"/>
      <c r="H27" s="38" t="inlineStr"/>
      <c r="I27" s="38" t="inlineStr"/>
      <c r="J27" s="30" t="inlineStr"/>
      <c r="K27" s="30" t="inlineStr"/>
      <c r="L27" s="15">
        <f>IF(A27="","",F27*G27)</f>
        <v/>
      </c>
      <c r="M27" s="15">
        <f>IF(A27="","",F27+L27)</f>
        <v/>
      </c>
      <c r="N27" s="15">
        <f>IF(A27="","",SUMIFS('15_Zahlungen'!$F:$F,'15_Zahlungen'!$D:$D,A27,'15_Zahlungen'!$C:$C,"Ausgang"))</f>
        <v/>
      </c>
      <c r="O27" s="15">
        <f>IF(A27="","",MAX(0,M27-N27))</f>
        <v/>
      </c>
      <c r="P27" s="45">
        <f>IF(OR(A27="",J27="bezahlt",H27=""),"",MAX(0,TODAY()-H27))</f>
        <v/>
      </c>
    </row>
    <row r="28">
      <c r="A28" s="30" t="inlineStr"/>
      <c r="B28" s="38" t="inlineStr"/>
      <c r="C28" s="30" t="inlineStr"/>
      <c r="D28" s="30" t="inlineStr"/>
      <c r="E28" s="30" t="inlineStr"/>
      <c r="F28" s="34" t="inlineStr"/>
      <c r="G28" s="32" t="inlineStr"/>
      <c r="H28" s="38" t="inlineStr"/>
      <c r="I28" s="38" t="inlineStr"/>
      <c r="J28" s="30" t="inlineStr"/>
      <c r="K28" s="30" t="inlineStr"/>
      <c r="L28" s="15">
        <f>IF(A28="","",F28*G28)</f>
        <v/>
      </c>
      <c r="M28" s="15">
        <f>IF(A28="","",F28+L28)</f>
        <v/>
      </c>
      <c r="N28" s="15">
        <f>IF(A28="","",SUMIFS('15_Zahlungen'!$F:$F,'15_Zahlungen'!$D:$D,A28,'15_Zahlungen'!$C:$C,"Ausgang"))</f>
        <v/>
      </c>
      <c r="O28" s="15">
        <f>IF(A28="","",MAX(0,M28-N28))</f>
        <v/>
      </c>
      <c r="P28" s="45">
        <f>IF(OR(A28="",J28="bezahlt",H28=""),"",MAX(0,TODAY()-H28))</f>
        <v/>
      </c>
    </row>
    <row r="29">
      <c r="A29" s="30" t="inlineStr"/>
      <c r="B29" s="38" t="inlineStr"/>
      <c r="C29" s="30" t="inlineStr"/>
      <c r="D29" s="30" t="inlineStr"/>
      <c r="E29" s="30" t="inlineStr"/>
      <c r="F29" s="34" t="inlineStr"/>
      <c r="G29" s="32" t="inlineStr"/>
      <c r="H29" s="38" t="inlineStr"/>
      <c r="I29" s="38" t="inlineStr"/>
      <c r="J29" s="30" t="inlineStr"/>
      <c r="K29" s="30" t="inlineStr"/>
      <c r="L29" s="15">
        <f>IF(A29="","",F29*G29)</f>
        <v/>
      </c>
      <c r="M29" s="15">
        <f>IF(A29="","",F29+L29)</f>
        <v/>
      </c>
      <c r="N29" s="15">
        <f>IF(A29="","",SUMIFS('15_Zahlungen'!$F:$F,'15_Zahlungen'!$D:$D,A29,'15_Zahlungen'!$C:$C,"Ausgang"))</f>
        <v/>
      </c>
      <c r="O29" s="15">
        <f>IF(A29="","",MAX(0,M29-N29))</f>
        <v/>
      </c>
      <c r="P29" s="45">
        <f>IF(OR(A29="",J29="bezahlt",H29=""),"",MAX(0,TODAY()-H29))</f>
        <v/>
      </c>
    </row>
    <row r="30">
      <c r="A30" s="30" t="inlineStr"/>
      <c r="B30" s="38" t="inlineStr"/>
      <c r="C30" s="30" t="inlineStr"/>
      <c r="D30" s="30" t="inlineStr"/>
      <c r="E30" s="30" t="inlineStr"/>
      <c r="F30" s="34" t="inlineStr"/>
      <c r="G30" s="32" t="inlineStr"/>
      <c r="H30" s="38" t="inlineStr"/>
      <c r="I30" s="38" t="inlineStr"/>
      <c r="J30" s="30" t="inlineStr"/>
      <c r="K30" s="30" t="inlineStr"/>
      <c r="L30" s="15">
        <f>IF(A30="","",F30*G30)</f>
        <v/>
      </c>
      <c r="M30" s="15">
        <f>IF(A30="","",F30+L30)</f>
        <v/>
      </c>
      <c r="N30" s="15">
        <f>IF(A30="","",SUMIFS('15_Zahlungen'!$F:$F,'15_Zahlungen'!$D:$D,A30,'15_Zahlungen'!$C:$C,"Ausgang"))</f>
        <v/>
      </c>
      <c r="O30" s="15">
        <f>IF(A30="","",MAX(0,M30-N30))</f>
        <v/>
      </c>
      <c r="P30" s="45">
        <f>IF(OR(A30="",J30="bezahlt",H30=""),"",MAX(0,TODAY()-H30))</f>
        <v/>
      </c>
    </row>
    <row r="31">
      <c r="A31" s="30" t="inlineStr"/>
      <c r="B31" s="38" t="inlineStr"/>
      <c r="C31" s="30" t="inlineStr"/>
      <c r="D31" s="30" t="inlineStr"/>
      <c r="E31" s="30" t="inlineStr"/>
      <c r="F31" s="34" t="inlineStr"/>
      <c r="G31" s="32" t="inlineStr"/>
      <c r="H31" s="38" t="inlineStr"/>
      <c r="I31" s="38" t="inlineStr"/>
      <c r="J31" s="30" t="inlineStr"/>
      <c r="K31" s="30" t="inlineStr"/>
      <c r="L31" s="15">
        <f>IF(A31="","",F31*G31)</f>
        <v/>
      </c>
      <c r="M31" s="15">
        <f>IF(A31="","",F31+L31)</f>
        <v/>
      </c>
      <c r="N31" s="15">
        <f>IF(A31="","",SUMIFS('15_Zahlungen'!$F:$F,'15_Zahlungen'!$D:$D,A31,'15_Zahlungen'!$C:$C,"Ausgang"))</f>
        <v/>
      </c>
      <c r="O31" s="15">
        <f>IF(A31="","",MAX(0,M31-N31))</f>
        <v/>
      </c>
      <c r="P31" s="45">
        <f>IF(OR(A31="",J31="bezahlt",H31=""),"",MAX(0,TODAY()-H31))</f>
        <v/>
      </c>
    </row>
    <row r="32">
      <c r="A32" s="30" t="inlineStr"/>
      <c r="B32" s="38" t="inlineStr"/>
      <c r="C32" s="30" t="inlineStr"/>
      <c r="D32" s="30" t="inlineStr"/>
      <c r="E32" s="30" t="inlineStr"/>
      <c r="F32" s="34" t="inlineStr"/>
      <c r="G32" s="32" t="inlineStr"/>
      <c r="H32" s="38" t="inlineStr"/>
      <c r="I32" s="38" t="inlineStr"/>
      <c r="J32" s="30" t="inlineStr"/>
      <c r="K32" s="30" t="inlineStr"/>
      <c r="L32" s="15">
        <f>IF(A32="","",F32*G32)</f>
        <v/>
      </c>
      <c r="M32" s="15">
        <f>IF(A32="","",F32+L32)</f>
        <v/>
      </c>
      <c r="N32" s="15">
        <f>IF(A32="","",SUMIFS('15_Zahlungen'!$F:$F,'15_Zahlungen'!$D:$D,A32,'15_Zahlungen'!$C:$C,"Ausgang"))</f>
        <v/>
      </c>
      <c r="O32" s="15">
        <f>IF(A32="","",MAX(0,M32-N32))</f>
        <v/>
      </c>
      <c r="P32" s="45">
        <f>IF(OR(A32="",J32="bezahlt",H32=""),"",MAX(0,TODAY()-H32))</f>
        <v/>
      </c>
    </row>
    <row r="33">
      <c r="A33" s="30" t="inlineStr"/>
      <c r="B33" s="38" t="inlineStr"/>
      <c r="C33" s="30" t="inlineStr"/>
      <c r="D33" s="30" t="inlineStr"/>
      <c r="E33" s="30" t="inlineStr"/>
      <c r="F33" s="34" t="inlineStr"/>
      <c r="G33" s="32" t="inlineStr"/>
      <c r="H33" s="38" t="inlineStr"/>
      <c r="I33" s="38" t="inlineStr"/>
      <c r="J33" s="30" t="inlineStr"/>
      <c r="K33" s="30" t="inlineStr"/>
      <c r="L33" s="15">
        <f>IF(A33="","",F33*G33)</f>
        <v/>
      </c>
      <c r="M33" s="15">
        <f>IF(A33="","",F33+L33)</f>
        <v/>
      </c>
      <c r="N33" s="15">
        <f>IF(A33="","",SUMIFS('15_Zahlungen'!$F:$F,'15_Zahlungen'!$D:$D,A33,'15_Zahlungen'!$C:$C,"Ausgang"))</f>
        <v/>
      </c>
      <c r="O33" s="15">
        <f>IF(A33="","",MAX(0,M33-N33))</f>
        <v/>
      </c>
      <c r="P33" s="45">
        <f>IF(OR(A33="",J33="bezahlt",H33=""),"",MAX(0,TODAY()-H33))</f>
        <v/>
      </c>
    </row>
    <row r="34">
      <c r="A34" s="30" t="inlineStr"/>
      <c r="B34" s="38" t="inlineStr"/>
      <c r="C34" s="30" t="inlineStr"/>
      <c r="D34" s="30" t="inlineStr"/>
      <c r="E34" s="30" t="inlineStr"/>
      <c r="F34" s="34" t="inlineStr"/>
      <c r="G34" s="32" t="inlineStr"/>
      <c r="H34" s="38" t="inlineStr"/>
      <c r="I34" s="38" t="inlineStr"/>
      <c r="J34" s="30" t="inlineStr"/>
      <c r="K34" s="30" t="inlineStr"/>
      <c r="L34" s="15">
        <f>IF(A34="","",F34*G34)</f>
        <v/>
      </c>
      <c r="M34" s="15">
        <f>IF(A34="","",F34+L34)</f>
        <v/>
      </c>
      <c r="N34" s="15">
        <f>IF(A34="","",SUMIFS('15_Zahlungen'!$F:$F,'15_Zahlungen'!$D:$D,A34,'15_Zahlungen'!$C:$C,"Ausgang"))</f>
        <v/>
      </c>
      <c r="O34" s="15">
        <f>IF(A34="","",MAX(0,M34-N34))</f>
        <v/>
      </c>
      <c r="P34" s="45">
        <f>IF(OR(A34="",J34="bezahlt",H34=""),"",MAX(0,TODAY()-H34))</f>
        <v/>
      </c>
    </row>
    <row r="35">
      <c r="A35" s="30" t="inlineStr"/>
      <c r="B35" s="38" t="inlineStr"/>
      <c r="C35" s="30" t="inlineStr"/>
      <c r="D35" s="30" t="inlineStr"/>
      <c r="E35" s="30" t="inlineStr"/>
      <c r="F35" s="34" t="inlineStr"/>
      <c r="G35" s="32" t="inlineStr"/>
      <c r="H35" s="38" t="inlineStr"/>
      <c r="I35" s="38" t="inlineStr"/>
      <c r="J35" s="30" t="inlineStr"/>
      <c r="K35" s="30" t="inlineStr"/>
      <c r="L35" s="15">
        <f>IF(A35="","",F35*G35)</f>
        <v/>
      </c>
      <c r="M35" s="15">
        <f>IF(A35="","",F35+L35)</f>
        <v/>
      </c>
      <c r="N35" s="15">
        <f>IF(A35="","",SUMIFS('15_Zahlungen'!$F:$F,'15_Zahlungen'!$D:$D,A35,'15_Zahlungen'!$C:$C,"Ausgang"))</f>
        <v/>
      </c>
      <c r="O35" s="15">
        <f>IF(A35="","",MAX(0,M35-N35))</f>
        <v/>
      </c>
      <c r="P35" s="45">
        <f>IF(OR(A35="",J35="bezahlt",H35=""),"",MAX(0,TODAY()-H35))</f>
        <v/>
      </c>
    </row>
    <row r="36">
      <c r="A36" s="30" t="inlineStr"/>
      <c r="B36" s="38" t="inlineStr"/>
      <c r="C36" s="30" t="inlineStr"/>
      <c r="D36" s="30" t="inlineStr"/>
      <c r="E36" s="30" t="inlineStr"/>
      <c r="F36" s="34" t="inlineStr"/>
      <c r="G36" s="32" t="inlineStr"/>
      <c r="H36" s="38" t="inlineStr"/>
      <c r="I36" s="38" t="inlineStr"/>
      <c r="J36" s="30" t="inlineStr"/>
      <c r="K36" s="30" t="inlineStr"/>
      <c r="L36" s="15">
        <f>IF(A36="","",F36*G36)</f>
        <v/>
      </c>
      <c r="M36" s="15">
        <f>IF(A36="","",F36+L36)</f>
        <v/>
      </c>
      <c r="N36" s="15">
        <f>IF(A36="","",SUMIFS('15_Zahlungen'!$F:$F,'15_Zahlungen'!$D:$D,A36,'15_Zahlungen'!$C:$C,"Ausgang"))</f>
        <v/>
      </c>
      <c r="O36" s="15">
        <f>IF(A36="","",MAX(0,M36-N36))</f>
        <v/>
      </c>
      <c r="P36" s="45">
        <f>IF(OR(A36="",J36="bezahlt",H36=""),"",MAX(0,TODAY()-H36))</f>
        <v/>
      </c>
    </row>
    <row r="37">
      <c r="A37" s="30" t="inlineStr"/>
      <c r="B37" s="38" t="inlineStr"/>
      <c r="C37" s="30" t="inlineStr"/>
      <c r="D37" s="30" t="inlineStr"/>
      <c r="E37" s="30" t="inlineStr"/>
      <c r="F37" s="34" t="inlineStr"/>
      <c r="G37" s="32" t="inlineStr"/>
      <c r="H37" s="38" t="inlineStr"/>
      <c r="I37" s="38" t="inlineStr"/>
      <c r="J37" s="30" t="inlineStr"/>
      <c r="K37" s="30" t="inlineStr"/>
      <c r="L37" s="15">
        <f>IF(A37="","",F37*G37)</f>
        <v/>
      </c>
      <c r="M37" s="15">
        <f>IF(A37="","",F37+L37)</f>
        <v/>
      </c>
      <c r="N37" s="15">
        <f>IF(A37="","",SUMIFS('15_Zahlungen'!$F:$F,'15_Zahlungen'!$D:$D,A37,'15_Zahlungen'!$C:$C,"Ausgang"))</f>
        <v/>
      </c>
      <c r="O37" s="15">
        <f>IF(A37="","",MAX(0,M37-N37))</f>
        <v/>
      </c>
      <c r="P37" s="45">
        <f>IF(OR(A37="",J37="bezahlt",H37=""),"",MAX(0,TODAY()-H37))</f>
        <v/>
      </c>
    </row>
    <row r="38">
      <c r="A38" s="30" t="inlineStr"/>
      <c r="B38" s="38" t="inlineStr"/>
      <c r="C38" s="30" t="inlineStr"/>
      <c r="D38" s="30" t="inlineStr"/>
      <c r="E38" s="30" t="inlineStr"/>
      <c r="F38" s="34" t="inlineStr"/>
      <c r="G38" s="32" t="inlineStr"/>
      <c r="H38" s="38" t="inlineStr"/>
      <c r="I38" s="38" t="inlineStr"/>
      <c r="J38" s="30" t="inlineStr"/>
      <c r="K38" s="30" t="inlineStr"/>
      <c r="L38" s="15">
        <f>IF(A38="","",F38*G38)</f>
        <v/>
      </c>
      <c r="M38" s="15">
        <f>IF(A38="","",F38+L38)</f>
        <v/>
      </c>
      <c r="N38" s="15">
        <f>IF(A38="","",SUMIFS('15_Zahlungen'!$F:$F,'15_Zahlungen'!$D:$D,A38,'15_Zahlungen'!$C:$C,"Ausgang"))</f>
        <v/>
      </c>
      <c r="O38" s="15">
        <f>IF(A38="","",MAX(0,M38-N38))</f>
        <v/>
      </c>
      <c r="P38" s="45">
        <f>IF(OR(A38="",J38="bezahlt",H38=""),"",MAX(0,TODAY()-H38))</f>
        <v/>
      </c>
    </row>
    <row r="39">
      <c r="A39" s="30" t="inlineStr"/>
      <c r="B39" s="38" t="inlineStr"/>
      <c r="C39" s="30" t="inlineStr"/>
      <c r="D39" s="30" t="inlineStr"/>
      <c r="E39" s="30" t="inlineStr"/>
      <c r="F39" s="34" t="inlineStr"/>
      <c r="G39" s="32" t="inlineStr"/>
      <c r="H39" s="38" t="inlineStr"/>
      <c r="I39" s="38" t="inlineStr"/>
      <c r="J39" s="30" t="inlineStr"/>
      <c r="K39" s="30" t="inlineStr"/>
      <c r="L39" s="15">
        <f>IF(A39="","",F39*G39)</f>
        <v/>
      </c>
      <c r="M39" s="15">
        <f>IF(A39="","",F39+L39)</f>
        <v/>
      </c>
      <c r="N39" s="15">
        <f>IF(A39="","",SUMIFS('15_Zahlungen'!$F:$F,'15_Zahlungen'!$D:$D,A39,'15_Zahlungen'!$C:$C,"Ausgang"))</f>
        <v/>
      </c>
      <c r="O39" s="15">
        <f>IF(A39="","",MAX(0,M39-N39))</f>
        <v/>
      </c>
      <c r="P39" s="45">
        <f>IF(OR(A39="",J39="bezahlt",H39=""),"",MAX(0,TODAY()-H39))</f>
        <v/>
      </c>
    </row>
    <row r="40">
      <c r="A40" s="30" t="inlineStr"/>
      <c r="B40" s="38" t="inlineStr"/>
      <c r="C40" s="30" t="inlineStr"/>
      <c r="D40" s="30" t="inlineStr"/>
      <c r="E40" s="30" t="inlineStr"/>
      <c r="F40" s="34" t="inlineStr"/>
      <c r="G40" s="32" t="inlineStr"/>
      <c r="H40" s="38" t="inlineStr"/>
      <c r="I40" s="38" t="inlineStr"/>
      <c r="J40" s="30" t="inlineStr"/>
      <c r="K40" s="30" t="inlineStr"/>
      <c r="L40" s="15">
        <f>IF(A40="","",F40*G40)</f>
        <v/>
      </c>
      <c r="M40" s="15">
        <f>IF(A40="","",F40+L40)</f>
        <v/>
      </c>
      <c r="N40" s="15">
        <f>IF(A40="","",SUMIFS('15_Zahlungen'!$F:$F,'15_Zahlungen'!$D:$D,A40,'15_Zahlungen'!$C:$C,"Ausgang"))</f>
        <v/>
      </c>
      <c r="O40" s="15">
        <f>IF(A40="","",MAX(0,M40-N40))</f>
        <v/>
      </c>
      <c r="P40" s="45">
        <f>IF(OR(A40="",J40="bezahlt",H40=""),"",MAX(0,TODAY()-H40))</f>
        <v/>
      </c>
    </row>
    <row r="41">
      <c r="A41" s="30" t="inlineStr"/>
      <c r="B41" s="38" t="inlineStr"/>
      <c r="C41" s="30" t="inlineStr"/>
      <c r="D41" s="30" t="inlineStr"/>
      <c r="E41" s="30" t="inlineStr"/>
      <c r="F41" s="34" t="inlineStr"/>
      <c r="G41" s="32" t="inlineStr"/>
      <c r="H41" s="38" t="inlineStr"/>
      <c r="I41" s="38" t="inlineStr"/>
      <c r="J41" s="30" t="inlineStr"/>
      <c r="K41" s="30" t="inlineStr"/>
      <c r="L41" s="15">
        <f>IF(A41="","",F41*G41)</f>
        <v/>
      </c>
      <c r="M41" s="15">
        <f>IF(A41="","",F41+L41)</f>
        <v/>
      </c>
      <c r="N41" s="15">
        <f>IF(A41="","",SUMIFS('15_Zahlungen'!$F:$F,'15_Zahlungen'!$D:$D,A41,'15_Zahlungen'!$C:$C,"Ausgang"))</f>
        <v/>
      </c>
      <c r="O41" s="15">
        <f>IF(A41="","",MAX(0,M41-N41))</f>
        <v/>
      </c>
      <c r="P41" s="45">
        <f>IF(OR(A41="",J41="bezahlt",H41=""),"",MAX(0,TODAY()-H41))</f>
        <v/>
      </c>
    </row>
    <row r="42">
      <c r="A42" s="30" t="inlineStr"/>
      <c r="B42" s="38" t="inlineStr"/>
      <c r="C42" s="30" t="inlineStr"/>
      <c r="D42" s="30" t="inlineStr"/>
      <c r="E42" s="30" t="inlineStr"/>
      <c r="F42" s="34" t="inlineStr"/>
      <c r="G42" s="32" t="inlineStr"/>
      <c r="H42" s="38" t="inlineStr"/>
      <c r="I42" s="38" t="inlineStr"/>
      <c r="J42" s="30" t="inlineStr"/>
      <c r="K42" s="30" t="inlineStr"/>
      <c r="L42" s="15">
        <f>IF(A42="","",F42*G42)</f>
        <v/>
      </c>
      <c r="M42" s="15">
        <f>IF(A42="","",F42+L42)</f>
        <v/>
      </c>
      <c r="N42" s="15">
        <f>IF(A42="","",SUMIFS('15_Zahlungen'!$F:$F,'15_Zahlungen'!$D:$D,A42,'15_Zahlungen'!$C:$C,"Ausgang"))</f>
        <v/>
      </c>
      <c r="O42" s="15">
        <f>IF(A42="","",MAX(0,M42-N42))</f>
        <v/>
      </c>
      <c r="P42" s="45">
        <f>IF(OR(A42="",J42="bezahlt",H42=""),"",MAX(0,TODAY()-H42))</f>
        <v/>
      </c>
    </row>
    <row r="43">
      <c r="A43" s="30" t="inlineStr"/>
      <c r="B43" s="38" t="inlineStr"/>
      <c r="C43" s="30" t="inlineStr"/>
      <c r="D43" s="30" t="inlineStr"/>
      <c r="E43" s="30" t="inlineStr"/>
      <c r="F43" s="34" t="inlineStr"/>
      <c r="G43" s="32" t="inlineStr"/>
      <c r="H43" s="38" t="inlineStr"/>
      <c r="I43" s="38" t="inlineStr"/>
      <c r="J43" s="30" t="inlineStr"/>
      <c r="K43" s="30" t="inlineStr"/>
      <c r="L43" s="15">
        <f>IF(A43="","",F43*G43)</f>
        <v/>
      </c>
      <c r="M43" s="15">
        <f>IF(A43="","",F43+L43)</f>
        <v/>
      </c>
      <c r="N43" s="15">
        <f>IF(A43="","",SUMIFS('15_Zahlungen'!$F:$F,'15_Zahlungen'!$D:$D,A43,'15_Zahlungen'!$C:$C,"Ausgang"))</f>
        <v/>
      </c>
      <c r="O43" s="15">
        <f>IF(A43="","",MAX(0,M43-N43))</f>
        <v/>
      </c>
      <c r="P43" s="45">
        <f>IF(OR(A43="",J43="bezahlt",H43=""),"",MAX(0,TODAY()-H43))</f>
        <v/>
      </c>
    </row>
    <row r="44">
      <c r="A44" s="30" t="inlineStr"/>
      <c r="B44" s="38" t="inlineStr"/>
      <c r="C44" s="30" t="inlineStr"/>
      <c r="D44" s="30" t="inlineStr"/>
      <c r="E44" s="30" t="inlineStr"/>
      <c r="F44" s="34" t="inlineStr"/>
      <c r="G44" s="32" t="inlineStr"/>
      <c r="H44" s="38" t="inlineStr"/>
      <c r="I44" s="38" t="inlineStr"/>
      <c r="J44" s="30" t="inlineStr"/>
      <c r="K44" s="30" t="inlineStr"/>
      <c r="L44" s="15">
        <f>IF(A44="","",F44*G44)</f>
        <v/>
      </c>
      <c r="M44" s="15">
        <f>IF(A44="","",F44+L44)</f>
        <v/>
      </c>
      <c r="N44" s="15">
        <f>IF(A44="","",SUMIFS('15_Zahlungen'!$F:$F,'15_Zahlungen'!$D:$D,A44,'15_Zahlungen'!$C:$C,"Ausgang"))</f>
        <v/>
      </c>
      <c r="O44" s="15">
        <f>IF(A44="","",MAX(0,M44-N44))</f>
        <v/>
      </c>
      <c r="P44" s="45">
        <f>IF(OR(A44="",J44="bezahlt",H44=""),"",MAX(0,TODAY()-H44))</f>
        <v/>
      </c>
    </row>
    <row r="45">
      <c r="A45" s="30" t="inlineStr"/>
      <c r="B45" s="38" t="inlineStr"/>
      <c r="C45" s="30" t="inlineStr"/>
      <c r="D45" s="30" t="inlineStr"/>
      <c r="E45" s="30" t="inlineStr"/>
      <c r="F45" s="34" t="inlineStr"/>
      <c r="G45" s="32" t="inlineStr"/>
      <c r="H45" s="38" t="inlineStr"/>
      <c r="I45" s="38" t="inlineStr"/>
      <c r="J45" s="30" t="inlineStr"/>
      <c r="K45" s="30" t="inlineStr"/>
      <c r="L45" s="15">
        <f>IF(A45="","",F45*G45)</f>
        <v/>
      </c>
      <c r="M45" s="15">
        <f>IF(A45="","",F45+L45)</f>
        <v/>
      </c>
      <c r="N45" s="15">
        <f>IF(A45="","",SUMIFS('15_Zahlungen'!$F:$F,'15_Zahlungen'!$D:$D,A45,'15_Zahlungen'!$C:$C,"Ausgang"))</f>
        <v/>
      </c>
      <c r="O45" s="15">
        <f>IF(A45="","",MAX(0,M45-N45))</f>
        <v/>
      </c>
      <c r="P45" s="45">
        <f>IF(OR(A45="",J45="bezahlt",H45=""),"",MAX(0,TODAY()-H45))</f>
        <v/>
      </c>
    </row>
    <row r="46">
      <c r="A46" s="30" t="inlineStr"/>
      <c r="B46" s="38" t="inlineStr"/>
      <c r="C46" s="30" t="inlineStr"/>
      <c r="D46" s="30" t="inlineStr"/>
      <c r="E46" s="30" t="inlineStr"/>
      <c r="F46" s="34" t="inlineStr"/>
      <c r="G46" s="32" t="inlineStr"/>
      <c r="H46" s="38" t="inlineStr"/>
      <c r="I46" s="38" t="inlineStr"/>
      <c r="J46" s="30" t="inlineStr"/>
      <c r="K46" s="30" t="inlineStr"/>
      <c r="L46" s="15">
        <f>IF(A46="","",F46*G46)</f>
        <v/>
      </c>
      <c r="M46" s="15">
        <f>IF(A46="","",F46+L46)</f>
        <v/>
      </c>
      <c r="N46" s="15">
        <f>IF(A46="","",SUMIFS('15_Zahlungen'!$F:$F,'15_Zahlungen'!$D:$D,A46,'15_Zahlungen'!$C:$C,"Ausgang"))</f>
        <v/>
      </c>
      <c r="O46" s="15">
        <f>IF(A46="","",MAX(0,M46-N46))</f>
        <v/>
      </c>
      <c r="P46" s="45">
        <f>IF(OR(A46="",J46="bezahlt",H46=""),"",MAX(0,TODAY()-H46))</f>
        <v/>
      </c>
    </row>
    <row r="47">
      <c r="A47" s="30" t="inlineStr"/>
      <c r="B47" s="38" t="inlineStr"/>
      <c r="C47" s="30" t="inlineStr"/>
      <c r="D47" s="30" t="inlineStr"/>
      <c r="E47" s="30" t="inlineStr"/>
      <c r="F47" s="34" t="inlineStr"/>
      <c r="G47" s="32" t="inlineStr"/>
      <c r="H47" s="38" t="inlineStr"/>
      <c r="I47" s="38" t="inlineStr"/>
      <c r="J47" s="30" t="inlineStr"/>
      <c r="K47" s="30" t="inlineStr"/>
      <c r="L47" s="15">
        <f>IF(A47="","",F47*G47)</f>
        <v/>
      </c>
      <c r="M47" s="15">
        <f>IF(A47="","",F47+L47)</f>
        <v/>
      </c>
      <c r="N47" s="15">
        <f>IF(A47="","",SUMIFS('15_Zahlungen'!$F:$F,'15_Zahlungen'!$D:$D,A47,'15_Zahlungen'!$C:$C,"Ausgang"))</f>
        <v/>
      </c>
      <c r="O47" s="15">
        <f>IF(A47="","",MAX(0,M47-N47))</f>
        <v/>
      </c>
      <c r="P47" s="45">
        <f>IF(OR(A47="",J47="bezahlt",H47=""),"",MAX(0,TODAY()-H47))</f>
        <v/>
      </c>
    </row>
    <row r="48">
      <c r="A48" s="30" t="inlineStr"/>
      <c r="B48" s="38" t="inlineStr"/>
      <c r="C48" s="30" t="inlineStr"/>
      <c r="D48" s="30" t="inlineStr"/>
      <c r="E48" s="30" t="inlineStr"/>
      <c r="F48" s="34" t="inlineStr"/>
      <c r="G48" s="32" t="inlineStr"/>
      <c r="H48" s="38" t="inlineStr"/>
      <c r="I48" s="38" t="inlineStr"/>
      <c r="J48" s="30" t="inlineStr"/>
      <c r="K48" s="30" t="inlineStr"/>
      <c r="L48" s="15">
        <f>IF(A48="","",F48*G48)</f>
        <v/>
      </c>
      <c r="M48" s="15">
        <f>IF(A48="","",F48+L48)</f>
        <v/>
      </c>
      <c r="N48" s="15">
        <f>IF(A48="","",SUMIFS('15_Zahlungen'!$F:$F,'15_Zahlungen'!$D:$D,A48,'15_Zahlungen'!$C:$C,"Ausgang"))</f>
        <v/>
      </c>
      <c r="O48" s="15">
        <f>IF(A48="","",MAX(0,M48-N48))</f>
        <v/>
      </c>
      <c r="P48" s="45">
        <f>IF(OR(A48="",J48="bezahlt",H48=""),"",MAX(0,TODAY()-H48))</f>
        <v/>
      </c>
    </row>
    <row r="49">
      <c r="A49" s="30" t="inlineStr"/>
      <c r="B49" s="38" t="inlineStr"/>
      <c r="C49" s="30" t="inlineStr"/>
      <c r="D49" s="30" t="inlineStr"/>
      <c r="E49" s="30" t="inlineStr"/>
      <c r="F49" s="34" t="inlineStr"/>
      <c r="G49" s="32" t="inlineStr"/>
      <c r="H49" s="38" t="inlineStr"/>
      <c r="I49" s="38" t="inlineStr"/>
      <c r="J49" s="30" t="inlineStr"/>
      <c r="K49" s="30" t="inlineStr"/>
      <c r="L49" s="15">
        <f>IF(A49="","",F49*G49)</f>
        <v/>
      </c>
      <c r="M49" s="15">
        <f>IF(A49="","",F49+L49)</f>
        <v/>
      </c>
      <c r="N49" s="15">
        <f>IF(A49="","",SUMIFS('15_Zahlungen'!$F:$F,'15_Zahlungen'!$D:$D,A49,'15_Zahlungen'!$C:$C,"Ausgang"))</f>
        <v/>
      </c>
      <c r="O49" s="15">
        <f>IF(A49="","",MAX(0,M49-N49))</f>
        <v/>
      </c>
      <c r="P49" s="45">
        <f>IF(OR(A49="",J49="bezahlt",H49=""),"",MAX(0,TODAY()-H49))</f>
        <v/>
      </c>
    </row>
    <row r="50">
      <c r="A50" s="30" t="inlineStr"/>
      <c r="B50" s="38" t="inlineStr"/>
      <c r="C50" s="30" t="inlineStr"/>
      <c r="D50" s="30" t="inlineStr"/>
      <c r="E50" s="30" t="inlineStr"/>
      <c r="F50" s="34" t="inlineStr"/>
      <c r="G50" s="32" t="inlineStr"/>
      <c r="H50" s="38" t="inlineStr"/>
      <c r="I50" s="38" t="inlineStr"/>
      <c r="J50" s="30" t="inlineStr"/>
      <c r="K50" s="30" t="inlineStr"/>
      <c r="L50" s="15">
        <f>IF(A50="","",F50*G50)</f>
        <v/>
      </c>
      <c r="M50" s="15">
        <f>IF(A50="","",F50+L50)</f>
        <v/>
      </c>
      <c r="N50" s="15">
        <f>IF(A50="","",SUMIFS('15_Zahlungen'!$F:$F,'15_Zahlungen'!$D:$D,A50,'15_Zahlungen'!$C:$C,"Ausgang"))</f>
        <v/>
      </c>
      <c r="O50" s="15">
        <f>IF(A50="","",MAX(0,M50-N50))</f>
        <v/>
      </c>
      <c r="P50" s="45">
        <f>IF(OR(A50="",J50="bezahlt",H50=""),"",MAX(0,TODAY()-H50))</f>
        <v/>
      </c>
    </row>
    <row r="51">
      <c r="A51" s="30" t="inlineStr"/>
      <c r="B51" s="38" t="inlineStr"/>
      <c r="C51" s="30" t="inlineStr"/>
      <c r="D51" s="30" t="inlineStr"/>
      <c r="E51" s="30" t="inlineStr"/>
      <c r="F51" s="34" t="inlineStr"/>
      <c r="G51" s="32" t="inlineStr"/>
      <c r="H51" s="38" t="inlineStr"/>
      <c r="I51" s="38" t="inlineStr"/>
      <c r="J51" s="30" t="inlineStr"/>
      <c r="K51" s="30" t="inlineStr"/>
      <c r="L51" s="15">
        <f>IF(A51="","",F51*G51)</f>
        <v/>
      </c>
      <c r="M51" s="15">
        <f>IF(A51="","",F51+L51)</f>
        <v/>
      </c>
      <c r="N51" s="15">
        <f>IF(A51="","",SUMIFS('15_Zahlungen'!$F:$F,'15_Zahlungen'!$D:$D,A51,'15_Zahlungen'!$C:$C,"Ausgang"))</f>
        <v/>
      </c>
      <c r="O51" s="15">
        <f>IF(A51="","",MAX(0,M51-N51))</f>
        <v/>
      </c>
      <c r="P51" s="45">
        <f>IF(OR(A51="",J51="bezahlt",H51=""),"",MAX(0,TODAY()-H51))</f>
        <v/>
      </c>
    </row>
    <row r="52">
      <c r="A52" s="30" t="inlineStr"/>
      <c r="B52" s="38" t="inlineStr"/>
      <c r="C52" s="30" t="inlineStr"/>
      <c r="D52" s="30" t="inlineStr"/>
      <c r="E52" s="30" t="inlineStr"/>
      <c r="F52" s="34" t="inlineStr"/>
      <c r="G52" s="32" t="inlineStr"/>
      <c r="H52" s="38" t="inlineStr"/>
      <c r="I52" s="38" t="inlineStr"/>
      <c r="J52" s="30" t="inlineStr"/>
      <c r="K52" s="30" t="inlineStr"/>
      <c r="L52" s="15">
        <f>IF(A52="","",F52*G52)</f>
        <v/>
      </c>
      <c r="M52" s="15">
        <f>IF(A52="","",F52+L52)</f>
        <v/>
      </c>
      <c r="N52" s="15">
        <f>IF(A52="","",SUMIFS('15_Zahlungen'!$F:$F,'15_Zahlungen'!$D:$D,A52,'15_Zahlungen'!$C:$C,"Ausgang"))</f>
        <v/>
      </c>
      <c r="O52" s="15">
        <f>IF(A52="","",MAX(0,M52-N52))</f>
        <v/>
      </c>
      <c r="P52" s="45">
        <f>IF(OR(A52="",J52="bezahlt",H52=""),"",MAX(0,TODAY()-H52))</f>
        <v/>
      </c>
    </row>
    <row r="53">
      <c r="A53" s="30" t="inlineStr"/>
      <c r="B53" s="38" t="inlineStr"/>
      <c r="C53" s="30" t="inlineStr"/>
      <c r="D53" s="30" t="inlineStr"/>
      <c r="E53" s="30" t="inlineStr"/>
      <c r="F53" s="34" t="inlineStr"/>
      <c r="G53" s="32" t="inlineStr"/>
      <c r="H53" s="38" t="inlineStr"/>
      <c r="I53" s="38" t="inlineStr"/>
      <c r="J53" s="30" t="inlineStr"/>
      <c r="K53" s="30" t="inlineStr"/>
      <c r="L53" s="15">
        <f>IF(A53="","",F53*G53)</f>
        <v/>
      </c>
      <c r="M53" s="15">
        <f>IF(A53="","",F53+L53)</f>
        <v/>
      </c>
      <c r="N53" s="15">
        <f>IF(A53="","",SUMIFS('15_Zahlungen'!$F:$F,'15_Zahlungen'!$D:$D,A53,'15_Zahlungen'!$C:$C,"Ausgang"))</f>
        <v/>
      </c>
      <c r="O53" s="15">
        <f>IF(A53="","",MAX(0,M53-N53))</f>
        <v/>
      </c>
      <c r="P53" s="45">
        <f>IF(OR(A53="",J53="bezahlt",H53=""),"",MAX(0,TODAY()-H53))</f>
        <v/>
      </c>
    </row>
    <row r="54">
      <c r="A54" s="30" t="inlineStr"/>
      <c r="B54" s="38" t="inlineStr"/>
      <c r="C54" s="30" t="inlineStr"/>
      <c r="D54" s="30" t="inlineStr"/>
      <c r="E54" s="30" t="inlineStr"/>
      <c r="F54" s="34" t="inlineStr"/>
      <c r="G54" s="32" t="inlineStr"/>
      <c r="H54" s="38" t="inlineStr"/>
      <c r="I54" s="38" t="inlineStr"/>
      <c r="J54" s="30" t="inlineStr"/>
      <c r="K54" s="30" t="inlineStr"/>
      <c r="L54" s="15">
        <f>IF(A54="","",F54*G54)</f>
        <v/>
      </c>
      <c r="M54" s="15">
        <f>IF(A54="","",F54+L54)</f>
        <v/>
      </c>
      <c r="N54" s="15">
        <f>IF(A54="","",SUMIFS('15_Zahlungen'!$F:$F,'15_Zahlungen'!$D:$D,A54,'15_Zahlungen'!$C:$C,"Ausgang"))</f>
        <v/>
      </c>
      <c r="O54" s="15">
        <f>IF(A54="","",MAX(0,M54-N54))</f>
        <v/>
      </c>
      <c r="P54" s="45">
        <f>IF(OR(A54="",J54="bezahlt",H54=""),"",MAX(0,TODAY()-H54))</f>
        <v/>
      </c>
    </row>
    <row r="55">
      <c r="A55" s="30" t="inlineStr"/>
      <c r="B55" s="38" t="inlineStr"/>
      <c r="C55" s="30" t="inlineStr"/>
      <c r="D55" s="30" t="inlineStr"/>
      <c r="E55" s="30" t="inlineStr"/>
      <c r="F55" s="34" t="inlineStr"/>
      <c r="G55" s="32" t="inlineStr"/>
      <c r="H55" s="38" t="inlineStr"/>
      <c r="I55" s="38" t="inlineStr"/>
      <c r="J55" s="30" t="inlineStr"/>
      <c r="K55" s="30" t="inlineStr"/>
      <c r="L55" s="15">
        <f>IF(A55="","",F55*G55)</f>
        <v/>
      </c>
      <c r="M55" s="15">
        <f>IF(A55="","",F55+L55)</f>
        <v/>
      </c>
      <c r="N55" s="15">
        <f>IF(A55="","",SUMIFS('15_Zahlungen'!$F:$F,'15_Zahlungen'!$D:$D,A55,'15_Zahlungen'!$C:$C,"Ausgang"))</f>
        <v/>
      </c>
      <c r="O55" s="15">
        <f>IF(A55="","",MAX(0,M55-N55))</f>
        <v/>
      </c>
      <c r="P55" s="45">
        <f>IF(OR(A55="",J55="bezahlt",H55=""),"",MAX(0,TODAY()-H55))</f>
        <v/>
      </c>
    </row>
    <row r="56">
      <c r="A56" s="30" t="inlineStr"/>
      <c r="B56" s="38" t="inlineStr"/>
      <c r="C56" s="30" t="inlineStr"/>
      <c r="D56" s="30" t="inlineStr"/>
      <c r="E56" s="30" t="inlineStr"/>
      <c r="F56" s="34" t="inlineStr"/>
      <c r="G56" s="32" t="inlineStr"/>
      <c r="H56" s="38" t="inlineStr"/>
      <c r="I56" s="38" t="inlineStr"/>
      <c r="J56" s="30" t="inlineStr"/>
      <c r="K56" s="30" t="inlineStr"/>
      <c r="L56" s="15">
        <f>IF(A56="","",F56*G56)</f>
        <v/>
      </c>
      <c r="M56" s="15">
        <f>IF(A56="","",F56+L56)</f>
        <v/>
      </c>
      <c r="N56" s="15">
        <f>IF(A56="","",SUMIFS('15_Zahlungen'!$F:$F,'15_Zahlungen'!$D:$D,A56,'15_Zahlungen'!$C:$C,"Ausgang"))</f>
        <v/>
      </c>
      <c r="O56" s="15">
        <f>IF(A56="","",MAX(0,M56-N56))</f>
        <v/>
      </c>
      <c r="P56" s="45">
        <f>IF(OR(A56="",J56="bezahlt",H56=""),"",MAX(0,TODAY()-H56))</f>
        <v/>
      </c>
    </row>
    <row r="57">
      <c r="A57" s="30" t="inlineStr"/>
      <c r="B57" s="38" t="inlineStr"/>
      <c r="C57" s="30" t="inlineStr"/>
      <c r="D57" s="30" t="inlineStr"/>
      <c r="E57" s="30" t="inlineStr"/>
      <c r="F57" s="34" t="inlineStr"/>
      <c r="G57" s="32" t="inlineStr"/>
      <c r="H57" s="38" t="inlineStr"/>
      <c r="I57" s="38" t="inlineStr"/>
      <c r="J57" s="30" t="inlineStr"/>
      <c r="K57" s="30" t="inlineStr"/>
      <c r="L57" s="15">
        <f>IF(A57="","",F57*G57)</f>
        <v/>
      </c>
      <c r="M57" s="15">
        <f>IF(A57="","",F57+L57)</f>
        <v/>
      </c>
      <c r="N57" s="15">
        <f>IF(A57="","",SUMIFS('15_Zahlungen'!$F:$F,'15_Zahlungen'!$D:$D,A57,'15_Zahlungen'!$C:$C,"Ausgang"))</f>
        <v/>
      </c>
      <c r="O57" s="15">
        <f>IF(A57="","",MAX(0,M57-N57))</f>
        <v/>
      </c>
      <c r="P57" s="45">
        <f>IF(OR(A57="",J57="bezahlt",H57=""),"",MAX(0,TODAY()-H57))</f>
        <v/>
      </c>
    </row>
    <row r="58">
      <c r="A58" s="30" t="inlineStr"/>
      <c r="B58" s="38" t="inlineStr"/>
      <c r="C58" s="30" t="inlineStr"/>
      <c r="D58" s="30" t="inlineStr"/>
      <c r="E58" s="30" t="inlineStr"/>
      <c r="F58" s="34" t="inlineStr"/>
      <c r="G58" s="32" t="inlineStr"/>
      <c r="H58" s="38" t="inlineStr"/>
      <c r="I58" s="38" t="inlineStr"/>
      <c r="J58" s="30" t="inlineStr"/>
      <c r="K58" s="30" t="inlineStr"/>
      <c r="L58" s="15">
        <f>IF(A58="","",F58*G58)</f>
        <v/>
      </c>
      <c r="M58" s="15">
        <f>IF(A58="","",F58+L58)</f>
        <v/>
      </c>
      <c r="N58" s="15">
        <f>IF(A58="","",SUMIFS('15_Zahlungen'!$F:$F,'15_Zahlungen'!$D:$D,A58,'15_Zahlungen'!$C:$C,"Ausgang"))</f>
        <v/>
      </c>
      <c r="O58" s="15">
        <f>IF(A58="","",MAX(0,M58-N58))</f>
        <v/>
      </c>
      <c r="P58" s="45">
        <f>IF(OR(A58="",J58="bezahlt",H58=""),"",MAX(0,TODAY()-H58))</f>
        <v/>
      </c>
    </row>
    <row r="59">
      <c r="A59" s="30" t="inlineStr"/>
      <c r="B59" s="38" t="inlineStr"/>
      <c r="C59" s="30" t="inlineStr"/>
      <c r="D59" s="30" t="inlineStr"/>
      <c r="E59" s="30" t="inlineStr"/>
      <c r="F59" s="34" t="inlineStr"/>
      <c r="G59" s="32" t="inlineStr"/>
      <c r="H59" s="38" t="inlineStr"/>
      <c r="I59" s="38" t="inlineStr"/>
      <c r="J59" s="30" t="inlineStr"/>
      <c r="K59" s="30" t="inlineStr"/>
      <c r="L59" s="15">
        <f>IF(A59="","",F59*G59)</f>
        <v/>
      </c>
      <c r="M59" s="15">
        <f>IF(A59="","",F59+L59)</f>
        <v/>
      </c>
      <c r="N59" s="15">
        <f>IF(A59="","",SUMIFS('15_Zahlungen'!$F:$F,'15_Zahlungen'!$D:$D,A59,'15_Zahlungen'!$C:$C,"Ausgang"))</f>
        <v/>
      </c>
      <c r="O59" s="15">
        <f>IF(A59="","",MAX(0,M59-N59))</f>
        <v/>
      </c>
      <c r="P59" s="45">
        <f>IF(OR(A59="",J59="bezahlt",H59=""),"",MAX(0,TODAY()-H59))</f>
        <v/>
      </c>
    </row>
    <row r="60">
      <c r="A60" s="30" t="inlineStr"/>
      <c r="B60" s="38" t="inlineStr"/>
      <c r="C60" s="30" t="inlineStr"/>
      <c r="D60" s="30" t="inlineStr"/>
      <c r="E60" s="30" t="inlineStr"/>
      <c r="F60" s="34" t="inlineStr"/>
      <c r="G60" s="32" t="inlineStr"/>
      <c r="H60" s="38" t="inlineStr"/>
      <c r="I60" s="38" t="inlineStr"/>
      <c r="J60" s="30" t="inlineStr"/>
      <c r="K60" s="30" t="inlineStr"/>
      <c r="L60" s="15">
        <f>IF(A60="","",F60*G60)</f>
        <v/>
      </c>
      <c r="M60" s="15">
        <f>IF(A60="","",F60+L60)</f>
        <v/>
      </c>
      <c r="N60" s="15">
        <f>IF(A60="","",SUMIFS('15_Zahlungen'!$F:$F,'15_Zahlungen'!$D:$D,A60,'15_Zahlungen'!$C:$C,"Ausgang"))</f>
        <v/>
      </c>
      <c r="O60" s="15">
        <f>IF(A60="","",MAX(0,M60-N60))</f>
        <v/>
      </c>
      <c r="P60" s="45">
        <f>IF(OR(A60="",J60="bezahlt",H60=""),"",MAX(0,TODAY()-H60))</f>
        <v/>
      </c>
    </row>
    <row r="61">
      <c r="A61" s="30" t="inlineStr"/>
      <c r="B61" s="38" t="inlineStr"/>
      <c r="C61" s="30" t="inlineStr"/>
      <c r="D61" s="30" t="inlineStr"/>
      <c r="E61" s="30" t="inlineStr"/>
      <c r="F61" s="34" t="inlineStr"/>
      <c r="G61" s="32" t="inlineStr"/>
      <c r="H61" s="38" t="inlineStr"/>
      <c r="I61" s="38" t="inlineStr"/>
      <c r="J61" s="30" t="inlineStr"/>
      <c r="K61" s="30" t="inlineStr"/>
      <c r="L61" s="15">
        <f>IF(A61="","",F61*G61)</f>
        <v/>
      </c>
      <c r="M61" s="15">
        <f>IF(A61="","",F61+L61)</f>
        <v/>
      </c>
      <c r="N61" s="15">
        <f>IF(A61="","",SUMIFS('15_Zahlungen'!$F:$F,'15_Zahlungen'!$D:$D,A61,'15_Zahlungen'!$C:$C,"Ausgang"))</f>
        <v/>
      </c>
      <c r="O61" s="15">
        <f>IF(A61="","",MAX(0,M61-N61))</f>
        <v/>
      </c>
      <c r="P61" s="45">
        <f>IF(OR(A61="",J61="bezahlt",H61=""),"",MAX(0,TODAY()-H61))</f>
        <v/>
      </c>
    </row>
    <row r="62">
      <c r="A62" s="30" t="inlineStr"/>
      <c r="B62" s="38" t="inlineStr"/>
      <c r="C62" s="30" t="inlineStr"/>
      <c r="D62" s="30" t="inlineStr"/>
      <c r="E62" s="30" t="inlineStr"/>
      <c r="F62" s="34" t="inlineStr"/>
      <c r="G62" s="32" t="inlineStr"/>
      <c r="H62" s="38" t="inlineStr"/>
      <c r="I62" s="38" t="inlineStr"/>
      <c r="J62" s="30" t="inlineStr"/>
      <c r="K62" s="30" t="inlineStr"/>
      <c r="L62" s="15">
        <f>IF(A62="","",F62*G62)</f>
        <v/>
      </c>
      <c r="M62" s="15">
        <f>IF(A62="","",F62+L62)</f>
        <v/>
      </c>
      <c r="N62" s="15">
        <f>IF(A62="","",SUMIFS('15_Zahlungen'!$F:$F,'15_Zahlungen'!$D:$D,A62,'15_Zahlungen'!$C:$C,"Ausgang"))</f>
        <v/>
      </c>
      <c r="O62" s="15">
        <f>IF(A62="","",MAX(0,M62-N62))</f>
        <v/>
      </c>
      <c r="P62" s="45">
        <f>IF(OR(A62="",J62="bezahlt",H62=""),"",MAX(0,TODAY()-H62))</f>
        <v/>
      </c>
    </row>
    <row r="63">
      <c r="A63" s="30" t="inlineStr"/>
      <c r="B63" s="38" t="inlineStr"/>
      <c r="C63" s="30" t="inlineStr"/>
      <c r="D63" s="30" t="inlineStr"/>
      <c r="E63" s="30" t="inlineStr"/>
      <c r="F63" s="34" t="inlineStr"/>
      <c r="G63" s="32" t="inlineStr"/>
      <c r="H63" s="38" t="inlineStr"/>
      <c r="I63" s="38" t="inlineStr"/>
      <c r="J63" s="30" t="inlineStr"/>
      <c r="K63" s="30" t="inlineStr"/>
      <c r="L63" s="15">
        <f>IF(A63="","",F63*G63)</f>
        <v/>
      </c>
      <c r="M63" s="15">
        <f>IF(A63="","",F63+L63)</f>
        <v/>
      </c>
      <c r="N63" s="15">
        <f>IF(A63="","",SUMIFS('15_Zahlungen'!$F:$F,'15_Zahlungen'!$D:$D,A63,'15_Zahlungen'!$C:$C,"Ausgang"))</f>
        <v/>
      </c>
      <c r="O63" s="15">
        <f>IF(A63="","",MAX(0,M63-N63))</f>
        <v/>
      </c>
      <c r="P63" s="45">
        <f>IF(OR(A63="",J63="bezahlt",H63=""),"",MAX(0,TODAY()-H63))</f>
        <v/>
      </c>
    </row>
    <row r="64">
      <c r="A64" s="30" t="inlineStr"/>
      <c r="B64" s="38" t="inlineStr"/>
      <c r="C64" s="30" t="inlineStr"/>
      <c r="D64" s="30" t="inlineStr"/>
      <c r="E64" s="30" t="inlineStr"/>
      <c r="F64" s="34" t="inlineStr"/>
      <c r="G64" s="32" t="inlineStr"/>
      <c r="H64" s="38" t="inlineStr"/>
      <c r="I64" s="38" t="inlineStr"/>
      <c r="J64" s="30" t="inlineStr"/>
      <c r="K64" s="30" t="inlineStr"/>
      <c r="L64" s="15">
        <f>IF(A64="","",F64*G64)</f>
        <v/>
      </c>
      <c r="M64" s="15">
        <f>IF(A64="","",F64+L64)</f>
        <v/>
      </c>
      <c r="N64" s="15">
        <f>IF(A64="","",SUMIFS('15_Zahlungen'!$F:$F,'15_Zahlungen'!$D:$D,A64,'15_Zahlungen'!$C:$C,"Ausgang"))</f>
        <v/>
      </c>
      <c r="O64" s="15">
        <f>IF(A64="","",MAX(0,M64-N64))</f>
        <v/>
      </c>
      <c r="P64" s="45">
        <f>IF(OR(A64="",J64="bezahlt",H64=""),"",MAX(0,TODAY()-H64))</f>
        <v/>
      </c>
    </row>
    <row r="65">
      <c r="A65" s="30" t="inlineStr"/>
      <c r="B65" s="38" t="inlineStr"/>
      <c r="C65" s="30" t="inlineStr"/>
      <c r="D65" s="30" t="inlineStr"/>
      <c r="E65" s="30" t="inlineStr"/>
      <c r="F65" s="34" t="inlineStr"/>
      <c r="G65" s="32" t="inlineStr"/>
      <c r="H65" s="38" t="inlineStr"/>
      <c r="I65" s="38" t="inlineStr"/>
      <c r="J65" s="30" t="inlineStr"/>
      <c r="K65" s="30" t="inlineStr"/>
      <c r="L65" s="15">
        <f>IF(A65="","",F65*G65)</f>
        <v/>
      </c>
      <c r="M65" s="15">
        <f>IF(A65="","",F65+L65)</f>
        <v/>
      </c>
      <c r="N65" s="15">
        <f>IF(A65="","",SUMIFS('15_Zahlungen'!$F:$F,'15_Zahlungen'!$D:$D,A65,'15_Zahlungen'!$C:$C,"Ausgang"))</f>
        <v/>
      </c>
      <c r="O65" s="15">
        <f>IF(A65="","",MAX(0,M65-N65))</f>
        <v/>
      </c>
      <c r="P65" s="45">
        <f>IF(OR(A65="",J65="bezahlt",H65=""),"",MAX(0,TODAY()-H65))</f>
        <v/>
      </c>
    </row>
    <row r="66">
      <c r="A66" s="30" t="inlineStr"/>
      <c r="B66" s="38" t="inlineStr"/>
      <c r="C66" s="30" t="inlineStr"/>
      <c r="D66" s="30" t="inlineStr"/>
      <c r="E66" s="30" t="inlineStr"/>
      <c r="F66" s="34" t="inlineStr"/>
      <c r="G66" s="32" t="inlineStr"/>
      <c r="H66" s="38" t="inlineStr"/>
      <c r="I66" s="38" t="inlineStr"/>
      <c r="J66" s="30" t="inlineStr"/>
      <c r="K66" s="30" t="inlineStr"/>
      <c r="L66" s="15">
        <f>IF(A66="","",F66*G66)</f>
        <v/>
      </c>
      <c r="M66" s="15">
        <f>IF(A66="","",F66+L66)</f>
        <v/>
      </c>
      <c r="N66" s="15">
        <f>IF(A66="","",SUMIFS('15_Zahlungen'!$F:$F,'15_Zahlungen'!$D:$D,A66,'15_Zahlungen'!$C:$C,"Ausgang"))</f>
        <v/>
      </c>
      <c r="O66" s="15">
        <f>IF(A66="","",MAX(0,M66-N66))</f>
        <v/>
      </c>
      <c r="P66" s="45">
        <f>IF(OR(A66="",J66="bezahlt",H66=""),"",MAX(0,TODAY()-H66))</f>
        <v/>
      </c>
    </row>
    <row r="67">
      <c r="A67" s="30" t="inlineStr"/>
      <c r="B67" s="38" t="inlineStr"/>
      <c r="C67" s="30" t="inlineStr"/>
      <c r="D67" s="30" t="inlineStr"/>
      <c r="E67" s="30" t="inlineStr"/>
      <c r="F67" s="34" t="inlineStr"/>
      <c r="G67" s="32" t="inlineStr"/>
      <c r="H67" s="38" t="inlineStr"/>
      <c r="I67" s="38" t="inlineStr"/>
      <c r="J67" s="30" t="inlineStr"/>
      <c r="K67" s="30" t="inlineStr"/>
      <c r="L67" s="15">
        <f>IF(A67="","",F67*G67)</f>
        <v/>
      </c>
      <c r="M67" s="15">
        <f>IF(A67="","",F67+L67)</f>
        <v/>
      </c>
      <c r="N67" s="15">
        <f>IF(A67="","",SUMIFS('15_Zahlungen'!$F:$F,'15_Zahlungen'!$D:$D,A67,'15_Zahlungen'!$C:$C,"Ausgang"))</f>
        <v/>
      </c>
      <c r="O67" s="15">
        <f>IF(A67="","",MAX(0,M67-N67))</f>
        <v/>
      </c>
      <c r="P67" s="45">
        <f>IF(OR(A67="",J67="bezahlt",H67=""),"",MAX(0,TODAY()-H67))</f>
        <v/>
      </c>
    </row>
    <row r="68">
      <c r="A68" s="30" t="inlineStr"/>
      <c r="B68" s="38" t="inlineStr"/>
      <c r="C68" s="30" t="inlineStr"/>
      <c r="D68" s="30" t="inlineStr"/>
      <c r="E68" s="30" t="inlineStr"/>
      <c r="F68" s="34" t="inlineStr"/>
      <c r="G68" s="32" t="inlineStr"/>
      <c r="H68" s="38" t="inlineStr"/>
      <c r="I68" s="38" t="inlineStr"/>
      <c r="J68" s="30" t="inlineStr"/>
      <c r="K68" s="30" t="inlineStr"/>
      <c r="L68" s="15">
        <f>IF(A68="","",F68*G68)</f>
        <v/>
      </c>
      <c r="M68" s="15">
        <f>IF(A68="","",F68+L68)</f>
        <v/>
      </c>
      <c r="N68" s="15">
        <f>IF(A68="","",SUMIFS('15_Zahlungen'!$F:$F,'15_Zahlungen'!$D:$D,A68,'15_Zahlungen'!$C:$C,"Ausgang"))</f>
        <v/>
      </c>
      <c r="O68" s="15">
        <f>IF(A68="","",MAX(0,M68-N68))</f>
        <v/>
      </c>
      <c r="P68" s="45">
        <f>IF(OR(A68="",J68="bezahlt",H68=""),"",MAX(0,TODAY()-H68))</f>
        <v/>
      </c>
    </row>
    <row r="69">
      <c r="A69" s="30" t="inlineStr"/>
      <c r="B69" s="38" t="inlineStr"/>
      <c r="C69" s="30" t="inlineStr"/>
      <c r="D69" s="30" t="inlineStr"/>
      <c r="E69" s="30" t="inlineStr"/>
      <c r="F69" s="34" t="inlineStr"/>
      <c r="G69" s="32" t="inlineStr"/>
      <c r="H69" s="38" t="inlineStr"/>
      <c r="I69" s="38" t="inlineStr"/>
      <c r="J69" s="30" t="inlineStr"/>
      <c r="K69" s="30" t="inlineStr"/>
      <c r="L69" s="15">
        <f>IF(A69="","",F69*G69)</f>
        <v/>
      </c>
      <c r="M69" s="15">
        <f>IF(A69="","",F69+L69)</f>
        <v/>
      </c>
      <c r="N69" s="15">
        <f>IF(A69="","",SUMIFS('15_Zahlungen'!$F:$F,'15_Zahlungen'!$D:$D,A69,'15_Zahlungen'!$C:$C,"Ausgang"))</f>
        <v/>
      </c>
      <c r="O69" s="15">
        <f>IF(A69="","",MAX(0,M69-N69))</f>
        <v/>
      </c>
      <c r="P69" s="45">
        <f>IF(OR(A69="",J69="bezahlt",H69=""),"",MAX(0,TODAY()-H69))</f>
        <v/>
      </c>
    </row>
    <row r="70">
      <c r="A70" s="30" t="inlineStr"/>
      <c r="B70" s="38" t="inlineStr"/>
      <c r="C70" s="30" t="inlineStr"/>
      <c r="D70" s="30" t="inlineStr"/>
      <c r="E70" s="30" t="inlineStr"/>
      <c r="F70" s="34" t="inlineStr"/>
      <c r="G70" s="32" t="inlineStr"/>
      <c r="H70" s="38" t="inlineStr"/>
      <c r="I70" s="38" t="inlineStr"/>
      <c r="J70" s="30" t="inlineStr"/>
      <c r="K70" s="30" t="inlineStr"/>
      <c r="L70" s="15">
        <f>IF(A70="","",F70*G70)</f>
        <v/>
      </c>
      <c r="M70" s="15">
        <f>IF(A70="","",F70+L70)</f>
        <v/>
      </c>
      <c r="N70" s="15">
        <f>IF(A70="","",SUMIFS('15_Zahlungen'!$F:$F,'15_Zahlungen'!$D:$D,A70,'15_Zahlungen'!$C:$C,"Ausgang"))</f>
        <v/>
      </c>
      <c r="O70" s="15">
        <f>IF(A70="","",MAX(0,M70-N70))</f>
        <v/>
      </c>
      <c r="P70" s="45">
        <f>IF(OR(A70="",J70="bezahlt",H70=""),"",MAX(0,TODAY()-H70))</f>
        <v/>
      </c>
    </row>
    <row r="71">
      <c r="A71" s="30" t="inlineStr"/>
      <c r="B71" s="38" t="inlineStr"/>
      <c r="C71" s="30" t="inlineStr"/>
      <c r="D71" s="30" t="inlineStr"/>
      <c r="E71" s="30" t="inlineStr"/>
      <c r="F71" s="34" t="inlineStr"/>
      <c r="G71" s="32" t="inlineStr"/>
      <c r="H71" s="38" t="inlineStr"/>
      <c r="I71" s="38" t="inlineStr"/>
      <c r="J71" s="30" t="inlineStr"/>
      <c r="K71" s="30" t="inlineStr"/>
      <c r="L71" s="15">
        <f>IF(A71="","",F71*G71)</f>
        <v/>
      </c>
      <c r="M71" s="15">
        <f>IF(A71="","",F71+L71)</f>
        <v/>
      </c>
      <c r="N71" s="15">
        <f>IF(A71="","",SUMIFS('15_Zahlungen'!$F:$F,'15_Zahlungen'!$D:$D,A71,'15_Zahlungen'!$C:$C,"Ausgang"))</f>
        <v/>
      </c>
      <c r="O71" s="15">
        <f>IF(A71="","",MAX(0,M71-N71))</f>
        <v/>
      </c>
      <c r="P71" s="45">
        <f>IF(OR(A71="",J71="bezahlt",H71=""),"",MAX(0,TODAY()-H71))</f>
        <v/>
      </c>
    </row>
    <row r="72">
      <c r="A72" s="30" t="inlineStr"/>
      <c r="B72" s="38" t="inlineStr"/>
      <c r="C72" s="30" t="inlineStr"/>
      <c r="D72" s="30" t="inlineStr"/>
      <c r="E72" s="30" t="inlineStr"/>
      <c r="F72" s="34" t="inlineStr"/>
      <c r="G72" s="32" t="inlineStr"/>
      <c r="H72" s="38" t="inlineStr"/>
      <c r="I72" s="38" t="inlineStr"/>
      <c r="J72" s="30" t="inlineStr"/>
      <c r="K72" s="30" t="inlineStr"/>
      <c r="L72" s="15">
        <f>IF(A72="","",F72*G72)</f>
        <v/>
      </c>
      <c r="M72" s="15">
        <f>IF(A72="","",F72+L72)</f>
        <v/>
      </c>
      <c r="N72" s="15">
        <f>IF(A72="","",SUMIFS('15_Zahlungen'!$F:$F,'15_Zahlungen'!$D:$D,A72,'15_Zahlungen'!$C:$C,"Ausgang"))</f>
        <v/>
      </c>
      <c r="O72" s="15">
        <f>IF(A72="","",MAX(0,M72-N72))</f>
        <v/>
      </c>
      <c r="P72" s="45">
        <f>IF(OR(A72="",J72="bezahlt",H72=""),"",MAX(0,TODAY()-H72))</f>
        <v/>
      </c>
    </row>
    <row r="73">
      <c r="A73" s="30" t="inlineStr"/>
      <c r="B73" s="38" t="inlineStr"/>
      <c r="C73" s="30" t="inlineStr"/>
      <c r="D73" s="30" t="inlineStr"/>
      <c r="E73" s="30" t="inlineStr"/>
      <c r="F73" s="34" t="inlineStr"/>
      <c r="G73" s="32" t="inlineStr"/>
      <c r="H73" s="38" t="inlineStr"/>
      <c r="I73" s="38" t="inlineStr"/>
      <c r="J73" s="30" t="inlineStr"/>
      <c r="K73" s="30" t="inlineStr"/>
      <c r="L73" s="15">
        <f>IF(A73="","",F73*G73)</f>
        <v/>
      </c>
      <c r="M73" s="15">
        <f>IF(A73="","",F73+L73)</f>
        <v/>
      </c>
      <c r="N73" s="15">
        <f>IF(A73="","",SUMIFS('15_Zahlungen'!$F:$F,'15_Zahlungen'!$D:$D,A73,'15_Zahlungen'!$C:$C,"Ausgang"))</f>
        <v/>
      </c>
      <c r="O73" s="15">
        <f>IF(A73="","",MAX(0,M73-N73))</f>
        <v/>
      </c>
      <c r="P73" s="45">
        <f>IF(OR(A73="",J73="bezahlt",H73=""),"",MAX(0,TODAY()-H73))</f>
        <v/>
      </c>
    </row>
    <row r="74">
      <c r="A74" s="30" t="inlineStr"/>
      <c r="B74" s="38" t="inlineStr"/>
      <c r="C74" s="30" t="inlineStr"/>
      <c r="D74" s="30" t="inlineStr"/>
      <c r="E74" s="30" t="inlineStr"/>
      <c r="F74" s="34" t="inlineStr"/>
      <c r="G74" s="32" t="inlineStr"/>
      <c r="H74" s="38" t="inlineStr"/>
      <c r="I74" s="38" t="inlineStr"/>
      <c r="J74" s="30" t="inlineStr"/>
      <c r="K74" s="30" t="inlineStr"/>
      <c r="L74" s="15">
        <f>IF(A74="","",F74*G74)</f>
        <v/>
      </c>
      <c r="M74" s="15">
        <f>IF(A74="","",F74+L74)</f>
        <v/>
      </c>
      <c r="N74" s="15">
        <f>IF(A74="","",SUMIFS('15_Zahlungen'!$F:$F,'15_Zahlungen'!$D:$D,A74,'15_Zahlungen'!$C:$C,"Ausgang"))</f>
        <v/>
      </c>
      <c r="O74" s="15">
        <f>IF(A74="","",MAX(0,M74-N74))</f>
        <v/>
      </c>
      <c r="P74" s="45">
        <f>IF(OR(A74="",J74="bezahlt",H74=""),"",MAX(0,TODAY()-H74))</f>
        <v/>
      </c>
    </row>
    <row r="75">
      <c r="A75" s="30" t="inlineStr"/>
      <c r="B75" s="38" t="inlineStr"/>
      <c r="C75" s="30" t="inlineStr"/>
      <c r="D75" s="30" t="inlineStr"/>
      <c r="E75" s="30" t="inlineStr"/>
      <c r="F75" s="34" t="inlineStr"/>
      <c r="G75" s="32" t="inlineStr"/>
      <c r="H75" s="38" t="inlineStr"/>
      <c r="I75" s="38" t="inlineStr"/>
      <c r="J75" s="30" t="inlineStr"/>
      <c r="K75" s="30" t="inlineStr"/>
      <c r="L75" s="15">
        <f>IF(A75="","",F75*G75)</f>
        <v/>
      </c>
      <c r="M75" s="15">
        <f>IF(A75="","",F75+L75)</f>
        <v/>
      </c>
      <c r="N75" s="15">
        <f>IF(A75="","",SUMIFS('15_Zahlungen'!$F:$F,'15_Zahlungen'!$D:$D,A75,'15_Zahlungen'!$C:$C,"Ausgang"))</f>
        <v/>
      </c>
      <c r="O75" s="15">
        <f>IF(A75="","",MAX(0,M75-N75))</f>
        <v/>
      </c>
      <c r="P75" s="45">
        <f>IF(OR(A75="",J75="bezahlt",H75=""),"",MAX(0,TODAY()-H75))</f>
        <v/>
      </c>
    </row>
    <row r="76">
      <c r="A76" s="30" t="inlineStr"/>
      <c r="B76" s="38" t="inlineStr"/>
      <c r="C76" s="30" t="inlineStr"/>
      <c r="D76" s="30" t="inlineStr"/>
      <c r="E76" s="30" t="inlineStr"/>
      <c r="F76" s="34" t="inlineStr"/>
      <c r="G76" s="32" t="inlineStr"/>
      <c r="H76" s="38" t="inlineStr"/>
      <c r="I76" s="38" t="inlineStr"/>
      <c r="J76" s="30" t="inlineStr"/>
      <c r="K76" s="30" t="inlineStr"/>
      <c r="L76" s="15">
        <f>IF(A76="","",F76*G76)</f>
        <v/>
      </c>
      <c r="M76" s="15">
        <f>IF(A76="","",F76+L76)</f>
        <v/>
      </c>
      <c r="N76" s="15">
        <f>IF(A76="","",SUMIFS('15_Zahlungen'!$F:$F,'15_Zahlungen'!$D:$D,A76,'15_Zahlungen'!$C:$C,"Ausgang"))</f>
        <v/>
      </c>
      <c r="O76" s="15">
        <f>IF(A76="","",MAX(0,M76-N76))</f>
        <v/>
      </c>
      <c r="P76" s="45">
        <f>IF(OR(A76="",J76="bezahlt",H76=""),"",MAX(0,TODAY()-H76))</f>
        <v/>
      </c>
    </row>
    <row r="77">
      <c r="A77" s="30" t="inlineStr"/>
      <c r="B77" s="38" t="inlineStr"/>
      <c r="C77" s="30" t="inlineStr"/>
      <c r="D77" s="30" t="inlineStr"/>
      <c r="E77" s="30" t="inlineStr"/>
      <c r="F77" s="34" t="inlineStr"/>
      <c r="G77" s="32" t="inlineStr"/>
      <c r="H77" s="38" t="inlineStr"/>
      <c r="I77" s="38" t="inlineStr"/>
      <c r="J77" s="30" t="inlineStr"/>
      <c r="K77" s="30" t="inlineStr"/>
      <c r="L77" s="15">
        <f>IF(A77="","",F77*G77)</f>
        <v/>
      </c>
      <c r="M77" s="15">
        <f>IF(A77="","",F77+L77)</f>
        <v/>
      </c>
      <c r="N77" s="15">
        <f>IF(A77="","",SUMIFS('15_Zahlungen'!$F:$F,'15_Zahlungen'!$D:$D,A77,'15_Zahlungen'!$C:$C,"Ausgang"))</f>
        <v/>
      </c>
      <c r="O77" s="15">
        <f>IF(A77="","",MAX(0,M77-N77))</f>
        <v/>
      </c>
      <c r="P77" s="45">
        <f>IF(OR(A77="",J77="bezahlt",H77=""),"",MAX(0,TODAY()-H77))</f>
        <v/>
      </c>
    </row>
    <row r="78">
      <c r="A78" s="30" t="inlineStr"/>
      <c r="B78" s="38" t="inlineStr"/>
      <c r="C78" s="30" t="inlineStr"/>
      <c r="D78" s="30" t="inlineStr"/>
      <c r="E78" s="30" t="inlineStr"/>
      <c r="F78" s="34" t="inlineStr"/>
      <c r="G78" s="32" t="inlineStr"/>
      <c r="H78" s="38" t="inlineStr"/>
      <c r="I78" s="38" t="inlineStr"/>
      <c r="J78" s="30" t="inlineStr"/>
      <c r="K78" s="30" t="inlineStr"/>
      <c r="L78" s="15">
        <f>IF(A78="","",F78*G78)</f>
        <v/>
      </c>
      <c r="M78" s="15">
        <f>IF(A78="","",F78+L78)</f>
        <v/>
      </c>
      <c r="N78" s="15">
        <f>IF(A78="","",SUMIFS('15_Zahlungen'!$F:$F,'15_Zahlungen'!$D:$D,A78,'15_Zahlungen'!$C:$C,"Ausgang"))</f>
        <v/>
      </c>
      <c r="O78" s="15">
        <f>IF(A78="","",MAX(0,M78-N78))</f>
        <v/>
      </c>
      <c r="P78" s="45">
        <f>IF(OR(A78="",J78="bezahlt",H78=""),"",MAX(0,TODAY()-H78))</f>
        <v/>
      </c>
    </row>
    <row r="79">
      <c r="A79" s="30" t="inlineStr"/>
      <c r="B79" s="38" t="inlineStr"/>
      <c r="C79" s="30" t="inlineStr"/>
      <c r="D79" s="30" t="inlineStr"/>
      <c r="E79" s="30" t="inlineStr"/>
      <c r="F79" s="34" t="inlineStr"/>
      <c r="G79" s="32" t="inlineStr"/>
      <c r="H79" s="38" t="inlineStr"/>
      <c r="I79" s="38" t="inlineStr"/>
      <c r="J79" s="30" t="inlineStr"/>
      <c r="K79" s="30" t="inlineStr"/>
      <c r="L79" s="15">
        <f>IF(A79="","",F79*G79)</f>
        <v/>
      </c>
      <c r="M79" s="15">
        <f>IF(A79="","",F79+L79)</f>
        <v/>
      </c>
      <c r="N79" s="15">
        <f>IF(A79="","",SUMIFS('15_Zahlungen'!$F:$F,'15_Zahlungen'!$D:$D,A79,'15_Zahlungen'!$C:$C,"Ausgang"))</f>
        <v/>
      </c>
      <c r="O79" s="15">
        <f>IF(A79="","",MAX(0,M79-N79))</f>
        <v/>
      </c>
      <c r="P79" s="45">
        <f>IF(OR(A79="",J79="bezahlt",H79=""),"",MAX(0,TODAY()-H79))</f>
        <v/>
      </c>
    </row>
    <row r="80">
      <c r="A80" s="30" t="inlineStr"/>
      <c r="B80" s="38" t="inlineStr"/>
      <c r="C80" s="30" t="inlineStr"/>
      <c r="D80" s="30" t="inlineStr"/>
      <c r="E80" s="30" t="inlineStr"/>
      <c r="F80" s="34" t="inlineStr"/>
      <c r="G80" s="32" t="inlineStr"/>
      <c r="H80" s="38" t="inlineStr"/>
      <c r="I80" s="38" t="inlineStr"/>
      <c r="J80" s="30" t="inlineStr"/>
      <c r="K80" s="30" t="inlineStr"/>
      <c r="L80" s="15">
        <f>IF(A80="","",F80*G80)</f>
        <v/>
      </c>
      <c r="M80" s="15">
        <f>IF(A80="","",F80+L80)</f>
        <v/>
      </c>
      <c r="N80" s="15">
        <f>IF(A80="","",SUMIFS('15_Zahlungen'!$F:$F,'15_Zahlungen'!$D:$D,A80,'15_Zahlungen'!$C:$C,"Ausgang"))</f>
        <v/>
      </c>
      <c r="O80" s="15">
        <f>IF(A80="","",MAX(0,M80-N80))</f>
        <v/>
      </c>
      <c r="P80" s="45">
        <f>IF(OR(A80="",J80="bezahlt",H80=""),"",MAX(0,TODAY()-H80))</f>
        <v/>
      </c>
    </row>
    <row r="81">
      <c r="A81" s="30" t="inlineStr"/>
      <c r="B81" s="38" t="inlineStr"/>
      <c r="C81" s="30" t="inlineStr"/>
      <c r="D81" s="30" t="inlineStr"/>
      <c r="E81" s="30" t="inlineStr"/>
      <c r="F81" s="34" t="inlineStr"/>
      <c r="G81" s="32" t="inlineStr"/>
      <c r="H81" s="38" t="inlineStr"/>
      <c r="I81" s="38" t="inlineStr"/>
      <c r="J81" s="30" t="inlineStr"/>
      <c r="K81" s="30" t="inlineStr"/>
      <c r="L81" s="15">
        <f>IF(A81="","",F81*G81)</f>
        <v/>
      </c>
      <c r="M81" s="15">
        <f>IF(A81="","",F81+L81)</f>
        <v/>
      </c>
      <c r="N81" s="15">
        <f>IF(A81="","",SUMIFS('15_Zahlungen'!$F:$F,'15_Zahlungen'!$D:$D,A81,'15_Zahlungen'!$C:$C,"Ausgang"))</f>
        <v/>
      </c>
      <c r="O81" s="15">
        <f>IF(A81="","",MAX(0,M81-N81))</f>
        <v/>
      </c>
      <c r="P81" s="45">
        <f>IF(OR(A81="",J81="bezahlt",H81=""),"",MAX(0,TODAY()-H81))</f>
        <v/>
      </c>
    </row>
    <row r="82">
      <c r="A82" s="30" t="inlineStr"/>
      <c r="B82" s="38" t="inlineStr"/>
      <c r="C82" s="30" t="inlineStr"/>
      <c r="D82" s="30" t="inlineStr"/>
      <c r="E82" s="30" t="inlineStr"/>
      <c r="F82" s="34" t="inlineStr"/>
      <c r="G82" s="32" t="inlineStr"/>
      <c r="H82" s="38" t="inlineStr"/>
      <c r="I82" s="38" t="inlineStr"/>
      <c r="J82" s="30" t="inlineStr"/>
      <c r="K82" s="30" t="inlineStr"/>
      <c r="L82" s="15">
        <f>IF(A82="","",F82*G82)</f>
        <v/>
      </c>
      <c r="M82" s="15">
        <f>IF(A82="","",F82+L82)</f>
        <v/>
      </c>
      <c r="N82" s="15">
        <f>IF(A82="","",SUMIFS('15_Zahlungen'!$F:$F,'15_Zahlungen'!$D:$D,A82,'15_Zahlungen'!$C:$C,"Ausgang"))</f>
        <v/>
      </c>
      <c r="O82" s="15">
        <f>IF(A82="","",MAX(0,M82-N82))</f>
        <v/>
      </c>
      <c r="P82" s="45">
        <f>IF(OR(A82="",J82="bezahlt",H82=""),"",MAX(0,TODAY()-H82))</f>
        <v/>
      </c>
    </row>
    <row r="83">
      <c r="A83" s="30" t="inlineStr"/>
      <c r="B83" s="38" t="inlineStr"/>
      <c r="C83" s="30" t="inlineStr"/>
      <c r="D83" s="30" t="inlineStr"/>
      <c r="E83" s="30" t="inlineStr"/>
      <c r="F83" s="34" t="inlineStr"/>
      <c r="G83" s="32" t="inlineStr"/>
      <c r="H83" s="38" t="inlineStr"/>
      <c r="I83" s="38" t="inlineStr"/>
      <c r="J83" s="30" t="inlineStr"/>
      <c r="K83" s="30" t="inlineStr"/>
      <c r="L83" s="15">
        <f>IF(A83="","",F83*G83)</f>
        <v/>
      </c>
      <c r="M83" s="15">
        <f>IF(A83="","",F83+L83)</f>
        <v/>
      </c>
      <c r="N83" s="15">
        <f>IF(A83="","",SUMIFS('15_Zahlungen'!$F:$F,'15_Zahlungen'!$D:$D,A83,'15_Zahlungen'!$C:$C,"Ausgang"))</f>
        <v/>
      </c>
      <c r="O83" s="15">
        <f>IF(A83="","",MAX(0,M83-N83))</f>
        <v/>
      </c>
      <c r="P83" s="45">
        <f>IF(OR(A83="",J83="bezahlt",H83=""),"",MAX(0,TODAY()-H83))</f>
        <v/>
      </c>
    </row>
    <row r="84">
      <c r="A84" s="30" t="inlineStr"/>
      <c r="B84" s="38" t="inlineStr"/>
      <c r="C84" s="30" t="inlineStr"/>
      <c r="D84" s="30" t="inlineStr"/>
      <c r="E84" s="30" t="inlineStr"/>
      <c r="F84" s="34" t="inlineStr"/>
      <c r="G84" s="32" t="inlineStr"/>
      <c r="H84" s="38" t="inlineStr"/>
      <c r="I84" s="38" t="inlineStr"/>
      <c r="J84" s="30" t="inlineStr"/>
      <c r="K84" s="30" t="inlineStr"/>
      <c r="L84" s="15">
        <f>IF(A84="","",F84*G84)</f>
        <v/>
      </c>
      <c r="M84" s="15">
        <f>IF(A84="","",F84+L84)</f>
        <v/>
      </c>
      <c r="N84" s="15">
        <f>IF(A84="","",SUMIFS('15_Zahlungen'!$F:$F,'15_Zahlungen'!$D:$D,A84,'15_Zahlungen'!$C:$C,"Ausgang"))</f>
        <v/>
      </c>
      <c r="O84" s="15">
        <f>IF(A84="","",MAX(0,M84-N84))</f>
        <v/>
      </c>
      <c r="P84" s="45">
        <f>IF(OR(A84="",J84="bezahlt",H84=""),"",MAX(0,TODAY()-H84))</f>
        <v/>
      </c>
    </row>
    <row r="85">
      <c r="A85" s="30" t="inlineStr"/>
      <c r="B85" s="38" t="inlineStr"/>
      <c r="C85" s="30" t="inlineStr"/>
      <c r="D85" s="30" t="inlineStr"/>
      <c r="E85" s="30" t="inlineStr"/>
      <c r="F85" s="34" t="inlineStr"/>
      <c r="G85" s="32" t="inlineStr"/>
      <c r="H85" s="38" t="inlineStr"/>
      <c r="I85" s="38" t="inlineStr"/>
      <c r="J85" s="30" t="inlineStr"/>
      <c r="K85" s="30" t="inlineStr"/>
      <c r="L85" s="15">
        <f>IF(A85="","",F85*G85)</f>
        <v/>
      </c>
      <c r="M85" s="15">
        <f>IF(A85="","",F85+L85)</f>
        <v/>
      </c>
      <c r="N85" s="15">
        <f>IF(A85="","",SUMIFS('15_Zahlungen'!$F:$F,'15_Zahlungen'!$D:$D,A85,'15_Zahlungen'!$C:$C,"Ausgang"))</f>
        <v/>
      </c>
      <c r="O85" s="15">
        <f>IF(A85="","",MAX(0,M85-N85))</f>
        <v/>
      </c>
      <c r="P85" s="45">
        <f>IF(OR(A85="",J85="bezahlt",H85=""),"",MAX(0,TODAY()-H85))</f>
        <v/>
      </c>
    </row>
    <row r="86">
      <c r="A86" s="30" t="inlineStr"/>
      <c r="B86" s="38" t="inlineStr"/>
      <c r="C86" s="30" t="inlineStr"/>
      <c r="D86" s="30" t="inlineStr"/>
      <c r="E86" s="30" t="inlineStr"/>
      <c r="F86" s="34" t="inlineStr"/>
      <c r="G86" s="32" t="inlineStr"/>
      <c r="H86" s="38" t="inlineStr"/>
      <c r="I86" s="38" t="inlineStr"/>
      <c r="J86" s="30" t="inlineStr"/>
      <c r="K86" s="30" t="inlineStr"/>
      <c r="L86" s="15">
        <f>IF(A86="","",F86*G86)</f>
        <v/>
      </c>
      <c r="M86" s="15">
        <f>IF(A86="","",F86+L86)</f>
        <v/>
      </c>
      <c r="N86" s="15">
        <f>IF(A86="","",SUMIFS('15_Zahlungen'!$F:$F,'15_Zahlungen'!$D:$D,A86,'15_Zahlungen'!$C:$C,"Ausgang"))</f>
        <v/>
      </c>
      <c r="O86" s="15">
        <f>IF(A86="","",MAX(0,M86-N86))</f>
        <v/>
      </c>
      <c r="P86" s="45">
        <f>IF(OR(A86="",J86="bezahlt",H86=""),"",MAX(0,TODAY()-H86))</f>
        <v/>
      </c>
    </row>
    <row r="87">
      <c r="A87" s="30" t="inlineStr"/>
      <c r="B87" s="38" t="inlineStr"/>
      <c r="C87" s="30" t="inlineStr"/>
      <c r="D87" s="30" t="inlineStr"/>
      <c r="E87" s="30" t="inlineStr"/>
      <c r="F87" s="34" t="inlineStr"/>
      <c r="G87" s="32" t="inlineStr"/>
      <c r="H87" s="38" t="inlineStr"/>
      <c r="I87" s="38" t="inlineStr"/>
      <c r="J87" s="30" t="inlineStr"/>
      <c r="K87" s="30" t="inlineStr"/>
      <c r="L87" s="15">
        <f>IF(A87="","",F87*G87)</f>
        <v/>
      </c>
      <c r="M87" s="15">
        <f>IF(A87="","",F87+L87)</f>
        <v/>
      </c>
      <c r="N87" s="15">
        <f>IF(A87="","",SUMIFS('15_Zahlungen'!$F:$F,'15_Zahlungen'!$D:$D,A87,'15_Zahlungen'!$C:$C,"Ausgang"))</f>
        <v/>
      </c>
      <c r="O87" s="15">
        <f>IF(A87="","",MAX(0,M87-N87))</f>
        <v/>
      </c>
      <c r="P87" s="45">
        <f>IF(OR(A87="",J87="bezahlt",H87=""),"",MAX(0,TODAY()-H87))</f>
        <v/>
      </c>
    </row>
    <row r="88">
      <c r="A88" s="30" t="inlineStr"/>
      <c r="B88" s="38" t="inlineStr"/>
      <c r="C88" s="30" t="inlineStr"/>
      <c r="D88" s="30" t="inlineStr"/>
      <c r="E88" s="30" t="inlineStr"/>
      <c r="F88" s="34" t="inlineStr"/>
      <c r="G88" s="32" t="inlineStr"/>
      <c r="H88" s="38" t="inlineStr"/>
      <c r="I88" s="38" t="inlineStr"/>
      <c r="J88" s="30" t="inlineStr"/>
      <c r="K88" s="30" t="inlineStr"/>
      <c r="L88" s="15">
        <f>IF(A88="","",F88*G88)</f>
        <v/>
      </c>
      <c r="M88" s="15">
        <f>IF(A88="","",F88+L88)</f>
        <v/>
      </c>
      <c r="N88" s="15">
        <f>IF(A88="","",SUMIFS('15_Zahlungen'!$F:$F,'15_Zahlungen'!$D:$D,A88,'15_Zahlungen'!$C:$C,"Ausgang"))</f>
        <v/>
      </c>
      <c r="O88" s="15">
        <f>IF(A88="","",MAX(0,M88-N88))</f>
        <v/>
      </c>
      <c r="P88" s="45">
        <f>IF(OR(A88="",J88="bezahlt",H88=""),"",MAX(0,TODAY()-H88))</f>
        <v/>
      </c>
    </row>
    <row r="89">
      <c r="A89" s="30" t="inlineStr"/>
      <c r="B89" s="38" t="inlineStr"/>
      <c r="C89" s="30" t="inlineStr"/>
      <c r="D89" s="30" t="inlineStr"/>
      <c r="E89" s="30" t="inlineStr"/>
      <c r="F89" s="34" t="inlineStr"/>
      <c r="G89" s="32" t="inlineStr"/>
      <c r="H89" s="38" t="inlineStr"/>
      <c r="I89" s="38" t="inlineStr"/>
      <c r="J89" s="30" t="inlineStr"/>
      <c r="K89" s="30" t="inlineStr"/>
      <c r="L89" s="15">
        <f>IF(A89="","",F89*G89)</f>
        <v/>
      </c>
      <c r="M89" s="15">
        <f>IF(A89="","",F89+L89)</f>
        <v/>
      </c>
      <c r="N89" s="15">
        <f>IF(A89="","",SUMIFS('15_Zahlungen'!$F:$F,'15_Zahlungen'!$D:$D,A89,'15_Zahlungen'!$C:$C,"Ausgang"))</f>
        <v/>
      </c>
      <c r="O89" s="15">
        <f>IF(A89="","",MAX(0,M89-N89))</f>
        <v/>
      </c>
      <c r="P89" s="45">
        <f>IF(OR(A89="",J89="bezahlt",H89=""),"",MAX(0,TODAY()-H89))</f>
        <v/>
      </c>
    </row>
    <row r="90">
      <c r="A90" s="30" t="inlineStr"/>
      <c r="B90" s="38" t="inlineStr"/>
      <c r="C90" s="30" t="inlineStr"/>
      <c r="D90" s="30" t="inlineStr"/>
      <c r="E90" s="30" t="inlineStr"/>
      <c r="F90" s="34" t="inlineStr"/>
      <c r="G90" s="32" t="inlineStr"/>
      <c r="H90" s="38" t="inlineStr"/>
      <c r="I90" s="38" t="inlineStr"/>
      <c r="J90" s="30" t="inlineStr"/>
      <c r="K90" s="30" t="inlineStr"/>
      <c r="L90" s="15">
        <f>IF(A90="","",F90*G90)</f>
        <v/>
      </c>
      <c r="M90" s="15">
        <f>IF(A90="","",F90+L90)</f>
        <v/>
      </c>
      <c r="N90" s="15">
        <f>IF(A90="","",SUMIFS('15_Zahlungen'!$F:$F,'15_Zahlungen'!$D:$D,A90,'15_Zahlungen'!$C:$C,"Ausgang"))</f>
        <v/>
      </c>
      <c r="O90" s="15">
        <f>IF(A90="","",MAX(0,M90-N90))</f>
        <v/>
      </c>
      <c r="P90" s="45">
        <f>IF(OR(A90="",J90="bezahlt",H90=""),"",MAX(0,TODAY()-H90))</f>
        <v/>
      </c>
    </row>
    <row r="91">
      <c r="A91" s="30" t="inlineStr"/>
      <c r="B91" s="38" t="inlineStr"/>
      <c r="C91" s="30" t="inlineStr"/>
      <c r="D91" s="30" t="inlineStr"/>
      <c r="E91" s="30" t="inlineStr"/>
      <c r="F91" s="34" t="inlineStr"/>
      <c r="G91" s="32" t="inlineStr"/>
      <c r="H91" s="38" t="inlineStr"/>
      <c r="I91" s="38" t="inlineStr"/>
      <c r="J91" s="30" t="inlineStr"/>
      <c r="K91" s="30" t="inlineStr"/>
      <c r="L91" s="15">
        <f>IF(A91="","",F91*G91)</f>
        <v/>
      </c>
      <c r="M91" s="15">
        <f>IF(A91="","",F91+L91)</f>
        <v/>
      </c>
      <c r="N91" s="15">
        <f>IF(A91="","",SUMIFS('15_Zahlungen'!$F:$F,'15_Zahlungen'!$D:$D,A91,'15_Zahlungen'!$C:$C,"Ausgang"))</f>
        <v/>
      </c>
      <c r="O91" s="15">
        <f>IF(A91="","",MAX(0,M91-N91))</f>
        <v/>
      </c>
      <c r="P91" s="45">
        <f>IF(OR(A91="",J91="bezahlt",H91=""),"",MAX(0,TODAY()-H91))</f>
        <v/>
      </c>
    </row>
    <row r="92">
      <c r="A92" s="30" t="inlineStr"/>
      <c r="B92" s="38" t="inlineStr"/>
      <c r="C92" s="30" t="inlineStr"/>
      <c r="D92" s="30" t="inlineStr"/>
      <c r="E92" s="30" t="inlineStr"/>
      <c r="F92" s="34" t="inlineStr"/>
      <c r="G92" s="32" t="inlineStr"/>
      <c r="H92" s="38" t="inlineStr"/>
      <c r="I92" s="38" t="inlineStr"/>
      <c r="J92" s="30" t="inlineStr"/>
      <c r="K92" s="30" t="inlineStr"/>
      <c r="L92" s="15">
        <f>IF(A92="","",F92*G92)</f>
        <v/>
      </c>
      <c r="M92" s="15">
        <f>IF(A92="","",F92+L92)</f>
        <v/>
      </c>
      <c r="N92" s="15">
        <f>IF(A92="","",SUMIFS('15_Zahlungen'!$F:$F,'15_Zahlungen'!$D:$D,A92,'15_Zahlungen'!$C:$C,"Ausgang"))</f>
        <v/>
      </c>
      <c r="O92" s="15">
        <f>IF(A92="","",MAX(0,M92-N92))</f>
        <v/>
      </c>
      <c r="P92" s="45">
        <f>IF(OR(A92="",J92="bezahlt",H92=""),"",MAX(0,TODAY()-H92))</f>
        <v/>
      </c>
    </row>
    <row r="93">
      <c r="A93" s="30" t="inlineStr"/>
      <c r="B93" s="38" t="inlineStr"/>
      <c r="C93" s="30" t="inlineStr"/>
      <c r="D93" s="30" t="inlineStr"/>
      <c r="E93" s="30" t="inlineStr"/>
      <c r="F93" s="34" t="inlineStr"/>
      <c r="G93" s="32" t="inlineStr"/>
      <c r="H93" s="38" t="inlineStr"/>
      <c r="I93" s="38" t="inlineStr"/>
      <c r="J93" s="30" t="inlineStr"/>
      <c r="K93" s="30" t="inlineStr"/>
      <c r="L93" s="15">
        <f>IF(A93="","",F93*G93)</f>
        <v/>
      </c>
      <c r="M93" s="15">
        <f>IF(A93="","",F93+L93)</f>
        <v/>
      </c>
      <c r="N93" s="15">
        <f>IF(A93="","",SUMIFS('15_Zahlungen'!$F:$F,'15_Zahlungen'!$D:$D,A93,'15_Zahlungen'!$C:$C,"Ausgang"))</f>
        <v/>
      </c>
      <c r="O93" s="15">
        <f>IF(A93="","",MAX(0,M93-N93))</f>
        <v/>
      </c>
      <c r="P93" s="45">
        <f>IF(OR(A93="",J93="bezahlt",H93=""),"",MAX(0,TODAY()-H93))</f>
        <v/>
      </c>
    </row>
    <row r="94">
      <c r="A94" s="30" t="inlineStr"/>
      <c r="B94" s="38" t="inlineStr"/>
      <c r="C94" s="30" t="inlineStr"/>
      <c r="D94" s="30" t="inlineStr"/>
      <c r="E94" s="30" t="inlineStr"/>
      <c r="F94" s="34" t="inlineStr"/>
      <c r="G94" s="32" t="inlineStr"/>
      <c r="H94" s="38" t="inlineStr"/>
      <c r="I94" s="38" t="inlineStr"/>
      <c r="J94" s="30" t="inlineStr"/>
      <c r="K94" s="30" t="inlineStr"/>
      <c r="L94" s="15">
        <f>IF(A94="","",F94*G94)</f>
        <v/>
      </c>
      <c r="M94" s="15">
        <f>IF(A94="","",F94+L94)</f>
        <v/>
      </c>
      <c r="N94" s="15">
        <f>IF(A94="","",SUMIFS('15_Zahlungen'!$F:$F,'15_Zahlungen'!$D:$D,A94,'15_Zahlungen'!$C:$C,"Ausgang"))</f>
        <v/>
      </c>
      <c r="O94" s="15">
        <f>IF(A94="","",MAX(0,M94-N94))</f>
        <v/>
      </c>
      <c r="P94" s="45">
        <f>IF(OR(A94="",J94="bezahlt",H94=""),"",MAX(0,TODAY()-H94))</f>
        <v/>
      </c>
    </row>
    <row r="95">
      <c r="A95" s="30" t="inlineStr"/>
      <c r="B95" s="38" t="inlineStr"/>
      <c r="C95" s="30" t="inlineStr"/>
      <c r="D95" s="30" t="inlineStr"/>
      <c r="E95" s="30" t="inlineStr"/>
      <c r="F95" s="34" t="inlineStr"/>
      <c r="G95" s="32" t="inlineStr"/>
      <c r="H95" s="38" t="inlineStr"/>
      <c r="I95" s="38" t="inlineStr"/>
      <c r="J95" s="30" t="inlineStr"/>
      <c r="K95" s="30" t="inlineStr"/>
      <c r="L95" s="15">
        <f>IF(A95="","",F95*G95)</f>
        <v/>
      </c>
      <c r="M95" s="15">
        <f>IF(A95="","",F95+L95)</f>
        <v/>
      </c>
      <c r="N95" s="15">
        <f>IF(A95="","",SUMIFS('15_Zahlungen'!$F:$F,'15_Zahlungen'!$D:$D,A95,'15_Zahlungen'!$C:$C,"Ausgang"))</f>
        <v/>
      </c>
      <c r="O95" s="15">
        <f>IF(A95="","",MAX(0,M95-N95))</f>
        <v/>
      </c>
      <c r="P95" s="45">
        <f>IF(OR(A95="",J95="bezahlt",H95=""),"",MAX(0,TODAY()-H95))</f>
        <v/>
      </c>
    </row>
    <row r="96">
      <c r="A96" s="30" t="inlineStr"/>
      <c r="B96" s="38" t="inlineStr"/>
      <c r="C96" s="30" t="inlineStr"/>
      <c r="D96" s="30" t="inlineStr"/>
      <c r="E96" s="30" t="inlineStr"/>
      <c r="F96" s="34" t="inlineStr"/>
      <c r="G96" s="32" t="inlineStr"/>
      <c r="H96" s="38" t="inlineStr"/>
      <c r="I96" s="38" t="inlineStr"/>
      <c r="J96" s="30" t="inlineStr"/>
      <c r="K96" s="30" t="inlineStr"/>
      <c r="L96" s="15">
        <f>IF(A96="","",F96*G96)</f>
        <v/>
      </c>
      <c r="M96" s="15">
        <f>IF(A96="","",F96+L96)</f>
        <v/>
      </c>
      <c r="N96" s="15">
        <f>IF(A96="","",SUMIFS('15_Zahlungen'!$F:$F,'15_Zahlungen'!$D:$D,A96,'15_Zahlungen'!$C:$C,"Ausgang"))</f>
        <v/>
      </c>
      <c r="O96" s="15">
        <f>IF(A96="","",MAX(0,M96-N96))</f>
        <v/>
      </c>
      <c r="P96" s="45">
        <f>IF(OR(A96="",J96="bezahlt",H96=""),"",MAX(0,TODAY()-H96))</f>
        <v/>
      </c>
    </row>
    <row r="97">
      <c r="A97" s="30" t="inlineStr"/>
      <c r="B97" s="38" t="inlineStr"/>
      <c r="C97" s="30" t="inlineStr"/>
      <c r="D97" s="30" t="inlineStr"/>
      <c r="E97" s="30" t="inlineStr"/>
      <c r="F97" s="34" t="inlineStr"/>
      <c r="G97" s="32" t="inlineStr"/>
      <c r="H97" s="38" t="inlineStr"/>
      <c r="I97" s="38" t="inlineStr"/>
      <c r="J97" s="30" t="inlineStr"/>
      <c r="K97" s="30" t="inlineStr"/>
      <c r="L97" s="15">
        <f>IF(A97="","",F97*G97)</f>
        <v/>
      </c>
      <c r="M97" s="15">
        <f>IF(A97="","",F97+L97)</f>
        <v/>
      </c>
      <c r="N97" s="15">
        <f>IF(A97="","",SUMIFS('15_Zahlungen'!$F:$F,'15_Zahlungen'!$D:$D,A97,'15_Zahlungen'!$C:$C,"Ausgang"))</f>
        <v/>
      </c>
      <c r="O97" s="15">
        <f>IF(A97="","",MAX(0,M97-N97))</f>
        <v/>
      </c>
      <c r="P97" s="45">
        <f>IF(OR(A97="",J97="bezahlt",H97=""),"",MAX(0,TODAY()-H97))</f>
        <v/>
      </c>
    </row>
    <row r="98">
      <c r="A98" s="30" t="inlineStr"/>
      <c r="B98" s="38" t="inlineStr"/>
      <c r="C98" s="30" t="inlineStr"/>
      <c r="D98" s="30" t="inlineStr"/>
      <c r="E98" s="30" t="inlineStr"/>
      <c r="F98" s="34" t="inlineStr"/>
      <c r="G98" s="32" t="inlineStr"/>
      <c r="H98" s="38" t="inlineStr"/>
      <c r="I98" s="38" t="inlineStr"/>
      <c r="J98" s="30" t="inlineStr"/>
      <c r="K98" s="30" t="inlineStr"/>
      <c r="L98" s="15">
        <f>IF(A98="","",F98*G98)</f>
        <v/>
      </c>
      <c r="M98" s="15">
        <f>IF(A98="","",F98+L98)</f>
        <v/>
      </c>
      <c r="N98" s="15">
        <f>IF(A98="","",SUMIFS('15_Zahlungen'!$F:$F,'15_Zahlungen'!$D:$D,A98,'15_Zahlungen'!$C:$C,"Ausgang"))</f>
        <v/>
      </c>
      <c r="O98" s="15">
        <f>IF(A98="","",MAX(0,M98-N98))</f>
        <v/>
      </c>
      <c r="P98" s="45">
        <f>IF(OR(A98="",J98="bezahlt",H98=""),"",MAX(0,TODAY()-H98))</f>
        <v/>
      </c>
    </row>
    <row r="99">
      <c r="A99" s="30" t="inlineStr"/>
      <c r="B99" s="38" t="inlineStr"/>
      <c r="C99" s="30" t="inlineStr"/>
      <c r="D99" s="30" t="inlineStr"/>
      <c r="E99" s="30" t="inlineStr"/>
      <c r="F99" s="34" t="inlineStr"/>
      <c r="G99" s="32" t="inlineStr"/>
      <c r="H99" s="38" t="inlineStr"/>
      <c r="I99" s="38" t="inlineStr"/>
      <c r="J99" s="30" t="inlineStr"/>
      <c r="K99" s="30" t="inlineStr"/>
      <c r="L99" s="15">
        <f>IF(A99="","",F99*G99)</f>
        <v/>
      </c>
      <c r="M99" s="15">
        <f>IF(A99="","",F99+L99)</f>
        <v/>
      </c>
      <c r="N99" s="15">
        <f>IF(A99="","",SUMIFS('15_Zahlungen'!$F:$F,'15_Zahlungen'!$D:$D,A99,'15_Zahlungen'!$C:$C,"Ausgang"))</f>
        <v/>
      </c>
      <c r="O99" s="15">
        <f>IF(A99="","",MAX(0,M99-N99))</f>
        <v/>
      </c>
      <c r="P99" s="45">
        <f>IF(OR(A99="",J99="bezahlt",H99=""),"",MAX(0,TODAY()-H99))</f>
        <v/>
      </c>
    </row>
    <row r="100">
      <c r="A100" s="30" t="inlineStr"/>
      <c r="B100" s="38" t="inlineStr"/>
      <c r="C100" s="30" t="inlineStr"/>
      <c r="D100" s="30" t="inlineStr"/>
      <c r="E100" s="30" t="inlineStr"/>
      <c r="F100" s="34" t="inlineStr"/>
      <c r="G100" s="32" t="inlineStr"/>
      <c r="H100" s="38" t="inlineStr"/>
      <c r="I100" s="38" t="inlineStr"/>
      <c r="J100" s="30" t="inlineStr"/>
      <c r="K100" s="30" t="inlineStr"/>
      <c r="L100" s="15">
        <f>IF(A100="","",F100*G100)</f>
        <v/>
      </c>
      <c r="M100" s="15">
        <f>IF(A100="","",F100+L100)</f>
        <v/>
      </c>
      <c r="N100" s="15">
        <f>IF(A100="","",SUMIFS('15_Zahlungen'!$F:$F,'15_Zahlungen'!$D:$D,A100,'15_Zahlungen'!$C:$C,"Ausgang"))</f>
        <v/>
      </c>
      <c r="O100" s="15">
        <f>IF(A100="","",MAX(0,M100-N100))</f>
        <v/>
      </c>
      <c r="P100" s="45">
        <f>IF(OR(A100="",J100="bezahlt",H100=""),"",MAX(0,TODAY()-H100))</f>
        <v/>
      </c>
    </row>
    <row r="101">
      <c r="A101" s="30" t="inlineStr"/>
      <c r="B101" s="38" t="inlineStr"/>
      <c r="C101" s="30" t="inlineStr"/>
      <c r="D101" s="30" t="inlineStr"/>
      <c r="E101" s="30" t="inlineStr"/>
      <c r="F101" s="34" t="inlineStr"/>
      <c r="G101" s="32" t="inlineStr"/>
      <c r="H101" s="38" t="inlineStr"/>
      <c r="I101" s="38" t="inlineStr"/>
      <c r="J101" s="30" t="inlineStr"/>
      <c r="K101" s="30" t="inlineStr"/>
      <c r="L101" s="15">
        <f>IF(A101="","",F101*G101)</f>
        <v/>
      </c>
      <c r="M101" s="15">
        <f>IF(A101="","",F101+L101)</f>
        <v/>
      </c>
      <c r="N101" s="15">
        <f>IF(A101="","",SUMIFS('15_Zahlungen'!$F:$F,'15_Zahlungen'!$D:$D,A101,'15_Zahlungen'!$C:$C,"Ausgang"))</f>
        <v/>
      </c>
      <c r="O101" s="15">
        <f>IF(A101="","",MAX(0,M101-N101))</f>
        <v/>
      </c>
      <c r="P101" s="45">
        <f>IF(OR(A101="",J101="bezahlt",H101=""),"",MAX(0,TODAY()-H101))</f>
        <v/>
      </c>
    </row>
    <row r="102">
      <c r="A102" s="30" t="inlineStr"/>
      <c r="B102" s="38" t="inlineStr"/>
      <c r="C102" s="30" t="inlineStr"/>
      <c r="D102" s="30" t="inlineStr"/>
      <c r="E102" s="30" t="inlineStr"/>
      <c r="F102" s="34" t="inlineStr"/>
      <c r="G102" s="32" t="inlineStr"/>
      <c r="H102" s="38" t="inlineStr"/>
      <c r="I102" s="38" t="inlineStr"/>
      <c r="J102" s="30" t="inlineStr"/>
      <c r="K102" s="30" t="inlineStr"/>
      <c r="L102" s="15">
        <f>IF(A102="","",F102*G102)</f>
        <v/>
      </c>
      <c r="M102" s="15">
        <f>IF(A102="","",F102+L102)</f>
        <v/>
      </c>
      <c r="N102" s="15">
        <f>IF(A102="","",SUMIFS('15_Zahlungen'!$F:$F,'15_Zahlungen'!$D:$D,A102,'15_Zahlungen'!$C:$C,"Ausgang"))</f>
        <v/>
      </c>
      <c r="O102" s="15">
        <f>IF(A102="","",MAX(0,M102-N102))</f>
        <v/>
      </c>
      <c r="P102" s="45">
        <f>IF(OR(A102="",J102="bezahlt",H102=""),"",MAX(0,TODAY()-H102))</f>
        <v/>
      </c>
    </row>
    <row r="103">
      <c r="A103" s="30" t="inlineStr"/>
      <c r="B103" s="38" t="inlineStr"/>
      <c r="C103" s="30" t="inlineStr"/>
      <c r="D103" s="30" t="inlineStr"/>
      <c r="E103" s="30" t="inlineStr"/>
      <c r="F103" s="34" t="inlineStr"/>
      <c r="G103" s="32" t="inlineStr"/>
      <c r="H103" s="38" t="inlineStr"/>
      <c r="I103" s="38" t="inlineStr"/>
      <c r="J103" s="30" t="inlineStr"/>
      <c r="K103" s="30" t="inlineStr"/>
      <c r="L103" s="15">
        <f>IF(A103="","",F103*G103)</f>
        <v/>
      </c>
      <c r="M103" s="15">
        <f>IF(A103="","",F103+L103)</f>
        <v/>
      </c>
      <c r="N103" s="15">
        <f>IF(A103="","",SUMIFS('15_Zahlungen'!$F:$F,'15_Zahlungen'!$D:$D,A103,'15_Zahlungen'!$C:$C,"Ausgang"))</f>
        <v/>
      </c>
      <c r="O103" s="15">
        <f>IF(A103="","",MAX(0,M103-N103))</f>
        <v/>
      </c>
      <c r="P103" s="45">
        <f>IF(OR(A103="",J103="bezahlt",H103=""),"",MAX(0,TODAY()-H103))</f>
        <v/>
      </c>
    </row>
    <row r="104">
      <c r="A104" s="30" t="inlineStr"/>
      <c r="B104" s="38" t="inlineStr"/>
      <c r="C104" s="30" t="inlineStr"/>
      <c r="D104" s="30" t="inlineStr"/>
      <c r="E104" s="30" t="inlineStr"/>
      <c r="F104" s="34" t="inlineStr"/>
      <c r="G104" s="32" t="inlineStr"/>
      <c r="H104" s="38" t="inlineStr"/>
      <c r="I104" s="38" t="inlineStr"/>
      <c r="J104" s="30" t="inlineStr"/>
      <c r="K104" s="30" t="inlineStr"/>
      <c r="L104" s="15">
        <f>IF(A104="","",F104*G104)</f>
        <v/>
      </c>
      <c r="M104" s="15">
        <f>IF(A104="","",F104+L104)</f>
        <v/>
      </c>
      <c r="N104" s="15">
        <f>IF(A104="","",SUMIFS('15_Zahlungen'!$F:$F,'15_Zahlungen'!$D:$D,A104,'15_Zahlungen'!$C:$C,"Ausgang"))</f>
        <v/>
      </c>
      <c r="O104" s="15">
        <f>IF(A104="","",MAX(0,M104-N104))</f>
        <v/>
      </c>
      <c r="P104" s="45">
        <f>IF(OR(A104="",J104="bezahlt",H104=""),"",MAX(0,TODAY()-H104))</f>
        <v/>
      </c>
    </row>
    <row r="105">
      <c r="A105" s="30" t="inlineStr"/>
      <c r="B105" s="38" t="inlineStr"/>
      <c r="C105" s="30" t="inlineStr"/>
      <c r="D105" s="30" t="inlineStr"/>
      <c r="E105" s="30" t="inlineStr"/>
      <c r="F105" s="34" t="inlineStr"/>
      <c r="G105" s="32" t="inlineStr"/>
      <c r="H105" s="38" t="inlineStr"/>
      <c r="I105" s="38" t="inlineStr"/>
      <c r="J105" s="30" t="inlineStr"/>
      <c r="K105" s="30" t="inlineStr"/>
      <c r="L105" s="15">
        <f>IF(A105="","",F105*G105)</f>
        <v/>
      </c>
      <c r="M105" s="15">
        <f>IF(A105="","",F105+L105)</f>
        <v/>
      </c>
      <c r="N105" s="15">
        <f>IF(A105="","",SUMIFS('15_Zahlungen'!$F:$F,'15_Zahlungen'!$D:$D,A105,'15_Zahlungen'!$C:$C,"Ausgang"))</f>
        <v/>
      </c>
      <c r="O105" s="15">
        <f>IF(A105="","",MAX(0,M105-N105))</f>
        <v/>
      </c>
      <c r="P105" s="45">
        <f>IF(OR(A105="",J105="bezahlt",H105=""),"",MAX(0,TODAY()-H105))</f>
        <v/>
      </c>
    </row>
    <row r="106">
      <c r="A106" s="30" t="inlineStr"/>
      <c r="B106" s="38" t="inlineStr"/>
      <c r="C106" s="30" t="inlineStr"/>
      <c r="D106" s="30" t="inlineStr"/>
      <c r="E106" s="30" t="inlineStr"/>
      <c r="F106" s="34" t="inlineStr"/>
      <c r="G106" s="32" t="inlineStr"/>
      <c r="H106" s="38" t="inlineStr"/>
      <c r="I106" s="38" t="inlineStr"/>
      <c r="J106" s="30" t="inlineStr"/>
      <c r="K106" s="30" t="inlineStr"/>
      <c r="L106" s="15">
        <f>IF(A106="","",F106*G106)</f>
        <v/>
      </c>
      <c r="M106" s="15">
        <f>IF(A106="","",F106+L106)</f>
        <v/>
      </c>
      <c r="N106" s="15">
        <f>IF(A106="","",SUMIFS('15_Zahlungen'!$F:$F,'15_Zahlungen'!$D:$D,A106,'15_Zahlungen'!$C:$C,"Ausgang"))</f>
        <v/>
      </c>
      <c r="O106" s="15">
        <f>IF(A106="","",MAX(0,M106-N106))</f>
        <v/>
      </c>
      <c r="P106" s="45">
        <f>IF(OR(A106="",J106="bezahlt",H106=""),"",MAX(0,TODAY()-H106))</f>
        <v/>
      </c>
    </row>
    <row r="107">
      <c r="A107" s="30" t="inlineStr"/>
      <c r="B107" s="38" t="inlineStr"/>
      <c r="C107" s="30" t="inlineStr"/>
      <c r="D107" s="30" t="inlineStr"/>
      <c r="E107" s="30" t="inlineStr"/>
      <c r="F107" s="34" t="inlineStr"/>
      <c r="G107" s="32" t="inlineStr"/>
      <c r="H107" s="38" t="inlineStr"/>
      <c r="I107" s="38" t="inlineStr"/>
      <c r="J107" s="30" t="inlineStr"/>
      <c r="K107" s="30" t="inlineStr"/>
      <c r="L107" s="15">
        <f>IF(A107="","",F107*G107)</f>
        <v/>
      </c>
      <c r="M107" s="15">
        <f>IF(A107="","",F107+L107)</f>
        <v/>
      </c>
      <c r="N107" s="15">
        <f>IF(A107="","",SUMIFS('15_Zahlungen'!$F:$F,'15_Zahlungen'!$D:$D,A107,'15_Zahlungen'!$C:$C,"Ausgang"))</f>
        <v/>
      </c>
      <c r="O107" s="15">
        <f>IF(A107="","",MAX(0,M107-N107))</f>
        <v/>
      </c>
      <c r="P107" s="45">
        <f>IF(OR(A107="",J107="bezahlt",H107=""),"",MAX(0,TODAY()-H107))</f>
        <v/>
      </c>
    </row>
    <row r="108">
      <c r="A108" s="30" t="inlineStr"/>
      <c r="B108" s="38" t="inlineStr"/>
      <c r="C108" s="30" t="inlineStr"/>
      <c r="D108" s="30" t="inlineStr"/>
      <c r="E108" s="30" t="inlineStr"/>
      <c r="F108" s="34" t="inlineStr"/>
      <c r="G108" s="32" t="inlineStr"/>
      <c r="H108" s="38" t="inlineStr"/>
      <c r="I108" s="38" t="inlineStr"/>
      <c r="J108" s="30" t="inlineStr"/>
      <c r="K108" s="30" t="inlineStr"/>
      <c r="L108" s="15">
        <f>IF(A108="","",F108*G108)</f>
        <v/>
      </c>
      <c r="M108" s="15">
        <f>IF(A108="","",F108+L108)</f>
        <v/>
      </c>
      <c r="N108" s="15">
        <f>IF(A108="","",SUMIFS('15_Zahlungen'!$F:$F,'15_Zahlungen'!$D:$D,A108,'15_Zahlungen'!$C:$C,"Ausgang"))</f>
        <v/>
      </c>
      <c r="O108" s="15">
        <f>IF(A108="","",MAX(0,M108-N108))</f>
        <v/>
      </c>
      <c r="P108" s="45">
        <f>IF(OR(A108="",J108="bezahlt",H108=""),"",MAX(0,TODAY()-H108))</f>
        <v/>
      </c>
    </row>
    <row r="109">
      <c r="A109" s="30" t="inlineStr"/>
      <c r="B109" s="38" t="inlineStr"/>
      <c r="C109" s="30" t="inlineStr"/>
      <c r="D109" s="30" t="inlineStr"/>
      <c r="E109" s="30" t="inlineStr"/>
      <c r="F109" s="34" t="inlineStr"/>
      <c r="G109" s="32" t="inlineStr"/>
      <c r="H109" s="38" t="inlineStr"/>
      <c r="I109" s="38" t="inlineStr"/>
      <c r="J109" s="30" t="inlineStr"/>
      <c r="K109" s="30" t="inlineStr"/>
      <c r="L109" s="15">
        <f>IF(A109="","",F109*G109)</f>
        <v/>
      </c>
      <c r="M109" s="15">
        <f>IF(A109="","",F109+L109)</f>
        <v/>
      </c>
      <c r="N109" s="15">
        <f>IF(A109="","",SUMIFS('15_Zahlungen'!$F:$F,'15_Zahlungen'!$D:$D,A109,'15_Zahlungen'!$C:$C,"Ausgang"))</f>
        <v/>
      </c>
      <c r="O109" s="15">
        <f>IF(A109="","",MAX(0,M109-N109))</f>
        <v/>
      </c>
      <c r="P109" s="45">
        <f>IF(OR(A109="",J109="bezahlt",H109=""),"",MAX(0,TODAY()-H109))</f>
        <v/>
      </c>
    </row>
    <row r="110">
      <c r="A110" s="30" t="inlineStr"/>
      <c r="B110" s="38" t="inlineStr"/>
      <c r="C110" s="30" t="inlineStr"/>
      <c r="D110" s="30" t="inlineStr"/>
      <c r="E110" s="30" t="inlineStr"/>
      <c r="F110" s="34" t="inlineStr"/>
      <c r="G110" s="32" t="inlineStr"/>
      <c r="H110" s="38" t="inlineStr"/>
      <c r="I110" s="38" t="inlineStr"/>
      <c r="J110" s="30" t="inlineStr"/>
      <c r="K110" s="30" t="inlineStr"/>
      <c r="L110" s="15">
        <f>IF(A110="","",F110*G110)</f>
        <v/>
      </c>
      <c r="M110" s="15">
        <f>IF(A110="","",F110+L110)</f>
        <v/>
      </c>
      <c r="N110" s="15">
        <f>IF(A110="","",SUMIFS('15_Zahlungen'!$F:$F,'15_Zahlungen'!$D:$D,A110,'15_Zahlungen'!$C:$C,"Ausgang"))</f>
        <v/>
      </c>
      <c r="O110" s="15">
        <f>IF(A110="","",MAX(0,M110-N110))</f>
        <v/>
      </c>
      <c r="P110" s="45">
        <f>IF(OR(A110="",J110="bezahlt",H110=""),"",MAX(0,TODAY()-H110))</f>
        <v/>
      </c>
    </row>
    <row r="111">
      <c r="A111" s="30" t="inlineStr"/>
      <c r="B111" s="38" t="inlineStr"/>
      <c r="C111" s="30" t="inlineStr"/>
      <c r="D111" s="30" t="inlineStr"/>
      <c r="E111" s="30" t="inlineStr"/>
      <c r="F111" s="34" t="inlineStr"/>
      <c r="G111" s="32" t="inlineStr"/>
      <c r="H111" s="38" t="inlineStr"/>
      <c r="I111" s="38" t="inlineStr"/>
      <c r="J111" s="30" t="inlineStr"/>
      <c r="K111" s="30" t="inlineStr"/>
      <c r="L111" s="15">
        <f>IF(A111="","",F111*G111)</f>
        <v/>
      </c>
      <c r="M111" s="15">
        <f>IF(A111="","",F111+L111)</f>
        <v/>
      </c>
      <c r="N111" s="15">
        <f>IF(A111="","",SUMIFS('15_Zahlungen'!$F:$F,'15_Zahlungen'!$D:$D,A111,'15_Zahlungen'!$C:$C,"Ausgang"))</f>
        <v/>
      </c>
      <c r="O111" s="15">
        <f>IF(A111="","",MAX(0,M111-N111))</f>
        <v/>
      </c>
      <c r="P111" s="45">
        <f>IF(OR(A111="",J111="bezahlt",H111=""),"",MAX(0,TODAY()-H111))</f>
        <v/>
      </c>
    </row>
    <row r="112">
      <c r="A112" s="30" t="inlineStr"/>
      <c r="B112" s="38" t="inlineStr"/>
      <c r="C112" s="30" t="inlineStr"/>
      <c r="D112" s="30" t="inlineStr"/>
      <c r="E112" s="30" t="inlineStr"/>
      <c r="F112" s="34" t="inlineStr"/>
      <c r="G112" s="32" t="inlineStr"/>
      <c r="H112" s="38" t="inlineStr"/>
      <c r="I112" s="38" t="inlineStr"/>
      <c r="J112" s="30" t="inlineStr"/>
      <c r="K112" s="30" t="inlineStr"/>
      <c r="L112" s="15">
        <f>IF(A112="","",F112*G112)</f>
        <v/>
      </c>
      <c r="M112" s="15">
        <f>IF(A112="","",F112+L112)</f>
        <v/>
      </c>
      <c r="N112" s="15">
        <f>IF(A112="","",SUMIFS('15_Zahlungen'!$F:$F,'15_Zahlungen'!$D:$D,A112,'15_Zahlungen'!$C:$C,"Ausgang"))</f>
        <v/>
      </c>
      <c r="O112" s="15">
        <f>IF(A112="","",MAX(0,M112-N112))</f>
        <v/>
      </c>
      <c r="P112" s="45">
        <f>IF(OR(A112="",J112="bezahlt",H112=""),"",MAX(0,TODAY()-H112))</f>
        <v/>
      </c>
    </row>
    <row r="113">
      <c r="A113" s="30" t="inlineStr"/>
      <c r="B113" s="38" t="inlineStr"/>
      <c r="C113" s="30" t="inlineStr"/>
      <c r="D113" s="30" t="inlineStr"/>
      <c r="E113" s="30" t="inlineStr"/>
      <c r="F113" s="34" t="inlineStr"/>
      <c r="G113" s="32" t="inlineStr"/>
      <c r="H113" s="38" t="inlineStr"/>
      <c r="I113" s="38" t="inlineStr"/>
      <c r="J113" s="30" t="inlineStr"/>
      <c r="K113" s="30" t="inlineStr"/>
      <c r="L113" s="15">
        <f>IF(A113="","",F113*G113)</f>
        <v/>
      </c>
      <c r="M113" s="15">
        <f>IF(A113="","",F113+L113)</f>
        <v/>
      </c>
      <c r="N113" s="15">
        <f>IF(A113="","",SUMIFS('15_Zahlungen'!$F:$F,'15_Zahlungen'!$D:$D,A113,'15_Zahlungen'!$C:$C,"Ausgang"))</f>
        <v/>
      </c>
      <c r="O113" s="15">
        <f>IF(A113="","",MAX(0,M113-N113))</f>
        <v/>
      </c>
      <c r="P113" s="45">
        <f>IF(OR(A113="",J113="bezahlt",H113=""),"",MAX(0,TODAY()-H113))</f>
        <v/>
      </c>
    </row>
    <row r="114">
      <c r="A114" s="30" t="inlineStr"/>
      <c r="B114" s="38" t="inlineStr"/>
      <c r="C114" s="30" t="inlineStr"/>
      <c r="D114" s="30" t="inlineStr"/>
      <c r="E114" s="30" t="inlineStr"/>
      <c r="F114" s="34" t="inlineStr"/>
      <c r="G114" s="32" t="inlineStr"/>
      <c r="H114" s="38" t="inlineStr"/>
      <c r="I114" s="38" t="inlineStr"/>
      <c r="J114" s="30" t="inlineStr"/>
      <c r="K114" s="30" t="inlineStr"/>
      <c r="L114" s="15">
        <f>IF(A114="","",F114*G114)</f>
        <v/>
      </c>
      <c r="M114" s="15">
        <f>IF(A114="","",F114+L114)</f>
        <v/>
      </c>
      <c r="N114" s="15">
        <f>IF(A114="","",SUMIFS('15_Zahlungen'!$F:$F,'15_Zahlungen'!$D:$D,A114,'15_Zahlungen'!$C:$C,"Ausgang"))</f>
        <v/>
      </c>
      <c r="O114" s="15">
        <f>IF(A114="","",MAX(0,M114-N114))</f>
        <v/>
      </c>
      <c r="P114" s="45">
        <f>IF(OR(A114="",J114="bezahlt",H114=""),"",MAX(0,TODAY()-H114))</f>
        <v/>
      </c>
    </row>
    <row r="115">
      <c r="A115" s="30" t="inlineStr"/>
      <c r="B115" s="38" t="inlineStr"/>
      <c r="C115" s="30" t="inlineStr"/>
      <c r="D115" s="30" t="inlineStr"/>
      <c r="E115" s="30" t="inlineStr"/>
      <c r="F115" s="34" t="inlineStr"/>
      <c r="G115" s="32" t="inlineStr"/>
      <c r="H115" s="38" t="inlineStr"/>
      <c r="I115" s="38" t="inlineStr"/>
      <c r="J115" s="30" t="inlineStr"/>
      <c r="K115" s="30" t="inlineStr"/>
      <c r="L115" s="15">
        <f>IF(A115="","",F115*G115)</f>
        <v/>
      </c>
      <c r="M115" s="15">
        <f>IF(A115="","",F115+L115)</f>
        <v/>
      </c>
      <c r="N115" s="15">
        <f>IF(A115="","",SUMIFS('15_Zahlungen'!$F:$F,'15_Zahlungen'!$D:$D,A115,'15_Zahlungen'!$C:$C,"Ausgang"))</f>
        <v/>
      </c>
      <c r="O115" s="15">
        <f>IF(A115="","",MAX(0,M115-N115))</f>
        <v/>
      </c>
      <c r="P115" s="45">
        <f>IF(OR(A115="",J115="bezahlt",H115=""),"",MAX(0,TODAY()-H115))</f>
        <v/>
      </c>
    </row>
    <row r="116">
      <c r="A116" s="30" t="inlineStr"/>
      <c r="B116" s="38" t="inlineStr"/>
      <c r="C116" s="30" t="inlineStr"/>
      <c r="D116" s="30" t="inlineStr"/>
      <c r="E116" s="30" t="inlineStr"/>
      <c r="F116" s="34" t="inlineStr"/>
      <c r="G116" s="32" t="inlineStr"/>
      <c r="H116" s="38" t="inlineStr"/>
      <c r="I116" s="38" t="inlineStr"/>
      <c r="J116" s="30" t="inlineStr"/>
      <c r="K116" s="30" t="inlineStr"/>
      <c r="L116" s="15">
        <f>IF(A116="","",F116*G116)</f>
        <v/>
      </c>
      <c r="M116" s="15">
        <f>IF(A116="","",F116+L116)</f>
        <v/>
      </c>
      <c r="N116" s="15">
        <f>IF(A116="","",SUMIFS('15_Zahlungen'!$F:$F,'15_Zahlungen'!$D:$D,A116,'15_Zahlungen'!$C:$C,"Ausgang"))</f>
        <v/>
      </c>
      <c r="O116" s="15">
        <f>IF(A116="","",MAX(0,M116-N116))</f>
        <v/>
      </c>
      <c r="P116" s="45">
        <f>IF(OR(A116="",J116="bezahlt",H116=""),"",MAX(0,TODAY()-H116))</f>
        <v/>
      </c>
    </row>
    <row r="117">
      <c r="A117" s="30" t="inlineStr"/>
      <c r="B117" s="38" t="inlineStr"/>
      <c r="C117" s="30" t="inlineStr"/>
      <c r="D117" s="30" t="inlineStr"/>
      <c r="E117" s="30" t="inlineStr"/>
      <c r="F117" s="34" t="inlineStr"/>
      <c r="G117" s="32" t="inlineStr"/>
      <c r="H117" s="38" t="inlineStr"/>
      <c r="I117" s="38" t="inlineStr"/>
      <c r="J117" s="30" t="inlineStr"/>
      <c r="K117" s="30" t="inlineStr"/>
      <c r="L117" s="15">
        <f>IF(A117="","",F117*G117)</f>
        <v/>
      </c>
      <c r="M117" s="15">
        <f>IF(A117="","",F117+L117)</f>
        <v/>
      </c>
      <c r="N117" s="15">
        <f>IF(A117="","",SUMIFS('15_Zahlungen'!$F:$F,'15_Zahlungen'!$D:$D,A117,'15_Zahlungen'!$C:$C,"Ausgang"))</f>
        <v/>
      </c>
      <c r="O117" s="15">
        <f>IF(A117="","",MAX(0,M117-N117))</f>
        <v/>
      </c>
      <c r="P117" s="45">
        <f>IF(OR(A117="",J117="bezahlt",H117=""),"",MAX(0,TODAY()-H117))</f>
        <v/>
      </c>
    </row>
    <row r="118">
      <c r="A118" s="30" t="inlineStr"/>
      <c r="B118" s="38" t="inlineStr"/>
      <c r="C118" s="30" t="inlineStr"/>
      <c r="D118" s="30" t="inlineStr"/>
      <c r="E118" s="30" t="inlineStr"/>
      <c r="F118" s="34" t="inlineStr"/>
      <c r="G118" s="32" t="inlineStr"/>
      <c r="H118" s="38" t="inlineStr"/>
      <c r="I118" s="38" t="inlineStr"/>
      <c r="J118" s="30" t="inlineStr"/>
      <c r="K118" s="30" t="inlineStr"/>
      <c r="L118" s="15">
        <f>IF(A118="","",F118*G118)</f>
        <v/>
      </c>
      <c r="M118" s="15">
        <f>IF(A118="","",F118+L118)</f>
        <v/>
      </c>
      <c r="N118" s="15">
        <f>IF(A118="","",SUMIFS('15_Zahlungen'!$F:$F,'15_Zahlungen'!$D:$D,A118,'15_Zahlungen'!$C:$C,"Ausgang"))</f>
        <v/>
      </c>
      <c r="O118" s="15">
        <f>IF(A118="","",MAX(0,M118-N118))</f>
        <v/>
      </c>
      <c r="P118" s="45">
        <f>IF(OR(A118="",J118="bezahlt",H118=""),"",MAX(0,TODAY()-H118))</f>
        <v/>
      </c>
    </row>
    <row r="119">
      <c r="A119" s="30" t="inlineStr"/>
      <c r="B119" s="38" t="inlineStr"/>
      <c r="C119" s="30" t="inlineStr"/>
      <c r="D119" s="30" t="inlineStr"/>
      <c r="E119" s="30" t="inlineStr"/>
      <c r="F119" s="34" t="inlineStr"/>
      <c r="G119" s="32" t="inlineStr"/>
      <c r="H119" s="38" t="inlineStr"/>
      <c r="I119" s="38" t="inlineStr"/>
      <c r="J119" s="30" t="inlineStr"/>
      <c r="K119" s="30" t="inlineStr"/>
      <c r="L119" s="15">
        <f>IF(A119="","",F119*G119)</f>
        <v/>
      </c>
      <c r="M119" s="15">
        <f>IF(A119="","",F119+L119)</f>
        <v/>
      </c>
      <c r="N119" s="15">
        <f>IF(A119="","",SUMIFS('15_Zahlungen'!$F:$F,'15_Zahlungen'!$D:$D,A119,'15_Zahlungen'!$C:$C,"Ausgang"))</f>
        <v/>
      </c>
      <c r="O119" s="15">
        <f>IF(A119="","",MAX(0,M119-N119))</f>
        <v/>
      </c>
      <c r="P119" s="45">
        <f>IF(OR(A119="",J119="bezahlt",H119=""),"",MAX(0,TODAY()-H119))</f>
        <v/>
      </c>
    </row>
    <row r="120">
      <c r="A120" s="30" t="inlineStr"/>
      <c r="B120" s="38" t="inlineStr"/>
      <c r="C120" s="30" t="inlineStr"/>
      <c r="D120" s="30" t="inlineStr"/>
      <c r="E120" s="30" t="inlineStr"/>
      <c r="F120" s="34" t="inlineStr"/>
      <c r="G120" s="32" t="inlineStr"/>
      <c r="H120" s="38" t="inlineStr"/>
      <c r="I120" s="38" t="inlineStr"/>
      <c r="J120" s="30" t="inlineStr"/>
      <c r="K120" s="30" t="inlineStr"/>
      <c r="L120" s="15">
        <f>IF(A120="","",F120*G120)</f>
        <v/>
      </c>
      <c r="M120" s="15">
        <f>IF(A120="","",F120+L120)</f>
        <v/>
      </c>
      <c r="N120" s="15">
        <f>IF(A120="","",SUMIFS('15_Zahlungen'!$F:$F,'15_Zahlungen'!$D:$D,A120,'15_Zahlungen'!$C:$C,"Ausgang"))</f>
        <v/>
      </c>
      <c r="O120" s="15">
        <f>IF(A120="","",MAX(0,M120-N120))</f>
        <v/>
      </c>
      <c r="P120" s="45">
        <f>IF(OR(A120="",J120="bezahlt",H120=""),"",MAX(0,TODAY()-H120))</f>
        <v/>
      </c>
    </row>
    <row r="121">
      <c r="A121" s="30" t="inlineStr"/>
      <c r="B121" s="38" t="inlineStr"/>
      <c r="C121" s="30" t="inlineStr"/>
      <c r="D121" s="30" t="inlineStr"/>
      <c r="E121" s="30" t="inlineStr"/>
      <c r="F121" s="34" t="inlineStr"/>
      <c r="G121" s="32" t="inlineStr"/>
      <c r="H121" s="38" t="inlineStr"/>
      <c r="I121" s="38" t="inlineStr"/>
      <c r="J121" s="30" t="inlineStr"/>
      <c r="K121" s="30" t="inlineStr"/>
      <c r="L121" s="15">
        <f>IF(A121="","",F121*G121)</f>
        <v/>
      </c>
      <c r="M121" s="15">
        <f>IF(A121="","",F121+L121)</f>
        <v/>
      </c>
      <c r="N121" s="15">
        <f>IF(A121="","",SUMIFS('15_Zahlungen'!$F:$F,'15_Zahlungen'!$D:$D,A121,'15_Zahlungen'!$C:$C,"Ausgang"))</f>
        <v/>
      </c>
      <c r="O121" s="15">
        <f>IF(A121="","",MAX(0,M121-N121))</f>
        <v/>
      </c>
      <c r="P121" s="45">
        <f>IF(OR(A121="",J121="bezahlt",H121=""),"",MAX(0,TODAY()-H121))</f>
        <v/>
      </c>
    </row>
    <row r="122">
      <c r="A122" s="30" t="inlineStr"/>
      <c r="B122" s="38" t="inlineStr"/>
      <c r="C122" s="30" t="inlineStr"/>
      <c r="D122" s="30" t="inlineStr"/>
      <c r="E122" s="30" t="inlineStr"/>
      <c r="F122" s="34" t="inlineStr"/>
      <c r="G122" s="32" t="inlineStr"/>
      <c r="H122" s="38" t="inlineStr"/>
      <c r="I122" s="38" t="inlineStr"/>
      <c r="J122" s="30" t="inlineStr"/>
      <c r="K122" s="30" t="inlineStr"/>
      <c r="L122" s="15">
        <f>IF(A122="","",F122*G122)</f>
        <v/>
      </c>
      <c r="M122" s="15">
        <f>IF(A122="","",F122+L122)</f>
        <v/>
      </c>
      <c r="N122" s="15">
        <f>IF(A122="","",SUMIFS('15_Zahlungen'!$F:$F,'15_Zahlungen'!$D:$D,A122,'15_Zahlungen'!$C:$C,"Ausgang"))</f>
        <v/>
      </c>
      <c r="O122" s="15">
        <f>IF(A122="","",MAX(0,M122-N122))</f>
        <v/>
      </c>
      <c r="P122" s="45">
        <f>IF(OR(A122="",J122="bezahlt",H122=""),"",MAX(0,TODAY()-H122))</f>
        <v/>
      </c>
    </row>
    <row r="123">
      <c r="A123" s="30" t="inlineStr"/>
      <c r="B123" s="38" t="inlineStr"/>
      <c r="C123" s="30" t="inlineStr"/>
      <c r="D123" s="30" t="inlineStr"/>
      <c r="E123" s="30" t="inlineStr"/>
      <c r="F123" s="34" t="inlineStr"/>
      <c r="G123" s="32" t="inlineStr"/>
      <c r="H123" s="38" t="inlineStr"/>
      <c r="I123" s="38" t="inlineStr"/>
      <c r="J123" s="30" t="inlineStr"/>
      <c r="K123" s="30" t="inlineStr"/>
      <c r="L123" s="15">
        <f>IF(A123="","",F123*G123)</f>
        <v/>
      </c>
      <c r="M123" s="15">
        <f>IF(A123="","",F123+L123)</f>
        <v/>
      </c>
      <c r="N123" s="15">
        <f>IF(A123="","",SUMIFS('15_Zahlungen'!$F:$F,'15_Zahlungen'!$D:$D,A123,'15_Zahlungen'!$C:$C,"Ausgang"))</f>
        <v/>
      </c>
      <c r="O123" s="15">
        <f>IF(A123="","",MAX(0,M123-N123))</f>
        <v/>
      </c>
      <c r="P123" s="45">
        <f>IF(OR(A123="",J123="bezahlt",H123=""),"",MAX(0,TODAY()-H123))</f>
        <v/>
      </c>
    </row>
    <row r="124">
      <c r="A124" s="30" t="inlineStr"/>
      <c r="B124" s="38" t="inlineStr"/>
      <c r="C124" s="30" t="inlineStr"/>
      <c r="D124" s="30" t="inlineStr"/>
      <c r="E124" s="30" t="inlineStr"/>
      <c r="F124" s="34" t="inlineStr"/>
      <c r="G124" s="32" t="inlineStr"/>
      <c r="H124" s="38" t="inlineStr"/>
      <c r="I124" s="38" t="inlineStr"/>
      <c r="J124" s="30" t="inlineStr"/>
      <c r="K124" s="30" t="inlineStr"/>
      <c r="L124" s="15">
        <f>IF(A124="","",F124*G124)</f>
        <v/>
      </c>
      <c r="M124" s="15">
        <f>IF(A124="","",F124+L124)</f>
        <v/>
      </c>
      <c r="N124" s="15">
        <f>IF(A124="","",SUMIFS('15_Zahlungen'!$F:$F,'15_Zahlungen'!$D:$D,A124,'15_Zahlungen'!$C:$C,"Ausgang"))</f>
        <v/>
      </c>
      <c r="O124" s="15">
        <f>IF(A124="","",MAX(0,M124-N124))</f>
        <v/>
      </c>
      <c r="P124" s="45">
        <f>IF(OR(A124="",J124="bezahlt",H124=""),"",MAX(0,TODAY()-H124))</f>
        <v/>
      </c>
    </row>
    <row r="125">
      <c r="A125" s="30" t="inlineStr"/>
      <c r="B125" s="38" t="inlineStr"/>
      <c r="C125" s="30" t="inlineStr"/>
      <c r="D125" s="30" t="inlineStr"/>
      <c r="E125" s="30" t="inlineStr"/>
      <c r="F125" s="34" t="inlineStr"/>
      <c r="G125" s="32" t="inlineStr"/>
      <c r="H125" s="38" t="inlineStr"/>
      <c r="I125" s="38" t="inlineStr"/>
      <c r="J125" s="30" t="inlineStr"/>
      <c r="K125" s="30" t="inlineStr"/>
      <c r="L125" s="15">
        <f>IF(A125="","",F125*G125)</f>
        <v/>
      </c>
      <c r="M125" s="15">
        <f>IF(A125="","",F125+L125)</f>
        <v/>
      </c>
      <c r="N125" s="15">
        <f>IF(A125="","",SUMIFS('15_Zahlungen'!$F:$F,'15_Zahlungen'!$D:$D,A125,'15_Zahlungen'!$C:$C,"Ausgang"))</f>
        <v/>
      </c>
      <c r="O125" s="15">
        <f>IF(A125="","",MAX(0,M125-N125))</f>
        <v/>
      </c>
      <c r="P125" s="45">
        <f>IF(OR(A125="",J125="bezahlt",H125=""),"",MAX(0,TODAY()-H125))</f>
        <v/>
      </c>
    </row>
    <row r="126">
      <c r="A126" s="30" t="inlineStr"/>
      <c r="B126" s="38" t="inlineStr"/>
      <c r="C126" s="30" t="inlineStr"/>
      <c r="D126" s="30" t="inlineStr"/>
      <c r="E126" s="30" t="inlineStr"/>
      <c r="F126" s="34" t="inlineStr"/>
      <c r="G126" s="32" t="inlineStr"/>
      <c r="H126" s="38" t="inlineStr"/>
      <c r="I126" s="38" t="inlineStr"/>
      <c r="J126" s="30" t="inlineStr"/>
      <c r="K126" s="30" t="inlineStr"/>
      <c r="L126" s="15">
        <f>IF(A126="","",F126*G126)</f>
        <v/>
      </c>
      <c r="M126" s="15">
        <f>IF(A126="","",F126+L126)</f>
        <v/>
      </c>
      <c r="N126" s="15">
        <f>IF(A126="","",SUMIFS('15_Zahlungen'!$F:$F,'15_Zahlungen'!$D:$D,A126,'15_Zahlungen'!$C:$C,"Ausgang"))</f>
        <v/>
      </c>
      <c r="O126" s="15">
        <f>IF(A126="","",MAX(0,M126-N126))</f>
        <v/>
      </c>
      <c r="P126" s="45">
        <f>IF(OR(A126="",J126="bezahlt",H126=""),"",MAX(0,TODAY()-H126))</f>
        <v/>
      </c>
    </row>
    <row r="127">
      <c r="A127" s="30" t="inlineStr"/>
      <c r="B127" s="38" t="inlineStr"/>
      <c r="C127" s="30" t="inlineStr"/>
      <c r="D127" s="30" t="inlineStr"/>
      <c r="E127" s="30" t="inlineStr"/>
      <c r="F127" s="34" t="inlineStr"/>
      <c r="G127" s="32" t="inlineStr"/>
      <c r="H127" s="38" t="inlineStr"/>
      <c r="I127" s="38" t="inlineStr"/>
      <c r="J127" s="30" t="inlineStr"/>
      <c r="K127" s="30" t="inlineStr"/>
      <c r="L127" s="15">
        <f>IF(A127="","",F127*G127)</f>
        <v/>
      </c>
      <c r="M127" s="15">
        <f>IF(A127="","",F127+L127)</f>
        <v/>
      </c>
      <c r="N127" s="15">
        <f>IF(A127="","",SUMIFS('15_Zahlungen'!$F:$F,'15_Zahlungen'!$D:$D,A127,'15_Zahlungen'!$C:$C,"Ausgang"))</f>
        <v/>
      </c>
      <c r="O127" s="15">
        <f>IF(A127="","",MAX(0,M127-N127))</f>
        <v/>
      </c>
      <c r="P127" s="45">
        <f>IF(OR(A127="",J127="bezahlt",H127=""),"",MAX(0,TODAY()-H127))</f>
        <v/>
      </c>
    </row>
    <row r="128">
      <c r="A128" s="30" t="inlineStr"/>
      <c r="B128" s="38" t="inlineStr"/>
      <c r="C128" s="30" t="inlineStr"/>
      <c r="D128" s="30" t="inlineStr"/>
      <c r="E128" s="30" t="inlineStr"/>
      <c r="F128" s="34" t="inlineStr"/>
      <c r="G128" s="32" t="inlineStr"/>
      <c r="H128" s="38" t="inlineStr"/>
      <c r="I128" s="38" t="inlineStr"/>
      <c r="J128" s="30" t="inlineStr"/>
      <c r="K128" s="30" t="inlineStr"/>
      <c r="L128" s="15">
        <f>IF(A128="","",F128*G128)</f>
        <v/>
      </c>
      <c r="M128" s="15">
        <f>IF(A128="","",F128+L128)</f>
        <v/>
      </c>
      <c r="N128" s="15">
        <f>IF(A128="","",SUMIFS('15_Zahlungen'!$F:$F,'15_Zahlungen'!$D:$D,A128,'15_Zahlungen'!$C:$C,"Ausgang"))</f>
        <v/>
      </c>
      <c r="O128" s="15">
        <f>IF(A128="","",MAX(0,M128-N128))</f>
        <v/>
      </c>
      <c r="P128" s="45">
        <f>IF(OR(A128="",J128="bezahlt",H128=""),"",MAX(0,TODAY()-H128))</f>
        <v/>
      </c>
    </row>
    <row r="129">
      <c r="A129" s="30" t="inlineStr"/>
      <c r="B129" s="38" t="inlineStr"/>
      <c r="C129" s="30" t="inlineStr"/>
      <c r="D129" s="30" t="inlineStr"/>
      <c r="E129" s="30" t="inlineStr"/>
      <c r="F129" s="34" t="inlineStr"/>
      <c r="G129" s="32" t="inlineStr"/>
      <c r="H129" s="38" t="inlineStr"/>
      <c r="I129" s="38" t="inlineStr"/>
      <c r="J129" s="30" t="inlineStr"/>
      <c r="K129" s="30" t="inlineStr"/>
      <c r="L129" s="15">
        <f>IF(A129="","",F129*G129)</f>
        <v/>
      </c>
      <c r="M129" s="15">
        <f>IF(A129="","",F129+L129)</f>
        <v/>
      </c>
      <c r="N129" s="15">
        <f>IF(A129="","",SUMIFS('15_Zahlungen'!$F:$F,'15_Zahlungen'!$D:$D,A129,'15_Zahlungen'!$C:$C,"Ausgang"))</f>
        <v/>
      </c>
      <c r="O129" s="15">
        <f>IF(A129="","",MAX(0,M129-N129))</f>
        <v/>
      </c>
      <c r="P129" s="45">
        <f>IF(OR(A129="",J129="bezahlt",H129=""),"",MAX(0,TODAY()-H129))</f>
        <v/>
      </c>
    </row>
    <row r="130">
      <c r="A130" s="30" t="inlineStr"/>
      <c r="B130" s="38" t="inlineStr"/>
      <c r="C130" s="30" t="inlineStr"/>
      <c r="D130" s="30" t="inlineStr"/>
      <c r="E130" s="30" t="inlineStr"/>
      <c r="F130" s="34" t="inlineStr"/>
      <c r="G130" s="32" t="inlineStr"/>
      <c r="H130" s="38" t="inlineStr"/>
      <c r="I130" s="38" t="inlineStr"/>
      <c r="J130" s="30" t="inlineStr"/>
      <c r="K130" s="30" t="inlineStr"/>
      <c r="L130" s="15">
        <f>IF(A130="","",F130*G130)</f>
        <v/>
      </c>
      <c r="M130" s="15">
        <f>IF(A130="","",F130+L130)</f>
        <v/>
      </c>
      <c r="N130" s="15">
        <f>IF(A130="","",SUMIFS('15_Zahlungen'!$F:$F,'15_Zahlungen'!$D:$D,A130,'15_Zahlungen'!$C:$C,"Ausgang"))</f>
        <v/>
      </c>
      <c r="O130" s="15">
        <f>IF(A130="","",MAX(0,M130-N130))</f>
        <v/>
      </c>
      <c r="P130" s="45">
        <f>IF(OR(A130="",J130="bezahlt",H130=""),"",MAX(0,TODAY()-H130))</f>
        <v/>
      </c>
    </row>
    <row r="131">
      <c r="A131" s="30" t="inlineStr"/>
      <c r="B131" s="38" t="inlineStr"/>
      <c r="C131" s="30" t="inlineStr"/>
      <c r="D131" s="30" t="inlineStr"/>
      <c r="E131" s="30" t="inlineStr"/>
      <c r="F131" s="34" t="inlineStr"/>
      <c r="G131" s="32" t="inlineStr"/>
      <c r="H131" s="38" t="inlineStr"/>
      <c r="I131" s="38" t="inlineStr"/>
      <c r="J131" s="30" t="inlineStr"/>
      <c r="K131" s="30" t="inlineStr"/>
      <c r="L131" s="15">
        <f>IF(A131="","",F131*G131)</f>
        <v/>
      </c>
      <c r="M131" s="15">
        <f>IF(A131="","",F131+L131)</f>
        <v/>
      </c>
      <c r="N131" s="15">
        <f>IF(A131="","",SUMIFS('15_Zahlungen'!$F:$F,'15_Zahlungen'!$D:$D,A131,'15_Zahlungen'!$C:$C,"Ausgang"))</f>
        <v/>
      </c>
      <c r="O131" s="15">
        <f>IF(A131="","",MAX(0,M131-N131))</f>
        <v/>
      </c>
      <c r="P131" s="45">
        <f>IF(OR(A131="",J131="bezahlt",H131=""),"",MAX(0,TODAY()-H131))</f>
        <v/>
      </c>
    </row>
    <row r="132">
      <c r="A132" s="30" t="inlineStr"/>
      <c r="B132" s="38" t="inlineStr"/>
      <c r="C132" s="30" t="inlineStr"/>
      <c r="D132" s="30" t="inlineStr"/>
      <c r="E132" s="30" t="inlineStr"/>
      <c r="F132" s="34" t="inlineStr"/>
      <c r="G132" s="32" t="inlineStr"/>
      <c r="H132" s="38" t="inlineStr"/>
      <c r="I132" s="38" t="inlineStr"/>
      <c r="J132" s="30" t="inlineStr"/>
      <c r="K132" s="30" t="inlineStr"/>
      <c r="L132" s="15">
        <f>IF(A132="","",F132*G132)</f>
        <v/>
      </c>
      <c r="M132" s="15">
        <f>IF(A132="","",F132+L132)</f>
        <v/>
      </c>
      <c r="N132" s="15">
        <f>IF(A132="","",SUMIFS('15_Zahlungen'!$F:$F,'15_Zahlungen'!$D:$D,A132,'15_Zahlungen'!$C:$C,"Ausgang"))</f>
        <v/>
      </c>
      <c r="O132" s="15">
        <f>IF(A132="","",MAX(0,M132-N132))</f>
        <v/>
      </c>
      <c r="P132" s="45">
        <f>IF(OR(A132="",J132="bezahlt",H132=""),"",MAX(0,TODAY()-H132))</f>
        <v/>
      </c>
    </row>
    <row r="133">
      <c r="A133" s="30" t="inlineStr"/>
      <c r="B133" s="38" t="inlineStr"/>
      <c r="C133" s="30" t="inlineStr"/>
      <c r="D133" s="30" t="inlineStr"/>
      <c r="E133" s="30" t="inlineStr"/>
      <c r="F133" s="34" t="inlineStr"/>
      <c r="G133" s="32" t="inlineStr"/>
      <c r="H133" s="38" t="inlineStr"/>
      <c r="I133" s="38" t="inlineStr"/>
      <c r="J133" s="30" t="inlineStr"/>
      <c r="K133" s="30" t="inlineStr"/>
      <c r="L133" s="15">
        <f>IF(A133="","",F133*G133)</f>
        <v/>
      </c>
      <c r="M133" s="15">
        <f>IF(A133="","",F133+L133)</f>
        <v/>
      </c>
      <c r="N133" s="15">
        <f>IF(A133="","",SUMIFS('15_Zahlungen'!$F:$F,'15_Zahlungen'!$D:$D,A133,'15_Zahlungen'!$C:$C,"Ausgang"))</f>
        <v/>
      </c>
      <c r="O133" s="15">
        <f>IF(A133="","",MAX(0,M133-N133))</f>
        <v/>
      </c>
      <c r="P133" s="45">
        <f>IF(OR(A133="",J133="bezahlt",H133=""),"",MAX(0,TODAY()-H133))</f>
        <v/>
      </c>
    </row>
    <row r="134">
      <c r="A134" s="30" t="inlineStr"/>
      <c r="B134" s="38" t="inlineStr"/>
      <c r="C134" s="30" t="inlineStr"/>
      <c r="D134" s="30" t="inlineStr"/>
      <c r="E134" s="30" t="inlineStr"/>
      <c r="F134" s="34" t="inlineStr"/>
      <c r="G134" s="32" t="inlineStr"/>
      <c r="H134" s="38" t="inlineStr"/>
      <c r="I134" s="38" t="inlineStr"/>
      <c r="J134" s="30" t="inlineStr"/>
      <c r="K134" s="30" t="inlineStr"/>
      <c r="L134" s="15">
        <f>IF(A134="","",F134*G134)</f>
        <v/>
      </c>
      <c r="M134" s="15">
        <f>IF(A134="","",F134+L134)</f>
        <v/>
      </c>
      <c r="N134" s="15">
        <f>IF(A134="","",SUMIFS('15_Zahlungen'!$F:$F,'15_Zahlungen'!$D:$D,A134,'15_Zahlungen'!$C:$C,"Ausgang"))</f>
        <v/>
      </c>
      <c r="O134" s="15">
        <f>IF(A134="","",MAX(0,M134-N134))</f>
        <v/>
      </c>
      <c r="P134" s="45">
        <f>IF(OR(A134="",J134="bezahlt",H134=""),"",MAX(0,TODAY()-H134))</f>
        <v/>
      </c>
    </row>
    <row r="135">
      <c r="A135" s="30" t="inlineStr"/>
      <c r="B135" s="38" t="inlineStr"/>
      <c r="C135" s="30" t="inlineStr"/>
      <c r="D135" s="30" t="inlineStr"/>
      <c r="E135" s="30" t="inlineStr"/>
      <c r="F135" s="34" t="inlineStr"/>
      <c r="G135" s="32" t="inlineStr"/>
      <c r="H135" s="38" t="inlineStr"/>
      <c r="I135" s="38" t="inlineStr"/>
      <c r="J135" s="30" t="inlineStr"/>
      <c r="K135" s="30" t="inlineStr"/>
      <c r="L135" s="15">
        <f>IF(A135="","",F135*G135)</f>
        <v/>
      </c>
      <c r="M135" s="15">
        <f>IF(A135="","",F135+L135)</f>
        <v/>
      </c>
      <c r="N135" s="15">
        <f>IF(A135="","",SUMIFS('15_Zahlungen'!$F:$F,'15_Zahlungen'!$D:$D,A135,'15_Zahlungen'!$C:$C,"Ausgang"))</f>
        <v/>
      </c>
      <c r="O135" s="15">
        <f>IF(A135="","",MAX(0,M135-N135))</f>
        <v/>
      </c>
      <c r="P135" s="45">
        <f>IF(OR(A135="",J135="bezahlt",H135=""),"",MAX(0,TODAY()-H135))</f>
        <v/>
      </c>
    </row>
    <row r="136">
      <c r="A136" s="30" t="inlineStr"/>
      <c r="B136" s="38" t="inlineStr"/>
      <c r="C136" s="30" t="inlineStr"/>
      <c r="D136" s="30" t="inlineStr"/>
      <c r="E136" s="30" t="inlineStr"/>
      <c r="F136" s="34" t="inlineStr"/>
      <c r="G136" s="32" t="inlineStr"/>
      <c r="H136" s="38" t="inlineStr"/>
      <c r="I136" s="38" t="inlineStr"/>
      <c r="J136" s="30" t="inlineStr"/>
      <c r="K136" s="30" t="inlineStr"/>
      <c r="L136" s="15">
        <f>IF(A136="","",F136*G136)</f>
        <v/>
      </c>
      <c r="M136" s="15">
        <f>IF(A136="","",F136+L136)</f>
        <v/>
      </c>
      <c r="N136" s="15">
        <f>IF(A136="","",SUMIFS('15_Zahlungen'!$F:$F,'15_Zahlungen'!$D:$D,A136,'15_Zahlungen'!$C:$C,"Ausgang"))</f>
        <v/>
      </c>
      <c r="O136" s="15">
        <f>IF(A136="","",MAX(0,M136-N136))</f>
        <v/>
      </c>
      <c r="P136" s="45">
        <f>IF(OR(A136="",J136="bezahlt",H136=""),"",MAX(0,TODAY()-H136))</f>
        <v/>
      </c>
    </row>
    <row r="137">
      <c r="A137" s="30" t="inlineStr"/>
      <c r="B137" s="38" t="inlineStr"/>
      <c r="C137" s="30" t="inlineStr"/>
      <c r="D137" s="30" t="inlineStr"/>
      <c r="E137" s="30" t="inlineStr"/>
      <c r="F137" s="34" t="inlineStr"/>
      <c r="G137" s="32" t="inlineStr"/>
      <c r="H137" s="38" t="inlineStr"/>
      <c r="I137" s="38" t="inlineStr"/>
      <c r="J137" s="30" t="inlineStr"/>
      <c r="K137" s="30" t="inlineStr"/>
      <c r="L137" s="15">
        <f>IF(A137="","",F137*G137)</f>
        <v/>
      </c>
      <c r="M137" s="15">
        <f>IF(A137="","",F137+L137)</f>
        <v/>
      </c>
      <c r="N137" s="15">
        <f>IF(A137="","",SUMIFS('15_Zahlungen'!$F:$F,'15_Zahlungen'!$D:$D,A137,'15_Zahlungen'!$C:$C,"Ausgang"))</f>
        <v/>
      </c>
      <c r="O137" s="15">
        <f>IF(A137="","",MAX(0,M137-N137))</f>
        <v/>
      </c>
      <c r="P137" s="45">
        <f>IF(OR(A137="",J137="bezahlt",H137=""),"",MAX(0,TODAY()-H137))</f>
        <v/>
      </c>
    </row>
    <row r="138">
      <c r="A138" s="30" t="inlineStr"/>
      <c r="B138" s="38" t="inlineStr"/>
      <c r="C138" s="30" t="inlineStr"/>
      <c r="D138" s="30" t="inlineStr"/>
      <c r="E138" s="30" t="inlineStr"/>
      <c r="F138" s="34" t="inlineStr"/>
      <c r="G138" s="32" t="inlineStr"/>
      <c r="H138" s="38" t="inlineStr"/>
      <c r="I138" s="38" t="inlineStr"/>
      <c r="J138" s="30" t="inlineStr"/>
      <c r="K138" s="30" t="inlineStr"/>
      <c r="L138" s="15">
        <f>IF(A138="","",F138*G138)</f>
        <v/>
      </c>
      <c r="M138" s="15">
        <f>IF(A138="","",F138+L138)</f>
        <v/>
      </c>
      <c r="N138" s="15">
        <f>IF(A138="","",SUMIFS('15_Zahlungen'!$F:$F,'15_Zahlungen'!$D:$D,A138,'15_Zahlungen'!$C:$C,"Ausgang"))</f>
        <v/>
      </c>
      <c r="O138" s="15">
        <f>IF(A138="","",MAX(0,M138-N138))</f>
        <v/>
      </c>
      <c r="P138" s="45">
        <f>IF(OR(A138="",J138="bezahlt",H138=""),"",MAX(0,TODAY()-H138))</f>
        <v/>
      </c>
    </row>
    <row r="139">
      <c r="A139" s="30" t="inlineStr"/>
      <c r="B139" s="38" t="inlineStr"/>
      <c r="C139" s="30" t="inlineStr"/>
      <c r="D139" s="30" t="inlineStr"/>
      <c r="E139" s="30" t="inlineStr"/>
      <c r="F139" s="34" t="inlineStr"/>
      <c r="G139" s="32" t="inlineStr"/>
      <c r="H139" s="38" t="inlineStr"/>
      <c r="I139" s="38" t="inlineStr"/>
      <c r="J139" s="30" t="inlineStr"/>
      <c r="K139" s="30" t="inlineStr"/>
      <c r="L139" s="15">
        <f>IF(A139="","",F139*G139)</f>
        <v/>
      </c>
      <c r="M139" s="15">
        <f>IF(A139="","",F139+L139)</f>
        <v/>
      </c>
      <c r="N139" s="15">
        <f>IF(A139="","",SUMIFS('15_Zahlungen'!$F:$F,'15_Zahlungen'!$D:$D,A139,'15_Zahlungen'!$C:$C,"Ausgang"))</f>
        <v/>
      </c>
      <c r="O139" s="15">
        <f>IF(A139="","",MAX(0,M139-N139))</f>
        <v/>
      </c>
      <c r="P139" s="45">
        <f>IF(OR(A139="",J139="bezahlt",H139=""),"",MAX(0,TODAY()-H139))</f>
        <v/>
      </c>
    </row>
    <row r="140">
      <c r="A140" s="30" t="inlineStr"/>
      <c r="B140" s="38" t="inlineStr"/>
      <c r="C140" s="30" t="inlineStr"/>
      <c r="D140" s="30" t="inlineStr"/>
      <c r="E140" s="30" t="inlineStr"/>
      <c r="F140" s="34" t="inlineStr"/>
      <c r="G140" s="32" t="inlineStr"/>
      <c r="H140" s="38" t="inlineStr"/>
      <c r="I140" s="38" t="inlineStr"/>
      <c r="J140" s="30" t="inlineStr"/>
      <c r="K140" s="30" t="inlineStr"/>
      <c r="L140" s="15">
        <f>IF(A140="","",F140*G140)</f>
        <v/>
      </c>
      <c r="M140" s="15">
        <f>IF(A140="","",F140+L140)</f>
        <v/>
      </c>
      <c r="N140" s="15">
        <f>IF(A140="","",SUMIFS('15_Zahlungen'!$F:$F,'15_Zahlungen'!$D:$D,A140,'15_Zahlungen'!$C:$C,"Ausgang"))</f>
        <v/>
      </c>
      <c r="O140" s="15">
        <f>IF(A140="","",MAX(0,M140-N140))</f>
        <v/>
      </c>
      <c r="P140" s="45">
        <f>IF(OR(A140="",J140="bezahlt",H140=""),"",MAX(0,TODAY()-H140))</f>
        <v/>
      </c>
    </row>
    <row r="141">
      <c r="A141" s="30" t="inlineStr"/>
      <c r="B141" s="38" t="inlineStr"/>
      <c r="C141" s="30" t="inlineStr"/>
      <c r="D141" s="30" t="inlineStr"/>
      <c r="E141" s="30" t="inlineStr"/>
      <c r="F141" s="34" t="inlineStr"/>
      <c r="G141" s="32" t="inlineStr"/>
      <c r="H141" s="38" t="inlineStr"/>
      <c r="I141" s="38" t="inlineStr"/>
      <c r="J141" s="30" t="inlineStr"/>
      <c r="K141" s="30" t="inlineStr"/>
      <c r="L141" s="15">
        <f>IF(A141="","",F141*G141)</f>
        <v/>
      </c>
      <c r="M141" s="15">
        <f>IF(A141="","",F141+L141)</f>
        <v/>
      </c>
      <c r="N141" s="15">
        <f>IF(A141="","",SUMIFS('15_Zahlungen'!$F:$F,'15_Zahlungen'!$D:$D,A141,'15_Zahlungen'!$C:$C,"Ausgang"))</f>
        <v/>
      </c>
      <c r="O141" s="15">
        <f>IF(A141="","",MAX(0,M141-N141))</f>
        <v/>
      </c>
      <c r="P141" s="45">
        <f>IF(OR(A141="",J141="bezahlt",H141=""),"",MAX(0,TODAY()-H141))</f>
        <v/>
      </c>
    </row>
    <row r="142">
      <c r="A142" s="30" t="inlineStr"/>
      <c r="B142" s="38" t="inlineStr"/>
      <c r="C142" s="30" t="inlineStr"/>
      <c r="D142" s="30" t="inlineStr"/>
      <c r="E142" s="30" t="inlineStr"/>
      <c r="F142" s="34" t="inlineStr"/>
      <c r="G142" s="32" t="inlineStr"/>
      <c r="H142" s="38" t="inlineStr"/>
      <c r="I142" s="38" t="inlineStr"/>
      <c r="J142" s="30" t="inlineStr"/>
      <c r="K142" s="30" t="inlineStr"/>
      <c r="L142" s="15">
        <f>IF(A142="","",F142*G142)</f>
        <v/>
      </c>
      <c r="M142" s="15">
        <f>IF(A142="","",F142+L142)</f>
        <v/>
      </c>
      <c r="N142" s="15">
        <f>IF(A142="","",SUMIFS('15_Zahlungen'!$F:$F,'15_Zahlungen'!$D:$D,A142,'15_Zahlungen'!$C:$C,"Ausgang"))</f>
        <v/>
      </c>
      <c r="O142" s="15">
        <f>IF(A142="","",MAX(0,M142-N142))</f>
        <v/>
      </c>
      <c r="P142" s="45">
        <f>IF(OR(A142="",J142="bezahlt",H142=""),"",MAX(0,TODAY()-H142))</f>
        <v/>
      </c>
    </row>
    <row r="143">
      <c r="A143" s="30" t="inlineStr"/>
      <c r="B143" s="38" t="inlineStr"/>
      <c r="C143" s="30" t="inlineStr"/>
      <c r="D143" s="30" t="inlineStr"/>
      <c r="E143" s="30" t="inlineStr"/>
      <c r="F143" s="34" t="inlineStr"/>
      <c r="G143" s="32" t="inlineStr"/>
      <c r="H143" s="38" t="inlineStr"/>
      <c r="I143" s="38" t="inlineStr"/>
      <c r="J143" s="30" t="inlineStr"/>
      <c r="K143" s="30" t="inlineStr"/>
      <c r="L143" s="15">
        <f>IF(A143="","",F143*G143)</f>
        <v/>
      </c>
      <c r="M143" s="15">
        <f>IF(A143="","",F143+L143)</f>
        <v/>
      </c>
      <c r="N143" s="15">
        <f>IF(A143="","",SUMIFS('15_Zahlungen'!$F:$F,'15_Zahlungen'!$D:$D,A143,'15_Zahlungen'!$C:$C,"Ausgang"))</f>
        <v/>
      </c>
      <c r="O143" s="15">
        <f>IF(A143="","",MAX(0,M143-N143))</f>
        <v/>
      </c>
      <c r="P143" s="45">
        <f>IF(OR(A143="",J143="bezahlt",H143=""),"",MAX(0,TODAY()-H143))</f>
        <v/>
      </c>
    </row>
    <row r="144">
      <c r="A144" s="30" t="inlineStr"/>
      <c r="B144" s="38" t="inlineStr"/>
      <c r="C144" s="30" t="inlineStr"/>
      <c r="D144" s="30" t="inlineStr"/>
      <c r="E144" s="30" t="inlineStr"/>
      <c r="F144" s="34" t="inlineStr"/>
      <c r="G144" s="32" t="inlineStr"/>
      <c r="H144" s="38" t="inlineStr"/>
      <c r="I144" s="38" t="inlineStr"/>
      <c r="J144" s="30" t="inlineStr"/>
      <c r="K144" s="30" t="inlineStr"/>
      <c r="L144" s="15">
        <f>IF(A144="","",F144*G144)</f>
        <v/>
      </c>
      <c r="M144" s="15">
        <f>IF(A144="","",F144+L144)</f>
        <v/>
      </c>
      <c r="N144" s="15">
        <f>IF(A144="","",SUMIFS('15_Zahlungen'!$F:$F,'15_Zahlungen'!$D:$D,A144,'15_Zahlungen'!$C:$C,"Ausgang"))</f>
        <v/>
      </c>
      <c r="O144" s="15">
        <f>IF(A144="","",MAX(0,M144-N144))</f>
        <v/>
      </c>
      <c r="P144" s="45">
        <f>IF(OR(A144="",J144="bezahlt",H144=""),"",MAX(0,TODAY()-H144))</f>
        <v/>
      </c>
    </row>
    <row r="145">
      <c r="A145" s="30" t="inlineStr"/>
      <c r="B145" s="38" t="inlineStr"/>
      <c r="C145" s="30" t="inlineStr"/>
      <c r="D145" s="30" t="inlineStr"/>
      <c r="E145" s="30" t="inlineStr"/>
      <c r="F145" s="34" t="inlineStr"/>
      <c r="G145" s="32" t="inlineStr"/>
      <c r="H145" s="38" t="inlineStr"/>
      <c r="I145" s="38" t="inlineStr"/>
      <c r="J145" s="30" t="inlineStr"/>
      <c r="K145" s="30" t="inlineStr"/>
      <c r="L145" s="15">
        <f>IF(A145="","",F145*G145)</f>
        <v/>
      </c>
      <c r="M145" s="15">
        <f>IF(A145="","",F145+L145)</f>
        <v/>
      </c>
      <c r="N145" s="15">
        <f>IF(A145="","",SUMIFS('15_Zahlungen'!$F:$F,'15_Zahlungen'!$D:$D,A145,'15_Zahlungen'!$C:$C,"Ausgang"))</f>
        <v/>
      </c>
      <c r="O145" s="15">
        <f>IF(A145="","",MAX(0,M145-N145))</f>
        <v/>
      </c>
      <c r="P145" s="45">
        <f>IF(OR(A145="",J145="bezahlt",H145=""),"",MAX(0,TODAY()-H145))</f>
        <v/>
      </c>
    </row>
    <row r="146">
      <c r="A146" s="30" t="inlineStr"/>
      <c r="B146" s="38" t="inlineStr"/>
      <c r="C146" s="30" t="inlineStr"/>
      <c r="D146" s="30" t="inlineStr"/>
      <c r="E146" s="30" t="inlineStr"/>
      <c r="F146" s="34" t="inlineStr"/>
      <c r="G146" s="32" t="inlineStr"/>
      <c r="H146" s="38" t="inlineStr"/>
      <c r="I146" s="38" t="inlineStr"/>
      <c r="J146" s="30" t="inlineStr"/>
      <c r="K146" s="30" t="inlineStr"/>
      <c r="L146" s="15">
        <f>IF(A146="","",F146*G146)</f>
        <v/>
      </c>
      <c r="M146" s="15">
        <f>IF(A146="","",F146+L146)</f>
        <v/>
      </c>
      <c r="N146" s="15">
        <f>IF(A146="","",SUMIFS('15_Zahlungen'!$F:$F,'15_Zahlungen'!$D:$D,A146,'15_Zahlungen'!$C:$C,"Ausgang"))</f>
        <v/>
      </c>
      <c r="O146" s="15">
        <f>IF(A146="","",MAX(0,M146-N146))</f>
        <v/>
      </c>
      <c r="P146" s="45">
        <f>IF(OR(A146="",J146="bezahlt",H146=""),"",MAX(0,TODAY()-H146))</f>
        <v/>
      </c>
    </row>
    <row r="147">
      <c r="A147" s="30" t="inlineStr"/>
      <c r="B147" s="38" t="inlineStr"/>
      <c r="C147" s="30" t="inlineStr"/>
      <c r="D147" s="30" t="inlineStr"/>
      <c r="E147" s="30" t="inlineStr"/>
      <c r="F147" s="34" t="inlineStr"/>
      <c r="G147" s="32" t="inlineStr"/>
      <c r="H147" s="38" t="inlineStr"/>
      <c r="I147" s="38" t="inlineStr"/>
      <c r="J147" s="30" t="inlineStr"/>
      <c r="K147" s="30" t="inlineStr"/>
      <c r="L147" s="15">
        <f>IF(A147="","",F147*G147)</f>
        <v/>
      </c>
      <c r="M147" s="15">
        <f>IF(A147="","",F147+L147)</f>
        <v/>
      </c>
      <c r="N147" s="15">
        <f>IF(A147="","",SUMIFS('15_Zahlungen'!$F:$F,'15_Zahlungen'!$D:$D,A147,'15_Zahlungen'!$C:$C,"Ausgang"))</f>
        <v/>
      </c>
      <c r="O147" s="15">
        <f>IF(A147="","",MAX(0,M147-N147))</f>
        <v/>
      </c>
      <c r="P147" s="45">
        <f>IF(OR(A147="",J147="bezahlt",H147=""),"",MAX(0,TODAY()-H147))</f>
        <v/>
      </c>
    </row>
    <row r="148">
      <c r="A148" s="30" t="inlineStr"/>
      <c r="B148" s="38" t="inlineStr"/>
      <c r="C148" s="30" t="inlineStr"/>
      <c r="D148" s="30" t="inlineStr"/>
      <c r="E148" s="30" t="inlineStr"/>
      <c r="F148" s="34" t="inlineStr"/>
      <c r="G148" s="32" t="inlineStr"/>
      <c r="H148" s="38" t="inlineStr"/>
      <c r="I148" s="38" t="inlineStr"/>
      <c r="J148" s="30" t="inlineStr"/>
      <c r="K148" s="30" t="inlineStr"/>
      <c r="L148" s="15">
        <f>IF(A148="","",F148*G148)</f>
        <v/>
      </c>
      <c r="M148" s="15">
        <f>IF(A148="","",F148+L148)</f>
        <v/>
      </c>
      <c r="N148" s="15">
        <f>IF(A148="","",SUMIFS('15_Zahlungen'!$F:$F,'15_Zahlungen'!$D:$D,A148,'15_Zahlungen'!$C:$C,"Ausgang"))</f>
        <v/>
      </c>
      <c r="O148" s="15">
        <f>IF(A148="","",MAX(0,M148-N148))</f>
        <v/>
      </c>
      <c r="P148" s="45">
        <f>IF(OR(A148="",J148="bezahlt",H148=""),"",MAX(0,TODAY()-H148))</f>
        <v/>
      </c>
    </row>
    <row r="149">
      <c r="A149" s="30" t="inlineStr"/>
      <c r="B149" s="38" t="inlineStr"/>
      <c r="C149" s="30" t="inlineStr"/>
      <c r="D149" s="30" t="inlineStr"/>
      <c r="E149" s="30" t="inlineStr"/>
      <c r="F149" s="34" t="inlineStr"/>
      <c r="G149" s="32" t="inlineStr"/>
      <c r="H149" s="38" t="inlineStr"/>
      <c r="I149" s="38" t="inlineStr"/>
      <c r="J149" s="30" t="inlineStr"/>
      <c r="K149" s="30" t="inlineStr"/>
      <c r="L149" s="15">
        <f>IF(A149="","",F149*G149)</f>
        <v/>
      </c>
      <c r="M149" s="15">
        <f>IF(A149="","",F149+L149)</f>
        <v/>
      </c>
      <c r="N149" s="15">
        <f>IF(A149="","",SUMIFS('15_Zahlungen'!$F:$F,'15_Zahlungen'!$D:$D,A149,'15_Zahlungen'!$C:$C,"Ausgang"))</f>
        <v/>
      </c>
      <c r="O149" s="15">
        <f>IF(A149="","",MAX(0,M149-N149))</f>
        <v/>
      </c>
      <c r="P149" s="45">
        <f>IF(OR(A149="",J149="bezahlt",H149=""),"",MAX(0,TODAY()-H149))</f>
        <v/>
      </c>
    </row>
    <row r="150">
      <c r="A150" s="30" t="inlineStr"/>
      <c r="B150" s="38" t="inlineStr"/>
      <c r="C150" s="30" t="inlineStr"/>
      <c r="D150" s="30" t="inlineStr"/>
      <c r="E150" s="30" t="inlineStr"/>
      <c r="F150" s="34" t="inlineStr"/>
      <c r="G150" s="32" t="inlineStr"/>
      <c r="H150" s="38" t="inlineStr"/>
      <c r="I150" s="38" t="inlineStr"/>
      <c r="J150" s="30" t="inlineStr"/>
      <c r="K150" s="30" t="inlineStr"/>
      <c r="L150" s="15">
        <f>IF(A150="","",F150*G150)</f>
        <v/>
      </c>
      <c r="M150" s="15">
        <f>IF(A150="","",F150+L150)</f>
        <v/>
      </c>
      <c r="N150" s="15">
        <f>IF(A150="","",SUMIFS('15_Zahlungen'!$F:$F,'15_Zahlungen'!$D:$D,A150,'15_Zahlungen'!$C:$C,"Ausgang"))</f>
        <v/>
      </c>
      <c r="O150" s="15">
        <f>IF(A150="","",MAX(0,M150-N150))</f>
        <v/>
      </c>
      <c r="P150" s="45">
        <f>IF(OR(A150="",J150="bezahlt",H150=""),"",MAX(0,TODAY()-H150))</f>
        <v/>
      </c>
    </row>
    <row r="151">
      <c r="A151" s="30" t="inlineStr"/>
      <c r="B151" s="38" t="inlineStr"/>
      <c r="C151" s="30" t="inlineStr"/>
      <c r="D151" s="30" t="inlineStr"/>
      <c r="E151" s="30" t="inlineStr"/>
      <c r="F151" s="34" t="inlineStr"/>
      <c r="G151" s="32" t="inlineStr"/>
      <c r="H151" s="38" t="inlineStr"/>
      <c r="I151" s="38" t="inlineStr"/>
      <c r="J151" s="30" t="inlineStr"/>
      <c r="K151" s="30" t="inlineStr"/>
      <c r="L151" s="15">
        <f>IF(A151="","",F151*G151)</f>
        <v/>
      </c>
      <c r="M151" s="15">
        <f>IF(A151="","",F151+L151)</f>
        <v/>
      </c>
      <c r="N151" s="15">
        <f>IF(A151="","",SUMIFS('15_Zahlungen'!$F:$F,'15_Zahlungen'!$D:$D,A151,'15_Zahlungen'!$C:$C,"Ausgang"))</f>
        <v/>
      </c>
      <c r="O151" s="15">
        <f>IF(A151="","",MAX(0,M151-N151))</f>
        <v/>
      </c>
      <c r="P151" s="45">
        <f>IF(OR(A151="",J151="bezahlt",H151=""),"",MAX(0,TODAY()-H151))</f>
        <v/>
      </c>
    </row>
    <row r="152">
      <c r="A152" s="30" t="inlineStr"/>
      <c r="B152" s="38" t="inlineStr"/>
      <c r="C152" s="30" t="inlineStr"/>
      <c r="D152" s="30" t="inlineStr"/>
      <c r="E152" s="30" t="inlineStr"/>
      <c r="F152" s="34" t="inlineStr"/>
      <c r="G152" s="32" t="inlineStr"/>
      <c r="H152" s="38" t="inlineStr"/>
      <c r="I152" s="38" t="inlineStr"/>
      <c r="J152" s="30" t="inlineStr"/>
      <c r="K152" s="30" t="inlineStr"/>
      <c r="L152" s="15">
        <f>IF(A152="","",F152*G152)</f>
        <v/>
      </c>
      <c r="M152" s="15">
        <f>IF(A152="","",F152+L152)</f>
        <v/>
      </c>
      <c r="N152" s="15">
        <f>IF(A152="","",SUMIFS('15_Zahlungen'!$F:$F,'15_Zahlungen'!$D:$D,A152,'15_Zahlungen'!$C:$C,"Ausgang"))</f>
        <v/>
      </c>
      <c r="O152" s="15">
        <f>IF(A152="","",MAX(0,M152-N152))</f>
        <v/>
      </c>
      <c r="P152" s="45">
        <f>IF(OR(A152="",J152="bezahlt",H152=""),"",MAX(0,TODAY()-H152))</f>
        <v/>
      </c>
    </row>
    <row r="153">
      <c r="A153" s="30" t="inlineStr"/>
      <c r="B153" s="38" t="inlineStr"/>
      <c r="C153" s="30" t="inlineStr"/>
      <c r="D153" s="30" t="inlineStr"/>
      <c r="E153" s="30" t="inlineStr"/>
      <c r="F153" s="34" t="inlineStr"/>
      <c r="G153" s="32" t="inlineStr"/>
      <c r="H153" s="38" t="inlineStr"/>
      <c r="I153" s="38" t="inlineStr"/>
      <c r="J153" s="30" t="inlineStr"/>
      <c r="K153" s="30" t="inlineStr"/>
      <c r="L153" s="15">
        <f>IF(A153="","",F153*G153)</f>
        <v/>
      </c>
      <c r="M153" s="15">
        <f>IF(A153="","",F153+L153)</f>
        <v/>
      </c>
      <c r="N153" s="15">
        <f>IF(A153="","",SUMIFS('15_Zahlungen'!$F:$F,'15_Zahlungen'!$D:$D,A153,'15_Zahlungen'!$C:$C,"Ausgang"))</f>
        <v/>
      </c>
      <c r="O153" s="15">
        <f>IF(A153="","",MAX(0,M153-N153))</f>
        <v/>
      </c>
      <c r="P153" s="45">
        <f>IF(OR(A153="",J153="bezahlt",H153=""),"",MAX(0,TODAY()-H153))</f>
        <v/>
      </c>
    </row>
    <row r="154">
      <c r="A154" s="30" t="inlineStr"/>
      <c r="B154" s="38" t="inlineStr"/>
      <c r="C154" s="30" t="inlineStr"/>
      <c r="D154" s="30" t="inlineStr"/>
      <c r="E154" s="30" t="inlineStr"/>
      <c r="F154" s="34" t="inlineStr"/>
      <c r="G154" s="32" t="inlineStr"/>
      <c r="H154" s="38" t="inlineStr"/>
      <c r="I154" s="38" t="inlineStr"/>
      <c r="J154" s="30" t="inlineStr"/>
      <c r="K154" s="30" t="inlineStr"/>
      <c r="L154" s="15">
        <f>IF(A154="","",F154*G154)</f>
        <v/>
      </c>
      <c r="M154" s="15">
        <f>IF(A154="","",F154+L154)</f>
        <v/>
      </c>
      <c r="N154" s="15">
        <f>IF(A154="","",SUMIFS('15_Zahlungen'!$F:$F,'15_Zahlungen'!$D:$D,A154,'15_Zahlungen'!$C:$C,"Ausgang"))</f>
        <v/>
      </c>
      <c r="O154" s="15">
        <f>IF(A154="","",MAX(0,M154-N154))</f>
        <v/>
      </c>
      <c r="P154" s="45">
        <f>IF(OR(A154="",J154="bezahlt",H154=""),"",MAX(0,TODAY()-H154))</f>
        <v/>
      </c>
    </row>
    <row r="155">
      <c r="A155" s="30" t="inlineStr"/>
      <c r="B155" s="38" t="inlineStr"/>
      <c r="C155" s="30" t="inlineStr"/>
      <c r="D155" s="30" t="inlineStr"/>
      <c r="E155" s="30" t="inlineStr"/>
      <c r="F155" s="34" t="inlineStr"/>
      <c r="G155" s="32" t="inlineStr"/>
      <c r="H155" s="38" t="inlineStr"/>
      <c r="I155" s="38" t="inlineStr"/>
      <c r="J155" s="30" t="inlineStr"/>
      <c r="K155" s="30" t="inlineStr"/>
      <c r="L155" s="15">
        <f>IF(A155="","",F155*G155)</f>
        <v/>
      </c>
      <c r="M155" s="15">
        <f>IF(A155="","",F155+L155)</f>
        <v/>
      </c>
      <c r="N155" s="15">
        <f>IF(A155="","",SUMIFS('15_Zahlungen'!$F:$F,'15_Zahlungen'!$D:$D,A155,'15_Zahlungen'!$C:$C,"Ausgang"))</f>
        <v/>
      </c>
      <c r="O155" s="15">
        <f>IF(A155="","",MAX(0,M155-N155))</f>
        <v/>
      </c>
      <c r="P155" s="45">
        <f>IF(OR(A155="",J155="bezahlt",H155=""),"",MAX(0,TODAY()-H155))</f>
        <v/>
      </c>
    </row>
    <row r="156">
      <c r="A156" s="30" t="inlineStr"/>
      <c r="B156" s="38" t="inlineStr"/>
      <c r="C156" s="30" t="inlineStr"/>
      <c r="D156" s="30" t="inlineStr"/>
      <c r="E156" s="30" t="inlineStr"/>
      <c r="F156" s="34" t="inlineStr"/>
      <c r="G156" s="32" t="inlineStr"/>
      <c r="H156" s="38" t="inlineStr"/>
      <c r="I156" s="38" t="inlineStr"/>
      <c r="J156" s="30" t="inlineStr"/>
      <c r="K156" s="30" t="inlineStr"/>
      <c r="L156" s="15">
        <f>IF(A156="","",F156*G156)</f>
        <v/>
      </c>
      <c r="M156" s="15">
        <f>IF(A156="","",F156+L156)</f>
        <v/>
      </c>
      <c r="N156" s="15">
        <f>IF(A156="","",SUMIFS('15_Zahlungen'!$F:$F,'15_Zahlungen'!$D:$D,A156,'15_Zahlungen'!$C:$C,"Ausgang"))</f>
        <v/>
      </c>
      <c r="O156" s="15">
        <f>IF(A156="","",MAX(0,M156-N156))</f>
        <v/>
      </c>
      <c r="P156" s="45">
        <f>IF(OR(A156="",J156="bezahlt",H156=""),"",MAX(0,TODAY()-H156))</f>
        <v/>
      </c>
    </row>
    <row r="157">
      <c r="A157" s="30" t="inlineStr"/>
      <c r="B157" s="38" t="inlineStr"/>
      <c r="C157" s="30" t="inlineStr"/>
      <c r="D157" s="30" t="inlineStr"/>
      <c r="E157" s="30" t="inlineStr"/>
      <c r="F157" s="34" t="inlineStr"/>
      <c r="G157" s="32" t="inlineStr"/>
      <c r="H157" s="38" t="inlineStr"/>
      <c r="I157" s="38" t="inlineStr"/>
      <c r="J157" s="30" t="inlineStr"/>
      <c r="K157" s="30" t="inlineStr"/>
      <c r="L157" s="15">
        <f>IF(A157="","",F157*G157)</f>
        <v/>
      </c>
      <c r="M157" s="15">
        <f>IF(A157="","",F157+L157)</f>
        <v/>
      </c>
      <c r="N157" s="15">
        <f>IF(A157="","",SUMIFS('15_Zahlungen'!$F:$F,'15_Zahlungen'!$D:$D,A157,'15_Zahlungen'!$C:$C,"Ausgang"))</f>
        <v/>
      </c>
      <c r="O157" s="15">
        <f>IF(A157="","",MAX(0,M157-N157))</f>
        <v/>
      </c>
      <c r="P157" s="45">
        <f>IF(OR(A157="",J157="bezahlt",H157=""),"",MAX(0,TODAY()-H157))</f>
        <v/>
      </c>
    </row>
    <row r="158">
      <c r="A158" s="30" t="inlineStr"/>
      <c r="B158" s="38" t="inlineStr"/>
      <c r="C158" s="30" t="inlineStr"/>
      <c r="D158" s="30" t="inlineStr"/>
      <c r="E158" s="30" t="inlineStr"/>
      <c r="F158" s="34" t="inlineStr"/>
      <c r="G158" s="32" t="inlineStr"/>
      <c r="H158" s="38" t="inlineStr"/>
      <c r="I158" s="38" t="inlineStr"/>
      <c r="J158" s="30" t="inlineStr"/>
      <c r="K158" s="30" t="inlineStr"/>
      <c r="L158" s="15">
        <f>IF(A158="","",F158*G158)</f>
        <v/>
      </c>
      <c r="M158" s="15">
        <f>IF(A158="","",F158+L158)</f>
        <v/>
      </c>
      <c r="N158" s="15">
        <f>IF(A158="","",SUMIFS('15_Zahlungen'!$F:$F,'15_Zahlungen'!$D:$D,A158,'15_Zahlungen'!$C:$C,"Ausgang"))</f>
        <v/>
      </c>
      <c r="O158" s="15">
        <f>IF(A158="","",MAX(0,M158-N158))</f>
        <v/>
      </c>
      <c r="P158" s="45">
        <f>IF(OR(A158="",J158="bezahlt",H158=""),"",MAX(0,TODAY()-H158))</f>
        <v/>
      </c>
    </row>
    <row r="159">
      <c r="A159" s="30" t="inlineStr"/>
      <c r="B159" s="38" t="inlineStr"/>
      <c r="C159" s="30" t="inlineStr"/>
      <c r="D159" s="30" t="inlineStr"/>
      <c r="E159" s="30" t="inlineStr"/>
      <c r="F159" s="34" t="inlineStr"/>
      <c r="G159" s="32" t="inlineStr"/>
      <c r="H159" s="38" t="inlineStr"/>
      <c r="I159" s="38" t="inlineStr"/>
      <c r="J159" s="30" t="inlineStr"/>
      <c r="K159" s="30" t="inlineStr"/>
      <c r="L159" s="15">
        <f>IF(A159="","",F159*G159)</f>
        <v/>
      </c>
      <c r="M159" s="15">
        <f>IF(A159="","",F159+L159)</f>
        <v/>
      </c>
      <c r="N159" s="15">
        <f>IF(A159="","",SUMIFS('15_Zahlungen'!$F:$F,'15_Zahlungen'!$D:$D,A159,'15_Zahlungen'!$C:$C,"Ausgang"))</f>
        <v/>
      </c>
      <c r="O159" s="15">
        <f>IF(A159="","",MAX(0,M159-N159))</f>
        <v/>
      </c>
      <c r="P159" s="45">
        <f>IF(OR(A159="",J159="bezahlt",H159=""),"",MAX(0,TODAY()-H159))</f>
        <v/>
      </c>
    </row>
    <row r="160">
      <c r="A160" s="30" t="inlineStr"/>
      <c r="B160" s="38" t="inlineStr"/>
      <c r="C160" s="30" t="inlineStr"/>
      <c r="D160" s="30" t="inlineStr"/>
      <c r="E160" s="30" t="inlineStr"/>
      <c r="F160" s="34" t="inlineStr"/>
      <c r="G160" s="32" t="inlineStr"/>
      <c r="H160" s="38" t="inlineStr"/>
      <c r="I160" s="38" t="inlineStr"/>
      <c r="J160" s="30" t="inlineStr"/>
      <c r="K160" s="30" t="inlineStr"/>
      <c r="L160" s="15">
        <f>IF(A160="","",F160*G160)</f>
        <v/>
      </c>
      <c r="M160" s="15">
        <f>IF(A160="","",F160+L160)</f>
        <v/>
      </c>
      <c r="N160" s="15">
        <f>IF(A160="","",SUMIFS('15_Zahlungen'!$F:$F,'15_Zahlungen'!$D:$D,A160,'15_Zahlungen'!$C:$C,"Ausgang"))</f>
        <v/>
      </c>
      <c r="O160" s="15">
        <f>IF(A160="","",MAX(0,M160-N160))</f>
        <v/>
      </c>
      <c r="P160" s="45">
        <f>IF(OR(A160="",J160="bezahlt",H160=""),"",MAX(0,TODAY()-H160))</f>
        <v/>
      </c>
    </row>
    <row r="161">
      <c r="A161" s="30" t="inlineStr"/>
      <c r="B161" s="38" t="inlineStr"/>
      <c r="C161" s="30" t="inlineStr"/>
      <c r="D161" s="30" t="inlineStr"/>
      <c r="E161" s="30" t="inlineStr"/>
      <c r="F161" s="34" t="inlineStr"/>
      <c r="G161" s="32" t="inlineStr"/>
      <c r="H161" s="38" t="inlineStr"/>
      <c r="I161" s="38" t="inlineStr"/>
      <c r="J161" s="30" t="inlineStr"/>
      <c r="K161" s="30" t="inlineStr"/>
      <c r="L161" s="15">
        <f>IF(A161="","",F161*G161)</f>
        <v/>
      </c>
      <c r="M161" s="15">
        <f>IF(A161="","",F161+L161)</f>
        <v/>
      </c>
      <c r="N161" s="15">
        <f>IF(A161="","",SUMIFS('15_Zahlungen'!$F:$F,'15_Zahlungen'!$D:$D,A161,'15_Zahlungen'!$C:$C,"Ausgang"))</f>
        <v/>
      </c>
      <c r="O161" s="15">
        <f>IF(A161="","",MAX(0,M161-N161))</f>
        <v/>
      </c>
      <c r="P161" s="45">
        <f>IF(OR(A161="",J161="bezahlt",H161=""),"",MAX(0,TODAY()-H161))</f>
        <v/>
      </c>
    </row>
    <row r="162">
      <c r="A162" s="30" t="inlineStr"/>
      <c r="B162" s="38" t="inlineStr"/>
      <c r="C162" s="30" t="inlineStr"/>
      <c r="D162" s="30" t="inlineStr"/>
      <c r="E162" s="30" t="inlineStr"/>
      <c r="F162" s="34" t="inlineStr"/>
      <c r="G162" s="32" t="inlineStr"/>
      <c r="H162" s="38" t="inlineStr"/>
      <c r="I162" s="38" t="inlineStr"/>
      <c r="J162" s="30" t="inlineStr"/>
      <c r="K162" s="30" t="inlineStr"/>
      <c r="L162" s="15">
        <f>IF(A162="","",F162*G162)</f>
        <v/>
      </c>
      <c r="M162" s="15">
        <f>IF(A162="","",F162+L162)</f>
        <v/>
      </c>
      <c r="N162" s="15">
        <f>IF(A162="","",SUMIFS('15_Zahlungen'!$F:$F,'15_Zahlungen'!$D:$D,A162,'15_Zahlungen'!$C:$C,"Ausgang"))</f>
        <v/>
      </c>
      <c r="O162" s="15">
        <f>IF(A162="","",MAX(0,M162-N162))</f>
        <v/>
      </c>
      <c r="P162" s="45">
        <f>IF(OR(A162="",J162="bezahlt",H162=""),"",MAX(0,TODAY()-H162))</f>
        <v/>
      </c>
    </row>
    <row r="163">
      <c r="A163" s="30" t="inlineStr"/>
      <c r="B163" s="38" t="inlineStr"/>
      <c r="C163" s="30" t="inlineStr"/>
      <c r="D163" s="30" t="inlineStr"/>
      <c r="E163" s="30" t="inlineStr"/>
      <c r="F163" s="34" t="inlineStr"/>
      <c r="G163" s="32" t="inlineStr"/>
      <c r="H163" s="38" t="inlineStr"/>
      <c r="I163" s="38" t="inlineStr"/>
      <c r="J163" s="30" t="inlineStr"/>
      <c r="K163" s="30" t="inlineStr"/>
      <c r="L163" s="15">
        <f>IF(A163="","",F163*G163)</f>
        <v/>
      </c>
      <c r="M163" s="15">
        <f>IF(A163="","",F163+L163)</f>
        <v/>
      </c>
      <c r="N163" s="15">
        <f>IF(A163="","",SUMIFS('15_Zahlungen'!$F:$F,'15_Zahlungen'!$D:$D,A163,'15_Zahlungen'!$C:$C,"Ausgang"))</f>
        <v/>
      </c>
      <c r="O163" s="15">
        <f>IF(A163="","",MAX(0,M163-N163))</f>
        <v/>
      </c>
      <c r="P163" s="45">
        <f>IF(OR(A163="",J163="bezahlt",H163=""),"",MAX(0,TODAY()-H163))</f>
        <v/>
      </c>
    </row>
    <row r="164">
      <c r="A164" s="30" t="inlineStr"/>
      <c r="B164" s="38" t="inlineStr"/>
      <c r="C164" s="30" t="inlineStr"/>
      <c r="D164" s="30" t="inlineStr"/>
      <c r="E164" s="30" t="inlineStr"/>
      <c r="F164" s="34" t="inlineStr"/>
      <c r="G164" s="32" t="inlineStr"/>
      <c r="H164" s="38" t="inlineStr"/>
      <c r="I164" s="38" t="inlineStr"/>
      <c r="J164" s="30" t="inlineStr"/>
      <c r="K164" s="30" t="inlineStr"/>
      <c r="L164" s="15">
        <f>IF(A164="","",F164*G164)</f>
        <v/>
      </c>
      <c r="M164" s="15">
        <f>IF(A164="","",F164+L164)</f>
        <v/>
      </c>
      <c r="N164" s="15">
        <f>IF(A164="","",SUMIFS('15_Zahlungen'!$F:$F,'15_Zahlungen'!$D:$D,A164,'15_Zahlungen'!$C:$C,"Ausgang"))</f>
        <v/>
      </c>
      <c r="O164" s="15">
        <f>IF(A164="","",MAX(0,M164-N164))</f>
        <v/>
      </c>
      <c r="P164" s="45">
        <f>IF(OR(A164="",J164="bezahlt",H164=""),"",MAX(0,TODAY()-H164))</f>
        <v/>
      </c>
    </row>
    <row r="165">
      <c r="A165" s="30" t="inlineStr"/>
      <c r="B165" s="38" t="inlineStr"/>
      <c r="C165" s="30" t="inlineStr"/>
      <c r="D165" s="30" t="inlineStr"/>
      <c r="E165" s="30" t="inlineStr"/>
      <c r="F165" s="34" t="inlineStr"/>
      <c r="G165" s="32" t="inlineStr"/>
      <c r="H165" s="38" t="inlineStr"/>
      <c r="I165" s="38" t="inlineStr"/>
      <c r="J165" s="30" t="inlineStr"/>
      <c r="K165" s="30" t="inlineStr"/>
      <c r="L165" s="15">
        <f>IF(A165="","",F165*G165)</f>
        <v/>
      </c>
      <c r="M165" s="15">
        <f>IF(A165="","",F165+L165)</f>
        <v/>
      </c>
      <c r="N165" s="15">
        <f>IF(A165="","",SUMIFS('15_Zahlungen'!$F:$F,'15_Zahlungen'!$D:$D,A165,'15_Zahlungen'!$C:$C,"Ausgang"))</f>
        <v/>
      </c>
      <c r="O165" s="15">
        <f>IF(A165="","",MAX(0,M165-N165))</f>
        <v/>
      </c>
      <c r="P165" s="45">
        <f>IF(OR(A165="",J165="bezahlt",H165=""),"",MAX(0,TODAY()-H165))</f>
        <v/>
      </c>
    </row>
    <row r="166">
      <c r="A166" s="30" t="inlineStr"/>
      <c r="B166" s="38" t="inlineStr"/>
      <c r="C166" s="30" t="inlineStr"/>
      <c r="D166" s="30" t="inlineStr"/>
      <c r="E166" s="30" t="inlineStr"/>
      <c r="F166" s="34" t="inlineStr"/>
      <c r="G166" s="32" t="inlineStr"/>
      <c r="H166" s="38" t="inlineStr"/>
      <c r="I166" s="38" t="inlineStr"/>
      <c r="J166" s="30" t="inlineStr"/>
      <c r="K166" s="30" t="inlineStr"/>
      <c r="L166" s="15">
        <f>IF(A166="","",F166*G166)</f>
        <v/>
      </c>
      <c r="M166" s="15">
        <f>IF(A166="","",F166+L166)</f>
        <v/>
      </c>
      <c r="N166" s="15">
        <f>IF(A166="","",SUMIFS('15_Zahlungen'!$F:$F,'15_Zahlungen'!$D:$D,A166,'15_Zahlungen'!$C:$C,"Ausgang"))</f>
        <v/>
      </c>
      <c r="O166" s="15">
        <f>IF(A166="","",MAX(0,M166-N166))</f>
        <v/>
      </c>
      <c r="P166" s="45">
        <f>IF(OR(A166="",J166="bezahlt",H166=""),"",MAX(0,TODAY()-H166))</f>
        <v/>
      </c>
    </row>
    <row r="167">
      <c r="A167" s="30" t="inlineStr"/>
      <c r="B167" s="38" t="inlineStr"/>
      <c r="C167" s="30" t="inlineStr"/>
      <c r="D167" s="30" t="inlineStr"/>
      <c r="E167" s="30" t="inlineStr"/>
      <c r="F167" s="34" t="inlineStr"/>
      <c r="G167" s="32" t="inlineStr"/>
      <c r="H167" s="38" t="inlineStr"/>
      <c r="I167" s="38" t="inlineStr"/>
      <c r="J167" s="30" t="inlineStr"/>
      <c r="K167" s="30" t="inlineStr"/>
      <c r="L167" s="15">
        <f>IF(A167="","",F167*G167)</f>
        <v/>
      </c>
      <c r="M167" s="15">
        <f>IF(A167="","",F167+L167)</f>
        <v/>
      </c>
      <c r="N167" s="15">
        <f>IF(A167="","",SUMIFS('15_Zahlungen'!$F:$F,'15_Zahlungen'!$D:$D,A167,'15_Zahlungen'!$C:$C,"Ausgang"))</f>
        <v/>
      </c>
      <c r="O167" s="15">
        <f>IF(A167="","",MAX(0,M167-N167))</f>
        <v/>
      </c>
      <c r="P167" s="45">
        <f>IF(OR(A167="",J167="bezahlt",H167=""),"",MAX(0,TODAY()-H167))</f>
        <v/>
      </c>
    </row>
    <row r="168">
      <c r="A168" s="30" t="inlineStr"/>
      <c r="B168" s="38" t="inlineStr"/>
      <c r="C168" s="30" t="inlineStr"/>
      <c r="D168" s="30" t="inlineStr"/>
      <c r="E168" s="30" t="inlineStr"/>
      <c r="F168" s="34" t="inlineStr"/>
      <c r="G168" s="32" t="inlineStr"/>
      <c r="H168" s="38" t="inlineStr"/>
      <c r="I168" s="38" t="inlineStr"/>
      <c r="J168" s="30" t="inlineStr"/>
      <c r="K168" s="30" t="inlineStr"/>
      <c r="L168" s="15">
        <f>IF(A168="","",F168*G168)</f>
        <v/>
      </c>
      <c r="M168" s="15">
        <f>IF(A168="","",F168+L168)</f>
        <v/>
      </c>
      <c r="N168" s="15">
        <f>IF(A168="","",SUMIFS('15_Zahlungen'!$F:$F,'15_Zahlungen'!$D:$D,A168,'15_Zahlungen'!$C:$C,"Ausgang"))</f>
        <v/>
      </c>
      <c r="O168" s="15">
        <f>IF(A168="","",MAX(0,M168-N168))</f>
        <v/>
      </c>
      <c r="P168" s="45">
        <f>IF(OR(A168="",J168="bezahlt",H168=""),"",MAX(0,TODAY()-H168))</f>
        <v/>
      </c>
    </row>
    <row r="169">
      <c r="A169" s="30" t="inlineStr"/>
      <c r="B169" s="38" t="inlineStr"/>
      <c r="C169" s="30" t="inlineStr"/>
      <c r="D169" s="30" t="inlineStr"/>
      <c r="E169" s="30" t="inlineStr"/>
      <c r="F169" s="34" t="inlineStr"/>
      <c r="G169" s="32" t="inlineStr"/>
      <c r="H169" s="38" t="inlineStr"/>
      <c r="I169" s="38" t="inlineStr"/>
      <c r="J169" s="30" t="inlineStr"/>
      <c r="K169" s="30" t="inlineStr"/>
      <c r="L169" s="15">
        <f>IF(A169="","",F169*G169)</f>
        <v/>
      </c>
      <c r="M169" s="15">
        <f>IF(A169="","",F169+L169)</f>
        <v/>
      </c>
      <c r="N169" s="15">
        <f>IF(A169="","",SUMIFS('15_Zahlungen'!$F:$F,'15_Zahlungen'!$D:$D,A169,'15_Zahlungen'!$C:$C,"Ausgang"))</f>
        <v/>
      </c>
      <c r="O169" s="15">
        <f>IF(A169="","",MAX(0,M169-N169))</f>
        <v/>
      </c>
      <c r="P169" s="45">
        <f>IF(OR(A169="",J169="bezahlt",H169=""),"",MAX(0,TODAY()-H169))</f>
        <v/>
      </c>
    </row>
    <row r="170">
      <c r="A170" s="30" t="inlineStr"/>
      <c r="B170" s="38" t="inlineStr"/>
      <c r="C170" s="30" t="inlineStr"/>
      <c r="D170" s="30" t="inlineStr"/>
      <c r="E170" s="30" t="inlineStr"/>
      <c r="F170" s="34" t="inlineStr"/>
      <c r="G170" s="32" t="inlineStr"/>
      <c r="H170" s="38" t="inlineStr"/>
      <c r="I170" s="38" t="inlineStr"/>
      <c r="J170" s="30" t="inlineStr"/>
      <c r="K170" s="30" t="inlineStr"/>
      <c r="L170" s="15">
        <f>IF(A170="","",F170*G170)</f>
        <v/>
      </c>
      <c r="M170" s="15">
        <f>IF(A170="","",F170+L170)</f>
        <v/>
      </c>
      <c r="N170" s="15">
        <f>IF(A170="","",SUMIFS('15_Zahlungen'!$F:$F,'15_Zahlungen'!$D:$D,A170,'15_Zahlungen'!$C:$C,"Ausgang"))</f>
        <v/>
      </c>
      <c r="O170" s="15">
        <f>IF(A170="","",MAX(0,M170-N170))</f>
        <v/>
      </c>
      <c r="P170" s="45">
        <f>IF(OR(A170="",J170="bezahlt",H170=""),"",MAX(0,TODAY()-H170))</f>
        <v/>
      </c>
    </row>
    <row r="171">
      <c r="A171" s="30" t="inlineStr"/>
      <c r="B171" s="38" t="inlineStr"/>
      <c r="C171" s="30" t="inlineStr"/>
      <c r="D171" s="30" t="inlineStr"/>
      <c r="E171" s="30" t="inlineStr"/>
      <c r="F171" s="34" t="inlineStr"/>
      <c r="G171" s="32" t="inlineStr"/>
      <c r="H171" s="38" t="inlineStr"/>
      <c r="I171" s="38" t="inlineStr"/>
      <c r="J171" s="30" t="inlineStr"/>
      <c r="K171" s="30" t="inlineStr"/>
      <c r="L171" s="15">
        <f>IF(A171="","",F171*G171)</f>
        <v/>
      </c>
      <c r="M171" s="15">
        <f>IF(A171="","",F171+L171)</f>
        <v/>
      </c>
      <c r="N171" s="15">
        <f>IF(A171="","",SUMIFS('15_Zahlungen'!$F:$F,'15_Zahlungen'!$D:$D,A171,'15_Zahlungen'!$C:$C,"Ausgang"))</f>
        <v/>
      </c>
      <c r="O171" s="15">
        <f>IF(A171="","",MAX(0,M171-N171))</f>
        <v/>
      </c>
      <c r="P171" s="45">
        <f>IF(OR(A171="",J171="bezahlt",H171=""),"",MAX(0,TODAY()-H171))</f>
        <v/>
      </c>
    </row>
    <row r="172">
      <c r="A172" s="30" t="inlineStr"/>
      <c r="B172" s="38" t="inlineStr"/>
      <c r="C172" s="30" t="inlineStr"/>
      <c r="D172" s="30" t="inlineStr"/>
      <c r="E172" s="30" t="inlineStr"/>
      <c r="F172" s="34" t="inlineStr"/>
      <c r="G172" s="32" t="inlineStr"/>
      <c r="H172" s="38" t="inlineStr"/>
      <c r="I172" s="38" t="inlineStr"/>
      <c r="J172" s="30" t="inlineStr"/>
      <c r="K172" s="30" t="inlineStr"/>
      <c r="L172" s="15">
        <f>IF(A172="","",F172*G172)</f>
        <v/>
      </c>
      <c r="M172" s="15">
        <f>IF(A172="","",F172+L172)</f>
        <v/>
      </c>
      <c r="N172" s="15">
        <f>IF(A172="","",SUMIFS('15_Zahlungen'!$F:$F,'15_Zahlungen'!$D:$D,A172,'15_Zahlungen'!$C:$C,"Ausgang"))</f>
        <v/>
      </c>
      <c r="O172" s="15">
        <f>IF(A172="","",MAX(0,M172-N172))</f>
        <v/>
      </c>
      <c r="P172" s="45">
        <f>IF(OR(A172="",J172="bezahlt",H172=""),"",MAX(0,TODAY()-H172))</f>
        <v/>
      </c>
    </row>
    <row r="173">
      <c r="A173" s="30" t="inlineStr"/>
      <c r="B173" s="38" t="inlineStr"/>
      <c r="C173" s="30" t="inlineStr"/>
      <c r="D173" s="30" t="inlineStr"/>
      <c r="E173" s="30" t="inlineStr"/>
      <c r="F173" s="34" t="inlineStr"/>
      <c r="G173" s="32" t="inlineStr"/>
      <c r="H173" s="38" t="inlineStr"/>
      <c r="I173" s="38" t="inlineStr"/>
      <c r="J173" s="30" t="inlineStr"/>
      <c r="K173" s="30" t="inlineStr"/>
      <c r="L173" s="15">
        <f>IF(A173="","",F173*G173)</f>
        <v/>
      </c>
      <c r="M173" s="15">
        <f>IF(A173="","",F173+L173)</f>
        <v/>
      </c>
      <c r="N173" s="15">
        <f>IF(A173="","",SUMIFS('15_Zahlungen'!$F:$F,'15_Zahlungen'!$D:$D,A173,'15_Zahlungen'!$C:$C,"Ausgang"))</f>
        <v/>
      </c>
      <c r="O173" s="15">
        <f>IF(A173="","",MAX(0,M173-N173))</f>
        <v/>
      </c>
      <c r="P173" s="45">
        <f>IF(OR(A173="",J173="bezahlt",H173=""),"",MAX(0,TODAY()-H173))</f>
        <v/>
      </c>
    </row>
    <row r="174">
      <c r="A174" s="30" t="inlineStr"/>
      <c r="B174" s="38" t="inlineStr"/>
      <c r="C174" s="30" t="inlineStr"/>
      <c r="D174" s="30" t="inlineStr"/>
      <c r="E174" s="30" t="inlineStr"/>
      <c r="F174" s="34" t="inlineStr"/>
      <c r="G174" s="32" t="inlineStr"/>
      <c r="H174" s="38" t="inlineStr"/>
      <c r="I174" s="38" t="inlineStr"/>
      <c r="J174" s="30" t="inlineStr"/>
      <c r="K174" s="30" t="inlineStr"/>
      <c r="L174" s="15">
        <f>IF(A174="","",F174*G174)</f>
        <v/>
      </c>
      <c r="M174" s="15">
        <f>IF(A174="","",F174+L174)</f>
        <v/>
      </c>
      <c r="N174" s="15">
        <f>IF(A174="","",SUMIFS('15_Zahlungen'!$F:$F,'15_Zahlungen'!$D:$D,A174,'15_Zahlungen'!$C:$C,"Ausgang"))</f>
        <v/>
      </c>
      <c r="O174" s="15">
        <f>IF(A174="","",MAX(0,M174-N174))</f>
        <v/>
      </c>
      <c r="P174" s="45">
        <f>IF(OR(A174="",J174="bezahlt",H174=""),"",MAX(0,TODAY()-H174))</f>
        <v/>
      </c>
    </row>
    <row r="175">
      <c r="A175" s="30" t="inlineStr"/>
      <c r="B175" s="38" t="inlineStr"/>
      <c r="C175" s="30" t="inlineStr"/>
      <c r="D175" s="30" t="inlineStr"/>
      <c r="E175" s="30" t="inlineStr"/>
      <c r="F175" s="34" t="inlineStr"/>
      <c r="G175" s="32" t="inlineStr"/>
      <c r="H175" s="38" t="inlineStr"/>
      <c r="I175" s="38" t="inlineStr"/>
      <c r="J175" s="30" t="inlineStr"/>
      <c r="K175" s="30" t="inlineStr"/>
      <c r="L175" s="15">
        <f>IF(A175="","",F175*G175)</f>
        <v/>
      </c>
      <c r="M175" s="15">
        <f>IF(A175="","",F175+L175)</f>
        <v/>
      </c>
      <c r="N175" s="15">
        <f>IF(A175="","",SUMIFS('15_Zahlungen'!$F:$F,'15_Zahlungen'!$D:$D,A175,'15_Zahlungen'!$C:$C,"Ausgang"))</f>
        <v/>
      </c>
      <c r="O175" s="15">
        <f>IF(A175="","",MAX(0,M175-N175))</f>
        <v/>
      </c>
      <c r="P175" s="45">
        <f>IF(OR(A175="",J175="bezahlt",H175=""),"",MAX(0,TODAY()-H175))</f>
        <v/>
      </c>
    </row>
    <row r="176">
      <c r="A176" s="30" t="inlineStr"/>
      <c r="B176" s="38" t="inlineStr"/>
      <c r="C176" s="30" t="inlineStr"/>
      <c r="D176" s="30" t="inlineStr"/>
      <c r="E176" s="30" t="inlineStr"/>
      <c r="F176" s="34" t="inlineStr"/>
      <c r="G176" s="32" t="inlineStr"/>
      <c r="H176" s="38" t="inlineStr"/>
      <c r="I176" s="38" t="inlineStr"/>
      <c r="J176" s="30" t="inlineStr"/>
      <c r="K176" s="30" t="inlineStr"/>
      <c r="L176" s="15">
        <f>IF(A176="","",F176*G176)</f>
        <v/>
      </c>
      <c r="M176" s="15">
        <f>IF(A176="","",F176+L176)</f>
        <v/>
      </c>
      <c r="N176" s="15">
        <f>IF(A176="","",SUMIFS('15_Zahlungen'!$F:$F,'15_Zahlungen'!$D:$D,A176,'15_Zahlungen'!$C:$C,"Ausgang"))</f>
        <v/>
      </c>
      <c r="O176" s="15">
        <f>IF(A176="","",MAX(0,M176-N176))</f>
        <v/>
      </c>
      <c r="P176" s="45">
        <f>IF(OR(A176="",J176="bezahlt",H176=""),"",MAX(0,TODAY()-H176))</f>
        <v/>
      </c>
    </row>
    <row r="177">
      <c r="A177" s="30" t="inlineStr"/>
      <c r="B177" s="38" t="inlineStr"/>
      <c r="C177" s="30" t="inlineStr"/>
      <c r="D177" s="30" t="inlineStr"/>
      <c r="E177" s="30" t="inlineStr"/>
      <c r="F177" s="34" t="inlineStr"/>
      <c r="G177" s="32" t="inlineStr"/>
      <c r="H177" s="38" t="inlineStr"/>
      <c r="I177" s="38" t="inlineStr"/>
      <c r="J177" s="30" t="inlineStr"/>
      <c r="K177" s="30" t="inlineStr"/>
      <c r="L177" s="15">
        <f>IF(A177="","",F177*G177)</f>
        <v/>
      </c>
      <c r="M177" s="15">
        <f>IF(A177="","",F177+L177)</f>
        <v/>
      </c>
      <c r="N177" s="15">
        <f>IF(A177="","",SUMIFS('15_Zahlungen'!$F:$F,'15_Zahlungen'!$D:$D,A177,'15_Zahlungen'!$C:$C,"Ausgang"))</f>
        <v/>
      </c>
      <c r="O177" s="15">
        <f>IF(A177="","",MAX(0,M177-N177))</f>
        <v/>
      </c>
      <c r="P177" s="45">
        <f>IF(OR(A177="",J177="bezahlt",H177=""),"",MAX(0,TODAY()-H177))</f>
        <v/>
      </c>
    </row>
    <row r="178">
      <c r="A178" s="30" t="inlineStr"/>
      <c r="B178" s="38" t="inlineStr"/>
      <c r="C178" s="30" t="inlineStr"/>
      <c r="D178" s="30" t="inlineStr"/>
      <c r="E178" s="30" t="inlineStr"/>
      <c r="F178" s="34" t="inlineStr"/>
      <c r="G178" s="32" t="inlineStr"/>
      <c r="H178" s="38" t="inlineStr"/>
      <c r="I178" s="38" t="inlineStr"/>
      <c r="J178" s="30" t="inlineStr"/>
      <c r="K178" s="30" t="inlineStr"/>
      <c r="L178" s="15">
        <f>IF(A178="","",F178*G178)</f>
        <v/>
      </c>
      <c r="M178" s="15">
        <f>IF(A178="","",F178+L178)</f>
        <v/>
      </c>
      <c r="N178" s="15">
        <f>IF(A178="","",SUMIFS('15_Zahlungen'!$F:$F,'15_Zahlungen'!$D:$D,A178,'15_Zahlungen'!$C:$C,"Ausgang"))</f>
        <v/>
      </c>
      <c r="O178" s="15">
        <f>IF(A178="","",MAX(0,M178-N178))</f>
        <v/>
      </c>
      <c r="P178" s="45">
        <f>IF(OR(A178="",J178="bezahlt",H178=""),"",MAX(0,TODAY()-H178))</f>
        <v/>
      </c>
    </row>
    <row r="179">
      <c r="A179" s="30" t="inlineStr"/>
      <c r="B179" s="38" t="inlineStr"/>
      <c r="C179" s="30" t="inlineStr"/>
      <c r="D179" s="30" t="inlineStr"/>
      <c r="E179" s="30" t="inlineStr"/>
      <c r="F179" s="34" t="inlineStr"/>
      <c r="G179" s="32" t="inlineStr"/>
      <c r="H179" s="38" t="inlineStr"/>
      <c r="I179" s="38" t="inlineStr"/>
      <c r="J179" s="30" t="inlineStr"/>
      <c r="K179" s="30" t="inlineStr"/>
      <c r="L179" s="15">
        <f>IF(A179="","",F179*G179)</f>
        <v/>
      </c>
      <c r="M179" s="15">
        <f>IF(A179="","",F179+L179)</f>
        <v/>
      </c>
      <c r="N179" s="15">
        <f>IF(A179="","",SUMIFS('15_Zahlungen'!$F:$F,'15_Zahlungen'!$D:$D,A179,'15_Zahlungen'!$C:$C,"Ausgang"))</f>
        <v/>
      </c>
      <c r="O179" s="15">
        <f>IF(A179="","",MAX(0,M179-N179))</f>
        <v/>
      </c>
      <c r="P179" s="45">
        <f>IF(OR(A179="",J179="bezahlt",H179=""),"",MAX(0,TODAY()-H179))</f>
        <v/>
      </c>
    </row>
    <row r="180">
      <c r="A180" s="30" t="inlineStr"/>
      <c r="B180" s="38" t="inlineStr"/>
      <c r="C180" s="30" t="inlineStr"/>
      <c r="D180" s="30" t="inlineStr"/>
      <c r="E180" s="30" t="inlineStr"/>
      <c r="F180" s="34" t="inlineStr"/>
      <c r="G180" s="32" t="inlineStr"/>
      <c r="H180" s="38" t="inlineStr"/>
      <c r="I180" s="38" t="inlineStr"/>
      <c r="J180" s="30" t="inlineStr"/>
      <c r="K180" s="30" t="inlineStr"/>
      <c r="L180" s="15">
        <f>IF(A180="","",F180*G180)</f>
        <v/>
      </c>
      <c r="M180" s="15">
        <f>IF(A180="","",F180+L180)</f>
        <v/>
      </c>
      <c r="N180" s="15">
        <f>IF(A180="","",SUMIFS('15_Zahlungen'!$F:$F,'15_Zahlungen'!$D:$D,A180,'15_Zahlungen'!$C:$C,"Ausgang"))</f>
        <v/>
      </c>
      <c r="O180" s="15">
        <f>IF(A180="","",MAX(0,M180-N180))</f>
        <v/>
      </c>
      <c r="P180" s="45">
        <f>IF(OR(A180="",J180="bezahlt",H180=""),"",MAX(0,TODAY()-H180))</f>
        <v/>
      </c>
    </row>
    <row r="181">
      <c r="A181" s="30" t="inlineStr"/>
      <c r="B181" s="38" t="inlineStr"/>
      <c r="C181" s="30" t="inlineStr"/>
      <c r="D181" s="30" t="inlineStr"/>
      <c r="E181" s="30" t="inlineStr"/>
      <c r="F181" s="34" t="inlineStr"/>
      <c r="G181" s="32" t="inlineStr"/>
      <c r="H181" s="38" t="inlineStr"/>
      <c r="I181" s="38" t="inlineStr"/>
      <c r="J181" s="30" t="inlineStr"/>
      <c r="K181" s="30" t="inlineStr"/>
      <c r="L181" s="15">
        <f>IF(A181="","",F181*G181)</f>
        <v/>
      </c>
      <c r="M181" s="15">
        <f>IF(A181="","",F181+L181)</f>
        <v/>
      </c>
      <c r="N181" s="15">
        <f>IF(A181="","",SUMIFS('15_Zahlungen'!$F:$F,'15_Zahlungen'!$D:$D,A181,'15_Zahlungen'!$C:$C,"Ausgang"))</f>
        <v/>
      </c>
      <c r="O181" s="15">
        <f>IF(A181="","",MAX(0,M181-N181))</f>
        <v/>
      </c>
      <c r="P181" s="45">
        <f>IF(OR(A181="",J181="bezahlt",H181=""),"",MAX(0,TODAY()-H181))</f>
        <v/>
      </c>
    </row>
    <row r="182">
      <c r="A182" s="30" t="inlineStr"/>
      <c r="B182" s="38" t="inlineStr"/>
      <c r="C182" s="30" t="inlineStr"/>
      <c r="D182" s="30" t="inlineStr"/>
      <c r="E182" s="30" t="inlineStr"/>
      <c r="F182" s="34" t="inlineStr"/>
      <c r="G182" s="32" t="inlineStr"/>
      <c r="H182" s="38" t="inlineStr"/>
      <c r="I182" s="38" t="inlineStr"/>
      <c r="J182" s="30" t="inlineStr"/>
      <c r="K182" s="30" t="inlineStr"/>
      <c r="L182" s="15">
        <f>IF(A182="","",F182*G182)</f>
        <v/>
      </c>
      <c r="M182" s="15">
        <f>IF(A182="","",F182+L182)</f>
        <v/>
      </c>
      <c r="N182" s="15">
        <f>IF(A182="","",SUMIFS('15_Zahlungen'!$F:$F,'15_Zahlungen'!$D:$D,A182,'15_Zahlungen'!$C:$C,"Ausgang"))</f>
        <v/>
      </c>
      <c r="O182" s="15">
        <f>IF(A182="","",MAX(0,M182-N182))</f>
        <v/>
      </c>
      <c r="P182" s="45">
        <f>IF(OR(A182="",J182="bezahlt",H182=""),"",MAX(0,TODAY()-H182))</f>
        <v/>
      </c>
    </row>
    <row r="183">
      <c r="A183" s="30" t="inlineStr"/>
      <c r="B183" s="38" t="inlineStr"/>
      <c r="C183" s="30" t="inlineStr"/>
      <c r="D183" s="30" t="inlineStr"/>
      <c r="E183" s="30" t="inlineStr"/>
      <c r="F183" s="34" t="inlineStr"/>
      <c r="G183" s="32" t="inlineStr"/>
      <c r="H183" s="38" t="inlineStr"/>
      <c r="I183" s="38" t="inlineStr"/>
      <c r="J183" s="30" t="inlineStr"/>
      <c r="K183" s="30" t="inlineStr"/>
      <c r="L183" s="15">
        <f>IF(A183="","",F183*G183)</f>
        <v/>
      </c>
      <c r="M183" s="15">
        <f>IF(A183="","",F183+L183)</f>
        <v/>
      </c>
      <c r="N183" s="15">
        <f>IF(A183="","",SUMIFS('15_Zahlungen'!$F:$F,'15_Zahlungen'!$D:$D,A183,'15_Zahlungen'!$C:$C,"Ausgang"))</f>
        <v/>
      </c>
      <c r="O183" s="15">
        <f>IF(A183="","",MAX(0,M183-N183))</f>
        <v/>
      </c>
      <c r="P183" s="45">
        <f>IF(OR(A183="",J183="bezahlt",H183=""),"",MAX(0,TODAY()-H183))</f>
        <v/>
      </c>
    </row>
    <row r="184">
      <c r="A184" s="30" t="inlineStr"/>
      <c r="B184" s="38" t="inlineStr"/>
      <c r="C184" s="30" t="inlineStr"/>
      <c r="D184" s="30" t="inlineStr"/>
      <c r="E184" s="30" t="inlineStr"/>
      <c r="F184" s="34" t="inlineStr"/>
      <c r="G184" s="32" t="inlineStr"/>
      <c r="H184" s="38" t="inlineStr"/>
      <c r="I184" s="38" t="inlineStr"/>
      <c r="J184" s="30" t="inlineStr"/>
      <c r="K184" s="30" t="inlineStr"/>
      <c r="L184" s="15">
        <f>IF(A184="","",F184*G184)</f>
        <v/>
      </c>
      <c r="M184" s="15">
        <f>IF(A184="","",F184+L184)</f>
        <v/>
      </c>
      <c r="N184" s="15">
        <f>IF(A184="","",SUMIFS('15_Zahlungen'!$F:$F,'15_Zahlungen'!$D:$D,A184,'15_Zahlungen'!$C:$C,"Ausgang"))</f>
        <v/>
      </c>
      <c r="O184" s="15">
        <f>IF(A184="","",MAX(0,M184-N184))</f>
        <v/>
      </c>
      <c r="P184" s="45">
        <f>IF(OR(A184="",J184="bezahlt",H184=""),"",MAX(0,TODAY()-H184))</f>
        <v/>
      </c>
    </row>
    <row r="185">
      <c r="A185" s="30" t="inlineStr"/>
      <c r="B185" s="38" t="inlineStr"/>
      <c r="C185" s="30" t="inlineStr"/>
      <c r="D185" s="30" t="inlineStr"/>
      <c r="E185" s="30" t="inlineStr"/>
      <c r="F185" s="34" t="inlineStr"/>
      <c r="G185" s="32" t="inlineStr"/>
      <c r="H185" s="38" t="inlineStr"/>
      <c r="I185" s="38" t="inlineStr"/>
      <c r="J185" s="30" t="inlineStr"/>
      <c r="K185" s="30" t="inlineStr"/>
      <c r="L185" s="15">
        <f>IF(A185="","",F185*G185)</f>
        <v/>
      </c>
      <c r="M185" s="15">
        <f>IF(A185="","",F185+L185)</f>
        <v/>
      </c>
      <c r="N185" s="15">
        <f>IF(A185="","",SUMIFS('15_Zahlungen'!$F:$F,'15_Zahlungen'!$D:$D,A185,'15_Zahlungen'!$C:$C,"Ausgang"))</f>
        <v/>
      </c>
      <c r="O185" s="15">
        <f>IF(A185="","",MAX(0,M185-N185))</f>
        <v/>
      </c>
      <c r="P185" s="45">
        <f>IF(OR(A185="",J185="bezahlt",H185=""),"",MAX(0,TODAY()-H185))</f>
        <v/>
      </c>
    </row>
    <row r="186">
      <c r="A186" s="30" t="inlineStr"/>
      <c r="B186" s="38" t="inlineStr"/>
      <c r="C186" s="30" t="inlineStr"/>
      <c r="D186" s="30" t="inlineStr"/>
      <c r="E186" s="30" t="inlineStr"/>
      <c r="F186" s="34" t="inlineStr"/>
      <c r="G186" s="32" t="inlineStr"/>
      <c r="H186" s="38" t="inlineStr"/>
      <c r="I186" s="38" t="inlineStr"/>
      <c r="J186" s="30" t="inlineStr"/>
      <c r="K186" s="30" t="inlineStr"/>
      <c r="L186" s="15">
        <f>IF(A186="","",F186*G186)</f>
        <v/>
      </c>
      <c r="M186" s="15">
        <f>IF(A186="","",F186+L186)</f>
        <v/>
      </c>
      <c r="N186" s="15">
        <f>IF(A186="","",SUMIFS('15_Zahlungen'!$F:$F,'15_Zahlungen'!$D:$D,A186,'15_Zahlungen'!$C:$C,"Ausgang"))</f>
        <v/>
      </c>
      <c r="O186" s="15">
        <f>IF(A186="","",MAX(0,M186-N186))</f>
        <v/>
      </c>
      <c r="P186" s="45">
        <f>IF(OR(A186="",J186="bezahlt",H186=""),"",MAX(0,TODAY()-H186))</f>
        <v/>
      </c>
    </row>
    <row r="187">
      <c r="A187" s="30" t="inlineStr"/>
      <c r="B187" s="38" t="inlineStr"/>
      <c r="C187" s="30" t="inlineStr"/>
      <c r="D187" s="30" t="inlineStr"/>
      <c r="E187" s="30" t="inlineStr"/>
      <c r="F187" s="34" t="inlineStr"/>
      <c r="G187" s="32" t="inlineStr"/>
      <c r="H187" s="38" t="inlineStr"/>
      <c r="I187" s="38" t="inlineStr"/>
      <c r="J187" s="30" t="inlineStr"/>
      <c r="K187" s="30" t="inlineStr"/>
      <c r="L187" s="15">
        <f>IF(A187="","",F187*G187)</f>
        <v/>
      </c>
      <c r="M187" s="15">
        <f>IF(A187="","",F187+L187)</f>
        <v/>
      </c>
      <c r="N187" s="15">
        <f>IF(A187="","",SUMIFS('15_Zahlungen'!$F:$F,'15_Zahlungen'!$D:$D,A187,'15_Zahlungen'!$C:$C,"Ausgang"))</f>
        <v/>
      </c>
      <c r="O187" s="15">
        <f>IF(A187="","",MAX(0,M187-N187))</f>
        <v/>
      </c>
      <c r="P187" s="45">
        <f>IF(OR(A187="",J187="bezahlt",H187=""),"",MAX(0,TODAY()-H187))</f>
        <v/>
      </c>
    </row>
    <row r="188">
      <c r="A188" s="30" t="inlineStr"/>
      <c r="B188" s="38" t="inlineStr"/>
      <c r="C188" s="30" t="inlineStr"/>
      <c r="D188" s="30" t="inlineStr"/>
      <c r="E188" s="30" t="inlineStr"/>
      <c r="F188" s="34" t="inlineStr"/>
      <c r="G188" s="32" t="inlineStr"/>
      <c r="H188" s="38" t="inlineStr"/>
      <c r="I188" s="38" t="inlineStr"/>
      <c r="J188" s="30" t="inlineStr"/>
      <c r="K188" s="30" t="inlineStr"/>
      <c r="L188" s="15">
        <f>IF(A188="","",F188*G188)</f>
        <v/>
      </c>
      <c r="M188" s="15">
        <f>IF(A188="","",F188+L188)</f>
        <v/>
      </c>
      <c r="N188" s="15">
        <f>IF(A188="","",SUMIFS('15_Zahlungen'!$F:$F,'15_Zahlungen'!$D:$D,A188,'15_Zahlungen'!$C:$C,"Ausgang"))</f>
        <v/>
      </c>
      <c r="O188" s="15">
        <f>IF(A188="","",MAX(0,M188-N188))</f>
        <v/>
      </c>
      <c r="P188" s="45">
        <f>IF(OR(A188="",J188="bezahlt",H188=""),"",MAX(0,TODAY()-H188))</f>
        <v/>
      </c>
    </row>
    <row r="189">
      <c r="A189" s="30" t="inlineStr"/>
      <c r="B189" s="38" t="inlineStr"/>
      <c r="C189" s="30" t="inlineStr"/>
      <c r="D189" s="30" t="inlineStr"/>
      <c r="E189" s="30" t="inlineStr"/>
      <c r="F189" s="34" t="inlineStr"/>
      <c r="G189" s="32" t="inlineStr"/>
      <c r="H189" s="38" t="inlineStr"/>
      <c r="I189" s="38" t="inlineStr"/>
      <c r="J189" s="30" t="inlineStr"/>
      <c r="K189" s="30" t="inlineStr"/>
      <c r="L189" s="15">
        <f>IF(A189="","",F189*G189)</f>
        <v/>
      </c>
      <c r="M189" s="15">
        <f>IF(A189="","",F189+L189)</f>
        <v/>
      </c>
      <c r="N189" s="15">
        <f>IF(A189="","",SUMIFS('15_Zahlungen'!$F:$F,'15_Zahlungen'!$D:$D,A189,'15_Zahlungen'!$C:$C,"Ausgang"))</f>
        <v/>
      </c>
      <c r="O189" s="15">
        <f>IF(A189="","",MAX(0,M189-N189))</f>
        <v/>
      </c>
      <c r="P189" s="45">
        <f>IF(OR(A189="",J189="bezahlt",H189=""),"",MAX(0,TODAY()-H189))</f>
        <v/>
      </c>
    </row>
    <row r="190">
      <c r="A190" s="30" t="inlineStr"/>
      <c r="B190" s="38" t="inlineStr"/>
      <c r="C190" s="30" t="inlineStr"/>
      <c r="D190" s="30" t="inlineStr"/>
      <c r="E190" s="30" t="inlineStr"/>
      <c r="F190" s="34" t="inlineStr"/>
      <c r="G190" s="32" t="inlineStr"/>
      <c r="H190" s="38" t="inlineStr"/>
      <c r="I190" s="38" t="inlineStr"/>
      <c r="J190" s="30" t="inlineStr"/>
      <c r="K190" s="30" t="inlineStr"/>
      <c r="L190" s="15">
        <f>IF(A190="","",F190*G190)</f>
        <v/>
      </c>
      <c r="M190" s="15">
        <f>IF(A190="","",F190+L190)</f>
        <v/>
      </c>
      <c r="N190" s="15">
        <f>IF(A190="","",SUMIFS('15_Zahlungen'!$F:$F,'15_Zahlungen'!$D:$D,A190,'15_Zahlungen'!$C:$C,"Ausgang"))</f>
        <v/>
      </c>
      <c r="O190" s="15">
        <f>IF(A190="","",MAX(0,M190-N190))</f>
        <v/>
      </c>
      <c r="P190" s="45">
        <f>IF(OR(A190="",J190="bezahlt",H190=""),"",MAX(0,TODAY()-H190))</f>
        <v/>
      </c>
    </row>
    <row r="191">
      <c r="A191" s="30" t="inlineStr"/>
      <c r="B191" s="38" t="inlineStr"/>
      <c r="C191" s="30" t="inlineStr"/>
      <c r="D191" s="30" t="inlineStr"/>
      <c r="E191" s="30" t="inlineStr"/>
      <c r="F191" s="34" t="inlineStr"/>
      <c r="G191" s="32" t="inlineStr"/>
      <c r="H191" s="38" t="inlineStr"/>
      <c r="I191" s="38" t="inlineStr"/>
      <c r="J191" s="30" t="inlineStr"/>
      <c r="K191" s="30" t="inlineStr"/>
      <c r="L191" s="15">
        <f>IF(A191="","",F191*G191)</f>
        <v/>
      </c>
      <c r="M191" s="15">
        <f>IF(A191="","",F191+L191)</f>
        <v/>
      </c>
      <c r="N191" s="15">
        <f>IF(A191="","",SUMIFS('15_Zahlungen'!$F:$F,'15_Zahlungen'!$D:$D,A191,'15_Zahlungen'!$C:$C,"Ausgang"))</f>
        <v/>
      </c>
      <c r="O191" s="15">
        <f>IF(A191="","",MAX(0,M191-N191))</f>
        <v/>
      </c>
      <c r="P191" s="45">
        <f>IF(OR(A191="",J191="bezahlt",H191=""),"",MAX(0,TODAY()-H191))</f>
        <v/>
      </c>
    </row>
    <row r="192">
      <c r="A192" s="30" t="inlineStr"/>
      <c r="B192" s="38" t="inlineStr"/>
      <c r="C192" s="30" t="inlineStr"/>
      <c r="D192" s="30" t="inlineStr"/>
      <c r="E192" s="30" t="inlineStr"/>
      <c r="F192" s="34" t="inlineStr"/>
      <c r="G192" s="32" t="inlineStr"/>
      <c r="H192" s="38" t="inlineStr"/>
      <c r="I192" s="38" t="inlineStr"/>
      <c r="J192" s="30" t="inlineStr"/>
      <c r="K192" s="30" t="inlineStr"/>
      <c r="L192" s="15">
        <f>IF(A192="","",F192*G192)</f>
        <v/>
      </c>
      <c r="M192" s="15">
        <f>IF(A192="","",F192+L192)</f>
        <v/>
      </c>
      <c r="N192" s="15">
        <f>IF(A192="","",SUMIFS('15_Zahlungen'!$F:$F,'15_Zahlungen'!$D:$D,A192,'15_Zahlungen'!$C:$C,"Ausgang"))</f>
        <v/>
      </c>
      <c r="O192" s="15">
        <f>IF(A192="","",MAX(0,M192-N192))</f>
        <v/>
      </c>
      <c r="P192" s="45">
        <f>IF(OR(A192="",J192="bezahlt",H192=""),"",MAX(0,TODAY()-H192))</f>
        <v/>
      </c>
    </row>
    <row r="193">
      <c r="A193" s="30" t="inlineStr"/>
      <c r="B193" s="38" t="inlineStr"/>
      <c r="C193" s="30" t="inlineStr"/>
      <c r="D193" s="30" t="inlineStr"/>
      <c r="E193" s="30" t="inlineStr"/>
      <c r="F193" s="34" t="inlineStr"/>
      <c r="G193" s="32" t="inlineStr"/>
      <c r="H193" s="38" t="inlineStr"/>
      <c r="I193" s="38" t="inlineStr"/>
      <c r="J193" s="30" t="inlineStr"/>
      <c r="K193" s="30" t="inlineStr"/>
      <c r="L193" s="15">
        <f>IF(A193="","",F193*G193)</f>
        <v/>
      </c>
      <c r="M193" s="15">
        <f>IF(A193="","",F193+L193)</f>
        <v/>
      </c>
      <c r="N193" s="15">
        <f>IF(A193="","",SUMIFS('15_Zahlungen'!$F:$F,'15_Zahlungen'!$D:$D,A193,'15_Zahlungen'!$C:$C,"Ausgang"))</f>
        <v/>
      </c>
      <c r="O193" s="15">
        <f>IF(A193="","",MAX(0,M193-N193))</f>
        <v/>
      </c>
      <c r="P193" s="45">
        <f>IF(OR(A193="",J193="bezahlt",H193=""),"",MAX(0,TODAY()-H193))</f>
        <v/>
      </c>
    </row>
    <row r="194">
      <c r="A194" s="30" t="inlineStr"/>
      <c r="B194" s="38" t="inlineStr"/>
      <c r="C194" s="30" t="inlineStr"/>
      <c r="D194" s="30" t="inlineStr"/>
      <c r="E194" s="30" t="inlineStr"/>
      <c r="F194" s="34" t="inlineStr"/>
      <c r="G194" s="32" t="inlineStr"/>
      <c r="H194" s="38" t="inlineStr"/>
      <c r="I194" s="38" t="inlineStr"/>
      <c r="J194" s="30" t="inlineStr"/>
      <c r="K194" s="30" t="inlineStr"/>
      <c r="L194" s="15">
        <f>IF(A194="","",F194*G194)</f>
        <v/>
      </c>
      <c r="M194" s="15">
        <f>IF(A194="","",F194+L194)</f>
        <v/>
      </c>
      <c r="N194" s="15">
        <f>IF(A194="","",SUMIFS('15_Zahlungen'!$F:$F,'15_Zahlungen'!$D:$D,A194,'15_Zahlungen'!$C:$C,"Ausgang"))</f>
        <v/>
      </c>
      <c r="O194" s="15">
        <f>IF(A194="","",MAX(0,M194-N194))</f>
        <v/>
      </c>
      <c r="P194" s="45">
        <f>IF(OR(A194="",J194="bezahlt",H194=""),"",MAX(0,TODAY()-H194))</f>
        <v/>
      </c>
    </row>
    <row r="195">
      <c r="A195" s="30" t="inlineStr"/>
      <c r="B195" s="38" t="inlineStr"/>
      <c r="C195" s="30" t="inlineStr"/>
      <c r="D195" s="30" t="inlineStr"/>
      <c r="E195" s="30" t="inlineStr"/>
      <c r="F195" s="34" t="inlineStr"/>
      <c r="G195" s="32" t="inlineStr"/>
      <c r="H195" s="38" t="inlineStr"/>
      <c r="I195" s="38" t="inlineStr"/>
      <c r="J195" s="30" t="inlineStr"/>
      <c r="K195" s="30" t="inlineStr"/>
      <c r="L195" s="15">
        <f>IF(A195="","",F195*G195)</f>
        <v/>
      </c>
      <c r="M195" s="15">
        <f>IF(A195="","",F195+L195)</f>
        <v/>
      </c>
      <c r="N195" s="15">
        <f>IF(A195="","",SUMIFS('15_Zahlungen'!$F:$F,'15_Zahlungen'!$D:$D,A195,'15_Zahlungen'!$C:$C,"Ausgang"))</f>
        <v/>
      </c>
      <c r="O195" s="15">
        <f>IF(A195="","",MAX(0,M195-N195))</f>
        <v/>
      </c>
      <c r="P195" s="45">
        <f>IF(OR(A195="",J195="bezahlt",H195=""),"",MAX(0,TODAY()-H195))</f>
        <v/>
      </c>
    </row>
    <row r="196">
      <c r="A196" s="30" t="inlineStr"/>
      <c r="B196" s="38" t="inlineStr"/>
      <c r="C196" s="30" t="inlineStr"/>
      <c r="D196" s="30" t="inlineStr"/>
      <c r="E196" s="30" t="inlineStr"/>
      <c r="F196" s="34" t="inlineStr"/>
      <c r="G196" s="32" t="inlineStr"/>
      <c r="H196" s="38" t="inlineStr"/>
      <c r="I196" s="38" t="inlineStr"/>
      <c r="J196" s="30" t="inlineStr"/>
      <c r="K196" s="30" t="inlineStr"/>
      <c r="L196" s="15">
        <f>IF(A196="","",F196*G196)</f>
        <v/>
      </c>
      <c r="M196" s="15">
        <f>IF(A196="","",F196+L196)</f>
        <v/>
      </c>
      <c r="N196" s="15">
        <f>IF(A196="","",SUMIFS('15_Zahlungen'!$F:$F,'15_Zahlungen'!$D:$D,A196,'15_Zahlungen'!$C:$C,"Ausgang"))</f>
        <v/>
      </c>
      <c r="O196" s="15">
        <f>IF(A196="","",MAX(0,M196-N196))</f>
        <v/>
      </c>
      <c r="P196" s="45">
        <f>IF(OR(A196="",J196="bezahlt",H196=""),"",MAX(0,TODAY()-H196))</f>
        <v/>
      </c>
    </row>
    <row r="197">
      <c r="A197" s="30" t="inlineStr"/>
      <c r="B197" s="38" t="inlineStr"/>
      <c r="C197" s="30" t="inlineStr"/>
      <c r="D197" s="30" t="inlineStr"/>
      <c r="E197" s="30" t="inlineStr"/>
      <c r="F197" s="34" t="inlineStr"/>
      <c r="G197" s="32" t="inlineStr"/>
      <c r="H197" s="38" t="inlineStr"/>
      <c r="I197" s="38" t="inlineStr"/>
      <c r="J197" s="30" t="inlineStr"/>
      <c r="K197" s="30" t="inlineStr"/>
      <c r="L197" s="15">
        <f>IF(A197="","",F197*G197)</f>
        <v/>
      </c>
      <c r="M197" s="15">
        <f>IF(A197="","",F197+L197)</f>
        <v/>
      </c>
      <c r="N197" s="15">
        <f>IF(A197="","",SUMIFS('15_Zahlungen'!$F:$F,'15_Zahlungen'!$D:$D,A197,'15_Zahlungen'!$C:$C,"Ausgang"))</f>
        <v/>
      </c>
      <c r="O197" s="15">
        <f>IF(A197="","",MAX(0,M197-N197))</f>
        <v/>
      </c>
      <c r="P197" s="45">
        <f>IF(OR(A197="",J197="bezahlt",H197=""),"",MAX(0,TODAY()-H197))</f>
        <v/>
      </c>
    </row>
    <row r="198">
      <c r="A198" s="30" t="inlineStr"/>
      <c r="B198" s="38" t="inlineStr"/>
      <c r="C198" s="30" t="inlineStr"/>
      <c r="D198" s="30" t="inlineStr"/>
      <c r="E198" s="30" t="inlineStr"/>
      <c r="F198" s="34" t="inlineStr"/>
      <c r="G198" s="32" t="inlineStr"/>
      <c r="H198" s="38" t="inlineStr"/>
      <c r="I198" s="38" t="inlineStr"/>
      <c r="J198" s="30" t="inlineStr"/>
      <c r="K198" s="30" t="inlineStr"/>
      <c r="L198" s="15">
        <f>IF(A198="","",F198*G198)</f>
        <v/>
      </c>
      <c r="M198" s="15">
        <f>IF(A198="","",F198+L198)</f>
        <v/>
      </c>
      <c r="N198" s="15">
        <f>IF(A198="","",SUMIFS('15_Zahlungen'!$F:$F,'15_Zahlungen'!$D:$D,A198,'15_Zahlungen'!$C:$C,"Ausgang"))</f>
        <v/>
      </c>
      <c r="O198" s="15">
        <f>IF(A198="","",MAX(0,M198-N198))</f>
        <v/>
      </c>
      <c r="P198" s="45">
        <f>IF(OR(A198="",J198="bezahlt",H198=""),"",MAX(0,TODAY()-H198))</f>
        <v/>
      </c>
    </row>
    <row r="199">
      <c r="A199" s="30" t="inlineStr"/>
      <c r="B199" s="38" t="inlineStr"/>
      <c r="C199" s="30" t="inlineStr"/>
      <c r="D199" s="30" t="inlineStr"/>
      <c r="E199" s="30" t="inlineStr"/>
      <c r="F199" s="34" t="inlineStr"/>
      <c r="G199" s="32" t="inlineStr"/>
      <c r="H199" s="38" t="inlineStr"/>
      <c r="I199" s="38" t="inlineStr"/>
      <c r="J199" s="30" t="inlineStr"/>
      <c r="K199" s="30" t="inlineStr"/>
      <c r="L199" s="15">
        <f>IF(A199="","",F199*G199)</f>
        <v/>
      </c>
      <c r="M199" s="15">
        <f>IF(A199="","",F199+L199)</f>
        <v/>
      </c>
      <c r="N199" s="15">
        <f>IF(A199="","",SUMIFS('15_Zahlungen'!$F:$F,'15_Zahlungen'!$D:$D,A199,'15_Zahlungen'!$C:$C,"Ausgang"))</f>
        <v/>
      </c>
      <c r="O199" s="15">
        <f>IF(A199="","",MAX(0,M199-N199))</f>
        <v/>
      </c>
      <c r="P199" s="45">
        <f>IF(OR(A199="",J199="bezahlt",H199=""),"",MAX(0,TODAY()-H199))</f>
        <v/>
      </c>
    </row>
    <row r="200">
      <c r="A200" s="30" t="inlineStr"/>
      <c r="B200" s="38" t="inlineStr"/>
      <c r="C200" s="30" t="inlineStr"/>
      <c r="D200" s="30" t="inlineStr"/>
      <c r="E200" s="30" t="inlineStr"/>
      <c r="F200" s="34" t="inlineStr"/>
      <c r="G200" s="32" t="inlineStr"/>
      <c r="H200" s="38" t="inlineStr"/>
      <c r="I200" s="38" t="inlineStr"/>
      <c r="J200" s="30" t="inlineStr"/>
      <c r="K200" s="30" t="inlineStr"/>
      <c r="L200" s="15">
        <f>IF(A200="","",F200*G200)</f>
        <v/>
      </c>
      <c r="M200" s="15">
        <f>IF(A200="","",F200+L200)</f>
        <v/>
      </c>
      <c r="N200" s="15">
        <f>IF(A200="","",SUMIFS('15_Zahlungen'!$F:$F,'15_Zahlungen'!$D:$D,A200,'15_Zahlungen'!$C:$C,"Ausgang"))</f>
        <v/>
      </c>
      <c r="O200" s="15">
        <f>IF(A200="","",MAX(0,M200-N200))</f>
        <v/>
      </c>
      <c r="P200" s="45">
        <f>IF(OR(A200="",J200="bezahlt",H200=""),"",MAX(0,TODAY()-H200))</f>
        <v/>
      </c>
    </row>
    <row r="201">
      <c r="A201" s="30" t="inlineStr"/>
      <c r="B201" s="38" t="inlineStr"/>
      <c r="C201" s="30" t="inlineStr"/>
      <c r="D201" s="30" t="inlineStr"/>
      <c r="E201" s="30" t="inlineStr"/>
      <c r="F201" s="34" t="inlineStr"/>
      <c r="G201" s="32" t="inlineStr"/>
      <c r="H201" s="38" t="inlineStr"/>
      <c r="I201" s="38" t="inlineStr"/>
      <c r="J201" s="30" t="inlineStr"/>
      <c r="K201" s="30" t="inlineStr"/>
      <c r="L201" s="15">
        <f>IF(A201="","",F201*G201)</f>
        <v/>
      </c>
      <c r="M201" s="15">
        <f>IF(A201="","",F201+L201)</f>
        <v/>
      </c>
      <c r="N201" s="15">
        <f>IF(A201="","",SUMIFS('15_Zahlungen'!$F:$F,'15_Zahlungen'!$D:$D,A201,'15_Zahlungen'!$C:$C,"Ausgang"))</f>
        <v/>
      </c>
      <c r="O201" s="15">
        <f>IF(A201="","",MAX(0,M201-N201))</f>
        <v/>
      </c>
      <c r="P201" s="45">
        <f>IF(OR(A201="",J201="bezahlt",H201=""),"",MAX(0,TODAY()-H201))</f>
        <v/>
      </c>
    </row>
    <row r="202">
      <c r="A202" s="30" t="inlineStr"/>
      <c r="B202" s="38" t="inlineStr"/>
      <c r="C202" s="30" t="inlineStr"/>
      <c r="D202" s="30" t="inlineStr"/>
      <c r="E202" s="30" t="inlineStr"/>
      <c r="F202" s="34" t="inlineStr"/>
      <c r="G202" s="32" t="inlineStr"/>
      <c r="H202" s="38" t="inlineStr"/>
      <c r="I202" s="38" t="inlineStr"/>
      <c r="J202" s="30" t="inlineStr"/>
      <c r="K202" s="30" t="inlineStr"/>
      <c r="L202" s="15">
        <f>IF(A202="","",F202*G202)</f>
        <v/>
      </c>
      <c r="M202" s="15">
        <f>IF(A202="","",F202+L202)</f>
        <v/>
      </c>
      <c r="N202" s="15">
        <f>IF(A202="","",SUMIFS('15_Zahlungen'!$F:$F,'15_Zahlungen'!$D:$D,A202,'15_Zahlungen'!$C:$C,"Ausgang"))</f>
        <v/>
      </c>
      <c r="O202" s="15">
        <f>IF(A202="","",MAX(0,M202-N202))</f>
        <v/>
      </c>
      <c r="P202" s="45">
        <f>IF(OR(A202="",J202="bezahlt",H202=""),"",MAX(0,TODAY()-H202))</f>
        <v/>
      </c>
    </row>
    <row r="203">
      <c r="A203" s="30" t="inlineStr"/>
      <c r="B203" s="38" t="inlineStr"/>
      <c r="C203" s="30" t="inlineStr"/>
      <c r="D203" s="30" t="inlineStr"/>
      <c r="E203" s="30" t="inlineStr"/>
      <c r="F203" s="34" t="inlineStr"/>
      <c r="G203" s="32" t="inlineStr"/>
      <c r="H203" s="38" t="inlineStr"/>
      <c r="I203" s="38" t="inlineStr"/>
      <c r="J203" s="30" t="inlineStr"/>
      <c r="K203" s="30" t="inlineStr"/>
      <c r="L203" s="15">
        <f>IF(A203="","",F203*G203)</f>
        <v/>
      </c>
      <c r="M203" s="15">
        <f>IF(A203="","",F203+L203)</f>
        <v/>
      </c>
      <c r="N203" s="15">
        <f>IF(A203="","",SUMIFS('15_Zahlungen'!$F:$F,'15_Zahlungen'!$D:$D,A203,'15_Zahlungen'!$C:$C,"Ausgang"))</f>
        <v/>
      </c>
      <c r="O203" s="15">
        <f>IF(A203="","",MAX(0,M203-N203))</f>
        <v/>
      </c>
      <c r="P203" s="45">
        <f>IF(OR(A203="",J203="bezahlt",H203=""),"",MAX(0,TODAY()-H203))</f>
        <v/>
      </c>
    </row>
    <row r="204">
      <c r="A204" s="30" t="inlineStr"/>
      <c r="B204" s="38" t="inlineStr"/>
      <c r="C204" s="30" t="inlineStr"/>
      <c r="D204" s="30" t="inlineStr"/>
      <c r="E204" s="30" t="inlineStr"/>
      <c r="F204" s="34" t="inlineStr"/>
      <c r="G204" s="32" t="inlineStr"/>
      <c r="H204" s="38" t="inlineStr"/>
      <c r="I204" s="38" t="inlineStr"/>
      <c r="J204" s="30" t="inlineStr"/>
      <c r="K204" s="30" t="inlineStr"/>
      <c r="L204" s="15">
        <f>IF(A204="","",F204*G204)</f>
        <v/>
      </c>
      <c r="M204" s="15">
        <f>IF(A204="","",F204+L204)</f>
        <v/>
      </c>
      <c r="N204" s="15">
        <f>IF(A204="","",SUMIFS('15_Zahlungen'!$F:$F,'15_Zahlungen'!$D:$D,A204,'15_Zahlungen'!$C:$C,"Ausgang"))</f>
        <v/>
      </c>
      <c r="O204" s="15">
        <f>IF(A204="","",MAX(0,M204-N204))</f>
        <v/>
      </c>
      <c r="P204" s="45">
        <f>IF(OR(A204="",J204="bezahlt",H204=""),"",MAX(0,TODAY()-H204))</f>
        <v/>
      </c>
    </row>
    <row r="205">
      <c r="A205" s="30" t="inlineStr"/>
      <c r="B205" s="38" t="inlineStr"/>
      <c r="C205" s="30" t="inlineStr"/>
      <c r="D205" s="30" t="inlineStr"/>
      <c r="E205" s="30" t="inlineStr"/>
      <c r="F205" s="34" t="inlineStr"/>
      <c r="G205" s="32" t="inlineStr"/>
      <c r="H205" s="38" t="inlineStr"/>
      <c r="I205" s="38" t="inlineStr"/>
      <c r="J205" s="30" t="inlineStr"/>
      <c r="K205" s="30" t="inlineStr"/>
      <c r="L205" s="15">
        <f>IF(A205="","",F205*G205)</f>
        <v/>
      </c>
      <c r="M205" s="15">
        <f>IF(A205="","",F205+L205)</f>
        <v/>
      </c>
      <c r="N205" s="15">
        <f>IF(A205="","",SUMIFS('15_Zahlungen'!$F:$F,'15_Zahlungen'!$D:$D,A205,'15_Zahlungen'!$C:$C,"Ausgang"))</f>
        <v/>
      </c>
      <c r="O205" s="15">
        <f>IF(A205="","",MAX(0,M205-N205))</f>
        <v/>
      </c>
      <c r="P205" s="45">
        <f>IF(OR(A205="",J205="bezahlt",H205=""),"",MAX(0,TODAY()-H205))</f>
        <v/>
      </c>
    </row>
    <row r="206">
      <c r="A206" s="30" t="inlineStr"/>
      <c r="B206" s="38" t="inlineStr"/>
      <c r="C206" s="30" t="inlineStr"/>
      <c r="D206" s="30" t="inlineStr"/>
      <c r="E206" s="30" t="inlineStr"/>
      <c r="F206" s="34" t="inlineStr"/>
      <c r="G206" s="32" t="inlineStr"/>
      <c r="H206" s="38" t="inlineStr"/>
      <c r="I206" s="38" t="inlineStr"/>
      <c r="J206" s="30" t="inlineStr"/>
      <c r="K206" s="30" t="inlineStr"/>
      <c r="L206" s="15">
        <f>IF(A206="","",F206*G206)</f>
        <v/>
      </c>
      <c r="M206" s="15">
        <f>IF(A206="","",F206+L206)</f>
        <v/>
      </c>
      <c r="N206" s="15">
        <f>IF(A206="","",SUMIFS('15_Zahlungen'!$F:$F,'15_Zahlungen'!$D:$D,A206,'15_Zahlungen'!$C:$C,"Ausgang"))</f>
        <v/>
      </c>
      <c r="O206" s="15">
        <f>IF(A206="","",MAX(0,M206-N206))</f>
        <v/>
      </c>
      <c r="P206" s="45">
        <f>IF(OR(A206="",J206="bezahlt",H206=""),"",MAX(0,TODAY()-H206))</f>
        <v/>
      </c>
    </row>
    <row r="207">
      <c r="A207" s="30" t="inlineStr"/>
      <c r="B207" s="38" t="inlineStr"/>
      <c r="C207" s="30" t="inlineStr"/>
      <c r="D207" s="30" t="inlineStr"/>
      <c r="E207" s="30" t="inlineStr"/>
      <c r="F207" s="34" t="inlineStr"/>
      <c r="G207" s="32" t="inlineStr"/>
      <c r="H207" s="38" t="inlineStr"/>
      <c r="I207" s="38" t="inlineStr"/>
      <c r="J207" s="30" t="inlineStr"/>
      <c r="K207" s="30" t="inlineStr"/>
      <c r="L207" s="15">
        <f>IF(A207="","",F207*G207)</f>
        <v/>
      </c>
      <c r="M207" s="15">
        <f>IF(A207="","",F207+L207)</f>
        <v/>
      </c>
      <c r="N207" s="15">
        <f>IF(A207="","",SUMIFS('15_Zahlungen'!$F:$F,'15_Zahlungen'!$D:$D,A207,'15_Zahlungen'!$C:$C,"Ausgang"))</f>
        <v/>
      </c>
      <c r="O207" s="15">
        <f>IF(A207="","",MAX(0,M207-N207))</f>
        <v/>
      </c>
      <c r="P207" s="45">
        <f>IF(OR(A207="",J207="bezahlt",H207=""),"",MAX(0,TODAY()-H207))</f>
        <v/>
      </c>
    </row>
    <row r="208">
      <c r="A208" s="30" t="inlineStr"/>
      <c r="B208" s="38" t="inlineStr"/>
      <c r="C208" s="30" t="inlineStr"/>
      <c r="D208" s="30" t="inlineStr"/>
      <c r="E208" s="30" t="inlineStr"/>
      <c r="F208" s="34" t="inlineStr"/>
      <c r="G208" s="32" t="inlineStr"/>
      <c r="H208" s="38" t="inlineStr"/>
      <c r="I208" s="38" t="inlineStr"/>
      <c r="J208" s="30" t="inlineStr"/>
      <c r="K208" s="30" t="inlineStr"/>
      <c r="L208" s="15">
        <f>IF(A208="","",F208*G208)</f>
        <v/>
      </c>
      <c r="M208" s="15">
        <f>IF(A208="","",F208+L208)</f>
        <v/>
      </c>
      <c r="N208" s="15">
        <f>IF(A208="","",SUMIFS('15_Zahlungen'!$F:$F,'15_Zahlungen'!$D:$D,A208,'15_Zahlungen'!$C:$C,"Ausgang"))</f>
        <v/>
      </c>
      <c r="O208" s="15">
        <f>IF(A208="","",MAX(0,M208-N208))</f>
        <v/>
      </c>
      <c r="P208" s="45">
        <f>IF(OR(A208="",J208="bezahlt",H208=""),"",MAX(0,TODAY()-H208))</f>
        <v/>
      </c>
    </row>
    <row r="209">
      <c r="A209" s="30" t="inlineStr"/>
      <c r="B209" s="38" t="inlineStr"/>
      <c r="C209" s="30" t="inlineStr"/>
      <c r="D209" s="30" t="inlineStr"/>
      <c r="E209" s="30" t="inlineStr"/>
      <c r="F209" s="34" t="inlineStr"/>
      <c r="G209" s="32" t="inlineStr"/>
      <c r="H209" s="38" t="inlineStr"/>
      <c r="I209" s="38" t="inlineStr"/>
      <c r="J209" s="30" t="inlineStr"/>
      <c r="K209" s="30" t="inlineStr"/>
      <c r="L209" s="15">
        <f>IF(A209="","",F209*G209)</f>
        <v/>
      </c>
      <c r="M209" s="15">
        <f>IF(A209="","",F209+L209)</f>
        <v/>
      </c>
      <c r="N209" s="15">
        <f>IF(A209="","",SUMIFS('15_Zahlungen'!$F:$F,'15_Zahlungen'!$D:$D,A209,'15_Zahlungen'!$C:$C,"Ausgang"))</f>
        <v/>
      </c>
      <c r="O209" s="15">
        <f>IF(A209="","",MAX(0,M209-N209))</f>
        <v/>
      </c>
      <c r="P209" s="45">
        <f>IF(OR(A209="",J209="bezahlt",H209=""),"",MAX(0,TODAY()-H209))</f>
        <v/>
      </c>
    </row>
    <row r="210">
      <c r="A210" s="30" t="inlineStr"/>
      <c r="B210" s="38" t="inlineStr"/>
      <c r="C210" s="30" t="inlineStr"/>
      <c r="D210" s="30" t="inlineStr"/>
      <c r="E210" s="30" t="inlineStr"/>
      <c r="F210" s="34" t="inlineStr"/>
      <c r="G210" s="32" t="inlineStr"/>
      <c r="H210" s="38" t="inlineStr"/>
      <c r="I210" s="38" t="inlineStr"/>
      <c r="J210" s="30" t="inlineStr"/>
      <c r="K210" s="30" t="inlineStr"/>
      <c r="L210" s="15">
        <f>IF(A210="","",F210*G210)</f>
        <v/>
      </c>
      <c r="M210" s="15">
        <f>IF(A210="","",F210+L210)</f>
        <v/>
      </c>
      <c r="N210" s="15">
        <f>IF(A210="","",SUMIFS('15_Zahlungen'!$F:$F,'15_Zahlungen'!$D:$D,A210,'15_Zahlungen'!$C:$C,"Ausgang"))</f>
        <v/>
      </c>
      <c r="O210" s="15">
        <f>IF(A210="","",MAX(0,M210-N210))</f>
        <v/>
      </c>
      <c r="P210" s="45">
        <f>IF(OR(A210="",J210="bezahlt",H210=""),"",MAX(0,TODAY()-H210))</f>
        <v/>
      </c>
    </row>
    <row r="211">
      <c r="A211" s="30" t="inlineStr"/>
      <c r="B211" s="38" t="inlineStr"/>
      <c r="C211" s="30" t="inlineStr"/>
      <c r="D211" s="30" t="inlineStr"/>
      <c r="E211" s="30" t="inlineStr"/>
      <c r="F211" s="34" t="inlineStr"/>
      <c r="G211" s="32" t="inlineStr"/>
      <c r="H211" s="38" t="inlineStr"/>
      <c r="I211" s="38" t="inlineStr"/>
      <c r="J211" s="30" t="inlineStr"/>
      <c r="K211" s="30" t="inlineStr"/>
      <c r="L211" s="15">
        <f>IF(A211="","",F211*G211)</f>
        <v/>
      </c>
      <c r="M211" s="15">
        <f>IF(A211="","",F211+L211)</f>
        <v/>
      </c>
      <c r="N211" s="15">
        <f>IF(A211="","",SUMIFS('15_Zahlungen'!$F:$F,'15_Zahlungen'!$D:$D,A211,'15_Zahlungen'!$C:$C,"Ausgang"))</f>
        <v/>
      </c>
      <c r="O211" s="15">
        <f>IF(A211="","",MAX(0,M211-N211))</f>
        <v/>
      </c>
      <c r="P211" s="45">
        <f>IF(OR(A211="",J211="bezahlt",H211=""),"",MAX(0,TODAY()-H211))</f>
        <v/>
      </c>
    </row>
    <row r="212">
      <c r="A212" s="30" t="inlineStr"/>
      <c r="B212" s="38" t="inlineStr"/>
      <c r="C212" s="30" t="inlineStr"/>
      <c r="D212" s="30" t="inlineStr"/>
      <c r="E212" s="30" t="inlineStr"/>
      <c r="F212" s="34" t="inlineStr"/>
      <c r="G212" s="32" t="inlineStr"/>
      <c r="H212" s="38" t="inlineStr"/>
      <c r="I212" s="38" t="inlineStr"/>
      <c r="J212" s="30" t="inlineStr"/>
      <c r="K212" s="30" t="inlineStr"/>
      <c r="L212" s="15">
        <f>IF(A212="","",F212*G212)</f>
        <v/>
      </c>
      <c r="M212" s="15">
        <f>IF(A212="","",F212+L212)</f>
        <v/>
      </c>
      <c r="N212" s="15">
        <f>IF(A212="","",SUMIFS('15_Zahlungen'!$F:$F,'15_Zahlungen'!$D:$D,A212,'15_Zahlungen'!$C:$C,"Ausgang"))</f>
        <v/>
      </c>
      <c r="O212" s="15">
        <f>IF(A212="","",MAX(0,M212-N212))</f>
        <v/>
      </c>
      <c r="P212" s="45">
        <f>IF(OR(A212="",J212="bezahlt",H212=""),"",MAX(0,TODAY()-H212))</f>
        <v/>
      </c>
    </row>
    <row r="213">
      <c r="A213" s="30" t="inlineStr"/>
      <c r="B213" s="38" t="inlineStr"/>
      <c r="C213" s="30" t="inlineStr"/>
      <c r="D213" s="30" t="inlineStr"/>
      <c r="E213" s="30" t="inlineStr"/>
      <c r="F213" s="34" t="inlineStr"/>
      <c r="G213" s="32" t="inlineStr"/>
      <c r="H213" s="38" t="inlineStr"/>
      <c r="I213" s="38" t="inlineStr"/>
      <c r="J213" s="30" t="inlineStr"/>
      <c r="K213" s="30" t="inlineStr"/>
      <c r="L213" s="15">
        <f>IF(A213="","",F213*G213)</f>
        <v/>
      </c>
      <c r="M213" s="15">
        <f>IF(A213="","",F213+L213)</f>
        <v/>
      </c>
      <c r="N213" s="15">
        <f>IF(A213="","",SUMIFS('15_Zahlungen'!$F:$F,'15_Zahlungen'!$D:$D,A213,'15_Zahlungen'!$C:$C,"Ausgang"))</f>
        <v/>
      </c>
      <c r="O213" s="15">
        <f>IF(A213="","",MAX(0,M213-N213))</f>
        <v/>
      </c>
      <c r="P213" s="45">
        <f>IF(OR(A213="",J213="bezahlt",H213=""),"",MAX(0,TODAY()-H213))</f>
        <v/>
      </c>
    </row>
    <row r="214">
      <c r="A214" s="30" t="inlineStr"/>
      <c r="B214" s="38" t="inlineStr"/>
      <c r="C214" s="30" t="inlineStr"/>
      <c r="D214" s="30" t="inlineStr"/>
      <c r="E214" s="30" t="inlineStr"/>
      <c r="F214" s="34" t="inlineStr"/>
      <c r="G214" s="32" t="inlineStr"/>
      <c r="H214" s="38" t="inlineStr"/>
      <c r="I214" s="38" t="inlineStr"/>
      <c r="J214" s="30" t="inlineStr"/>
      <c r="K214" s="30" t="inlineStr"/>
      <c r="L214" s="15">
        <f>IF(A214="","",F214*G214)</f>
        <v/>
      </c>
      <c r="M214" s="15">
        <f>IF(A214="","",F214+L214)</f>
        <v/>
      </c>
      <c r="N214" s="15">
        <f>IF(A214="","",SUMIFS('15_Zahlungen'!$F:$F,'15_Zahlungen'!$D:$D,A214,'15_Zahlungen'!$C:$C,"Ausgang"))</f>
        <v/>
      </c>
      <c r="O214" s="15">
        <f>IF(A214="","",MAX(0,M214-N214))</f>
        <v/>
      </c>
      <c r="P214" s="45">
        <f>IF(OR(A214="",J214="bezahlt",H214=""),"",MAX(0,TODAY()-H214))</f>
        <v/>
      </c>
    </row>
    <row r="215">
      <c r="A215" s="30" t="inlineStr"/>
      <c r="B215" s="38" t="inlineStr"/>
      <c r="C215" s="30" t="inlineStr"/>
      <c r="D215" s="30" t="inlineStr"/>
      <c r="E215" s="30" t="inlineStr"/>
      <c r="F215" s="34" t="inlineStr"/>
      <c r="G215" s="32" t="inlineStr"/>
      <c r="H215" s="38" t="inlineStr"/>
      <c r="I215" s="38" t="inlineStr"/>
      <c r="J215" s="30" t="inlineStr"/>
      <c r="K215" s="30" t="inlineStr"/>
      <c r="L215" s="15">
        <f>IF(A215="","",F215*G215)</f>
        <v/>
      </c>
      <c r="M215" s="15">
        <f>IF(A215="","",F215+L215)</f>
        <v/>
      </c>
      <c r="N215" s="15">
        <f>IF(A215="","",SUMIFS('15_Zahlungen'!$F:$F,'15_Zahlungen'!$D:$D,A215,'15_Zahlungen'!$C:$C,"Ausgang"))</f>
        <v/>
      </c>
      <c r="O215" s="15">
        <f>IF(A215="","",MAX(0,M215-N215))</f>
        <v/>
      </c>
      <c r="P215" s="45">
        <f>IF(OR(A215="",J215="bezahlt",H215=""),"",MAX(0,TODAY()-H215))</f>
        <v/>
      </c>
    </row>
    <row r="216">
      <c r="A216" s="30" t="inlineStr"/>
      <c r="B216" s="38" t="inlineStr"/>
      <c r="C216" s="30" t="inlineStr"/>
      <c r="D216" s="30" t="inlineStr"/>
      <c r="E216" s="30" t="inlineStr"/>
      <c r="F216" s="34" t="inlineStr"/>
      <c r="G216" s="32" t="inlineStr"/>
      <c r="H216" s="38" t="inlineStr"/>
      <c r="I216" s="38" t="inlineStr"/>
      <c r="J216" s="30" t="inlineStr"/>
      <c r="K216" s="30" t="inlineStr"/>
      <c r="L216" s="15">
        <f>IF(A216="","",F216*G216)</f>
        <v/>
      </c>
      <c r="M216" s="15">
        <f>IF(A216="","",F216+L216)</f>
        <v/>
      </c>
      <c r="N216" s="15">
        <f>IF(A216="","",SUMIFS('15_Zahlungen'!$F:$F,'15_Zahlungen'!$D:$D,A216,'15_Zahlungen'!$C:$C,"Ausgang"))</f>
        <v/>
      </c>
      <c r="O216" s="15">
        <f>IF(A216="","",MAX(0,M216-N216))</f>
        <v/>
      </c>
      <c r="P216" s="45">
        <f>IF(OR(A216="",J216="bezahlt",H216=""),"",MAX(0,TODAY()-H216))</f>
        <v/>
      </c>
    </row>
    <row r="217">
      <c r="A217" s="30" t="inlineStr"/>
      <c r="B217" s="38" t="inlineStr"/>
      <c r="C217" s="30" t="inlineStr"/>
      <c r="D217" s="30" t="inlineStr"/>
      <c r="E217" s="30" t="inlineStr"/>
      <c r="F217" s="34" t="inlineStr"/>
      <c r="G217" s="32" t="inlineStr"/>
      <c r="H217" s="38" t="inlineStr"/>
      <c r="I217" s="38" t="inlineStr"/>
      <c r="J217" s="30" t="inlineStr"/>
      <c r="K217" s="30" t="inlineStr"/>
      <c r="L217" s="15">
        <f>IF(A217="","",F217*G217)</f>
        <v/>
      </c>
      <c r="M217" s="15">
        <f>IF(A217="","",F217+L217)</f>
        <v/>
      </c>
      <c r="N217" s="15">
        <f>IF(A217="","",SUMIFS('15_Zahlungen'!$F:$F,'15_Zahlungen'!$D:$D,A217,'15_Zahlungen'!$C:$C,"Ausgang"))</f>
        <v/>
      </c>
      <c r="O217" s="15">
        <f>IF(A217="","",MAX(0,M217-N217))</f>
        <v/>
      </c>
      <c r="P217" s="45">
        <f>IF(OR(A217="",J217="bezahlt",H217=""),"",MAX(0,TODAY()-H217))</f>
        <v/>
      </c>
    </row>
    <row r="218">
      <c r="A218" s="30" t="inlineStr"/>
      <c r="B218" s="38" t="inlineStr"/>
      <c r="C218" s="30" t="inlineStr"/>
      <c r="D218" s="30" t="inlineStr"/>
      <c r="E218" s="30" t="inlineStr"/>
      <c r="F218" s="34" t="inlineStr"/>
      <c r="G218" s="32" t="inlineStr"/>
      <c r="H218" s="38" t="inlineStr"/>
      <c r="I218" s="38" t="inlineStr"/>
      <c r="J218" s="30" t="inlineStr"/>
      <c r="K218" s="30" t="inlineStr"/>
      <c r="L218" s="15">
        <f>IF(A218="","",F218*G218)</f>
        <v/>
      </c>
      <c r="M218" s="15">
        <f>IF(A218="","",F218+L218)</f>
        <v/>
      </c>
      <c r="N218" s="15">
        <f>IF(A218="","",SUMIFS('15_Zahlungen'!$F:$F,'15_Zahlungen'!$D:$D,A218,'15_Zahlungen'!$C:$C,"Ausgang"))</f>
        <v/>
      </c>
      <c r="O218" s="15">
        <f>IF(A218="","",MAX(0,M218-N218))</f>
        <v/>
      </c>
      <c r="P218" s="45">
        <f>IF(OR(A218="",J218="bezahlt",H218=""),"",MAX(0,TODAY()-H218))</f>
        <v/>
      </c>
    </row>
    <row r="219">
      <c r="A219" s="30" t="inlineStr"/>
      <c r="B219" s="38" t="inlineStr"/>
      <c r="C219" s="30" t="inlineStr"/>
      <c r="D219" s="30" t="inlineStr"/>
      <c r="E219" s="30" t="inlineStr"/>
      <c r="F219" s="34" t="inlineStr"/>
      <c r="G219" s="32" t="inlineStr"/>
      <c r="H219" s="38" t="inlineStr"/>
      <c r="I219" s="38" t="inlineStr"/>
      <c r="J219" s="30" t="inlineStr"/>
      <c r="K219" s="30" t="inlineStr"/>
      <c r="L219" s="15">
        <f>IF(A219="","",F219*G219)</f>
        <v/>
      </c>
      <c r="M219" s="15">
        <f>IF(A219="","",F219+L219)</f>
        <v/>
      </c>
      <c r="N219" s="15">
        <f>IF(A219="","",SUMIFS('15_Zahlungen'!$F:$F,'15_Zahlungen'!$D:$D,A219,'15_Zahlungen'!$C:$C,"Ausgang"))</f>
        <v/>
      </c>
      <c r="O219" s="15">
        <f>IF(A219="","",MAX(0,M219-N219))</f>
        <v/>
      </c>
      <c r="P219" s="45">
        <f>IF(OR(A219="",J219="bezahlt",H219=""),"",MAX(0,TODAY()-H219))</f>
        <v/>
      </c>
    </row>
    <row r="220">
      <c r="A220" s="30" t="inlineStr"/>
      <c r="B220" s="38" t="inlineStr"/>
      <c r="C220" s="30" t="inlineStr"/>
      <c r="D220" s="30" t="inlineStr"/>
      <c r="E220" s="30" t="inlineStr"/>
      <c r="F220" s="34" t="inlineStr"/>
      <c r="G220" s="32" t="inlineStr"/>
      <c r="H220" s="38" t="inlineStr"/>
      <c r="I220" s="38" t="inlineStr"/>
      <c r="J220" s="30" t="inlineStr"/>
      <c r="K220" s="30" t="inlineStr"/>
      <c r="L220" s="15">
        <f>IF(A220="","",F220*G220)</f>
        <v/>
      </c>
      <c r="M220" s="15">
        <f>IF(A220="","",F220+L220)</f>
        <v/>
      </c>
      <c r="N220" s="15">
        <f>IF(A220="","",SUMIFS('15_Zahlungen'!$F:$F,'15_Zahlungen'!$D:$D,A220,'15_Zahlungen'!$C:$C,"Ausgang"))</f>
        <v/>
      </c>
      <c r="O220" s="15">
        <f>IF(A220="","",MAX(0,M220-N220))</f>
        <v/>
      </c>
      <c r="P220" s="45">
        <f>IF(OR(A220="",J220="bezahlt",H220=""),"",MAX(0,TODAY()-H220))</f>
        <v/>
      </c>
    </row>
    <row r="221">
      <c r="A221" s="30" t="inlineStr"/>
      <c r="B221" s="38" t="inlineStr"/>
      <c r="C221" s="30" t="inlineStr"/>
      <c r="D221" s="30" t="inlineStr"/>
      <c r="E221" s="30" t="inlineStr"/>
      <c r="F221" s="34" t="inlineStr"/>
      <c r="G221" s="32" t="inlineStr"/>
      <c r="H221" s="38" t="inlineStr"/>
      <c r="I221" s="38" t="inlineStr"/>
      <c r="J221" s="30" t="inlineStr"/>
      <c r="K221" s="30" t="inlineStr"/>
      <c r="L221" s="15">
        <f>IF(A221="","",F221*G221)</f>
        <v/>
      </c>
      <c r="M221" s="15">
        <f>IF(A221="","",F221+L221)</f>
        <v/>
      </c>
      <c r="N221" s="15">
        <f>IF(A221="","",SUMIFS('15_Zahlungen'!$F:$F,'15_Zahlungen'!$D:$D,A221,'15_Zahlungen'!$C:$C,"Ausgang"))</f>
        <v/>
      </c>
      <c r="O221" s="15">
        <f>IF(A221="","",MAX(0,M221-N221))</f>
        <v/>
      </c>
      <c r="P221" s="45">
        <f>IF(OR(A221="",J221="bezahlt",H221=""),"",MAX(0,TODAY()-H221))</f>
        <v/>
      </c>
    </row>
    <row r="222">
      <c r="A222" s="30" t="inlineStr"/>
      <c r="B222" s="38" t="inlineStr"/>
      <c r="C222" s="30" t="inlineStr"/>
      <c r="D222" s="30" t="inlineStr"/>
      <c r="E222" s="30" t="inlineStr"/>
      <c r="F222" s="34" t="inlineStr"/>
      <c r="G222" s="32" t="inlineStr"/>
      <c r="H222" s="38" t="inlineStr"/>
      <c r="I222" s="38" t="inlineStr"/>
      <c r="J222" s="30" t="inlineStr"/>
      <c r="K222" s="30" t="inlineStr"/>
      <c r="L222" s="15">
        <f>IF(A222="","",F222*G222)</f>
        <v/>
      </c>
      <c r="M222" s="15">
        <f>IF(A222="","",F222+L222)</f>
        <v/>
      </c>
      <c r="N222" s="15">
        <f>IF(A222="","",SUMIFS('15_Zahlungen'!$F:$F,'15_Zahlungen'!$D:$D,A222,'15_Zahlungen'!$C:$C,"Ausgang"))</f>
        <v/>
      </c>
      <c r="O222" s="15">
        <f>IF(A222="","",MAX(0,M222-N222))</f>
        <v/>
      </c>
      <c r="P222" s="45">
        <f>IF(OR(A222="",J222="bezahlt",H222=""),"",MAX(0,TODAY()-H222))</f>
        <v/>
      </c>
    </row>
    <row r="223">
      <c r="A223" s="30" t="inlineStr"/>
      <c r="B223" s="38" t="inlineStr"/>
      <c r="C223" s="30" t="inlineStr"/>
      <c r="D223" s="30" t="inlineStr"/>
      <c r="E223" s="30" t="inlineStr"/>
      <c r="F223" s="34" t="inlineStr"/>
      <c r="G223" s="32" t="inlineStr"/>
      <c r="H223" s="38" t="inlineStr"/>
      <c r="I223" s="38" t="inlineStr"/>
      <c r="J223" s="30" t="inlineStr"/>
      <c r="K223" s="30" t="inlineStr"/>
      <c r="L223" s="15">
        <f>IF(A223="","",F223*G223)</f>
        <v/>
      </c>
      <c r="M223" s="15">
        <f>IF(A223="","",F223+L223)</f>
        <v/>
      </c>
      <c r="N223" s="15">
        <f>IF(A223="","",SUMIFS('15_Zahlungen'!$F:$F,'15_Zahlungen'!$D:$D,A223,'15_Zahlungen'!$C:$C,"Ausgang"))</f>
        <v/>
      </c>
      <c r="O223" s="15">
        <f>IF(A223="","",MAX(0,M223-N223))</f>
        <v/>
      </c>
      <c r="P223" s="45">
        <f>IF(OR(A223="",J223="bezahlt",H223=""),"",MAX(0,TODAY()-H223))</f>
        <v/>
      </c>
    </row>
    <row r="224">
      <c r="A224" s="30" t="inlineStr"/>
      <c r="B224" s="38" t="inlineStr"/>
      <c r="C224" s="30" t="inlineStr"/>
      <c r="D224" s="30" t="inlineStr"/>
      <c r="E224" s="30" t="inlineStr"/>
      <c r="F224" s="34" t="inlineStr"/>
      <c r="G224" s="32" t="inlineStr"/>
      <c r="H224" s="38" t="inlineStr"/>
      <c r="I224" s="38" t="inlineStr"/>
      <c r="J224" s="30" t="inlineStr"/>
      <c r="K224" s="30" t="inlineStr"/>
      <c r="L224" s="15">
        <f>IF(A224="","",F224*G224)</f>
        <v/>
      </c>
      <c r="M224" s="15">
        <f>IF(A224="","",F224+L224)</f>
        <v/>
      </c>
      <c r="N224" s="15">
        <f>IF(A224="","",SUMIFS('15_Zahlungen'!$F:$F,'15_Zahlungen'!$D:$D,A224,'15_Zahlungen'!$C:$C,"Ausgang"))</f>
        <v/>
      </c>
      <c r="O224" s="15">
        <f>IF(A224="","",MAX(0,M224-N224))</f>
        <v/>
      </c>
      <c r="P224" s="45">
        <f>IF(OR(A224="",J224="bezahlt",H224=""),"",MAX(0,TODAY()-H224))</f>
        <v/>
      </c>
    </row>
    <row r="225">
      <c r="A225" s="30" t="inlineStr"/>
      <c r="B225" s="38" t="inlineStr"/>
      <c r="C225" s="30" t="inlineStr"/>
      <c r="D225" s="30" t="inlineStr"/>
      <c r="E225" s="30" t="inlineStr"/>
      <c r="F225" s="34" t="inlineStr"/>
      <c r="G225" s="32" t="inlineStr"/>
      <c r="H225" s="38" t="inlineStr"/>
      <c r="I225" s="38" t="inlineStr"/>
      <c r="J225" s="30" t="inlineStr"/>
      <c r="K225" s="30" t="inlineStr"/>
      <c r="L225" s="15">
        <f>IF(A225="","",F225*G225)</f>
        <v/>
      </c>
      <c r="M225" s="15">
        <f>IF(A225="","",F225+L225)</f>
        <v/>
      </c>
      <c r="N225" s="15">
        <f>IF(A225="","",SUMIFS('15_Zahlungen'!$F:$F,'15_Zahlungen'!$D:$D,A225,'15_Zahlungen'!$C:$C,"Ausgang"))</f>
        <v/>
      </c>
      <c r="O225" s="15">
        <f>IF(A225="","",MAX(0,M225-N225))</f>
        <v/>
      </c>
      <c r="P225" s="45">
        <f>IF(OR(A225="",J225="bezahlt",H225=""),"",MAX(0,TODAY()-H225))</f>
        <v/>
      </c>
    </row>
    <row r="226">
      <c r="A226" s="30" t="inlineStr"/>
      <c r="B226" s="38" t="inlineStr"/>
      <c r="C226" s="30" t="inlineStr"/>
      <c r="D226" s="30" t="inlineStr"/>
      <c r="E226" s="30" t="inlineStr"/>
      <c r="F226" s="34" t="inlineStr"/>
      <c r="G226" s="32" t="inlineStr"/>
      <c r="H226" s="38" t="inlineStr"/>
      <c r="I226" s="38" t="inlineStr"/>
      <c r="J226" s="30" t="inlineStr"/>
      <c r="K226" s="30" t="inlineStr"/>
      <c r="L226" s="15">
        <f>IF(A226="","",F226*G226)</f>
        <v/>
      </c>
      <c r="M226" s="15">
        <f>IF(A226="","",F226+L226)</f>
        <v/>
      </c>
      <c r="N226" s="15">
        <f>IF(A226="","",SUMIFS('15_Zahlungen'!$F:$F,'15_Zahlungen'!$D:$D,A226,'15_Zahlungen'!$C:$C,"Ausgang"))</f>
        <v/>
      </c>
      <c r="O226" s="15">
        <f>IF(A226="","",MAX(0,M226-N226))</f>
        <v/>
      </c>
      <c r="P226" s="45">
        <f>IF(OR(A226="",J226="bezahlt",H226=""),"",MAX(0,TODAY()-H226))</f>
        <v/>
      </c>
    </row>
    <row r="227">
      <c r="A227" s="30" t="inlineStr"/>
      <c r="B227" s="38" t="inlineStr"/>
      <c r="C227" s="30" t="inlineStr"/>
      <c r="D227" s="30" t="inlineStr"/>
      <c r="E227" s="30" t="inlineStr"/>
      <c r="F227" s="34" t="inlineStr"/>
      <c r="G227" s="32" t="inlineStr"/>
      <c r="H227" s="38" t="inlineStr"/>
      <c r="I227" s="38" t="inlineStr"/>
      <c r="J227" s="30" t="inlineStr"/>
      <c r="K227" s="30" t="inlineStr"/>
      <c r="L227" s="15">
        <f>IF(A227="","",F227*G227)</f>
        <v/>
      </c>
      <c r="M227" s="15">
        <f>IF(A227="","",F227+L227)</f>
        <v/>
      </c>
      <c r="N227" s="15">
        <f>IF(A227="","",SUMIFS('15_Zahlungen'!$F:$F,'15_Zahlungen'!$D:$D,A227,'15_Zahlungen'!$C:$C,"Ausgang"))</f>
        <v/>
      </c>
      <c r="O227" s="15">
        <f>IF(A227="","",MAX(0,M227-N227))</f>
        <v/>
      </c>
      <c r="P227" s="45">
        <f>IF(OR(A227="",J227="bezahlt",H227=""),"",MAX(0,TODAY()-H227))</f>
        <v/>
      </c>
    </row>
    <row r="228">
      <c r="A228" s="30" t="inlineStr"/>
      <c r="B228" s="38" t="inlineStr"/>
      <c r="C228" s="30" t="inlineStr"/>
      <c r="D228" s="30" t="inlineStr"/>
      <c r="E228" s="30" t="inlineStr"/>
      <c r="F228" s="34" t="inlineStr"/>
      <c r="G228" s="32" t="inlineStr"/>
      <c r="H228" s="38" t="inlineStr"/>
      <c r="I228" s="38" t="inlineStr"/>
      <c r="J228" s="30" t="inlineStr"/>
      <c r="K228" s="30" t="inlineStr"/>
      <c r="L228" s="15">
        <f>IF(A228="","",F228*G228)</f>
        <v/>
      </c>
      <c r="M228" s="15">
        <f>IF(A228="","",F228+L228)</f>
        <v/>
      </c>
      <c r="N228" s="15">
        <f>IF(A228="","",SUMIFS('15_Zahlungen'!$F:$F,'15_Zahlungen'!$D:$D,A228,'15_Zahlungen'!$C:$C,"Ausgang"))</f>
        <v/>
      </c>
      <c r="O228" s="15">
        <f>IF(A228="","",MAX(0,M228-N228))</f>
        <v/>
      </c>
      <c r="P228" s="45">
        <f>IF(OR(A228="",J228="bezahlt",H228=""),"",MAX(0,TODAY()-H228))</f>
        <v/>
      </c>
    </row>
    <row r="229">
      <c r="A229" s="30" t="inlineStr"/>
      <c r="B229" s="38" t="inlineStr"/>
      <c r="C229" s="30" t="inlineStr"/>
      <c r="D229" s="30" t="inlineStr"/>
      <c r="E229" s="30" t="inlineStr"/>
      <c r="F229" s="34" t="inlineStr"/>
      <c r="G229" s="32" t="inlineStr"/>
      <c r="H229" s="38" t="inlineStr"/>
      <c r="I229" s="38" t="inlineStr"/>
      <c r="J229" s="30" t="inlineStr"/>
      <c r="K229" s="30" t="inlineStr"/>
      <c r="L229" s="15">
        <f>IF(A229="","",F229*G229)</f>
        <v/>
      </c>
      <c r="M229" s="15">
        <f>IF(A229="","",F229+L229)</f>
        <v/>
      </c>
      <c r="N229" s="15">
        <f>IF(A229="","",SUMIFS('15_Zahlungen'!$F:$F,'15_Zahlungen'!$D:$D,A229,'15_Zahlungen'!$C:$C,"Ausgang"))</f>
        <v/>
      </c>
      <c r="O229" s="15">
        <f>IF(A229="","",MAX(0,M229-N229))</f>
        <v/>
      </c>
      <c r="P229" s="45">
        <f>IF(OR(A229="",J229="bezahlt",H229=""),"",MAX(0,TODAY()-H229))</f>
        <v/>
      </c>
    </row>
    <row r="230">
      <c r="A230" s="30" t="inlineStr"/>
      <c r="B230" s="38" t="inlineStr"/>
      <c r="C230" s="30" t="inlineStr"/>
      <c r="D230" s="30" t="inlineStr"/>
      <c r="E230" s="30" t="inlineStr"/>
      <c r="F230" s="34" t="inlineStr"/>
      <c r="G230" s="32" t="inlineStr"/>
      <c r="H230" s="38" t="inlineStr"/>
      <c r="I230" s="38" t="inlineStr"/>
      <c r="J230" s="30" t="inlineStr"/>
      <c r="K230" s="30" t="inlineStr"/>
      <c r="L230" s="15">
        <f>IF(A230="","",F230*G230)</f>
        <v/>
      </c>
      <c r="M230" s="15">
        <f>IF(A230="","",F230+L230)</f>
        <v/>
      </c>
      <c r="N230" s="15">
        <f>IF(A230="","",SUMIFS('15_Zahlungen'!$F:$F,'15_Zahlungen'!$D:$D,A230,'15_Zahlungen'!$C:$C,"Ausgang"))</f>
        <v/>
      </c>
      <c r="O230" s="15">
        <f>IF(A230="","",MAX(0,M230-N230))</f>
        <v/>
      </c>
      <c r="P230" s="45">
        <f>IF(OR(A230="",J230="bezahlt",H230=""),"",MAX(0,TODAY()-H230))</f>
        <v/>
      </c>
    </row>
    <row r="231">
      <c r="A231" s="30" t="inlineStr"/>
      <c r="B231" s="38" t="inlineStr"/>
      <c r="C231" s="30" t="inlineStr"/>
      <c r="D231" s="30" t="inlineStr"/>
      <c r="E231" s="30" t="inlineStr"/>
      <c r="F231" s="34" t="inlineStr"/>
      <c r="G231" s="32" t="inlineStr"/>
      <c r="H231" s="38" t="inlineStr"/>
      <c r="I231" s="38" t="inlineStr"/>
      <c r="J231" s="30" t="inlineStr"/>
      <c r="K231" s="30" t="inlineStr"/>
      <c r="L231" s="15">
        <f>IF(A231="","",F231*G231)</f>
        <v/>
      </c>
      <c r="M231" s="15">
        <f>IF(A231="","",F231+L231)</f>
        <v/>
      </c>
      <c r="N231" s="15">
        <f>IF(A231="","",SUMIFS('15_Zahlungen'!$F:$F,'15_Zahlungen'!$D:$D,A231,'15_Zahlungen'!$C:$C,"Ausgang"))</f>
        <v/>
      </c>
      <c r="O231" s="15">
        <f>IF(A231="","",MAX(0,M231-N231))</f>
        <v/>
      </c>
      <c r="P231" s="45">
        <f>IF(OR(A231="",J231="bezahlt",H231=""),"",MAX(0,TODAY()-H231))</f>
        <v/>
      </c>
    </row>
    <row r="232">
      <c r="A232" s="30" t="inlineStr"/>
      <c r="B232" s="38" t="inlineStr"/>
      <c r="C232" s="30" t="inlineStr"/>
      <c r="D232" s="30" t="inlineStr"/>
      <c r="E232" s="30" t="inlineStr"/>
      <c r="F232" s="34" t="inlineStr"/>
      <c r="G232" s="32" t="inlineStr"/>
      <c r="H232" s="38" t="inlineStr"/>
      <c r="I232" s="38" t="inlineStr"/>
      <c r="J232" s="30" t="inlineStr"/>
      <c r="K232" s="30" t="inlineStr"/>
      <c r="L232" s="15">
        <f>IF(A232="","",F232*G232)</f>
        <v/>
      </c>
      <c r="M232" s="15">
        <f>IF(A232="","",F232+L232)</f>
        <v/>
      </c>
      <c r="N232" s="15">
        <f>IF(A232="","",SUMIFS('15_Zahlungen'!$F:$F,'15_Zahlungen'!$D:$D,A232,'15_Zahlungen'!$C:$C,"Ausgang"))</f>
        <v/>
      </c>
      <c r="O232" s="15">
        <f>IF(A232="","",MAX(0,M232-N232))</f>
        <v/>
      </c>
      <c r="P232" s="45">
        <f>IF(OR(A232="",J232="bezahlt",H232=""),"",MAX(0,TODAY()-H232))</f>
        <v/>
      </c>
    </row>
    <row r="233">
      <c r="A233" s="30" t="inlineStr"/>
      <c r="B233" s="38" t="inlineStr"/>
      <c r="C233" s="30" t="inlineStr"/>
      <c r="D233" s="30" t="inlineStr"/>
      <c r="E233" s="30" t="inlineStr"/>
      <c r="F233" s="34" t="inlineStr"/>
      <c r="G233" s="32" t="inlineStr"/>
      <c r="H233" s="38" t="inlineStr"/>
      <c r="I233" s="38" t="inlineStr"/>
      <c r="J233" s="30" t="inlineStr"/>
      <c r="K233" s="30" t="inlineStr"/>
      <c r="L233" s="15">
        <f>IF(A233="","",F233*G233)</f>
        <v/>
      </c>
      <c r="M233" s="15">
        <f>IF(A233="","",F233+L233)</f>
        <v/>
      </c>
      <c r="N233" s="15">
        <f>IF(A233="","",SUMIFS('15_Zahlungen'!$F:$F,'15_Zahlungen'!$D:$D,A233,'15_Zahlungen'!$C:$C,"Ausgang"))</f>
        <v/>
      </c>
      <c r="O233" s="15">
        <f>IF(A233="","",MAX(0,M233-N233))</f>
        <v/>
      </c>
      <c r="P233" s="45">
        <f>IF(OR(A233="",J233="bezahlt",H233=""),"",MAX(0,TODAY()-H233))</f>
        <v/>
      </c>
    </row>
    <row r="234">
      <c r="A234" s="30" t="inlineStr"/>
      <c r="B234" s="38" t="inlineStr"/>
      <c r="C234" s="30" t="inlineStr"/>
      <c r="D234" s="30" t="inlineStr"/>
      <c r="E234" s="30" t="inlineStr"/>
      <c r="F234" s="34" t="inlineStr"/>
      <c r="G234" s="32" t="inlineStr"/>
      <c r="H234" s="38" t="inlineStr"/>
      <c r="I234" s="38" t="inlineStr"/>
      <c r="J234" s="30" t="inlineStr"/>
      <c r="K234" s="30" t="inlineStr"/>
      <c r="L234" s="15">
        <f>IF(A234="","",F234*G234)</f>
        <v/>
      </c>
      <c r="M234" s="15">
        <f>IF(A234="","",F234+L234)</f>
        <v/>
      </c>
      <c r="N234" s="15">
        <f>IF(A234="","",SUMIFS('15_Zahlungen'!$F:$F,'15_Zahlungen'!$D:$D,A234,'15_Zahlungen'!$C:$C,"Ausgang"))</f>
        <v/>
      </c>
      <c r="O234" s="15">
        <f>IF(A234="","",MAX(0,M234-N234))</f>
        <v/>
      </c>
      <c r="P234" s="45">
        <f>IF(OR(A234="",J234="bezahlt",H234=""),"",MAX(0,TODAY()-H234))</f>
        <v/>
      </c>
    </row>
    <row r="235">
      <c r="A235" s="30" t="inlineStr"/>
      <c r="B235" s="38" t="inlineStr"/>
      <c r="C235" s="30" t="inlineStr"/>
      <c r="D235" s="30" t="inlineStr"/>
      <c r="E235" s="30" t="inlineStr"/>
      <c r="F235" s="34" t="inlineStr"/>
      <c r="G235" s="32" t="inlineStr"/>
      <c r="H235" s="38" t="inlineStr"/>
      <c r="I235" s="38" t="inlineStr"/>
      <c r="J235" s="30" t="inlineStr"/>
      <c r="K235" s="30" t="inlineStr"/>
      <c r="L235" s="15">
        <f>IF(A235="","",F235*G235)</f>
        <v/>
      </c>
      <c r="M235" s="15">
        <f>IF(A235="","",F235+L235)</f>
        <v/>
      </c>
      <c r="N235" s="15">
        <f>IF(A235="","",SUMIFS('15_Zahlungen'!$F:$F,'15_Zahlungen'!$D:$D,A235,'15_Zahlungen'!$C:$C,"Ausgang"))</f>
        <v/>
      </c>
      <c r="O235" s="15">
        <f>IF(A235="","",MAX(0,M235-N235))</f>
        <v/>
      </c>
      <c r="P235" s="45">
        <f>IF(OR(A235="",J235="bezahlt",H235=""),"",MAX(0,TODAY()-H235))</f>
        <v/>
      </c>
    </row>
    <row r="236">
      <c r="A236" s="30" t="inlineStr"/>
      <c r="B236" s="38" t="inlineStr"/>
      <c r="C236" s="30" t="inlineStr"/>
      <c r="D236" s="30" t="inlineStr"/>
      <c r="E236" s="30" t="inlineStr"/>
      <c r="F236" s="34" t="inlineStr"/>
      <c r="G236" s="32" t="inlineStr"/>
      <c r="H236" s="38" t="inlineStr"/>
      <c r="I236" s="38" t="inlineStr"/>
      <c r="J236" s="30" t="inlineStr"/>
      <c r="K236" s="30" t="inlineStr"/>
      <c r="L236" s="15">
        <f>IF(A236="","",F236*G236)</f>
        <v/>
      </c>
      <c r="M236" s="15">
        <f>IF(A236="","",F236+L236)</f>
        <v/>
      </c>
      <c r="N236" s="15">
        <f>IF(A236="","",SUMIFS('15_Zahlungen'!$F:$F,'15_Zahlungen'!$D:$D,A236,'15_Zahlungen'!$C:$C,"Ausgang"))</f>
        <v/>
      </c>
      <c r="O236" s="15">
        <f>IF(A236="","",MAX(0,M236-N236))</f>
        <v/>
      </c>
      <c r="P236" s="45">
        <f>IF(OR(A236="",J236="bezahlt",H236=""),"",MAX(0,TODAY()-H236))</f>
        <v/>
      </c>
    </row>
    <row r="237">
      <c r="A237" s="30" t="inlineStr"/>
      <c r="B237" s="38" t="inlineStr"/>
      <c r="C237" s="30" t="inlineStr"/>
      <c r="D237" s="30" t="inlineStr"/>
      <c r="E237" s="30" t="inlineStr"/>
      <c r="F237" s="34" t="inlineStr"/>
      <c r="G237" s="32" t="inlineStr"/>
      <c r="H237" s="38" t="inlineStr"/>
      <c r="I237" s="38" t="inlineStr"/>
      <c r="J237" s="30" t="inlineStr"/>
      <c r="K237" s="30" t="inlineStr"/>
      <c r="L237" s="15">
        <f>IF(A237="","",F237*G237)</f>
        <v/>
      </c>
      <c r="M237" s="15">
        <f>IF(A237="","",F237+L237)</f>
        <v/>
      </c>
      <c r="N237" s="15">
        <f>IF(A237="","",SUMIFS('15_Zahlungen'!$F:$F,'15_Zahlungen'!$D:$D,A237,'15_Zahlungen'!$C:$C,"Ausgang"))</f>
        <v/>
      </c>
      <c r="O237" s="15">
        <f>IF(A237="","",MAX(0,M237-N237))</f>
        <v/>
      </c>
      <c r="P237" s="45">
        <f>IF(OR(A237="",J237="bezahlt",H237=""),"",MAX(0,TODAY()-H237))</f>
        <v/>
      </c>
    </row>
    <row r="238">
      <c r="A238" s="30" t="inlineStr"/>
      <c r="B238" s="38" t="inlineStr"/>
      <c r="C238" s="30" t="inlineStr"/>
      <c r="D238" s="30" t="inlineStr"/>
      <c r="E238" s="30" t="inlineStr"/>
      <c r="F238" s="34" t="inlineStr"/>
      <c r="G238" s="32" t="inlineStr"/>
      <c r="H238" s="38" t="inlineStr"/>
      <c r="I238" s="38" t="inlineStr"/>
      <c r="J238" s="30" t="inlineStr"/>
      <c r="K238" s="30" t="inlineStr"/>
      <c r="L238" s="15">
        <f>IF(A238="","",F238*G238)</f>
        <v/>
      </c>
      <c r="M238" s="15">
        <f>IF(A238="","",F238+L238)</f>
        <v/>
      </c>
      <c r="N238" s="15">
        <f>IF(A238="","",SUMIFS('15_Zahlungen'!$F:$F,'15_Zahlungen'!$D:$D,A238,'15_Zahlungen'!$C:$C,"Ausgang"))</f>
        <v/>
      </c>
      <c r="O238" s="15">
        <f>IF(A238="","",MAX(0,M238-N238))</f>
        <v/>
      </c>
      <c r="P238" s="45">
        <f>IF(OR(A238="",J238="bezahlt",H238=""),"",MAX(0,TODAY()-H238))</f>
        <v/>
      </c>
    </row>
    <row r="239">
      <c r="A239" s="30" t="inlineStr"/>
      <c r="B239" s="38" t="inlineStr"/>
      <c r="C239" s="30" t="inlineStr"/>
      <c r="D239" s="30" t="inlineStr"/>
      <c r="E239" s="30" t="inlineStr"/>
      <c r="F239" s="34" t="inlineStr"/>
      <c r="G239" s="32" t="inlineStr"/>
      <c r="H239" s="38" t="inlineStr"/>
      <c r="I239" s="38" t="inlineStr"/>
      <c r="J239" s="30" t="inlineStr"/>
      <c r="K239" s="30" t="inlineStr"/>
      <c r="L239" s="15">
        <f>IF(A239="","",F239*G239)</f>
        <v/>
      </c>
      <c r="M239" s="15">
        <f>IF(A239="","",F239+L239)</f>
        <v/>
      </c>
      <c r="N239" s="15">
        <f>IF(A239="","",SUMIFS('15_Zahlungen'!$F:$F,'15_Zahlungen'!$D:$D,A239,'15_Zahlungen'!$C:$C,"Ausgang"))</f>
        <v/>
      </c>
      <c r="O239" s="15">
        <f>IF(A239="","",MAX(0,M239-N239))</f>
        <v/>
      </c>
      <c r="P239" s="45">
        <f>IF(OR(A239="",J239="bezahlt",H239=""),"",MAX(0,TODAY()-H239))</f>
        <v/>
      </c>
    </row>
    <row r="240">
      <c r="A240" s="30" t="inlineStr"/>
      <c r="B240" s="38" t="inlineStr"/>
      <c r="C240" s="30" t="inlineStr"/>
      <c r="D240" s="30" t="inlineStr"/>
      <c r="E240" s="30" t="inlineStr"/>
      <c r="F240" s="34" t="inlineStr"/>
      <c r="G240" s="32" t="inlineStr"/>
      <c r="H240" s="38" t="inlineStr"/>
      <c r="I240" s="38" t="inlineStr"/>
      <c r="J240" s="30" t="inlineStr"/>
      <c r="K240" s="30" t="inlineStr"/>
      <c r="L240" s="15">
        <f>IF(A240="","",F240*G240)</f>
        <v/>
      </c>
      <c r="M240" s="15">
        <f>IF(A240="","",F240+L240)</f>
        <v/>
      </c>
      <c r="N240" s="15">
        <f>IF(A240="","",SUMIFS('15_Zahlungen'!$F:$F,'15_Zahlungen'!$D:$D,A240,'15_Zahlungen'!$C:$C,"Ausgang"))</f>
        <v/>
      </c>
      <c r="O240" s="15">
        <f>IF(A240="","",MAX(0,M240-N240))</f>
        <v/>
      </c>
      <c r="P240" s="45">
        <f>IF(OR(A240="",J240="bezahlt",H240=""),"",MAX(0,TODAY()-H240))</f>
        <v/>
      </c>
    </row>
    <row r="241">
      <c r="A241" s="30" t="inlineStr"/>
      <c r="B241" s="38" t="inlineStr"/>
      <c r="C241" s="30" t="inlineStr"/>
      <c r="D241" s="30" t="inlineStr"/>
      <c r="E241" s="30" t="inlineStr"/>
      <c r="F241" s="34" t="inlineStr"/>
      <c r="G241" s="32" t="inlineStr"/>
      <c r="H241" s="38" t="inlineStr"/>
      <c r="I241" s="38" t="inlineStr"/>
      <c r="J241" s="30" t="inlineStr"/>
      <c r="K241" s="30" t="inlineStr"/>
      <c r="L241" s="15">
        <f>IF(A241="","",F241*G241)</f>
        <v/>
      </c>
      <c r="M241" s="15">
        <f>IF(A241="","",F241+L241)</f>
        <v/>
      </c>
      <c r="N241" s="15">
        <f>IF(A241="","",SUMIFS('15_Zahlungen'!$F:$F,'15_Zahlungen'!$D:$D,A241,'15_Zahlungen'!$C:$C,"Ausgang"))</f>
        <v/>
      </c>
      <c r="O241" s="15">
        <f>IF(A241="","",MAX(0,M241-N241))</f>
        <v/>
      </c>
      <c r="P241" s="45">
        <f>IF(OR(A241="",J241="bezahlt",H241=""),"",MAX(0,TODAY()-H241))</f>
        <v/>
      </c>
    </row>
    <row r="242">
      <c r="A242" s="30" t="inlineStr"/>
      <c r="B242" s="38" t="inlineStr"/>
      <c r="C242" s="30" t="inlineStr"/>
      <c r="D242" s="30" t="inlineStr"/>
      <c r="E242" s="30" t="inlineStr"/>
      <c r="F242" s="34" t="inlineStr"/>
      <c r="G242" s="32" t="inlineStr"/>
      <c r="H242" s="38" t="inlineStr"/>
      <c r="I242" s="38" t="inlineStr"/>
      <c r="J242" s="30" t="inlineStr"/>
      <c r="K242" s="30" t="inlineStr"/>
      <c r="L242" s="15">
        <f>IF(A242="","",F242*G242)</f>
        <v/>
      </c>
      <c r="M242" s="15">
        <f>IF(A242="","",F242+L242)</f>
        <v/>
      </c>
      <c r="N242" s="15">
        <f>IF(A242="","",SUMIFS('15_Zahlungen'!$F:$F,'15_Zahlungen'!$D:$D,A242,'15_Zahlungen'!$C:$C,"Ausgang"))</f>
        <v/>
      </c>
      <c r="O242" s="15">
        <f>IF(A242="","",MAX(0,M242-N242))</f>
        <v/>
      </c>
      <c r="P242" s="45">
        <f>IF(OR(A242="",J242="bezahlt",H242=""),"",MAX(0,TODAY()-H242))</f>
        <v/>
      </c>
    </row>
    <row r="243">
      <c r="A243" s="30" t="inlineStr"/>
      <c r="B243" s="38" t="inlineStr"/>
      <c r="C243" s="30" t="inlineStr"/>
      <c r="D243" s="30" t="inlineStr"/>
      <c r="E243" s="30" t="inlineStr"/>
      <c r="F243" s="34" t="inlineStr"/>
      <c r="G243" s="32" t="inlineStr"/>
      <c r="H243" s="38" t="inlineStr"/>
      <c r="I243" s="38" t="inlineStr"/>
      <c r="J243" s="30" t="inlineStr"/>
      <c r="K243" s="30" t="inlineStr"/>
      <c r="L243" s="15">
        <f>IF(A243="","",F243*G243)</f>
        <v/>
      </c>
      <c r="M243" s="15">
        <f>IF(A243="","",F243+L243)</f>
        <v/>
      </c>
      <c r="N243" s="15">
        <f>IF(A243="","",SUMIFS('15_Zahlungen'!$F:$F,'15_Zahlungen'!$D:$D,A243,'15_Zahlungen'!$C:$C,"Ausgang"))</f>
        <v/>
      </c>
      <c r="O243" s="15">
        <f>IF(A243="","",MAX(0,M243-N243))</f>
        <v/>
      </c>
      <c r="P243" s="45">
        <f>IF(OR(A243="",J243="bezahlt",H243=""),"",MAX(0,TODAY()-H243))</f>
        <v/>
      </c>
    </row>
    <row r="244">
      <c r="A244" s="30" t="inlineStr"/>
      <c r="B244" s="38" t="inlineStr"/>
      <c r="C244" s="30" t="inlineStr"/>
      <c r="D244" s="30" t="inlineStr"/>
      <c r="E244" s="30" t="inlineStr"/>
      <c r="F244" s="34" t="inlineStr"/>
      <c r="G244" s="32" t="inlineStr"/>
      <c r="H244" s="38" t="inlineStr"/>
      <c r="I244" s="38" t="inlineStr"/>
      <c r="J244" s="30" t="inlineStr"/>
      <c r="K244" s="30" t="inlineStr"/>
      <c r="L244" s="15">
        <f>IF(A244="","",F244*G244)</f>
        <v/>
      </c>
      <c r="M244" s="15">
        <f>IF(A244="","",F244+L244)</f>
        <v/>
      </c>
      <c r="N244" s="15">
        <f>IF(A244="","",SUMIFS('15_Zahlungen'!$F:$F,'15_Zahlungen'!$D:$D,A244,'15_Zahlungen'!$C:$C,"Ausgang"))</f>
        <v/>
      </c>
      <c r="O244" s="15">
        <f>IF(A244="","",MAX(0,M244-N244))</f>
        <v/>
      </c>
      <c r="P244" s="45">
        <f>IF(OR(A244="",J244="bezahlt",H244=""),"",MAX(0,TODAY()-H244))</f>
        <v/>
      </c>
    </row>
    <row r="245">
      <c r="A245" s="30" t="inlineStr"/>
      <c r="B245" s="38" t="inlineStr"/>
      <c r="C245" s="30" t="inlineStr"/>
      <c r="D245" s="30" t="inlineStr"/>
      <c r="E245" s="30" t="inlineStr"/>
      <c r="F245" s="34" t="inlineStr"/>
      <c r="G245" s="32" t="inlineStr"/>
      <c r="H245" s="38" t="inlineStr"/>
      <c r="I245" s="38" t="inlineStr"/>
      <c r="J245" s="30" t="inlineStr"/>
      <c r="K245" s="30" t="inlineStr"/>
      <c r="L245" s="15">
        <f>IF(A245="","",F245*G245)</f>
        <v/>
      </c>
      <c r="M245" s="15">
        <f>IF(A245="","",F245+L245)</f>
        <v/>
      </c>
      <c r="N245" s="15">
        <f>IF(A245="","",SUMIFS('15_Zahlungen'!$F:$F,'15_Zahlungen'!$D:$D,A245,'15_Zahlungen'!$C:$C,"Ausgang"))</f>
        <v/>
      </c>
      <c r="O245" s="15">
        <f>IF(A245="","",MAX(0,M245-N245))</f>
        <v/>
      </c>
      <c r="P245" s="45">
        <f>IF(OR(A245="",J245="bezahlt",H245=""),"",MAX(0,TODAY()-H245))</f>
        <v/>
      </c>
    </row>
    <row r="246">
      <c r="A246" s="30" t="inlineStr"/>
      <c r="B246" s="38" t="inlineStr"/>
      <c r="C246" s="30" t="inlineStr"/>
      <c r="D246" s="30" t="inlineStr"/>
      <c r="E246" s="30" t="inlineStr"/>
      <c r="F246" s="34" t="inlineStr"/>
      <c r="G246" s="32" t="inlineStr"/>
      <c r="H246" s="38" t="inlineStr"/>
      <c r="I246" s="38" t="inlineStr"/>
      <c r="J246" s="30" t="inlineStr"/>
      <c r="K246" s="30" t="inlineStr"/>
      <c r="L246" s="15">
        <f>IF(A246="","",F246*G246)</f>
        <v/>
      </c>
      <c r="M246" s="15">
        <f>IF(A246="","",F246+L246)</f>
        <v/>
      </c>
      <c r="N246" s="15">
        <f>IF(A246="","",SUMIFS('15_Zahlungen'!$F:$F,'15_Zahlungen'!$D:$D,A246,'15_Zahlungen'!$C:$C,"Ausgang"))</f>
        <v/>
      </c>
      <c r="O246" s="15">
        <f>IF(A246="","",MAX(0,M246-N246))</f>
        <v/>
      </c>
      <c r="P246" s="45">
        <f>IF(OR(A246="",J246="bezahlt",H246=""),"",MAX(0,TODAY()-H246))</f>
        <v/>
      </c>
    </row>
    <row r="247">
      <c r="A247" s="30" t="inlineStr"/>
      <c r="B247" s="38" t="inlineStr"/>
      <c r="C247" s="30" t="inlineStr"/>
      <c r="D247" s="30" t="inlineStr"/>
      <c r="E247" s="30" t="inlineStr"/>
      <c r="F247" s="34" t="inlineStr"/>
      <c r="G247" s="32" t="inlineStr"/>
      <c r="H247" s="38" t="inlineStr"/>
      <c r="I247" s="38" t="inlineStr"/>
      <c r="J247" s="30" t="inlineStr"/>
      <c r="K247" s="30" t="inlineStr"/>
      <c r="L247" s="15">
        <f>IF(A247="","",F247*G247)</f>
        <v/>
      </c>
      <c r="M247" s="15">
        <f>IF(A247="","",F247+L247)</f>
        <v/>
      </c>
      <c r="N247" s="15">
        <f>IF(A247="","",SUMIFS('15_Zahlungen'!$F:$F,'15_Zahlungen'!$D:$D,A247,'15_Zahlungen'!$C:$C,"Ausgang"))</f>
        <v/>
      </c>
      <c r="O247" s="15">
        <f>IF(A247="","",MAX(0,M247-N247))</f>
        <v/>
      </c>
      <c r="P247" s="45">
        <f>IF(OR(A247="",J247="bezahlt",H247=""),"",MAX(0,TODAY()-H247))</f>
        <v/>
      </c>
    </row>
    <row r="248">
      <c r="A248" s="30" t="inlineStr"/>
      <c r="B248" s="38" t="inlineStr"/>
      <c r="C248" s="30" t="inlineStr"/>
      <c r="D248" s="30" t="inlineStr"/>
      <c r="E248" s="30" t="inlineStr"/>
      <c r="F248" s="34" t="inlineStr"/>
      <c r="G248" s="32" t="inlineStr"/>
      <c r="H248" s="38" t="inlineStr"/>
      <c r="I248" s="38" t="inlineStr"/>
      <c r="J248" s="30" t="inlineStr"/>
      <c r="K248" s="30" t="inlineStr"/>
      <c r="L248" s="15">
        <f>IF(A248="","",F248*G248)</f>
        <v/>
      </c>
      <c r="M248" s="15">
        <f>IF(A248="","",F248+L248)</f>
        <v/>
      </c>
      <c r="N248" s="15">
        <f>IF(A248="","",SUMIFS('15_Zahlungen'!$F:$F,'15_Zahlungen'!$D:$D,A248,'15_Zahlungen'!$C:$C,"Ausgang"))</f>
        <v/>
      </c>
      <c r="O248" s="15">
        <f>IF(A248="","",MAX(0,M248-N248))</f>
        <v/>
      </c>
      <c r="P248" s="45">
        <f>IF(OR(A248="",J248="bezahlt",H248=""),"",MAX(0,TODAY()-H248))</f>
        <v/>
      </c>
    </row>
    <row r="249">
      <c r="A249" s="30" t="inlineStr"/>
      <c r="B249" s="38" t="inlineStr"/>
      <c r="C249" s="30" t="inlineStr"/>
      <c r="D249" s="30" t="inlineStr"/>
      <c r="E249" s="30" t="inlineStr"/>
      <c r="F249" s="34" t="inlineStr"/>
      <c r="G249" s="32" t="inlineStr"/>
      <c r="H249" s="38" t="inlineStr"/>
      <c r="I249" s="38" t="inlineStr"/>
      <c r="J249" s="30" t="inlineStr"/>
      <c r="K249" s="30" t="inlineStr"/>
      <c r="L249" s="15">
        <f>IF(A249="","",F249*G249)</f>
        <v/>
      </c>
      <c r="M249" s="15">
        <f>IF(A249="","",F249+L249)</f>
        <v/>
      </c>
      <c r="N249" s="15">
        <f>IF(A249="","",SUMIFS('15_Zahlungen'!$F:$F,'15_Zahlungen'!$D:$D,A249,'15_Zahlungen'!$C:$C,"Ausgang"))</f>
        <v/>
      </c>
      <c r="O249" s="15">
        <f>IF(A249="","",MAX(0,M249-N249))</f>
        <v/>
      </c>
      <c r="P249" s="45">
        <f>IF(OR(A249="",J249="bezahlt",H249=""),"",MAX(0,TODAY()-H249))</f>
        <v/>
      </c>
    </row>
    <row r="250">
      <c r="A250" s="30" t="inlineStr"/>
      <c r="B250" s="38" t="inlineStr"/>
      <c r="C250" s="30" t="inlineStr"/>
      <c r="D250" s="30" t="inlineStr"/>
      <c r="E250" s="30" t="inlineStr"/>
      <c r="F250" s="34" t="inlineStr"/>
      <c r="G250" s="32" t="inlineStr"/>
      <c r="H250" s="38" t="inlineStr"/>
      <c r="I250" s="38" t="inlineStr"/>
      <c r="J250" s="30" t="inlineStr"/>
      <c r="K250" s="30" t="inlineStr"/>
      <c r="L250" s="15">
        <f>IF(A250="","",F250*G250)</f>
        <v/>
      </c>
      <c r="M250" s="15">
        <f>IF(A250="","",F250+L250)</f>
        <v/>
      </c>
      <c r="N250" s="15">
        <f>IF(A250="","",SUMIFS('15_Zahlungen'!$F:$F,'15_Zahlungen'!$D:$D,A250,'15_Zahlungen'!$C:$C,"Ausgang"))</f>
        <v/>
      </c>
      <c r="O250" s="15">
        <f>IF(A250="","",MAX(0,M250-N250))</f>
        <v/>
      </c>
      <c r="P250" s="45">
        <f>IF(OR(A250="",J250="bezahlt",H250=""),"",MAX(0,TODAY()-H250))</f>
        <v/>
      </c>
    </row>
    <row r="251">
      <c r="A251" s="30" t="inlineStr"/>
      <c r="B251" s="38" t="inlineStr"/>
      <c r="C251" s="30" t="inlineStr"/>
      <c r="D251" s="30" t="inlineStr"/>
      <c r="E251" s="30" t="inlineStr"/>
      <c r="F251" s="34" t="inlineStr"/>
      <c r="G251" s="32" t="inlineStr"/>
      <c r="H251" s="38" t="inlineStr"/>
      <c r="I251" s="38" t="inlineStr"/>
      <c r="J251" s="30" t="inlineStr"/>
      <c r="K251" s="30" t="inlineStr"/>
      <c r="L251" s="15">
        <f>IF(A251="","",F251*G251)</f>
        <v/>
      </c>
      <c r="M251" s="15">
        <f>IF(A251="","",F251+L251)</f>
        <v/>
      </c>
      <c r="N251" s="15">
        <f>IF(A251="","",SUMIFS('15_Zahlungen'!$F:$F,'15_Zahlungen'!$D:$D,A251,'15_Zahlungen'!$C:$C,"Ausgang"))</f>
        <v/>
      </c>
      <c r="O251" s="15">
        <f>IF(A251="","",MAX(0,M251-N251))</f>
        <v/>
      </c>
      <c r="P251" s="45">
        <f>IF(OR(A251="",J251="bezahlt",H251=""),"",MAX(0,TODAY()-H251))</f>
        <v/>
      </c>
    </row>
    <row r="252">
      <c r="A252" s="30" t="inlineStr"/>
      <c r="B252" s="38" t="inlineStr"/>
      <c r="C252" s="30" t="inlineStr"/>
      <c r="D252" s="30" t="inlineStr"/>
      <c r="E252" s="30" t="inlineStr"/>
      <c r="F252" s="34" t="inlineStr"/>
      <c r="G252" s="32" t="inlineStr"/>
      <c r="H252" s="38" t="inlineStr"/>
      <c r="I252" s="38" t="inlineStr"/>
      <c r="J252" s="30" t="inlineStr"/>
      <c r="K252" s="30" t="inlineStr"/>
      <c r="L252" s="15">
        <f>IF(A252="","",F252*G252)</f>
        <v/>
      </c>
      <c r="M252" s="15">
        <f>IF(A252="","",F252+L252)</f>
        <v/>
      </c>
      <c r="N252" s="15">
        <f>IF(A252="","",SUMIFS('15_Zahlungen'!$F:$F,'15_Zahlungen'!$D:$D,A252,'15_Zahlungen'!$C:$C,"Ausgang"))</f>
        <v/>
      </c>
      <c r="O252" s="15">
        <f>IF(A252="","",MAX(0,M252-N252))</f>
        <v/>
      </c>
      <c r="P252" s="45">
        <f>IF(OR(A252="",J252="bezahlt",H252=""),"",MAX(0,TODAY()-H252))</f>
        <v/>
      </c>
    </row>
    <row r="253">
      <c r="A253" s="30" t="inlineStr"/>
      <c r="B253" s="38" t="inlineStr"/>
      <c r="C253" s="30" t="inlineStr"/>
      <c r="D253" s="30" t="inlineStr"/>
      <c r="E253" s="30" t="inlineStr"/>
      <c r="F253" s="34" t="inlineStr"/>
      <c r="G253" s="32" t="inlineStr"/>
      <c r="H253" s="38" t="inlineStr"/>
      <c r="I253" s="38" t="inlineStr"/>
      <c r="J253" s="30" t="inlineStr"/>
      <c r="K253" s="30" t="inlineStr"/>
      <c r="L253" s="15">
        <f>IF(A253="","",F253*G253)</f>
        <v/>
      </c>
      <c r="M253" s="15">
        <f>IF(A253="","",F253+L253)</f>
        <v/>
      </c>
      <c r="N253" s="15">
        <f>IF(A253="","",SUMIFS('15_Zahlungen'!$F:$F,'15_Zahlungen'!$D:$D,A253,'15_Zahlungen'!$C:$C,"Ausgang"))</f>
        <v/>
      </c>
      <c r="O253" s="15">
        <f>IF(A253="","",MAX(0,M253-N253))</f>
        <v/>
      </c>
      <c r="P253" s="45">
        <f>IF(OR(A253="",J253="bezahlt",H253=""),"",MAX(0,TODAY()-H253))</f>
        <v/>
      </c>
    </row>
    <row r="254">
      <c r="A254" s="30" t="inlineStr"/>
      <c r="B254" s="38" t="inlineStr"/>
      <c r="C254" s="30" t="inlineStr"/>
      <c r="D254" s="30" t="inlineStr"/>
      <c r="E254" s="30" t="inlineStr"/>
      <c r="F254" s="34" t="inlineStr"/>
      <c r="G254" s="32" t="inlineStr"/>
      <c r="H254" s="38" t="inlineStr"/>
      <c r="I254" s="38" t="inlineStr"/>
      <c r="J254" s="30" t="inlineStr"/>
      <c r="K254" s="30" t="inlineStr"/>
      <c r="L254" s="15">
        <f>IF(A254="","",F254*G254)</f>
        <v/>
      </c>
      <c r="M254" s="15">
        <f>IF(A254="","",F254+L254)</f>
        <v/>
      </c>
      <c r="N254" s="15">
        <f>IF(A254="","",SUMIFS('15_Zahlungen'!$F:$F,'15_Zahlungen'!$D:$D,A254,'15_Zahlungen'!$C:$C,"Ausgang"))</f>
        <v/>
      </c>
      <c r="O254" s="15">
        <f>IF(A254="","",MAX(0,M254-N254))</f>
        <v/>
      </c>
      <c r="P254" s="45">
        <f>IF(OR(A254="",J254="bezahlt",H254=""),"",MAX(0,TODAY()-H254))</f>
        <v/>
      </c>
    </row>
    <row r="255">
      <c r="A255" s="30" t="inlineStr"/>
      <c r="B255" s="38" t="inlineStr"/>
      <c r="C255" s="30" t="inlineStr"/>
      <c r="D255" s="30" t="inlineStr"/>
      <c r="E255" s="30" t="inlineStr"/>
      <c r="F255" s="34" t="inlineStr"/>
      <c r="G255" s="32" t="inlineStr"/>
      <c r="H255" s="38" t="inlineStr"/>
      <c r="I255" s="38" t="inlineStr"/>
      <c r="J255" s="30" t="inlineStr"/>
      <c r="K255" s="30" t="inlineStr"/>
      <c r="L255" s="15">
        <f>IF(A255="","",F255*G255)</f>
        <v/>
      </c>
      <c r="M255" s="15">
        <f>IF(A255="","",F255+L255)</f>
        <v/>
      </c>
      <c r="N255" s="15">
        <f>IF(A255="","",SUMIFS('15_Zahlungen'!$F:$F,'15_Zahlungen'!$D:$D,A255,'15_Zahlungen'!$C:$C,"Ausgang"))</f>
        <v/>
      </c>
      <c r="O255" s="15">
        <f>IF(A255="","",MAX(0,M255-N255))</f>
        <v/>
      </c>
      <c r="P255" s="45">
        <f>IF(OR(A255="",J255="bezahlt",H255=""),"",MAX(0,TODAY()-H255))</f>
        <v/>
      </c>
    </row>
    <row r="256">
      <c r="A256" s="30" t="inlineStr"/>
      <c r="B256" s="38" t="inlineStr"/>
      <c r="C256" s="30" t="inlineStr"/>
      <c r="D256" s="30" t="inlineStr"/>
      <c r="E256" s="30" t="inlineStr"/>
      <c r="F256" s="34" t="inlineStr"/>
      <c r="G256" s="32" t="inlineStr"/>
      <c r="H256" s="38" t="inlineStr"/>
      <c r="I256" s="38" t="inlineStr"/>
      <c r="J256" s="30" t="inlineStr"/>
      <c r="K256" s="30" t="inlineStr"/>
      <c r="L256" s="15">
        <f>IF(A256="","",F256*G256)</f>
        <v/>
      </c>
      <c r="M256" s="15">
        <f>IF(A256="","",F256+L256)</f>
        <v/>
      </c>
      <c r="N256" s="15">
        <f>IF(A256="","",SUMIFS('15_Zahlungen'!$F:$F,'15_Zahlungen'!$D:$D,A256,'15_Zahlungen'!$C:$C,"Ausgang"))</f>
        <v/>
      </c>
      <c r="O256" s="15">
        <f>IF(A256="","",MAX(0,M256-N256))</f>
        <v/>
      </c>
      <c r="P256" s="45">
        <f>IF(OR(A256="",J256="bezahlt",H256=""),"",MAX(0,TODAY()-H256))</f>
        <v/>
      </c>
    </row>
    <row r="257">
      <c r="A257" s="30" t="inlineStr"/>
      <c r="B257" s="38" t="inlineStr"/>
      <c r="C257" s="30" t="inlineStr"/>
      <c r="D257" s="30" t="inlineStr"/>
      <c r="E257" s="30" t="inlineStr"/>
      <c r="F257" s="34" t="inlineStr"/>
      <c r="G257" s="32" t="inlineStr"/>
      <c r="H257" s="38" t="inlineStr"/>
      <c r="I257" s="38" t="inlineStr"/>
      <c r="J257" s="30" t="inlineStr"/>
      <c r="K257" s="30" t="inlineStr"/>
      <c r="L257" s="15">
        <f>IF(A257="","",F257*G257)</f>
        <v/>
      </c>
      <c r="M257" s="15">
        <f>IF(A257="","",F257+L257)</f>
        <v/>
      </c>
      <c r="N257" s="15">
        <f>IF(A257="","",SUMIFS('15_Zahlungen'!$F:$F,'15_Zahlungen'!$D:$D,A257,'15_Zahlungen'!$C:$C,"Ausgang"))</f>
        <v/>
      </c>
      <c r="O257" s="15">
        <f>IF(A257="","",MAX(0,M257-N257))</f>
        <v/>
      </c>
      <c r="P257" s="45">
        <f>IF(OR(A257="",J257="bezahlt",H257=""),"",MAX(0,TODAY()-H257))</f>
        <v/>
      </c>
    </row>
    <row r="258">
      <c r="A258" s="30" t="inlineStr"/>
      <c r="B258" s="38" t="inlineStr"/>
      <c r="C258" s="30" t="inlineStr"/>
      <c r="D258" s="30" t="inlineStr"/>
      <c r="E258" s="30" t="inlineStr"/>
      <c r="F258" s="34" t="inlineStr"/>
      <c r="G258" s="32" t="inlineStr"/>
      <c r="H258" s="38" t="inlineStr"/>
      <c r="I258" s="38" t="inlineStr"/>
      <c r="J258" s="30" t="inlineStr"/>
      <c r="K258" s="30" t="inlineStr"/>
      <c r="L258" s="15">
        <f>IF(A258="","",F258*G258)</f>
        <v/>
      </c>
      <c r="M258" s="15">
        <f>IF(A258="","",F258+L258)</f>
        <v/>
      </c>
      <c r="N258" s="15">
        <f>IF(A258="","",SUMIFS('15_Zahlungen'!$F:$F,'15_Zahlungen'!$D:$D,A258,'15_Zahlungen'!$C:$C,"Ausgang"))</f>
        <v/>
      </c>
      <c r="O258" s="15">
        <f>IF(A258="","",MAX(0,M258-N258))</f>
        <v/>
      </c>
      <c r="P258" s="45">
        <f>IF(OR(A258="",J258="bezahlt",H258=""),"",MAX(0,TODAY()-H258))</f>
        <v/>
      </c>
    </row>
    <row r="259">
      <c r="A259" s="30" t="inlineStr"/>
      <c r="B259" s="38" t="inlineStr"/>
      <c r="C259" s="30" t="inlineStr"/>
      <c r="D259" s="30" t="inlineStr"/>
      <c r="E259" s="30" t="inlineStr"/>
      <c r="F259" s="34" t="inlineStr"/>
      <c r="G259" s="32" t="inlineStr"/>
      <c r="H259" s="38" t="inlineStr"/>
      <c r="I259" s="38" t="inlineStr"/>
      <c r="J259" s="30" t="inlineStr"/>
      <c r="K259" s="30" t="inlineStr"/>
      <c r="L259" s="15">
        <f>IF(A259="","",F259*G259)</f>
        <v/>
      </c>
      <c r="M259" s="15">
        <f>IF(A259="","",F259+L259)</f>
        <v/>
      </c>
      <c r="N259" s="15">
        <f>IF(A259="","",SUMIFS('15_Zahlungen'!$F:$F,'15_Zahlungen'!$D:$D,A259,'15_Zahlungen'!$C:$C,"Ausgang"))</f>
        <v/>
      </c>
      <c r="O259" s="15">
        <f>IF(A259="","",MAX(0,M259-N259))</f>
        <v/>
      </c>
      <c r="P259" s="45">
        <f>IF(OR(A259="",J259="bezahlt",H259=""),"",MAX(0,TODAY()-H259))</f>
        <v/>
      </c>
    </row>
    <row r="260">
      <c r="A260" s="30" t="inlineStr"/>
      <c r="B260" s="38" t="inlineStr"/>
      <c r="C260" s="30" t="inlineStr"/>
      <c r="D260" s="30" t="inlineStr"/>
      <c r="E260" s="30" t="inlineStr"/>
      <c r="F260" s="34" t="inlineStr"/>
      <c r="G260" s="32" t="inlineStr"/>
      <c r="H260" s="38" t="inlineStr"/>
      <c r="I260" s="38" t="inlineStr"/>
      <c r="J260" s="30" t="inlineStr"/>
      <c r="K260" s="30" t="inlineStr"/>
      <c r="L260" s="15">
        <f>IF(A260="","",F260*G260)</f>
        <v/>
      </c>
      <c r="M260" s="15">
        <f>IF(A260="","",F260+L260)</f>
        <v/>
      </c>
      <c r="N260" s="15">
        <f>IF(A260="","",SUMIFS('15_Zahlungen'!$F:$F,'15_Zahlungen'!$D:$D,A260,'15_Zahlungen'!$C:$C,"Ausgang"))</f>
        <v/>
      </c>
      <c r="O260" s="15">
        <f>IF(A260="","",MAX(0,M260-N260))</f>
        <v/>
      </c>
      <c r="P260" s="45">
        <f>IF(OR(A260="",J260="bezahlt",H260=""),"",MAX(0,TODAY()-H260))</f>
        <v/>
      </c>
    </row>
    <row r="261">
      <c r="A261" s="30" t="inlineStr"/>
      <c r="B261" s="38" t="inlineStr"/>
      <c r="C261" s="30" t="inlineStr"/>
      <c r="D261" s="30" t="inlineStr"/>
      <c r="E261" s="30" t="inlineStr"/>
      <c r="F261" s="34" t="inlineStr"/>
      <c r="G261" s="32" t="inlineStr"/>
      <c r="H261" s="38" t="inlineStr"/>
      <c r="I261" s="38" t="inlineStr"/>
      <c r="J261" s="30" t="inlineStr"/>
      <c r="K261" s="30" t="inlineStr"/>
      <c r="L261" s="15">
        <f>IF(A261="","",F261*G261)</f>
        <v/>
      </c>
      <c r="M261" s="15">
        <f>IF(A261="","",F261+L261)</f>
        <v/>
      </c>
      <c r="N261" s="15">
        <f>IF(A261="","",SUMIFS('15_Zahlungen'!$F:$F,'15_Zahlungen'!$D:$D,A261,'15_Zahlungen'!$C:$C,"Ausgang"))</f>
        <v/>
      </c>
      <c r="O261" s="15">
        <f>IF(A261="","",MAX(0,M261-N261))</f>
        <v/>
      </c>
      <c r="P261" s="45">
        <f>IF(OR(A261="",J261="bezahlt",H261=""),"",MAX(0,TODAY()-H261))</f>
        <v/>
      </c>
    </row>
    <row r="262">
      <c r="A262" s="30" t="inlineStr"/>
      <c r="B262" s="38" t="inlineStr"/>
      <c r="C262" s="30" t="inlineStr"/>
      <c r="D262" s="30" t="inlineStr"/>
      <c r="E262" s="30" t="inlineStr"/>
      <c r="F262" s="34" t="inlineStr"/>
      <c r="G262" s="32" t="inlineStr"/>
      <c r="H262" s="38" t="inlineStr"/>
      <c r="I262" s="38" t="inlineStr"/>
      <c r="J262" s="30" t="inlineStr"/>
      <c r="K262" s="30" t="inlineStr"/>
      <c r="L262" s="15">
        <f>IF(A262="","",F262*G262)</f>
        <v/>
      </c>
      <c r="M262" s="15">
        <f>IF(A262="","",F262+L262)</f>
        <v/>
      </c>
      <c r="N262" s="15">
        <f>IF(A262="","",SUMIFS('15_Zahlungen'!$F:$F,'15_Zahlungen'!$D:$D,A262,'15_Zahlungen'!$C:$C,"Ausgang"))</f>
        <v/>
      </c>
      <c r="O262" s="15">
        <f>IF(A262="","",MAX(0,M262-N262))</f>
        <v/>
      </c>
      <c r="P262" s="45">
        <f>IF(OR(A262="",J262="bezahlt",H262=""),"",MAX(0,TODAY()-H262))</f>
        <v/>
      </c>
    </row>
    <row r="263">
      <c r="A263" s="30" t="inlineStr"/>
      <c r="B263" s="38" t="inlineStr"/>
      <c r="C263" s="30" t="inlineStr"/>
      <c r="D263" s="30" t="inlineStr"/>
      <c r="E263" s="30" t="inlineStr"/>
      <c r="F263" s="34" t="inlineStr"/>
      <c r="G263" s="32" t="inlineStr"/>
      <c r="H263" s="38" t="inlineStr"/>
      <c r="I263" s="38" t="inlineStr"/>
      <c r="J263" s="30" t="inlineStr"/>
      <c r="K263" s="30" t="inlineStr"/>
      <c r="L263" s="15">
        <f>IF(A263="","",F263*G263)</f>
        <v/>
      </c>
      <c r="M263" s="15">
        <f>IF(A263="","",F263+L263)</f>
        <v/>
      </c>
      <c r="N263" s="15">
        <f>IF(A263="","",SUMIFS('15_Zahlungen'!$F:$F,'15_Zahlungen'!$D:$D,A263,'15_Zahlungen'!$C:$C,"Ausgang"))</f>
        <v/>
      </c>
      <c r="O263" s="15">
        <f>IF(A263="","",MAX(0,M263-N263))</f>
        <v/>
      </c>
      <c r="P263" s="45">
        <f>IF(OR(A263="",J263="bezahlt",H263=""),"",MAX(0,TODAY()-H263))</f>
        <v/>
      </c>
    </row>
    <row r="264">
      <c r="A264" s="30" t="inlineStr"/>
      <c r="B264" s="38" t="inlineStr"/>
      <c r="C264" s="30" t="inlineStr"/>
      <c r="D264" s="30" t="inlineStr"/>
      <c r="E264" s="30" t="inlineStr"/>
      <c r="F264" s="34" t="inlineStr"/>
      <c r="G264" s="32" t="inlineStr"/>
      <c r="H264" s="38" t="inlineStr"/>
      <c r="I264" s="38" t="inlineStr"/>
      <c r="J264" s="30" t="inlineStr"/>
      <c r="K264" s="30" t="inlineStr"/>
      <c r="L264" s="15">
        <f>IF(A264="","",F264*G264)</f>
        <v/>
      </c>
      <c r="M264" s="15">
        <f>IF(A264="","",F264+L264)</f>
        <v/>
      </c>
      <c r="N264" s="15">
        <f>IF(A264="","",SUMIFS('15_Zahlungen'!$F:$F,'15_Zahlungen'!$D:$D,A264,'15_Zahlungen'!$C:$C,"Ausgang"))</f>
        <v/>
      </c>
      <c r="O264" s="15">
        <f>IF(A264="","",MAX(0,M264-N264))</f>
        <v/>
      </c>
      <c r="P264" s="45">
        <f>IF(OR(A264="",J264="bezahlt",H264=""),"",MAX(0,TODAY()-H264))</f>
        <v/>
      </c>
    </row>
    <row r="265">
      <c r="A265" s="30" t="inlineStr"/>
      <c r="B265" s="38" t="inlineStr"/>
      <c r="C265" s="30" t="inlineStr"/>
      <c r="D265" s="30" t="inlineStr"/>
      <c r="E265" s="30" t="inlineStr"/>
      <c r="F265" s="34" t="inlineStr"/>
      <c r="G265" s="32" t="inlineStr"/>
      <c r="H265" s="38" t="inlineStr"/>
      <c r="I265" s="38" t="inlineStr"/>
      <c r="J265" s="30" t="inlineStr"/>
      <c r="K265" s="30" t="inlineStr"/>
      <c r="L265" s="15">
        <f>IF(A265="","",F265*G265)</f>
        <v/>
      </c>
      <c r="M265" s="15">
        <f>IF(A265="","",F265+L265)</f>
        <v/>
      </c>
      <c r="N265" s="15">
        <f>IF(A265="","",SUMIFS('15_Zahlungen'!$F:$F,'15_Zahlungen'!$D:$D,A265,'15_Zahlungen'!$C:$C,"Ausgang"))</f>
        <v/>
      </c>
      <c r="O265" s="15">
        <f>IF(A265="","",MAX(0,M265-N265))</f>
        <v/>
      </c>
      <c r="P265" s="45">
        <f>IF(OR(A265="",J265="bezahlt",H265=""),"",MAX(0,TODAY()-H265))</f>
        <v/>
      </c>
    </row>
    <row r="266">
      <c r="A266" s="30" t="inlineStr"/>
      <c r="B266" s="38" t="inlineStr"/>
      <c r="C266" s="30" t="inlineStr"/>
      <c r="D266" s="30" t="inlineStr"/>
      <c r="E266" s="30" t="inlineStr"/>
      <c r="F266" s="34" t="inlineStr"/>
      <c r="G266" s="32" t="inlineStr"/>
      <c r="H266" s="38" t="inlineStr"/>
      <c r="I266" s="38" t="inlineStr"/>
      <c r="J266" s="30" t="inlineStr"/>
      <c r="K266" s="30" t="inlineStr"/>
      <c r="L266" s="15">
        <f>IF(A266="","",F266*G266)</f>
        <v/>
      </c>
      <c r="M266" s="15">
        <f>IF(A266="","",F266+L266)</f>
        <v/>
      </c>
      <c r="N266" s="15">
        <f>IF(A266="","",SUMIFS('15_Zahlungen'!$F:$F,'15_Zahlungen'!$D:$D,A266,'15_Zahlungen'!$C:$C,"Ausgang"))</f>
        <v/>
      </c>
      <c r="O266" s="15">
        <f>IF(A266="","",MAX(0,M266-N266))</f>
        <v/>
      </c>
      <c r="P266" s="45">
        <f>IF(OR(A266="",J266="bezahlt",H266=""),"",MAX(0,TODAY()-H266))</f>
        <v/>
      </c>
    </row>
    <row r="267">
      <c r="A267" s="30" t="inlineStr"/>
      <c r="B267" s="38" t="inlineStr"/>
      <c r="C267" s="30" t="inlineStr"/>
      <c r="D267" s="30" t="inlineStr"/>
      <c r="E267" s="30" t="inlineStr"/>
      <c r="F267" s="34" t="inlineStr"/>
      <c r="G267" s="32" t="inlineStr"/>
      <c r="H267" s="38" t="inlineStr"/>
      <c r="I267" s="38" t="inlineStr"/>
      <c r="J267" s="30" t="inlineStr"/>
      <c r="K267" s="30" t="inlineStr"/>
      <c r="L267" s="15">
        <f>IF(A267="","",F267*G267)</f>
        <v/>
      </c>
      <c r="M267" s="15">
        <f>IF(A267="","",F267+L267)</f>
        <v/>
      </c>
      <c r="N267" s="15">
        <f>IF(A267="","",SUMIFS('15_Zahlungen'!$F:$F,'15_Zahlungen'!$D:$D,A267,'15_Zahlungen'!$C:$C,"Ausgang"))</f>
        <v/>
      </c>
      <c r="O267" s="15">
        <f>IF(A267="","",MAX(0,M267-N267))</f>
        <v/>
      </c>
      <c r="P267" s="45">
        <f>IF(OR(A267="",J267="bezahlt",H267=""),"",MAX(0,TODAY()-H267))</f>
        <v/>
      </c>
    </row>
    <row r="268">
      <c r="A268" s="30" t="inlineStr"/>
      <c r="B268" s="38" t="inlineStr"/>
      <c r="C268" s="30" t="inlineStr"/>
      <c r="D268" s="30" t="inlineStr"/>
      <c r="E268" s="30" t="inlineStr"/>
      <c r="F268" s="34" t="inlineStr"/>
      <c r="G268" s="32" t="inlineStr"/>
      <c r="H268" s="38" t="inlineStr"/>
      <c r="I268" s="38" t="inlineStr"/>
      <c r="J268" s="30" t="inlineStr"/>
      <c r="K268" s="30" t="inlineStr"/>
      <c r="L268" s="15">
        <f>IF(A268="","",F268*G268)</f>
        <v/>
      </c>
      <c r="M268" s="15">
        <f>IF(A268="","",F268+L268)</f>
        <v/>
      </c>
      <c r="N268" s="15">
        <f>IF(A268="","",SUMIFS('15_Zahlungen'!$F:$F,'15_Zahlungen'!$D:$D,A268,'15_Zahlungen'!$C:$C,"Ausgang"))</f>
        <v/>
      </c>
      <c r="O268" s="15">
        <f>IF(A268="","",MAX(0,M268-N268))</f>
        <v/>
      </c>
      <c r="P268" s="45">
        <f>IF(OR(A268="",J268="bezahlt",H268=""),"",MAX(0,TODAY()-H268))</f>
        <v/>
      </c>
    </row>
    <row r="269">
      <c r="A269" s="30" t="inlineStr"/>
      <c r="B269" s="38" t="inlineStr"/>
      <c r="C269" s="30" t="inlineStr"/>
      <c r="D269" s="30" t="inlineStr"/>
      <c r="E269" s="30" t="inlineStr"/>
      <c r="F269" s="34" t="inlineStr"/>
      <c r="G269" s="32" t="inlineStr"/>
      <c r="H269" s="38" t="inlineStr"/>
      <c r="I269" s="38" t="inlineStr"/>
      <c r="J269" s="30" t="inlineStr"/>
      <c r="K269" s="30" t="inlineStr"/>
      <c r="L269" s="15">
        <f>IF(A269="","",F269*G269)</f>
        <v/>
      </c>
      <c r="M269" s="15">
        <f>IF(A269="","",F269+L269)</f>
        <v/>
      </c>
      <c r="N269" s="15">
        <f>IF(A269="","",SUMIFS('15_Zahlungen'!$F:$F,'15_Zahlungen'!$D:$D,A269,'15_Zahlungen'!$C:$C,"Ausgang"))</f>
        <v/>
      </c>
      <c r="O269" s="15">
        <f>IF(A269="","",MAX(0,M269-N269))</f>
        <v/>
      </c>
      <c r="P269" s="45">
        <f>IF(OR(A269="",J269="bezahlt",H269=""),"",MAX(0,TODAY()-H269))</f>
        <v/>
      </c>
    </row>
    <row r="270">
      <c r="A270" s="30" t="inlineStr"/>
      <c r="B270" s="38" t="inlineStr"/>
      <c r="C270" s="30" t="inlineStr"/>
      <c r="D270" s="30" t="inlineStr"/>
      <c r="E270" s="30" t="inlineStr"/>
      <c r="F270" s="34" t="inlineStr"/>
      <c r="G270" s="32" t="inlineStr"/>
      <c r="H270" s="38" t="inlineStr"/>
      <c r="I270" s="38" t="inlineStr"/>
      <c r="J270" s="30" t="inlineStr"/>
      <c r="K270" s="30" t="inlineStr"/>
      <c r="L270" s="15">
        <f>IF(A270="","",F270*G270)</f>
        <v/>
      </c>
      <c r="M270" s="15">
        <f>IF(A270="","",F270+L270)</f>
        <v/>
      </c>
      <c r="N270" s="15">
        <f>IF(A270="","",SUMIFS('15_Zahlungen'!$F:$F,'15_Zahlungen'!$D:$D,A270,'15_Zahlungen'!$C:$C,"Ausgang"))</f>
        <v/>
      </c>
      <c r="O270" s="15">
        <f>IF(A270="","",MAX(0,M270-N270))</f>
        <v/>
      </c>
      <c r="P270" s="45">
        <f>IF(OR(A270="",J270="bezahlt",H270=""),"",MAX(0,TODAY()-H270))</f>
        <v/>
      </c>
    </row>
    <row r="271">
      <c r="A271" s="30" t="inlineStr"/>
      <c r="B271" s="38" t="inlineStr"/>
      <c r="C271" s="30" t="inlineStr"/>
      <c r="D271" s="30" t="inlineStr"/>
      <c r="E271" s="30" t="inlineStr"/>
      <c r="F271" s="34" t="inlineStr"/>
      <c r="G271" s="32" t="inlineStr"/>
      <c r="H271" s="38" t="inlineStr"/>
      <c r="I271" s="38" t="inlineStr"/>
      <c r="J271" s="30" t="inlineStr"/>
      <c r="K271" s="30" t="inlineStr"/>
      <c r="L271" s="15">
        <f>IF(A271="","",F271*G271)</f>
        <v/>
      </c>
      <c r="M271" s="15">
        <f>IF(A271="","",F271+L271)</f>
        <v/>
      </c>
      <c r="N271" s="15">
        <f>IF(A271="","",SUMIFS('15_Zahlungen'!$F:$F,'15_Zahlungen'!$D:$D,A271,'15_Zahlungen'!$C:$C,"Ausgang"))</f>
        <v/>
      </c>
      <c r="O271" s="15">
        <f>IF(A271="","",MAX(0,M271-N271))</f>
        <v/>
      </c>
      <c r="P271" s="45">
        <f>IF(OR(A271="",J271="bezahlt",H271=""),"",MAX(0,TODAY()-H271))</f>
        <v/>
      </c>
    </row>
    <row r="272">
      <c r="A272" s="30" t="inlineStr"/>
      <c r="B272" s="38" t="inlineStr"/>
      <c r="C272" s="30" t="inlineStr"/>
      <c r="D272" s="30" t="inlineStr"/>
      <c r="E272" s="30" t="inlineStr"/>
      <c r="F272" s="34" t="inlineStr"/>
      <c r="G272" s="32" t="inlineStr"/>
      <c r="H272" s="38" t="inlineStr"/>
      <c r="I272" s="38" t="inlineStr"/>
      <c r="J272" s="30" t="inlineStr"/>
      <c r="K272" s="30" t="inlineStr"/>
      <c r="L272" s="15">
        <f>IF(A272="","",F272*G272)</f>
        <v/>
      </c>
      <c r="M272" s="15">
        <f>IF(A272="","",F272+L272)</f>
        <v/>
      </c>
      <c r="N272" s="15">
        <f>IF(A272="","",SUMIFS('15_Zahlungen'!$F:$F,'15_Zahlungen'!$D:$D,A272,'15_Zahlungen'!$C:$C,"Ausgang"))</f>
        <v/>
      </c>
      <c r="O272" s="15">
        <f>IF(A272="","",MAX(0,M272-N272))</f>
        <v/>
      </c>
      <c r="P272" s="45">
        <f>IF(OR(A272="",J272="bezahlt",H272=""),"",MAX(0,TODAY()-H272))</f>
        <v/>
      </c>
    </row>
    <row r="273">
      <c r="A273" s="30" t="inlineStr"/>
      <c r="B273" s="38" t="inlineStr"/>
      <c r="C273" s="30" t="inlineStr"/>
      <c r="D273" s="30" t="inlineStr"/>
      <c r="E273" s="30" t="inlineStr"/>
      <c r="F273" s="34" t="inlineStr"/>
      <c r="G273" s="32" t="inlineStr"/>
      <c r="H273" s="38" t="inlineStr"/>
      <c r="I273" s="38" t="inlineStr"/>
      <c r="J273" s="30" t="inlineStr"/>
      <c r="K273" s="30" t="inlineStr"/>
      <c r="L273" s="15">
        <f>IF(A273="","",F273*G273)</f>
        <v/>
      </c>
      <c r="M273" s="15">
        <f>IF(A273="","",F273+L273)</f>
        <v/>
      </c>
      <c r="N273" s="15">
        <f>IF(A273="","",SUMIFS('15_Zahlungen'!$F:$F,'15_Zahlungen'!$D:$D,A273,'15_Zahlungen'!$C:$C,"Ausgang"))</f>
        <v/>
      </c>
      <c r="O273" s="15">
        <f>IF(A273="","",MAX(0,M273-N273))</f>
        <v/>
      </c>
      <c r="P273" s="45">
        <f>IF(OR(A273="",J273="bezahlt",H273=""),"",MAX(0,TODAY()-H273))</f>
        <v/>
      </c>
    </row>
    <row r="274">
      <c r="A274" s="30" t="inlineStr"/>
      <c r="B274" s="38" t="inlineStr"/>
      <c r="C274" s="30" t="inlineStr"/>
      <c r="D274" s="30" t="inlineStr"/>
      <c r="E274" s="30" t="inlineStr"/>
      <c r="F274" s="34" t="inlineStr"/>
      <c r="G274" s="32" t="inlineStr"/>
      <c r="H274" s="38" t="inlineStr"/>
      <c r="I274" s="38" t="inlineStr"/>
      <c r="J274" s="30" t="inlineStr"/>
      <c r="K274" s="30" t="inlineStr"/>
      <c r="L274" s="15">
        <f>IF(A274="","",F274*G274)</f>
        <v/>
      </c>
      <c r="M274" s="15">
        <f>IF(A274="","",F274+L274)</f>
        <v/>
      </c>
      <c r="N274" s="15">
        <f>IF(A274="","",SUMIFS('15_Zahlungen'!$F:$F,'15_Zahlungen'!$D:$D,A274,'15_Zahlungen'!$C:$C,"Ausgang"))</f>
        <v/>
      </c>
      <c r="O274" s="15">
        <f>IF(A274="","",MAX(0,M274-N274))</f>
        <v/>
      </c>
      <c r="P274" s="45">
        <f>IF(OR(A274="",J274="bezahlt",H274=""),"",MAX(0,TODAY()-H274))</f>
        <v/>
      </c>
    </row>
    <row r="275">
      <c r="A275" s="30" t="inlineStr"/>
      <c r="B275" s="38" t="inlineStr"/>
      <c r="C275" s="30" t="inlineStr"/>
      <c r="D275" s="30" t="inlineStr"/>
      <c r="E275" s="30" t="inlineStr"/>
      <c r="F275" s="34" t="inlineStr"/>
      <c r="G275" s="32" t="inlineStr"/>
      <c r="H275" s="38" t="inlineStr"/>
      <c r="I275" s="38" t="inlineStr"/>
      <c r="J275" s="30" t="inlineStr"/>
      <c r="K275" s="30" t="inlineStr"/>
      <c r="L275" s="15">
        <f>IF(A275="","",F275*G275)</f>
        <v/>
      </c>
      <c r="M275" s="15">
        <f>IF(A275="","",F275+L275)</f>
        <v/>
      </c>
      <c r="N275" s="15">
        <f>IF(A275="","",SUMIFS('15_Zahlungen'!$F:$F,'15_Zahlungen'!$D:$D,A275,'15_Zahlungen'!$C:$C,"Ausgang"))</f>
        <v/>
      </c>
      <c r="O275" s="15">
        <f>IF(A275="","",MAX(0,M275-N275))</f>
        <v/>
      </c>
      <c r="P275" s="45">
        <f>IF(OR(A275="",J275="bezahlt",H275=""),"",MAX(0,TODAY()-H275))</f>
        <v/>
      </c>
    </row>
    <row r="276">
      <c r="A276" s="30" t="inlineStr"/>
      <c r="B276" s="38" t="inlineStr"/>
      <c r="C276" s="30" t="inlineStr"/>
      <c r="D276" s="30" t="inlineStr"/>
      <c r="E276" s="30" t="inlineStr"/>
      <c r="F276" s="34" t="inlineStr"/>
      <c r="G276" s="32" t="inlineStr"/>
      <c r="H276" s="38" t="inlineStr"/>
      <c r="I276" s="38" t="inlineStr"/>
      <c r="J276" s="30" t="inlineStr"/>
      <c r="K276" s="30" t="inlineStr"/>
      <c r="L276" s="15">
        <f>IF(A276="","",F276*G276)</f>
        <v/>
      </c>
      <c r="M276" s="15">
        <f>IF(A276="","",F276+L276)</f>
        <v/>
      </c>
      <c r="N276" s="15">
        <f>IF(A276="","",SUMIFS('15_Zahlungen'!$F:$F,'15_Zahlungen'!$D:$D,A276,'15_Zahlungen'!$C:$C,"Ausgang"))</f>
        <v/>
      </c>
      <c r="O276" s="15">
        <f>IF(A276="","",MAX(0,M276-N276))</f>
        <v/>
      </c>
      <c r="P276" s="45">
        <f>IF(OR(A276="",J276="bezahlt",H276=""),"",MAX(0,TODAY()-H276))</f>
        <v/>
      </c>
    </row>
    <row r="277">
      <c r="A277" s="30" t="inlineStr"/>
      <c r="B277" s="38" t="inlineStr"/>
      <c r="C277" s="30" t="inlineStr"/>
      <c r="D277" s="30" t="inlineStr"/>
      <c r="E277" s="30" t="inlineStr"/>
      <c r="F277" s="34" t="inlineStr"/>
      <c r="G277" s="32" t="inlineStr"/>
      <c r="H277" s="38" t="inlineStr"/>
      <c r="I277" s="38" t="inlineStr"/>
      <c r="J277" s="30" t="inlineStr"/>
      <c r="K277" s="30" t="inlineStr"/>
      <c r="L277" s="15">
        <f>IF(A277="","",F277*G277)</f>
        <v/>
      </c>
      <c r="M277" s="15">
        <f>IF(A277="","",F277+L277)</f>
        <v/>
      </c>
      <c r="N277" s="15">
        <f>IF(A277="","",SUMIFS('15_Zahlungen'!$F:$F,'15_Zahlungen'!$D:$D,A277,'15_Zahlungen'!$C:$C,"Ausgang"))</f>
        <v/>
      </c>
      <c r="O277" s="15">
        <f>IF(A277="","",MAX(0,M277-N277))</f>
        <v/>
      </c>
      <c r="P277" s="45">
        <f>IF(OR(A277="",J277="bezahlt",H277=""),"",MAX(0,TODAY()-H277))</f>
        <v/>
      </c>
    </row>
    <row r="278">
      <c r="A278" s="30" t="inlineStr"/>
      <c r="B278" s="38" t="inlineStr"/>
      <c r="C278" s="30" t="inlineStr"/>
      <c r="D278" s="30" t="inlineStr"/>
      <c r="E278" s="30" t="inlineStr"/>
      <c r="F278" s="34" t="inlineStr"/>
      <c r="G278" s="32" t="inlineStr"/>
      <c r="H278" s="38" t="inlineStr"/>
      <c r="I278" s="38" t="inlineStr"/>
      <c r="J278" s="30" t="inlineStr"/>
      <c r="K278" s="30" t="inlineStr"/>
      <c r="L278" s="15">
        <f>IF(A278="","",F278*G278)</f>
        <v/>
      </c>
      <c r="M278" s="15">
        <f>IF(A278="","",F278+L278)</f>
        <v/>
      </c>
      <c r="N278" s="15">
        <f>IF(A278="","",SUMIFS('15_Zahlungen'!$F:$F,'15_Zahlungen'!$D:$D,A278,'15_Zahlungen'!$C:$C,"Ausgang"))</f>
        <v/>
      </c>
      <c r="O278" s="15">
        <f>IF(A278="","",MAX(0,M278-N278))</f>
        <v/>
      </c>
      <c r="P278" s="45">
        <f>IF(OR(A278="",J278="bezahlt",H278=""),"",MAX(0,TODAY()-H278))</f>
        <v/>
      </c>
    </row>
    <row r="279">
      <c r="A279" s="30" t="inlineStr"/>
      <c r="B279" s="38" t="inlineStr"/>
      <c r="C279" s="30" t="inlineStr"/>
      <c r="D279" s="30" t="inlineStr"/>
      <c r="E279" s="30" t="inlineStr"/>
      <c r="F279" s="34" t="inlineStr"/>
      <c r="G279" s="32" t="inlineStr"/>
      <c r="H279" s="38" t="inlineStr"/>
      <c r="I279" s="38" t="inlineStr"/>
      <c r="J279" s="30" t="inlineStr"/>
      <c r="K279" s="30" t="inlineStr"/>
      <c r="L279" s="15">
        <f>IF(A279="","",F279*G279)</f>
        <v/>
      </c>
      <c r="M279" s="15">
        <f>IF(A279="","",F279+L279)</f>
        <v/>
      </c>
      <c r="N279" s="15">
        <f>IF(A279="","",SUMIFS('15_Zahlungen'!$F:$F,'15_Zahlungen'!$D:$D,A279,'15_Zahlungen'!$C:$C,"Ausgang"))</f>
        <v/>
      </c>
      <c r="O279" s="15">
        <f>IF(A279="","",MAX(0,M279-N279))</f>
        <v/>
      </c>
      <c r="P279" s="45">
        <f>IF(OR(A279="",J279="bezahlt",H279=""),"",MAX(0,TODAY()-H279))</f>
        <v/>
      </c>
    </row>
    <row r="280">
      <c r="A280" s="30" t="inlineStr"/>
      <c r="B280" s="38" t="inlineStr"/>
      <c r="C280" s="30" t="inlineStr"/>
      <c r="D280" s="30" t="inlineStr"/>
      <c r="E280" s="30" t="inlineStr"/>
      <c r="F280" s="34" t="inlineStr"/>
      <c r="G280" s="32" t="inlineStr"/>
      <c r="H280" s="38" t="inlineStr"/>
      <c r="I280" s="38" t="inlineStr"/>
      <c r="J280" s="30" t="inlineStr"/>
      <c r="K280" s="30" t="inlineStr"/>
      <c r="L280" s="15">
        <f>IF(A280="","",F280*G280)</f>
        <v/>
      </c>
      <c r="M280" s="15">
        <f>IF(A280="","",F280+L280)</f>
        <v/>
      </c>
      <c r="N280" s="15">
        <f>IF(A280="","",SUMIFS('15_Zahlungen'!$F:$F,'15_Zahlungen'!$D:$D,A280,'15_Zahlungen'!$C:$C,"Ausgang"))</f>
        <v/>
      </c>
      <c r="O280" s="15">
        <f>IF(A280="","",MAX(0,M280-N280))</f>
        <v/>
      </c>
      <c r="P280" s="45">
        <f>IF(OR(A280="",J280="bezahlt",H280=""),"",MAX(0,TODAY()-H280))</f>
        <v/>
      </c>
    </row>
    <row r="281">
      <c r="A281" s="30" t="inlineStr"/>
      <c r="B281" s="38" t="inlineStr"/>
      <c r="C281" s="30" t="inlineStr"/>
      <c r="D281" s="30" t="inlineStr"/>
      <c r="E281" s="30" t="inlineStr"/>
      <c r="F281" s="34" t="inlineStr"/>
      <c r="G281" s="32" t="inlineStr"/>
      <c r="H281" s="38" t="inlineStr"/>
      <c r="I281" s="38" t="inlineStr"/>
      <c r="J281" s="30" t="inlineStr"/>
      <c r="K281" s="30" t="inlineStr"/>
      <c r="L281" s="15">
        <f>IF(A281="","",F281*G281)</f>
        <v/>
      </c>
      <c r="M281" s="15">
        <f>IF(A281="","",F281+L281)</f>
        <v/>
      </c>
      <c r="N281" s="15">
        <f>IF(A281="","",SUMIFS('15_Zahlungen'!$F:$F,'15_Zahlungen'!$D:$D,A281,'15_Zahlungen'!$C:$C,"Ausgang"))</f>
        <v/>
      </c>
      <c r="O281" s="15">
        <f>IF(A281="","",MAX(0,M281-N281))</f>
        <v/>
      </c>
      <c r="P281" s="45">
        <f>IF(OR(A281="",J281="bezahlt",H281=""),"",MAX(0,TODAY()-H281))</f>
        <v/>
      </c>
    </row>
    <row r="282">
      <c r="A282" s="30" t="inlineStr"/>
      <c r="B282" s="38" t="inlineStr"/>
      <c r="C282" s="30" t="inlineStr"/>
      <c r="D282" s="30" t="inlineStr"/>
      <c r="E282" s="30" t="inlineStr"/>
      <c r="F282" s="34" t="inlineStr"/>
      <c r="G282" s="32" t="inlineStr"/>
      <c r="H282" s="38" t="inlineStr"/>
      <c r="I282" s="38" t="inlineStr"/>
      <c r="J282" s="30" t="inlineStr"/>
      <c r="K282" s="30" t="inlineStr"/>
      <c r="L282" s="15">
        <f>IF(A282="","",F282*G282)</f>
        <v/>
      </c>
      <c r="M282" s="15">
        <f>IF(A282="","",F282+L282)</f>
        <v/>
      </c>
      <c r="N282" s="15">
        <f>IF(A282="","",SUMIFS('15_Zahlungen'!$F:$F,'15_Zahlungen'!$D:$D,A282,'15_Zahlungen'!$C:$C,"Ausgang"))</f>
        <v/>
      </c>
      <c r="O282" s="15">
        <f>IF(A282="","",MAX(0,M282-N282))</f>
        <v/>
      </c>
      <c r="P282" s="45">
        <f>IF(OR(A282="",J282="bezahlt",H282=""),"",MAX(0,TODAY()-H282))</f>
        <v/>
      </c>
    </row>
    <row r="283">
      <c r="A283" s="30" t="inlineStr"/>
      <c r="B283" s="38" t="inlineStr"/>
      <c r="C283" s="30" t="inlineStr"/>
      <c r="D283" s="30" t="inlineStr"/>
      <c r="E283" s="30" t="inlineStr"/>
      <c r="F283" s="34" t="inlineStr"/>
      <c r="G283" s="32" t="inlineStr"/>
      <c r="H283" s="38" t="inlineStr"/>
      <c r="I283" s="38" t="inlineStr"/>
      <c r="J283" s="30" t="inlineStr"/>
      <c r="K283" s="30" t="inlineStr"/>
      <c r="L283" s="15">
        <f>IF(A283="","",F283*G283)</f>
        <v/>
      </c>
      <c r="M283" s="15">
        <f>IF(A283="","",F283+L283)</f>
        <v/>
      </c>
      <c r="N283" s="15">
        <f>IF(A283="","",SUMIFS('15_Zahlungen'!$F:$F,'15_Zahlungen'!$D:$D,A283,'15_Zahlungen'!$C:$C,"Ausgang"))</f>
        <v/>
      </c>
      <c r="O283" s="15">
        <f>IF(A283="","",MAX(0,M283-N283))</f>
        <v/>
      </c>
      <c r="P283" s="45">
        <f>IF(OR(A283="",J283="bezahlt",H283=""),"",MAX(0,TODAY()-H283))</f>
        <v/>
      </c>
    </row>
    <row r="284">
      <c r="A284" s="30" t="inlineStr"/>
      <c r="B284" s="38" t="inlineStr"/>
      <c r="C284" s="30" t="inlineStr"/>
      <c r="D284" s="30" t="inlineStr"/>
      <c r="E284" s="30" t="inlineStr"/>
      <c r="F284" s="34" t="inlineStr"/>
      <c r="G284" s="32" t="inlineStr"/>
      <c r="H284" s="38" t="inlineStr"/>
      <c r="I284" s="38" t="inlineStr"/>
      <c r="J284" s="30" t="inlineStr"/>
      <c r="K284" s="30" t="inlineStr"/>
      <c r="L284" s="15">
        <f>IF(A284="","",F284*G284)</f>
        <v/>
      </c>
      <c r="M284" s="15">
        <f>IF(A284="","",F284+L284)</f>
        <v/>
      </c>
      <c r="N284" s="15">
        <f>IF(A284="","",SUMIFS('15_Zahlungen'!$F:$F,'15_Zahlungen'!$D:$D,A284,'15_Zahlungen'!$C:$C,"Ausgang"))</f>
        <v/>
      </c>
      <c r="O284" s="15">
        <f>IF(A284="","",MAX(0,M284-N284))</f>
        <v/>
      </c>
      <c r="P284" s="45">
        <f>IF(OR(A284="",J284="bezahlt",H284=""),"",MAX(0,TODAY()-H284))</f>
        <v/>
      </c>
    </row>
    <row r="285">
      <c r="A285" s="30" t="inlineStr"/>
      <c r="B285" s="38" t="inlineStr"/>
      <c r="C285" s="30" t="inlineStr"/>
      <c r="D285" s="30" t="inlineStr"/>
      <c r="E285" s="30" t="inlineStr"/>
      <c r="F285" s="34" t="inlineStr"/>
      <c r="G285" s="32" t="inlineStr"/>
      <c r="H285" s="38" t="inlineStr"/>
      <c r="I285" s="38" t="inlineStr"/>
      <c r="J285" s="30" t="inlineStr"/>
      <c r="K285" s="30" t="inlineStr"/>
      <c r="L285" s="15">
        <f>IF(A285="","",F285*G285)</f>
        <v/>
      </c>
      <c r="M285" s="15">
        <f>IF(A285="","",F285+L285)</f>
        <v/>
      </c>
      <c r="N285" s="15">
        <f>IF(A285="","",SUMIFS('15_Zahlungen'!$F:$F,'15_Zahlungen'!$D:$D,A285,'15_Zahlungen'!$C:$C,"Ausgang"))</f>
        <v/>
      </c>
      <c r="O285" s="15">
        <f>IF(A285="","",MAX(0,M285-N285))</f>
        <v/>
      </c>
      <c r="P285" s="45">
        <f>IF(OR(A285="",J285="bezahlt",H285=""),"",MAX(0,TODAY()-H285))</f>
        <v/>
      </c>
    </row>
    <row r="286">
      <c r="A286" s="30" t="inlineStr"/>
      <c r="B286" s="38" t="inlineStr"/>
      <c r="C286" s="30" t="inlineStr"/>
      <c r="D286" s="30" t="inlineStr"/>
      <c r="E286" s="30" t="inlineStr"/>
      <c r="F286" s="34" t="inlineStr"/>
      <c r="G286" s="32" t="inlineStr"/>
      <c r="H286" s="38" t="inlineStr"/>
      <c r="I286" s="38" t="inlineStr"/>
      <c r="J286" s="30" t="inlineStr"/>
      <c r="K286" s="30" t="inlineStr"/>
      <c r="L286" s="15">
        <f>IF(A286="","",F286*G286)</f>
        <v/>
      </c>
      <c r="M286" s="15">
        <f>IF(A286="","",F286+L286)</f>
        <v/>
      </c>
      <c r="N286" s="15">
        <f>IF(A286="","",SUMIFS('15_Zahlungen'!$F:$F,'15_Zahlungen'!$D:$D,A286,'15_Zahlungen'!$C:$C,"Ausgang"))</f>
        <v/>
      </c>
      <c r="O286" s="15">
        <f>IF(A286="","",MAX(0,M286-N286))</f>
        <v/>
      </c>
      <c r="P286" s="45">
        <f>IF(OR(A286="",J286="bezahlt",H286=""),"",MAX(0,TODAY()-H286))</f>
        <v/>
      </c>
    </row>
    <row r="287">
      <c r="A287" s="30" t="inlineStr"/>
      <c r="B287" s="38" t="inlineStr"/>
      <c r="C287" s="30" t="inlineStr"/>
      <c r="D287" s="30" t="inlineStr"/>
      <c r="E287" s="30" t="inlineStr"/>
      <c r="F287" s="34" t="inlineStr"/>
      <c r="G287" s="32" t="inlineStr"/>
      <c r="H287" s="38" t="inlineStr"/>
      <c r="I287" s="38" t="inlineStr"/>
      <c r="J287" s="30" t="inlineStr"/>
      <c r="K287" s="30" t="inlineStr"/>
      <c r="L287" s="15">
        <f>IF(A287="","",F287*G287)</f>
        <v/>
      </c>
      <c r="M287" s="15">
        <f>IF(A287="","",F287+L287)</f>
        <v/>
      </c>
      <c r="N287" s="15">
        <f>IF(A287="","",SUMIFS('15_Zahlungen'!$F:$F,'15_Zahlungen'!$D:$D,A287,'15_Zahlungen'!$C:$C,"Ausgang"))</f>
        <v/>
      </c>
      <c r="O287" s="15">
        <f>IF(A287="","",MAX(0,M287-N287))</f>
        <v/>
      </c>
      <c r="P287" s="45">
        <f>IF(OR(A287="",J287="bezahlt",H287=""),"",MAX(0,TODAY()-H287))</f>
        <v/>
      </c>
    </row>
    <row r="288">
      <c r="A288" s="30" t="inlineStr"/>
      <c r="B288" s="38" t="inlineStr"/>
      <c r="C288" s="30" t="inlineStr"/>
      <c r="D288" s="30" t="inlineStr"/>
      <c r="E288" s="30" t="inlineStr"/>
      <c r="F288" s="34" t="inlineStr"/>
      <c r="G288" s="32" t="inlineStr"/>
      <c r="H288" s="38" t="inlineStr"/>
      <c r="I288" s="38" t="inlineStr"/>
      <c r="J288" s="30" t="inlineStr"/>
      <c r="K288" s="30" t="inlineStr"/>
      <c r="L288" s="15">
        <f>IF(A288="","",F288*G288)</f>
        <v/>
      </c>
      <c r="M288" s="15">
        <f>IF(A288="","",F288+L288)</f>
        <v/>
      </c>
      <c r="N288" s="15">
        <f>IF(A288="","",SUMIFS('15_Zahlungen'!$F:$F,'15_Zahlungen'!$D:$D,A288,'15_Zahlungen'!$C:$C,"Ausgang"))</f>
        <v/>
      </c>
      <c r="O288" s="15">
        <f>IF(A288="","",MAX(0,M288-N288))</f>
        <v/>
      </c>
      <c r="P288" s="45">
        <f>IF(OR(A288="",J288="bezahlt",H288=""),"",MAX(0,TODAY()-H288))</f>
        <v/>
      </c>
    </row>
    <row r="289">
      <c r="A289" s="30" t="inlineStr"/>
      <c r="B289" s="38" t="inlineStr"/>
      <c r="C289" s="30" t="inlineStr"/>
      <c r="D289" s="30" t="inlineStr"/>
      <c r="E289" s="30" t="inlineStr"/>
      <c r="F289" s="34" t="inlineStr"/>
      <c r="G289" s="32" t="inlineStr"/>
      <c r="H289" s="38" t="inlineStr"/>
      <c r="I289" s="38" t="inlineStr"/>
      <c r="J289" s="30" t="inlineStr"/>
      <c r="K289" s="30" t="inlineStr"/>
      <c r="L289" s="15">
        <f>IF(A289="","",F289*G289)</f>
        <v/>
      </c>
      <c r="M289" s="15">
        <f>IF(A289="","",F289+L289)</f>
        <v/>
      </c>
      <c r="N289" s="15">
        <f>IF(A289="","",SUMIFS('15_Zahlungen'!$F:$F,'15_Zahlungen'!$D:$D,A289,'15_Zahlungen'!$C:$C,"Ausgang"))</f>
        <v/>
      </c>
      <c r="O289" s="15">
        <f>IF(A289="","",MAX(0,M289-N289))</f>
        <v/>
      </c>
      <c r="P289" s="45">
        <f>IF(OR(A289="",J289="bezahlt",H289=""),"",MAX(0,TODAY()-H289))</f>
        <v/>
      </c>
    </row>
    <row r="290">
      <c r="A290" s="30" t="inlineStr"/>
      <c r="B290" s="38" t="inlineStr"/>
      <c r="C290" s="30" t="inlineStr"/>
      <c r="D290" s="30" t="inlineStr"/>
      <c r="E290" s="30" t="inlineStr"/>
      <c r="F290" s="34" t="inlineStr"/>
      <c r="G290" s="32" t="inlineStr"/>
      <c r="H290" s="38" t="inlineStr"/>
      <c r="I290" s="38" t="inlineStr"/>
      <c r="J290" s="30" t="inlineStr"/>
      <c r="K290" s="30" t="inlineStr"/>
      <c r="L290" s="15">
        <f>IF(A290="","",F290*G290)</f>
        <v/>
      </c>
      <c r="M290" s="15">
        <f>IF(A290="","",F290+L290)</f>
        <v/>
      </c>
      <c r="N290" s="15">
        <f>IF(A290="","",SUMIFS('15_Zahlungen'!$F:$F,'15_Zahlungen'!$D:$D,A290,'15_Zahlungen'!$C:$C,"Ausgang"))</f>
        <v/>
      </c>
      <c r="O290" s="15">
        <f>IF(A290="","",MAX(0,M290-N290))</f>
        <v/>
      </c>
      <c r="P290" s="45">
        <f>IF(OR(A290="",J290="bezahlt",H290=""),"",MAX(0,TODAY()-H290))</f>
        <v/>
      </c>
    </row>
    <row r="291">
      <c r="A291" s="30" t="inlineStr"/>
      <c r="B291" s="38" t="inlineStr"/>
      <c r="C291" s="30" t="inlineStr"/>
      <c r="D291" s="30" t="inlineStr"/>
      <c r="E291" s="30" t="inlineStr"/>
      <c r="F291" s="34" t="inlineStr"/>
      <c r="G291" s="32" t="inlineStr"/>
      <c r="H291" s="38" t="inlineStr"/>
      <c r="I291" s="38" t="inlineStr"/>
      <c r="J291" s="30" t="inlineStr"/>
      <c r="K291" s="30" t="inlineStr"/>
      <c r="L291" s="15">
        <f>IF(A291="","",F291*G291)</f>
        <v/>
      </c>
      <c r="M291" s="15">
        <f>IF(A291="","",F291+L291)</f>
        <v/>
      </c>
      <c r="N291" s="15">
        <f>IF(A291="","",SUMIFS('15_Zahlungen'!$F:$F,'15_Zahlungen'!$D:$D,A291,'15_Zahlungen'!$C:$C,"Ausgang"))</f>
        <v/>
      </c>
      <c r="O291" s="15">
        <f>IF(A291="","",MAX(0,M291-N291))</f>
        <v/>
      </c>
      <c r="P291" s="45">
        <f>IF(OR(A291="",J291="bezahlt",H291=""),"",MAX(0,TODAY()-H291))</f>
        <v/>
      </c>
    </row>
    <row r="292">
      <c r="A292" s="30" t="inlineStr"/>
      <c r="B292" s="38" t="inlineStr"/>
      <c r="C292" s="30" t="inlineStr"/>
      <c r="D292" s="30" t="inlineStr"/>
      <c r="E292" s="30" t="inlineStr"/>
      <c r="F292" s="34" t="inlineStr"/>
      <c r="G292" s="32" t="inlineStr"/>
      <c r="H292" s="38" t="inlineStr"/>
      <c r="I292" s="38" t="inlineStr"/>
      <c r="J292" s="30" t="inlineStr"/>
      <c r="K292" s="30" t="inlineStr"/>
      <c r="L292" s="15">
        <f>IF(A292="","",F292*G292)</f>
        <v/>
      </c>
      <c r="M292" s="15">
        <f>IF(A292="","",F292+L292)</f>
        <v/>
      </c>
      <c r="N292" s="15">
        <f>IF(A292="","",SUMIFS('15_Zahlungen'!$F:$F,'15_Zahlungen'!$D:$D,A292,'15_Zahlungen'!$C:$C,"Ausgang"))</f>
        <v/>
      </c>
      <c r="O292" s="15">
        <f>IF(A292="","",MAX(0,M292-N292))</f>
        <v/>
      </c>
      <c r="P292" s="45">
        <f>IF(OR(A292="",J292="bezahlt",H292=""),"",MAX(0,TODAY()-H292))</f>
        <v/>
      </c>
    </row>
    <row r="293">
      <c r="A293" s="30" t="inlineStr"/>
      <c r="B293" s="38" t="inlineStr"/>
      <c r="C293" s="30" t="inlineStr"/>
      <c r="D293" s="30" t="inlineStr"/>
      <c r="E293" s="30" t="inlineStr"/>
      <c r="F293" s="34" t="inlineStr"/>
      <c r="G293" s="32" t="inlineStr"/>
      <c r="H293" s="38" t="inlineStr"/>
      <c r="I293" s="38" t="inlineStr"/>
      <c r="J293" s="30" t="inlineStr"/>
      <c r="K293" s="30" t="inlineStr"/>
      <c r="L293" s="15">
        <f>IF(A293="","",F293*G293)</f>
        <v/>
      </c>
      <c r="M293" s="15">
        <f>IF(A293="","",F293+L293)</f>
        <v/>
      </c>
      <c r="N293" s="15">
        <f>IF(A293="","",SUMIFS('15_Zahlungen'!$F:$F,'15_Zahlungen'!$D:$D,A293,'15_Zahlungen'!$C:$C,"Ausgang"))</f>
        <v/>
      </c>
      <c r="O293" s="15">
        <f>IF(A293="","",MAX(0,M293-N293))</f>
        <v/>
      </c>
      <c r="P293" s="45">
        <f>IF(OR(A293="",J293="bezahlt",H293=""),"",MAX(0,TODAY()-H293))</f>
        <v/>
      </c>
    </row>
    <row r="294">
      <c r="A294" s="30" t="inlineStr"/>
      <c r="B294" s="38" t="inlineStr"/>
      <c r="C294" s="30" t="inlineStr"/>
      <c r="D294" s="30" t="inlineStr"/>
      <c r="E294" s="30" t="inlineStr"/>
      <c r="F294" s="34" t="inlineStr"/>
      <c r="G294" s="32" t="inlineStr"/>
      <c r="H294" s="38" t="inlineStr"/>
      <c r="I294" s="38" t="inlineStr"/>
      <c r="J294" s="30" t="inlineStr"/>
      <c r="K294" s="30" t="inlineStr"/>
      <c r="L294" s="15">
        <f>IF(A294="","",F294*G294)</f>
        <v/>
      </c>
      <c r="M294" s="15">
        <f>IF(A294="","",F294+L294)</f>
        <v/>
      </c>
      <c r="N294" s="15">
        <f>IF(A294="","",SUMIFS('15_Zahlungen'!$F:$F,'15_Zahlungen'!$D:$D,A294,'15_Zahlungen'!$C:$C,"Ausgang"))</f>
        <v/>
      </c>
      <c r="O294" s="15">
        <f>IF(A294="","",MAX(0,M294-N294))</f>
        <v/>
      </c>
      <c r="P294" s="45">
        <f>IF(OR(A294="",J294="bezahlt",H294=""),"",MAX(0,TODAY()-H294))</f>
        <v/>
      </c>
    </row>
    <row r="295">
      <c r="A295" s="30" t="inlineStr"/>
      <c r="B295" s="38" t="inlineStr"/>
      <c r="C295" s="30" t="inlineStr"/>
      <c r="D295" s="30" t="inlineStr"/>
      <c r="E295" s="30" t="inlineStr"/>
      <c r="F295" s="34" t="inlineStr"/>
      <c r="G295" s="32" t="inlineStr"/>
      <c r="H295" s="38" t="inlineStr"/>
      <c r="I295" s="38" t="inlineStr"/>
      <c r="J295" s="30" t="inlineStr"/>
      <c r="K295" s="30" t="inlineStr"/>
      <c r="L295" s="15">
        <f>IF(A295="","",F295*G295)</f>
        <v/>
      </c>
      <c r="M295" s="15">
        <f>IF(A295="","",F295+L295)</f>
        <v/>
      </c>
      <c r="N295" s="15">
        <f>IF(A295="","",SUMIFS('15_Zahlungen'!$F:$F,'15_Zahlungen'!$D:$D,A295,'15_Zahlungen'!$C:$C,"Ausgang"))</f>
        <v/>
      </c>
      <c r="O295" s="15">
        <f>IF(A295="","",MAX(0,M295-N295))</f>
        <v/>
      </c>
      <c r="P295" s="45">
        <f>IF(OR(A295="",J295="bezahlt",H295=""),"",MAX(0,TODAY()-H295))</f>
        <v/>
      </c>
    </row>
    <row r="296">
      <c r="A296" s="30" t="inlineStr"/>
      <c r="B296" s="38" t="inlineStr"/>
      <c r="C296" s="30" t="inlineStr"/>
      <c r="D296" s="30" t="inlineStr"/>
      <c r="E296" s="30" t="inlineStr"/>
      <c r="F296" s="34" t="inlineStr"/>
      <c r="G296" s="32" t="inlineStr"/>
      <c r="H296" s="38" t="inlineStr"/>
      <c r="I296" s="38" t="inlineStr"/>
      <c r="J296" s="30" t="inlineStr"/>
      <c r="K296" s="30" t="inlineStr"/>
      <c r="L296" s="15">
        <f>IF(A296="","",F296*G296)</f>
        <v/>
      </c>
      <c r="M296" s="15">
        <f>IF(A296="","",F296+L296)</f>
        <v/>
      </c>
      <c r="N296" s="15">
        <f>IF(A296="","",SUMIFS('15_Zahlungen'!$F:$F,'15_Zahlungen'!$D:$D,A296,'15_Zahlungen'!$C:$C,"Ausgang"))</f>
        <v/>
      </c>
      <c r="O296" s="15">
        <f>IF(A296="","",MAX(0,M296-N296))</f>
        <v/>
      </c>
      <c r="P296" s="45">
        <f>IF(OR(A296="",J296="bezahlt",H296=""),"",MAX(0,TODAY()-H296))</f>
        <v/>
      </c>
    </row>
    <row r="297">
      <c r="A297" s="30" t="inlineStr"/>
      <c r="B297" s="38" t="inlineStr"/>
      <c r="C297" s="30" t="inlineStr"/>
      <c r="D297" s="30" t="inlineStr"/>
      <c r="E297" s="30" t="inlineStr"/>
      <c r="F297" s="34" t="inlineStr"/>
      <c r="G297" s="32" t="inlineStr"/>
      <c r="H297" s="38" t="inlineStr"/>
      <c r="I297" s="38" t="inlineStr"/>
      <c r="J297" s="30" t="inlineStr"/>
      <c r="K297" s="30" t="inlineStr"/>
      <c r="L297" s="15">
        <f>IF(A297="","",F297*G297)</f>
        <v/>
      </c>
      <c r="M297" s="15">
        <f>IF(A297="","",F297+L297)</f>
        <v/>
      </c>
      <c r="N297" s="15">
        <f>IF(A297="","",SUMIFS('15_Zahlungen'!$F:$F,'15_Zahlungen'!$D:$D,A297,'15_Zahlungen'!$C:$C,"Ausgang"))</f>
        <v/>
      </c>
      <c r="O297" s="15">
        <f>IF(A297="","",MAX(0,M297-N297))</f>
        <v/>
      </c>
      <c r="P297" s="45">
        <f>IF(OR(A297="",J297="bezahlt",H297=""),"",MAX(0,TODAY()-H297))</f>
        <v/>
      </c>
    </row>
    <row r="298">
      <c r="A298" s="30" t="inlineStr"/>
      <c r="B298" s="38" t="inlineStr"/>
      <c r="C298" s="30" t="inlineStr"/>
      <c r="D298" s="30" t="inlineStr"/>
      <c r="E298" s="30" t="inlineStr"/>
      <c r="F298" s="34" t="inlineStr"/>
      <c r="G298" s="32" t="inlineStr"/>
      <c r="H298" s="38" t="inlineStr"/>
      <c r="I298" s="38" t="inlineStr"/>
      <c r="J298" s="30" t="inlineStr"/>
      <c r="K298" s="30" t="inlineStr"/>
      <c r="L298" s="15">
        <f>IF(A298="","",F298*G298)</f>
        <v/>
      </c>
      <c r="M298" s="15">
        <f>IF(A298="","",F298+L298)</f>
        <v/>
      </c>
      <c r="N298" s="15">
        <f>IF(A298="","",SUMIFS('15_Zahlungen'!$F:$F,'15_Zahlungen'!$D:$D,A298,'15_Zahlungen'!$C:$C,"Ausgang"))</f>
        <v/>
      </c>
      <c r="O298" s="15">
        <f>IF(A298="","",MAX(0,M298-N298))</f>
        <v/>
      </c>
      <c r="P298" s="45">
        <f>IF(OR(A298="",J298="bezahlt",H298=""),"",MAX(0,TODAY()-H298))</f>
        <v/>
      </c>
    </row>
    <row r="299">
      <c r="A299" s="30" t="inlineStr"/>
      <c r="B299" s="38" t="inlineStr"/>
      <c r="C299" s="30" t="inlineStr"/>
      <c r="D299" s="30" t="inlineStr"/>
      <c r="E299" s="30" t="inlineStr"/>
      <c r="F299" s="34" t="inlineStr"/>
      <c r="G299" s="32" t="inlineStr"/>
      <c r="H299" s="38" t="inlineStr"/>
      <c r="I299" s="38" t="inlineStr"/>
      <c r="J299" s="30" t="inlineStr"/>
      <c r="K299" s="30" t="inlineStr"/>
      <c r="L299" s="15">
        <f>IF(A299="","",F299*G299)</f>
        <v/>
      </c>
      <c r="M299" s="15">
        <f>IF(A299="","",F299+L299)</f>
        <v/>
      </c>
      <c r="N299" s="15">
        <f>IF(A299="","",SUMIFS('15_Zahlungen'!$F:$F,'15_Zahlungen'!$D:$D,A299,'15_Zahlungen'!$C:$C,"Ausgang"))</f>
        <v/>
      </c>
      <c r="O299" s="15">
        <f>IF(A299="","",MAX(0,M299-N299))</f>
        <v/>
      </c>
      <c r="P299" s="45">
        <f>IF(OR(A299="",J299="bezahlt",H299=""),"",MAX(0,TODAY()-H299))</f>
        <v/>
      </c>
    </row>
    <row r="300">
      <c r="A300" s="30" t="inlineStr"/>
      <c r="B300" s="38" t="inlineStr"/>
      <c r="C300" s="30" t="inlineStr"/>
      <c r="D300" s="30" t="inlineStr"/>
      <c r="E300" s="30" t="inlineStr"/>
      <c r="F300" s="34" t="inlineStr"/>
      <c r="G300" s="32" t="inlineStr"/>
      <c r="H300" s="38" t="inlineStr"/>
      <c r="I300" s="38" t="inlineStr"/>
      <c r="J300" s="30" t="inlineStr"/>
      <c r="K300" s="30" t="inlineStr"/>
      <c r="L300" s="15">
        <f>IF(A300="","",F300*G300)</f>
        <v/>
      </c>
      <c r="M300" s="15">
        <f>IF(A300="","",F300+L300)</f>
        <v/>
      </c>
      <c r="N300" s="15">
        <f>IF(A300="","",SUMIFS('15_Zahlungen'!$F:$F,'15_Zahlungen'!$D:$D,A300,'15_Zahlungen'!$C:$C,"Ausgang"))</f>
        <v/>
      </c>
      <c r="O300" s="15">
        <f>IF(A300="","",MAX(0,M300-N300))</f>
        <v/>
      </c>
      <c r="P300" s="45">
        <f>IF(OR(A300="",J300="bezahlt",H300=""),"",MAX(0,TODAY()-H300))</f>
        <v/>
      </c>
    </row>
    <row r="301">
      <c r="A301" s="30" t="inlineStr"/>
      <c r="B301" s="38" t="inlineStr"/>
      <c r="C301" s="30" t="inlineStr"/>
      <c r="D301" s="30" t="inlineStr"/>
      <c r="E301" s="30" t="inlineStr"/>
      <c r="F301" s="34" t="inlineStr"/>
      <c r="G301" s="32" t="inlineStr"/>
      <c r="H301" s="38" t="inlineStr"/>
      <c r="I301" s="38" t="inlineStr"/>
      <c r="J301" s="30" t="inlineStr"/>
      <c r="K301" s="30" t="inlineStr"/>
      <c r="L301" s="15">
        <f>IF(A301="","",F301*G301)</f>
        <v/>
      </c>
      <c r="M301" s="15">
        <f>IF(A301="","",F301+L301)</f>
        <v/>
      </c>
      <c r="N301" s="15">
        <f>IF(A301="","",SUMIFS('15_Zahlungen'!$F:$F,'15_Zahlungen'!$D:$D,A301,'15_Zahlungen'!$C:$C,"Ausgang"))</f>
        <v/>
      </c>
      <c r="O301" s="15">
        <f>IF(A301="","",MAX(0,M301-N301))</f>
        <v/>
      </c>
      <c r="P301" s="45">
        <f>IF(OR(A301="",J301="bezahlt",H301=""),"",MAX(0,TODAY()-H301))</f>
        <v/>
      </c>
    </row>
    <row r="302">
      <c r="A302" s="30" t="inlineStr"/>
      <c r="B302" s="38" t="inlineStr"/>
      <c r="C302" s="30" t="inlineStr"/>
      <c r="D302" s="30" t="inlineStr"/>
      <c r="E302" s="30" t="inlineStr"/>
      <c r="F302" s="34" t="inlineStr"/>
      <c r="G302" s="32" t="inlineStr"/>
      <c r="H302" s="38" t="inlineStr"/>
      <c r="I302" s="38" t="inlineStr"/>
      <c r="J302" s="30" t="inlineStr"/>
      <c r="K302" s="30" t="inlineStr"/>
      <c r="L302" s="15">
        <f>IF(A302="","",F302*G302)</f>
        <v/>
      </c>
      <c r="M302" s="15">
        <f>IF(A302="","",F302+L302)</f>
        <v/>
      </c>
      <c r="N302" s="15">
        <f>IF(A302="","",SUMIFS('15_Zahlungen'!$F:$F,'15_Zahlungen'!$D:$D,A302,'15_Zahlungen'!$C:$C,"Ausgang"))</f>
        <v/>
      </c>
      <c r="O302" s="15">
        <f>IF(A302="","",MAX(0,M302-N302))</f>
        <v/>
      </c>
      <c r="P302" s="45">
        <f>IF(OR(A302="",J302="bezahlt",H302=""),"",MAX(0,TODAY()-H302))</f>
        <v/>
      </c>
    </row>
    <row r="303">
      <c r="A303" s="30" t="inlineStr"/>
      <c r="B303" s="38" t="inlineStr"/>
      <c r="C303" s="30" t="inlineStr"/>
      <c r="D303" s="30" t="inlineStr"/>
      <c r="E303" s="30" t="inlineStr"/>
      <c r="F303" s="34" t="inlineStr"/>
      <c r="G303" s="32" t="inlineStr"/>
      <c r="H303" s="38" t="inlineStr"/>
      <c r="I303" s="38" t="inlineStr"/>
      <c r="J303" s="30" t="inlineStr"/>
      <c r="K303" s="30" t="inlineStr"/>
      <c r="L303" s="15">
        <f>IF(A303="","",F303*G303)</f>
        <v/>
      </c>
      <c r="M303" s="15">
        <f>IF(A303="","",F303+L303)</f>
        <v/>
      </c>
      <c r="N303" s="15">
        <f>IF(A303="","",SUMIFS('15_Zahlungen'!$F:$F,'15_Zahlungen'!$D:$D,A303,'15_Zahlungen'!$C:$C,"Ausgang"))</f>
        <v/>
      </c>
      <c r="O303" s="15">
        <f>IF(A303="","",MAX(0,M303-N303))</f>
        <v/>
      </c>
      <c r="P303" s="45">
        <f>IF(OR(A303="",J303="bezahlt",H303=""),"",MAX(0,TODAY()-H303))</f>
        <v/>
      </c>
    </row>
    <row r="304">
      <c r="A304" s="30" t="inlineStr"/>
      <c r="B304" s="38" t="inlineStr"/>
      <c r="C304" s="30" t="inlineStr"/>
      <c r="D304" s="30" t="inlineStr"/>
      <c r="E304" s="30" t="inlineStr"/>
      <c r="F304" s="34" t="inlineStr"/>
      <c r="G304" s="32" t="inlineStr"/>
      <c r="H304" s="38" t="inlineStr"/>
      <c r="I304" s="38" t="inlineStr"/>
      <c r="J304" s="30" t="inlineStr"/>
      <c r="K304" s="30" t="inlineStr"/>
      <c r="L304" s="15">
        <f>IF(A304="","",F304*G304)</f>
        <v/>
      </c>
      <c r="M304" s="15">
        <f>IF(A304="","",F304+L304)</f>
        <v/>
      </c>
      <c r="N304" s="15">
        <f>IF(A304="","",SUMIFS('15_Zahlungen'!$F:$F,'15_Zahlungen'!$D:$D,A304,'15_Zahlungen'!$C:$C,"Ausgang"))</f>
        <v/>
      </c>
      <c r="O304" s="15">
        <f>IF(A304="","",MAX(0,M304-N304))</f>
        <v/>
      </c>
      <c r="P304" s="45">
        <f>IF(OR(A304="",J304="bezahlt",H304=""),"",MAX(0,TODAY()-H304))</f>
        <v/>
      </c>
    </row>
    <row r="305">
      <c r="A305" s="30" t="inlineStr"/>
      <c r="B305" s="38" t="inlineStr"/>
      <c r="C305" s="30" t="inlineStr"/>
      <c r="D305" s="30" t="inlineStr"/>
      <c r="E305" s="30" t="inlineStr"/>
      <c r="F305" s="34" t="inlineStr"/>
      <c r="G305" s="32" t="inlineStr"/>
      <c r="H305" s="38" t="inlineStr"/>
      <c r="I305" s="38" t="inlineStr"/>
      <c r="J305" s="30" t="inlineStr"/>
      <c r="K305" s="30" t="inlineStr"/>
      <c r="L305" s="15">
        <f>IF(A305="","",F305*G305)</f>
        <v/>
      </c>
      <c r="M305" s="15">
        <f>IF(A305="","",F305+L305)</f>
        <v/>
      </c>
      <c r="N305" s="15">
        <f>IF(A305="","",SUMIFS('15_Zahlungen'!$F:$F,'15_Zahlungen'!$D:$D,A305,'15_Zahlungen'!$C:$C,"Ausgang"))</f>
        <v/>
      </c>
      <c r="O305" s="15">
        <f>IF(A305="","",MAX(0,M305-N305))</f>
        <v/>
      </c>
      <c r="P305" s="45">
        <f>IF(OR(A305="",J305="bezahlt",H305=""),"",MAX(0,TODAY()-H305))</f>
        <v/>
      </c>
    </row>
    <row r="306">
      <c r="A306" s="30" t="inlineStr"/>
      <c r="B306" s="38" t="inlineStr"/>
      <c r="C306" s="30" t="inlineStr"/>
      <c r="D306" s="30" t="inlineStr"/>
      <c r="E306" s="30" t="inlineStr"/>
      <c r="F306" s="34" t="inlineStr"/>
      <c r="G306" s="32" t="inlineStr"/>
      <c r="H306" s="38" t="inlineStr"/>
      <c r="I306" s="38" t="inlineStr"/>
      <c r="J306" s="30" t="inlineStr"/>
      <c r="K306" s="30" t="inlineStr"/>
      <c r="L306" s="15">
        <f>IF(A306="","",F306*G306)</f>
        <v/>
      </c>
      <c r="M306" s="15">
        <f>IF(A306="","",F306+L306)</f>
        <v/>
      </c>
      <c r="N306" s="15">
        <f>IF(A306="","",SUMIFS('15_Zahlungen'!$F:$F,'15_Zahlungen'!$D:$D,A306,'15_Zahlungen'!$C:$C,"Ausgang"))</f>
        <v/>
      </c>
      <c r="O306" s="15">
        <f>IF(A306="","",MAX(0,M306-N306))</f>
        <v/>
      </c>
      <c r="P306" s="45">
        <f>IF(OR(A306="",J306="bezahlt",H306=""),"",MAX(0,TODAY()-H306))</f>
        <v/>
      </c>
    </row>
    <row r="307">
      <c r="A307" s="30" t="inlineStr"/>
      <c r="B307" s="38" t="inlineStr"/>
      <c r="C307" s="30" t="inlineStr"/>
      <c r="D307" s="30" t="inlineStr"/>
      <c r="E307" s="30" t="inlineStr"/>
      <c r="F307" s="34" t="inlineStr"/>
      <c r="G307" s="32" t="inlineStr"/>
      <c r="H307" s="38" t="inlineStr"/>
      <c r="I307" s="38" t="inlineStr"/>
      <c r="J307" s="30" t="inlineStr"/>
      <c r="K307" s="30" t="inlineStr"/>
      <c r="L307" s="15">
        <f>IF(A307="","",F307*G307)</f>
        <v/>
      </c>
      <c r="M307" s="15">
        <f>IF(A307="","",F307+L307)</f>
        <v/>
      </c>
      <c r="N307" s="15">
        <f>IF(A307="","",SUMIFS('15_Zahlungen'!$F:$F,'15_Zahlungen'!$D:$D,A307,'15_Zahlungen'!$C:$C,"Ausgang"))</f>
        <v/>
      </c>
      <c r="O307" s="15">
        <f>IF(A307="","",MAX(0,M307-N307))</f>
        <v/>
      </c>
      <c r="P307" s="45">
        <f>IF(OR(A307="",J307="bezahlt",H307=""),"",MAX(0,TODAY()-H307))</f>
        <v/>
      </c>
    </row>
    <row r="308">
      <c r="A308" s="30" t="inlineStr"/>
      <c r="B308" s="38" t="inlineStr"/>
      <c r="C308" s="30" t="inlineStr"/>
      <c r="D308" s="30" t="inlineStr"/>
      <c r="E308" s="30" t="inlineStr"/>
      <c r="F308" s="34" t="inlineStr"/>
      <c r="G308" s="32" t="inlineStr"/>
      <c r="H308" s="38" t="inlineStr"/>
      <c r="I308" s="38" t="inlineStr"/>
      <c r="J308" s="30" t="inlineStr"/>
      <c r="K308" s="30" t="inlineStr"/>
      <c r="L308" s="15">
        <f>IF(A308="","",F308*G308)</f>
        <v/>
      </c>
      <c r="M308" s="15">
        <f>IF(A308="","",F308+L308)</f>
        <v/>
      </c>
      <c r="N308" s="15">
        <f>IF(A308="","",SUMIFS('15_Zahlungen'!$F:$F,'15_Zahlungen'!$D:$D,A308,'15_Zahlungen'!$C:$C,"Ausgang"))</f>
        <v/>
      </c>
      <c r="O308" s="15">
        <f>IF(A308="","",MAX(0,M308-N308))</f>
        <v/>
      </c>
      <c r="P308" s="45">
        <f>IF(OR(A308="",J308="bezahlt",H308=""),"",MAX(0,TODAY()-H308))</f>
        <v/>
      </c>
    </row>
    <row r="309">
      <c r="A309" s="30" t="inlineStr"/>
      <c r="B309" s="38" t="inlineStr"/>
      <c r="C309" s="30" t="inlineStr"/>
      <c r="D309" s="30" t="inlineStr"/>
      <c r="E309" s="30" t="inlineStr"/>
      <c r="F309" s="34" t="inlineStr"/>
      <c r="G309" s="32" t="inlineStr"/>
      <c r="H309" s="38" t="inlineStr"/>
      <c r="I309" s="38" t="inlineStr"/>
      <c r="J309" s="30" t="inlineStr"/>
      <c r="K309" s="30" t="inlineStr"/>
      <c r="L309" s="15">
        <f>IF(A309="","",F309*G309)</f>
        <v/>
      </c>
      <c r="M309" s="15">
        <f>IF(A309="","",F309+L309)</f>
        <v/>
      </c>
      <c r="N309" s="15">
        <f>IF(A309="","",SUMIFS('15_Zahlungen'!$F:$F,'15_Zahlungen'!$D:$D,A309,'15_Zahlungen'!$C:$C,"Ausgang"))</f>
        <v/>
      </c>
      <c r="O309" s="15">
        <f>IF(A309="","",MAX(0,M309-N309))</f>
        <v/>
      </c>
      <c r="P309" s="45">
        <f>IF(OR(A309="",J309="bezahlt",H309=""),"",MAX(0,TODAY()-H309))</f>
        <v/>
      </c>
    </row>
    <row r="310">
      <c r="A310" s="30" t="inlineStr"/>
      <c r="B310" s="38" t="inlineStr"/>
      <c r="C310" s="30" t="inlineStr"/>
      <c r="D310" s="30" t="inlineStr"/>
      <c r="E310" s="30" t="inlineStr"/>
      <c r="F310" s="34" t="inlineStr"/>
      <c r="G310" s="32" t="inlineStr"/>
      <c r="H310" s="38" t="inlineStr"/>
      <c r="I310" s="38" t="inlineStr"/>
      <c r="J310" s="30" t="inlineStr"/>
      <c r="K310" s="30" t="inlineStr"/>
      <c r="L310" s="15">
        <f>IF(A310="","",F310*G310)</f>
        <v/>
      </c>
      <c r="M310" s="15">
        <f>IF(A310="","",F310+L310)</f>
        <v/>
      </c>
      <c r="N310" s="15">
        <f>IF(A310="","",SUMIFS('15_Zahlungen'!$F:$F,'15_Zahlungen'!$D:$D,A310,'15_Zahlungen'!$C:$C,"Ausgang"))</f>
        <v/>
      </c>
      <c r="O310" s="15">
        <f>IF(A310="","",MAX(0,M310-N310))</f>
        <v/>
      </c>
      <c r="P310" s="45">
        <f>IF(OR(A310="",J310="bezahlt",H310=""),"",MAX(0,TODAY()-H310))</f>
        <v/>
      </c>
    </row>
    <row r="311">
      <c r="A311" s="30" t="inlineStr"/>
      <c r="B311" s="38" t="inlineStr"/>
      <c r="C311" s="30" t="inlineStr"/>
      <c r="D311" s="30" t="inlineStr"/>
      <c r="E311" s="30" t="inlineStr"/>
      <c r="F311" s="34" t="inlineStr"/>
      <c r="G311" s="32" t="inlineStr"/>
      <c r="H311" s="38" t="inlineStr"/>
      <c r="I311" s="38" t="inlineStr"/>
      <c r="J311" s="30" t="inlineStr"/>
      <c r="K311" s="30" t="inlineStr"/>
      <c r="L311" s="15">
        <f>IF(A311="","",F311*G311)</f>
        <v/>
      </c>
      <c r="M311" s="15">
        <f>IF(A311="","",F311+L311)</f>
        <v/>
      </c>
      <c r="N311" s="15">
        <f>IF(A311="","",SUMIFS('15_Zahlungen'!$F:$F,'15_Zahlungen'!$D:$D,A311,'15_Zahlungen'!$C:$C,"Ausgang"))</f>
        <v/>
      </c>
      <c r="O311" s="15">
        <f>IF(A311="","",MAX(0,M311-N311))</f>
        <v/>
      </c>
      <c r="P311" s="45">
        <f>IF(OR(A311="",J311="bezahlt",H311=""),"",MAX(0,TODAY()-H311))</f>
        <v/>
      </c>
    </row>
    <row r="312">
      <c r="A312" s="30" t="inlineStr"/>
      <c r="B312" s="38" t="inlineStr"/>
      <c r="C312" s="30" t="inlineStr"/>
      <c r="D312" s="30" t="inlineStr"/>
      <c r="E312" s="30" t="inlineStr"/>
      <c r="F312" s="34" t="inlineStr"/>
      <c r="G312" s="32" t="inlineStr"/>
      <c r="H312" s="38" t="inlineStr"/>
      <c r="I312" s="38" t="inlineStr"/>
      <c r="J312" s="30" t="inlineStr"/>
      <c r="K312" s="30" t="inlineStr"/>
      <c r="L312" s="15">
        <f>IF(A312="","",F312*G312)</f>
        <v/>
      </c>
      <c r="M312" s="15">
        <f>IF(A312="","",F312+L312)</f>
        <v/>
      </c>
      <c r="N312" s="15">
        <f>IF(A312="","",SUMIFS('15_Zahlungen'!$F:$F,'15_Zahlungen'!$D:$D,A312,'15_Zahlungen'!$C:$C,"Ausgang"))</f>
        <v/>
      </c>
      <c r="O312" s="15">
        <f>IF(A312="","",MAX(0,M312-N312))</f>
        <v/>
      </c>
      <c r="P312" s="45">
        <f>IF(OR(A312="",J312="bezahlt",H312=""),"",MAX(0,TODAY()-H312))</f>
        <v/>
      </c>
    </row>
    <row r="313">
      <c r="A313" s="30" t="inlineStr"/>
      <c r="B313" s="38" t="inlineStr"/>
      <c r="C313" s="30" t="inlineStr"/>
      <c r="D313" s="30" t="inlineStr"/>
      <c r="E313" s="30" t="inlineStr"/>
      <c r="F313" s="34" t="inlineStr"/>
      <c r="G313" s="32" t="inlineStr"/>
      <c r="H313" s="38" t="inlineStr"/>
      <c r="I313" s="38" t="inlineStr"/>
      <c r="J313" s="30" t="inlineStr"/>
      <c r="K313" s="30" t="inlineStr"/>
      <c r="L313" s="15">
        <f>IF(A313="","",F313*G313)</f>
        <v/>
      </c>
      <c r="M313" s="15">
        <f>IF(A313="","",F313+L313)</f>
        <v/>
      </c>
      <c r="N313" s="15">
        <f>IF(A313="","",SUMIFS('15_Zahlungen'!$F:$F,'15_Zahlungen'!$D:$D,A313,'15_Zahlungen'!$C:$C,"Ausgang"))</f>
        <v/>
      </c>
      <c r="O313" s="15">
        <f>IF(A313="","",MAX(0,M313-N313))</f>
        <v/>
      </c>
      <c r="P313" s="45">
        <f>IF(OR(A313="",J313="bezahlt",H313=""),"",MAX(0,TODAY()-H313))</f>
        <v/>
      </c>
    </row>
    <row r="314">
      <c r="A314" s="30" t="inlineStr"/>
      <c r="B314" s="38" t="inlineStr"/>
      <c r="C314" s="30" t="inlineStr"/>
      <c r="D314" s="30" t="inlineStr"/>
      <c r="E314" s="30" t="inlineStr"/>
      <c r="F314" s="34" t="inlineStr"/>
      <c r="G314" s="32" t="inlineStr"/>
      <c r="H314" s="38" t="inlineStr"/>
      <c r="I314" s="38" t="inlineStr"/>
      <c r="J314" s="30" t="inlineStr"/>
      <c r="K314" s="30" t="inlineStr"/>
      <c r="L314" s="15">
        <f>IF(A314="","",F314*G314)</f>
        <v/>
      </c>
      <c r="M314" s="15">
        <f>IF(A314="","",F314+L314)</f>
        <v/>
      </c>
      <c r="N314" s="15">
        <f>IF(A314="","",SUMIFS('15_Zahlungen'!$F:$F,'15_Zahlungen'!$D:$D,A314,'15_Zahlungen'!$C:$C,"Ausgang"))</f>
        <v/>
      </c>
      <c r="O314" s="15">
        <f>IF(A314="","",MAX(0,M314-N314))</f>
        <v/>
      </c>
      <c r="P314" s="45">
        <f>IF(OR(A314="",J314="bezahlt",H314=""),"",MAX(0,TODAY()-H314))</f>
        <v/>
      </c>
    </row>
    <row r="315">
      <c r="A315" s="30" t="inlineStr"/>
      <c r="B315" s="38" t="inlineStr"/>
      <c r="C315" s="30" t="inlineStr"/>
      <c r="D315" s="30" t="inlineStr"/>
      <c r="E315" s="30" t="inlineStr"/>
      <c r="F315" s="34" t="inlineStr"/>
      <c r="G315" s="32" t="inlineStr"/>
      <c r="H315" s="38" t="inlineStr"/>
      <c r="I315" s="38" t="inlineStr"/>
      <c r="J315" s="30" t="inlineStr"/>
      <c r="K315" s="30" t="inlineStr"/>
      <c r="L315" s="15">
        <f>IF(A315="","",F315*G315)</f>
        <v/>
      </c>
      <c r="M315" s="15">
        <f>IF(A315="","",F315+L315)</f>
        <v/>
      </c>
      <c r="N315" s="15">
        <f>IF(A315="","",SUMIFS('15_Zahlungen'!$F:$F,'15_Zahlungen'!$D:$D,A315,'15_Zahlungen'!$C:$C,"Ausgang"))</f>
        <v/>
      </c>
      <c r="O315" s="15">
        <f>IF(A315="","",MAX(0,M315-N315))</f>
        <v/>
      </c>
      <c r="P315" s="45">
        <f>IF(OR(A315="",J315="bezahlt",H315=""),"",MAX(0,TODAY()-H315))</f>
        <v/>
      </c>
    </row>
    <row r="316">
      <c r="A316" s="30" t="inlineStr"/>
      <c r="B316" s="38" t="inlineStr"/>
      <c r="C316" s="30" t="inlineStr"/>
      <c r="D316" s="30" t="inlineStr"/>
      <c r="E316" s="30" t="inlineStr"/>
      <c r="F316" s="34" t="inlineStr"/>
      <c r="G316" s="32" t="inlineStr"/>
      <c r="H316" s="38" t="inlineStr"/>
      <c r="I316" s="38" t="inlineStr"/>
      <c r="J316" s="30" t="inlineStr"/>
      <c r="K316" s="30" t="inlineStr"/>
      <c r="L316" s="15">
        <f>IF(A316="","",F316*G316)</f>
        <v/>
      </c>
      <c r="M316" s="15">
        <f>IF(A316="","",F316+L316)</f>
        <v/>
      </c>
      <c r="N316" s="15">
        <f>IF(A316="","",SUMIFS('15_Zahlungen'!$F:$F,'15_Zahlungen'!$D:$D,A316,'15_Zahlungen'!$C:$C,"Ausgang"))</f>
        <v/>
      </c>
      <c r="O316" s="15">
        <f>IF(A316="","",MAX(0,M316-N316))</f>
        <v/>
      </c>
      <c r="P316" s="45">
        <f>IF(OR(A316="",J316="bezahlt",H316=""),"",MAX(0,TODAY()-H316))</f>
        <v/>
      </c>
    </row>
    <row r="317">
      <c r="A317" s="30" t="inlineStr"/>
      <c r="B317" s="38" t="inlineStr"/>
      <c r="C317" s="30" t="inlineStr"/>
      <c r="D317" s="30" t="inlineStr"/>
      <c r="E317" s="30" t="inlineStr"/>
      <c r="F317" s="34" t="inlineStr"/>
      <c r="G317" s="32" t="inlineStr"/>
      <c r="H317" s="38" t="inlineStr"/>
      <c r="I317" s="38" t="inlineStr"/>
      <c r="J317" s="30" t="inlineStr"/>
      <c r="K317" s="30" t="inlineStr"/>
      <c r="L317" s="15">
        <f>IF(A317="","",F317*G317)</f>
        <v/>
      </c>
      <c r="M317" s="15">
        <f>IF(A317="","",F317+L317)</f>
        <v/>
      </c>
      <c r="N317" s="15">
        <f>IF(A317="","",SUMIFS('15_Zahlungen'!$F:$F,'15_Zahlungen'!$D:$D,A317,'15_Zahlungen'!$C:$C,"Ausgang"))</f>
        <v/>
      </c>
      <c r="O317" s="15">
        <f>IF(A317="","",MAX(0,M317-N317))</f>
        <v/>
      </c>
      <c r="P317" s="45">
        <f>IF(OR(A317="",J317="bezahlt",H317=""),"",MAX(0,TODAY()-H317))</f>
        <v/>
      </c>
    </row>
    <row r="318">
      <c r="A318" s="30" t="inlineStr"/>
      <c r="B318" s="38" t="inlineStr"/>
      <c r="C318" s="30" t="inlineStr"/>
      <c r="D318" s="30" t="inlineStr"/>
      <c r="E318" s="30" t="inlineStr"/>
      <c r="F318" s="34" t="inlineStr"/>
      <c r="G318" s="32" t="inlineStr"/>
      <c r="H318" s="38" t="inlineStr"/>
      <c r="I318" s="38" t="inlineStr"/>
      <c r="J318" s="30" t="inlineStr"/>
      <c r="K318" s="30" t="inlineStr"/>
      <c r="L318" s="15">
        <f>IF(A318="","",F318*G318)</f>
        <v/>
      </c>
      <c r="M318" s="15">
        <f>IF(A318="","",F318+L318)</f>
        <v/>
      </c>
      <c r="N318" s="15">
        <f>IF(A318="","",SUMIFS('15_Zahlungen'!$F:$F,'15_Zahlungen'!$D:$D,A318,'15_Zahlungen'!$C:$C,"Ausgang"))</f>
        <v/>
      </c>
      <c r="O318" s="15">
        <f>IF(A318="","",MAX(0,M318-N318))</f>
        <v/>
      </c>
      <c r="P318" s="45">
        <f>IF(OR(A318="",J318="bezahlt",H318=""),"",MAX(0,TODAY()-H318))</f>
        <v/>
      </c>
    </row>
    <row r="319">
      <c r="A319" s="30" t="inlineStr"/>
      <c r="B319" s="38" t="inlineStr"/>
      <c r="C319" s="30" t="inlineStr"/>
      <c r="D319" s="30" t="inlineStr"/>
      <c r="E319" s="30" t="inlineStr"/>
      <c r="F319" s="34" t="inlineStr"/>
      <c r="G319" s="32" t="inlineStr"/>
      <c r="H319" s="38" t="inlineStr"/>
      <c r="I319" s="38" t="inlineStr"/>
      <c r="J319" s="30" t="inlineStr"/>
      <c r="K319" s="30" t="inlineStr"/>
      <c r="L319" s="15">
        <f>IF(A319="","",F319*G319)</f>
        <v/>
      </c>
      <c r="M319" s="15">
        <f>IF(A319="","",F319+L319)</f>
        <v/>
      </c>
      <c r="N319" s="15">
        <f>IF(A319="","",SUMIFS('15_Zahlungen'!$F:$F,'15_Zahlungen'!$D:$D,A319,'15_Zahlungen'!$C:$C,"Ausgang"))</f>
        <v/>
      </c>
      <c r="O319" s="15">
        <f>IF(A319="","",MAX(0,M319-N319))</f>
        <v/>
      </c>
      <c r="P319" s="45">
        <f>IF(OR(A319="",J319="bezahlt",H319=""),"",MAX(0,TODAY()-H319))</f>
        <v/>
      </c>
    </row>
    <row r="320">
      <c r="A320" s="30" t="inlineStr"/>
      <c r="B320" s="38" t="inlineStr"/>
      <c r="C320" s="30" t="inlineStr"/>
      <c r="D320" s="30" t="inlineStr"/>
      <c r="E320" s="30" t="inlineStr"/>
      <c r="F320" s="34" t="inlineStr"/>
      <c r="G320" s="32" t="inlineStr"/>
      <c r="H320" s="38" t="inlineStr"/>
      <c r="I320" s="38" t="inlineStr"/>
      <c r="J320" s="30" t="inlineStr"/>
      <c r="K320" s="30" t="inlineStr"/>
      <c r="L320" s="15">
        <f>IF(A320="","",F320*G320)</f>
        <v/>
      </c>
      <c r="M320" s="15">
        <f>IF(A320="","",F320+L320)</f>
        <v/>
      </c>
      <c r="N320" s="15">
        <f>IF(A320="","",SUMIFS('15_Zahlungen'!$F:$F,'15_Zahlungen'!$D:$D,A320,'15_Zahlungen'!$C:$C,"Ausgang"))</f>
        <v/>
      </c>
      <c r="O320" s="15">
        <f>IF(A320="","",MAX(0,M320-N320))</f>
        <v/>
      </c>
      <c r="P320" s="45">
        <f>IF(OR(A320="",J320="bezahlt",H320=""),"",MAX(0,TODAY()-H320))</f>
        <v/>
      </c>
    </row>
    <row r="321">
      <c r="A321" s="30" t="inlineStr"/>
      <c r="B321" s="38" t="inlineStr"/>
      <c r="C321" s="30" t="inlineStr"/>
      <c r="D321" s="30" t="inlineStr"/>
      <c r="E321" s="30" t="inlineStr"/>
      <c r="F321" s="34" t="inlineStr"/>
      <c r="G321" s="32" t="inlineStr"/>
      <c r="H321" s="38" t="inlineStr"/>
      <c r="I321" s="38" t="inlineStr"/>
      <c r="J321" s="30" t="inlineStr"/>
      <c r="K321" s="30" t="inlineStr"/>
      <c r="L321" s="15">
        <f>IF(A321="","",F321*G321)</f>
        <v/>
      </c>
      <c r="M321" s="15">
        <f>IF(A321="","",F321+L321)</f>
        <v/>
      </c>
      <c r="N321" s="15">
        <f>IF(A321="","",SUMIFS('15_Zahlungen'!$F:$F,'15_Zahlungen'!$D:$D,A321,'15_Zahlungen'!$C:$C,"Ausgang"))</f>
        <v/>
      </c>
      <c r="O321" s="15">
        <f>IF(A321="","",MAX(0,M321-N321))</f>
        <v/>
      </c>
      <c r="P321" s="45">
        <f>IF(OR(A321="",J321="bezahlt",H321=""),"",MAX(0,TODAY()-H321))</f>
        <v/>
      </c>
    </row>
    <row r="322">
      <c r="A322" s="30" t="inlineStr"/>
      <c r="B322" s="38" t="inlineStr"/>
      <c r="C322" s="30" t="inlineStr"/>
      <c r="D322" s="30" t="inlineStr"/>
      <c r="E322" s="30" t="inlineStr"/>
      <c r="F322" s="34" t="inlineStr"/>
      <c r="G322" s="32" t="inlineStr"/>
      <c r="H322" s="38" t="inlineStr"/>
      <c r="I322" s="38" t="inlineStr"/>
      <c r="J322" s="30" t="inlineStr"/>
      <c r="K322" s="30" t="inlineStr"/>
      <c r="L322" s="15">
        <f>IF(A322="","",F322*G322)</f>
        <v/>
      </c>
      <c r="M322" s="15">
        <f>IF(A322="","",F322+L322)</f>
        <v/>
      </c>
      <c r="N322" s="15">
        <f>IF(A322="","",SUMIFS('15_Zahlungen'!$F:$F,'15_Zahlungen'!$D:$D,A322,'15_Zahlungen'!$C:$C,"Ausgang"))</f>
        <v/>
      </c>
      <c r="O322" s="15">
        <f>IF(A322="","",MAX(0,M322-N322))</f>
        <v/>
      </c>
      <c r="P322" s="45">
        <f>IF(OR(A322="",J322="bezahlt",H322=""),"",MAX(0,TODAY()-H322))</f>
        <v/>
      </c>
    </row>
    <row r="323">
      <c r="A323" s="30" t="inlineStr"/>
      <c r="B323" s="38" t="inlineStr"/>
      <c r="C323" s="30" t="inlineStr"/>
      <c r="D323" s="30" t="inlineStr"/>
      <c r="E323" s="30" t="inlineStr"/>
      <c r="F323" s="34" t="inlineStr"/>
      <c r="G323" s="32" t="inlineStr"/>
      <c r="H323" s="38" t="inlineStr"/>
      <c r="I323" s="38" t="inlineStr"/>
      <c r="J323" s="30" t="inlineStr"/>
      <c r="K323" s="30" t="inlineStr"/>
      <c r="L323" s="15">
        <f>IF(A323="","",F323*G323)</f>
        <v/>
      </c>
      <c r="M323" s="15">
        <f>IF(A323="","",F323+L323)</f>
        <v/>
      </c>
      <c r="N323" s="15">
        <f>IF(A323="","",SUMIFS('15_Zahlungen'!$F:$F,'15_Zahlungen'!$D:$D,A323,'15_Zahlungen'!$C:$C,"Ausgang"))</f>
        <v/>
      </c>
      <c r="O323" s="15">
        <f>IF(A323="","",MAX(0,M323-N323))</f>
        <v/>
      </c>
      <c r="P323" s="45">
        <f>IF(OR(A323="",J323="bezahlt",H323=""),"",MAX(0,TODAY()-H323))</f>
        <v/>
      </c>
    </row>
    <row r="324">
      <c r="A324" s="30" t="inlineStr"/>
      <c r="B324" s="38" t="inlineStr"/>
      <c r="C324" s="30" t="inlineStr"/>
      <c r="D324" s="30" t="inlineStr"/>
      <c r="E324" s="30" t="inlineStr"/>
      <c r="F324" s="34" t="inlineStr"/>
      <c r="G324" s="32" t="inlineStr"/>
      <c r="H324" s="38" t="inlineStr"/>
      <c r="I324" s="38" t="inlineStr"/>
      <c r="J324" s="30" t="inlineStr"/>
      <c r="K324" s="30" t="inlineStr"/>
      <c r="L324" s="15">
        <f>IF(A324="","",F324*G324)</f>
        <v/>
      </c>
      <c r="M324" s="15">
        <f>IF(A324="","",F324+L324)</f>
        <v/>
      </c>
      <c r="N324" s="15">
        <f>IF(A324="","",SUMIFS('15_Zahlungen'!$F:$F,'15_Zahlungen'!$D:$D,A324,'15_Zahlungen'!$C:$C,"Ausgang"))</f>
        <v/>
      </c>
      <c r="O324" s="15">
        <f>IF(A324="","",MAX(0,M324-N324))</f>
        <v/>
      </c>
      <c r="P324" s="45">
        <f>IF(OR(A324="",J324="bezahlt",H324=""),"",MAX(0,TODAY()-H324))</f>
        <v/>
      </c>
    </row>
    <row r="325">
      <c r="A325" s="30" t="inlineStr"/>
      <c r="B325" s="38" t="inlineStr"/>
      <c r="C325" s="30" t="inlineStr"/>
      <c r="D325" s="30" t="inlineStr"/>
      <c r="E325" s="30" t="inlineStr"/>
      <c r="F325" s="34" t="inlineStr"/>
      <c r="G325" s="32" t="inlineStr"/>
      <c r="H325" s="38" t="inlineStr"/>
      <c r="I325" s="38" t="inlineStr"/>
      <c r="J325" s="30" t="inlineStr"/>
      <c r="K325" s="30" t="inlineStr"/>
      <c r="L325" s="15">
        <f>IF(A325="","",F325*G325)</f>
        <v/>
      </c>
      <c r="M325" s="15">
        <f>IF(A325="","",F325+L325)</f>
        <v/>
      </c>
      <c r="N325" s="15">
        <f>IF(A325="","",SUMIFS('15_Zahlungen'!$F:$F,'15_Zahlungen'!$D:$D,A325,'15_Zahlungen'!$C:$C,"Ausgang"))</f>
        <v/>
      </c>
      <c r="O325" s="15">
        <f>IF(A325="","",MAX(0,M325-N325))</f>
        <v/>
      </c>
      <c r="P325" s="45">
        <f>IF(OR(A325="",J325="bezahlt",H325=""),"",MAX(0,TODAY()-H325))</f>
        <v/>
      </c>
    </row>
    <row r="326">
      <c r="A326" s="30" t="inlineStr"/>
      <c r="B326" s="38" t="inlineStr"/>
      <c r="C326" s="30" t="inlineStr"/>
      <c r="D326" s="30" t="inlineStr"/>
      <c r="E326" s="30" t="inlineStr"/>
      <c r="F326" s="34" t="inlineStr"/>
      <c r="G326" s="32" t="inlineStr"/>
      <c r="H326" s="38" t="inlineStr"/>
      <c r="I326" s="38" t="inlineStr"/>
      <c r="J326" s="30" t="inlineStr"/>
      <c r="K326" s="30" t="inlineStr"/>
      <c r="L326" s="15">
        <f>IF(A326="","",F326*G326)</f>
        <v/>
      </c>
      <c r="M326" s="15">
        <f>IF(A326="","",F326+L326)</f>
        <v/>
      </c>
      <c r="N326" s="15">
        <f>IF(A326="","",SUMIFS('15_Zahlungen'!$F:$F,'15_Zahlungen'!$D:$D,A326,'15_Zahlungen'!$C:$C,"Ausgang"))</f>
        <v/>
      </c>
      <c r="O326" s="15">
        <f>IF(A326="","",MAX(0,M326-N326))</f>
        <v/>
      </c>
      <c r="P326" s="45">
        <f>IF(OR(A326="",J326="bezahlt",H326=""),"",MAX(0,TODAY()-H326))</f>
        <v/>
      </c>
    </row>
    <row r="327">
      <c r="A327" s="30" t="inlineStr"/>
      <c r="B327" s="38" t="inlineStr"/>
      <c r="C327" s="30" t="inlineStr"/>
      <c r="D327" s="30" t="inlineStr"/>
      <c r="E327" s="30" t="inlineStr"/>
      <c r="F327" s="34" t="inlineStr"/>
      <c r="G327" s="32" t="inlineStr"/>
      <c r="H327" s="38" t="inlineStr"/>
      <c r="I327" s="38" t="inlineStr"/>
      <c r="J327" s="30" t="inlineStr"/>
      <c r="K327" s="30" t="inlineStr"/>
      <c r="L327" s="15">
        <f>IF(A327="","",F327*G327)</f>
        <v/>
      </c>
      <c r="M327" s="15">
        <f>IF(A327="","",F327+L327)</f>
        <v/>
      </c>
      <c r="N327" s="15">
        <f>IF(A327="","",SUMIFS('15_Zahlungen'!$F:$F,'15_Zahlungen'!$D:$D,A327,'15_Zahlungen'!$C:$C,"Ausgang"))</f>
        <v/>
      </c>
      <c r="O327" s="15">
        <f>IF(A327="","",MAX(0,M327-N327))</f>
        <v/>
      </c>
      <c r="P327" s="45">
        <f>IF(OR(A327="",J327="bezahlt",H327=""),"",MAX(0,TODAY()-H327))</f>
        <v/>
      </c>
    </row>
    <row r="328">
      <c r="A328" s="30" t="inlineStr"/>
      <c r="B328" s="38" t="inlineStr"/>
      <c r="C328" s="30" t="inlineStr"/>
      <c r="D328" s="30" t="inlineStr"/>
      <c r="E328" s="30" t="inlineStr"/>
      <c r="F328" s="34" t="inlineStr"/>
      <c r="G328" s="32" t="inlineStr"/>
      <c r="H328" s="38" t="inlineStr"/>
      <c r="I328" s="38" t="inlineStr"/>
      <c r="J328" s="30" t="inlineStr"/>
      <c r="K328" s="30" t="inlineStr"/>
      <c r="L328" s="15">
        <f>IF(A328="","",F328*G328)</f>
        <v/>
      </c>
      <c r="M328" s="15">
        <f>IF(A328="","",F328+L328)</f>
        <v/>
      </c>
      <c r="N328" s="15">
        <f>IF(A328="","",SUMIFS('15_Zahlungen'!$F:$F,'15_Zahlungen'!$D:$D,A328,'15_Zahlungen'!$C:$C,"Ausgang"))</f>
        <v/>
      </c>
      <c r="O328" s="15">
        <f>IF(A328="","",MAX(0,M328-N328))</f>
        <v/>
      </c>
      <c r="P328" s="45">
        <f>IF(OR(A328="",J328="bezahlt",H328=""),"",MAX(0,TODAY()-H328))</f>
        <v/>
      </c>
    </row>
    <row r="329">
      <c r="A329" s="30" t="inlineStr"/>
      <c r="B329" s="38" t="inlineStr"/>
      <c r="C329" s="30" t="inlineStr"/>
      <c r="D329" s="30" t="inlineStr"/>
      <c r="E329" s="30" t="inlineStr"/>
      <c r="F329" s="34" t="inlineStr"/>
      <c r="G329" s="32" t="inlineStr"/>
      <c r="H329" s="38" t="inlineStr"/>
      <c r="I329" s="38" t="inlineStr"/>
      <c r="J329" s="30" t="inlineStr"/>
      <c r="K329" s="30" t="inlineStr"/>
      <c r="L329" s="15">
        <f>IF(A329="","",F329*G329)</f>
        <v/>
      </c>
      <c r="M329" s="15">
        <f>IF(A329="","",F329+L329)</f>
        <v/>
      </c>
      <c r="N329" s="15">
        <f>IF(A329="","",SUMIFS('15_Zahlungen'!$F:$F,'15_Zahlungen'!$D:$D,A329,'15_Zahlungen'!$C:$C,"Ausgang"))</f>
        <v/>
      </c>
      <c r="O329" s="15">
        <f>IF(A329="","",MAX(0,M329-N329))</f>
        <v/>
      </c>
      <c r="P329" s="45">
        <f>IF(OR(A329="",J329="bezahlt",H329=""),"",MAX(0,TODAY()-H329))</f>
        <v/>
      </c>
    </row>
    <row r="330">
      <c r="A330" s="30" t="inlineStr"/>
      <c r="B330" s="38" t="inlineStr"/>
      <c r="C330" s="30" t="inlineStr"/>
      <c r="D330" s="30" t="inlineStr"/>
      <c r="E330" s="30" t="inlineStr"/>
      <c r="F330" s="34" t="inlineStr"/>
      <c r="G330" s="32" t="inlineStr"/>
      <c r="H330" s="38" t="inlineStr"/>
      <c r="I330" s="38" t="inlineStr"/>
      <c r="J330" s="30" t="inlineStr"/>
      <c r="K330" s="30" t="inlineStr"/>
      <c r="L330" s="15">
        <f>IF(A330="","",F330*G330)</f>
        <v/>
      </c>
      <c r="M330" s="15">
        <f>IF(A330="","",F330+L330)</f>
        <v/>
      </c>
      <c r="N330" s="15">
        <f>IF(A330="","",SUMIFS('15_Zahlungen'!$F:$F,'15_Zahlungen'!$D:$D,A330,'15_Zahlungen'!$C:$C,"Ausgang"))</f>
        <v/>
      </c>
      <c r="O330" s="15">
        <f>IF(A330="","",MAX(0,M330-N330))</f>
        <v/>
      </c>
      <c r="P330" s="45">
        <f>IF(OR(A330="",J330="bezahlt",H330=""),"",MAX(0,TODAY()-H330))</f>
        <v/>
      </c>
    </row>
    <row r="331">
      <c r="A331" s="30" t="inlineStr"/>
      <c r="B331" s="38" t="inlineStr"/>
      <c r="C331" s="30" t="inlineStr"/>
      <c r="D331" s="30" t="inlineStr"/>
      <c r="E331" s="30" t="inlineStr"/>
      <c r="F331" s="34" t="inlineStr"/>
      <c r="G331" s="32" t="inlineStr"/>
      <c r="H331" s="38" t="inlineStr"/>
      <c r="I331" s="38" t="inlineStr"/>
      <c r="J331" s="30" t="inlineStr"/>
      <c r="K331" s="30" t="inlineStr"/>
      <c r="L331" s="15">
        <f>IF(A331="","",F331*G331)</f>
        <v/>
      </c>
      <c r="M331" s="15">
        <f>IF(A331="","",F331+L331)</f>
        <v/>
      </c>
      <c r="N331" s="15">
        <f>IF(A331="","",SUMIFS('15_Zahlungen'!$F:$F,'15_Zahlungen'!$D:$D,A331,'15_Zahlungen'!$C:$C,"Ausgang"))</f>
        <v/>
      </c>
      <c r="O331" s="15">
        <f>IF(A331="","",MAX(0,M331-N331))</f>
        <v/>
      </c>
      <c r="P331" s="45">
        <f>IF(OR(A331="",J331="bezahlt",H331=""),"",MAX(0,TODAY()-H331))</f>
        <v/>
      </c>
    </row>
    <row r="332">
      <c r="A332" s="30" t="inlineStr"/>
      <c r="B332" s="38" t="inlineStr"/>
      <c r="C332" s="30" t="inlineStr"/>
      <c r="D332" s="30" t="inlineStr"/>
      <c r="E332" s="30" t="inlineStr"/>
      <c r="F332" s="34" t="inlineStr"/>
      <c r="G332" s="32" t="inlineStr"/>
      <c r="H332" s="38" t="inlineStr"/>
      <c r="I332" s="38" t="inlineStr"/>
      <c r="J332" s="30" t="inlineStr"/>
      <c r="K332" s="30" t="inlineStr"/>
      <c r="L332" s="15">
        <f>IF(A332="","",F332*G332)</f>
        <v/>
      </c>
      <c r="M332" s="15">
        <f>IF(A332="","",F332+L332)</f>
        <v/>
      </c>
      <c r="N332" s="15">
        <f>IF(A332="","",SUMIFS('15_Zahlungen'!$F:$F,'15_Zahlungen'!$D:$D,A332,'15_Zahlungen'!$C:$C,"Ausgang"))</f>
        <v/>
      </c>
      <c r="O332" s="15">
        <f>IF(A332="","",MAX(0,M332-N332))</f>
        <v/>
      </c>
      <c r="P332" s="45">
        <f>IF(OR(A332="",J332="bezahlt",H332=""),"",MAX(0,TODAY()-H332))</f>
        <v/>
      </c>
    </row>
    <row r="333">
      <c r="A333" s="30" t="inlineStr"/>
      <c r="B333" s="38" t="inlineStr"/>
      <c r="C333" s="30" t="inlineStr"/>
      <c r="D333" s="30" t="inlineStr"/>
      <c r="E333" s="30" t="inlineStr"/>
      <c r="F333" s="34" t="inlineStr"/>
      <c r="G333" s="32" t="inlineStr"/>
      <c r="H333" s="38" t="inlineStr"/>
      <c r="I333" s="38" t="inlineStr"/>
      <c r="J333" s="30" t="inlineStr"/>
      <c r="K333" s="30" t="inlineStr"/>
      <c r="L333" s="15">
        <f>IF(A333="","",F333*G333)</f>
        <v/>
      </c>
      <c r="M333" s="15">
        <f>IF(A333="","",F333+L333)</f>
        <v/>
      </c>
      <c r="N333" s="15">
        <f>IF(A333="","",SUMIFS('15_Zahlungen'!$F:$F,'15_Zahlungen'!$D:$D,A333,'15_Zahlungen'!$C:$C,"Ausgang"))</f>
        <v/>
      </c>
      <c r="O333" s="15">
        <f>IF(A333="","",MAX(0,M333-N333))</f>
        <v/>
      </c>
      <c r="P333" s="45">
        <f>IF(OR(A333="",J333="bezahlt",H333=""),"",MAX(0,TODAY()-H333))</f>
        <v/>
      </c>
    </row>
    <row r="334">
      <c r="A334" s="30" t="inlineStr"/>
      <c r="B334" s="38" t="inlineStr"/>
      <c r="C334" s="30" t="inlineStr"/>
      <c r="D334" s="30" t="inlineStr"/>
      <c r="E334" s="30" t="inlineStr"/>
      <c r="F334" s="34" t="inlineStr"/>
      <c r="G334" s="32" t="inlineStr"/>
      <c r="H334" s="38" t="inlineStr"/>
      <c r="I334" s="38" t="inlineStr"/>
      <c r="J334" s="30" t="inlineStr"/>
      <c r="K334" s="30" t="inlineStr"/>
      <c r="L334" s="15">
        <f>IF(A334="","",F334*G334)</f>
        <v/>
      </c>
      <c r="M334" s="15">
        <f>IF(A334="","",F334+L334)</f>
        <v/>
      </c>
      <c r="N334" s="15">
        <f>IF(A334="","",SUMIFS('15_Zahlungen'!$F:$F,'15_Zahlungen'!$D:$D,A334,'15_Zahlungen'!$C:$C,"Ausgang"))</f>
        <v/>
      </c>
      <c r="O334" s="15">
        <f>IF(A334="","",MAX(0,M334-N334))</f>
        <v/>
      </c>
      <c r="P334" s="45">
        <f>IF(OR(A334="",J334="bezahlt",H334=""),"",MAX(0,TODAY()-H334))</f>
        <v/>
      </c>
    </row>
    <row r="335">
      <c r="A335" s="30" t="inlineStr"/>
      <c r="B335" s="38" t="inlineStr"/>
      <c r="C335" s="30" t="inlineStr"/>
      <c r="D335" s="30" t="inlineStr"/>
      <c r="E335" s="30" t="inlineStr"/>
      <c r="F335" s="34" t="inlineStr"/>
      <c r="G335" s="32" t="inlineStr"/>
      <c r="H335" s="38" t="inlineStr"/>
      <c r="I335" s="38" t="inlineStr"/>
      <c r="J335" s="30" t="inlineStr"/>
      <c r="K335" s="30" t="inlineStr"/>
      <c r="L335" s="15">
        <f>IF(A335="","",F335*G335)</f>
        <v/>
      </c>
      <c r="M335" s="15">
        <f>IF(A335="","",F335+L335)</f>
        <v/>
      </c>
      <c r="N335" s="15">
        <f>IF(A335="","",SUMIFS('15_Zahlungen'!$F:$F,'15_Zahlungen'!$D:$D,A335,'15_Zahlungen'!$C:$C,"Ausgang"))</f>
        <v/>
      </c>
      <c r="O335" s="15">
        <f>IF(A335="","",MAX(0,M335-N335))</f>
        <v/>
      </c>
      <c r="P335" s="45">
        <f>IF(OR(A335="",J335="bezahlt",H335=""),"",MAX(0,TODAY()-H335))</f>
        <v/>
      </c>
    </row>
    <row r="336">
      <c r="A336" s="30" t="inlineStr"/>
      <c r="B336" s="38" t="inlineStr"/>
      <c r="C336" s="30" t="inlineStr"/>
      <c r="D336" s="30" t="inlineStr"/>
      <c r="E336" s="30" t="inlineStr"/>
      <c r="F336" s="34" t="inlineStr"/>
      <c r="G336" s="32" t="inlineStr"/>
      <c r="H336" s="38" t="inlineStr"/>
      <c r="I336" s="38" t="inlineStr"/>
      <c r="J336" s="30" t="inlineStr"/>
      <c r="K336" s="30" t="inlineStr"/>
      <c r="L336" s="15">
        <f>IF(A336="","",F336*G336)</f>
        <v/>
      </c>
      <c r="M336" s="15">
        <f>IF(A336="","",F336+L336)</f>
        <v/>
      </c>
      <c r="N336" s="15">
        <f>IF(A336="","",SUMIFS('15_Zahlungen'!$F:$F,'15_Zahlungen'!$D:$D,A336,'15_Zahlungen'!$C:$C,"Ausgang"))</f>
        <v/>
      </c>
      <c r="O336" s="15">
        <f>IF(A336="","",MAX(0,M336-N336))</f>
        <v/>
      </c>
      <c r="P336" s="45">
        <f>IF(OR(A336="",J336="bezahlt",H336=""),"",MAX(0,TODAY()-H336))</f>
        <v/>
      </c>
    </row>
    <row r="337">
      <c r="A337" s="30" t="inlineStr"/>
      <c r="B337" s="38" t="inlineStr"/>
      <c r="C337" s="30" t="inlineStr"/>
      <c r="D337" s="30" t="inlineStr"/>
      <c r="E337" s="30" t="inlineStr"/>
      <c r="F337" s="34" t="inlineStr"/>
      <c r="G337" s="32" t="inlineStr"/>
      <c r="H337" s="38" t="inlineStr"/>
      <c r="I337" s="38" t="inlineStr"/>
      <c r="J337" s="30" t="inlineStr"/>
      <c r="K337" s="30" t="inlineStr"/>
      <c r="L337" s="15">
        <f>IF(A337="","",F337*G337)</f>
        <v/>
      </c>
      <c r="M337" s="15">
        <f>IF(A337="","",F337+L337)</f>
        <v/>
      </c>
      <c r="N337" s="15">
        <f>IF(A337="","",SUMIFS('15_Zahlungen'!$F:$F,'15_Zahlungen'!$D:$D,A337,'15_Zahlungen'!$C:$C,"Ausgang"))</f>
        <v/>
      </c>
      <c r="O337" s="15">
        <f>IF(A337="","",MAX(0,M337-N337))</f>
        <v/>
      </c>
      <c r="P337" s="45">
        <f>IF(OR(A337="",J337="bezahlt",H337=""),"",MAX(0,TODAY()-H337))</f>
        <v/>
      </c>
    </row>
    <row r="338">
      <c r="A338" s="30" t="inlineStr"/>
      <c r="B338" s="38" t="inlineStr"/>
      <c r="C338" s="30" t="inlineStr"/>
      <c r="D338" s="30" t="inlineStr"/>
      <c r="E338" s="30" t="inlineStr"/>
      <c r="F338" s="34" t="inlineStr"/>
      <c r="G338" s="32" t="inlineStr"/>
      <c r="H338" s="38" t="inlineStr"/>
      <c r="I338" s="38" t="inlineStr"/>
      <c r="J338" s="30" t="inlineStr"/>
      <c r="K338" s="30" t="inlineStr"/>
      <c r="L338" s="15">
        <f>IF(A338="","",F338*G338)</f>
        <v/>
      </c>
      <c r="M338" s="15">
        <f>IF(A338="","",F338+L338)</f>
        <v/>
      </c>
      <c r="N338" s="15">
        <f>IF(A338="","",SUMIFS('15_Zahlungen'!$F:$F,'15_Zahlungen'!$D:$D,A338,'15_Zahlungen'!$C:$C,"Ausgang"))</f>
        <v/>
      </c>
      <c r="O338" s="15">
        <f>IF(A338="","",MAX(0,M338-N338))</f>
        <v/>
      </c>
      <c r="P338" s="45">
        <f>IF(OR(A338="",J338="bezahlt",H338=""),"",MAX(0,TODAY()-H338))</f>
        <v/>
      </c>
    </row>
    <row r="339">
      <c r="A339" s="30" t="inlineStr"/>
      <c r="B339" s="38" t="inlineStr"/>
      <c r="C339" s="30" t="inlineStr"/>
      <c r="D339" s="30" t="inlineStr"/>
      <c r="E339" s="30" t="inlineStr"/>
      <c r="F339" s="34" t="inlineStr"/>
      <c r="G339" s="32" t="inlineStr"/>
      <c r="H339" s="38" t="inlineStr"/>
      <c r="I339" s="38" t="inlineStr"/>
      <c r="J339" s="30" t="inlineStr"/>
      <c r="K339" s="30" t="inlineStr"/>
      <c r="L339" s="15">
        <f>IF(A339="","",F339*G339)</f>
        <v/>
      </c>
      <c r="M339" s="15">
        <f>IF(A339="","",F339+L339)</f>
        <v/>
      </c>
      <c r="N339" s="15">
        <f>IF(A339="","",SUMIFS('15_Zahlungen'!$F:$F,'15_Zahlungen'!$D:$D,A339,'15_Zahlungen'!$C:$C,"Ausgang"))</f>
        <v/>
      </c>
      <c r="O339" s="15">
        <f>IF(A339="","",MAX(0,M339-N339))</f>
        <v/>
      </c>
      <c r="P339" s="45">
        <f>IF(OR(A339="",J339="bezahlt",H339=""),"",MAX(0,TODAY()-H339))</f>
        <v/>
      </c>
    </row>
    <row r="340">
      <c r="A340" s="30" t="inlineStr"/>
      <c r="B340" s="38" t="inlineStr"/>
      <c r="C340" s="30" t="inlineStr"/>
      <c r="D340" s="30" t="inlineStr"/>
      <c r="E340" s="30" t="inlineStr"/>
      <c r="F340" s="34" t="inlineStr"/>
      <c r="G340" s="32" t="inlineStr"/>
      <c r="H340" s="38" t="inlineStr"/>
      <c r="I340" s="38" t="inlineStr"/>
      <c r="J340" s="30" t="inlineStr"/>
      <c r="K340" s="30" t="inlineStr"/>
      <c r="L340" s="15">
        <f>IF(A340="","",F340*G340)</f>
        <v/>
      </c>
      <c r="M340" s="15">
        <f>IF(A340="","",F340+L340)</f>
        <v/>
      </c>
      <c r="N340" s="15">
        <f>IF(A340="","",SUMIFS('15_Zahlungen'!$F:$F,'15_Zahlungen'!$D:$D,A340,'15_Zahlungen'!$C:$C,"Ausgang"))</f>
        <v/>
      </c>
      <c r="O340" s="15">
        <f>IF(A340="","",MAX(0,M340-N340))</f>
        <v/>
      </c>
      <c r="P340" s="45">
        <f>IF(OR(A340="",J340="bezahlt",H340=""),"",MAX(0,TODAY()-H340))</f>
        <v/>
      </c>
    </row>
    <row r="341">
      <c r="A341" s="30" t="inlineStr"/>
      <c r="B341" s="38" t="inlineStr"/>
      <c r="C341" s="30" t="inlineStr"/>
      <c r="D341" s="30" t="inlineStr"/>
      <c r="E341" s="30" t="inlineStr"/>
      <c r="F341" s="34" t="inlineStr"/>
      <c r="G341" s="32" t="inlineStr"/>
      <c r="H341" s="38" t="inlineStr"/>
      <c r="I341" s="38" t="inlineStr"/>
      <c r="J341" s="30" t="inlineStr"/>
      <c r="K341" s="30" t="inlineStr"/>
      <c r="L341" s="15">
        <f>IF(A341="","",F341*G341)</f>
        <v/>
      </c>
      <c r="M341" s="15">
        <f>IF(A341="","",F341+L341)</f>
        <v/>
      </c>
      <c r="N341" s="15">
        <f>IF(A341="","",SUMIFS('15_Zahlungen'!$F:$F,'15_Zahlungen'!$D:$D,A341,'15_Zahlungen'!$C:$C,"Ausgang"))</f>
        <v/>
      </c>
      <c r="O341" s="15">
        <f>IF(A341="","",MAX(0,M341-N341))</f>
        <v/>
      </c>
      <c r="P341" s="45">
        <f>IF(OR(A341="",J341="bezahlt",H341=""),"",MAX(0,TODAY()-H341))</f>
        <v/>
      </c>
    </row>
    <row r="342">
      <c r="A342" s="30" t="inlineStr"/>
      <c r="B342" s="38" t="inlineStr"/>
      <c r="C342" s="30" t="inlineStr"/>
      <c r="D342" s="30" t="inlineStr"/>
      <c r="E342" s="30" t="inlineStr"/>
      <c r="F342" s="34" t="inlineStr"/>
      <c r="G342" s="32" t="inlineStr"/>
      <c r="H342" s="38" t="inlineStr"/>
      <c r="I342" s="38" t="inlineStr"/>
      <c r="J342" s="30" t="inlineStr"/>
      <c r="K342" s="30" t="inlineStr"/>
      <c r="L342" s="15">
        <f>IF(A342="","",F342*G342)</f>
        <v/>
      </c>
      <c r="M342" s="15">
        <f>IF(A342="","",F342+L342)</f>
        <v/>
      </c>
      <c r="N342" s="15">
        <f>IF(A342="","",SUMIFS('15_Zahlungen'!$F:$F,'15_Zahlungen'!$D:$D,A342,'15_Zahlungen'!$C:$C,"Ausgang"))</f>
        <v/>
      </c>
      <c r="O342" s="15">
        <f>IF(A342="","",MAX(0,M342-N342))</f>
        <v/>
      </c>
      <c r="P342" s="45">
        <f>IF(OR(A342="",J342="bezahlt",H342=""),"",MAX(0,TODAY()-H342))</f>
        <v/>
      </c>
    </row>
    <row r="343">
      <c r="A343" s="30" t="inlineStr"/>
      <c r="B343" s="38" t="inlineStr"/>
      <c r="C343" s="30" t="inlineStr"/>
      <c r="D343" s="30" t="inlineStr"/>
      <c r="E343" s="30" t="inlineStr"/>
      <c r="F343" s="34" t="inlineStr"/>
      <c r="G343" s="32" t="inlineStr"/>
      <c r="H343" s="38" t="inlineStr"/>
      <c r="I343" s="38" t="inlineStr"/>
      <c r="J343" s="30" t="inlineStr"/>
      <c r="K343" s="30" t="inlineStr"/>
      <c r="L343" s="15">
        <f>IF(A343="","",F343*G343)</f>
        <v/>
      </c>
      <c r="M343" s="15">
        <f>IF(A343="","",F343+L343)</f>
        <v/>
      </c>
      <c r="N343" s="15">
        <f>IF(A343="","",SUMIFS('15_Zahlungen'!$F:$F,'15_Zahlungen'!$D:$D,A343,'15_Zahlungen'!$C:$C,"Ausgang"))</f>
        <v/>
      </c>
      <c r="O343" s="15">
        <f>IF(A343="","",MAX(0,M343-N343))</f>
        <v/>
      </c>
      <c r="P343" s="45">
        <f>IF(OR(A343="",J343="bezahlt",H343=""),"",MAX(0,TODAY()-H343))</f>
        <v/>
      </c>
    </row>
    <row r="344">
      <c r="A344" s="30" t="inlineStr"/>
      <c r="B344" s="38" t="inlineStr"/>
      <c r="C344" s="30" t="inlineStr"/>
      <c r="D344" s="30" t="inlineStr"/>
      <c r="E344" s="30" t="inlineStr"/>
      <c r="F344" s="34" t="inlineStr"/>
      <c r="G344" s="32" t="inlineStr"/>
      <c r="H344" s="38" t="inlineStr"/>
      <c r="I344" s="38" t="inlineStr"/>
      <c r="J344" s="30" t="inlineStr"/>
      <c r="K344" s="30" t="inlineStr"/>
      <c r="L344" s="15">
        <f>IF(A344="","",F344*G344)</f>
        <v/>
      </c>
      <c r="M344" s="15">
        <f>IF(A344="","",F344+L344)</f>
        <v/>
      </c>
      <c r="N344" s="15">
        <f>IF(A344="","",SUMIFS('15_Zahlungen'!$F:$F,'15_Zahlungen'!$D:$D,A344,'15_Zahlungen'!$C:$C,"Ausgang"))</f>
        <v/>
      </c>
      <c r="O344" s="15">
        <f>IF(A344="","",MAX(0,M344-N344))</f>
        <v/>
      </c>
      <c r="P344" s="45">
        <f>IF(OR(A344="",J344="bezahlt",H344=""),"",MAX(0,TODAY()-H344))</f>
        <v/>
      </c>
    </row>
    <row r="345">
      <c r="A345" s="30" t="inlineStr"/>
      <c r="B345" s="38" t="inlineStr"/>
      <c r="C345" s="30" t="inlineStr"/>
      <c r="D345" s="30" t="inlineStr"/>
      <c r="E345" s="30" t="inlineStr"/>
      <c r="F345" s="34" t="inlineStr"/>
      <c r="G345" s="32" t="inlineStr"/>
      <c r="H345" s="38" t="inlineStr"/>
      <c r="I345" s="38" t="inlineStr"/>
      <c r="J345" s="30" t="inlineStr"/>
      <c r="K345" s="30" t="inlineStr"/>
      <c r="L345" s="15">
        <f>IF(A345="","",F345*G345)</f>
        <v/>
      </c>
      <c r="M345" s="15">
        <f>IF(A345="","",F345+L345)</f>
        <v/>
      </c>
      <c r="N345" s="15">
        <f>IF(A345="","",SUMIFS('15_Zahlungen'!$F:$F,'15_Zahlungen'!$D:$D,A345,'15_Zahlungen'!$C:$C,"Ausgang"))</f>
        <v/>
      </c>
      <c r="O345" s="15">
        <f>IF(A345="","",MAX(0,M345-N345))</f>
        <v/>
      </c>
      <c r="P345" s="45">
        <f>IF(OR(A345="",J345="bezahlt",H345=""),"",MAX(0,TODAY()-H345))</f>
        <v/>
      </c>
    </row>
    <row r="346">
      <c r="A346" s="30" t="inlineStr"/>
      <c r="B346" s="38" t="inlineStr"/>
      <c r="C346" s="30" t="inlineStr"/>
      <c r="D346" s="30" t="inlineStr"/>
      <c r="E346" s="30" t="inlineStr"/>
      <c r="F346" s="34" t="inlineStr"/>
      <c r="G346" s="32" t="inlineStr"/>
      <c r="H346" s="38" t="inlineStr"/>
      <c r="I346" s="38" t="inlineStr"/>
      <c r="J346" s="30" t="inlineStr"/>
      <c r="K346" s="30" t="inlineStr"/>
      <c r="L346" s="15">
        <f>IF(A346="","",F346*G346)</f>
        <v/>
      </c>
      <c r="M346" s="15">
        <f>IF(A346="","",F346+L346)</f>
        <v/>
      </c>
      <c r="N346" s="15">
        <f>IF(A346="","",SUMIFS('15_Zahlungen'!$F:$F,'15_Zahlungen'!$D:$D,A346,'15_Zahlungen'!$C:$C,"Ausgang"))</f>
        <v/>
      </c>
      <c r="O346" s="15">
        <f>IF(A346="","",MAX(0,M346-N346))</f>
        <v/>
      </c>
      <c r="P346" s="45">
        <f>IF(OR(A346="",J346="bezahlt",H346=""),"",MAX(0,TODAY()-H346))</f>
        <v/>
      </c>
    </row>
    <row r="347">
      <c r="A347" s="30" t="inlineStr"/>
      <c r="B347" s="38" t="inlineStr"/>
      <c r="C347" s="30" t="inlineStr"/>
      <c r="D347" s="30" t="inlineStr"/>
      <c r="E347" s="30" t="inlineStr"/>
      <c r="F347" s="34" t="inlineStr"/>
      <c r="G347" s="32" t="inlineStr"/>
      <c r="H347" s="38" t="inlineStr"/>
      <c r="I347" s="38" t="inlineStr"/>
      <c r="J347" s="30" t="inlineStr"/>
      <c r="K347" s="30" t="inlineStr"/>
      <c r="L347" s="15">
        <f>IF(A347="","",F347*G347)</f>
        <v/>
      </c>
      <c r="M347" s="15">
        <f>IF(A347="","",F347+L347)</f>
        <v/>
      </c>
      <c r="N347" s="15">
        <f>IF(A347="","",SUMIFS('15_Zahlungen'!$F:$F,'15_Zahlungen'!$D:$D,A347,'15_Zahlungen'!$C:$C,"Ausgang"))</f>
        <v/>
      </c>
      <c r="O347" s="15">
        <f>IF(A347="","",MAX(0,M347-N347))</f>
        <v/>
      </c>
      <c r="P347" s="45">
        <f>IF(OR(A347="",J347="bezahlt",H347=""),"",MAX(0,TODAY()-H347))</f>
        <v/>
      </c>
    </row>
    <row r="348">
      <c r="A348" s="30" t="inlineStr"/>
      <c r="B348" s="38" t="inlineStr"/>
      <c r="C348" s="30" t="inlineStr"/>
      <c r="D348" s="30" t="inlineStr"/>
      <c r="E348" s="30" t="inlineStr"/>
      <c r="F348" s="34" t="inlineStr"/>
      <c r="G348" s="32" t="inlineStr"/>
      <c r="H348" s="38" t="inlineStr"/>
      <c r="I348" s="38" t="inlineStr"/>
      <c r="J348" s="30" t="inlineStr"/>
      <c r="K348" s="30" t="inlineStr"/>
      <c r="L348" s="15">
        <f>IF(A348="","",F348*G348)</f>
        <v/>
      </c>
      <c r="M348" s="15">
        <f>IF(A348="","",F348+L348)</f>
        <v/>
      </c>
      <c r="N348" s="15">
        <f>IF(A348="","",SUMIFS('15_Zahlungen'!$F:$F,'15_Zahlungen'!$D:$D,A348,'15_Zahlungen'!$C:$C,"Ausgang"))</f>
        <v/>
      </c>
      <c r="O348" s="15">
        <f>IF(A348="","",MAX(0,M348-N348))</f>
        <v/>
      </c>
      <c r="P348" s="45">
        <f>IF(OR(A348="",J348="bezahlt",H348=""),"",MAX(0,TODAY()-H348))</f>
        <v/>
      </c>
    </row>
    <row r="349">
      <c r="A349" s="30" t="inlineStr"/>
      <c r="B349" s="38" t="inlineStr"/>
      <c r="C349" s="30" t="inlineStr"/>
      <c r="D349" s="30" t="inlineStr"/>
      <c r="E349" s="30" t="inlineStr"/>
      <c r="F349" s="34" t="inlineStr"/>
      <c r="G349" s="32" t="inlineStr"/>
      <c r="H349" s="38" t="inlineStr"/>
      <c r="I349" s="38" t="inlineStr"/>
      <c r="J349" s="30" t="inlineStr"/>
      <c r="K349" s="30" t="inlineStr"/>
      <c r="L349" s="15">
        <f>IF(A349="","",F349*G349)</f>
        <v/>
      </c>
      <c r="M349" s="15">
        <f>IF(A349="","",F349+L349)</f>
        <v/>
      </c>
      <c r="N349" s="15">
        <f>IF(A349="","",SUMIFS('15_Zahlungen'!$F:$F,'15_Zahlungen'!$D:$D,A349,'15_Zahlungen'!$C:$C,"Ausgang"))</f>
        <v/>
      </c>
      <c r="O349" s="15">
        <f>IF(A349="","",MAX(0,M349-N349))</f>
        <v/>
      </c>
      <c r="P349" s="45">
        <f>IF(OR(A349="",J349="bezahlt",H349=""),"",MAX(0,TODAY()-H349))</f>
        <v/>
      </c>
    </row>
    <row r="350">
      <c r="A350" s="30" t="inlineStr"/>
      <c r="B350" s="38" t="inlineStr"/>
      <c r="C350" s="30" t="inlineStr"/>
      <c r="D350" s="30" t="inlineStr"/>
      <c r="E350" s="30" t="inlineStr"/>
      <c r="F350" s="34" t="inlineStr"/>
      <c r="G350" s="32" t="inlineStr"/>
      <c r="H350" s="38" t="inlineStr"/>
      <c r="I350" s="38" t="inlineStr"/>
      <c r="J350" s="30" t="inlineStr"/>
      <c r="K350" s="30" t="inlineStr"/>
      <c r="L350" s="15">
        <f>IF(A350="","",F350*G350)</f>
        <v/>
      </c>
      <c r="M350" s="15">
        <f>IF(A350="","",F350+L350)</f>
        <v/>
      </c>
      <c r="N350" s="15">
        <f>IF(A350="","",SUMIFS('15_Zahlungen'!$F:$F,'15_Zahlungen'!$D:$D,A350,'15_Zahlungen'!$C:$C,"Ausgang"))</f>
        <v/>
      </c>
      <c r="O350" s="15">
        <f>IF(A350="","",MAX(0,M350-N350))</f>
        <v/>
      </c>
      <c r="P350" s="45">
        <f>IF(OR(A350="",J350="bezahlt",H350=""),"",MAX(0,TODAY()-H350))</f>
        <v/>
      </c>
    </row>
    <row r="351">
      <c r="A351" s="30" t="inlineStr"/>
      <c r="B351" s="38" t="inlineStr"/>
      <c r="C351" s="30" t="inlineStr"/>
      <c r="D351" s="30" t="inlineStr"/>
      <c r="E351" s="30" t="inlineStr"/>
      <c r="F351" s="34" t="inlineStr"/>
      <c r="G351" s="32" t="inlineStr"/>
      <c r="H351" s="38" t="inlineStr"/>
      <c r="I351" s="38" t="inlineStr"/>
      <c r="J351" s="30" t="inlineStr"/>
      <c r="K351" s="30" t="inlineStr"/>
      <c r="L351" s="15">
        <f>IF(A351="","",F351*G351)</f>
        <v/>
      </c>
      <c r="M351" s="15">
        <f>IF(A351="","",F351+L351)</f>
        <v/>
      </c>
      <c r="N351" s="15">
        <f>IF(A351="","",SUMIFS('15_Zahlungen'!$F:$F,'15_Zahlungen'!$D:$D,A351,'15_Zahlungen'!$C:$C,"Ausgang"))</f>
        <v/>
      </c>
      <c r="O351" s="15">
        <f>IF(A351="","",MAX(0,M351-N351))</f>
        <v/>
      </c>
      <c r="P351" s="45">
        <f>IF(OR(A351="",J351="bezahlt",H351=""),"",MAX(0,TODAY()-H351))</f>
        <v/>
      </c>
    </row>
    <row r="352">
      <c r="A352" s="30" t="inlineStr"/>
      <c r="B352" s="38" t="inlineStr"/>
      <c r="C352" s="30" t="inlineStr"/>
      <c r="D352" s="30" t="inlineStr"/>
      <c r="E352" s="30" t="inlineStr"/>
      <c r="F352" s="34" t="inlineStr"/>
      <c r="G352" s="32" t="inlineStr"/>
      <c r="H352" s="38" t="inlineStr"/>
      <c r="I352" s="38" t="inlineStr"/>
      <c r="J352" s="30" t="inlineStr"/>
      <c r="K352" s="30" t="inlineStr"/>
      <c r="L352" s="15">
        <f>IF(A352="","",F352*G352)</f>
        <v/>
      </c>
      <c r="M352" s="15">
        <f>IF(A352="","",F352+L352)</f>
        <v/>
      </c>
      <c r="N352" s="15">
        <f>IF(A352="","",SUMIFS('15_Zahlungen'!$F:$F,'15_Zahlungen'!$D:$D,A352,'15_Zahlungen'!$C:$C,"Ausgang"))</f>
        <v/>
      </c>
      <c r="O352" s="15">
        <f>IF(A352="","",MAX(0,M352-N352))</f>
        <v/>
      </c>
      <c r="P352" s="45">
        <f>IF(OR(A352="",J352="bezahlt",H352=""),"",MAX(0,TODAY()-H352))</f>
        <v/>
      </c>
    </row>
    <row r="353">
      <c r="A353" s="30" t="inlineStr"/>
      <c r="B353" s="38" t="inlineStr"/>
      <c r="C353" s="30" t="inlineStr"/>
      <c r="D353" s="30" t="inlineStr"/>
      <c r="E353" s="30" t="inlineStr"/>
      <c r="F353" s="34" t="inlineStr"/>
      <c r="G353" s="32" t="inlineStr"/>
      <c r="H353" s="38" t="inlineStr"/>
      <c r="I353" s="38" t="inlineStr"/>
      <c r="J353" s="30" t="inlineStr"/>
      <c r="K353" s="30" t="inlineStr"/>
      <c r="L353" s="15">
        <f>IF(A353="","",F353*G353)</f>
        <v/>
      </c>
      <c r="M353" s="15">
        <f>IF(A353="","",F353+L353)</f>
        <v/>
      </c>
      <c r="N353" s="15">
        <f>IF(A353="","",SUMIFS('15_Zahlungen'!$F:$F,'15_Zahlungen'!$D:$D,A353,'15_Zahlungen'!$C:$C,"Ausgang"))</f>
        <v/>
      </c>
      <c r="O353" s="15">
        <f>IF(A353="","",MAX(0,M353-N353))</f>
        <v/>
      </c>
      <c r="P353" s="45">
        <f>IF(OR(A353="",J353="bezahlt",H353=""),"",MAX(0,TODAY()-H353))</f>
        <v/>
      </c>
    </row>
    <row r="354">
      <c r="A354" s="30" t="inlineStr"/>
      <c r="B354" s="38" t="inlineStr"/>
      <c r="C354" s="30" t="inlineStr"/>
      <c r="D354" s="30" t="inlineStr"/>
      <c r="E354" s="30" t="inlineStr"/>
      <c r="F354" s="34" t="inlineStr"/>
      <c r="G354" s="32" t="inlineStr"/>
      <c r="H354" s="38" t="inlineStr"/>
      <c r="I354" s="38" t="inlineStr"/>
      <c r="J354" s="30" t="inlineStr"/>
      <c r="K354" s="30" t="inlineStr"/>
      <c r="L354" s="15">
        <f>IF(A354="","",F354*G354)</f>
        <v/>
      </c>
      <c r="M354" s="15">
        <f>IF(A354="","",F354+L354)</f>
        <v/>
      </c>
      <c r="N354" s="15">
        <f>IF(A354="","",SUMIFS('15_Zahlungen'!$F:$F,'15_Zahlungen'!$D:$D,A354,'15_Zahlungen'!$C:$C,"Ausgang"))</f>
        <v/>
      </c>
      <c r="O354" s="15">
        <f>IF(A354="","",MAX(0,M354-N354))</f>
        <v/>
      </c>
      <c r="P354" s="45">
        <f>IF(OR(A354="",J354="bezahlt",H354=""),"",MAX(0,TODAY()-H354))</f>
        <v/>
      </c>
    </row>
    <row r="355">
      <c r="A355" s="30" t="inlineStr"/>
      <c r="B355" s="38" t="inlineStr"/>
      <c r="C355" s="30" t="inlineStr"/>
      <c r="D355" s="30" t="inlineStr"/>
      <c r="E355" s="30" t="inlineStr"/>
      <c r="F355" s="34" t="inlineStr"/>
      <c r="G355" s="32" t="inlineStr"/>
      <c r="H355" s="38" t="inlineStr"/>
      <c r="I355" s="38" t="inlineStr"/>
      <c r="J355" s="30" t="inlineStr"/>
      <c r="K355" s="30" t="inlineStr"/>
      <c r="L355" s="15">
        <f>IF(A355="","",F355*G355)</f>
        <v/>
      </c>
      <c r="M355" s="15">
        <f>IF(A355="","",F355+L355)</f>
        <v/>
      </c>
      <c r="N355" s="15">
        <f>IF(A355="","",SUMIFS('15_Zahlungen'!$F:$F,'15_Zahlungen'!$D:$D,A355,'15_Zahlungen'!$C:$C,"Ausgang"))</f>
        <v/>
      </c>
      <c r="O355" s="15">
        <f>IF(A355="","",MAX(0,M355-N355))</f>
        <v/>
      </c>
      <c r="P355" s="45">
        <f>IF(OR(A355="",J355="bezahlt",H355=""),"",MAX(0,TODAY()-H355))</f>
        <v/>
      </c>
    </row>
    <row r="356">
      <c r="A356" s="30" t="inlineStr"/>
      <c r="B356" s="38" t="inlineStr"/>
      <c r="C356" s="30" t="inlineStr"/>
      <c r="D356" s="30" t="inlineStr"/>
      <c r="E356" s="30" t="inlineStr"/>
      <c r="F356" s="34" t="inlineStr"/>
      <c r="G356" s="32" t="inlineStr"/>
      <c r="H356" s="38" t="inlineStr"/>
      <c r="I356" s="38" t="inlineStr"/>
      <c r="J356" s="30" t="inlineStr"/>
      <c r="K356" s="30" t="inlineStr"/>
      <c r="L356" s="15">
        <f>IF(A356="","",F356*G356)</f>
        <v/>
      </c>
      <c r="M356" s="15">
        <f>IF(A356="","",F356+L356)</f>
        <v/>
      </c>
      <c r="N356" s="15">
        <f>IF(A356="","",SUMIFS('15_Zahlungen'!$F:$F,'15_Zahlungen'!$D:$D,A356,'15_Zahlungen'!$C:$C,"Ausgang"))</f>
        <v/>
      </c>
      <c r="O356" s="15">
        <f>IF(A356="","",MAX(0,M356-N356))</f>
        <v/>
      </c>
      <c r="P356" s="45">
        <f>IF(OR(A356="",J356="bezahlt",H356=""),"",MAX(0,TODAY()-H356))</f>
        <v/>
      </c>
    </row>
    <row r="357">
      <c r="A357" s="30" t="inlineStr"/>
      <c r="B357" s="38" t="inlineStr"/>
      <c r="C357" s="30" t="inlineStr"/>
      <c r="D357" s="30" t="inlineStr"/>
      <c r="E357" s="30" t="inlineStr"/>
      <c r="F357" s="34" t="inlineStr"/>
      <c r="G357" s="32" t="inlineStr"/>
      <c r="H357" s="38" t="inlineStr"/>
      <c r="I357" s="38" t="inlineStr"/>
      <c r="J357" s="30" t="inlineStr"/>
      <c r="K357" s="30" t="inlineStr"/>
      <c r="L357" s="15">
        <f>IF(A357="","",F357*G357)</f>
        <v/>
      </c>
      <c r="M357" s="15">
        <f>IF(A357="","",F357+L357)</f>
        <v/>
      </c>
      <c r="N357" s="15">
        <f>IF(A357="","",SUMIFS('15_Zahlungen'!$F:$F,'15_Zahlungen'!$D:$D,A357,'15_Zahlungen'!$C:$C,"Ausgang"))</f>
        <v/>
      </c>
      <c r="O357" s="15">
        <f>IF(A357="","",MAX(0,M357-N357))</f>
        <v/>
      </c>
      <c r="P357" s="45">
        <f>IF(OR(A357="",J357="bezahlt",H357=""),"",MAX(0,TODAY()-H357))</f>
        <v/>
      </c>
    </row>
    <row r="358">
      <c r="A358" s="30" t="inlineStr"/>
      <c r="B358" s="38" t="inlineStr"/>
      <c r="C358" s="30" t="inlineStr"/>
      <c r="D358" s="30" t="inlineStr"/>
      <c r="E358" s="30" t="inlineStr"/>
      <c r="F358" s="34" t="inlineStr"/>
      <c r="G358" s="32" t="inlineStr"/>
      <c r="H358" s="38" t="inlineStr"/>
      <c r="I358" s="38" t="inlineStr"/>
      <c r="J358" s="30" t="inlineStr"/>
      <c r="K358" s="30" t="inlineStr"/>
      <c r="L358" s="15">
        <f>IF(A358="","",F358*G358)</f>
        <v/>
      </c>
      <c r="M358" s="15">
        <f>IF(A358="","",F358+L358)</f>
        <v/>
      </c>
      <c r="N358" s="15">
        <f>IF(A358="","",SUMIFS('15_Zahlungen'!$F:$F,'15_Zahlungen'!$D:$D,A358,'15_Zahlungen'!$C:$C,"Ausgang"))</f>
        <v/>
      </c>
      <c r="O358" s="15">
        <f>IF(A358="","",MAX(0,M358-N358))</f>
        <v/>
      </c>
      <c r="P358" s="45">
        <f>IF(OR(A358="",J358="bezahlt",H358=""),"",MAX(0,TODAY()-H358))</f>
        <v/>
      </c>
    </row>
    <row r="359">
      <c r="A359" s="30" t="inlineStr"/>
      <c r="B359" s="38" t="inlineStr"/>
      <c r="C359" s="30" t="inlineStr"/>
      <c r="D359" s="30" t="inlineStr"/>
      <c r="E359" s="30" t="inlineStr"/>
      <c r="F359" s="34" t="inlineStr"/>
      <c r="G359" s="32" t="inlineStr"/>
      <c r="H359" s="38" t="inlineStr"/>
      <c r="I359" s="38" t="inlineStr"/>
      <c r="J359" s="30" t="inlineStr"/>
      <c r="K359" s="30" t="inlineStr"/>
      <c r="L359" s="15">
        <f>IF(A359="","",F359*G359)</f>
        <v/>
      </c>
      <c r="M359" s="15">
        <f>IF(A359="","",F359+L359)</f>
        <v/>
      </c>
      <c r="N359" s="15">
        <f>IF(A359="","",SUMIFS('15_Zahlungen'!$F:$F,'15_Zahlungen'!$D:$D,A359,'15_Zahlungen'!$C:$C,"Ausgang"))</f>
        <v/>
      </c>
      <c r="O359" s="15">
        <f>IF(A359="","",MAX(0,M359-N359))</f>
        <v/>
      </c>
      <c r="P359" s="45">
        <f>IF(OR(A359="",J359="bezahlt",H359=""),"",MAX(0,TODAY()-H359))</f>
        <v/>
      </c>
    </row>
    <row r="360">
      <c r="A360" s="30" t="inlineStr"/>
      <c r="B360" s="38" t="inlineStr"/>
      <c r="C360" s="30" t="inlineStr"/>
      <c r="D360" s="30" t="inlineStr"/>
      <c r="E360" s="30" t="inlineStr"/>
      <c r="F360" s="34" t="inlineStr"/>
      <c r="G360" s="32" t="inlineStr"/>
      <c r="H360" s="38" t="inlineStr"/>
      <c r="I360" s="38" t="inlineStr"/>
      <c r="J360" s="30" t="inlineStr"/>
      <c r="K360" s="30" t="inlineStr"/>
      <c r="L360" s="15">
        <f>IF(A360="","",F360*G360)</f>
        <v/>
      </c>
      <c r="M360" s="15">
        <f>IF(A360="","",F360+L360)</f>
        <v/>
      </c>
      <c r="N360" s="15">
        <f>IF(A360="","",SUMIFS('15_Zahlungen'!$F:$F,'15_Zahlungen'!$D:$D,A360,'15_Zahlungen'!$C:$C,"Ausgang"))</f>
        <v/>
      </c>
      <c r="O360" s="15">
        <f>IF(A360="","",MAX(0,M360-N360))</f>
        <v/>
      </c>
      <c r="P360" s="45">
        <f>IF(OR(A360="",J360="bezahlt",H360=""),"",MAX(0,TODAY()-H360))</f>
        <v/>
      </c>
    </row>
    <row r="361">
      <c r="A361" s="30" t="inlineStr"/>
      <c r="B361" s="38" t="inlineStr"/>
      <c r="C361" s="30" t="inlineStr"/>
      <c r="D361" s="30" t="inlineStr"/>
      <c r="E361" s="30" t="inlineStr"/>
      <c r="F361" s="34" t="inlineStr"/>
      <c r="G361" s="32" t="inlineStr"/>
      <c r="H361" s="38" t="inlineStr"/>
      <c r="I361" s="38" t="inlineStr"/>
      <c r="J361" s="30" t="inlineStr"/>
      <c r="K361" s="30" t="inlineStr"/>
      <c r="L361" s="15">
        <f>IF(A361="","",F361*G361)</f>
        <v/>
      </c>
      <c r="M361" s="15">
        <f>IF(A361="","",F361+L361)</f>
        <v/>
      </c>
      <c r="N361" s="15">
        <f>IF(A361="","",SUMIFS('15_Zahlungen'!$F:$F,'15_Zahlungen'!$D:$D,A361,'15_Zahlungen'!$C:$C,"Ausgang"))</f>
        <v/>
      </c>
      <c r="O361" s="15">
        <f>IF(A361="","",MAX(0,M361-N361))</f>
        <v/>
      </c>
      <c r="P361" s="45">
        <f>IF(OR(A361="",J361="bezahlt",H361=""),"",MAX(0,TODAY()-H361))</f>
        <v/>
      </c>
    </row>
    <row r="362">
      <c r="A362" s="30" t="inlineStr"/>
      <c r="B362" s="38" t="inlineStr"/>
      <c r="C362" s="30" t="inlineStr"/>
      <c r="D362" s="30" t="inlineStr"/>
      <c r="E362" s="30" t="inlineStr"/>
      <c r="F362" s="34" t="inlineStr"/>
      <c r="G362" s="32" t="inlineStr"/>
      <c r="H362" s="38" t="inlineStr"/>
      <c r="I362" s="38" t="inlineStr"/>
      <c r="J362" s="30" t="inlineStr"/>
      <c r="K362" s="30" t="inlineStr"/>
      <c r="L362" s="15">
        <f>IF(A362="","",F362*G362)</f>
        <v/>
      </c>
      <c r="M362" s="15">
        <f>IF(A362="","",F362+L362)</f>
        <v/>
      </c>
      <c r="N362" s="15">
        <f>IF(A362="","",SUMIFS('15_Zahlungen'!$F:$F,'15_Zahlungen'!$D:$D,A362,'15_Zahlungen'!$C:$C,"Ausgang"))</f>
        <v/>
      </c>
      <c r="O362" s="15">
        <f>IF(A362="","",MAX(0,M362-N362))</f>
        <v/>
      </c>
      <c r="P362" s="45">
        <f>IF(OR(A362="",J362="bezahlt",H362=""),"",MAX(0,TODAY()-H362))</f>
        <v/>
      </c>
    </row>
    <row r="363">
      <c r="A363" s="30" t="inlineStr"/>
      <c r="B363" s="38" t="inlineStr"/>
      <c r="C363" s="30" t="inlineStr"/>
      <c r="D363" s="30" t="inlineStr"/>
      <c r="E363" s="30" t="inlineStr"/>
      <c r="F363" s="34" t="inlineStr"/>
      <c r="G363" s="32" t="inlineStr"/>
      <c r="H363" s="38" t="inlineStr"/>
      <c r="I363" s="38" t="inlineStr"/>
      <c r="J363" s="30" t="inlineStr"/>
      <c r="K363" s="30" t="inlineStr"/>
      <c r="L363" s="15">
        <f>IF(A363="","",F363*G363)</f>
        <v/>
      </c>
      <c r="M363" s="15">
        <f>IF(A363="","",F363+L363)</f>
        <v/>
      </c>
      <c r="N363" s="15">
        <f>IF(A363="","",SUMIFS('15_Zahlungen'!$F:$F,'15_Zahlungen'!$D:$D,A363,'15_Zahlungen'!$C:$C,"Ausgang"))</f>
        <v/>
      </c>
      <c r="O363" s="15">
        <f>IF(A363="","",MAX(0,M363-N363))</f>
        <v/>
      </c>
      <c r="P363" s="45">
        <f>IF(OR(A363="",J363="bezahlt",H363=""),"",MAX(0,TODAY()-H363))</f>
        <v/>
      </c>
    </row>
    <row r="364">
      <c r="A364" s="30" t="inlineStr"/>
      <c r="B364" s="38" t="inlineStr"/>
      <c r="C364" s="30" t="inlineStr"/>
      <c r="D364" s="30" t="inlineStr"/>
      <c r="E364" s="30" t="inlineStr"/>
      <c r="F364" s="34" t="inlineStr"/>
      <c r="G364" s="32" t="inlineStr"/>
      <c r="H364" s="38" t="inlineStr"/>
      <c r="I364" s="38" t="inlineStr"/>
      <c r="J364" s="30" t="inlineStr"/>
      <c r="K364" s="30" t="inlineStr"/>
      <c r="L364" s="15">
        <f>IF(A364="","",F364*G364)</f>
        <v/>
      </c>
      <c r="M364" s="15">
        <f>IF(A364="","",F364+L364)</f>
        <v/>
      </c>
      <c r="N364" s="15">
        <f>IF(A364="","",SUMIFS('15_Zahlungen'!$F:$F,'15_Zahlungen'!$D:$D,A364,'15_Zahlungen'!$C:$C,"Ausgang"))</f>
        <v/>
      </c>
      <c r="O364" s="15">
        <f>IF(A364="","",MAX(0,M364-N364))</f>
        <v/>
      </c>
      <c r="P364" s="45">
        <f>IF(OR(A364="",J364="bezahlt",H364=""),"",MAX(0,TODAY()-H364))</f>
        <v/>
      </c>
    </row>
    <row r="365">
      <c r="A365" s="30" t="inlineStr"/>
      <c r="B365" s="38" t="inlineStr"/>
      <c r="C365" s="30" t="inlineStr"/>
      <c r="D365" s="30" t="inlineStr"/>
      <c r="E365" s="30" t="inlineStr"/>
      <c r="F365" s="34" t="inlineStr"/>
      <c r="G365" s="32" t="inlineStr"/>
      <c r="H365" s="38" t="inlineStr"/>
      <c r="I365" s="38" t="inlineStr"/>
      <c r="J365" s="30" t="inlineStr"/>
      <c r="K365" s="30" t="inlineStr"/>
      <c r="L365" s="15">
        <f>IF(A365="","",F365*G365)</f>
        <v/>
      </c>
      <c r="M365" s="15">
        <f>IF(A365="","",F365+L365)</f>
        <v/>
      </c>
      <c r="N365" s="15">
        <f>IF(A365="","",SUMIFS('15_Zahlungen'!$F:$F,'15_Zahlungen'!$D:$D,A365,'15_Zahlungen'!$C:$C,"Ausgang"))</f>
        <v/>
      </c>
      <c r="O365" s="15">
        <f>IF(A365="","",MAX(0,M365-N365))</f>
        <v/>
      </c>
      <c r="P365" s="45">
        <f>IF(OR(A365="",J365="bezahlt",H365=""),"",MAX(0,TODAY()-H365))</f>
        <v/>
      </c>
    </row>
    <row r="366">
      <c r="A366" s="30" t="inlineStr"/>
      <c r="B366" s="38" t="inlineStr"/>
      <c r="C366" s="30" t="inlineStr"/>
      <c r="D366" s="30" t="inlineStr"/>
      <c r="E366" s="30" t="inlineStr"/>
      <c r="F366" s="34" t="inlineStr"/>
      <c r="G366" s="32" t="inlineStr"/>
      <c r="H366" s="38" t="inlineStr"/>
      <c r="I366" s="38" t="inlineStr"/>
      <c r="J366" s="30" t="inlineStr"/>
      <c r="K366" s="30" t="inlineStr"/>
      <c r="L366" s="15">
        <f>IF(A366="","",F366*G366)</f>
        <v/>
      </c>
      <c r="M366" s="15">
        <f>IF(A366="","",F366+L366)</f>
        <v/>
      </c>
      <c r="N366" s="15">
        <f>IF(A366="","",SUMIFS('15_Zahlungen'!$F:$F,'15_Zahlungen'!$D:$D,A366,'15_Zahlungen'!$C:$C,"Ausgang"))</f>
        <v/>
      </c>
      <c r="O366" s="15">
        <f>IF(A366="","",MAX(0,M366-N366))</f>
        <v/>
      </c>
      <c r="P366" s="45">
        <f>IF(OR(A366="",J366="bezahlt",H366=""),"",MAX(0,TODAY()-H366))</f>
        <v/>
      </c>
    </row>
    <row r="367">
      <c r="A367" s="30" t="inlineStr"/>
      <c r="B367" s="38" t="inlineStr"/>
      <c r="C367" s="30" t="inlineStr"/>
      <c r="D367" s="30" t="inlineStr"/>
      <c r="E367" s="30" t="inlineStr"/>
      <c r="F367" s="34" t="inlineStr"/>
      <c r="G367" s="32" t="inlineStr"/>
      <c r="H367" s="38" t="inlineStr"/>
      <c r="I367" s="38" t="inlineStr"/>
      <c r="J367" s="30" t="inlineStr"/>
      <c r="K367" s="30" t="inlineStr"/>
      <c r="L367" s="15">
        <f>IF(A367="","",F367*G367)</f>
        <v/>
      </c>
      <c r="M367" s="15">
        <f>IF(A367="","",F367+L367)</f>
        <v/>
      </c>
      <c r="N367" s="15">
        <f>IF(A367="","",SUMIFS('15_Zahlungen'!$F:$F,'15_Zahlungen'!$D:$D,A367,'15_Zahlungen'!$C:$C,"Ausgang"))</f>
        <v/>
      </c>
      <c r="O367" s="15">
        <f>IF(A367="","",MAX(0,M367-N367))</f>
        <v/>
      </c>
      <c r="P367" s="45">
        <f>IF(OR(A367="",J367="bezahlt",H367=""),"",MAX(0,TODAY()-H367))</f>
        <v/>
      </c>
    </row>
    <row r="368">
      <c r="A368" s="30" t="inlineStr"/>
      <c r="B368" s="38" t="inlineStr"/>
      <c r="C368" s="30" t="inlineStr"/>
      <c r="D368" s="30" t="inlineStr"/>
      <c r="E368" s="30" t="inlineStr"/>
      <c r="F368" s="34" t="inlineStr"/>
      <c r="G368" s="32" t="inlineStr"/>
      <c r="H368" s="38" t="inlineStr"/>
      <c r="I368" s="38" t="inlineStr"/>
      <c r="J368" s="30" t="inlineStr"/>
      <c r="K368" s="30" t="inlineStr"/>
      <c r="L368" s="15">
        <f>IF(A368="","",F368*G368)</f>
        <v/>
      </c>
      <c r="M368" s="15">
        <f>IF(A368="","",F368+L368)</f>
        <v/>
      </c>
      <c r="N368" s="15">
        <f>IF(A368="","",SUMIFS('15_Zahlungen'!$F:$F,'15_Zahlungen'!$D:$D,A368,'15_Zahlungen'!$C:$C,"Ausgang"))</f>
        <v/>
      </c>
      <c r="O368" s="15">
        <f>IF(A368="","",MAX(0,M368-N368))</f>
        <v/>
      </c>
      <c r="P368" s="45">
        <f>IF(OR(A368="",J368="bezahlt",H368=""),"",MAX(0,TODAY()-H368))</f>
        <v/>
      </c>
    </row>
    <row r="369">
      <c r="A369" s="30" t="inlineStr"/>
      <c r="B369" s="38" t="inlineStr"/>
      <c r="C369" s="30" t="inlineStr"/>
      <c r="D369" s="30" t="inlineStr"/>
      <c r="E369" s="30" t="inlineStr"/>
      <c r="F369" s="34" t="inlineStr"/>
      <c r="G369" s="32" t="inlineStr"/>
      <c r="H369" s="38" t="inlineStr"/>
      <c r="I369" s="38" t="inlineStr"/>
      <c r="J369" s="30" t="inlineStr"/>
      <c r="K369" s="30" t="inlineStr"/>
      <c r="L369" s="15">
        <f>IF(A369="","",F369*G369)</f>
        <v/>
      </c>
      <c r="M369" s="15">
        <f>IF(A369="","",F369+L369)</f>
        <v/>
      </c>
      <c r="N369" s="15">
        <f>IF(A369="","",SUMIFS('15_Zahlungen'!$F:$F,'15_Zahlungen'!$D:$D,A369,'15_Zahlungen'!$C:$C,"Ausgang"))</f>
        <v/>
      </c>
      <c r="O369" s="15">
        <f>IF(A369="","",MAX(0,M369-N369))</f>
        <v/>
      </c>
      <c r="P369" s="45">
        <f>IF(OR(A369="",J369="bezahlt",H369=""),"",MAX(0,TODAY()-H369))</f>
        <v/>
      </c>
    </row>
    <row r="370">
      <c r="A370" s="30" t="inlineStr"/>
      <c r="B370" s="38" t="inlineStr"/>
      <c r="C370" s="30" t="inlineStr"/>
      <c r="D370" s="30" t="inlineStr"/>
      <c r="E370" s="30" t="inlineStr"/>
      <c r="F370" s="34" t="inlineStr"/>
      <c r="G370" s="32" t="inlineStr"/>
      <c r="H370" s="38" t="inlineStr"/>
      <c r="I370" s="38" t="inlineStr"/>
      <c r="J370" s="30" t="inlineStr"/>
      <c r="K370" s="30" t="inlineStr"/>
      <c r="L370" s="15">
        <f>IF(A370="","",F370*G370)</f>
        <v/>
      </c>
      <c r="M370" s="15">
        <f>IF(A370="","",F370+L370)</f>
        <v/>
      </c>
      <c r="N370" s="15">
        <f>IF(A370="","",SUMIFS('15_Zahlungen'!$F:$F,'15_Zahlungen'!$D:$D,A370,'15_Zahlungen'!$C:$C,"Ausgang"))</f>
        <v/>
      </c>
      <c r="O370" s="15">
        <f>IF(A370="","",MAX(0,M370-N370))</f>
        <v/>
      </c>
      <c r="P370" s="45">
        <f>IF(OR(A370="",J370="bezahlt",H370=""),"",MAX(0,TODAY()-H370))</f>
        <v/>
      </c>
    </row>
    <row r="371">
      <c r="A371" s="30" t="inlineStr"/>
      <c r="B371" s="38" t="inlineStr"/>
      <c r="C371" s="30" t="inlineStr"/>
      <c r="D371" s="30" t="inlineStr"/>
      <c r="E371" s="30" t="inlineStr"/>
      <c r="F371" s="34" t="inlineStr"/>
      <c r="G371" s="32" t="inlineStr"/>
      <c r="H371" s="38" t="inlineStr"/>
      <c r="I371" s="38" t="inlineStr"/>
      <c r="J371" s="30" t="inlineStr"/>
      <c r="K371" s="30" t="inlineStr"/>
      <c r="L371" s="15">
        <f>IF(A371="","",F371*G371)</f>
        <v/>
      </c>
      <c r="M371" s="15">
        <f>IF(A371="","",F371+L371)</f>
        <v/>
      </c>
      <c r="N371" s="15">
        <f>IF(A371="","",SUMIFS('15_Zahlungen'!$F:$F,'15_Zahlungen'!$D:$D,A371,'15_Zahlungen'!$C:$C,"Ausgang"))</f>
        <v/>
      </c>
      <c r="O371" s="15">
        <f>IF(A371="","",MAX(0,M371-N371))</f>
        <v/>
      </c>
      <c r="P371" s="45">
        <f>IF(OR(A371="",J371="bezahlt",H371=""),"",MAX(0,TODAY()-H371))</f>
        <v/>
      </c>
    </row>
    <row r="372">
      <c r="A372" s="30" t="inlineStr"/>
      <c r="B372" s="38" t="inlineStr"/>
      <c r="C372" s="30" t="inlineStr"/>
      <c r="D372" s="30" t="inlineStr"/>
      <c r="E372" s="30" t="inlineStr"/>
      <c r="F372" s="34" t="inlineStr"/>
      <c r="G372" s="32" t="inlineStr"/>
      <c r="H372" s="38" t="inlineStr"/>
      <c r="I372" s="38" t="inlineStr"/>
      <c r="J372" s="30" t="inlineStr"/>
      <c r="K372" s="30" t="inlineStr"/>
      <c r="L372" s="15">
        <f>IF(A372="","",F372*G372)</f>
        <v/>
      </c>
      <c r="M372" s="15">
        <f>IF(A372="","",F372+L372)</f>
        <v/>
      </c>
      <c r="N372" s="15">
        <f>IF(A372="","",SUMIFS('15_Zahlungen'!$F:$F,'15_Zahlungen'!$D:$D,A372,'15_Zahlungen'!$C:$C,"Ausgang"))</f>
        <v/>
      </c>
      <c r="O372" s="15">
        <f>IF(A372="","",MAX(0,M372-N372))</f>
        <v/>
      </c>
      <c r="P372" s="45">
        <f>IF(OR(A372="",J372="bezahlt",H372=""),"",MAX(0,TODAY()-H372))</f>
        <v/>
      </c>
    </row>
    <row r="373">
      <c r="A373" s="30" t="inlineStr"/>
      <c r="B373" s="38" t="inlineStr"/>
      <c r="C373" s="30" t="inlineStr"/>
      <c r="D373" s="30" t="inlineStr"/>
      <c r="E373" s="30" t="inlineStr"/>
      <c r="F373" s="34" t="inlineStr"/>
      <c r="G373" s="32" t="inlineStr"/>
      <c r="H373" s="38" t="inlineStr"/>
      <c r="I373" s="38" t="inlineStr"/>
      <c r="J373" s="30" t="inlineStr"/>
      <c r="K373" s="30" t="inlineStr"/>
      <c r="L373" s="15">
        <f>IF(A373="","",F373*G373)</f>
        <v/>
      </c>
      <c r="M373" s="15">
        <f>IF(A373="","",F373+L373)</f>
        <v/>
      </c>
      <c r="N373" s="15">
        <f>IF(A373="","",SUMIFS('15_Zahlungen'!$F:$F,'15_Zahlungen'!$D:$D,A373,'15_Zahlungen'!$C:$C,"Ausgang"))</f>
        <v/>
      </c>
      <c r="O373" s="15">
        <f>IF(A373="","",MAX(0,M373-N373))</f>
        <v/>
      </c>
      <c r="P373" s="45">
        <f>IF(OR(A373="",J373="bezahlt",H373=""),"",MAX(0,TODAY()-H373))</f>
        <v/>
      </c>
    </row>
    <row r="374">
      <c r="A374" s="30" t="inlineStr"/>
      <c r="B374" s="38" t="inlineStr"/>
      <c r="C374" s="30" t="inlineStr"/>
      <c r="D374" s="30" t="inlineStr"/>
      <c r="E374" s="30" t="inlineStr"/>
      <c r="F374" s="34" t="inlineStr"/>
      <c r="G374" s="32" t="inlineStr"/>
      <c r="H374" s="38" t="inlineStr"/>
      <c r="I374" s="38" t="inlineStr"/>
      <c r="J374" s="30" t="inlineStr"/>
      <c r="K374" s="30" t="inlineStr"/>
      <c r="L374" s="15">
        <f>IF(A374="","",F374*G374)</f>
        <v/>
      </c>
      <c r="M374" s="15">
        <f>IF(A374="","",F374+L374)</f>
        <v/>
      </c>
      <c r="N374" s="15">
        <f>IF(A374="","",SUMIFS('15_Zahlungen'!$F:$F,'15_Zahlungen'!$D:$D,A374,'15_Zahlungen'!$C:$C,"Ausgang"))</f>
        <v/>
      </c>
      <c r="O374" s="15">
        <f>IF(A374="","",MAX(0,M374-N374))</f>
        <v/>
      </c>
      <c r="P374" s="45">
        <f>IF(OR(A374="",J374="bezahlt",H374=""),"",MAX(0,TODAY()-H374))</f>
        <v/>
      </c>
    </row>
    <row r="375">
      <c r="A375" s="30" t="inlineStr"/>
      <c r="B375" s="38" t="inlineStr"/>
      <c r="C375" s="30" t="inlineStr"/>
      <c r="D375" s="30" t="inlineStr"/>
      <c r="E375" s="30" t="inlineStr"/>
      <c r="F375" s="34" t="inlineStr"/>
      <c r="G375" s="32" t="inlineStr"/>
      <c r="H375" s="38" t="inlineStr"/>
      <c r="I375" s="38" t="inlineStr"/>
      <c r="J375" s="30" t="inlineStr"/>
      <c r="K375" s="30" t="inlineStr"/>
      <c r="L375" s="15">
        <f>IF(A375="","",F375*G375)</f>
        <v/>
      </c>
      <c r="M375" s="15">
        <f>IF(A375="","",F375+L375)</f>
        <v/>
      </c>
      <c r="N375" s="15">
        <f>IF(A375="","",SUMIFS('15_Zahlungen'!$F:$F,'15_Zahlungen'!$D:$D,A375,'15_Zahlungen'!$C:$C,"Ausgang"))</f>
        <v/>
      </c>
      <c r="O375" s="15">
        <f>IF(A375="","",MAX(0,M375-N375))</f>
        <v/>
      </c>
      <c r="P375" s="45">
        <f>IF(OR(A375="",J375="bezahlt",H375=""),"",MAX(0,TODAY()-H375))</f>
        <v/>
      </c>
    </row>
    <row r="376">
      <c r="A376" s="30" t="inlineStr"/>
      <c r="B376" s="38" t="inlineStr"/>
      <c r="C376" s="30" t="inlineStr"/>
      <c r="D376" s="30" t="inlineStr"/>
      <c r="E376" s="30" t="inlineStr"/>
      <c r="F376" s="34" t="inlineStr"/>
      <c r="G376" s="32" t="inlineStr"/>
      <c r="H376" s="38" t="inlineStr"/>
      <c r="I376" s="38" t="inlineStr"/>
      <c r="J376" s="30" t="inlineStr"/>
      <c r="K376" s="30" t="inlineStr"/>
      <c r="L376" s="15">
        <f>IF(A376="","",F376*G376)</f>
        <v/>
      </c>
      <c r="M376" s="15">
        <f>IF(A376="","",F376+L376)</f>
        <v/>
      </c>
      <c r="N376" s="15">
        <f>IF(A376="","",SUMIFS('15_Zahlungen'!$F:$F,'15_Zahlungen'!$D:$D,A376,'15_Zahlungen'!$C:$C,"Ausgang"))</f>
        <v/>
      </c>
      <c r="O376" s="15">
        <f>IF(A376="","",MAX(0,M376-N376))</f>
        <v/>
      </c>
      <c r="P376" s="45">
        <f>IF(OR(A376="",J376="bezahlt",H376=""),"",MAX(0,TODAY()-H376))</f>
        <v/>
      </c>
    </row>
    <row r="377">
      <c r="A377" s="30" t="inlineStr"/>
      <c r="B377" s="38" t="inlineStr"/>
      <c r="C377" s="30" t="inlineStr"/>
      <c r="D377" s="30" t="inlineStr"/>
      <c r="E377" s="30" t="inlineStr"/>
      <c r="F377" s="34" t="inlineStr"/>
      <c r="G377" s="32" t="inlineStr"/>
      <c r="H377" s="38" t="inlineStr"/>
      <c r="I377" s="38" t="inlineStr"/>
      <c r="J377" s="30" t="inlineStr"/>
      <c r="K377" s="30" t="inlineStr"/>
      <c r="L377" s="15">
        <f>IF(A377="","",F377*G377)</f>
        <v/>
      </c>
      <c r="M377" s="15">
        <f>IF(A377="","",F377+L377)</f>
        <v/>
      </c>
      <c r="N377" s="15">
        <f>IF(A377="","",SUMIFS('15_Zahlungen'!$F:$F,'15_Zahlungen'!$D:$D,A377,'15_Zahlungen'!$C:$C,"Ausgang"))</f>
        <v/>
      </c>
      <c r="O377" s="15">
        <f>IF(A377="","",MAX(0,M377-N377))</f>
        <v/>
      </c>
      <c r="P377" s="45">
        <f>IF(OR(A377="",J377="bezahlt",H377=""),"",MAX(0,TODAY()-H377))</f>
        <v/>
      </c>
    </row>
    <row r="378">
      <c r="A378" s="30" t="inlineStr"/>
      <c r="B378" s="38" t="inlineStr"/>
      <c r="C378" s="30" t="inlineStr"/>
      <c r="D378" s="30" t="inlineStr"/>
      <c r="E378" s="30" t="inlineStr"/>
      <c r="F378" s="34" t="inlineStr"/>
      <c r="G378" s="32" t="inlineStr"/>
      <c r="H378" s="38" t="inlineStr"/>
      <c r="I378" s="38" t="inlineStr"/>
      <c r="J378" s="30" t="inlineStr"/>
      <c r="K378" s="30" t="inlineStr"/>
      <c r="L378" s="15">
        <f>IF(A378="","",F378*G378)</f>
        <v/>
      </c>
      <c r="M378" s="15">
        <f>IF(A378="","",F378+L378)</f>
        <v/>
      </c>
      <c r="N378" s="15">
        <f>IF(A378="","",SUMIFS('15_Zahlungen'!$F:$F,'15_Zahlungen'!$D:$D,A378,'15_Zahlungen'!$C:$C,"Ausgang"))</f>
        <v/>
      </c>
      <c r="O378" s="15">
        <f>IF(A378="","",MAX(0,M378-N378))</f>
        <v/>
      </c>
      <c r="P378" s="45">
        <f>IF(OR(A378="",J378="bezahlt",H378=""),"",MAX(0,TODAY()-H378))</f>
        <v/>
      </c>
    </row>
    <row r="379">
      <c r="A379" s="30" t="inlineStr"/>
      <c r="B379" s="38" t="inlineStr"/>
      <c r="C379" s="30" t="inlineStr"/>
      <c r="D379" s="30" t="inlineStr"/>
      <c r="E379" s="30" t="inlineStr"/>
      <c r="F379" s="34" t="inlineStr"/>
      <c r="G379" s="32" t="inlineStr"/>
      <c r="H379" s="38" t="inlineStr"/>
      <c r="I379" s="38" t="inlineStr"/>
      <c r="J379" s="30" t="inlineStr"/>
      <c r="K379" s="30" t="inlineStr"/>
      <c r="L379" s="15">
        <f>IF(A379="","",F379*G379)</f>
        <v/>
      </c>
      <c r="M379" s="15">
        <f>IF(A379="","",F379+L379)</f>
        <v/>
      </c>
      <c r="N379" s="15">
        <f>IF(A379="","",SUMIFS('15_Zahlungen'!$F:$F,'15_Zahlungen'!$D:$D,A379,'15_Zahlungen'!$C:$C,"Ausgang"))</f>
        <v/>
      </c>
      <c r="O379" s="15">
        <f>IF(A379="","",MAX(0,M379-N379))</f>
        <v/>
      </c>
      <c r="P379" s="45">
        <f>IF(OR(A379="",J379="bezahlt",H379=""),"",MAX(0,TODAY()-H379))</f>
        <v/>
      </c>
    </row>
    <row r="380">
      <c r="A380" s="30" t="inlineStr"/>
      <c r="B380" s="38" t="inlineStr"/>
      <c r="C380" s="30" t="inlineStr"/>
      <c r="D380" s="30" t="inlineStr"/>
      <c r="E380" s="30" t="inlineStr"/>
      <c r="F380" s="34" t="inlineStr"/>
      <c r="G380" s="32" t="inlineStr"/>
      <c r="H380" s="38" t="inlineStr"/>
      <c r="I380" s="38" t="inlineStr"/>
      <c r="J380" s="30" t="inlineStr"/>
      <c r="K380" s="30" t="inlineStr"/>
      <c r="L380" s="15">
        <f>IF(A380="","",F380*G380)</f>
        <v/>
      </c>
      <c r="M380" s="15">
        <f>IF(A380="","",F380+L380)</f>
        <v/>
      </c>
      <c r="N380" s="15">
        <f>IF(A380="","",SUMIFS('15_Zahlungen'!$F:$F,'15_Zahlungen'!$D:$D,A380,'15_Zahlungen'!$C:$C,"Ausgang"))</f>
        <v/>
      </c>
      <c r="O380" s="15">
        <f>IF(A380="","",MAX(0,M380-N380))</f>
        <v/>
      </c>
      <c r="P380" s="45">
        <f>IF(OR(A380="",J380="bezahlt",H380=""),"",MAX(0,TODAY()-H380))</f>
        <v/>
      </c>
    </row>
    <row r="381">
      <c r="A381" s="30" t="inlineStr"/>
      <c r="B381" s="38" t="inlineStr"/>
      <c r="C381" s="30" t="inlineStr"/>
      <c r="D381" s="30" t="inlineStr"/>
      <c r="E381" s="30" t="inlineStr"/>
      <c r="F381" s="34" t="inlineStr"/>
      <c r="G381" s="32" t="inlineStr"/>
      <c r="H381" s="38" t="inlineStr"/>
      <c r="I381" s="38" t="inlineStr"/>
      <c r="J381" s="30" t="inlineStr"/>
      <c r="K381" s="30" t="inlineStr"/>
      <c r="L381" s="15">
        <f>IF(A381="","",F381*G381)</f>
        <v/>
      </c>
      <c r="M381" s="15">
        <f>IF(A381="","",F381+L381)</f>
        <v/>
      </c>
      <c r="N381" s="15">
        <f>IF(A381="","",SUMIFS('15_Zahlungen'!$F:$F,'15_Zahlungen'!$D:$D,A381,'15_Zahlungen'!$C:$C,"Ausgang"))</f>
        <v/>
      </c>
      <c r="O381" s="15">
        <f>IF(A381="","",MAX(0,M381-N381))</f>
        <v/>
      </c>
      <c r="P381" s="45">
        <f>IF(OR(A381="",J381="bezahlt",H381=""),"",MAX(0,TODAY()-H381))</f>
        <v/>
      </c>
    </row>
    <row r="382">
      <c r="A382" s="30" t="inlineStr"/>
      <c r="B382" s="38" t="inlineStr"/>
      <c r="C382" s="30" t="inlineStr"/>
      <c r="D382" s="30" t="inlineStr"/>
      <c r="E382" s="30" t="inlineStr"/>
      <c r="F382" s="34" t="inlineStr"/>
      <c r="G382" s="32" t="inlineStr"/>
      <c r="H382" s="38" t="inlineStr"/>
      <c r="I382" s="38" t="inlineStr"/>
      <c r="J382" s="30" t="inlineStr"/>
      <c r="K382" s="30" t="inlineStr"/>
      <c r="L382" s="15">
        <f>IF(A382="","",F382*G382)</f>
        <v/>
      </c>
      <c r="M382" s="15">
        <f>IF(A382="","",F382+L382)</f>
        <v/>
      </c>
      <c r="N382" s="15">
        <f>IF(A382="","",SUMIFS('15_Zahlungen'!$F:$F,'15_Zahlungen'!$D:$D,A382,'15_Zahlungen'!$C:$C,"Ausgang"))</f>
        <v/>
      </c>
      <c r="O382" s="15">
        <f>IF(A382="","",MAX(0,M382-N382))</f>
        <v/>
      </c>
      <c r="P382" s="45">
        <f>IF(OR(A382="",J382="bezahlt",H382=""),"",MAX(0,TODAY()-H382))</f>
        <v/>
      </c>
    </row>
    <row r="383">
      <c r="A383" s="30" t="inlineStr"/>
      <c r="B383" s="38" t="inlineStr"/>
      <c r="C383" s="30" t="inlineStr"/>
      <c r="D383" s="30" t="inlineStr"/>
      <c r="E383" s="30" t="inlineStr"/>
      <c r="F383" s="34" t="inlineStr"/>
      <c r="G383" s="32" t="inlineStr"/>
      <c r="H383" s="38" t="inlineStr"/>
      <c r="I383" s="38" t="inlineStr"/>
      <c r="J383" s="30" t="inlineStr"/>
      <c r="K383" s="30" t="inlineStr"/>
      <c r="L383" s="15">
        <f>IF(A383="","",F383*G383)</f>
        <v/>
      </c>
      <c r="M383" s="15">
        <f>IF(A383="","",F383+L383)</f>
        <v/>
      </c>
      <c r="N383" s="15">
        <f>IF(A383="","",SUMIFS('15_Zahlungen'!$F:$F,'15_Zahlungen'!$D:$D,A383,'15_Zahlungen'!$C:$C,"Ausgang"))</f>
        <v/>
      </c>
      <c r="O383" s="15">
        <f>IF(A383="","",MAX(0,M383-N383))</f>
        <v/>
      </c>
      <c r="P383" s="45">
        <f>IF(OR(A383="",J383="bezahlt",H383=""),"",MAX(0,TODAY()-H383))</f>
        <v/>
      </c>
    </row>
    <row r="384">
      <c r="A384" s="30" t="inlineStr"/>
      <c r="B384" s="38" t="inlineStr"/>
      <c r="C384" s="30" t="inlineStr"/>
      <c r="D384" s="30" t="inlineStr"/>
      <c r="E384" s="30" t="inlineStr"/>
      <c r="F384" s="34" t="inlineStr"/>
      <c r="G384" s="32" t="inlineStr"/>
      <c r="H384" s="38" t="inlineStr"/>
      <c r="I384" s="38" t="inlineStr"/>
      <c r="J384" s="30" t="inlineStr"/>
      <c r="K384" s="30" t="inlineStr"/>
      <c r="L384" s="15">
        <f>IF(A384="","",F384*G384)</f>
        <v/>
      </c>
      <c r="M384" s="15">
        <f>IF(A384="","",F384+L384)</f>
        <v/>
      </c>
      <c r="N384" s="15">
        <f>IF(A384="","",SUMIFS('15_Zahlungen'!$F:$F,'15_Zahlungen'!$D:$D,A384,'15_Zahlungen'!$C:$C,"Ausgang"))</f>
        <v/>
      </c>
      <c r="O384" s="15">
        <f>IF(A384="","",MAX(0,M384-N384))</f>
        <v/>
      </c>
      <c r="P384" s="45">
        <f>IF(OR(A384="",J384="bezahlt",H384=""),"",MAX(0,TODAY()-H384))</f>
        <v/>
      </c>
    </row>
    <row r="385">
      <c r="A385" s="30" t="inlineStr"/>
      <c r="B385" s="38" t="inlineStr"/>
      <c r="C385" s="30" t="inlineStr"/>
      <c r="D385" s="30" t="inlineStr"/>
      <c r="E385" s="30" t="inlineStr"/>
      <c r="F385" s="34" t="inlineStr"/>
      <c r="G385" s="32" t="inlineStr"/>
      <c r="H385" s="38" t="inlineStr"/>
      <c r="I385" s="38" t="inlineStr"/>
      <c r="J385" s="30" t="inlineStr"/>
      <c r="K385" s="30" t="inlineStr"/>
      <c r="L385" s="15">
        <f>IF(A385="","",F385*G385)</f>
        <v/>
      </c>
      <c r="M385" s="15">
        <f>IF(A385="","",F385+L385)</f>
        <v/>
      </c>
      <c r="N385" s="15">
        <f>IF(A385="","",SUMIFS('15_Zahlungen'!$F:$F,'15_Zahlungen'!$D:$D,A385,'15_Zahlungen'!$C:$C,"Ausgang"))</f>
        <v/>
      </c>
      <c r="O385" s="15">
        <f>IF(A385="","",MAX(0,M385-N385))</f>
        <v/>
      </c>
      <c r="P385" s="45">
        <f>IF(OR(A385="",J385="bezahlt",H385=""),"",MAX(0,TODAY()-H385))</f>
        <v/>
      </c>
    </row>
    <row r="386">
      <c r="A386" s="30" t="inlineStr"/>
      <c r="B386" s="38" t="inlineStr"/>
      <c r="C386" s="30" t="inlineStr"/>
      <c r="D386" s="30" t="inlineStr"/>
      <c r="E386" s="30" t="inlineStr"/>
      <c r="F386" s="34" t="inlineStr"/>
      <c r="G386" s="32" t="inlineStr"/>
      <c r="H386" s="38" t="inlineStr"/>
      <c r="I386" s="38" t="inlineStr"/>
      <c r="J386" s="30" t="inlineStr"/>
      <c r="K386" s="30" t="inlineStr"/>
      <c r="L386" s="15">
        <f>IF(A386="","",F386*G386)</f>
        <v/>
      </c>
      <c r="M386" s="15">
        <f>IF(A386="","",F386+L386)</f>
        <v/>
      </c>
      <c r="N386" s="15">
        <f>IF(A386="","",SUMIFS('15_Zahlungen'!$F:$F,'15_Zahlungen'!$D:$D,A386,'15_Zahlungen'!$C:$C,"Ausgang"))</f>
        <v/>
      </c>
      <c r="O386" s="15">
        <f>IF(A386="","",MAX(0,M386-N386))</f>
        <v/>
      </c>
      <c r="P386" s="45">
        <f>IF(OR(A386="",J386="bezahlt",H386=""),"",MAX(0,TODAY()-H386))</f>
        <v/>
      </c>
    </row>
    <row r="387">
      <c r="A387" s="30" t="inlineStr"/>
      <c r="B387" s="38" t="inlineStr"/>
      <c r="C387" s="30" t="inlineStr"/>
      <c r="D387" s="30" t="inlineStr"/>
      <c r="E387" s="30" t="inlineStr"/>
      <c r="F387" s="34" t="inlineStr"/>
      <c r="G387" s="32" t="inlineStr"/>
      <c r="H387" s="38" t="inlineStr"/>
      <c r="I387" s="38" t="inlineStr"/>
      <c r="J387" s="30" t="inlineStr"/>
      <c r="K387" s="30" t="inlineStr"/>
      <c r="L387" s="15">
        <f>IF(A387="","",F387*G387)</f>
        <v/>
      </c>
      <c r="M387" s="15">
        <f>IF(A387="","",F387+L387)</f>
        <v/>
      </c>
      <c r="N387" s="15">
        <f>IF(A387="","",SUMIFS('15_Zahlungen'!$F:$F,'15_Zahlungen'!$D:$D,A387,'15_Zahlungen'!$C:$C,"Ausgang"))</f>
        <v/>
      </c>
      <c r="O387" s="15">
        <f>IF(A387="","",MAX(0,M387-N387))</f>
        <v/>
      </c>
      <c r="P387" s="45">
        <f>IF(OR(A387="",J387="bezahlt",H387=""),"",MAX(0,TODAY()-H387))</f>
        <v/>
      </c>
    </row>
    <row r="388">
      <c r="A388" s="30" t="inlineStr"/>
      <c r="B388" s="38" t="inlineStr"/>
      <c r="C388" s="30" t="inlineStr"/>
      <c r="D388" s="30" t="inlineStr"/>
      <c r="E388" s="30" t="inlineStr"/>
      <c r="F388" s="34" t="inlineStr"/>
      <c r="G388" s="32" t="inlineStr"/>
      <c r="H388" s="38" t="inlineStr"/>
      <c r="I388" s="38" t="inlineStr"/>
      <c r="J388" s="30" t="inlineStr"/>
      <c r="K388" s="30" t="inlineStr"/>
      <c r="L388" s="15">
        <f>IF(A388="","",F388*G388)</f>
        <v/>
      </c>
      <c r="M388" s="15">
        <f>IF(A388="","",F388+L388)</f>
        <v/>
      </c>
      <c r="N388" s="15">
        <f>IF(A388="","",SUMIFS('15_Zahlungen'!$F:$F,'15_Zahlungen'!$D:$D,A388,'15_Zahlungen'!$C:$C,"Ausgang"))</f>
        <v/>
      </c>
      <c r="O388" s="15">
        <f>IF(A388="","",MAX(0,M388-N388))</f>
        <v/>
      </c>
      <c r="P388" s="45">
        <f>IF(OR(A388="",J388="bezahlt",H388=""),"",MAX(0,TODAY()-H388))</f>
        <v/>
      </c>
    </row>
    <row r="389">
      <c r="A389" s="30" t="inlineStr"/>
      <c r="B389" s="38" t="inlineStr"/>
      <c r="C389" s="30" t="inlineStr"/>
      <c r="D389" s="30" t="inlineStr"/>
      <c r="E389" s="30" t="inlineStr"/>
      <c r="F389" s="34" t="inlineStr"/>
      <c r="G389" s="32" t="inlineStr"/>
      <c r="H389" s="38" t="inlineStr"/>
      <c r="I389" s="38" t="inlineStr"/>
      <c r="J389" s="30" t="inlineStr"/>
      <c r="K389" s="30" t="inlineStr"/>
      <c r="L389" s="15">
        <f>IF(A389="","",F389*G389)</f>
        <v/>
      </c>
      <c r="M389" s="15">
        <f>IF(A389="","",F389+L389)</f>
        <v/>
      </c>
      <c r="N389" s="15">
        <f>IF(A389="","",SUMIFS('15_Zahlungen'!$F:$F,'15_Zahlungen'!$D:$D,A389,'15_Zahlungen'!$C:$C,"Ausgang"))</f>
        <v/>
      </c>
      <c r="O389" s="15">
        <f>IF(A389="","",MAX(0,M389-N389))</f>
        <v/>
      </c>
      <c r="P389" s="45">
        <f>IF(OR(A389="",J389="bezahlt",H389=""),"",MAX(0,TODAY()-H389))</f>
        <v/>
      </c>
    </row>
    <row r="390">
      <c r="A390" s="30" t="inlineStr"/>
      <c r="B390" s="38" t="inlineStr"/>
      <c r="C390" s="30" t="inlineStr"/>
      <c r="D390" s="30" t="inlineStr"/>
      <c r="E390" s="30" t="inlineStr"/>
      <c r="F390" s="34" t="inlineStr"/>
      <c r="G390" s="32" t="inlineStr"/>
      <c r="H390" s="38" t="inlineStr"/>
      <c r="I390" s="38" t="inlineStr"/>
      <c r="J390" s="30" t="inlineStr"/>
      <c r="K390" s="30" t="inlineStr"/>
      <c r="L390" s="15">
        <f>IF(A390="","",F390*G390)</f>
        <v/>
      </c>
      <c r="M390" s="15">
        <f>IF(A390="","",F390+L390)</f>
        <v/>
      </c>
      <c r="N390" s="15">
        <f>IF(A390="","",SUMIFS('15_Zahlungen'!$F:$F,'15_Zahlungen'!$D:$D,A390,'15_Zahlungen'!$C:$C,"Ausgang"))</f>
        <v/>
      </c>
      <c r="O390" s="15">
        <f>IF(A390="","",MAX(0,M390-N390))</f>
        <v/>
      </c>
      <c r="P390" s="45">
        <f>IF(OR(A390="",J390="bezahlt",H390=""),"",MAX(0,TODAY()-H390))</f>
        <v/>
      </c>
    </row>
    <row r="391">
      <c r="A391" s="30" t="inlineStr"/>
      <c r="B391" s="38" t="inlineStr"/>
      <c r="C391" s="30" t="inlineStr"/>
      <c r="D391" s="30" t="inlineStr"/>
      <c r="E391" s="30" t="inlineStr"/>
      <c r="F391" s="34" t="inlineStr"/>
      <c r="G391" s="32" t="inlineStr"/>
      <c r="H391" s="38" t="inlineStr"/>
      <c r="I391" s="38" t="inlineStr"/>
      <c r="J391" s="30" t="inlineStr"/>
      <c r="K391" s="30" t="inlineStr"/>
      <c r="L391" s="15">
        <f>IF(A391="","",F391*G391)</f>
        <v/>
      </c>
      <c r="M391" s="15">
        <f>IF(A391="","",F391+L391)</f>
        <v/>
      </c>
      <c r="N391" s="15">
        <f>IF(A391="","",SUMIFS('15_Zahlungen'!$F:$F,'15_Zahlungen'!$D:$D,A391,'15_Zahlungen'!$C:$C,"Ausgang"))</f>
        <v/>
      </c>
      <c r="O391" s="15">
        <f>IF(A391="","",MAX(0,M391-N391))</f>
        <v/>
      </c>
      <c r="P391" s="45">
        <f>IF(OR(A391="",J391="bezahlt",H391=""),"",MAX(0,TODAY()-H391))</f>
        <v/>
      </c>
    </row>
    <row r="392">
      <c r="A392" s="30" t="inlineStr"/>
      <c r="B392" s="38" t="inlineStr"/>
      <c r="C392" s="30" t="inlineStr"/>
      <c r="D392" s="30" t="inlineStr"/>
      <c r="E392" s="30" t="inlineStr"/>
      <c r="F392" s="34" t="inlineStr"/>
      <c r="G392" s="32" t="inlineStr"/>
      <c r="H392" s="38" t="inlineStr"/>
      <c r="I392" s="38" t="inlineStr"/>
      <c r="J392" s="30" t="inlineStr"/>
      <c r="K392" s="30" t="inlineStr"/>
      <c r="L392" s="15">
        <f>IF(A392="","",F392*G392)</f>
        <v/>
      </c>
      <c r="M392" s="15">
        <f>IF(A392="","",F392+L392)</f>
        <v/>
      </c>
      <c r="N392" s="15">
        <f>IF(A392="","",SUMIFS('15_Zahlungen'!$F:$F,'15_Zahlungen'!$D:$D,A392,'15_Zahlungen'!$C:$C,"Ausgang"))</f>
        <v/>
      </c>
      <c r="O392" s="15">
        <f>IF(A392="","",MAX(0,M392-N392))</f>
        <v/>
      </c>
      <c r="P392" s="45">
        <f>IF(OR(A392="",J392="bezahlt",H392=""),"",MAX(0,TODAY()-H392))</f>
        <v/>
      </c>
    </row>
    <row r="393">
      <c r="A393" s="30" t="inlineStr"/>
      <c r="B393" s="38" t="inlineStr"/>
      <c r="C393" s="30" t="inlineStr"/>
      <c r="D393" s="30" t="inlineStr"/>
      <c r="E393" s="30" t="inlineStr"/>
      <c r="F393" s="34" t="inlineStr"/>
      <c r="G393" s="32" t="inlineStr"/>
      <c r="H393" s="38" t="inlineStr"/>
      <c r="I393" s="38" t="inlineStr"/>
      <c r="J393" s="30" t="inlineStr"/>
      <c r="K393" s="30" t="inlineStr"/>
      <c r="L393" s="15">
        <f>IF(A393="","",F393*G393)</f>
        <v/>
      </c>
      <c r="M393" s="15">
        <f>IF(A393="","",F393+L393)</f>
        <v/>
      </c>
      <c r="N393" s="15">
        <f>IF(A393="","",SUMIFS('15_Zahlungen'!$F:$F,'15_Zahlungen'!$D:$D,A393,'15_Zahlungen'!$C:$C,"Ausgang"))</f>
        <v/>
      </c>
      <c r="O393" s="15">
        <f>IF(A393="","",MAX(0,M393-N393))</f>
        <v/>
      </c>
      <c r="P393" s="45">
        <f>IF(OR(A393="",J393="bezahlt",H393=""),"",MAX(0,TODAY()-H393))</f>
        <v/>
      </c>
    </row>
    <row r="394">
      <c r="A394" s="30" t="inlineStr"/>
      <c r="B394" s="38" t="inlineStr"/>
      <c r="C394" s="30" t="inlineStr"/>
      <c r="D394" s="30" t="inlineStr"/>
      <c r="E394" s="30" t="inlineStr"/>
      <c r="F394" s="34" t="inlineStr"/>
      <c r="G394" s="32" t="inlineStr"/>
      <c r="H394" s="38" t="inlineStr"/>
      <c r="I394" s="38" t="inlineStr"/>
      <c r="J394" s="30" t="inlineStr"/>
      <c r="K394" s="30" t="inlineStr"/>
      <c r="L394" s="15">
        <f>IF(A394="","",F394*G394)</f>
        <v/>
      </c>
      <c r="M394" s="15">
        <f>IF(A394="","",F394+L394)</f>
        <v/>
      </c>
      <c r="N394" s="15">
        <f>IF(A394="","",SUMIFS('15_Zahlungen'!$F:$F,'15_Zahlungen'!$D:$D,A394,'15_Zahlungen'!$C:$C,"Ausgang"))</f>
        <v/>
      </c>
      <c r="O394" s="15">
        <f>IF(A394="","",MAX(0,M394-N394))</f>
        <v/>
      </c>
      <c r="P394" s="45">
        <f>IF(OR(A394="",J394="bezahlt",H394=""),"",MAX(0,TODAY()-H394))</f>
        <v/>
      </c>
    </row>
    <row r="395">
      <c r="A395" s="30" t="inlineStr"/>
      <c r="B395" s="38" t="inlineStr"/>
      <c r="C395" s="30" t="inlineStr"/>
      <c r="D395" s="30" t="inlineStr"/>
      <c r="E395" s="30" t="inlineStr"/>
      <c r="F395" s="34" t="inlineStr"/>
      <c r="G395" s="32" t="inlineStr"/>
      <c r="H395" s="38" t="inlineStr"/>
      <c r="I395" s="38" t="inlineStr"/>
      <c r="J395" s="30" t="inlineStr"/>
      <c r="K395" s="30" t="inlineStr"/>
      <c r="L395" s="15">
        <f>IF(A395="","",F395*G395)</f>
        <v/>
      </c>
      <c r="M395" s="15">
        <f>IF(A395="","",F395+L395)</f>
        <v/>
      </c>
      <c r="N395" s="15">
        <f>IF(A395="","",SUMIFS('15_Zahlungen'!$F:$F,'15_Zahlungen'!$D:$D,A395,'15_Zahlungen'!$C:$C,"Ausgang"))</f>
        <v/>
      </c>
      <c r="O395" s="15">
        <f>IF(A395="","",MAX(0,M395-N395))</f>
        <v/>
      </c>
      <c r="P395" s="45">
        <f>IF(OR(A395="",J395="bezahlt",H395=""),"",MAX(0,TODAY()-H395))</f>
        <v/>
      </c>
    </row>
    <row r="396">
      <c r="A396" s="30" t="inlineStr"/>
      <c r="B396" s="38" t="inlineStr"/>
      <c r="C396" s="30" t="inlineStr"/>
      <c r="D396" s="30" t="inlineStr"/>
      <c r="E396" s="30" t="inlineStr"/>
      <c r="F396" s="34" t="inlineStr"/>
      <c r="G396" s="32" t="inlineStr"/>
      <c r="H396" s="38" t="inlineStr"/>
      <c r="I396" s="38" t="inlineStr"/>
      <c r="J396" s="30" t="inlineStr"/>
      <c r="K396" s="30" t="inlineStr"/>
      <c r="L396" s="15">
        <f>IF(A396="","",F396*G396)</f>
        <v/>
      </c>
      <c r="M396" s="15">
        <f>IF(A396="","",F396+L396)</f>
        <v/>
      </c>
      <c r="N396" s="15">
        <f>IF(A396="","",SUMIFS('15_Zahlungen'!$F:$F,'15_Zahlungen'!$D:$D,A396,'15_Zahlungen'!$C:$C,"Ausgang"))</f>
        <v/>
      </c>
      <c r="O396" s="15">
        <f>IF(A396="","",MAX(0,M396-N396))</f>
        <v/>
      </c>
      <c r="P396" s="45">
        <f>IF(OR(A396="",J396="bezahlt",H396=""),"",MAX(0,TODAY()-H396))</f>
        <v/>
      </c>
    </row>
    <row r="397">
      <c r="A397" s="30" t="inlineStr"/>
      <c r="B397" s="38" t="inlineStr"/>
      <c r="C397" s="30" t="inlineStr"/>
      <c r="D397" s="30" t="inlineStr"/>
      <c r="E397" s="30" t="inlineStr"/>
      <c r="F397" s="34" t="inlineStr"/>
      <c r="G397" s="32" t="inlineStr"/>
      <c r="H397" s="38" t="inlineStr"/>
      <c r="I397" s="38" t="inlineStr"/>
      <c r="J397" s="30" t="inlineStr"/>
      <c r="K397" s="30" t="inlineStr"/>
      <c r="L397" s="15">
        <f>IF(A397="","",F397*G397)</f>
        <v/>
      </c>
      <c r="M397" s="15">
        <f>IF(A397="","",F397+L397)</f>
        <v/>
      </c>
      <c r="N397" s="15">
        <f>IF(A397="","",SUMIFS('15_Zahlungen'!$F:$F,'15_Zahlungen'!$D:$D,A397,'15_Zahlungen'!$C:$C,"Ausgang"))</f>
        <v/>
      </c>
      <c r="O397" s="15">
        <f>IF(A397="","",MAX(0,M397-N397))</f>
        <v/>
      </c>
      <c r="P397" s="45">
        <f>IF(OR(A397="",J397="bezahlt",H397=""),"",MAX(0,TODAY()-H397))</f>
        <v/>
      </c>
    </row>
    <row r="398">
      <c r="A398" s="30" t="inlineStr"/>
      <c r="B398" s="38" t="inlineStr"/>
      <c r="C398" s="30" t="inlineStr"/>
      <c r="D398" s="30" t="inlineStr"/>
      <c r="E398" s="30" t="inlineStr"/>
      <c r="F398" s="34" t="inlineStr"/>
      <c r="G398" s="32" t="inlineStr"/>
      <c r="H398" s="38" t="inlineStr"/>
      <c r="I398" s="38" t="inlineStr"/>
      <c r="J398" s="30" t="inlineStr"/>
      <c r="K398" s="30" t="inlineStr"/>
      <c r="L398" s="15">
        <f>IF(A398="","",F398*G398)</f>
        <v/>
      </c>
      <c r="M398" s="15">
        <f>IF(A398="","",F398+L398)</f>
        <v/>
      </c>
      <c r="N398" s="15">
        <f>IF(A398="","",SUMIFS('15_Zahlungen'!$F:$F,'15_Zahlungen'!$D:$D,A398,'15_Zahlungen'!$C:$C,"Ausgang"))</f>
        <v/>
      </c>
      <c r="O398" s="15">
        <f>IF(A398="","",MAX(0,M398-N398))</f>
        <v/>
      </c>
      <c r="P398" s="45">
        <f>IF(OR(A398="",J398="bezahlt",H398=""),"",MAX(0,TODAY()-H398))</f>
        <v/>
      </c>
    </row>
    <row r="399">
      <c r="A399" s="30" t="inlineStr"/>
      <c r="B399" s="38" t="inlineStr"/>
      <c r="C399" s="30" t="inlineStr"/>
      <c r="D399" s="30" t="inlineStr"/>
      <c r="E399" s="30" t="inlineStr"/>
      <c r="F399" s="34" t="inlineStr"/>
      <c r="G399" s="32" t="inlineStr"/>
      <c r="H399" s="38" t="inlineStr"/>
      <c r="I399" s="38" t="inlineStr"/>
      <c r="J399" s="30" t="inlineStr"/>
      <c r="K399" s="30" t="inlineStr"/>
      <c r="L399" s="15">
        <f>IF(A399="","",F399*G399)</f>
        <v/>
      </c>
      <c r="M399" s="15">
        <f>IF(A399="","",F399+L399)</f>
        <v/>
      </c>
      <c r="N399" s="15">
        <f>IF(A399="","",SUMIFS('15_Zahlungen'!$F:$F,'15_Zahlungen'!$D:$D,A399,'15_Zahlungen'!$C:$C,"Ausgang"))</f>
        <v/>
      </c>
      <c r="O399" s="15">
        <f>IF(A399="","",MAX(0,M399-N399))</f>
        <v/>
      </c>
      <c r="P399" s="45">
        <f>IF(OR(A399="",J399="bezahlt",H399=""),"",MAX(0,TODAY()-H399))</f>
        <v/>
      </c>
    </row>
    <row r="400">
      <c r="A400" s="30" t="inlineStr"/>
      <c r="B400" s="38" t="inlineStr"/>
      <c r="C400" s="30" t="inlineStr"/>
      <c r="D400" s="30" t="inlineStr"/>
      <c r="E400" s="30" t="inlineStr"/>
      <c r="F400" s="34" t="inlineStr"/>
      <c r="G400" s="32" t="inlineStr"/>
      <c r="H400" s="38" t="inlineStr"/>
      <c r="I400" s="38" t="inlineStr"/>
      <c r="J400" s="30" t="inlineStr"/>
      <c r="K400" s="30" t="inlineStr"/>
      <c r="L400" s="15">
        <f>IF(A400="","",F400*G400)</f>
        <v/>
      </c>
      <c r="M400" s="15">
        <f>IF(A400="","",F400+L400)</f>
        <v/>
      </c>
      <c r="N400" s="15">
        <f>IF(A400="","",SUMIFS('15_Zahlungen'!$F:$F,'15_Zahlungen'!$D:$D,A400,'15_Zahlungen'!$C:$C,"Ausgang"))</f>
        <v/>
      </c>
      <c r="O400" s="15">
        <f>IF(A400="","",MAX(0,M400-N400))</f>
        <v/>
      </c>
      <c r="P400" s="45">
        <f>IF(OR(A400="",J400="bezahlt",H400=""),"",MAX(0,TODAY()-H400))</f>
        <v/>
      </c>
    </row>
  </sheetData>
  <mergeCells count="2">
    <mergeCell ref="A1:P1"/>
    <mergeCell ref="A2:P2"/>
  </mergeCells>
  <conditionalFormatting sqref="J4:J400">
    <cfRule type="expression" priority="1" dxfId="0">
      <formula>OR(J4="bezahlt",J4="abgeschlossen",J4="angenommen")</formula>
    </cfRule>
    <cfRule type="expression" priority="2" dxfId="1">
      <formula>OR(J4="überfällig",J4="gemahnt",J4="stopp",J4="verlust")</formula>
    </cfRule>
    <cfRule type="expression" priority="3" dxfId="2">
      <formula>OR(J4="offen",J4="in Bau",J4="geplant",J4="teilbezahlt")</formula>
    </cfRule>
  </conditionalFormatting>
  <dataValidations count="4">
    <dataValidation sqref="C4:C400" showDropDown="0" showInputMessage="0" showErrorMessage="0" allowBlank="1" errorTitle="Ungültige Auswahl" error="Bitte einen Wert aus der Liste wählen." promptTitle="Liste" prompt="Auswahl" type="list">
      <formula1>=ProjektNr</formula1>
    </dataValidation>
    <dataValidation sqref="D4:D400" showDropDown="0" showInputMessage="0" showErrorMessage="0" allowBlank="1" errorTitle="Ungültige Auswahl" error="Bitte einen Wert aus der Liste wählen." promptTitle="Liste" prompt="Auswahl" type="list">
      <formula1>=LiefNr</formula1>
    </dataValidation>
    <dataValidation sqref="E4:E400" showDropDown="0" showInputMessage="0" showErrorMessage="0" allowBlank="1" errorTitle="Ungültige Auswahl" error="Bitte einen Wert aus der Liste wählen." promptTitle="Liste" prompt="Auswahl" type="list">
      <formula1>=lstERTyp</formula1>
    </dataValidation>
    <dataValidation sqref="J4:J400" showDropDown="0" showInputMessage="0" showErrorMessage="0" allowBlank="1" errorTitle="Ungültige Auswahl" error="Bitte einen Wert aus der Liste wählen." promptTitle="Liste" prompt="Auswahl" type="list">
      <formula1>=lstBelegStatus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2F6B4F"/>
    <outlinePr summaryBelow="1" summaryRight="1"/>
    <pageSetUpPr/>
  </sheetPr>
  <dimension ref="A1:P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  <col width="10" customWidth="1" min="7" max="7"/>
    <col width="28" customWidth="1" min="8" max="8"/>
    <col width="10" customWidth="1" min="9" max="9"/>
    <col width="10" customWidth="1" min="10" max="10"/>
  </cols>
  <sheetData>
    <row r="1" ht="28" customHeight="1">
      <c r="A1" s="1" t="inlineStr">
        <is>
          <t>Zahlungen und Bankumsätze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3" t="n"/>
      <c r="M1" s="3" t="n"/>
      <c r="N1" s="3" t="n"/>
      <c r="O1" s="3" t="n"/>
      <c r="P1" s="3" t="n"/>
    </row>
    <row r="2" ht="18" customHeight="1">
      <c r="A2" s="4" t="inlineStr">
        <is>
          <t>Importziel für Bank-CSV · Belegnummer verknüpft automatisch Debitoren- und Kreditoren-OP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3" t="n"/>
      <c r="L2" s="3" t="n"/>
      <c r="M2" s="3" t="n"/>
      <c r="N2" s="3" t="n"/>
      <c r="O2" s="3" t="n"/>
      <c r="P2" s="3" t="n"/>
    </row>
    <row r="3" ht="28" customHeight="1">
      <c r="A3" s="17" t="inlineStr">
        <is>
          <t>Nr</t>
        </is>
      </c>
      <c r="B3" s="17" t="inlineStr">
        <is>
          <t>Datum</t>
        </is>
      </c>
      <c r="C3" s="17" t="inlineStr">
        <is>
          <t>Art</t>
        </is>
      </c>
      <c r="D3" s="17" t="inlineStr">
        <is>
          <t>Beleg</t>
        </is>
      </c>
      <c r="E3" s="17" t="inlineStr">
        <is>
          <t>Partner</t>
        </is>
      </c>
      <c r="F3" s="17" t="inlineStr">
        <is>
          <t>Betrag</t>
        </is>
      </c>
      <c r="G3" s="17" t="inlineStr">
        <is>
          <t>Weg</t>
        </is>
      </c>
      <c r="H3" s="17" t="inlineStr">
        <is>
          <t>Text</t>
        </is>
      </c>
      <c r="I3" s="17" t="inlineStr">
        <is>
          <t>Monat</t>
        </is>
      </c>
      <c r="J3" s="17" t="inlineStr">
        <is>
          <t>Jahr</t>
        </is>
      </c>
      <c r="K3" s="3" t="n"/>
      <c r="L3" s="3" t="n"/>
      <c r="M3" s="3" t="n"/>
      <c r="N3" s="3" t="n"/>
      <c r="O3" s="3" t="n"/>
      <c r="P3" s="3" t="n"/>
    </row>
    <row r="4">
      <c r="A4" s="30" t="inlineStr">
        <is>
          <t>Z-001</t>
        </is>
      </c>
      <c r="B4" s="38" t="n">
        <v>46105</v>
      </c>
      <c r="C4" s="30" t="inlineStr">
        <is>
          <t>Eingang</t>
        </is>
      </c>
      <c r="D4" s="30" t="inlineStr">
        <is>
          <t>AR-26001</t>
        </is>
      </c>
      <c r="E4" s="30" t="inlineStr">
        <is>
          <t>K-1001</t>
        </is>
      </c>
      <c r="F4" s="34" t="n">
        <v>406980</v>
      </c>
      <c r="G4" s="30" t="inlineStr">
        <is>
          <t>Bank</t>
        </is>
      </c>
      <c r="H4" s="30" t="inlineStr">
        <is>
          <t>Wohnquartier Abschlag 1</t>
        </is>
      </c>
      <c r="I4" s="45">
        <f>IF(B4="","",MONTH(B4))</f>
        <v/>
      </c>
      <c r="J4" s="45">
        <f>IF(B4="","",YEAR(B4))</f>
        <v/>
      </c>
      <c r="K4" s="3" t="n"/>
      <c r="L4" s="3" t="n"/>
      <c r="M4" s="3" t="n"/>
      <c r="N4" s="3" t="n"/>
      <c r="O4" s="3" t="n"/>
      <c r="P4" s="3" t="n"/>
    </row>
    <row r="5">
      <c r="A5" s="30" t="inlineStr">
        <is>
          <t>Z-002</t>
        </is>
      </c>
      <c r="B5" s="38" t="n">
        <v>46164</v>
      </c>
      <c r="C5" s="30" t="inlineStr">
        <is>
          <t>Eingang</t>
        </is>
      </c>
      <c r="D5" s="30" t="inlineStr">
        <is>
          <t>AR-26002</t>
        </is>
      </c>
      <c r="E5" s="30" t="inlineStr">
        <is>
          <t>K-1001</t>
        </is>
      </c>
      <c r="F5" s="34" t="n">
        <v>474810</v>
      </c>
      <c r="G5" s="30" t="inlineStr">
        <is>
          <t>Bank</t>
        </is>
      </c>
      <c r="H5" s="30" t="inlineStr">
        <is>
          <t>Wohnquartier Abschlag 2</t>
        </is>
      </c>
      <c r="I5" s="45">
        <f>IF(B5="","",MONTH(B5))</f>
        <v/>
      </c>
      <c r="J5" s="45">
        <f>IF(B5="","",YEAR(B5))</f>
        <v/>
      </c>
      <c r="K5" s="3" t="n"/>
      <c r="L5" s="3" t="n"/>
      <c r="M5" s="3" t="n"/>
      <c r="N5" s="3" t="n"/>
      <c r="O5" s="3" t="n"/>
      <c r="P5" s="3" t="n"/>
    </row>
    <row r="6">
      <c r="A6" s="30" t="inlineStr">
        <is>
          <t>Z-003</t>
        </is>
      </c>
      <c r="B6" s="38" t="n">
        <v>46144</v>
      </c>
      <c r="C6" s="30" t="inlineStr">
        <is>
          <t>Eingang</t>
        </is>
      </c>
      <c r="D6" s="30" t="inlineStr">
        <is>
          <t>AR-26005</t>
        </is>
      </c>
      <c r="E6" s="30" t="inlineStr">
        <is>
          <t>K-1003</t>
        </is>
      </c>
      <c r="F6" s="34" t="n">
        <v>201249</v>
      </c>
      <c r="G6" s="30" t="inlineStr">
        <is>
          <t>Bank</t>
        </is>
      </c>
      <c r="H6" s="30" t="inlineStr">
        <is>
          <t>Kita Abschlag 1</t>
        </is>
      </c>
      <c r="I6" s="45">
        <f>IF(B6="","",MONTH(B6))</f>
        <v/>
      </c>
      <c r="J6" s="45">
        <f>IF(B6="","",YEAR(B6))</f>
        <v/>
      </c>
      <c r="K6" s="3" t="n"/>
      <c r="L6" s="3" t="n"/>
      <c r="M6" s="3" t="n"/>
      <c r="N6" s="3" t="n"/>
      <c r="O6" s="3" t="n"/>
      <c r="P6" s="3" t="n"/>
    </row>
    <row r="7">
      <c r="A7" s="30" t="inlineStr">
        <is>
          <t>Z-004</t>
        </is>
      </c>
      <c r="B7" s="38" t="n">
        <v>46214</v>
      </c>
      <c r="C7" s="30" t="inlineStr">
        <is>
          <t>Eingang</t>
        </is>
      </c>
      <c r="D7" s="30" t="inlineStr">
        <is>
          <t>AR-26007</t>
        </is>
      </c>
      <c r="E7" s="30" t="inlineStr">
        <is>
          <t>K-1002</t>
        </is>
      </c>
      <c r="F7" s="34" t="n">
        <v>248710</v>
      </c>
      <c r="G7" s="30" t="inlineStr">
        <is>
          <t>Bank</t>
        </is>
      </c>
      <c r="H7" s="30" t="inlineStr">
        <is>
          <t>Rathaus Abschlag 1</t>
        </is>
      </c>
      <c r="I7" s="45">
        <f>IF(B7="","",MONTH(B7))</f>
        <v/>
      </c>
      <c r="J7" s="45">
        <f>IF(B7="","",YEAR(B7))</f>
        <v/>
      </c>
    </row>
    <row r="8">
      <c r="A8" s="30" t="inlineStr">
        <is>
          <t>Z-005</t>
        </is>
      </c>
      <c r="B8" s="38" t="n">
        <v>46224</v>
      </c>
      <c r="C8" s="30" t="inlineStr">
        <is>
          <t>Eingang</t>
        </is>
      </c>
      <c r="D8" s="30" t="inlineStr">
        <is>
          <t>AR-26009</t>
        </is>
      </c>
      <c r="E8" s="30" t="inlineStr">
        <is>
          <t>K-1004</t>
        </is>
      </c>
      <c r="F8" s="34" t="n">
        <v>542640</v>
      </c>
      <c r="G8" s="30" t="inlineStr">
        <is>
          <t>Bank</t>
        </is>
      </c>
      <c r="H8" s="30" t="inlineStr">
        <is>
          <t>Halle Abschlag 1</t>
        </is>
      </c>
      <c r="I8" s="45">
        <f>IF(B8="","",MONTH(B8))</f>
        <v/>
      </c>
      <c r="J8" s="45">
        <f>IF(B8="","",YEAR(B8))</f>
        <v/>
      </c>
    </row>
    <row r="9">
      <c r="A9" s="30" t="inlineStr">
        <is>
          <t>Z-006</t>
        </is>
      </c>
      <c r="B9" s="38" t="n">
        <v>46063</v>
      </c>
      <c r="C9" s="30" t="inlineStr">
        <is>
          <t>Eingang</t>
        </is>
      </c>
      <c r="D9" s="30" t="inlineStr">
        <is>
          <t>AR-26011</t>
        </is>
      </c>
      <c r="E9" s="30" t="inlineStr">
        <is>
          <t>K-1005</t>
        </is>
      </c>
      <c r="F9" s="34" t="n">
        <v>94962</v>
      </c>
      <c r="G9" s="30" t="inlineStr">
        <is>
          <t>Bank</t>
        </is>
      </c>
      <c r="H9" s="30" t="inlineStr">
        <is>
          <t>EFH Abschlag 3</t>
        </is>
      </c>
      <c r="I9" s="45">
        <f>IF(B9="","",MONTH(B9))</f>
        <v/>
      </c>
      <c r="J9" s="45">
        <f>IF(B9="","",YEAR(B9))</f>
        <v/>
      </c>
    </row>
    <row r="10">
      <c r="A10" s="30" t="inlineStr">
        <is>
          <t>Z-007</t>
        </is>
      </c>
      <c r="B10" s="38" t="n">
        <v>46148</v>
      </c>
      <c r="C10" s="30" t="inlineStr">
        <is>
          <t>Eingang</t>
        </is>
      </c>
      <c r="D10" s="30" t="inlineStr">
        <is>
          <t>AR-26012</t>
        </is>
      </c>
      <c r="E10" s="30" t="inlineStr">
        <is>
          <t>K-1005</t>
        </is>
      </c>
      <c r="F10" s="34" t="n">
        <v>142443</v>
      </c>
      <c r="G10" s="30" t="inlineStr">
        <is>
          <t>Bank</t>
        </is>
      </c>
      <c r="H10" s="30" t="inlineStr">
        <is>
          <t>EFH Schluss</t>
        </is>
      </c>
      <c r="I10" s="45">
        <f>IF(B10="","",MONTH(B10))</f>
        <v/>
      </c>
      <c r="J10" s="45">
        <f>IF(B10="","",YEAR(B10))</f>
        <v/>
      </c>
    </row>
    <row r="11">
      <c r="A11" s="30" t="inlineStr">
        <is>
          <t>Z-008</t>
        </is>
      </c>
      <c r="B11" s="38" t="n">
        <v>46269</v>
      </c>
      <c r="C11" s="30" t="inlineStr">
        <is>
          <t>Eingang</t>
        </is>
      </c>
      <c r="D11" s="30" t="inlineStr">
        <is>
          <t>AR-26003</t>
        </is>
      </c>
      <c r="E11" s="30" t="inlineStr">
        <is>
          <t>K-1001</t>
        </is>
      </c>
      <c r="F11" s="34" t="n">
        <v>429570</v>
      </c>
      <c r="G11" s="30" t="inlineStr">
        <is>
          <t>Bank</t>
        </is>
      </c>
      <c r="H11" s="30" t="inlineStr">
        <is>
          <t>Wohnquartier Abschlag 3</t>
        </is>
      </c>
      <c r="I11" s="45">
        <f>IF(B11="","",MONTH(B11))</f>
        <v/>
      </c>
      <c r="J11" s="45">
        <f>IF(B11="","",YEAR(B11))</f>
        <v/>
      </c>
    </row>
    <row r="12">
      <c r="A12" s="30" t="inlineStr">
        <is>
          <t>Z-009</t>
        </is>
      </c>
      <c r="B12" s="38" t="n">
        <v>46246</v>
      </c>
      <c r="C12" s="30" t="inlineStr">
        <is>
          <t>Ausgang</t>
        </is>
      </c>
      <c r="D12" s="30" t="inlineStr">
        <is>
          <t>ER-5401</t>
        </is>
      </c>
      <c r="E12" s="30" t="inlineStr">
        <is>
          <t>L-2001</t>
        </is>
      </c>
      <c r="F12" s="34" t="n">
        <v>4094.79</v>
      </c>
      <c r="G12" s="30" t="inlineStr">
        <is>
          <t>Bank</t>
        </is>
      </c>
      <c r="H12" s="30" t="inlineStr">
        <is>
          <t>Estrich</t>
        </is>
      </c>
      <c r="I12" s="45">
        <f>IF(B12="","",MONTH(B12))</f>
        <v/>
      </c>
      <c r="J12" s="45">
        <f>IF(B12="","",YEAR(B12))</f>
        <v/>
      </c>
    </row>
    <row r="13">
      <c r="A13" s="30" t="inlineStr">
        <is>
          <t>Z-010</t>
        </is>
      </c>
      <c r="B13" s="38" t="n">
        <v>46269</v>
      </c>
      <c r="C13" s="30" t="inlineStr">
        <is>
          <t>Ausgang</t>
        </is>
      </c>
      <c r="D13" s="30" t="inlineStr">
        <is>
          <t>ER-5512</t>
        </is>
      </c>
      <c r="E13" s="30" t="inlineStr">
        <is>
          <t>L-2001</t>
        </is>
      </c>
      <c r="F13" s="34" t="n">
        <v>14532.28</v>
      </c>
      <c r="G13" s="30" t="inlineStr">
        <is>
          <t>Bank</t>
        </is>
      </c>
      <c r="H13" s="30" t="inlineStr">
        <is>
          <t>Transportbeton</t>
        </is>
      </c>
      <c r="I13" s="45">
        <f>IF(B13="","",MONTH(B13))</f>
        <v/>
      </c>
      <c r="J13" s="45">
        <f>IF(B13="","",YEAR(B13))</f>
        <v/>
      </c>
    </row>
    <row r="14">
      <c r="A14" s="30" t="inlineStr">
        <is>
          <t>Z-011</t>
        </is>
      </c>
      <c r="B14" s="38" t="n">
        <v>46262</v>
      </c>
      <c r="C14" s="30" t="inlineStr">
        <is>
          <t>Ausgang</t>
        </is>
      </c>
      <c r="D14" s="30" t="inlineStr">
        <is>
          <t>ER-5518</t>
        </is>
      </c>
      <c r="E14" s="30" t="inlineStr">
        <is>
          <t>L-2002</t>
        </is>
      </c>
      <c r="F14" s="34" t="n">
        <v>14043.56</v>
      </c>
      <c r="G14" s="30" t="inlineStr">
        <is>
          <t>Bank</t>
        </is>
      </c>
      <c r="H14" s="30" t="inlineStr">
        <is>
          <t>Stahl inkl. Skonto</t>
        </is>
      </c>
      <c r="I14" s="45">
        <f>IF(B14="","",MONTH(B14))</f>
        <v/>
      </c>
      <c r="J14" s="45">
        <f>IF(B14="","",YEAR(B14))</f>
        <v/>
      </c>
    </row>
    <row r="15">
      <c r="A15" s="30" t="inlineStr">
        <is>
          <t>Z-012</t>
        </is>
      </c>
      <c r="B15" s="38" t="n">
        <v>46275</v>
      </c>
      <c r="C15" s="30" t="inlineStr">
        <is>
          <t>Ausgang</t>
        </is>
      </c>
      <c r="D15" s="30" t="inlineStr">
        <is>
          <t>ER-5555</t>
        </is>
      </c>
      <c r="E15" s="30" t="inlineStr">
        <is>
          <t>L-2004</t>
        </is>
      </c>
      <c r="F15" s="34" t="n">
        <v>23086</v>
      </c>
      <c r="G15" s="30" t="inlineStr">
        <is>
          <t>Bank</t>
        </is>
      </c>
      <c r="H15" s="30" t="inlineStr">
        <is>
          <t>HLS Rathaus</t>
        </is>
      </c>
      <c r="I15" s="45">
        <f>IF(B15="","",MONTH(B15))</f>
        <v/>
      </c>
      <c r="J15" s="45">
        <f>IF(B15="","",YEAR(B15))</f>
        <v/>
      </c>
    </row>
    <row r="16">
      <c r="A16" s="30" t="inlineStr">
        <is>
          <t>Z-013</t>
        </is>
      </c>
      <c r="B16" s="38" t="n">
        <v>46265</v>
      </c>
      <c r="C16" s="30" t="inlineStr">
        <is>
          <t>Ausgang</t>
        </is>
      </c>
      <c r="D16" s="30" t="inlineStr"/>
      <c r="E16" s="30" t="inlineStr">
        <is>
          <t>Personal</t>
        </is>
      </c>
      <c r="F16" s="34" t="n">
        <v>68420</v>
      </c>
      <c r="G16" s="30" t="inlineStr">
        <is>
          <t>Bank</t>
        </is>
      </c>
      <c r="H16" s="30" t="inlineStr">
        <is>
          <t>Löhne August</t>
        </is>
      </c>
      <c r="I16" s="45">
        <f>IF(B16="","",MONTH(B16))</f>
        <v/>
      </c>
      <c r="J16" s="45">
        <f>IF(B16="","",YEAR(B16))</f>
        <v/>
      </c>
    </row>
    <row r="17">
      <c r="A17" s="30" t="inlineStr">
        <is>
          <t>Z-014</t>
        </is>
      </c>
      <c r="B17" s="38" t="n">
        <v>46249</v>
      </c>
      <c r="C17" s="30" t="inlineStr">
        <is>
          <t>Ausgang</t>
        </is>
      </c>
      <c r="D17" s="30" t="inlineStr"/>
      <c r="E17" s="30" t="inlineStr">
        <is>
          <t>Finanzamt</t>
        </is>
      </c>
      <c r="F17" s="34" t="n">
        <v>18640</v>
      </c>
      <c r="G17" s="30" t="inlineStr">
        <is>
          <t>Bank</t>
        </is>
      </c>
      <c r="H17" s="30" t="inlineStr">
        <is>
          <t>USt-Vorauszahlung Juli</t>
        </is>
      </c>
      <c r="I17" s="45">
        <f>IF(B17="","",MONTH(B17))</f>
        <v/>
      </c>
      <c r="J17" s="45">
        <f>IF(B17="","",YEAR(B17))</f>
        <v/>
      </c>
    </row>
    <row r="18">
      <c r="A18" s="30" t="inlineStr">
        <is>
          <t>Z-015</t>
        </is>
      </c>
      <c r="B18" s="38" t="n">
        <v>46295</v>
      </c>
      <c r="C18" s="30" t="inlineStr">
        <is>
          <t>Ausgang</t>
        </is>
      </c>
      <c r="D18" s="30" t="inlineStr"/>
      <c r="E18" s="30" t="inlineStr">
        <is>
          <t>Personal</t>
        </is>
      </c>
      <c r="F18" s="34" t="n">
        <v>69110</v>
      </c>
      <c r="G18" s="30" t="inlineStr">
        <is>
          <t>Bank</t>
        </is>
      </c>
      <c r="H18" s="30" t="inlineStr">
        <is>
          <t>Löhne September</t>
        </is>
      </c>
      <c r="I18" s="45">
        <f>IF(B18="","",MONTH(B18))</f>
        <v/>
      </c>
      <c r="J18" s="45">
        <f>IF(B18="","",YEAR(B18))</f>
        <v/>
      </c>
    </row>
    <row r="19">
      <c r="A19" s="30" t="inlineStr">
        <is>
          <t>Z-016</t>
        </is>
      </c>
      <c r="B19" s="38" t="n">
        <v>46277</v>
      </c>
      <c r="C19" s="30" t="inlineStr">
        <is>
          <t>Ausgang</t>
        </is>
      </c>
      <c r="D19" s="30" t="inlineStr"/>
      <c r="E19" s="30" t="inlineStr">
        <is>
          <t>Sozialkasse</t>
        </is>
      </c>
      <c r="F19" s="34" t="n">
        <v>12480</v>
      </c>
      <c r="G19" s="30" t="inlineStr">
        <is>
          <t>Bank</t>
        </is>
      </c>
      <c r="H19" s="30" t="inlineStr">
        <is>
          <t>Soka-Bau / BG Bau</t>
        </is>
      </c>
      <c r="I19" s="45">
        <f>IF(B19="","",MONTH(B19))</f>
        <v/>
      </c>
      <c r="J19" s="45">
        <f>IF(B19="","",YEAR(B19))</f>
        <v/>
      </c>
    </row>
    <row r="20">
      <c r="A20" s="30" t="inlineStr"/>
      <c r="B20" s="38" t="inlineStr"/>
      <c r="C20" s="30" t="inlineStr"/>
      <c r="D20" s="30" t="inlineStr"/>
      <c r="E20" s="30" t="inlineStr"/>
      <c r="F20" s="34" t="inlineStr"/>
      <c r="G20" s="30" t="inlineStr"/>
      <c r="H20" s="30" t="inlineStr"/>
      <c r="I20" s="45">
        <f>IF(B20="","",MONTH(B20))</f>
        <v/>
      </c>
      <c r="J20" s="45">
        <f>IF(B20="","",YEAR(B20))</f>
        <v/>
      </c>
    </row>
    <row r="21">
      <c r="A21" s="30" t="inlineStr"/>
      <c r="B21" s="38" t="inlineStr"/>
      <c r="C21" s="30" t="inlineStr"/>
      <c r="D21" s="30" t="inlineStr"/>
      <c r="E21" s="30" t="inlineStr"/>
      <c r="F21" s="34" t="inlineStr"/>
      <c r="G21" s="30" t="inlineStr"/>
      <c r="H21" s="30" t="inlineStr"/>
      <c r="I21" s="45">
        <f>IF(B21="","",MONTH(B21))</f>
        <v/>
      </c>
      <c r="J21" s="45">
        <f>IF(B21="","",YEAR(B21))</f>
        <v/>
      </c>
    </row>
    <row r="22">
      <c r="A22" s="30" t="inlineStr"/>
      <c r="B22" s="38" t="inlineStr"/>
      <c r="C22" s="30" t="inlineStr"/>
      <c r="D22" s="30" t="inlineStr"/>
      <c r="E22" s="30" t="inlineStr"/>
      <c r="F22" s="34" t="inlineStr"/>
      <c r="G22" s="30" t="inlineStr"/>
      <c r="H22" s="30" t="inlineStr"/>
      <c r="I22" s="45">
        <f>IF(B22="","",MONTH(B22))</f>
        <v/>
      </c>
      <c r="J22" s="45">
        <f>IF(B22="","",YEAR(B22))</f>
        <v/>
      </c>
    </row>
    <row r="23">
      <c r="A23" s="30" t="inlineStr"/>
      <c r="B23" s="38" t="inlineStr"/>
      <c r="C23" s="30" t="inlineStr"/>
      <c r="D23" s="30" t="inlineStr"/>
      <c r="E23" s="30" t="inlineStr"/>
      <c r="F23" s="34" t="inlineStr"/>
      <c r="G23" s="30" t="inlineStr"/>
      <c r="H23" s="30" t="inlineStr"/>
      <c r="I23" s="45">
        <f>IF(B23="","",MONTH(B23))</f>
        <v/>
      </c>
      <c r="J23" s="45">
        <f>IF(B23="","",YEAR(B23))</f>
        <v/>
      </c>
    </row>
    <row r="24">
      <c r="A24" s="30" t="inlineStr"/>
      <c r="B24" s="38" t="inlineStr"/>
      <c r="C24" s="30" t="inlineStr"/>
      <c r="D24" s="30" t="inlineStr"/>
      <c r="E24" s="30" t="inlineStr"/>
      <c r="F24" s="34" t="inlineStr"/>
      <c r="G24" s="30" t="inlineStr"/>
      <c r="H24" s="30" t="inlineStr"/>
      <c r="I24" s="45">
        <f>IF(B24="","",MONTH(B24))</f>
        <v/>
      </c>
      <c r="J24" s="45">
        <f>IF(B24="","",YEAR(B24))</f>
        <v/>
      </c>
    </row>
    <row r="25">
      <c r="A25" s="30" t="inlineStr"/>
      <c r="B25" s="38" t="inlineStr"/>
      <c r="C25" s="30" t="inlineStr"/>
      <c r="D25" s="30" t="inlineStr"/>
      <c r="E25" s="30" t="inlineStr"/>
      <c r="F25" s="34" t="inlineStr"/>
      <c r="G25" s="30" t="inlineStr"/>
      <c r="H25" s="30" t="inlineStr"/>
      <c r="I25" s="45">
        <f>IF(B25="","",MONTH(B25))</f>
        <v/>
      </c>
      <c r="J25" s="45">
        <f>IF(B25="","",YEAR(B25))</f>
        <v/>
      </c>
    </row>
    <row r="26">
      <c r="A26" s="30" t="inlineStr"/>
      <c r="B26" s="38" t="inlineStr"/>
      <c r="C26" s="30" t="inlineStr"/>
      <c r="D26" s="30" t="inlineStr"/>
      <c r="E26" s="30" t="inlineStr"/>
      <c r="F26" s="34" t="inlineStr"/>
      <c r="G26" s="30" t="inlineStr"/>
      <c r="H26" s="30" t="inlineStr"/>
      <c r="I26" s="45">
        <f>IF(B26="","",MONTH(B26))</f>
        <v/>
      </c>
      <c r="J26" s="45">
        <f>IF(B26="","",YEAR(B26))</f>
        <v/>
      </c>
    </row>
    <row r="27">
      <c r="A27" s="30" t="inlineStr"/>
      <c r="B27" s="38" t="inlineStr"/>
      <c r="C27" s="30" t="inlineStr"/>
      <c r="D27" s="30" t="inlineStr"/>
      <c r="E27" s="30" t="inlineStr"/>
      <c r="F27" s="34" t="inlineStr"/>
      <c r="G27" s="30" t="inlineStr"/>
      <c r="H27" s="30" t="inlineStr"/>
      <c r="I27" s="45">
        <f>IF(B27="","",MONTH(B27))</f>
        <v/>
      </c>
      <c r="J27" s="45">
        <f>IF(B27="","",YEAR(B27))</f>
        <v/>
      </c>
    </row>
    <row r="28">
      <c r="A28" s="30" t="inlineStr"/>
      <c r="B28" s="38" t="inlineStr"/>
      <c r="C28" s="30" t="inlineStr"/>
      <c r="D28" s="30" t="inlineStr"/>
      <c r="E28" s="30" t="inlineStr"/>
      <c r="F28" s="34" t="inlineStr"/>
      <c r="G28" s="30" t="inlineStr"/>
      <c r="H28" s="30" t="inlineStr"/>
      <c r="I28" s="45">
        <f>IF(B28="","",MONTH(B28))</f>
        <v/>
      </c>
      <c r="J28" s="45">
        <f>IF(B28="","",YEAR(B28))</f>
        <v/>
      </c>
    </row>
    <row r="29">
      <c r="A29" s="30" t="inlineStr"/>
      <c r="B29" s="38" t="inlineStr"/>
      <c r="C29" s="30" t="inlineStr"/>
      <c r="D29" s="30" t="inlineStr"/>
      <c r="E29" s="30" t="inlineStr"/>
      <c r="F29" s="34" t="inlineStr"/>
      <c r="G29" s="30" t="inlineStr"/>
      <c r="H29" s="30" t="inlineStr"/>
      <c r="I29" s="45">
        <f>IF(B29="","",MONTH(B29))</f>
        <v/>
      </c>
      <c r="J29" s="45">
        <f>IF(B29="","",YEAR(B29))</f>
        <v/>
      </c>
    </row>
    <row r="30">
      <c r="A30" s="30" t="inlineStr"/>
      <c r="B30" s="38" t="inlineStr"/>
      <c r="C30" s="30" t="inlineStr"/>
      <c r="D30" s="30" t="inlineStr"/>
      <c r="E30" s="30" t="inlineStr"/>
      <c r="F30" s="34" t="inlineStr"/>
      <c r="G30" s="30" t="inlineStr"/>
      <c r="H30" s="30" t="inlineStr"/>
      <c r="I30" s="45">
        <f>IF(B30="","",MONTH(B30))</f>
        <v/>
      </c>
      <c r="J30" s="45">
        <f>IF(B30="","",YEAR(B30))</f>
        <v/>
      </c>
    </row>
    <row r="31">
      <c r="A31" s="30" t="inlineStr"/>
      <c r="B31" s="38" t="inlineStr"/>
      <c r="C31" s="30" t="inlineStr"/>
      <c r="D31" s="30" t="inlineStr"/>
      <c r="E31" s="30" t="inlineStr"/>
      <c r="F31" s="34" t="inlineStr"/>
      <c r="G31" s="30" t="inlineStr"/>
      <c r="H31" s="30" t="inlineStr"/>
      <c r="I31" s="45">
        <f>IF(B31="","",MONTH(B31))</f>
        <v/>
      </c>
      <c r="J31" s="45">
        <f>IF(B31="","",YEAR(B31))</f>
        <v/>
      </c>
    </row>
    <row r="32">
      <c r="A32" s="30" t="inlineStr"/>
      <c r="B32" s="38" t="inlineStr"/>
      <c r="C32" s="30" t="inlineStr"/>
      <c r="D32" s="30" t="inlineStr"/>
      <c r="E32" s="30" t="inlineStr"/>
      <c r="F32" s="34" t="inlineStr"/>
      <c r="G32" s="30" t="inlineStr"/>
      <c r="H32" s="30" t="inlineStr"/>
      <c r="I32" s="45">
        <f>IF(B32="","",MONTH(B32))</f>
        <v/>
      </c>
      <c r="J32" s="45">
        <f>IF(B32="","",YEAR(B32))</f>
        <v/>
      </c>
    </row>
    <row r="33">
      <c r="A33" s="30" t="inlineStr"/>
      <c r="B33" s="38" t="inlineStr"/>
      <c r="C33" s="30" t="inlineStr"/>
      <c r="D33" s="30" t="inlineStr"/>
      <c r="E33" s="30" t="inlineStr"/>
      <c r="F33" s="34" t="inlineStr"/>
      <c r="G33" s="30" t="inlineStr"/>
      <c r="H33" s="30" t="inlineStr"/>
      <c r="I33" s="45">
        <f>IF(B33="","",MONTH(B33))</f>
        <v/>
      </c>
      <c r="J33" s="45">
        <f>IF(B33="","",YEAR(B33))</f>
        <v/>
      </c>
    </row>
    <row r="34">
      <c r="A34" s="30" t="inlineStr"/>
      <c r="B34" s="38" t="inlineStr"/>
      <c r="C34" s="30" t="inlineStr"/>
      <c r="D34" s="30" t="inlineStr"/>
      <c r="E34" s="30" t="inlineStr"/>
      <c r="F34" s="34" t="inlineStr"/>
      <c r="G34" s="30" t="inlineStr"/>
      <c r="H34" s="30" t="inlineStr"/>
      <c r="I34" s="45">
        <f>IF(B34="","",MONTH(B34))</f>
        <v/>
      </c>
      <c r="J34" s="45">
        <f>IF(B34="","",YEAR(B34))</f>
        <v/>
      </c>
    </row>
    <row r="35">
      <c r="A35" s="30" t="inlineStr"/>
      <c r="B35" s="38" t="inlineStr"/>
      <c r="C35" s="30" t="inlineStr"/>
      <c r="D35" s="30" t="inlineStr"/>
      <c r="E35" s="30" t="inlineStr"/>
      <c r="F35" s="34" t="inlineStr"/>
      <c r="G35" s="30" t="inlineStr"/>
      <c r="H35" s="30" t="inlineStr"/>
      <c r="I35" s="45">
        <f>IF(B35="","",MONTH(B35))</f>
        <v/>
      </c>
      <c r="J35" s="45">
        <f>IF(B35="","",YEAR(B35))</f>
        <v/>
      </c>
    </row>
    <row r="36">
      <c r="A36" s="30" t="inlineStr"/>
      <c r="B36" s="38" t="inlineStr"/>
      <c r="C36" s="30" t="inlineStr"/>
      <c r="D36" s="30" t="inlineStr"/>
      <c r="E36" s="30" t="inlineStr"/>
      <c r="F36" s="34" t="inlineStr"/>
      <c r="G36" s="30" t="inlineStr"/>
      <c r="H36" s="30" t="inlineStr"/>
      <c r="I36" s="45">
        <f>IF(B36="","",MONTH(B36))</f>
        <v/>
      </c>
      <c r="J36" s="45">
        <f>IF(B36="","",YEAR(B36))</f>
        <v/>
      </c>
    </row>
    <row r="37">
      <c r="A37" s="30" t="inlineStr"/>
      <c r="B37" s="38" t="inlineStr"/>
      <c r="C37" s="30" t="inlineStr"/>
      <c r="D37" s="30" t="inlineStr"/>
      <c r="E37" s="30" t="inlineStr"/>
      <c r="F37" s="34" t="inlineStr"/>
      <c r="G37" s="30" t="inlineStr"/>
      <c r="H37" s="30" t="inlineStr"/>
      <c r="I37" s="45">
        <f>IF(B37="","",MONTH(B37))</f>
        <v/>
      </c>
      <c r="J37" s="45">
        <f>IF(B37="","",YEAR(B37))</f>
        <v/>
      </c>
    </row>
    <row r="38">
      <c r="A38" s="30" t="inlineStr"/>
      <c r="B38" s="38" t="inlineStr"/>
      <c r="C38" s="30" t="inlineStr"/>
      <c r="D38" s="30" t="inlineStr"/>
      <c r="E38" s="30" t="inlineStr"/>
      <c r="F38" s="34" t="inlineStr"/>
      <c r="G38" s="30" t="inlineStr"/>
      <c r="H38" s="30" t="inlineStr"/>
      <c r="I38" s="45">
        <f>IF(B38="","",MONTH(B38))</f>
        <v/>
      </c>
      <c r="J38" s="45">
        <f>IF(B38="","",YEAR(B38))</f>
        <v/>
      </c>
    </row>
    <row r="39">
      <c r="A39" s="30" t="inlineStr"/>
      <c r="B39" s="38" t="inlineStr"/>
      <c r="C39" s="30" t="inlineStr"/>
      <c r="D39" s="30" t="inlineStr"/>
      <c r="E39" s="30" t="inlineStr"/>
      <c r="F39" s="34" t="inlineStr"/>
      <c r="G39" s="30" t="inlineStr"/>
      <c r="H39" s="30" t="inlineStr"/>
      <c r="I39" s="45">
        <f>IF(B39="","",MONTH(B39))</f>
        <v/>
      </c>
      <c r="J39" s="45">
        <f>IF(B39="","",YEAR(B39))</f>
        <v/>
      </c>
    </row>
    <row r="40">
      <c r="A40" s="30" t="inlineStr"/>
      <c r="B40" s="38" t="inlineStr"/>
      <c r="C40" s="30" t="inlineStr"/>
      <c r="D40" s="30" t="inlineStr"/>
      <c r="E40" s="30" t="inlineStr"/>
      <c r="F40" s="34" t="inlineStr"/>
      <c r="G40" s="30" t="inlineStr"/>
      <c r="H40" s="30" t="inlineStr"/>
      <c r="I40" s="45">
        <f>IF(B40="","",MONTH(B40))</f>
        <v/>
      </c>
      <c r="J40" s="45">
        <f>IF(B40="","",YEAR(B40))</f>
        <v/>
      </c>
    </row>
    <row r="41">
      <c r="A41" s="30" t="inlineStr"/>
      <c r="B41" s="38" t="inlineStr"/>
      <c r="C41" s="30" t="inlineStr"/>
      <c r="D41" s="30" t="inlineStr"/>
      <c r="E41" s="30" t="inlineStr"/>
      <c r="F41" s="34" t="inlineStr"/>
      <c r="G41" s="30" t="inlineStr"/>
      <c r="H41" s="30" t="inlineStr"/>
      <c r="I41" s="45">
        <f>IF(B41="","",MONTH(B41))</f>
        <v/>
      </c>
      <c r="J41" s="45">
        <f>IF(B41="","",YEAR(B41))</f>
        <v/>
      </c>
    </row>
    <row r="42">
      <c r="A42" s="30" t="inlineStr"/>
      <c r="B42" s="38" t="inlineStr"/>
      <c r="C42" s="30" t="inlineStr"/>
      <c r="D42" s="30" t="inlineStr"/>
      <c r="E42" s="30" t="inlineStr"/>
      <c r="F42" s="34" t="inlineStr"/>
      <c r="G42" s="30" t="inlineStr"/>
      <c r="H42" s="30" t="inlineStr"/>
      <c r="I42" s="45">
        <f>IF(B42="","",MONTH(B42))</f>
        <v/>
      </c>
      <c r="J42" s="45">
        <f>IF(B42="","",YEAR(B42))</f>
        <v/>
      </c>
    </row>
    <row r="43">
      <c r="A43" s="30" t="inlineStr"/>
      <c r="B43" s="38" t="inlineStr"/>
      <c r="C43" s="30" t="inlineStr"/>
      <c r="D43" s="30" t="inlineStr"/>
      <c r="E43" s="30" t="inlineStr"/>
      <c r="F43" s="34" t="inlineStr"/>
      <c r="G43" s="30" t="inlineStr"/>
      <c r="H43" s="30" t="inlineStr"/>
      <c r="I43" s="45">
        <f>IF(B43="","",MONTH(B43))</f>
        <v/>
      </c>
      <c r="J43" s="45">
        <f>IF(B43="","",YEAR(B43))</f>
        <v/>
      </c>
    </row>
    <row r="44">
      <c r="A44" s="30" t="inlineStr"/>
      <c r="B44" s="38" t="inlineStr"/>
      <c r="C44" s="30" t="inlineStr"/>
      <c r="D44" s="30" t="inlineStr"/>
      <c r="E44" s="30" t="inlineStr"/>
      <c r="F44" s="34" t="inlineStr"/>
      <c r="G44" s="30" t="inlineStr"/>
      <c r="H44" s="30" t="inlineStr"/>
      <c r="I44" s="45">
        <f>IF(B44="","",MONTH(B44))</f>
        <v/>
      </c>
      <c r="J44" s="45">
        <f>IF(B44="","",YEAR(B44))</f>
        <v/>
      </c>
    </row>
    <row r="45">
      <c r="A45" s="30" t="inlineStr"/>
      <c r="B45" s="38" t="inlineStr"/>
      <c r="C45" s="30" t="inlineStr"/>
      <c r="D45" s="30" t="inlineStr"/>
      <c r="E45" s="30" t="inlineStr"/>
      <c r="F45" s="34" t="inlineStr"/>
      <c r="G45" s="30" t="inlineStr"/>
      <c r="H45" s="30" t="inlineStr"/>
      <c r="I45" s="45">
        <f>IF(B45="","",MONTH(B45))</f>
        <v/>
      </c>
      <c r="J45" s="45">
        <f>IF(B45="","",YEAR(B45))</f>
        <v/>
      </c>
    </row>
    <row r="46">
      <c r="A46" s="30" t="inlineStr"/>
      <c r="B46" s="38" t="inlineStr"/>
      <c r="C46" s="30" t="inlineStr"/>
      <c r="D46" s="30" t="inlineStr"/>
      <c r="E46" s="30" t="inlineStr"/>
      <c r="F46" s="34" t="inlineStr"/>
      <c r="G46" s="30" t="inlineStr"/>
      <c r="H46" s="30" t="inlineStr"/>
      <c r="I46" s="45">
        <f>IF(B46="","",MONTH(B46))</f>
        <v/>
      </c>
      <c r="J46" s="45">
        <f>IF(B46="","",YEAR(B46))</f>
        <v/>
      </c>
    </row>
    <row r="47">
      <c r="A47" s="30" t="inlineStr"/>
      <c r="B47" s="38" t="inlineStr"/>
      <c r="C47" s="30" t="inlineStr"/>
      <c r="D47" s="30" t="inlineStr"/>
      <c r="E47" s="30" t="inlineStr"/>
      <c r="F47" s="34" t="inlineStr"/>
      <c r="G47" s="30" t="inlineStr"/>
      <c r="H47" s="30" t="inlineStr"/>
      <c r="I47" s="45">
        <f>IF(B47="","",MONTH(B47))</f>
        <v/>
      </c>
      <c r="J47" s="45">
        <f>IF(B47="","",YEAR(B47))</f>
        <v/>
      </c>
    </row>
    <row r="48">
      <c r="A48" s="30" t="inlineStr"/>
      <c r="B48" s="38" t="inlineStr"/>
      <c r="C48" s="30" t="inlineStr"/>
      <c r="D48" s="30" t="inlineStr"/>
      <c r="E48" s="30" t="inlineStr"/>
      <c r="F48" s="34" t="inlineStr"/>
      <c r="G48" s="30" t="inlineStr"/>
      <c r="H48" s="30" t="inlineStr"/>
      <c r="I48" s="45">
        <f>IF(B48="","",MONTH(B48))</f>
        <v/>
      </c>
      <c r="J48" s="45">
        <f>IF(B48="","",YEAR(B48))</f>
        <v/>
      </c>
    </row>
    <row r="49">
      <c r="A49" s="30" t="inlineStr"/>
      <c r="B49" s="38" t="inlineStr"/>
      <c r="C49" s="30" t="inlineStr"/>
      <c r="D49" s="30" t="inlineStr"/>
      <c r="E49" s="30" t="inlineStr"/>
      <c r="F49" s="34" t="inlineStr"/>
      <c r="G49" s="30" t="inlineStr"/>
      <c r="H49" s="30" t="inlineStr"/>
      <c r="I49" s="45">
        <f>IF(B49="","",MONTH(B49))</f>
        <v/>
      </c>
      <c r="J49" s="45">
        <f>IF(B49="","",YEAR(B49))</f>
        <v/>
      </c>
    </row>
    <row r="50">
      <c r="A50" s="30" t="inlineStr"/>
      <c r="B50" s="38" t="inlineStr"/>
      <c r="C50" s="30" t="inlineStr"/>
      <c r="D50" s="30" t="inlineStr"/>
      <c r="E50" s="30" t="inlineStr"/>
      <c r="F50" s="34" t="inlineStr"/>
      <c r="G50" s="30" t="inlineStr"/>
      <c r="H50" s="30" t="inlineStr"/>
      <c r="I50" s="45">
        <f>IF(B50="","",MONTH(B50))</f>
        <v/>
      </c>
      <c r="J50" s="45">
        <f>IF(B50="","",YEAR(B50))</f>
        <v/>
      </c>
    </row>
    <row r="51">
      <c r="A51" s="30" t="inlineStr"/>
      <c r="B51" s="38" t="inlineStr"/>
      <c r="C51" s="30" t="inlineStr"/>
      <c r="D51" s="30" t="inlineStr"/>
      <c r="E51" s="30" t="inlineStr"/>
      <c r="F51" s="34" t="inlineStr"/>
      <c r="G51" s="30" t="inlineStr"/>
      <c r="H51" s="30" t="inlineStr"/>
      <c r="I51" s="45">
        <f>IF(B51="","",MONTH(B51))</f>
        <v/>
      </c>
      <c r="J51" s="45">
        <f>IF(B51="","",YEAR(B51))</f>
        <v/>
      </c>
    </row>
    <row r="52">
      <c r="A52" s="30" t="inlineStr"/>
      <c r="B52" s="38" t="inlineStr"/>
      <c r="C52" s="30" t="inlineStr"/>
      <c r="D52" s="30" t="inlineStr"/>
      <c r="E52" s="30" t="inlineStr"/>
      <c r="F52" s="34" t="inlineStr"/>
      <c r="G52" s="30" t="inlineStr"/>
      <c r="H52" s="30" t="inlineStr"/>
      <c r="I52" s="45">
        <f>IF(B52="","",MONTH(B52))</f>
        <v/>
      </c>
      <c r="J52" s="45">
        <f>IF(B52="","",YEAR(B52))</f>
        <v/>
      </c>
    </row>
    <row r="53">
      <c r="A53" s="30" t="inlineStr"/>
      <c r="B53" s="38" t="inlineStr"/>
      <c r="C53" s="30" t="inlineStr"/>
      <c r="D53" s="30" t="inlineStr"/>
      <c r="E53" s="30" t="inlineStr"/>
      <c r="F53" s="34" t="inlineStr"/>
      <c r="G53" s="30" t="inlineStr"/>
      <c r="H53" s="30" t="inlineStr"/>
      <c r="I53" s="45">
        <f>IF(B53="","",MONTH(B53))</f>
        <v/>
      </c>
      <c r="J53" s="45">
        <f>IF(B53="","",YEAR(B53))</f>
        <v/>
      </c>
    </row>
    <row r="54">
      <c r="A54" s="30" t="inlineStr"/>
      <c r="B54" s="38" t="inlineStr"/>
      <c r="C54" s="30" t="inlineStr"/>
      <c r="D54" s="30" t="inlineStr"/>
      <c r="E54" s="30" t="inlineStr"/>
      <c r="F54" s="34" t="inlineStr"/>
      <c r="G54" s="30" t="inlineStr"/>
      <c r="H54" s="30" t="inlineStr"/>
      <c r="I54" s="45">
        <f>IF(B54="","",MONTH(B54))</f>
        <v/>
      </c>
      <c r="J54" s="45">
        <f>IF(B54="","",YEAR(B54))</f>
        <v/>
      </c>
    </row>
    <row r="55">
      <c r="A55" s="30" t="inlineStr"/>
      <c r="B55" s="38" t="inlineStr"/>
      <c r="C55" s="30" t="inlineStr"/>
      <c r="D55" s="30" t="inlineStr"/>
      <c r="E55" s="30" t="inlineStr"/>
      <c r="F55" s="34" t="inlineStr"/>
      <c r="G55" s="30" t="inlineStr"/>
      <c r="H55" s="30" t="inlineStr"/>
      <c r="I55" s="45">
        <f>IF(B55="","",MONTH(B55))</f>
        <v/>
      </c>
      <c r="J55" s="45">
        <f>IF(B55="","",YEAR(B55))</f>
        <v/>
      </c>
    </row>
    <row r="56">
      <c r="A56" s="30" t="inlineStr"/>
      <c r="B56" s="38" t="inlineStr"/>
      <c r="C56" s="30" t="inlineStr"/>
      <c r="D56" s="30" t="inlineStr"/>
      <c r="E56" s="30" t="inlineStr"/>
      <c r="F56" s="34" t="inlineStr"/>
      <c r="G56" s="30" t="inlineStr"/>
      <c r="H56" s="30" t="inlineStr"/>
      <c r="I56" s="45">
        <f>IF(B56="","",MONTH(B56))</f>
        <v/>
      </c>
      <c r="J56" s="45">
        <f>IF(B56="","",YEAR(B56))</f>
        <v/>
      </c>
    </row>
    <row r="57">
      <c r="A57" s="30" t="inlineStr"/>
      <c r="B57" s="38" t="inlineStr"/>
      <c r="C57" s="30" t="inlineStr"/>
      <c r="D57" s="30" t="inlineStr"/>
      <c r="E57" s="30" t="inlineStr"/>
      <c r="F57" s="34" t="inlineStr"/>
      <c r="G57" s="30" t="inlineStr"/>
      <c r="H57" s="30" t="inlineStr"/>
      <c r="I57" s="45">
        <f>IF(B57="","",MONTH(B57))</f>
        <v/>
      </c>
      <c r="J57" s="45">
        <f>IF(B57="","",YEAR(B57))</f>
        <v/>
      </c>
    </row>
    <row r="58">
      <c r="A58" s="30" t="inlineStr"/>
      <c r="B58" s="38" t="inlineStr"/>
      <c r="C58" s="30" t="inlineStr"/>
      <c r="D58" s="30" t="inlineStr"/>
      <c r="E58" s="30" t="inlineStr"/>
      <c r="F58" s="34" t="inlineStr"/>
      <c r="G58" s="30" t="inlineStr"/>
      <c r="H58" s="30" t="inlineStr"/>
      <c r="I58" s="45">
        <f>IF(B58="","",MONTH(B58))</f>
        <v/>
      </c>
      <c r="J58" s="45">
        <f>IF(B58="","",YEAR(B58))</f>
        <v/>
      </c>
    </row>
    <row r="59">
      <c r="A59" s="30" t="inlineStr"/>
      <c r="B59" s="38" t="inlineStr"/>
      <c r="C59" s="30" t="inlineStr"/>
      <c r="D59" s="30" t="inlineStr"/>
      <c r="E59" s="30" t="inlineStr"/>
      <c r="F59" s="34" t="inlineStr"/>
      <c r="G59" s="30" t="inlineStr"/>
      <c r="H59" s="30" t="inlineStr"/>
      <c r="I59" s="45">
        <f>IF(B59="","",MONTH(B59))</f>
        <v/>
      </c>
      <c r="J59" s="45">
        <f>IF(B59="","",YEAR(B59))</f>
        <v/>
      </c>
    </row>
    <row r="60">
      <c r="A60" s="30" t="inlineStr"/>
      <c r="B60" s="38" t="inlineStr"/>
      <c r="C60" s="30" t="inlineStr"/>
      <c r="D60" s="30" t="inlineStr"/>
      <c r="E60" s="30" t="inlineStr"/>
      <c r="F60" s="34" t="inlineStr"/>
      <c r="G60" s="30" t="inlineStr"/>
      <c r="H60" s="30" t="inlineStr"/>
      <c r="I60" s="45">
        <f>IF(B60="","",MONTH(B60))</f>
        <v/>
      </c>
      <c r="J60" s="45">
        <f>IF(B60="","",YEAR(B60))</f>
        <v/>
      </c>
    </row>
    <row r="61">
      <c r="A61" s="30" t="inlineStr"/>
      <c r="B61" s="38" t="inlineStr"/>
      <c r="C61" s="30" t="inlineStr"/>
      <c r="D61" s="30" t="inlineStr"/>
      <c r="E61" s="30" t="inlineStr"/>
      <c r="F61" s="34" t="inlineStr"/>
      <c r="G61" s="30" t="inlineStr"/>
      <c r="H61" s="30" t="inlineStr"/>
      <c r="I61" s="45">
        <f>IF(B61="","",MONTH(B61))</f>
        <v/>
      </c>
      <c r="J61" s="45">
        <f>IF(B61="","",YEAR(B61))</f>
        <v/>
      </c>
    </row>
    <row r="62">
      <c r="A62" s="30" t="inlineStr"/>
      <c r="B62" s="38" t="inlineStr"/>
      <c r="C62" s="30" t="inlineStr"/>
      <c r="D62" s="30" t="inlineStr"/>
      <c r="E62" s="30" t="inlineStr"/>
      <c r="F62" s="34" t="inlineStr"/>
      <c r="G62" s="30" t="inlineStr"/>
      <c r="H62" s="30" t="inlineStr"/>
      <c r="I62" s="45">
        <f>IF(B62="","",MONTH(B62))</f>
        <v/>
      </c>
      <c r="J62" s="45">
        <f>IF(B62="","",YEAR(B62))</f>
        <v/>
      </c>
    </row>
    <row r="63">
      <c r="A63" s="30" t="inlineStr"/>
      <c r="B63" s="38" t="inlineStr"/>
      <c r="C63" s="30" t="inlineStr"/>
      <c r="D63" s="30" t="inlineStr"/>
      <c r="E63" s="30" t="inlineStr"/>
      <c r="F63" s="34" t="inlineStr"/>
      <c r="G63" s="30" t="inlineStr"/>
      <c r="H63" s="30" t="inlineStr"/>
      <c r="I63" s="45">
        <f>IF(B63="","",MONTH(B63))</f>
        <v/>
      </c>
      <c r="J63" s="45">
        <f>IF(B63="","",YEAR(B63))</f>
        <v/>
      </c>
    </row>
    <row r="64">
      <c r="A64" s="30" t="inlineStr"/>
      <c r="B64" s="38" t="inlineStr"/>
      <c r="C64" s="30" t="inlineStr"/>
      <c r="D64" s="30" t="inlineStr"/>
      <c r="E64" s="30" t="inlineStr"/>
      <c r="F64" s="34" t="inlineStr"/>
      <c r="G64" s="30" t="inlineStr"/>
      <c r="H64" s="30" t="inlineStr"/>
      <c r="I64" s="45">
        <f>IF(B64="","",MONTH(B64))</f>
        <v/>
      </c>
      <c r="J64" s="45">
        <f>IF(B64="","",YEAR(B64))</f>
        <v/>
      </c>
    </row>
    <row r="65">
      <c r="A65" s="30" t="inlineStr"/>
      <c r="B65" s="38" t="inlineStr"/>
      <c r="C65" s="30" t="inlineStr"/>
      <c r="D65" s="30" t="inlineStr"/>
      <c r="E65" s="30" t="inlineStr"/>
      <c r="F65" s="34" t="inlineStr"/>
      <c r="G65" s="30" t="inlineStr"/>
      <c r="H65" s="30" t="inlineStr"/>
      <c r="I65" s="45">
        <f>IF(B65="","",MONTH(B65))</f>
        <v/>
      </c>
      <c r="J65" s="45">
        <f>IF(B65="","",YEAR(B65))</f>
        <v/>
      </c>
    </row>
    <row r="66">
      <c r="A66" s="30" t="inlineStr"/>
      <c r="B66" s="38" t="inlineStr"/>
      <c r="C66" s="30" t="inlineStr"/>
      <c r="D66" s="30" t="inlineStr"/>
      <c r="E66" s="30" t="inlineStr"/>
      <c r="F66" s="34" t="inlineStr"/>
      <c r="G66" s="30" t="inlineStr"/>
      <c r="H66" s="30" t="inlineStr"/>
      <c r="I66" s="45">
        <f>IF(B66="","",MONTH(B66))</f>
        <v/>
      </c>
      <c r="J66" s="45">
        <f>IF(B66="","",YEAR(B66))</f>
        <v/>
      </c>
    </row>
    <row r="67">
      <c r="A67" s="30" t="inlineStr"/>
      <c r="B67" s="38" t="inlineStr"/>
      <c r="C67" s="30" t="inlineStr"/>
      <c r="D67" s="30" t="inlineStr"/>
      <c r="E67" s="30" t="inlineStr"/>
      <c r="F67" s="34" t="inlineStr"/>
      <c r="G67" s="30" t="inlineStr"/>
      <c r="H67" s="30" t="inlineStr"/>
      <c r="I67" s="45">
        <f>IF(B67="","",MONTH(B67))</f>
        <v/>
      </c>
      <c r="J67" s="45">
        <f>IF(B67="","",YEAR(B67))</f>
        <v/>
      </c>
    </row>
    <row r="68">
      <c r="A68" s="30" t="inlineStr"/>
      <c r="B68" s="38" t="inlineStr"/>
      <c r="C68" s="30" t="inlineStr"/>
      <c r="D68" s="30" t="inlineStr"/>
      <c r="E68" s="30" t="inlineStr"/>
      <c r="F68" s="34" t="inlineStr"/>
      <c r="G68" s="30" t="inlineStr"/>
      <c r="H68" s="30" t="inlineStr"/>
      <c r="I68" s="45">
        <f>IF(B68="","",MONTH(B68))</f>
        <v/>
      </c>
      <c r="J68" s="45">
        <f>IF(B68="","",YEAR(B68))</f>
        <v/>
      </c>
    </row>
    <row r="69">
      <c r="A69" s="30" t="inlineStr"/>
      <c r="B69" s="38" t="inlineStr"/>
      <c r="C69" s="30" t="inlineStr"/>
      <c r="D69" s="30" t="inlineStr"/>
      <c r="E69" s="30" t="inlineStr"/>
      <c r="F69" s="34" t="inlineStr"/>
      <c r="G69" s="30" t="inlineStr"/>
      <c r="H69" s="30" t="inlineStr"/>
      <c r="I69" s="45">
        <f>IF(B69="","",MONTH(B69))</f>
        <v/>
      </c>
      <c r="J69" s="45">
        <f>IF(B69="","",YEAR(B69))</f>
        <v/>
      </c>
    </row>
    <row r="70">
      <c r="A70" s="30" t="inlineStr"/>
      <c r="B70" s="38" t="inlineStr"/>
      <c r="C70" s="30" t="inlineStr"/>
      <c r="D70" s="30" t="inlineStr"/>
      <c r="E70" s="30" t="inlineStr"/>
      <c r="F70" s="34" t="inlineStr"/>
      <c r="G70" s="30" t="inlineStr"/>
      <c r="H70" s="30" t="inlineStr"/>
      <c r="I70" s="45">
        <f>IF(B70="","",MONTH(B70))</f>
        <v/>
      </c>
      <c r="J70" s="45">
        <f>IF(B70="","",YEAR(B70))</f>
        <v/>
      </c>
    </row>
    <row r="71">
      <c r="A71" s="30" t="inlineStr"/>
      <c r="B71" s="38" t="inlineStr"/>
      <c r="C71" s="30" t="inlineStr"/>
      <c r="D71" s="30" t="inlineStr"/>
      <c r="E71" s="30" t="inlineStr"/>
      <c r="F71" s="34" t="inlineStr"/>
      <c r="G71" s="30" t="inlineStr"/>
      <c r="H71" s="30" t="inlineStr"/>
      <c r="I71" s="45">
        <f>IF(B71="","",MONTH(B71))</f>
        <v/>
      </c>
      <c r="J71" s="45">
        <f>IF(B71="","",YEAR(B71))</f>
        <v/>
      </c>
    </row>
    <row r="72">
      <c r="A72" s="30" t="inlineStr"/>
      <c r="B72" s="38" t="inlineStr"/>
      <c r="C72" s="30" t="inlineStr"/>
      <c r="D72" s="30" t="inlineStr"/>
      <c r="E72" s="30" t="inlineStr"/>
      <c r="F72" s="34" t="inlineStr"/>
      <c r="G72" s="30" t="inlineStr"/>
      <c r="H72" s="30" t="inlineStr"/>
      <c r="I72" s="45">
        <f>IF(B72="","",MONTH(B72))</f>
        <v/>
      </c>
      <c r="J72" s="45">
        <f>IF(B72="","",YEAR(B72))</f>
        <v/>
      </c>
    </row>
    <row r="73">
      <c r="A73" s="30" t="inlineStr"/>
      <c r="B73" s="38" t="inlineStr"/>
      <c r="C73" s="30" t="inlineStr"/>
      <c r="D73" s="30" t="inlineStr"/>
      <c r="E73" s="30" t="inlineStr"/>
      <c r="F73" s="34" t="inlineStr"/>
      <c r="G73" s="30" t="inlineStr"/>
      <c r="H73" s="30" t="inlineStr"/>
      <c r="I73" s="45">
        <f>IF(B73="","",MONTH(B73))</f>
        <v/>
      </c>
      <c r="J73" s="45">
        <f>IF(B73="","",YEAR(B73))</f>
        <v/>
      </c>
    </row>
    <row r="74">
      <c r="A74" s="30" t="inlineStr"/>
      <c r="B74" s="38" t="inlineStr"/>
      <c r="C74" s="30" t="inlineStr"/>
      <c r="D74" s="30" t="inlineStr"/>
      <c r="E74" s="30" t="inlineStr"/>
      <c r="F74" s="34" t="inlineStr"/>
      <c r="G74" s="30" t="inlineStr"/>
      <c r="H74" s="30" t="inlineStr"/>
      <c r="I74" s="45">
        <f>IF(B74="","",MONTH(B74))</f>
        <v/>
      </c>
      <c r="J74" s="45">
        <f>IF(B74="","",YEAR(B74))</f>
        <v/>
      </c>
    </row>
    <row r="75">
      <c r="A75" s="30" t="inlineStr"/>
      <c r="B75" s="38" t="inlineStr"/>
      <c r="C75" s="30" t="inlineStr"/>
      <c r="D75" s="30" t="inlineStr"/>
      <c r="E75" s="30" t="inlineStr"/>
      <c r="F75" s="34" t="inlineStr"/>
      <c r="G75" s="30" t="inlineStr"/>
      <c r="H75" s="30" t="inlineStr"/>
      <c r="I75" s="45">
        <f>IF(B75="","",MONTH(B75))</f>
        <v/>
      </c>
      <c r="J75" s="45">
        <f>IF(B75="","",YEAR(B75))</f>
        <v/>
      </c>
    </row>
    <row r="76">
      <c r="A76" s="30" t="inlineStr"/>
      <c r="B76" s="38" t="inlineStr"/>
      <c r="C76" s="30" t="inlineStr"/>
      <c r="D76" s="30" t="inlineStr"/>
      <c r="E76" s="30" t="inlineStr"/>
      <c r="F76" s="34" t="inlineStr"/>
      <c r="G76" s="30" t="inlineStr"/>
      <c r="H76" s="30" t="inlineStr"/>
      <c r="I76" s="45">
        <f>IF(B76="","",MONTH(B76))</f>
        <v/>
      </c>
      <c r="J76" s="45">
        <f>IF(B76="","",YEAR(B76))</f>
        <v/>
      </c>
    </row>
    <row r="77">
      <c r="A77" s="30" t="inlineStr"/>
      <c r="B77" s="38" t="inlineStr"/>
      <c r="C77" s="30" t="inlineStr"/>
      <c r="D77" s="30" t="inlineStr"/>
      <c r="E77" s="30" t="inlineStr"/>
      <c r="F77" s="34" t="inlineStr"/>
      <c r="G77" s="30" t="inlineStr"/>
      <c r="H77" s="30" t="inlineStr"/>
      <c r="I77" s="45">
        <f>IF(B77="","",MONTH(B77))</f>
        <v/>
      </c>
      <c r="J77" s="45">
        <f>IF(B77="","",YEAR(B77))</f>
        <v/>
      </c>
    </row>
    <row r="78">
      <c r="A78" s="30" t="inlineStr"/>
      <c r="B78" s="38" t="inlineStr"/>
      <c r="C78" s="30" t="inlineStr"/>
      <c r="D78" s="30" t="inlineStr"/>
      <c r="E78" s="30" t="inlineStr"/>
      <c r="F78" s="34" t="inlineStr"/>
      <c r="G78" s="30" t="inlineStr"/>
      <c r="H78" s="30" t="inlineStr"/>
      <c r="I78" s="45">
        <f>IF(B78="","",MONTH(B78))</f>
        <v/>
      </c>
      <c r="J78" s="45">
        <f>IF(B78="","",YEAR(B78))</f>
        <v/>
      </c>
    </row>
    <row r="79">
      <c r="A79" s="30" t="inlineStr"/>
      <c r="B79" s="38" t="inlineStr"/>
      <c r="C79" s="30" t="inlineStr"/>
      <c r="D79" s="30" t="inlineStr"/>
      <c r="E79" s="30" t="inlineStr"/>
      <c r="F79" s="34" t="inlineStr"/>
      <c r="G79" s="30" t="inlineStr"/>
      <c r="H79" s="30" t="inlineStr"/>
      <c r="I79" s="45">
        <f>IF(B79="","",MONTH(B79))</f>
        <v/>
      </c>
      <c r="J79" s="45">
        <f>IF(B79="","",YEAR(B79))</f>
        <v/>
      </c>
    </row>
    <row r="80">
      <c r="A80" s="30" t="inlineStr"/>
      <c r="B80" s="38" t="inlineStr"/>
      <c r="C80" s="30" t="inlineStr"/>
      <c r="D80" s="30" t="inlineStr"/>
      <c r="E80" s="30" t="inlineStr"/>
      <c r="F80" s="34" t="inlineStr"/>
      <c r="G80" s="30" t="inlineStr"/>
      <c r="H80" s="30" t="inlineStr"/>
      <c r="I80" s="45">
        <f>IF(B80="","",MONTH(B80))</f>
        <v/>
      </c>
      <c r="J80" s="45">
        <f>IF(B80="","",YEAR(B80))</f>
        <v/>
      </c>
    </row>
    <row r="81">
      <c r="A81" s="30" t="inlineStr"/>
      <c r="B81" s="38" t="inlineStr"/>
      <c r="C81" s="30" t="inlineStr"/>
      <c r="D81" s="30" t="inlineStr"/>
      <c r="E81" s="30" t="inlineStr"/>
      <c r="F81" s="34" t="inlineStr"/>
      <c r="G81" s="30" t="inlineStr"/>
      <c r="H81" s="30" t="inlineStr"/>
      <c r="I81" s="45">
        <f>IF(B81="","",MONTH(B81))</f>
        <v/>
      </c>
      <c r="J81" s="45">
        <f>IF(B81="","",YEAR(B81))</f>
        <v/>
      </c>
    </row>
    <row r="82">
      <c r="A82" s="30" t="inlineStr"/>
      <c r="B82" s="38" t="inlineStr"/>
      <c r="C82" s="30" t="inlineStr"/>
      <c r="D82" s="30" t="inlineStr"/>
      <c r="E82" s="30" t="inlineStr"/>
      <c r="F82" s="34" t="inlineStr"/>
      <c r="G82" s="30" t="inlineStr"/>
      <c r="H82" s="30" t="inlineStr"/>
      <c r="I82" s="45">
        <f>IF(B82="","",MONTH(B82))</f>
        <v/>
      </c>
      <c r="J82" s="45">
        <f>IF(B82="","",YEAR(B82))</f>
        <v/>
      </c>
    </row>
    <row r="83">
      <c r="A83" s="30" t="inlineStr"/>
      <c r="B83" s="38" t="inlineStr"/>
      <c r="C83" s="30" t="inlineStr"/>
      <c r="D83" s="30" t="inlineStr"/>
      <c r="E83" s="30" t="inlineStr"/>
      <c r="F83" s="34" t="inlineStr"/>
      <c r="G83" s="30" t="inlineStr"/>
      <c r="H83" s="30" t="inlineStr"/>
      <c r="I83" s="45">
        <f>IF(B83="","",MONTH(B83))</f>
        <v/>
      </c>
      <c r="J83" s="45">
        <f>IF(B83="","",YEAR(B83))</f>
        <v/>
      </c>
    </row>
    <row r="84">
      <c r="A84" s="30" t="inlineStr"/>
      <c r="B84" s="38" t="inlineStr"/>
      <c r="C84" s="30" t="inlineStr"/>
      <c r="D84" s="30" t="inlineStr"/>
      <c r="E84" s="30" t="inlineStr"/>
      <c r="F84" s="34" t="inlineStr"/>
      <c r="G84" s="30" t="inlineStr"/>
      <c r="H84" s="30" t="inlineStr"/>
      <c r="I84" s="45">
        <f>IF(B84="","",MONTH(B84))</f>
        <v/>
      </c>
      <c r="J84" s="45">
        <f>IF(B84="","",YEAR(B84))</f>
        <v/>
      </c>
    </row>
    <row r="85">
      <c r="A85" s="30" t="inlineStr"/>
      <c r="B85" s="38" t="inlineStr"/>
      <c r="C85" s="30" t="inlineStr"/>
      <c r="D85" s="30" t="inlineStr"/>
      <c r="E85" s="30" t="inlineStr"/>
      <c r="F85" s="34" t="inlineStr"/>
      <c r="G85" s="30" t="inlineStr"/>
      <c r="H85" s="30" t="inlineStr"/>
      <c r="I85" s="45">
        <f>IF(B85="","",MONTH(B85))</f>
        <v/>
      </c>
      <c r="J85" s="45">
        <f>IF(B85="","",YEAR(B85))</f>
        <v/>
      </c>
    </row>
    <row r="86">
      <c r="A86" s="30" t="inlineStr"/>
      <c r="B86" s="38" t="inlineStr"/>
      <c r="C86" s="30" t="inlineStr"/>
      <c r="D86" s="30" t="inlineStr"/>
      <c r="E86" s="30" t="inlineStr"/>
      <c r="F86" s="34" t="inlineStr"/>
      <c r="G86" s="30" t="inlineStr"/>
      <c r="H86" s="30" t="inlineStr"/>
      <c r="I86" s="45">
        <f>IF(B86="","",MONTH(B86))</f>
        <v/>
      </c>
      <c r="J86" s="45">
        <f>IF(B86="","",YEAR(B86))</f>
        <v/>
      </c>
    </row>
    <row r="87">
      <c r="A87" s="30" t="inlineStr"/>
      <c r="B87" s="38" t="inlineStr"/>
      <c r="C87" s="30" t="inlineStr"/>
      <c r="D87" s="30" t="inlineStr"/>
      <c r="E87" s="30" t="inlineStr"/>
      <c r="F87" s="34" t="inlineStr"/>
      <c r="G87" s="30" t="inlineStr"/>
      <c r="H87" s="30" t="inlineStr"/>
      <c r="I87" s="45">
        <f>IF(B87="","",MONTH(B87))</f>
        <v/>
      </c>
      <c r="J87" s="45">
        <f>IF(B87="","",YEAR(B87))</f>
        <v/>
      </c>
    </row>
    <row r="88">
      <c r="A88" s="30" t="inlineStr"/>
      <c r="B88" s="38" t="inlineStr"/>
      <c r="C88" s="30" t="inlineStr"/>
      <c r="D88" s="30" t="inlineStr"/>
      <c r="E88" s="30" t="inlineStr"/>
      <c r="F88" s="34" t="inlineStr"/>
      <c r="G88" s="30" t="inlineStr"/>
      <c r="H88" s="30" t="inlineStr"/>
      <c r="I88" s="45">
        <f>IF(B88="","",MONTH(B88))</f>
        <v/>
      </c>
      <c r="J88" s="45">
        <f>IF(B88="","",YEAR(B88))</f>
        <v/>
      </c>
    </row>
    <row r="89">
      <c r="A89" s="30" t="inlineStr"/>
      <c r="B89" s="38" t="inlineStr"/>
      <c r="C89" s="30" t="inlineStr"/>
      <c r="D89" s="30" t="inlineStr"/>
      <c r="E89" s="30" t="inlineStr"/>
      <c r="F89" s="34" t="inlineStr"/>
      <c r="G89" s="30" t="inlineStr"/>
      <c r="H89" s="30" t="inlineStr"/>
      <c r="I89" s="45">
        <f>IF(B89="","",MONTH(B89))</f>
        <v/>
      </c>
      <c r="J89" s="45">
        <f>IF(B89="","",YEAR(B89))</f>
        <v/>
      </c>
    </row>
    <row r="90">
      <c r="A90" s="30" t="inlineStr"/>
      <c r="B90" s="38" t="inlineStr"/>
      <c r="C90" s="30" t="inlineStr"/>
      <c r="D90" s="30" t="inlineStr"/>
      <c r="E90" s="30" t="inlineStr"/>
      <c r="F90" s="34" t="inlineStr"/>
      <c r="G90" s="30" t="inlineStr"/>
      <c r="H90" s="30" t="inlineStr"/>
      <c r="I90" s="45">
        <f>IF(B90="","",MONTH(B90))</f>
        <v/>
      </c>
      <c r="J90" s="45">
        <f>IF(B90="","",YEAR(B90))</f>
        <v/>
      </c>
    </row>
    <row r="91">
      <c r="A91" s="30" t="inlineStr"/>
      <c r="B91" s="38" t="inlineStr"/>
      <c r="C91" s="30" t="inlineStr"/>
      <c r="D91" s="30" t="inlineStr"/>
      <c r="E91" s="30" t="inlineStr"/>
      <c r="F91" s="34" t="inlineStr"/>
      <c r="G91" s="30" t="inlineStr"/>
      <c r="H91" s="30" t="inlineStr"/>
      <c r="I91" s="45">
        <f>IF(B91="","",MONTH(B91))</f>
        <v/>
      </c>
      <c r="J91" s="45">
        <f>IF(B91="","",YEAR(B91))</f>
        <v/>
      </c>
    </row>
    <row r="92">
      <c r="A92" s="30" t="inlineStr"/>
      <c r="B92" s="38" t="inlineStr"/>
      <c r="C92" s="30" t="inlineStr"/>
      <c r="D92" s="30" t="inlineStr"/>
      <c r="E92" s="30" t="inlineStr"/>
      <c r="F92" s="34" t="inlineStr"/>
      <c r="G92" s="30" t="inlineStr"/>
      <c r="H92" s="30" t="inlineStr"/>
      <c r="I92" s="45">
        <f>IF(B92="","",MONTH(B92))</f>
        <v/>
      </c>
      <c r="J92" s="45">
        <f>IF(B92="","",YEAR(B92))</f>
        <v/>
      </c>
    </row>
    <row r="93">
      <c r="A93" s="30" t="inlineStr"/>
      <c r="B93" s="38" t="inlineStr"/>
      <c r="C93" s="30" t="inlineStr"/>
      <c r="D93" s="30" t="inlineStr"/>
      <c r="E93" s="30" t="inlineStr"/>
      <c r="F93" s="34" t="inlineStr"/>
      <c r="G93" s="30" t="inlineStr"/>
      <c r="H93" s="30" t="inlineStr"/>
      <c r="I93" s="45">
        <f>IF(B93="","",MONTH(B93))</f>
        <v/>
      </c>
      <c r="J93" s="45">
        <f>IF(B93="","",YEAR(B93))</f>
        <v/>
      </c>
    </row>
    <row r="94">
      <c r="A94" s="30" t="inlineStr"/>
      <c r="B94" s="38" t="inlineStr"/>
      <c r="C94" s="30" t="inlineStr"/>
      <c r="D94" s="30" t="inlineStr"/>
      <c r="E94" s="30" t="inlineStr"/>
      <c r="F94" s="34" t="inlineStr"/>
      <c r="G94" s="30" t="inlineStr"/>
      <c r="H94" s="30" t="inlineStr"/>
      <c r="I94" s="45">
        <f>IF(B94="","",MONTH(B94))</f>
        <v/>
      </c>
      <c r="J94" s="45">
        <f>IF(B94="","",YEAR(B94))</f>
        <v/>
      </c>
    </row>
    <row r="95">
      <c r="A95" s="30" t="inlineStr"/>
      <c r="B95" s="38" t="inlineStr"/>
      <c r="C95" s="30" t="inlineStr"/>
      <c r="D95" s="30" t="inlineStr"/>
      <c r="E95" s="30" t="inlineStr"/>
      <c r="F95" s="34" t="inlineStr"/>
      <c r="G95" s="30" t="inlineStr"/>
      <c r="H95" s="30" t="inlineStr"/>
      <c r="I95" s="45">
        <f>IF(B95="","",MONTH(B95))</f>
        <v/>
      </c>
      <c r="J95" s="45">
        <f>IF(B95="","",YEAR(B95))</f>
        <v/>
      </c>
    </row>
    <row r="96">
      <c r="A96" s="30" t="inlineStr"/>
      <c r="B96" s="38" t="inlineStr"/>
      <c r="C96" s="30" t="inlineStr"/>
      <c r="D96" s="30" t="inlineStr"/>
      <c r="E96" s="30" t="inlineStr"/>
      <c r="F96" s="34" t="inlineStr"/>
      <c r="G96" s="30" t="inlineStr"/>
      <c r="H96" s="30" t="inlineStr"/>
      <c r="I96" s="45">
        <f>IF(B96="","",MONTH(B96))</f>
        <v/>
      </c>
      <c r="J96" s="45">
        <f>IF(B96="","",YEAR(B96))</f>
        <v/>
      </c>
    </row>
    <row r="97">
      <c r="A97" s="30" t="inlineStr"/>
      <c r="B97" s="38" t="inlineStr"/>
      <c r="C97" s="30" t="inlineStr"/>
      <c r="D97" s="30" t="inlineStr"/>
      <c r="E97" s="30" t="inlineStr"/>
      <c r="F97" s="34" t="inlineStr"/>
      <c r="G97" s="30" t="inlineStr"/>
      <c r="H97" s="30" t="inlineStr"/>
      <c r="I97" s="45">
        <f>IF(B97="","",MONTH(B97))</f>
        <v/>
      </c>
      <c r="J97" s="45">
        <f>IF(B97="","",YEAR(B97))</f>
        <v/>
      </c>
    </row>
    <row r="98">
      <c r="A98" s="30" t="inlineStr"/>
      <c r="B98" s="38" t="inlineStr"/>
      <c r="C98" s="30" t="inlineStr"/>
      <c r="D98" s="30" t="inlineStr"/>
      <c r="E98" s="30" t="inlineStr"/>
      <c r="F98" s="34" t="inlineStr"/>
      <c r="G98" s="30" t="inlineStr"/>
      <c r="H98" s="30" t="inlineStr"/>
      <c r="I98" s="45">
        <f>IF(B98="","",MONTH(B98))</f>
        <v/>
      </c>
      <c r="J98" s="45">
        <f>IF(B98="","",YEAR(B98))</f>
        <v/>
      </c>
    </row>
    <row r="99">
      <c r="A99" s="30" t="inlineStr"/>
      <c r="B99" s="38" t="inlineStr"/>
      <c r="C99" s="30" t="inlineStr"/>
      <c r="D99" s="30" t="inlineStr"/>
      <c r="E99" s="30" t="inlineStr"/>
      <c r="F99" s="34" t="inlineStr"/>
      <c r="G99" s="30" t="inlineStr"/>
      <c r="H99" s="30" t="inlineStr"/>
      <c r="I99" s="45">
        <f>IF(B99="","",MONTH(B99))</f>
        <v/>
      </c>
      <c r="J99" s="45">
        <f>IF(B99="","",YEAR(B99))</f>
        <v/>
      </c>
    </row>
    <row r="100">
      <c r="A100" s="30" t="inlineStr"/>
      <c r="B100" s="38" t="inlineStr"/>
      <c r="C100" s="30" t="inlineStr"/>
      <c r="D100" s="30" t="inlineStr"/>
      <c r="E100" s="30" t="inlineStr"/>
      <c r="F100" s="34" t="inlineStr"/>
      <c r="G100" s="30" t="inlineStr"/>
      <c r="H100" s="30" t="inlineStr"/>
      <c r="I100" s="45">
        <f>IF(B100="","",MONTH(B100))</f>
        <v/>
      </c>
      <c r="J100" s="45">
        <f>IF(B100="","",YEAR(B100))</f>
        <v/>
      </c>
    </row>
    <row r="101">
      <c r="A101" s="30" t="inlineStr"/>
      <c r="B101" s="38" t="inlineStr"/>
      <c r="C101" s="30" t="inlineStr"/>
      <c r="D101" s="30" t="inlineStr"/>
      <c r="E101" s="30" t="inlineStr"/>
      <c r="F101" s="34" t="inlineStr"/>
      <c r="G101" s="30" t="inlineStr"/>
      <c r="H101" s="30" t="inlineStr"/>
      <c r="I101" s="45">
        <f>IF(B101="","",MONTH(B101))</f>
        <v/>
      </c>
      <c r="J101" s="45">
        <f>IF(B101="","",YEAR(B101))</f>
        <v/>
      </c>
    </row>
    <row r="102">
      <c r="A102" s="30" t="inlineStr"/>
      <c r="B102" s="38" t="inlineStr"/>
      <c r="C102" s="30" t="inlineStr"/>
      <c r="D102" s="30" t="inlineStr"/>
      <c r="E102" s="30" t="inlineStr"/>
      <c r="F102" s="34" t="inlineStr"/>
      <c r="G102" s="30" t="inlineStr"/>
      <c r="H102" s="30" t="inlineStr"/>
      <c r="I102" s="45">
        <f>IF(B102="","",MONTH(B102))</f>
        <v/>
      </c>
      <c r="J102" s="45">
        <f>IF(B102="","",YEAR(B102))</f>
        <v/>
      </c>
    </row>
    <row r="103">
      <c r="A103" s="30" t="inlineStr"/>
      <c r="B103" s="38" t="inlineStr"/>
      <c r="C103" s="30" t="inlineStr"/>
      <c r="D103" s="30" t="inlineStr"/>
      <c r="E103" s="30" t="inlineStr"/>
      <c r="F103" s="34" t="inlineStr"/>
      <c r="G103" s="30" t="inlineStr"/>
      <c r="H103" s="30" t="inlineStr"/>
      <c r="I103" s="45">
        <f>IF(B103="","",MONTH(B103))</f>
        <v/>
      </c>
      <c r="J103" s="45">
        <f>IF(B103="","",YEAR(B103))</f>
        <v/>
      </c>
    </row>
    <row r="104">
      <c r="A104" s="30" t="inlineStr"/>
      <c r="B104" s="38" t="inlineStr"/>
      <c r="C104" s="30" t="inlineStr"/>
      <c r="D104" s="30" t="inlineStr"/>
      <c r="E104" s="30" t="inlineStr"/>
      <c r="F104" s="34" t="inlineStr"/>
      <c r="G104" s="30" t="inlineStr"/>
      <c r="H104" s="30" t="inlineStr"/>
      <c r="I104" s="45">
        <f>IF(B104="","",MONTH(B104))</f>
        <v/>
      </c>
      <c r="J104" s="45">
        <f>IF(B104="","",YEAR(B104))</f>
        <v/>
      </c>
    </row>
    <row r="105">
      <c r="A105" s="30" t="inlineStr"/>
      <c r="B105" s="38" t="inlineStr"/>
      <c r="C105" s="30" t="inlineStr"/>
      <c r="D105" s="30" t="inlineStr"/>
      <c r="E105" s="30" t="inlineStr"/>
      <c r="F105" s="34" t="inlineStr"/>
      <c r="G105" s="30" t="inlineStr"/>
      <c r="H105" s="30" t="inlineStr"/>
      <c r="I105" s="45">
        <f>IF(B105="","",MONTH(B105))</f>
        <v/>
      </c>
      <c r="J105" s="45">
        <f>IF(B105="","",YEAR(B105))</f>
        <v/>
      </c>
    </row>
    <row r="106">
      <c r="A106" s="30" t="inlineStr"/>
      <c r="B106" s="38" t="inlineStr"/>
      <c r="C106" s="30" t="inlineStr"/>
      <c r="D106" s="30" t="inlineStr"/>
      <c r="E106" s="30" t="inlineStr"/>
      <c r="F106" s="34" t="inlineStr"/>
      <c r="G106" s="30" t="inlineStr"/>
      <c r="H106" s="30" t="inlineStr"/>
      <c r="I106" s="45">
        <f>IF(B106="","",MONTH(B106))</f>
        <v/>
      </c>
      <c r="J106" s="45">
        <f>IF(B106="","",YEAR(B106))</f>
        <v/>
      </c>
    </row>
    <row r="107">
      <c r="A107" s="30" t="inlineStr"/>
      <c r="B107" s="38" t="inlineStr"/>
      <c r="C107" s="30" t="inlineStr"/>
      <c r="D107" s="30" t="inlineStr"/>
      <c r="E107" s="30" t="inlineStr"/>
      <c r="F107" s="34" t="inlineStr"/>
      <c r="G107" s="30" t="inlineStr"/>
      <c r="H107" s="30" t="inlineStr"/>
      <c r="I107" s="45">
        <f>IF(B107="","",MONTH(B107))</f>
        <v/>
      </c>
      <c r="J107" s="45">
        <f>IF(B107="","",YEAR(B107))</f>
        <v/>
      </c>
    </row>
    <row r="108">
      <c r="A108" s="30" t="inlineStr"/>
      <c r="B108" s="38" t="inlineStr"/>
      <c r="C108" s="30" t="inlineStr"/>
      <c r="D108" s="30" t="inlineStr"/>
      <c r="E108" s="30" t="inlineStr"/>
      <c r="F108" s="34" t="inlineStr"/>
      <c r="G108" s="30" t="inlineStr"/>
      <c r="H108" s="30" t="inlineStr"/>
      <c r="I108" s="45">
        <f>IF(B108="","",MONTH(B108))</f>
        <v/>
      </c>
      <c r="J108" s="45">
        <f>IF(B108="","",YEAR(B108))</f>
        <v/>
      </c>
    </row>
    <row r="109">
      <c r="A109" s="30" t="inlineStr"/>
      <c r="B109" s="38" t="inlineStr"/>
      <c r="C109" s="30" t="inlineStr"/>
      <c r="D109" s="30" t="inlineStr"/>
      <c r="E109" s="30" t="inlineStr"/>
      <c r="F109" s="34" t="inlineStr"/>
      <c r="G109" s="30" t="inlineStr"/>
      <c r="H109" s="30" t="inlineStr"/>
      <c r="I109" s="45">
        <f>IF(B109="","",MONTH(B109))</f>
        <v/>
      </c>
      <c r="J109" s="45">
        <f>IF(B109="","",YEAR(B109))</f>
        <v/>
      </c>
    </row>
    <row r="110">
      <c r="A110" s="30" t="inlineStr"/>
      <c r="B110" s="38" t="inlineStr"/>
      <c r="C110" s="30" t="inlineStr"/>
      <c r="D110" s="30" t="inlineStr"/>
      <c r="E110" s="30" t="inlineStr"/>
      <c r="F110" s="34" t="inlineStr"/>
      <c r="G110" s="30" t="inlineStr"/>
      <c r="H110" s="30" t="inlineStr"/>
      <c r="I110" s="45">
        <f>IF(B110="","",MONTH(B110))</f>
        <v/>
      </c>
      <c r="J110" s="45">
        <f>IF(B110="","",YEAR(B110))</f>
        <v/>
      </c>
    </row>
    <row r="111">
      <c r="A111" s="30" t="inlineStr"/>
      <c r="B111" s="38" t="inlineStr"/>
      <c r="C111" s="30" t="inlineStr"/>
      <c r="D111" s="30" t="inlineStr"/>
      <c r="E111" s="30" t="inlineStr"/>
      <c r="F111" s="34" t="inlineStr"/>
      <c r="G111" s="30" t="inlineStr"/>
      <c r="H111" s="30" t="inlineStr"/>
      <c r="I111" s="45">
        <f>IF(B111="","",MONTH(B111))</f>
        <v/>
      </c>
      <c r="J111" s="45">
        <f>IF(B111="","",YEAR(B111))</f>
        <v/>
      </c>
    </row>
    <row r="112">
      <c r="A112" s="30" t="inlineStr"/>
      <c r="B112" s="38" t="inlineStr"/>
      <c r="C112" s="30" t="inlineStr"/>
      <c r="D112" s="30" t="inlineStr"/>
      <c r="E112" s="30" t="inlineStr"/>
      <c r="F112" s="34" t="inlineStr"/>
      <c r="G112" s="30" t="inlineStr"/>
      <c r="H112" s="30" t="inlineStr"/>
      <c r="I112" s="45">
        <f>IF(B112="","",MONTH(B112))</f>
        <v/>
      </c>
      <c r="J112" s="45">
        <f>IF(B112="","",YEAR(B112))</f>
        <v/>
      </c>
    </row>
    <row r="113">
      <c r="A113" s="30" t="inlineStr"/>
      <c r="B113" s="38" t="inlineStr"/>
      <c r="C113" s="30" t="inlineStr"/>
      <c r="D113" s="30" t="inlineStr"/>
      <c r="E113" s="30" t="inlineStr"/>
      <c r="F113" s="34" t="inlineStr"/>
      <c r="G113" s="30" t="inlineStr"/>
      <c r="H113" s="30" t="inlineStr"/>
      <c r="I113" s="45">
        <f>IF(B113="","",MONTH(B113))</f>
        <v/>
      </c>
      <c r="J113" s="45">
        <f>IF(B113="","",YEAR(B113))</f>
        <v/>
      </c>
    </row>
    <row r="114">
      <c r="A114" s="30" t="inlineStr"/>
      <c r="B114" s="38" t="inlineStr"/>
      <c r="C114" s="30" t="inlineStr"/>
      <c r="D114" s="30" t="inlineStr"/>
      <c r="E114" s="30" t="inlineStr"/>
      <c r="F114" s="34" t="inlineStr"/>
      <c r="G114" s="30" t="inlineStr"/>
      <c r="H114" s="30" t="inlineStr"/>
      <c r="I114" s="45">
        <f>IF(B114="","",MONTH(B114))</f>
        <v/>
      </c>
      <c r="J114" s="45">
        <f>IF(B114="","",YEAR(B114))</f>
        <v/>
      </c>
    </row>
    <row r="115">
      <c r="A115" s="30" t="inlineStr"/>
      <c r="B115" s="38" t="inlineStr"/>
      <c r="C115" s="30" t="inlineStr"/>
      <c r="D115" s="30" t="inlineStr"/>
      <c r="E115" s="30" t="inlineStr"/>
      <c r="F115" s="34" t="inlineStr"/>
      <c r="G115" s="30" t="inlineStr"/>
      <c r="H115" s="30" t="inlineStr"/>
      <c r="I115" s="45">
        <f>IF(B115="","",MONTH(B115))</f>
        <v/>
      </c>
      <c r="J115" s="45">
        <f>IF(B115="","",YEAR(B115))</f>
        <v/>
      </c>
    </row>
    <row r="116">
      <c r="A116" s="30" t="inlineStr"/>
      <c r="B116" s="38" t="inlineStr"/>
      <c r="C116" s="30" t="inlineStr"/>
      <c r="D116" s="30" t="inlineStr"/>
      <c r="E116" s="30" t="inlineStr"/>
      <c r="F116" s="34" t="inlineStr"/>
      <c r="G116" s="30" t="inlineStr"/>
      <c r="H116" s="30" t="inlineStr"/>
      <c r="I116" s="45">
        <f>IF(B116="","",MONTH(B116))</f>
        <v/>
      </c>
      <c r="J116" s="45">
        <f>IF(B116="","",YEAR(B116))</f>
        <v/>
      </c>
    </row>
    <row r="117">
      <c r="A117" s="30" t="inlineStr"/>
      <c r="B117" s="38" t="inlineStr"/>
      <c r="C117" s="30" t="inlineStr"/>
      <c r="D117" s="30" t="inlineStr"/>
      <c r="E117" s="30" t="inlineStr"/>
      <c r="F117" s="34" t="inlineStr"/>
      <c r="G117" s="30" t="inlineStr"/>
      <c r="H117" s="30" t="inlineStr"/>
      <c r="I117" s="45">
        <f>IF(B117="","",MONTH(B117))</f>
        <v/>
      </c>
      <c r="J117" s="45">
        <f>IF(B117="","",YEAR(B117))</f>
        <v/>
      </c>
    </row>
    <row r="118">
      <c r="A118" s="30" t="inlineStr"/>
      <c r="B118" s="38" t="inlineStr"/>
      <c r="C118" s="30" t="inlineStr"/>
      <c r="D118" s="30" t="inlineStr"/>
      <c r="E118" s="30" t="inlineStr"/>
      <c r="F118" s="34" t="inlineStr"/>
      <c r="G118" s="30" t="inlineStr"/>
      <c r="H118" s="30" t="inlineStr"/>
      <c r="I118" s="45">
        <f>IF(B118="","",MONTH(B118))</f>
        <v/>
      </c>
      <c r="J118" s="45">
        <f>IF(B118="","",YEAR(B118))</f>
        <v/>
      </c>
    </row>
    <row r="119">
      <c r="A119" s="30" t="inlineStr"/>
      <c r="B119" s="38" t="inlineStr"/>
      <c r="C119" s="30" t="inlineStr"/>
      <c r="D119" s="30" t="inlineStr"/>
      <c r="E119" s="30" t="inlineStr"/>
      <c r="F119" s="34" t="inlineStr"/>
      <c r="G119" s="30" t="inlineStr"/>
      <c r="H119" s="30" t="inlineStr"/>
      <c r="I119" s="45">
        <f>IF(B119="","",MONTH(B119))</f>
        <v/>
      </c>
      <c r="J119" s="45">
        <f>IF(B119="","",YEAR(B119))</f>
        <v/>
      </c>
    </row>
    <row r="120">
      <c r="A120" s="30" t="inlineStr"/>
      <c r="B120" s="38" t="inlineStr"/>
      <c r="C120" s="30" t="inlineStr"/>
      <c r="D120" s="30" t="inlineStr"/>
      <c r="E120" s="30" t="inlineStr"/>
      <c r="F120" s="34" t="inlineStr"/>
      <c r="G120" s="30" t="inlineStr"/>
      <c r="H120" s="30" t="inlineStr"/>
      <c r="I120" s="45">
        <f>IF(B120="","",MONTH(B120))</f>
        <v/>
      </c>
      <c r="J120" s="45">
        <f>IF(B120="","",YEAR(B120))</f>
        <v/>
      </c>
    </row>
    <row r="121">
      <c r="A121" s="30" t="inlineStr"/>
      <c r="B121" s="38" t="inlineStr"/>
      <c r="C121" s="30" t="inlineStr"/>
      <c r="D121" s="30" t="inlineStr"/>
      <c r="E121" s="30" t="inlineStr"/>
      <c r="F121" s="34" t="inlineStr"/>
      <c r="G121" s="30" t="inlineStr"/>
      <c r="H121" s="30" t="inlineStr"/>
      <c r="I121" s="45">
        <f>IF(B121="","",MONTH(B121))</f>
        <v/>
      </c>
      <c r="J121" s="45">
        <f>IF(B121="","",YEAR(B121))</f>
        <v/>
      </c>
    </row>
    <row r="122">
      <c r="A122" s="30" t="inlineStr"/>
      <c r="B122" s="38" t="inlineStr"/>
      <c r="C122" s="30" t="inlineStr"/>
      <c r="D122" s="30" t="inlineStr"/>
      <c r="E122" s="30" t="inlineStr"/>
      <c r="F122" s="34" t="inlineStr"/>
      <c r="G122" s="30" t="inlineStr"/>
      <c r="H122" s="30" t="inlineStr"/>
      <c r="I122" s="45">
        <f>IF(B122="","",MONTH(B122))</f>
        <v/>
      </c>
      <c r="J122" s="45">
        <f>IF(B122="","",YEAR(B122))</f>
        <v/>
      </c>
    </row>
    <row r="123">
      <c r="A123" s="30" t="inlineStr"/>
      <c r="B123" s="38" t="inlineStr"/>
      <c r="C123" s="30" t="inlineStr"/>
      <c r="D123" s="30" t="inlineStr"/>
      <c r="E123" s="30" t="inlineStr"/>
      <c r="F123" s="34" t="inlineStr"/>
      <c r="G123" s="30" t="inlineStr"/>
      <c r="H123" s="30" t="inlineStr"/>
      <c r="I123" s="45">
        <f>IF(B123="","",MONTH(B123))</f>
        <v/>
      </c>
      <c r="J123" s="45">
        <f>IF(B123="","",YEAR(B123))</f>
        <v/>
      </c>
    </row>
    <row r="124">
      <c r="A124" s="30" t="inlineStr"/>
      <c r="B124" s="38" t="inlineStr"/>
      <c r="C124" s="30" t="inlineStr"/>
      <c r="D124" s="30" t="inlineStr"/>
      <c r="E124" s="30" t="inlineStr"/>
      <c r="F124" s="34" t="inlineStr"/>
      <c r="G124" s="30" t="inlineStr"/>
      <c r="H124" s="30" t="inlineStr"/>
      <c r="I124" s="45">
        <f>IF(B124="","",MONTH(B124))</f>
        <v/>
      </c>
      <c r="J124" s="45">
        <f>IF(B124="","",YEAR(B124))</f>
        <v/>
      </c>
    </row>
    <row r="125">
      <c r="A125" s="30" t="inlineStr"/>
      <c r="B125" s="38" t="inlineStr"/>
      <c r="C125" s="30" t="inlineStr"/>
      <c r="D125" s="30" t="inlineStr"/>
      <c r="E125" s="30" t="inlineStr"/>
      <c r="F125" s="34" t="inlineStr"/>
      <c r="G125" s="30" t="inlineStr"/>
      <c r="H125" s="30" t="inlineStr"/>
      <c r="I125" s="45">
        <f>IF(B125="","",MONTH(B125))</f>
        <v/>
      </c>
      <c r="J125" s="45">
        <f>IF(B125="","",YEAR(B125))</f>
        <v/>
      </c>
    </row>
    <row r="126">
      <c r="A126" s="30" t="inlineStr"/>
      <c r="B126" s="38" t="inlineStr"/>
      <c r="C126" s="30" t="inlineStr"/>
      <c r="D126" s="30" t="inlineStr"/>
      <c r="E126" s="30" t="inlineStr"/>
      <c r="F126" s="34" t="inlineStr"/>
      <c r="G126" s="30" t="inlineStr"/>
      <c r="H126" s="30" t="inlineStr"/>
      <c r="I126" s="45">
        <f>IF(B126="","",MONTH(B126))</f>
        <v/>
      </c>
      <c r="J126" s="45">
        <f>IF(B126="","",YEAR(B126))</f>
        <v/>
      </c>
    </row>
    <row r="127">
      <c r="A127" s="30" t="inlineStr"/>
      <c r="B127" s="38" t="inlineStr"/>
      <c r="C127" s="30" t="inlineStr"/>
      <c r="D127" s="30" t="inlineStr"/>
      <c r="E127" s="30" t="inlineStr"/>
      <c r="F127" s="34" t="inlineStr"/>
      <c r="G127" s="30" t="inlineStr"/>
      <c r="H127" s="30" t="inlineStr"/>
      <c r="I127" s="45">
        <f>IF(B127="","",MONTH(B127))</f>
        <v/>
      </c>
      <c r="J127" s="45">
        <f>IF(B127="","",YEAR(B127))</f>
        <v/>
      </c>
    </row>
    <row r="128">
      <c r="A128" s="30" t="inlineStr"/>
      <c r="B128" s="38" t="inlineStr"/>
      <c r="C128" s="30" t="inlineStr"/>
      <c r="D128" s="30" t="inlineStr"/>
      <c r="E128" s="30" t="inlineStr"/>
      <c r="F128" s="34" t="inlineStr"/>
      <c r="G128" s="30" t="inlineStr"/>
      <c r="H128" s="30" t="inlineStr"/>
      <c r="I128" s="45">
        <f>IF(B128="","",MONTH(B128))</f>
        <v/>
      </c>
      <c r="J128" s="45">
        <f>IF(B128="","",YEAR(B128))</f>
        <v/>
      </c>
    </row>
    <row r="129">
      <c r="A129" s="30" t="inlineStr"/>
      <c r="B129" s="38" t="inlineStr"/>
      <c r="C129" s="30" t="inlineStr"/>
      <c r="D129" s="30" t="inlineStr"/>
      <c r="E129" s="30" t="inlineStr"/>
      <c r="F129" s="34" t="inlineStr"/>
      <c r="G129" s="30" t="inlineStr"/>
      <c r="H129" s="30" t="inlineStr"/>
      <c r="I129" s="45">
        <f>IF(B129="","",MONTH(B129))</f>
        <v/>
      </c>
      <c r="J129" s="45">
        <f>IF(B129="","",YEAR(B129))</f>
        <v/>
      </c>
    </row>
    <row r="130">
      <c r="A130" s="30" t="inlineStr"/>
      <c r="B130" s="38" t="inlineStr"/>
      <c r="C130" s="30" t="inlineStr"/>
      <c r="D130" s="30" t="inlineStr"/>
      <c r="E130" s="30" t="inlineStr"/>
      <c r="F130" s="34" t="inlineStr"/>
      <c r="G130" s="30" t="inlineStr"/>
      <c r="H130" s="30" t="inlineStr"/>
      <c r="I130" s="45">
        <f>IF(B130="","",MONTH(B130))</f>
        <v/>
      </c>
      <c r="J130" s="45">
        <f>IF(B130="","",YEAR(B130))</f>
        <v/>
      </c>
    </row>
    <row r="131">
      <c r="A131" s="30" t="inlineStr"/>
      <c r="B131" s="38" t="inlineStr"/>
      <c r="C131" s="30" t="inlineStr"/>
      <c r="D131" s="30" t="inlineStr"/>
      <c r="E131" s="30" t="inlineStr"/>
      <c r="F131" s="34" t="inlineStr"/>
      <c r="G131" s="30" t="inlineStr"/>
      <c r="H131" s="30" t="inlineStr"/>
      <c r="I131" s="45">
        <f>IF(B131="","",MONTH(B131))</f>
        <v/>
      </c>
      <c r="J131" s="45">
        <f>IF(B131="","",YEAR(B131))</f>
        <v/>
      </c>
    </row>
    <row r="132">
      <c r="A132" s="30" t="inlineStr"/>
      <c r="B132" s="38" t="inlineStr"/>
      <c r="C132" s="30" t="inlineStr"/>
      <c r="D132" s="30" t="inlineStr"/>
      <c r="E132" s="30" t="inlineStr"/>
      <c r="F132" s="34" t="inlineStr"/>
      <c r="G132" s="30" t="inlineStr"/>
      <c r="H132" s="30" t="inlineStr"/>
      <c r="I132" s="45">
        <f>IF(B132="","",MONTH(B132))</f>
        <v/>
      </c>
      <c r="J132" s="45">
        <f>IF(B132="","",YEAR(B132))</f>
        <v/>
      </c>
    </row>
    <row r="133">
      <c r="A133" s="30" t="inlineStr"/>
      <c r="B133" s="38" t="inlineStr"/>
      <c r="C133" s="30" t="inlineStr"/>
      <c r="D133" s="30" t="inlineStr"/>
      <c r="E133" s="30" t="inlineStr"/>
      <c r="F133" s="34" t="inlineStr"/>
      <c r="G133" s="30" t="inlineStr"/>
      <c r="H133" s="30" t="inlineStr"/>
      <c r="I133" s="45">
        <f>IF(B133="","",MONTH(B133))</f>
        <v/>
      </c>
      <c r="J133" s="45">
        <f>IF(B133="","",YEAR(B133))</f>
        <v/>
      </c>
    </row>
    <row r="134">
      <c r="A134" s="30" t="inlineStr"/>
      <c r="B134" s="38" t="inlineStr"/>
      <c r="C134" s="30" t="inlineStr"/>
      <c r="D134" s="30" t="inlineStr"/>
      <c r="E134" s="30" t="inlineStr"/>
      <c r="F134" s="34" t="inlineStr"/>
      <c r="G134" s="30" t="inlineStr"/>
      <c r="H134" s="30" t="inlineStr"/>
      <c r="I134" s="45">
        <f>IF(B134="","",MONTH(B134))</f>
        <v/>
      </c>
      <c r="J134" s="45">
        <f>IF(B134="","",YEAR(B134))</f>
        <v/>
      </c>
    </row>
    <row r="135">
      <c r="A135" s="30" t="inlineStr"/>
      <c r="B135" s="38" t="inlineStr"/>
      <c r="C135" s="30" t="inlineStr"/>
      <c r="D135" s="30" t="inlineStr"/>
      <c r="E135" s="30" t="inlineStr"/>
      <c r="F135" s="34" t="inlineStr"/>
      <c r="G135" s="30" t="inlineStr"/>
      <c r="H135" s="30" t="inlineStr"/>
      <c r="I135" s="45">
        <f>IF(B135="","",MONTH(B135))</f>
        <v/>
      </c>
      <c r="J135" s="45">
        <f>IF(B135="","",YEAR(B135))</f>
        <v/>
      </c>
    </row>
    <row r="136">
      <c r="A136" s="30" t="inlineStr"/>
      <c r="B136" s="38" t="inlineStr"/>
      <c r="C136" s="30" t="inlineStr"/>
      <c r="D136" s="30" t="inlineStr"/>
      <c r="E136" s="30" t="inlineStr"/>
      <c r="F136" s="34" t="inlineStr"/>
      <c r="G136" s="30" t="inlineStr"/>
      <c r="H136" s="30" t="inlineStr"/>
      <c r="I136" s="45">
        <f>IF(B136="","",MONTH(B136))</f>
        <v/>
      </c>
      <c r="J136" s="45">
        <f>IF(B136="","",YEAR(B136))</f>
        <v/>
      </c>
    </row>
    <row r="137">
      <c r="A137" s="30" t="inlineStr"/>
      <c r="B137" s="38" t="inlineStr"/>
      <c r="C137" s="30" t="inlineStr"/>
      <c r="D137" s="30" t="inlineStr"/>
      <c r="E137" s="30" t="inlineStr"/>
      <c r="F137" s="34" t="inlineStr"/>
      <c r="G137" s="30" t="inlineStr"/>
      <c r="H137" s="30" t="inlineStr"/>
      <c r="I137" s="45">
        <f>IF(B137="","",MONTH(B137))</f>
        <v/>
      </c>
      <c r="J137" s="45">
        <f>IF(B137="","",YEAR(B137))</f>
        <v/>
      </c>
    </row>
    <row r="138">
      <c r="A138" s="30" t="inlineStr"/>
      <c r="B138" s="38" t="inlineStr"/>
      <c r="C138" s="30" t="inlineStr"/>
      <c r="D138" s="30" t="inlineStr"/>
      <c r="E138" s="30" t="inlineStr"/>
      <c r="F138" s="34" t="inlineStr"/>
      <c r="G138" s="30" t="inlineStr"/>
      <c r="H138" s="30" t="inlineStr"/>
      <c r="I138" s="45">
        <f>IF(B138="","",MONTH(B138))</f>
        <v/>
      </c>
      <c r="J138" s="45">
        <f>IF(B138="","",YEAR(B138))</f>
        <v/>
      </c>
    </row>
    <row r="139">
      <c r="A139" s="30" t="inlineStr"/>
      <c r="B139" s="38" t="inlineStr"/>
      <c r="C139" s="30" t="inlineStr"/>
      <c r="D139" s="30" t="inlineStr"/>
      <c r="E139" s="30" t="inlineStr"/>
      <c r="F139" s="34" t="inlineStr"/>
      <c r="G139" s="30" t="inlineStr"/>
      <c r="H139" s="30" t="inlineStr"/>
      <c r="I139" s="45">
        <f>IF(B139="","",MONTH(B139))</f>
        <v/>
      </c>
      <c r="J139" s="45">
        <f>IF(B139="","",YEAR(B139))</f>
        <v/>
      </c>
    </row>
    <row r="140">
      <c r="A140" s="30" t="inlineStr"/>
      <c r="B140" s="38" t="inlineStr"/>
      <c r="C140" s="30" t="inlineStr"/>
      <c r="D140" s="30" t="inlineStr"/>
      <c r="E140" s="30" t="inlineStr"/>
      <c r="F140" s="34" t="inlineStr"/>
      <c r="G140" s="30" t="inlineStr"/>
      <c r="H140" s="30" t="inlineStr"/>
      <c r="I140" s="45">
        <f>IF(B140="","",MONTH(B140))</f>
        <v/>
      </c>
      <c r="J140" s="45">
        <f>IF(B140="","",YEAR(B140))</f>
        <v/>
      </c>
    </row>
    <row r="141">
      <c r="A141" s="30" t="inlineStr"/>
      <c r="B141" s="38" t="inlineStr"/>
      <c r="C141" s="30" t="inlineStr"/>
      <c r="D141" s="30" t="inlineStr"/>
      <c r="E141" s="30" t="inlineStr"/>
      <c r="F141" s="34" t="inlineStr"/>
      <c r="G141" s="30" t="inlineStr"/>
      <c r="H141" s="30" t="inlineStr"/>
      <c r="I141" s="45">
        <f>IF(B141="","",MONTH(B141))</f>
        <v/>
      </c>
      <c r="J141" s="45">
        <f>IF(B141="","",YEAR(B141))</f>
        <v/>
      </c>
    </row>
    <row r="142">
      <c r="A142" s="30" t="inlineStr"/>
      <c r="B142" s="38" t="inlineStr"/>
      <c r="C142" s="30" t="inlineStr"/>
      <c r="D142" s="30" t="inlineStr"/>
      <c r="E142" s="30" t="inlineStr"/>
      <c r="F142" s="34" t="inlineStr"/>
      <c r="G142" s="30" t="inlineStr"/>
      <c r="H142" s="30" t="inlineStr"/>
      <c r="I142" s="45">
        <f>IF(B142="","",MONTH(B142))</f>
        <v/>
      </c>
      <c r="J142" s="45">
        <f>IF(B142="","",YEAR(B142))</f>
        <v/>
      </c>
    </row>
    <row r="143">
      <c r="A143" s="30" t="inlineStr"/>
      <c r="B143" s="38" t="inlineStr"/>
      <c r="C143" s="30" t="inlineStr"/>
      <c r="D143" s="30" t="inlineStr"/>
      <c r="E143" s="30" t="inlineStr"/>
      <c r="F143" s="34" t="inlineStr"/>
      <c r="G143" s="30" t="inlineStr"/>
      <c r="H143" s="30" t="inlineStr"/>
      <c r="I143" s="45">
        <f>IF(B143="","",MONTH(B143))</f>
        <v/>
      </c>
      <c r="J143" s="45">
        <f>IF(B143="","",YEAR(B143))</f>
        <v/>
      </c>
    </row>
    <row r="144">
      <c r="A144" s="30" t="inlineStr"/>
      <c r="B144" s="38" t="inlineStr"/>
      <c r="C144" s="30" t="inlineStr"/>
      <c r="D144" s="30" t="inlineStr"/>
      <c r="E144" s="30" t="inlineStr"/>
      <c r="F144" s="34" t="inlineStr"/>
      <c r="G144" s="30" t="inlineStr"/>
      <c r="H144" s="30" t="inlineStr"/>
      <c r="I144" s="45">
        <f>IF(B144="","",MONTH(B144))</f>
        <v/>
      </c>
      <c r="J144" s="45">
        <f>IF(B144="","",YEAR(B144))</f>
        <v/>
      </c>
    </row>
    <row r="145">
      <c r="A145" s="30" t="inlineStr"/>
      <c r="B145" s="38" t="inlineStr"/>
      <c r="C145" s="30" t="inlineStr"/>
      <c r="D145" s="30" t="inlineStr"/>
      <c r="E145" s="30" t="inlineStr"/>
      <c r="F145" s="34" t="inlineStr"/>
      <c r="G145" s="30" t="inlineStr"/>
      <c r="H145" s="30" t="inlineStr"/>
      <c r="I145" s="45">
        <f>IF(B145="","",MONTH(B145))</f>
        <v/>
      </c>
      <c r="J145" s="45">
        <f>IF(B145="","",YEAR(B145))</f>
        <v/>
      </c>
    </row>
    <row r="146">
      <c r="A146" s="30" t="inlineStr"/>
      <c r="B146" s="38" t="inlineStr"/>
      <c r="C146" s="30" t="inlineStr"/>
      <c r="D146" s="30" t="inlineStr"/>
      <c r="E146" s="30" t="inlineStr"/>
      <c r="F146" s="34" t="inlineStr"/>
      <c r="G146" s="30" t="inlineStr"/>
      <c r="H146" s="30" t="inlineStr"/>
      <c r="I146" s="45">
        <f>IF(B146="","",MONTH(B146))</f>
        <v/>
      </c>
      <c r="J146" s="45">
        <f>IF(B146="","",YEAR(B146))</f>
        <v/>
      </c>
    </row>
    <row r="147">
      <c r="A147" s="30" t="inlineStr"/>
      <c r="B147" s="38" t="inlineStr"/>
      <c r="C147" s="30" t="inlineStr"/>
      <c r="D147" s="30" t="inlineStr"/>
      <c r="E147" s="30" t="inlineStr"/>
      <c r="F147" s="34" t="inlineStr"/>
      <c r="G147" s="30" t="inlineStr"/>
      <c r="H147" s="30" t="inlineStr"/>
      <c r="I147" s="45">
        <f>IF(B147="","",MONTH(B147))</f>
        <v/>
      </c>
      <c r="J147" s="45">
        <f>IF(B147="","",YEAR(B147))</f>
        <v/>
      </c>
    </row>
    <row r="148">
      <c r="A148" s="30" t="inlineStr"/>
      <c r="B148" s="38" t="inlineStr"/>
      <c r="C148" s="30" t="inlineStr"/>
      <c r="D148" s="30" t="inlineStr"/>
      <c r="E148" s="30" t="inlineStr"/>
      <c r="F148" s="34" t="inlineStr"/>
      <c r="G148" s="30" t="inlineStr"/>
      <c r="H148" s="30" t="inlineStr"/>
      <c r="I148" s="45">
        <f>IF(B148="","",MONTH(B148))</f>
        <v/>
      </c>
      <c r="J148" s="45">
        <f>IF(B148="","",YEAR(B148))</f>
        <v/>
      </c>
    </row>
    <row r="149">
      <c r="A149" s="30" t="inlineStr"/>
      <c r="B149" s="38" t="inlineStr"/>
      <c r="C149" s="30" t="inlineStr"/>
      <c r="D149" s="30" t="inlineStr"/>
      <c r="E149" s="30" t="inlineStr"/>
      <c r="F149" s="34" t="inlineStr"/>
      <c r="G149" s="30" t="inlineStr"/>
      <c r="H149" s="30" t="inlineStr"/>
      <c r="I149" s="45">
        <f>IF(B149="","",MONTH(B149))</f>
        <v/>
      </c>
      <c r="J149" s="45">
        <f>IF(B149="","",YEAR(B149))</f>
        <v/>
      </c>
    </row>
    <row r="150">
      <c r="A150" s="30" t="inlineStr"/>
      <c r="B150" s="38" t="inlineStr"/>
      <c r="C150" s="30" t="inlineStr"/>
      <c r="D150" s="30" t="inlineStr"/>
      <c r="E150" s="30" t="inlineStr"/>
      <c r="F150" s="34" t="inlineStr"/>
      <c r="G150" s="30" t="inlineStr"/>
      <c r="H150" s="30" t="inlineStr"/>
      <c r="I150" s="45">
        <f>IF(B150="","",MONTH(B150))</f>
        <v/>
      </c>
      <c r="J150" s="45">
        <f>IF(B150="","",YEAR(B150))</f>
        <v/>
      </c>
    </row>
    <row r="151">
      <c r="A151" s="30" t="inlineStr"/>
      <c r="B151" s="38" t="inlineStr"/>
      <c r="C151" s="30" t="inlineStr"/>
      <c r="D151" s="30" t="inlineStr"/>
      <c r="E151" s="30" t="inlineStr"/>
      <c r="F151" s="34" t="inlineStr"/>
      <c r="G151" s="30" t="inlineStr"/>
      <c r="H151" s="30" t="inlineStr"/>
      <c r="I151" s="45">
        <f>IF(B151="","",MONTH(B151))</f>
        <v/>
      </c>
      <c r="J151" s="45">
        <f>IF(B151="","",YEAR(B151))</f>
        <v/>
      </c>
    </row>
    <row r="152">
      <c r="A152" s="30" t="inlineStr"/>
      <c r="B152" s="38" t="inlineStr"/>
      <c r="C152" s="30" t="inlineStr"/>
      <c r="D152" s="30" t="inlineStr"/>
      <c r="E152" s="30" t="inlineStr"/>
      <c r="F152" s="34" t="inlineStr"/>
      <c r="G152" s="30" t="inlineStr"/>
      <c r="H152" s="30" t="inlineStr"/>
      <c r="I152" s="45">
        <f>IF(B152="","",MONTH(B152))</f>
        <v/>
      </c>
      <c r="J152" s="45">
        <f>IF(B152="","",YEAR(B152))</f>
        <v/>
      </c>
    </row>
    <row r="153">
      <c r="A153" s="30" t="inlineStr"/>
      <c r="B153" s="38" t="inlineStr"/>
      <c r="C153" s="30" t="inlineStr"/>
      <c r="D153" s="30" t="inlineStr"/>
      <c r="E153" s="30" t="inlineStr"/>
      <c r="F153" s="34" t="inlineStr"/>
      <c r="G153" s="30" t="inlineStr"/>
      <c r="H153" s="30" t="inlineStr"/>
      <c r="I153" s="45">
        <f>IF(B153="","",MONTH(B153))</f>
        <v/>
      </c>
      <c r="J153" s="45">
        <f>IF(B153="","",YEAR(B153))</f>
        <v/>
      </c>
    </row>
    <row r="154">
      <c r="A154" s="30" t="inlineStr"/>
      <c r="B154" s="38" t="inlineStr"/>
      <c r="C154" s="30" t="inlineStr"/>
      <c r="D154" s="30" t="inlineStr"/>
      <c r="E154" s="30" t="inlineStr"/>
      <c r="F154" s="34" t="inlineStr"/>
      <c r="G154" s="30" t="inlineStr"/>
      <c r="H154" s="30" t="inlineStr"/>
      <c r="I154" s="45">
        <f>IF(B154="","",MONTH(B154))</f>
        <v/>
      </c>
      <c r="J154" s="45">
        <f>IF(B154="","",YEAR(B154))</f>
        <v/>
      </c>
    </row>
    <row r="155">
      <c r="A155" s="30" t="inlineStr"/>
      <c r="B155" s="38" t="inlineStr"/>
      <c r="C155" s="30" t="inlineStr"/>
      <c r="D155" s="30" t="inlineStr"/>
      <c r="E155" s="30" t="inlineStr"/>
      <c r="F155" s="34" t="inlineStr"/>
      <c r="G155" s="30" t="inlineStr"/>
      <c r="H155" s="30" t="inlineStr"/>
      <c r="I155" s="45">
        <f>IF(B155="","",MONTH(B155))</f>
        <v/>
      </c>
      <c r="J155" s="45">
        <f>IF(B155="","",YEAR(B155))</f>
        <v/>
      </c>
    </row>
    <row r="156">
      <c r="A156" s="30" t="inlineStr"/>
      <c r="B156" s="38" t="inlineStr"/>
      <c r="C156" s="30" t="inlineStr"/>
      <c r="D156" s="30" t="inlineStr"/>
      <c r="E156" s="30" t="inlineStr"/>
      <c r="F156" s="34" t="inlineStr"/>
      <c r="G156" s="30" t="inlineStr"/>
      <c r="H156" s="30" t="inlineStr"/>
      <c r="I156" s="45">
        <f>IF(B156="","",MONTH(B156))</f>
        <v/>
      </c>
      <c r="J156" s="45">
        <f>IF(B156="","",YEAR(B156))</f>
        <v/>
      </c>
    </row>
    <row r="157">
      <c r="A157" s="30" t="inlineStr"/>
      <c r="B157" s="38" t="inlineStr"/>
      <c r="C157" s="30" t="inlineStr"/>
      <c r="D157" s="30" t="inlineStr"/>
      <c r="E157" s="30" t="inlineStr"/>
      <c r="F157" s="34" t="inlineStr"/>
      <c r="G157" s="30" t="inlineStr"/>
      <c r="H157" s="30" t="inlineStr"/>
      <c r="I157" s="45">
        <f>IF(B157="","",MONTH(B157))</f>
        <v/>
      </c>
      <c r="J157" s="45">
        <f>IF(B157="","",YEAR(B157))</f>
        <v/>
      </c>
    </row>
    <row r="158">
      <c r="A158" s="30" t="inlineStr"/>
      <c r="B158" s="38" t="inlineStr"/>
      <c r="C158" s="30" t="inlineStr"/>
      <c r="D158" s="30" t="inlineStr"/>
      <c r="E158" s="30" t="inlineStr"/>
      <c r="F158" s="34" t="inlineStr"/>
      <c r="G158" s="30" t="inlineStr"/>
      <c r="H158" s="30" t="inlineStr"/>
      <c r="I158" s="45">
        <f>IF(B158="","",MONTH(B158))</f>
        <v/>
      </c>
      <c r="J158" s="45">
        <f>IF(B158="","",YEAR(B158))</f>
        <v/>
      </c>
    </row>
    <row r="159">
      <c r="A159" s="30" t="inlineStr"/>
      <c r="B159" s="38" t="inlineStr"/>
      <c r="C159" s="30" t="inlineStr"/>
      <c r="D159" s="30" t="inlineStr"/>
      <c r="E159" s="30" t="inlineStr"/>
      <c r="F159" s="34" t="inlineStr"/>
      <c r="G159" s="30" t="inlineStr"/>
      <c r="H159" s="30" t="inlineStr"/>
      <c r="I159" s="45">
        <f>IF(B159="","",MONTH(B159))</f>
        <v/>
      </c>
      <c r="J159" s="45">
        <f>IF(B159="","",YEAR(B159))</f>
        <v/>
      </c>
    </row>
    <row r="160">
      <c r="A160" s="30" t="inlineStr"/>
      <c r="B160" s="38" t="inlineStr"/>
      <c r="C160" s="30" t="inlineStr"/>
      <c r="D160" s="30" t="inlineStr"/>
      <c r="E160" s="30" t="inlineStr"/>
      <c r="F160" s="34" t="inlineStr"/>
      <c r="G160" s="30" t="inlineStr"/>
      <c r="H160" s="30" t="inlineStr"/>
      <c r="I160" s="45">
        <f>IF(B160="","",MONTH(B160))</f>
        <v/>
      </c>
      <c r="J160" s="45">
        <f>IF(B160="","",YEAR(B160))</f>
        <v/>
      </c>
    </row>
    <row r="161">
      <c r="A161" s="30" t="inlineStr"/>
      <c r="B161" s="38" t="inlineStr"/>
      <c r="C161" s="30" t="inlineStr"/>
      <c r="D161" s="30" t="inlineStr"/>
      <c r="E161" s="30" t="inlineStr"/>
      <c r="F161" s="34" t="inlineStr"/>
      <c r="G161" s="30" t="inlineStr"/>
      <c r="H161" s="30" t="inlineStr"/>
      <c r="I161" s="45">
        <f>IF(B161="","",MONTH(B161))</f>
        <v/>
      </c>
      <c r="J161" s="45">
        <f>IF(B161="","",YEAR(B161))</f>
        <v/>
      </c>
    </row>
    <row r="162">
      <c r="A162" s="30" t="inlineStr"/>
      <c r="B162" s="38" t="inlineStr"/>
      <c r="C162" s="30" t="inlineStr"/>
      <c r="D162" s="30" t="inlineStr"/>
      <c r="E162" s="30" t="inlineStr"/>
      <c r="F162" s="34" t="inlineStr"/>
      <c r="G162" s="30" t="inlineStr"/>
      <c r="H162" s="30" t="inlineStr"/>
      <c r="I162" s="45">
        <f>IF(B162="","",MONTH(B162))</f>
        <v/>
      </c>
      <c r="J162" s="45">
        <f>IF(B162="","",YEAR(B162))</f>
        <v/>
      </c>
    </row>
    <row r="163">
      <c r="A163" s="30" t="inlineStr"/>
      <c r="B163" s="38" t="inlineStr"/>
      <c r="C163" s="30" t="inlineStr"/>
      <c r="D163" s="30" t="inlineStr"/>
      <c r="E163" s="30" t="inlineStr"/>
      <c r="F163" s="34" t="inlineStr"/>
      <c r="G163" s="30" t="inlineStr"/>
      <c r="H163" s="30" t="inlineStr"/>
      <c r="I163" s="45">
        <f>IF(B163="","",MONTH(B163))</f>
        <v/>
      </c>
      <c r="J163" s="45">
        <f>IF(B163="","",YEAR(B163))</f>
        <v/>
      </c>
    </row>
    <row r="164">
      <c r="A164" s="30" t="inlineStr"/>
      <c r="B164" s="38" t="inlineStr"/>
      <c r="C164" s="30" t="inlineStr"/>
      <c r="D164" s="30" t="inlineStr"/>
      <c r="E164" s="30" t="inlineStr"/>
      <c r="F164" s="34" t="inlineStr"/>
      <c r="G164" s="30" t="inlineStr"/>
      <c r="H164" s="30" t="inlineStr"/>
      <c r="I164" s="45">
        <f>IF(B164="","",MONTH(B164))</f>
        <v/>
      </c>
      <c r="J164" s="45">
        <f>IF(B164="","",YEAR(B164))</f>
        <v/>
      </c>
    </row>
    <row r="165">
      <c r="A165" s="30" t="inlineStr"/>
      <c r="B165" s="38" t="inlineStr"/>
      <c r="C165" s="30" t="inlineStr"/>
      <c r="D165" s="30" t="inlineStr"/>
      <c r="E165" s="30" t="inlineStr"/>
      <c r="F165" s="34" t="inlineStr"/>
      <c r="G165" s="30" t="inlineStr"/>
      <c r="H165" s="30" t="inlineStr"/>
      <c r="I165" s="45">
        <f>IF(B165="","",MONTH(B165))</f>
        <v/>
      </c>
      <c r="J165" s="45">
        <f>IF(B165="","",YEAR(B165))</f>
        <v/>
      </c>
    </row>
    <row r="166">
      <c r="A166" s="30" t="inlineStr"/>
      <c r="B166" s="38" t="inlineStr"/>
      <c r="C166" s="30" t="inlineStr"/>
      <c r="D166" s="30" t="inlineStr"/>
      <c r="E166" s="30" t="inlineStr"/>
      <c r="F166" s="34" t="inlineStr"/>
      <c r="G166" s="30" t="inlineStr"/>
      <c r="H166" s="30" t="inlineStr"/>
      <c r="I166" s="45">
        <f>IF(B166="","",MONTH(B166))</f>
        <v/>
      </c>
      <c r="J166" s="45">
        <f>IF(B166="","",YEAR(B166))</f>
        <v/>
      </c>
    </row>
    <row r="167">
      <c r="A167" s="30" t="inlineStr"/>
      <c r="B167" s="38" t="inlineStr"/>
      <c r="C167" s="30" t="inlineStr"/>
      <c r="D167" s="30" t="inlineStr"/>
      <c r="E167" s="30" t="inlineStr"/>
      <c r="F167" s="34" t="inlineStr"/>
      <c r="G167" s="30" t="inlineStr"/>
      <c r="H167" s="30" t="inlineStr"/>
      <c r="I167" s="45">
        <f>IF(B167="","",MONTH(B167))</f>
        <v/>
      </c>
      <c r="J167" s="45">
        <f>IF(B167="","",YEAR(B167))</f>
        <v/>
      </c>
    </row>
    <row r="168">
      <c r="A168" s="30" t="inlineStr"/>
      <c r="B168" s="38" t="inlineStr"/>
      <c r="C168" s="30" t="inlineStr"/>
      <c r="D168" s="30" t="inlineStr"/>
      <c r="E168" s="30" t="inlineStr"/>
      <c r="F168" s="34" t="inlineStr"/>
      <c r="G168" s="30" t="inlineStr"/>
      <c r="H168" s="30" t="inlineStr"/>
      <c r="I168" s="45">
        <f>IF(B168="","",MONTH(B168))</f>
        <v/>
      </c>
      <c r="J168" s="45">
        <f>IF(B168="","",YEAR(B168))</f>
        <v/>
      </c>
    </row>
    <row r="169">
      <c r="A169" s="30" t="inlineStr"/>
      <c r="B169" s="38" t="inlineStr"/>
      <c r="C169" s="30" t="inlineStr"/>
      <c r="D169" s="30" t="inlineStr"/>
      <c r="E169" s="30" t="inlineStr"/>
      <c r="F169" s="34" t="inlineStr"/>
      <c r="G169" s="30" t="inlineStr"/>
      <c r="H169" s="30" t="inlineStr"/>
      <c r="I169" s="45">
        <f>IF(B169="","",MONTH(B169))</f>
        <v/>
      </c>
      <c r="J169" s="45">
        <f>IF(B169="","",YEAR(B169))</f>
        <v/>
      </c>
    </row>
    <row r="170">
      <c r="A170" s="30" t="inlineStr"/>
      <c r="B170" s="38" t="inlineStr"/>
      <c r="C170" s="30" t="inlineStr"/>
      <c r="D170" s="30" t="inlineStr"/>
      <c r="E170" s="30" t="inlineStr"/>
      <c r="F170" s="34" t="inlineStr"/>
      <c r="G170" s="30" t="inlineStr"/>
      <c r="H170" s="30" t="inlineStr"/>
      <c r="I170" s="45">
        <f>IF(B170="","",MONTH(B170))</f>
        <v/>
      </c>
      <c r="J170" s="45">
        <f>IF(B170="","",YEAR(B170))</f>
        <v/>
      </c>
    </row>
    <row r="171">
      <c r="A171" s="30" t="inlineStr"/>
      <c r="B171" s="38" t="inlineStr"/>
      <c r="C171" s="30" t="inlineStr"/>
      <c r="D171" s="30" t="inlineStr"/>
      <c r="E171" s="30" t="inlineStr"/>
      <c r="F171" s="34" t="inlineStr"/>
      <c r="G171" s="30" t="inlineStr"/>
      <c r="H171" s="30" t="inlineStr"/>
      <c r="I171" s="45">
        <f>IF(B171="","",MONTH(B171))</f>
        <v/>
      </c>
      <c r="J171" s="45">
        <f>IF(B171="","",YEAR(B171))</f>
        <v/>
      </c>
    </row>
    <row r="172">
      <c r="A172" s="30" t="inlineStr"/>
      <c r="B172" s="38" t="inlineStr"/>
      <c r="C172" s="30" t="inlineStr"/>
      <c r="D172" s="30" t="inlineStr"/>
      <c r="E172" s="30" t="inlineStr"/>
      <c r="F172" s="34" t="inlineStr"/>
      <c r="G172" s="30" t="inlineStr"/>
      <c r="H172" s="30" t="inlineStr"/>
      <c r="I172" s="45">
        <f>IF(B172="","",MONTH(B172))</f>
        <v/>
      </c>
      <c r="J172" s="45">
        <f>IF(B172="","",YEAR(B172))</f>
        <v/>
      </c>
    </row>
    <row r="173">
      <c r="A173" s="30" t="inlineStr"/>
      <c r="B173" s="38" t="inlineStr"/>
      <c r="C173" s="30" t="inlineStr"/>
      <c r="D173" s="30" t="inlineStr"/>
      <c r="E173" s="30" t="inlineStr"/>
      <c r="F173" s="34" t="inlineStr"/>
      <c r="G173" s="30" t="inlineStr"/>
      <c r="H173" s="30" t="inlineStr"/>
      <c r="I173" s="45">
        <f>IF(B173="","",MONTH(B173))</f>
        <v/>
      </c>
      <c r="J173" s="45">
        <f>IF(B173="","",YEAR(B173))</f>
        <v/>
      </c>
    </row>
    <row r="174">
      <c r="A174" s="30" t="inlineStr"/>
      <c r="B174" s="38" t="inlineStr"/>
      <c r="C174" s="30" t="inlineStr"/>
      <c r="D174" s="30" t="inlineStr"/>
      <c r="E174" s="30" t="inlineStr"/>
      <c r="F174" s="34" t="inlineStr"/>
      <c r="G174" s="30" t="inlineStr"/>
      <c r="H174" s="30" t="inlineStr"/>
      <c r="I174" s="45">
        <f>IF(B174="","",MONTH(B174))</f>
        <v/>
      </c>
      <c r="J174" s="45">
        <f>IF(B174="","",YEAR(B174))</f>
        <v/>
      </c>
    </row>
    <row r="175">
      <c r="A175" s="30" t="inlineStr"/>
      <c r="B175" s="38" t="inlineStr"/>
      <c r="C175" s="30" t="inlineStr"/>
      <c r="D175" s="30" t="inlineStr"/>
      <c r="E175" s="30" t="inlineStr"/>
      <c r="F175" s="34" t="inlineStr"/>
      <c r="G175" s="30" t="inlineStr"/>
      <c r="H175" s="30" t="inlineStr"/>
      <c r="I175" s="45">
        <f>IF(B175="","",MONTH(B175))</f>
        <v/>
      </c>
      <c r="J175" s="45">
        <f>IF(B175="","",YEAR(B175))</f>
        <v/>
      </c>
    </row>
    <row r="176">
      <c r="A176" s="30" t="inlineStr"/>
      <c r="B176" s="38" t="inlineStr"/>
      <c r="C176" s="30" t="inlineStr"/>
      <c r="D176" s="30" t="inlineStr"/>
      <c r="E176" s="30" t="inlineStr"/>
      <c r="F176" s="34" t="inlineStr"/>
      <c r="G176" s="30" t="inlineStr"/>
      <c r="H176" s="30" t="inlineStr"/>
      <c r="I176" s="45">
        <f>IF(B176="","",MONTH(B176))</f>
        <v/>
      </c>
      <c r="J176" s="45">
        <f>IF(B176="","",YEAR(B176))</f>
        <v/>
      </c>
    </row>
    <row r="177">
      <c r="A177" s="30" t="inlineStr"/>
      <c r="B177" s="38" t="inlineStr"/>
      <c r="C177" s="30" t="inlineStr"/>
      <c r="D177" s="30" t="inlineStr"/>
      <c r="E177" s="30" t="inlineStr"/>
      <c r="F177" s="34" t="inlineStr"/>
      <c r="G177" s="30" t="inlineStr"/>
      <c r="H177" s="30" t="inlineStr"/>
      <c r="I177" s="45">
        <f>IF(B177="","",MONTH(B177))</f>
        <v/>
      </c>
      <c r="J177" s="45">
        <f>IF(B177="","",YEAR(B177))</f>
        <v/>
      </c>
    </row>
    <row r="178">
      <c r="A178" s="30" t="inlineStr"/>
      <c r="B178" s="38" t="inlineStr"/>
      <c r="C178" s="30" t="inlineStr"/>
      <c r="D178" s="30" t="inlineStr"/>
      <c r="E178" s="30" t="inlineStr"/>
      <c r="F178" s="34" t="inlineStr"/>
      <c r="G178" s="30" t="inlineStr"/>
      <c r="H178" s="30" t="inlineStr"/>
      <c r="I178" s="45">
        <f>IF(B178="","",MONTH(B178))</f>
        <v/>
      </c>
      <c r="J178" s="45">
        <f>IF(B178="","",YEAR(B178))</f>
        <v/>
      </c>
    </row>
    <row r="179">
      <c r="A179" s="30" t="inlineStr"/>
      <c r="B179" s="38" t="inlineStr"/>
      <c r="C179" s="30" t="inlineStr"/>
      <c r="D179" s="30" t="inlineStr"/>
      <c r="E179" s="30" t="inlineStr"/>
      <c r="F179" s="34" t="inlineStr"/>
      <c r="G179" s="30" t="inlineStr"/>
      <c r="H179" s="30" t="inlineStr"/>
      <c r="I179" s="45">
        <f>IF(B179="","",MONTH(B179))</f>
        <v/>
      </c>
      <c r="J179" s="45">
        <f>IF(B179="","",YEAR(B179))</f>
        <v/>
      </c>
    </row>
    <row r="180">
      <c r="A180" s="30" t="inlineStr"/>
      <c r="B180" s="38" t="inlineStr"/>
      <c r="C180" s="30" t="inlineStr"/>
      <c r="D180" s="30" t="inlineStr"/>
      <c r="E180" s="30" t="inlineStr"/>
      <c r="F180" s="34" t="inlineStr"/>
      <c r="G180" s="30" t="inlineStr"/>
      <c r="H180" s="30" t="inlineStr"/>
      <c r="I180" s="45">
        <f>IF(B180="","",MONTH(B180))</f>
        <v/>
      </c>
      <c r="J180" s="45">
        <f>IF(B180="","",YEAR(B180))</f>
        <v/>
      </c>
    </row>
    <row r="181">
      <c r="A181" s="30" t="inlineStr"/>
      <c r="B181" s="38" t="inlineStr"/>
      <c r="C181" s="30" t="inlineStr"/>
      <c r="D181" s="30" t="inlineStr"/>
      <c r="E181" s="30" t="inlineStr"/>
      <c r="F181" s="34" t="inlineStr"/>
      <c r="G181" s="30" t="inlineStr"/>
      <c r="H181" s="30" t="inlineStr"/>
      <c r="I181" s="45">
        <f>IF(B181="","",MONTH(B181))</f>
        <v/>
      </c>
      <c r="J181" s="45">
        <f>IF(B181="","",YEAR(B181))</f>
        <v/>
      </c>
    </row>
    <row r="182">
      <c r="A182" s="30" t="inlineStr"/>
      <c r="B182" s="38" t="inlineStr"/>
      <c r="C182" s="30" t="inlineStr"/>
      <c r="D182" s="30" t="inlineStr"/>
      <c r="E182" s="30" t="inlineStr"/>
      <c r="F182" s="34" t="inlineStr"/>
      <c r="G182" s="30" t="inlineStr"/>
      <c r="H182" s="30" t="inlineStr"/>
      <c r="I182" s="45">
        <f>IF(B182="","",MONTH(B182))</f>
        <v/>
      </c>
      <c r="J182" s="45">
        <f>IF(B182="","",YEAR(B182))</f>
        <v/>
      </c>
    </row>
    <row r="183">
      <c r="A183" s="30" t="inlineStr"/>
      <c r="B183" s="38" t="inlineStr"/>
      <c r="C183" s="30" t="inlineStr"/>
      <c r="D183" s="30" t="inlineStr"/>
      <c r="E183" s="30" t="inlineStr"/>
      <c r="F183" s="34" t="inlineStr"/>
      <c r="G183" s="30" t="inlineStr"/>
      <c r="H183" s="30" t="inlineStr"/>
      <c r="I183" s="45">
        <f>IF(B183="","",MONTH(B183))</f>
        <v/>
      </c>
      <c r="J183" s="45">
        <f>IF(B183="","",YEAR(B183))</f>
        <v/>
      </c>
    </row>
    <row r="184">
      <c r="A184" s="30" t="inlineStr"/>
      <c r="B184" s="38" t="inlineStr"/>
      <c r="C184" s="30" t="inlineStr"/>
      <c r="D184" s="30" t="inlineStr"/>
      <c r="E184" s="30" t="inlineStr"/>
      <c r="F184" s="34" t="inlineStr"/>
      <c r="G184" s="30" t="inlineStr"/>
      <c r="H184" s="30" t="inlineStr"/>
      <c r="I184" s="45">
        <f>IF(B184="","",MONTH(B184))</f>
        <v/>
      </c>
      <c r="J184" s="45">
        <f>IF(B184="","",YEAR(B184))</f>
        <v/>
      </c>
    </row>
    <row r="185">
      <c r="A185" s="30" t="inlineStr"/>
      <c r="B185" s="38" t="inlineStr"/>
      <c r="C185" s="30" t="inlineStr"/>
      <c r="D185" s="30" t="inlineStr"/>
      <c r="E185" s="30" t="inlineStr"/>
      <c r="F185" s="34" t="inlineStr"/>
      <c r="G185" s="30" t="inlineStr"/>
      <c r="H185" s="30" t="inlineStr"/>
      <c r="I185" s="45">
        <f>IF(B185="","",MONTH(B185))</f>
        <v/>
      </c>
      <c r="J185" s="45">
        <f>IF(B185="","",YEAR(B185))</f>
        <v/>
      </c>
    </row>
    <row r="186">
      <c r="A186" s="30" t="inlineStr"/>
      <c r="B186" s="38" t="inlineStr"/>
      <c r="C186" s="30" t="inlineStr"/>
      <c r="D186" s="30" t="inlineStr"/>
      <c r="E186" s="30" t="inlineStr"/>
      <c r="F186" s="34" t="inlineStr"/>
      <c r="G186" s="30" t="inlineStr"/>
      <c r="H186" s="30" t="inlineStr"/>
      <c r="I186" s="45">
        <f>IF(B186="","",MONTH(B186))</f>
        <v/>
      </c>
      <c r="J186" s="45">
        <f>IF(B186="","",YEAR(B186))</f>
        <v/>
      </c>
    </row>
    <row r="187">
      <c r="A187" s="30" t="inlineStr"/>
      <c r="B187" s="38" t="inlineStr"/>
      <c r="C187" s="30" t="inlineStr"/>
      <c r="D187" s="30" t="inlineStr"/>
      <c r="E187" s="30" t="inlineStr"/>
      <c r="F187" s="34" t="inlineStr"/>
      <c r="G187" s="30" t="inlineStr"/>
      <c r="H187" s="30" t="inlineStr"/>
      <c r="I187" s="45">
        <f>IF(B187="","",MONTH(B187))</f>
        <v/>
      </c>
      <c r="J187" s="45">
        <f>IF(B187="","",YEAR(B187))</f>
        <v/>
      </c>
    </row>
    <row r="188">
      <c r="A188" s="30" t="inlineStr"/>
      <c r="B188" s="38" t="inlineStr"/>
      <c r="C188" s="30" t="inlineStr"/>
      <c r="D188" s="30" t="inlineStr"/>
      <c r="E188" s="30" t="inlineStr"/>
      <c r="F188" s="34" t="inlineStr"/>
      <c r="G188" s="30" t="inlineStr"/>
      <c r="H188" s="30" t="inlineStr"/>
      <c r="I188" s="45">
        <f>IF(B188="","",MONTH(B188))</f>
        <v/>
      </c>
      <c r="J188" s="45">
        <f>IF(B188="","",YEAR(B188))</f>
        <v/>
      </c>
    </row>
    <row r="189">
      <c r="A189" s="30" t="inlineStr"/>
      <c r="B189" s="38" t="inlineStr"/>
      <c r="C189" s="30" t="inlineStr"/>
      <c r="D189" s="30" t="inlineStr"/>
      <c r="E189" s="30" t="inlineStr"/>
      <c r="F189" s="34" t="inlineStr"/>
      <c r="G189" s="30" t="inlineStr"/>
      <c r="H189" s="30" t="inlineStr"/>
      <c r="I189" s="45">
        <f>IF(B189="","",MONTH(B189))</f>
        <v/>
      </c>
      <c r="J189" s="45">
        <f>IF(B189="","",YEAR(B189))</f>
        <v/>
      </c>
    </row>
    <row r="190">
      <c r="A190" s="30" t="inlineStr"/>
      <c r="B190" s="38" t="inlineStr"/>
      <c r="C190" s="30" t="inlineStr"/>
      <c r="D190" s="30" t="inlineStr"/>
      <c r="E190" s="30" t="inlineStr"/>
      <c r="F190" s="34" t="inlineStr"/>
      <c r="G190" s="30" t="inlineStr"/>
      <c r="H190" s="30" t="inlineStr"/>
      <c r="I190" s="45">
        <f>IF(B190="","",MONTH(B190))</f>
        <v/>
      </c>
      <c r="J190" s="45">
        <f>IF(B190="","",YEAR(B190))</f>
        <v/>
      </c>
    </row>
    <row r="191">
      <c r="A191" s="30" t="inlineStr"/>
      <c r="B191" s="38" t="inlineStr"/>
      <c r="C191" s="30" t="inlineStr"/>
      <c r="D191" s="30" t="inlineStr"/>
      <c r="E191" s="30" t="inlineStr"/>
      <c r="F191" s="34" t="inlineStr"/>
      <c r="G191" s="30" t="inlineStr"/>
      <c r="H191" s="30" t="inlineStr"/>
      <c r="I191" s="45">
        <f>IF(B191="","",MONTH(B191))</f>
        <v/>
      </c>
      <c r="J191" s="45">
        <f>IF(B191="","",YEAR(B191))</f>
        <v/>
      </c>
    </row>
    <row r="192">
      <c r="A192" s="30" t="inlineStr"/>
      <c r="B192" s="38" t="inlineStr"/>
      <c r="C192" s="30" t="inlineStr"/>
      <c r="D192" s="30" t="inlineStr"/>
      <c r="E192" s="30" t="inlineStr"/>
      <c r="F192" s="34" t="inlineStr"/>
      <c r="G192" s="30" t="inlineStr"/>
      <c r="H192" s="30" t="inlineStr"/>
      <c r="I192" s="45">
        <f>IF(B192="","",MONTH(B192))</f>
        <v/>
      </c>
      <c r="J192" s="45">
        <f>IF(B192="","",YEAR(B192))</f>
        <v/>
      </c>
    </row>
    <row r="193">
      <c r="A193" s="30" t="inlineStr"/>
      <c r="B193" s="38" t="inlineStr"/>
      <c r="C193" s="30" t="inlineStr"/>
      <c r="D193" s="30" t="inlineStr"/>
      <c r="E193" s="30" t="inlineStr"/>
      <c r="F193" s="34" t="inlineStr"/>
      <c r="G193" s="30" t="inlineStr"/>
      <c r="H193" s="30" t="inlineStr"/>
      <c r="I193" s="45">
        <f>IF(B193="","",MONTH(B193))</f>
        <v/>
      </c>
      <c r="J193" s="45">
        <f>IF(B193="","",YEAR(B193))</f>
        <v/>
      </c>
    </row>
    <row r="194">
      <c r="A194" s="30" t="inlineStr"/>
      <c r="B194" s="38" t="inlineStr"/>
      <c r="C194" s="30" t="inlineStr"/>
      <c r="D194" s="30" t="inlineStr"/>
      <c r="E194" s="30" t="inlineStr"/>
      <c r="F194" s="34" t="inlineStr"/>
      <c r="G194" s="30" t="inlineStr"/>
      <c r="H194" s="30" t="inlineStr"/>
      <c r="I194" s="45">
        <f>IF(B194="","",MONTH(B194))</f>
        <v/>
      </c>
      <c r="J194" s="45">
        <f>IF(B194="","",YEAR(B194))</f>
        <v/>
      </c>
    </row>
    <row r="195">
      <c r="A195" s="30" t="inlineStr"/>
      <c r="B195" s="38" t="inlineStr"/>
      <c r="C195" s="30" t="inlineStr"/>
      <c r="D195" s="30" t="inlineStr"/>
      <c r="E195" s="30" t="inlineStr"/>
      <c r="F195" s="34" t="inlineStr"/>
      <c r="G195" s="30" t="inlineStr"/>
      <c r="H195" s="30" t="inlineStr"/>
      <c r="I195" s="45">
        <f>IF(B195="","",MONTH(B195))</f>
        <v/>
      </c>
      <c r="J195" s="45">
        <f>IF(B195="","",YEAR(B195))</f>
        <v/>
      </c>
    </row>
    <row r="196">
      <c r="A196" s="30" t="inlineStr"/>
      <c r="B196" s="38" t="inlineStr"/>
      <c r="C196" s="30" t="inlineStr"/>
      <c r="D196" s="30" t="inlineStr"/>
      <c r="E196" s="30" t="inlineStr"/>
      <c r="F196" s="34" t="inlineStr"/>
      <c r="G196" s="30" t="inlineStr"/>
      <c r="H196" s="30" t="inlineStr"/>
      <c r="I196" s="45">
        <f>IF(B196="","",MONTH(B196))</f>
        <v/>
      </c>
      <c r="J196" s="45">
        <f>IF(B196="","",YEAR(B196))</f>
        <v/>
      </c>
    </row>
    <row r="197">
      <c r="A197" s="30" t="inlineStr"/>
      <c r="B197" s="38" t="inlineStr"/>
      <c r="C197" s="30" t="inlineStr"/>
      <c r="D197" s="30" t="inlineStr"/>
      <c r="E197" s="30" t="inlineStr"/>
      <c r="F197" s="34" t="inlineStr"/>
      <c r="G197" s="30" t="inlineStr"/>
      <c r="H197" s="30" t="inlineStr"/>
      <c r="I197" s="45">
        <f>IF(B197="","",MONTH(B197))</f>
        <v/>
      </c>
      <c r="J197" s="45">
        <f>IF(B197="","",YEAR(B197))</f>
        <v/>
      </c>
    </row>
    <row r="198">
      <c r="A198" s="30" t="inlineStr"/>
      <c r="B198" s="38" t="inlineStr"/>
      <c r="C198" s="30" t="inlineStr"/>
      <c r="D198" s="30" t="inlineStr"/>
      <c r="E198" s="30" t="inlineStr"/>
      <c r="F198" s="34" t="inlineStr"/>
      <c r="G198" s="30" t="inlineStr"/>
      <c r="H198" s="30" t="inlineStr"/>
      <c r="I198" s="45">
        <f>IF(B198="","",MONTH(B198))</f>
        <v/>
      </c>
      <c r="J198" s="45">
        <f>IF(B198="","",YEAR(B198))</f>
        <v/>
      </c>
    </row>
    <row r="199">
      <c r="A199" s="30" t="inlineStr"/>
      <c r="B199" s="38" t="inlineStr"/>
      <c r="C199" s="30" t="inlineStr"/>
      <c r="D199" s="30" t="inlineStr"/>
      <c r="E199" s="30" t="inlineStr"/>
      <c r="F199" s="34" t="inlineStr"/>
      <c r="G199" s="30" t="inlineStr"/>
      <c r="H199" s="30" t="inlineStr"/>
      <c r="I199" s="45">
        <f>IF(B199="","",MONTH(B199))</f>
        <v/>
      </c>
      <c r="J199" s="45">
        <f>IF(B199="","",YEAR(B199))</f>
        <v/>
      </c>
    </row>
    <row r="200">
      <c r="A200" s="30" t="inlineStr"/>
      <c r="B200" s="38" t="inlineStr"/>
      <c r="C200" s="30" t="inlineStr"/>
      <c r="D200" s="30" t="inlineStr"/>
      <c r="E200" s="30" t="inlineStr"/>
      <c r="F200" s="34" t="inlineStr"/>
      <c r="G200" s="30" t="inlineStr"/>
      <c r="H200" s="30" t="inlineStr"/>
      <c r="I200" s="45">
        <f>IF(B200="","",MONTH(B200))</f>
        <v/>
      </c>
      <c r="J200" s="45">
        <f>IF(B200="","",YEAR(B200))</f>
        <v/>
      </c>
    </row>
    <row r="201">
      <c r="A201" s="30" t="inlineStr"/>
      <c r="B201" s="38" t="inlineStr"/>
      <c r="C201" s="30" t="inlineStr"/>
      <c r="D201" s="30" t="inlineStr"/>
      <c r="E201" s="30" t="inlineStr"/>
      <c r="F201" s="34" t="inlineStr"/>
      <c r="G201" s="30" t="inlineStr"/>
      <c r="H201" s="30" t="inlineStr"/>
      <c r="I201" s="45">
        <f>IF(B201="","",MONTH(B201))</f>
        <v/>
      </c>
      <c r="J201" s="45">
        <f>IF(B201="","",YEAR(B201))</f>
        <v/>
      </c>
    </row>
    <row r="202">
      <c r="A202" s="30" t="inlineStr"/>
      <c r="B202" s="38" t="inlineStr"/>
      <c r="C202" s="30" t="inlineStr"/>
      <c r="D202" s="30" t="inlineStr"/>
      <c r="E202" s="30" t="inlineStr"/>
      <c r="F202" s="34" t="inlineStr"/>
      <c r="G202" s="30" t="inlineStr"/>
      <c r="H202" s="30" t="inlineStr"/>
      <c r="I202" s="45">
        <f>IF(B202="","",MONTH(B202))</f>
        <v/>
      </c>
      <c r="J202" s="45">
        <f>IF(B202="","",YEAR(B202))</f>
        <v/>
      </c>
    </row>
    <row r="203">
      <c r="A203" s="30" t="inlineStr"/>
      <c r="B203" s="38" t="inlineStr"/>
      <c r="C203" s="30" t="inlineStr"/>
      <c r="D203" s="30" t="inlineStr"/>
      <c r="E203" s="30" t="inlineStr"/>
      <c r="F203" s="34" t="inlineStr"/>
      <c r="G203" s="30" t="inlineStr"/>
      <c r="H203" s="30" t="inlineStr"/>
      <c r="I203" s="45">
        <f>IF(B203="","",MONTH(B203))</f>
        <v/>
      </c>
      <c r="J203" s="45">
        <f>IF(B203="","",YEAR(B203))</f>
        <v/>
      </c>
    </row>
    <row r="204">
      <c r="A204" s="30" t="inlineStr"/>
      <c r="B204" s="38" t="inlineStr"/>
      <c r="C204" s="30" t="inlineStr"/>
      <c r="D204" s="30" t="inlineStr"/>
      <c r="E204" s="30" t="inlineStr"/>
      <c r="F204" s="34" t="inlineStr"/>
      <c r="G204" s="30" t="inlineStr"/>
      <c r="H204" s="30" t="inlineStr"/>
      <c r="I204" s="45">
        <f>IF(B204="","",MONTH(B204))</f>
        <v/>
      </c>
      <c r="J204" s="45">
        <f>IF(B204="","",YEAR(B204))</f>
        <v/>
      </c>
    </row>
    <row r="205">
      <c r="A205" s="30" t="inlineStr"/>
      <c r="B205" s="38" t="inlineStr"/>
      <c r="C205" s="30" t="inlineStr"/>
      <c r="D205" s="30" t="inlineStr"/>
      <c r="E205" s="30" t="inlineStr"/>
      <c r="F205" s="34" t="inlineStr"/>
      <c r="G205" s="30" t="inlineStr"/>
      <c r="H205" s="30" t="inlineStr"/>
      <c r="I205" s="45">
        <f>IF(B205="","",MONTH(B205))</f>
        <v/>
      </c>
      <c r="J205" s="45">
        <f>IF(B205="","",YEAR(B205))</f>
        <v/>
      </c>
    </row>
    <row r="206">
      <c r="A206" s="30" t="inlineStr"/>
      <c r="B206" s="38" t="inlineStr"/>
      <c r="C206" s="30" t="inlineStr"/>
      <c r="D206" s="30" t="inlineStr"/>
      <c r="E206" s="30" t="inlineStr"/>
      <c r="F206" s="34" t="inlineStr"/>
      <c r="G206" s="30" t="inlineStr"/>
      <c r="H206" s="30" t="inlineStr"/>
      <c r="I206" s="45">
        <f>IF(B206="","",MONTH(B206))</f>
        <v/>
      </c>
      <c r="J206" s="45">
        <f>IF(B206="","",YEAR(B206))</f>
        <v/>
      </c>
    </row>
    <row r="207">
      <c r="A207" s="30" t="inlineStr"/>
      <c r="B207" s="38" t="inlineStr"/>
      <c r="C207" s="30" t="inlineStr"/>
      <c r="D207" s="30" t="inlineStr"/>
      <c r="E207" s="30" t="inlineStr"/>
      <c r="F207" s="34" t="inlineStr"/>
      <c r="G207" s="30" t="inlineStr"/>
      <c r="H207" s="30" t="inlineStr"/>
      <c r="I207" s="45">
        <f>IF(B207="","",MONTH(B207))</f>
        <v/>
      </c>
      <c r="J207" s="45">
        <f>IF(B207="","",YEAR(B207))</f>
        <v/>
      </c>
    </row>
    <row r="208">
      <c r="A208" s="30" t="inlineStr"/>
      <c r="B208" s="38" t="inlineStr"/>
      <c r="C208" s="30" t="inlineStr"/>
      <c r="D208" s="30" t="inlineStr"/>
      <c r="E208" s="30" t="inlineStr"/>
      <c r="F208" s="34" t="inlineStr"/>
      <c r="G208" s="30" t="inlineStr"/>
      <c r="H208" s="30" t="inlineStr"/>
      <c r="I208" s="45">
        <f>IF(B208="","",MONTH(B208))</f>
        <v/>
      </c>
      <c r="J208" s="45">
        <f>IF(B208="","",YEAR(B208))</f>
        <v/>
      </c>
    </row>
    <row r="209">
      <c r="A209" s="30" t="inlineStr"/>
      <c r="B209" s="38" t="inlineStr"/>
      <c r="C209" s="30" t="inlineStr"/>
      <c r="D209" s="30" t="inlineStr"/>
      <c r="E209" s="30" t="inlineStr"/>
      <c r="F209" s="34" t="inlineStr"/>
      <c r="G209" s="30" t="inlineStr"/>
      <c r="H209" s="30" t="inlineStr"/>
      <c r="I209" s="45">
        <f>IF(B209="","",MONTH(B209))</f>
        <v/>
      </c>
      <c r="J209" s="45">
        <f>IF(B209="","",YEAR(B209))</f>
        <v/>
      </c>
    </row>
    <row r="210">
      <c r="A210" s="30" t="inlineStr"/>
      <c r="B210" s="38" t="inlineStr"/>
      <c r="C210" s="30" t="inlineStr"/>
      <c r="D210" s="30" t="inlineStr"/>
      <c r="E210" s="30" t="inlineStr"/>
      <c r="F210" s="34" t="inlineStr"/>
      <c r="G210" s="30" t="inlineStr"/>
      <c r="H210" s="30" t="inlineStr"/>
      <c r="I210" s="45">
        <f>IF(B210="","",MONTH(B210))</f>
        <v/>
      </c>
      <c r="J210" s="45">
        <f>IF(B210="","",YEAR(B210))</f>
        <v/>
      </c>
    </row>
    <row r="211">
      <c r="A211" s="30" t="inlineStr"/>
      <c r="B211" s="38" t="inlineStr"/>
      <c r="C211" s="30" t="inlineStr"/>
      <c r="D211" s="30" t="inlineStr"/>
      <c r="E211" s="30" t="inlineStr"/>
      <c r="F211" s="34" t="inlineStr"/>
      <c r="G211" s="30" t="inlineStr"/>
      <c r="H211" s="30" t="inlineStr"/>
      <c r="I211" s="45">
        <f>IF(B211="","",MONTH(B211))</f>
        <v/>
      </c>
      <c r="J211" s="45">
        <f>IF(B211="","",YEAR(B211))</f>
        <v/>
      </c>
    </row>
    <row r="212">
      <c r="A212" s="30" t="inlineStr"/>
      <c r="B212" s="38" t="inlineStr"/>
      <c r="C212" s="30" t="inlineStr"/>
      <c r="D212" s="30" t="inlineStr"/>
      <c r="E212" s="30" t="inlineStr"/>
      <c r="F212" s="34" t="inlineStr"/>
      <c r="G212" s="30" t="inlineStr"/>
      <c r="H212" s="30" t="inlineStr"/>
      <c r="I212" s="45">
        <f>IF(B212="","",MONTH(B212))</f>
        <v/>
      </c>
      <c r="J212" s="45">
        <f>IF(B212="","",YEAR(B212))</f>
        <v/>
      </c>
    </row>
    <row r="213">
      <c r="A213" s="30" t="inlineStr"/>
      <c r="B213" s="38" t="inlineStr"/>
      <c r="C213" s="30" t="inlineStr"/>
      <c r="D213" s="30" t="inlineStr"/>
      <c r="E213" s="30" t="inlineStr"/>
      <c r="F213" s="34" t="inlineStr"/>
      <c r="G213" s="30" t="inlineStr"/>
      <c r="H213" s="30" t="inlineStr"/>
      <c r="I213" s="45">
        <f>IF(B213="","",MONTH(B213))</f>
        <v/>
      </c>
      <c r="J213" s="45">
        <f>IF(B213="","",YEAR(B213))</f>
        <v/>
      </c>
    </row>
    <row r="214">
      <c r="A214" s="30" t="inlineStr"/>
      <c r="B214" s="38" t="inlineStr"/>
      <c r="C214" s="30" t="inlineStr"/>
      <c r="D214" s="30" t="inlineStr"/>
      <c r="E214" s="30" t="inlineStr"/>
      <c r="F214" s="34" t="inlineStr"/>
      <c r="G214" s="30" t="inlineStr"/>
      <c r="H214" s="30" t="inlineStr"/>
      <c r="I214" s="45">
        <f>IF(B214="","",MONTH(B214))</f>
        <v/>
      </c>
      <c r="J214" s="45">
        <f>IF(B214="","",YEAR(B214))</f>
        <v/>
      </c>
    </row>
    <row r="215">
      <c r="A215" s="30" t="inlineStr"/>
      <c r="B215" s="38" t="inlineStr"/>
      <c r="C215" s="30" t="inlineStr"/>
      <c r="D215" s="30" t="inlineStr"/>
      <c r="E215" s="30" t="inlineStr"/>
      <c r="F215" s="34" t="inlineStr"/>
      <c r="G215" s="30" t="inlineStr"/>
      <c r="H215" s="30" t="inlineStr"/>
      <c r="I215" s="45">
        <f>IF(B215="","",MONTH(B215))</f>
        <v/>
      </c>
      <c r="J215" s="45">
        <f>IF(B215="","",YEAR(B215))</f>
        <v/>
      </c>
    </row>
    <row r="216">
      <c r="A216" s="30" t="inlineStr"/>
      <c r="B216" s="38" t="inlineStr"/>
      <c r="C216" s="30" t="inlineStr"/>
      <c r="D216" s="30" t="inlineStr"/>
      <c r="E216" s="30" t="inlineStr"/>
      <c r="F216" s="34" t="inlineStr"/>
      <c r="G216" s="30" t="inlineStr"/>
      <c r="H216" s="30" t="inlineStr"/>
      <c r="I216" s="45">
        <f>IF(B216="","",MONTH(B216))</f>
        <v/>
      </c>
      <c r="J216" s="45">
        <f>IF(B216="","",YEAR(B216))</f>
        <v/>
      </c>
    </row>
    <row r="217">
      <c r="A217" s="30" t="inlineStr"/>
      <c r="B217" s="38" t="inlineStr"/>
      <c r="C217" s="30" t="inlineStr"/>
      <c r="D217" s="30" t="inlineStr"/>
      <c r="E217" s="30" t="inlineStr"/>
      <c r="F217" s="34" t="inlineStr"/>
      <c r="G217" s="30" t="inlineStr"/>
      <c r="H217" s="30" t="inlineStr"/>
      <c r="I217" s="45">
        <f>IF(B217="","",MONTH(B217))</f>
        <v/>
      </c>
      <c r="J217" s="45">
        <f>IF(B217="","",YEAR(B217))</f>
        <v/>
      </c>
    </row>
    <row r="218">
      <c r="A218" s="30" t="inlineStr"/>
      <c r="B218" s="38" t="inlineStr"/>
      <c r="C218" s="30" t="inlineStr"/>
      <c r="D218" s="30" t="inlineStr"/>
      <c r="E218" s="30" t="inlineStr"/>
      <c r="F218" s="34" t="inlineStr"/>
      <c r="G218" s="30" t="inlineStr"/>
      <c r="H218" s="30" t="inlineStr"/>
      <c r="I218" s="45">
        <f>IF(B218="","",MONTH(B218))</f>
        <v/>
      </c>
      <c r="J218" s="45">
        <f>IF(B218="","",YEAR(B218))</f>
        <v/>
      </c>
    </row>
    <row r="219">
      <c r="A219" s="30" t="inlineStr"/>
      <c r="B219" s="38" t="inlineStr"/>
      <c r="C219" s="30" t="inlineStr"/>
      <c r="D219" s="30" t="inlineStr"/>
      <c r="E219" s="30" t="inlineStr"/>
      <c r="F219" s="34" t="inlineStr"/>
      <c r="G219" s="30" t="inlineStr"/>
      <c r="H219" s="30" t="inlineStr"/>
      <c r="I219" s="45">
        <f>IF(B219="","",MONTH(B219))</f>
        <v/>
      </c>
      <c r="J219" s="45">
        <f>IF(B219="","",YEAR(B219))</f>
        <v/>
      </c>
    </row>
    <row r="220">
      <c r="A220" s="30" t="inlineStr"/>
      <c r="B220" s="38" t="inlineStr"/>
      <c r="C220" s="30" t="inlineStr"/>
      <c r="D220" s="30" t="inlineStr"/>
      <c r="E220" s="30" t="inlineStr"/>
      <c r="F220" s="34" t="inlineStr"/>
      <c r="G220" s="30" t="inlineStr"/>
      <c r="H220" s="30" t="inlineStr"/>
      <c r="I220" s="45">
        <f>IF(B220="","",MONTH(B220))</f>
        <v/>
      </c>
      <c r="J220" s="45">
        <f>IF(B220="","",YEAR(B220))</f>
        <v/>
      </c>
    </row>
    <row r="221">
      <c r="A221" s="30" t="inlineStr"/>
      <c r="B221" s="38" t="inlineStr"/>
      <c r="C221" s="30" t="inlineStr"/>
      <c r="D221" s="30" t="inlineStr"/>
      <c r="E221" s="30" t="inlineStr"/>
      <c r="F221" s="34" t="inlineStr"/>
      <c r="G221" s="30" t="inlineStr"/>
      <c r="H221" s="30" t="inlineStr"/>
      <c r="I221" s="45">
        <f>IF(B221="","",MONTH(B221))</f>
        <v/>
      </c>
      <c r="J221" s="45">
        <f>IF(B221="","",YEAR(B221))</f>
        <v/>
      </c>
    </row>
    <row r="222">
      <c r="A222" s="30" t="inlineStr"/>
      <c r="B222" s="38" t="inlineStr"/>
      <c r="C222" s="30" t="inlineStr"/>
      <c r="D222" s="30" t="inlineStr"/>
      <c r="E222" s="30" t="inlineStr"/>
      <c r="F222" s="34" t="inlineStr"/>
      <c r="G222" s="30" t="inlineStr"/>
      <c r="H222" s="30" t="inlineStr"/>
      <c r="I222" s="45">
        <f>IF(B222="","",MONTH(B222))</f>
        <v/>
      </c>
      <c r="J222" s="45">
        <f>IF(B222="","",YEAR(B222))</f>
        <v/>
      </c>
    </row>
    <row r="223">
      <c r="A223" s="30" t="inlineStr"/>
      <c r="B223" s="38" t="inlineStr"/>
      <c r="C223" s="30" t="inlineStr"/>
      <c r="D223" s="30" t="inlineStr"/>
      <c r="E223" s="30" t="inlineStr"/>
      <c r="F223" s="34" t="inlineStr"/>
      <c r="G223" s="30" t="inlineStr"/>
      <c r="H223" s="30" t="inlineStr"/>
      <c r="I223" s="45">
        <f>IF(B223="","",MONTH(B223))</f>
        <v/>
      </c>
      <c r="J223" s="45">
        <f>IF(B223="","",YEAR(B223))</f>
        <v/>
      </c>
    </row>
    <row r="224">
      <c r="A224" s="30" t="inlineStr"/>
      <c r="B224" s="38" t="inlineStr"/>
      <c r="C224" s="30" t="inlineStr"/>
      <c r="D224" s="30" t="inlineStr"/>
      <c r="E224" s="30" t="inlineStr"/>
      <c r="F224" s="34" t="inlineStr"/>
      <c r="G224" s="30" t="inlineStr"/>
      <c r="H224" s="30" t="inlineStr"/>
      <c r="I224" s="45">
        <f>IF(B224="","",MONTH(B224))</f>
        <v/>
      </c>
      <c r="J224" s="45">
        <f>IF(B224="","",YEAR(B224))</f>
        <v/>
      </c>
    </row>
    <row r="225">
      <c r="A225" s="30" t="inlineStr"/>
      <c r="B225" s="38" t="inlineStr"/>
      <c r="C225" s="30" t="inlineStr"/>
      <c r="D225" s="30" t="inlineStr"/>
      <c r="E225" s="30" t="inlineStr"/>
      <c r="F225" s="34" t="inlineStr"/>
      <c r="G225" s="30" t="inlineStr"/>
      <c r="H225" s="30" t="inlineStr"/>
      <c r="I225" s="45">
        <f>IF(B225="","",MONTH(B225))</f>
        <v/>
      </c>
      <c r="J225" s="45">
        <f>IF(B225="","",YEAR(B225))</f>
        <v/>
      </c>
    </row>
    <row r="226">
      <c r="A226" s="30" t="inlineStr"/>
      <c r="B226" s="38" t="inlineStr"/>
      <c r="C226" s="30" t="inlineStr"/>
      <c r="D226" s="30" t="inlineStr"/>
      <c r="E226" s="30" t="inlineStr"/>
      <c r="F226" s="34" t="inlineStr"/>
      <c r="G226" s="30" t="inlineStr"/>
      <c r="H226" s="30" t="inlineStr"/>
      <c r="I226" s="45">
        <f>IF(B226="","",MONTH(B226))</f>
        <v/>
      </c>
      <c r="J226" s="45">
        <f>IF(B226="","",YEAR(B226))</f>
        <v/>
      </c>
    </row>
    <row r="227">
      <c r="A227" s="30" t="inlineStr"/>
      <c r="B227" s="38" t="inlineStr"/>
      <c r="C227" s="30" t="inlineStr"/>
      <c r="D227" s="30" t="inlineStr"/>
      <c r="E227" s="30" t="inlineStr"/>
      <c r="F227" s="34" t="inlineStr"/>
      <c r="G227" s="30" t="inlineStr"/>
      <c r="H227" s="30" t="inlineStr"/>
      <c r="I227" s="45">
        <f>IF(B227="","",MONTH(B227))</f>
        <v/>
      </c>
      <c r="J227" s="45">
        <f>IF(B227="","",YEAR(B227))</f>
        <v/>
      </c>
    </row>
    <row r="228">
      <c r="A228" s="30" t="inlineStr"/>
      <c r="B228" s="38" t="inlineStr"/>
      <c r="C228" s="30" t="inlineStr"/>
      <c r="D228" s="30" t="inlineStr"/>
      <c r="E228" s="30" t="inlineStr"/>
      <c r="F228" s="34" t="inlineStr"/>
      <c r="G228" s="30" t="inlineStr"/>
      <c r="H228" s="30" t="inlineStr"/>
      <c r="I228" s="45">
        <f>IF(B228="","",MONTH(B228))</f>
        <v/>
      </c>
      <c r="J228" s="45">
        <f>IF(B228="","",YEAR(B228))</f>
        <v/>
      </c>
    </row>
    <row r="229">
      <c r="A229" s="30" t="inlineStr"/>
      <c r="B229" s="38" t="inlineStr"/>
      <c r="C229" s="30" t="inlineStr"/>
      <c r="D229" s="30" t="inlineStr"/>
      <c r="E229" s="30" t="inlineStr"/>
      <c r="F229" s="34" t="inlineStr"/>
      <c r="G229" s="30" t="inlineStr"/>
      <c r="H229" s="30" t="inlineStr"/>
      <c r="I229" s="45">
        <f>IF(B229="","",MONTH(B229))</f>
        <v/>
      </c>
      <c r="J229" s="45">
        <f>IF(B229="","",YEAR(B229))</f>
        <v/>
      </c>
    </row>
    <row r="230">
      <c r="A230" s="30" t="inlineStr"/>
      <c r="B230" s="38" t="inlineStr"/>
      <c r="C230" s="30" t="inlineStr"/>
      <c r="D230" s="30" t="inlineStr"/>
      <c r="E230" s="30" t="inlineStr"/>
      <c r="F230" s="34" t="inlineStr"/>
      <c r="G230" s="30" t="inlineStr"/>
      <c r="H230" s="30" t="inlineStr"/>
      <c r="I230" s="45">
        <f>IF(B230="","",MONTH(B230))</f>
        <v/>
      </c>
      <c r="J230" s="45">
        <f>IF(B230="","",YEAR(B230))</f>
        <v/>
      </c>
    </row>
    <row r="231">
      <c r="A231" s="30" t="inlineStr"/>
      <c r="B231" s="38" t="inlineStr"/>
      <c r="C231" s="30" t="inlineStr"/>
      <c r="D231" s="30" t="inlineStr"/>
      <c r="E231" s="30" t="inlineStr"/>
      <c r="F231" s="34" t="inlineStr"/>
      <c r="G231" s="30" t="inlineStr"/>
      <c r="H231" s="30" t="inlineStr"/>
      <c r="I231" s="45">
        <f>IF(B231="","",MONTH(B231))</f>
        <v/>
      </c>
      <c r="J231" s="45">
        <f>IF(B231="","",YEAR(B231))</f>
        <v/>
      </c>
    </row>
    <row r="232">
      <c r="A232" s="30" t="inlineStr"/>
      <c r="B232" s="38" t="inlineStr"/>
      <c r="C232" s="30" t="inlineStr"/>
      <c r="D232" s="30" t="inlineStr"/>
      <c r="E232" s="30" t="inlineStr"/>
      <c r="F232" s="34" t="inlineStr"/>
      <c r="G232" s="30" t="inlineStr"/>
      <c r="H232" s="30" t="inlineStr"/>
      <c r="I232" s="45">
        <f>IF(B232="","",MONTH(B232))</f>
        <v/>
      </c>
      <c r="J232" s="45">
        <f>IF(B232="","",YEAR(B232))</f>
        <v/>
      </c>
    </row>
    <row r="233">
      <c r="A233" s="30" t="inlineStr"/>
      <c r="B233" s="38" t="inlineStr"/>
      <c r="C233" s="30" t="inlineStr"/>
      <c r="D233" s="30" t="inlineStr"/>
      <c r="E233" s="30" t="inlineStr"/>
      <c r="F233" s="34" t="inlineStr"/>
      <c r="G233" s="30" t="inlineStr"/>
      <c r="H233" s="30" t="inlineStr"/>
      <c r="I233" s="45">
        <f>IF(B233="","",MONTH(B233))</f>
        <v/>
      </c>
      <c r="J233" s="45">
        <f>IF(B233="","",YEAR(B233))</f>
        <v/>
      </c>
    </row>
    <row r="234">
      <c r="A234" s="30" t="inlineStr"/>
      <c r="B234" s="38" t="inlineStr"/>
      <c r="C234" s="30" t="inlineStr"/>
      <c r="D234" s="30" t="inlineStr"/>
      <c r="E234" s="30" t="inlineStr"/>
      <c r="F234" s="34" t="inlineStr"/>
      <c r="G234" s="30" t="inlineStr"/>
      <c r="H234" s="30" t="inlineStr"/>
      <c r="I234" s="45">
        <f>IF(B234="","",MONTH(B234))</f>
        <v/>
      </c>
      <c r="J234" s="45">
        <f>IF(B234="","",YEAR(B234))</f>
        <v/>
      </c>
    </row>
    <row r="235">
      <c r="A235" s="30" t="inlineStr"/>
      <c r="B235" s="38" t="inlineStr"/>
      <c r="C235" s="30" t="inlineStr"/>
      <c r="D235" s="30" t="inlineStr"/>
      <c r="E235" s="30" t="inlineStr"/>
      <c r="F235" s="34" t="inlineStr"/>
      <c r="G235" s="30" t="inlineStr"/>
      <c r="H235" s="30" t="inlineStr"/>
      <c r="I235" s="45">
        <f>IF(B235="","",MONTH(B235))</f>
        <v/>
      </c>
      <c r="J235" s="45">
        <f>IF(B235="","",YEAR(B235))</f>
        <v/>
      </c>
    </row>
    <row r="236">
      <c r="A236" s="30" t="inlineStr"/>
      <c r="B236" s="38" t="inlineStr"/>
      <c r="C236" s="30" t="inlineStr"/>
      <c r="D236" s="30" t="inlineStr"/>
      <c r="E236" s="30" t="inlineStr"/>
      <c r="F236" s="34" t="inlineStr"/>
      <c r="G236" s="30" t="inlineStr"/>
      <c r="H236" s="30" t="inlineStr"/>
      <c r="I236" s="45">
        <f>IF(B236="","",MONTH(B236))</f>
        <v/>
      </c>
      <c r="J236" s="45">
        <f>IF(B236="","",YEAR(B236))</f>
        <v/>
      </c>
    </row>
    <row r="237">
      <c r="A237" s="30" t="inlineStr"/>
      <c r="B237" s="38" t="inlineStr"/>
      <c r="C237" s="30" t="inlineStr"/>
      <c r="D237" s="30" t="inlineStr"/>
      <c r="E237" s="30" t="inlineStr"/>
      <c r="F237" s="34" t="inlineStr"/>
      <c r="G237" s="30" t="inlineStr"/>
      <c r="H237" s="30" t="inlineStr"/>
      <c r="I237" s="45">
        <f>IF(B237="","",MONTH(B237))</f>
        <v/>
      </c>
      <c r="J237" s="45">
        <f>IF(B237="","",YEAR(B237))</f>
        <v/>
      </c>
    </row>
    <row r="238">
      <c r="A238" s="30" t="inlineStr"/>
      <c r="B238" s="38" t="inlineStr"/>
      <c r="C238" s="30" t="inlineStr"/>
      <c r="D238" s="30" t="inlineStr"/>
      <c r="E238" s="30" t="inlineStr"/>
      <c r="F238" s="34" t="inlineStr"/>
      <c r="G238" s="30" t="inlineStr"/>
      <c r="H238" s="30" t="inlineStr"/>
      <c r="I238" s="45">
        <f>IF(B238="","",MONTH(B238))</f>
        <v/>
      </c>
      <c r="J238" s="45">
        <f>IF(B238="","",YEAR(B238))</f>
        <v/>
      </c>
    </row>
    <row r="239">
      <c r="A239" s="30" t="inlineStr"/>
      <c r="B239" s="38" t="inlineStr"/>
      <c r="C239" s="30" t="inlineStr"/>
      <c r="D239" s="30" t="inlineStr"/>
      <c r="E239" s="30" t="inlineStr"/>
      <c r="F239" s="34" t="inlineStr"/>
      <c r="G239" s="30" t="inlineStr"/>
      <c r="H239" s="30" t="inlineStr"/>
      <c r="I239" s="45">
        <f>IF(B239="","",MONTH(B239))</f>
        <v/>
      </c>
      <c r="J239" s="45">
        <f>IF(B239="","",YEAR(B239))</f>
        <v/>
      </c>
    </row>
    <row r="240">
      <c r="A240" s="30" t="inlineStr"/>
      <c r="B240" s="38" t="inlineStr"/>
      <c r="C240" s="30" t="inlineStr"/>
      <c r="D240" s="30" t="inlineStr"/>
      <c r="E240" s="30" t="inlineStr"/>
      <c r="F240" s="34" t="inlineStr"/>
      <c r="G240" s="30" t="inlineStr"/>
      <c r="H240" s="30" t="inlineStr"/>
      <c r="I240" s="45">
        <f>IF(B240="","",MONTH(B240))</f>
        <v/>
      </c>
      <c r="J240" s="45">
        <f>IF(B240="","",YEAR(B240))</f>
        <v/>
      </c>
    </row>
    <row r="241">
      <c r="A241" s="30" t="inlineStr"/>
      <c r="B241" s="38" t="inlineStr"/>
      <c r="C241" s="30" t="inlineStr"/>
      <c r="D241" s="30" t="inlineStr"/>
      <c r="E241" s="30" t="inlineStr"/>
      <c r="F241" s="34" t="inlineStr"/>
      <c r="G241" s="30" t="inlineStr"/>
      <c r="H241" s="30" t="inlineStr"/>
      <c r="I241" s="45">
        <f>IF(B241="","",MONTH(B241))</f>
        <v/>
      </c>
      <c r="J241" s="45">
        <f>IF(B241="","",YEAR(B241))</f>
        <v/>
      </c>
    </row>
    <row r="242">
      <c r="A242" s="30" t="inlineStr"/>
      <c r="B242" s="38" t="inlineStr"/>
      <c r="C242" s="30" t="inlineStr"/>
      <c r="D242" s="30" t="inlineStr"/>
      <c r="E242" s="30" t="inlineStr"/>
      <c r="F242" s="34" t="inlineStr"/>
      <c r="G242" s="30" t="inlineStr"/>
      <c r="H242" s="30" t="inlineStr"/>
      <c r="I242" s="45">
        <f>IF(B242="","",MONTH(B242))</f>
        <v/>
      </c>
      <c r="J242" s="45">
        <f>IF(B242="","",YEAR(B242))</f>
        <v/>
      </c>
    </row>
    <row r="243">
      <c r="A243" s="30" t="inlineStr"/>
      <c r="B243" s="38" t="inlineStr"/>
      <c r="C243" s="30" t="inlineStr"/>
      <c r="D243" s="30" t="inlineStr"/>
      <c r="E243" s="30" t="inlineStr"/>
      <c r="F243" s="34" t="inlineStr"/>
      <c r="G243" s="30" t="inlineStr"/>
      <c r="H243" s="30" t="inlineStr"/>
      <c r="I243" s="45">
        <f>IF(B243="","",MONTH(B243))</f>
        <v/>
      </c>
      <c r="J243" s="45">
        <f>IF(B243="","",YEAR(B243))</f>
        <v/>
      </c>
    </row>
    <row r="244">
      <c r="A244" s="30" t="inlineStr"/>
      <c r="B244" s="38" t="inlineStr"/>
      <c r="C244" s="30" t="inlineStr"/>
      <c r="D244" s="30" t="inlineStr"/>
      <c r="E244" s="30" t="inlineStr"/>
      <c r="F244" s="34" t="inlineStr"/>
      <c r="G244" s="30" t="inlineStr"/>
      <c r="H244" s="30" t="inlineStr"/>
      <c r="I244" s="45">
        <f>IF(B244="","",MONTH(B244))</f>
        <v/>
      </c>
      <c r="J244" s="45">
        <f>IF(B244="","",YEAR(B244))</f>
        <v/>
      </c>
    </row>
    <row r="245">
      <c r="A245" s="30" t="inlineStr"/>
      <c r="B245" s="38" t="inlineStr"/>
      <c r="C245" s="30" t="inlineStr"/>
      <c r="D245" s="30" t="inlineStr"/>
      <c r="E245" s="30" t="inlineStr"/>
      <c r="F245" s="34" t="inlineStr"/>
      <c r="G245" s="30" t="inlineStr"/>
      <c r="H245" s="30" t="inlineStr"/>
      <c r="I245" s="45">
        <f>IF(B245="","",MONTH(B245))</f>
        <v/>
      </c>
      <c r="J245" s="45">
        <f>IF(B245="","",YEAR(B245))</f>
        <v/>
      </c>
    </row>
    <row r="246">
      <c r="A246" s="30" t="inlineStr"/>
      <c r="B246" s="38" t="inlineStr"/>
      <c r="C246" s="30" t="inlineStr"/>
      <c r="D246" s="30" t="inlineStr"/>
      <c r="E246" s="30" t="inlineStr"/>
      <c r="F246" s="34" t="inlineStr"/>
      <c r="G246" s="30" t="inlineStr"/>
      <c r="H246" s="30" t="inlineStr"/>
      <c r="I246" s="45">
        <f>IF(B246="","",MONTH(B246))</f>
        <v/>
      </c>
      <c r="J246" s="45">
        <f>IF(B246="","",YEAR(B246))</f>
        <v/>
      </c>
    </row>
    <row r="247">
      <c r="A247" s="30" t="inlineStr"/>
      <c r="B247" s="38" t="inlineStr"/>
      <c r="C247" s="30" t="inlineStr"/>
      <c r="D247" s="30" t="inlineStr"/>
      <c r="E247" s="30" t="inlineStr"/>
      <c r="F247" s="34" t="inlineStr"/>
      <c r="G247" s="30" t="inlineStr"/>
      <c r="H247" s="30" t="inlineStr"/>
      <c r="I247" s="45">
        <f>IF(B247="","",MONTH(B247))</f>
        <v/>
      </c>
      <c r="J247" s="45">
        <f>IF(B247="","",YEAR(B247))</f>
        <v/>
      </c>
    </row>
    <row r="248">
      <c r="A248" s="30" t="inlineStr"/>
      <c r="B248" s="38" t="inlineStr"/>
      <c r="C248" s="30" t="inlineStr"/>
      <c r="D248" s="30" t="inlineStr"/>
      <c r="E248" s="30" t="inlineStr"/>
      <c r="F248" s="34" t="inlineStr"/>
      <c r="G248" s="30" t="inlineStr"/>
      <c r="H248" s="30" t="inlineStr"/>
      <c r="I248" s="45">
        <f>IF(B248="","",MONTH(B248))</f>
        <v/>
      </c>
      <c r="J248" s="45">
        <f>IF(B248="","",YEAR(B248))</f>
        <v/>
      </c>
    </row>
    <row r="249">
      <c r="A249" s="30" t="inlineStr"/>
      <c r="B249" s="38" t="inlineStr"/>
      <c r="C249" s="30" t="inlineStr"/>
      <c r="D249" s="30" t="inlineStr"/>
      <c r="E249" s="30" t="inlineStr"/>
      <c r="F249" s="34" t="inlineStr"/>
      <c r="G249" s="30" t="inlineStr"/>
      <c r="H249" s="30" t="inlineStr"/>
      <c r="I249" s="45">
        <f>IF(B249="","",MONTH(B249))</f>
        <v/>
      </c>
      <c r="J249" s="45">
        <f>IF(B249="","",YEAR(B249))</f>
        <v/>
      </c>
    </row>
    <row r="250">
      <c r="A250" s="30" t="inlineStr"/>
      <c r="B250" s="38" t="inlineStr"/>
      <c r="C250" s="30" t="inlineStr"/>
      <c r="D250" s="30" t="inlineStr"/>
      <c r="E250" s="30" t="inlineStr"/>
      <c r="F250" s="34" t="inlineStr"/>
      <c r="G250" s="30" t="inlineStr"/>
      <c r="H250" s="30" t="inlineStr"/>
      <c r="I250" s="45">
        <f>IF(B250="","",MONTH(B250))</f>
        <v/>
      </c>
      <c r="J250" s="45">
        <f>IF(B250="","",YEAR(B250))</f>
        <v/>
      </c>
    </row>
    <row r="251">
      <c r="A251" s="30" t="inlineStr"/>
      <c r="B251" s="38" t="inlineStr"/>
      <c r="C251" s="30" t="inlineStr"/>
      <c r="D251" s="30" t="inlineStr"/>
      <c r="E251" s="30" t="inlineStr"/>
      <c r="F251" s="34" t="inlineStr"/>
      <c r="G251" s="30" t="inlineStr"/>
      <c r="H251" s="30" t="inlineStr"/>
      <c r="I251" s="45">
        <f>IF(B251="","",MONTH(B251))</f>
        <v/>
      </c>
      <c r="J251" s="45">
        <f>IF(B251="","",YEAR(B251))</f>
        <v/>
      </c>
    </row>
    <row r="252">
      <c r="A252" s="30" t="inlineStr"/>
      <c r="B252" s="38" t="inlineStr"/>
      <c r="C252" s="30" t="inlineStr"/>
      <c r="D252" s="30" t="inlineStr"/>
      <c r="E252" s="30" t="inlineStr"/>
      <c r="F252" s="34" t="inlineStr"/>
      <c r="G252" s="30" t="inlineStr"/>
      <c r="H252" s="30" t="inlineStr"/>
      <c r="I252" s="45">
        <f>IF(B252="","",MONTH(B252))</f>
        <v/>
      </c>
      <c r="J252" s="45">
        <f>IF(B252="","",YEAR(B252))</f>
        <v/>
      </c>
    </row>
    <row r="253">
      <c r="A253" s="30" t="inlineStr"/>
      <c r="B253" s="38" t="inlineStr"/>
      <c r="C253" s="30" t="inlineStr"/>
      <c r="D253" s="30" t="inlineStr"/>
      <c r="E253" s="30" t="inlineStr"/>
      <c r="F253" s="34" t="inlineStr"/>
      <c r="G253" s="30" t="inlineStr"/>
      <c r="H253" s="30" t="inlineStr"/>
      <c r="I253" s="45">
        <f>IF(B253="","",MONTH(B253))</f>
        <v/>
      </c>
      <c r="J253" s="45">
        <f>IF(B253="","",YEAR(B253))</f>
        <v/>
      </c>
    </row>
    <row r="254">
      <c r="A254" s="30" t="inlineStr"/>
      <c r="B254" s="38" t="inlineStr"/>
      <c r="C254" s="30" t="inlineStr"/>
      <c r="D254" s="30" t="inlineStr"/>
      <c r="E254" s="30" t="inlineStr"/>
      <c r="F254" s="34" t="inlineStr"/>
      <c r="G254" s="30" t="inlineStr"/>
      <c r="H254" s="30" t="inlineStr"/>
      <c r="I254" s="45">
        <f>IF(B254="","",MONTH(B254))</f>
        <v/>
      </c>
      <c r="J254" s="45">
        <f>IF(B254="","",YEAR(B254))</f>
        <v/>
      </c>
    </row>
    <row r="255">
      <c r="A255" s="30" t="inlineStr"/>
      <c r="B255" s="38" t="inlineStr"/>
      <c r="C255" s="30" t="inlineStr"/>
      <c r="D255" s="30" t="inlineStr"/>
      <c r="E255" s="30" t="inlineStr"/>
      <c r="F255" s="34" t="inlineStr"/>
      <c r="G255" s="30" t="inlineStr"/>
      <c r="H255" s="30" t="inlineStr"/>
      <c r="I255" s="45">
        <f>IF(B255="","",MONTH(B255))</f>
        <v/>
      </c>
      <c r="J255" s="45">
        <f>IF(B255="","",YEAR(B255))</f>
        <v/>
      </c>
    </row>
    <row r="256">
      <c r="A256" s="30" t="inlineStr"/>
      <c r="B256" s="38" t="inlineStr"/>
      <c r="C256" s="30" t="inlineStr"/>
      <c r="D256" s="30" t="inlineStr"/>
      <c r="E256" s="30" t="inlineStr"/>
      <c r="F256" s="34" t="inlineStr"/>
      <c r="G256" s="30" t="inlineStr"/>
      <c r="H256" s="30" t="inlineStr"/>
      <c r="I256" s="45">
        <f>IF(B256="","",MONTH(B256))</f>
        <v/>
      </c>
      <c r="J256" s="45">
        <f>IF(B256="","",YEAR(B256))</f>
        <v/>
      </c>
    </row>
    <row r="257">
      <c r="A257" s="30" t="inlineStr"/>
      <c r="B257" s="38" t="inlineStr"/>
      <c r="C257" s="30" t="inlineStr"/>
      <c r="D257" s="30" t="inlineStr"/>
      <c r="E257" s="30" t="inlineStr"/>
      <c r="F257" s="34" t="inlineStr"/>
      <c r="G257" s="30" t="inlineStr"/>
      <c r="H257" s="30" t="inlineStr"/>
      <c r="I257" s="45">
        <f>IF(B257="","",MONTH(B257))</f>
        <v/>
      </c>
      <c r="J257" s="45">
        <f>IF(B257="","",YEAR(B257))</f>
        <v/>
      </c>
    </row>
    <row r="258">
      <c r="A258" s="30" t="inlineStr"/>
      <c r="B258" s="38" t="inlineStr"/>
      <c r="C258" s="30" t="inlineStr"/>
      <c r="D258" s="30" t="inlineStr"/>
      <c r="E258" s="30" t="inlineStr"/>
      <c r="F258" s="34" t="inlineStr"/>
      <c r="G258" s="30" t="inlineStr"/>
      <c r="H258" s="30" t="inlineStr"/>
      <c r="I258" s="45">
        <f>IF(B258="","",MONTH(B258))</f>
        <v/>
      </c>
      <c r="J258" s="45">
        <f>IF(B258="","",YEAR(B258))</f>
        <v/>
      </c>
    </row>
    <row r="259">
      <c r="A259" s="30" t="inlineStr"/>
      <c r="B259" s="38" t="inlineStr"/>
      <c r="C259" s="30" t="inlineStr"/>
      <c r="D259" s="30" t="inlineStr"/>
      <c r="E259" s="30" t="inlineStr"/>
      <c r="F259" s="34" t="inlineStr"/>
      <c r="G259" s="30" t="inlineStr"/>
      <c r="H259" s="30" t="inlineStr"/>
      <c r="I259" s="45">
        <f>IF(B259="","",MONTH(B259))</f>
        <v/>
      </c>
      <c r="J259" s="45">
        <f>IF(B259="","",YEAR(B259))</f>
        <v/>
      </c>
    </row>
    <row r="260">
      <c r="A260" s="30" t="inlineStr"/>
      <c r="B260" s="38" t="inlineStr"/>
      <c r="C260" s="30" t="inlineStr"/>
      <c r="D260" s="30" t="inlineStr"/>
      <c r="E260" s="30" t="inlineStr"/>
      <c r="F260" s="34" t="inlineStr"/>
      <c r="G260" s="30" t="inlineStr"/>
      <c r="H260" s="30" t="inlineStr"/>
      <c r="I260" s="45">
        <f>IF(B260="","",MONTH(B260))</f>
        <v/>
      </c>
      <c r="J260" s="45">
        <f>IF(B260="","",YEAR(B260))</f>
        <v/>
      </c>
    </row>
    <row r="261">
      <c r="A261" s="30" t="inlineStr"/>
      <c r="B261" s="38" t="inlineStr"/>
      <c r="C261" s="30" t="inlineStr"/>
      <c r="D261" s="30" t="inlineStr"/>
      <c r="E261" s="30" t="inlineStr"/>
      <c r="F261" s="34" t="inlineStr"/>
      <c r="G261" s="30" t="inlineStr"/>
      <c r="H261" s="30" t="inlineStr"/>
      <c r="I261" s="45">
        <f>IF(B261="","",MONTH(B261))</f>
        <v/>
      </c>
      <c r="J261" s="45">
        <f>IF(B261="","",YEAR(B261))</f>
        <v/>
      </c>
    </row>
    <row r="262">
      <c r="A262" s="30" t="inlineStr"/>
      <c r="B262" s="38" t="inlineStr"/>
      <c r="C262" s="30" t="inlineStr"/>
      <c r="D262" s="30" t="inlineStr"/>
      <c r="E262" s="30" t="inlineStr"/>
      <c r="F262" s="34" t="inlineStr"/>
      <c r="G262" s="30" t="inlineStr"/>
      <c r="H262" s="30" t="inlineStr"/>
      <c r="I262" s="45">
        <f>IF(B262="","",MONTH(B262))</f>
        <v/>
      </c>
      <c r="J262" s="45">
        <f>IF(B262="","",YEAR(B262))</f>
        <v/>
      </c>
    </row>
    <row r="263">
      <c r="A263" s="30" t="inlineStr"/>
      <c r="B263" s="38" t="inlineStr"/>
      <c r="C263" s="30" t="inlineStr"/>
      <c r="D263" s="30" t="inlineStr"/>
      <c r="E263" s="30" t="inlineStr"/>
      <c r="F263" s="34" t="inlineStr"/>
      <c r="G263" s="30" t="inlineStr"/>
      <c r="H263" s="30" t="inlineStr"/>
      <c r="I263" s="45">
        <f>IF(B263="","",MONTH(B263))</f>
        <v/>
      </c>
      <c r="J263" s="45">
        <f>IF(B263="","",YEAR(B263))</f>
        <v/>
      </c>
    </row>
    <row r="264">
      <c r="A264" s="30" t="inlineStr"/>
      <c r="B264" s="38" t="inlineStr"/>
      <c r="C264" s="30" t="inlineStr"/>
      <c r="D264" s="30" t="inlineStr"/>
      <c r="E264" s="30" t="inlineStr"/>
      <c r="F264" s="34" t="inlineStr"/>
      <c r="G264" s="30" t="inlineStr"/>
      <c r="H264" s="30" t="inlineStr"/>
      <c r="I264" s="45">
        <f>IF(B264="","",MONTH(B264))</f>
        <v/>
      </c>
      <c r="J264" s="45">
        <f>IF(B264="","",YEAR(B264))</f>
        <v/>
      </c>
    </row>
    <row r="265">
      <c r="A265" s="30" t="inlineStr"/>
      <c r="B265" s="38" t="inlineStr"/>
      <c r="C265" s="30" t="inlineStr"/>
      <c r="D265" s="30" t="inlineStr"/>
      <c r="E265" s="30" t="inlineStr"/>
      <c r="F265" s="34" t="inlineStr"/>
      <c r="G265" s="30" t="inlineStr"/>
      <c r="H265" s="30" t="inlineStr"/>
      <c r="I265" s="45">
        <f>IF(B265="","",MONTH(B265))</f>
        <v/>
      </c>
      <c r="J265" s="45">
        <f>IF(B265="","",YEAR(B265))</f>
        <v/>
      </c>
    </row>
    <row r="266">
      <c r="A266" s="30" t="inlineStr"/>
      <c r="B266" s="38" t="inlineStr"/>
      <c r="C266" s="30" t="inlineStr"/>
      <c r="D266" s="30" t="inlineStr"/>
      <c r="E266" s="30" t="inlineStr"/>
      <c r="F266" s="34" t="inlineStr"/>
      <c r="G266" s="30" t="inlineStr"/>
      <c r="H266" s="30" t="inlineStr"/>
      <c r="I266" s="45">
        <f>IF(B266="","",MONTH(B266))</f>
        <v/>
      </c>
      <c r="J266" s="45">
        <f>IF(B266="","",YEAR(B266))</f>
        <v/>
      </c>
    </row>
    <row r="267">
      <c r="A267" s="30" t="inlineStr"/>
      <c r="B267" s="38" t="inlineStr"/>
      <c r="C267" s="30" t="inlineStr"/>
      <c r="D267" s="30" t="inlineStr"/>
      <c r="E267" s="30" t="inlineStr"/>
      <c r="F267" s="34" t="inlineStr"/>
      <c r="G267" s="30" t="inlineStr"/>
      <c r="H267" s="30" t="inlineStr"/>
      <c r="I267" s="45">
        <f>IF(B267="","",MONTH(B267))</f>
        <v/>
      </c>
      <c r="J267" s="45">
        <f>IF(B267="","",YEAR(B267))</f>
        <v/>
      </c>
    </row>
    <row r="268">
      <c r="A268" s="30" t="inlineStr"/>
      <c r="B268" s="38" t="inlineStr"/>
      <c r="C268" s="30" t="inlineStr"/>
      <c r="D268" s="30" t="inlineStr"/>
      <c r="E268" s="30" t="inlineStr"/>
      <c r="F268" s="34" t="inlineStr"/>
      <c r="G268" s="30" t="inlineStr"/>
      <c r="H268" s="30" t="inlineStr"/>
      <c r="I268" s="45">
        <f>IF(B268="","",MONTH(B268))</f>
        <v/>
      </c>
      <c r="J268" s="45">
        <f>IF(B268="","",YEAR(B268))</f>
        <v/>
      </c>
    </row>
    <row r="269">
      <c r="A269" s="30" t="inlineStr"/>
      <c r="B269" s="38" t="inlineStr"/>
      <c r="C269" s="30" t="inlineStr"/>
      <c r="D269" s="30" t="inlineStr"/>
      <c r="E269" s="30" t="inlineStr"/>
      <c r="F269" s="34" t="inlineStr"/>
      <c r="G269" s="30" t="inlineStr"/>
      <c r="H269" s="30" t="inlineStr"/>
      <c r="I269" s="45">
        <f>IF(B269="","",MONTH(B269))</f>
        <v/>
      </c>
      <c r="J269" s="45">
        <f>IF(B269="","",YEAR(B269))</f>
        <v/>
      </c>
    </row>
    <row r="270">
      <c r="A270" s="30" t="inlineStr"/>
      <c r="B270" s="38" t="inlineStr"/>
      <c r="C270" s="30" t="inlineStr"/>
      <c r="D270" s="30" t="inlineStr"/>
      <c r="E270" s="30" t="inlineStr"/>
      <c r="F270" s="34" t="inlineStr"/>
      <c r="G270" s="30" t="inlineStr"/>
      <c r="H270" s="30" t="inlineStr"/>
      <c r="I270" s="45">
        <f>IF(B270="","",MONTH(B270))</f>
        <v/>
      </c>
      <c r="J270" s="45">
        <f>IF(B270="","",YEAR(B270))</f>
        <v/>
      </c>
    </row>
    <row r="271">
      <c r="A271" s="30" t="inlineStr"/>
      <c r="B271" s="38" t="inlineStr"/>
      <c r="C271" s="30" t="inlineStr"/>
      <c r="D271" s="30" t="inlineStr"/>
      <c r="E271" s="30" t="inlineStr"/>
      <c r="F271" s="34" t="inlineStr"/>
      <c r="G271" s="30" t="inlineStr"/>
      <c r="H271" s="30" t="inlineStr"/>
      <c r="I271" s="45">
        <f>IF(B271="","",MONTH(B271))</f>
        <v/>
      </c>
      <c r="J271" s="45">
        <f>IF(B271="","",YEAR(B271))</f>
        <v/>
      </c>
    </row>
    <row r="272">
      <c r="A272" s="30" t="inlineStr"/>
      <c r="B272" s="38" t="inlineStr"/>
      <c r="C272" s="30" t="inlineStr"/>
      <c r="D272" s="30" t="inlineStr"/>
      <c r="E272" s="30" t="inlineStr"/>
      <c r="F272" s="34" t="inlineStr"/>
      <c r="G272" s="30" t="inlineStr"/>
      <c r="H272" s="30" t="inlineStr"/>
      <c r="I272" s="45">
        <f>IF(B272="","",MONTH(B272))</f>
        <v/>
      </c>
      <c r="J272" s="45">
        <f>IF(B272="","",YEAR(B272))</f>
        <v/>
      </c>
    </row>
    <row r="273">
      <c r="A273" s="30" t="inlineStr"/>
      <c r="B273" s="38" t="inlineStr"/>
      <c r="C273" s="30" t="inlineStr"/>
      <c r="D273" s="30" t="inlineStr"/>
      <c r="E273" s="30" t="inlineStr"/>
      <c r="F273" s="34" t="inlineStr"/>
      <c r="G273" s="30" t="inlineStr"/>
      <c r="H273" s="30" t="inlineStr"/>
      <c r="I273" s="45">
        <f>IF(B273="","",MONTH(B273))</f>
        <v/>
      </c>
      <c r="J273" s="45">
        <f>IF(B273="","",YEAR(B273))</f>
        <v/>
      </c>
    </row>
    <row r="274">
      <c r="A274" s="30" t="inlineStr"/>
      <c r="B274" s="38" t="inlineStr"/>
      <c r="C274" s="30" t="inlineStr"/>
      <c r="D274" s="30" t="inlineStr"/>
      <c r="E274" s="30" t="inlineStr"/>
      <c r="F274" s="34" t="inlineStr"/>
      <c r="G274" s="30" t="inlineStr"/>
      <c r="H274" s="30" t="inlineStr"/>
      <c r="I274" s="45">
        <f>IF(B274="","",MONTH(B274))</f>
        <v/>
      </c>
      <c r="J274" s="45">
        <f>IF(B274="","",YEAR(B274))</f>
        <v/>
      </c>
    </row>
    <row r="275">
      <c r="A275" s="30" t="inlineStr"/>
      <c r="B275" s="38" t="inlineStr"/>
      <c r="C275" s="30" t="inlineStr"/>
      <c r="D275" s="30" t="inlineStr"/>
      <c r="E275" s="30" t="inlineStr"/>
      <c r="F275" s="34" t="inlineStr"/>
      <c r="G275" s="30" t="inlineStr"/>
      <c r="H275" s="30" t="inlineStr"/>
      <c r="I275" s="45">
        <f>IF(B275="","",MONTH(B275))</f>
        <v/>
      </c>
      <c r="J275" s="45">
        <f>IF(B275="","",YEAR(B275))</f>
        <v/>
      </c>
    </row>
    <row r="276">
      <c r="A276" s="30" t="inlineStr"/>
      <c r="B276" s="38" t="inlineStr"/>
      <c r="C276" s="30" t="inlineStr"/>
      <c r="D276" s="30" t="inlineStr"/>
      <c r="E276" s="30" t="inlineStr"/>
      <c r="F276" s="34" t="inlineStr"/>
      <c r="G276" s="30" t="inlineStr"/>
      <c r="H276" s="30" t="inlineStr"/>
      <c r="I276" s="45">
        <f>IF(B276="","",MONTH(B276))</f>
        <v/>
      </c>
      <c r="J276" s="45">
        <f>IF(B276="","",YEAR(B276))</f>
        <v/>
      </c>
    </row>
    <row r="277">
      <c r="A277" s="30" t="inlineStr"/>
      <c r="B277" s="38" t="inlineStr"/>
      <c r="C277" s="30" t="inlineStr"/>
      <c r="D277" s="30" t="inlineStr"/>
      <c r="E277" s="30" t="inlineStr"/>
      <c r="F277" s="34" t="inlineStr"/>
      <c r="G277" s="30" t="inlineStr"/>
      <c r="H277" s="30" t="inlineStr"/>
      <c r="I277" s="45">
        <f>IF(B277="","",MONTH(B277))</f>
        <v/>
      </c>
      <c r="J277" s="45">
        <f>IF(B277="","",YEAR(B277))</f>
        <v/>
      </c>
    </row>
    <row r="278">
      <c r="A278" s="30" t="inlineStr"/>
      <c r="B278" s="38" t="inlineStr"/>
      <c r="C278" s="30" t="inlineStr"/>
      <c r="D278" s="30" t="inlineStr"/>
      <c r="E278" s="30" t="inlineStr"/>
      <c r="F278" s="34" t="inlineStr"/>
      <c r="G278" s="30" t="inlineStr"/>
      <c r="H278" s="30" t="inlineStr"/>
      <c r="I278" s="45">
        <f>IF(B278="","",MONTH(B278))</f>
        <v/>
      </c>
      <c r="J278" s="45">
        <f>IF(B278="","",YEAR(B278))</f>
        <v/>
      </c>
    </row>
    <row r="279">
      <c r="A279" s="30" t="inlineStr"/>
      <c r="B279" s="38" t="inlineStr"/>
      <c r="C279" s="30" t="inlineStr"/>
      <c r="D279" s="30" t="inlineStr"/>
      <c r="E279" s="30" t="inlineStr"/>
      <c r="F279" s="34" t="inlineStr"/>
      <c r="G279" s="30" t="inlineStr"/>
      <c r="H279" s="30" t="inlineStr"/>
      <c r="I279" s="45">
        <f>IF(B279="","",MONTH(B279))</f>
        <v/>
      </c>
      <c r="J279" s="45">
        <f>IF(B279="","",YEAR(B279))</f>
        <v/>
      </c>
    </row>
    <row r="280">
      <c r="A280" s="30" t="inlineStr"/>
      <c r="B280" s="38" t="inlineStr"/>
      <c r="C280" s="30" t="inlineStr"/>
      <c r="D280" s="30" t="inlineStr"/>
      <c r="E280" s="30" t="inlineStr"/>
      <c r="F280" s="34" t="inlineStr"/>
      <c r="G280" s="30" t="inlineStr"/>
      <c r="H280" s="30" t="inlineStr"/>
      <c r="I280" s="45">
        <f>IF(B280="","",MONTH(B280))</f>
        <v/>
      </c>
      <c r="J280" s="45">
        <f>IF(B280="","",YEAR(B280))</f>
        <v/>
      </c>
    </row>
    <row r="281">
      <c r="A281" s="30" t="inlineStr"/>
      <c r="B281" s="38" t="inlineStr"/>
      <c r="C281" s="30" t="inlineStr"/>
      <c r="D281" s="30" t="inlineStr"/>
      <c r="E281" s="30" t="inlineStr"/>
      <c r="F281" s="34" t="inlineStr"/>
      <c r="G281" s="30" t="inlineStr"/>
      <c r="H281" s="30" t="inlineStr"/>
      <c r="I281" s="45">
        <f>IF(B281="","",MONTH(B281))</f>
        <v/>
      </c>
      <c r="J281" s="45">
        <f>IF(B281="","",YEAR(B281))</f>
        <v/>
      </c>
    </row>
    <row r="282">
      <c r="A282" s="30" t="inlineStr"/>
      <c r="B282" s="38" t="inlineStr"/>
      <c r="C282" s="30" t="inlineStr"/>
      <c r="D282" s="30" t="inlineStr"/>
      <c r="E282" s="30" t="inlineStr"/>
      <c r="F282" s="34" t="inlineStr"/>
      <c r="G282" s="30" t="inlineStr"/>
      <c r="H282" s="30" t="inlineStr"/>
      <c r="I282" s="45">
        <f>IF(B282="","",MONTH(B282))</f>
        <v/>
      </c>
      <c r="J282" s="45">
        <f>IF(B282="","",YEAR(B282))</f>
        <v/>
      </c>
    </row>
    <row r="283">
      <c r="A283" s="30" t="inlineStr"/>
      <c r="B283" s="38" t="inlineStr"/>
      <c r="C283" s="30" t="inlineStr"/>
      <c r="D283" s="30" t="inlineStr"/>
      <c r="E283" s="30" t="inlineStr"/>
      <c r="F283" s="34" t="inlineStr"/>
      <c r="G283" s="30" t="inlineStr"/>
      <c r="H283" s="30" t="inlineStr"/>
      <c r="I283" s="45">
        <f>IF(B283="","",MONTH(B283))</f>
        <v/>
      </c>
      <c r="J283" s="45">
        <f>IF(B283="","",YEAR(B283))</f>
        <v/>
      </c>
    </row>
    <row r="284">
      <c r="A284" s="30" t="inlineStr"/>
      <c r="B284" s="38" t="inlineStr"/>
      <c r="C284" s="30" t="inlineStr"/>
      <c r="D284" s="30" t="inlineStr"/>
      <c r="E284" s="30" t="inlineStr"/>
      <c r="F284" s="34" t="inlineStr"/>
      <c r="G284" s="30" t="inlineStr"/>
      <c r="H284" s="30" t="inlineStr"/>
      <c r="I284" s="45">
        <f>IF(B284="","",MONTH(B284))</f>
        <v/>
      </c>
      <c r="J284" s="45">
        <f>IF(B284="","",YEAR(B284))</f>
        <v/>
      </c>
    </row>
    <row r="285">
      <c r="A285" s="30" t="inlineStr"/>
      <c r="B285" s="38" t="inlineStr"/>
      <c r="C285" s="30" t="inlineStr"/>
      <c r="D285" s="30" t="inlineStr"/>
      <c r="E285" s="30" t="inlineStr"/>
      <c r="F285" s="34" t="inlineStr"/>
      <c r="G285" s="30" t="inlineStr"/>
      <c r="H285" s="30" t="inlineStr"/>
      <c r="I285" s="45">
        <f>IF(B285="","",MONTH(B285))</f>
        <v/>
      </c>
      <c r="J285" s="45">
        <f>IF(B285="","",YEAR(B285))</f>
        <v/>
      </c>
    </row>
    <row r="286">
      <c r="A286" s="30" t="inlineStr"/>
      <c r="B286" s="38" t="inlineStr"/>
      <c r="C286" s="30" t="inlineStr"/>
      <c r="D286" s="30" t="inlineStr"/>
      <c r="E286" s="30" t="inlineStr"/>
      <c r="F286" s="34" t="inlineStr"/>
      <c r="G286" s="30" t="inlineStr"/>
      <c r="H286" s="30" t="inlineStr"/>
      <c r="I286" s="45">
        <f>IF(B286="","",MONTH(B286))</f>
        <v/>
      </c>
      <c r="J286" s="45">
        <f>IF(B286="","",YEAR(B286))</f>
        <v/>
      </c>
    </row>
    <row r="287">
      <c r="A287" s="30" t="inlineStr"/>
      <c r="B287" s="38" t="inlineStr"/>
      <c r="C287" s="30" t="inlineStr"/>
      <c r="D287" s="30" t="inlineStr"/>
      <c r="E287" s="30" t="inlineStr"/>
      <c r="F287" s="34" t="inlineStr"/>
      <c r="G287" s="30" t="inlineStr"/>
      <c r="H287" s="30" t="inlineStr"/>
      <c r="I287" s="45">
        <f>IF(B287="","",MONTH(B287))</f>
        <v/>
      </c>
      <c r="J287" s="45">
        <f>IF(B287="","",YEAR(B287))</f>
        <v/>
      </c>
    </row>
    <row r="288">
      <c r="A288" s="30" t="inlineStr"/>
      <c r="B288" s="38" t="inlineStr"/>
      <c r="C288" s="30" t="inlineStr"/>
      <c r="D288" s="30" t="inlineStr"/>
      <c r="E288" s="30" t="inlineStr"/>
      <c r="F288" s="34" t="inlineStr"/>
      <c r="G288" s="30" t="inlineStr"/>
      <c r="H288" s="30" t="inlineStr"/>
      <c r="I288" s="45">
        <f>IF(B288="","",MONTH(B288))</f>
        <v/>
      </c>
      <c r="J288" s="45">
        <f>IF(B288="","",YEAR(B288))</f>
        <v/>
      </c>
    </row>
    <row r="289">
      <c r="A289" s="30" t="inlineStr"/>
      <c r="B289" s="38" t="inlineStr"/>
      <c r="C289" s="30" t="inlineStr"/>
      <c r="D289" s="30" t="inlineStr"/>
      <c r="E289" s="30" t="inlineStr"/>
      <c r="F289" s="34" t="inlineStr"/>
      <c r="G289" s="30" t="inlineStr"/>
      <c r="H289" s="30" t="inlineStr"/>
      <c r="I289" s="45">
        <f>IF(B289="","",MONTH(B289))</f>
        <v/>
      </c>
      <c r="J289" s="45">
        <f>IF(B289="","",YEAR(B289))</f>
        <v/>
      </c>
    </row>
    <row r="290">
      <c r="A290" s="30" t="inlineStr"/>
      <c r="B290" s="38" t="inlineStr"/>
      <c r="C290" s="30" t="inlineStr"/>
      <c r="D290" s="30" t="inlineStr"/>
      <c r="E290" s="30" t="inlineStr"/>
      <c r="F290" s="34" t="inlineStr"/>
      <c r="G290" s="30" t="inlineStr"/>
      <c r="H290" s="30" t="inlineStr"/>
      <c r="I290" s="45">
        <f>IF(B290="","",MONTH(B290))</f>
        <v/>
      </c>
      <c r="J290" s="45">
        <f>IF(B290="","",YEAR(B290))</f>
        <v/>
      </c>
    </row>
    <row r="291">
      <c r="A291" s="30" t="inlineStr"/>
      <c r="B291" s="38" t="inlineStr"/>
      <c r="C291" s="30" t="inlineStr"/>
      <c r="D291" s="30" t="inlineStr"/>
      <c r="E291" s="30" t="inlineStr"/>
      <c r="F291" s="34" t="inlineStr"/>
      <c r="G291" s="30" t="inlineStr"/>
      <c r="H291" s="30" t="inlineStr"/>
      <c r="I291" s="45">
        <f>IF(B291="","",MONTH(B291))</f>
        <v/>
      </c>
      <c r="J291" s="45">
        <f>IF(B291="","",YEAR(B291))</f>
        <v/>
      </c>
    </row>
    <row r="292">
      <c r="A292" s="30" t="inlineStr"/>
      <c r="B292" s="38" t="inlineStr"/>
      <c r="C292" s="30" t="inlineStr"/>
      <c r="D292" s="30" t="inlineStr"/>
      <c r="E292" s="30" t="inlineStr"/>
      <c r="F292" s="34" t="inlineStr"/>
      <c r="G292" s="30" t="inlineStr"/>
      <c r="H292" s="30" t="inlineStr"/>
      <c r="I292" s="45">
        <f>IF(B292="","",MONTH(B292))</f>
        <v/>
      </c>
      <c r="J292" s="45">
        <f>IF(B292="","",YEAR(B292))</f>
        <v/>
      </c>
    </row>
    <row r="293">
      <c r="A293" s="30" t="inlineStr"/>
      <c r="B293" s="38" t="inlineStr"/>
      <c r="C293" s="30" t="inlineStr"/>
      <c r="D293" s="30" t="inlineStr"/>
      <c r="E293" s="30" t="inlineStr"/>
      <c r="F293" s="34" t="inlineStr"/>
      <c r="G293" s="30" t="inlineStr"/>
      <c r="H293" s="30" t="inlineStr"/>
      <c r="I293" s="45">
        <f>IF(B293="","",MONTH(B293))</f>
        <v/>
      </c>
      <c r="J293" s="45">
        <f>IF(B293="","",YEAR(B293))</f>
        <v/>
      </c>
    </row>
    <row r="294">
      <c r="A294" s="30" t="inlineStr"/>
      <c r="B294" s="38" t="inlineStr"/>
      <c r="C294" s="30" t="inlineStr"/>
      <c r="D294" s="30" t="inlineStr"/>
      <c r="E294" s="30" t="inlineStr"/>
      <c r="F294" s="34" t="inlineStr"/>
      <c r="G294" s="30" t="inlineStr"/>
      <c r="H294" s="30" t="inlineStr"/>
      <c r="I294" s="45">
        <f>IF(B294="","",MONTH(B294))</f>
        <v/>
      </c>
      <c r="J294" s="45">
        <f>IF(B294="","",YEAR(B294))</f>
        <v/>
      </c>
    </row>
    <row r="295">
      <c r="A295" s="30" t="inlineStr"/>
      <c r="B295" s="38" t="inlineStr"/>
      <c r="C295" s="30" t="inlineStr"/>
      <c r="D295" s="30" t="inlineStr"/>
      <c r="E295" s="30" t="inlineStr"/>
      <c r="F295" s="34" t="inlineStr"/>
      <c r="G295" s="30" t="inlineStr"/>
      <c r="H295" s="30" t="inlineStr"/>
      <c r="I295" s="45">
        <f>IF(B295="","",MONTH(B295))</f>
        <v/>
      </c>
      <c r="J295" s="45">
        <f>IF(B295="","",YEAR(B295))</f>
        <v/>
      </c>
    </row>
    <row r="296">
      <c r="A296" s="30" t="inlineStr"/>
      <c r="B296" s="38" t="inlineStr"/>
      <c r="C296" s="30" t="inlineStr"/>
      <c r="D296" s="30" t="inlineStr"/>
      <c r="E296" s="30" t="inlineStr"/>
      <c r="F296" s="34" t="inlineStr"/>
      <c r="G296" s="30" t="inlineStr"/>
      <c r="H296" s="30" t="inlineStr"/>
      <c r="I296" s="45">
        <f>IF(B296="","",MONTH(B296))</f>
        <v/>
      </c>
      <c r="J296" s="45">
        <f>IF(B296="","",YEAR(B296))</f>
        <v/>
      </c>
    </row>
    <row r="297">
      <c r="A297" s="30" t="inlineStr"/>
      <c r="B297" s="38" t="inlineStr"/>
      <c r="C297" s="30" t="inlineStr"/>
      <c r="D297" s="30" t="inlineStr"/>
      <c r="E297" s="30" t="inlineStr"/>
      <c r="F297" s="34" t="inlineStr"/>
      <c r="G297" s="30" t="inlineStr"/>
      <c r="H297" s="30" t="inlineStr"/>
      <c r="I297" s="45">
        <f>IF(B297="","",MONTH(B297))</f>
        <v/>
      </c>
      <c r="J297" s="45">
        <f>IF(B297="","",YEAR(B297))</f>
        <v/>
      </c>
    </row>
    <row r="298">
      <c r="A298" s="30" t="inlineStr"/>
      <c r="B298" s="38" t="inlineStr"/>
      <c r="C298" s="30" t="inlineStr"/>
      <c r="D298" s="30" t="inlineStr"/>
      <c r="E298" s="30" t="inlineStr"/>
      <c r="F298" s="34" t="inlineStr"/>
      <c r="G298" s="30" t="inlineStr"/>
      <c r="H298" s="30" t="inlineStr"/>
      <c r="I298" s="45">
        <f>IF(B298="","",MONTH(B298))</f>
        <v/>
      </c>
      <c r="J298" s="45">
        <f>IF(B298="","",YEAR(B298))</f>
        <v/>
      </c>
    </row>
    <row r="299">
      <c r="A299" s="30" t="inlineStr"/>
      <c r="B299" s="38" t="inlineStr"/>
      <c r="C299" s="30" t="inlineStr"/>
      <c r="D299" s="30" t="inlineStr"/>
      <c r="E299" s="30" t="inlineStr"/>
      <c r="F299" s="34" t="inlineStr"/>
      <c r="G299" s="30" t="inlineStr"/>
      <c r="H299" s="30" t="inlineStr"/>
      <c r="I299" s="45">
        <f>IF(B299="","",MONTH(B299))</f>
        <v/>
      </c>
      <c r="J299" s="45">
        <f>IF(B299="","",YEAR(B299))</f>
        <v/>
      </c>
    </row>
    <row r="300">
      <c r="A300" s="30" t="inlineStr"/>
      <c r="B300" s="38" t="inlineStr"/>
      <c r="C300" s="30" t="inlineStr"/>
      <c r="D300" s="30" t="inlineStr"/>
      <c r="E300" s="30" t="inlineStr"/>
      <c r="F300" s="34" t="inlineStr"/>
      <c r="G300" s="30" t="inlineStr"/>
      <c r="H300" s="30" t="inlineStr"/>
      <c r="I300" s="45">
        <f>IF(B300="","",MONTH(B300))</f>
        <v/>
      </c>
      <c r="J300" s="45">
        <f>IF(B300="","",YEAR(B300))</f>
        <v/>
      </c>
    </row>
    <row r="301">
      <c r="A301" s="30" t="inlineStr"/>
      <c r="B301" s="38" t="inlineStr"/>
      <c r="C301" s="30" t="inlineStr"/>
      <c r="D301" s="30" t="inlineStr"/>
      <c r="E301" s="30" t="inlineStr"/>
      <c r="F301" s="34" t="inlineStr"/>
      <c r="G301" s="30" t="inlineStr"/>
      <c r="H301" s="30" t="inlineStr"/>
      <c r="I301" s="45">
        <f>IF(B301="","",MONTH(B301))</f>
        <v/>
      </c>
      <c r="J301" s="45">
        <f>IF(B301="","",YEAR(B301))</f>
        <v/>
      </c>
    </row>
    <row r="302">
      <c r="A302" s="30" t="inlineStr"/>
      <c r="B302" s="38" t="inlineStr"/>
      <c r="C302" s="30" t="inlineStr"/>
      <c r="D302" s="30" t="inlineStr"/>
      <c r="E302" s="30" t="inlineStr"/>
      <c r="F302" s="34" t="inlineStr"/>
      <c r="G302" s="30" t="inlineStr"/>
      <c r="H302" s="30" t="inlineStr"/>
      <c r="I302" s="45">
        <f>IF(B302="","",MONTH(B302))</f>
        <v/>
      </c>
      <c r="J302" s="45">
        <f>IF(B302="","",YEAR(B302))</f>
        <v/>
      </c>
    </row>
    <row r="303">
      <c r="A303" s="30" t="inlineStr"/>
      <c r="B303" s="38" t="inlineStr"/>
      <c r="C303" s="30" t="inlineStr"/>
      <c r="D303" s="30" t="inlineStr"/>
      <c r="E303" s="30" t="inlineStr"/>
      <c r="F303" s="34" t="inlineStr"/>
      <c r="G303" s="30" t="inlineStr"/>
      <c r="H303" s="30" t="inlineStr"/>
      <c r="I303" s="45">
        <f>IF(B303="","",MONTH(B303))</f>
        <v/>
      </c>
      <c r="J303" s="45">
        <f>IF(B303="","",YEAR(B303))</f>
        <v/>
      </c>
    </row>
    <row r="304">
      <c r="A304" s="30" t="inlineStr"/>
      <c r="B304" s="38" t="inlineStr"/>
      <c r="C304" s="30" t="inlineStr"/>
      <c r="D304" s="30" t="inlineStr"/>
      <c r="E304" s="30" t="inlineStr"/>
      <c r="F304" s="34" t="inlineStr"/>
      <c r="G304" s="30" t="inlineStr"/>
      <c r="H304" s="30" t="inlineStr"/>
      <c r="I304" s="45">
        <f>IF(B304="","",MONTH(B304))</f>
        <v/>
      </c>
      <c r="J304" s="45">
        <f>IF(B304="","",YEAR(B304))</f>
        <v/>
      </c>
    </row>
    <row r="305">
      <c r="A305" s="30" t="inlineStr"/>
      <c r="B305" s="38" t="inlineStr"/>
      <c r="C305" s="30" t="inlineStr"/>
      <c r="D305" s="30" t="inlineStr"/>
      <c r="E305" s="30" t="inlineStr"/>
      <c r="F305" s="34" t="inlineStr"/>
      <c r="G305" s="30" t="inlineStr"/>
      <c r="H305" s="30" t="inlineStr"/>
      <c r="I305" s="45">
        <f>IF(B305="","",MONTH(B305))</f>
        <v/>
      </c>
      <c r="J305" s="45">
        <f>IF(B305="","",YEAR(B305))</f>
        <v/>
      </c>
    </row>
    <row r="306">
      <c r="A306" s="30" t="inlineStr"/>
      <c r="B306" s="38" t="inlineStr"/>
      <c r="C306" s="30" t="inlineStr"/>
      <c r="D306" s="30" t="inlineStr"/>
      <c r="E306" s="30" t="inlineStr"/>
      <c r="F306" s="34" t="inlineStr"/>
      <c r="G306" s="30" t="inlineStr"/>
      <c r="H306" s="30" t="inlineStr"/>
      <c r="I306" s="45">
        <f>IF(B306="","",MONTH(B306))</f>
        <v/>
      </c>
      <c r="J306" s="45">
        <f>IF(B306="","",YEAR(B306))</f>
        <v/>
      </c>
    </row>
    <row r="307">
      <c r="A307" s="30" t="inlineStr"/>
      <c r="B307" s="38" t="inlineStr"/>
      <c r="C307" s="30" t="inlineStr"/>
      <c r="D307" s="30" t="inlineStr"/>
      <c r="E307" s="30" t="inlineStr"/>
      <c r="F307" s="34" t="inlineStr"/>
      <c r="G307" s="30" t="inlineStr"/>
      <c r="H307" s="30" t="inlineStr"/>
      <c r="I307" s="45">
        <f>IF(B307="","",MONTH(B307))</f>
        <v/>
      </c>
      <c r="J307" s="45">
        <f>IF(B307="","",YEAR(B307))</f>
        <v/>
      </c>
    </row>
    <row r="308">
      <c r="A308" s="30" t="inlineStr"/>
      <c r="B308" s="38" t="inlineStr"/>
      <c r="C308" s="30" t="inlineStr"/>
      <c r="D308" s="30" t="inlineStr"/>
      <c r="E308" s="30" t="inlineStr"/>
      <c r="F308" s="34" t="inlineStr"/>
      <c r="G308" s="30" t="inlineStr"/>
      <c r="H308" s="30" t="inlineStr"/>
      <c r="I308" s="45">
        <f>IF(B308="","",MONTH(B308))</f>
        <v/>
      </c>
      <c r="J308" s="45">
        <f>IF(B308="","",YEAR(B308))</f>
        <v/>
      </c>
    </row>
    <row r="309">
      <c r="A309" s="30" t="inlineStr"/>
      <c r="B309" s="38" t="inlineStr"/>
      <c r="C309" s="30" t="inlineStr"/>
      <c r="D309" s="30" t="inlineStr"/>
      <c r="E309" s="30" t="inlineStr"/>
      <c r="F309" s="34" t="inlineStr"/>
      <c r="G309" s="30" t="inlineStr"/>
      <c r="H309" s="30" t="inlineStr"/>
      <c r="I309" s="45">
        <f>IF(B309="","",MONTH(B309))</f>
        <v/>
      </c>
      <c r="J309" s="45">
        <f>IF(B309="","",YEAR(B309))</f>
        <v/>
      </c>
    </row>
    <row r="310">
      <c r="A310" s="30" t="inlineStr"/>
      <c r="B310" s="38" t="inlineStr"/>
      <c r="C310" s="30" t="inlineStr"/>
      <c r="D310" s="30" t="inlineStr"/>
      <c r="E310" s="30" t="inlineStr"/>
      <c r="F310" s="34" t="inlineStr"/>
      <c r="G310" s="30" t="inlineStr"/>
      <c r="H310" s="30" t="inlineStr"/>
      <c r="I310" s="45">
        <f>IF(B310="","",MONTH(B310))</f>
        <v/>
      </c>
      <c r="J310" s="45">
        <f>IF(B310="","",YEAR(B310))</f>
        <v/>
      </c>
    </row>
    <row r="311">
      <c r="A311" s="30" t="inlineStr"/>
      <c r="B311" s="38" t="inlineStr"/>
      <c r="C311" s="30" t="inlineStr"/>
      <c r="D311" s="30" t="inlineStr"/>
      <c r="E311" s="30" t="inlineStr"/>
      <c r="F311" s="34" t="inlineStr"/>
      <c r="G311" s="30" t="inlineStr"/>
      <c r="H311" s="30" t="inlineStr"/>
      <c r="I311" s="45">
        <f>IF(B311="","",MONTH(B311))</f>
        <v/>
      </c>
      <c r="J311" s="45">
        <f>IF(B311="","",YEAR(B311))</f>
        <v/>
      </c>
    </row>
    <row r="312">
      <c r="A312" s="30" t="inlineStr"/>
      <c r="B312" s="38" t="inlineStr"/>
      <c r="C312" s="30" t="inlineStr"/>
      <c r="D312" s="30" t="inlineStr"/>
      <c r="E312" s="30" t="inlineStr"/>
      <c r="F312" s="34" t="inlineStr"/>
      <c r="G312" s="30" t="inlineStr"/>
      <c r="H312" s="30" t="inlineStr"/>
      <c r="I312" s="45">
        <f>IF(B312="","",MONTH(B312))</f>
        <v/>
      </c>
      <c r="J312" s="45">
        <f>IF(B312="","",YEAR(B312))</f>
        <v/>
      </c>
    </row>
    <row r="313">
      <c r="A313" s="30" t="inlineStr"/>
      <c r="B313" s="38" t="inlineStr"/>
      <c r="C313" s="30" t="inlineStr"/>
      <c r="D313" s="30" t="inlineStr"/>
      <c r="E313" s="30" t="inlineStr"/>
      <c r="F313" s="34" t="inlineStr"/>
      <c r="G313" s="30" t="inlineStr"/>
      <c r="H313" s="30" t="inlineStr"/>
      <c r="I313" s="45">
        <f>IF(B313="","",MONTH(B313))</f>
        <v/>
      </c>
      <c r="J313" s="45">
        <f>IF(B313="","",YEAR(B313))</f>
        <v/>
      </c>
    </row>
    <row r="314">
      <c r="A314" s="30" t="inlineStr"/>
      <c r="B314" s="38" t="inlineStr"/>
      <c r="C314" s="30" t="inlineStr"/>
      <c r="D314" s="30" t="inlineStr"/>
      <c r="E314" s="30" t="inlineStr"/>
      <c r="F314" s="34" t="inlineStr"/>
      <c r="G314" s="30" t="inlineStr"/>
      <c r="H314" s="30" t="inlineStr"/>
      <c r="I314" s="45">
        <f>IF(B314="","",MONTH(B314))</f>
        <v/>
      </c>
      <c r="J314" s="45">
        <f>IF(B314="","",YEAR(B314))</f>
        <v/>
      </c>
    </row>
    <row r="315">
      <c r="A315" s="30" t="inlineStr"/>
      <c r="B315" s="38" t="inlineStr"/>
      <c r="C315" s="30" t="inlineStr"/>
      <c r="D315" s="30" t="inlineStr"/>
      <c r="E315" s="30" t="inlineStr"/>
      <c r="F315" s="34" t="inlineStr"/>
      <c r="G315" s="30" t="inlineStr"/>
      <c r="H315" s="30" t="inlineStr"/>
      <c r="I315" s="45">
        <f>IF(B315="","",MONTH(B315))</f>
        <v/>
      </c>
      <c r="J315" s="45">
        <f>IF(B315="","",YEAR(B315))</f>
        <v/>
      </c>
    </row>
    <row r="316">
      <c r="A316" s="30" t="inlineStr"/>
      <c r="B316" s="38" t="inlineStr"/>
      <c r="C316" s="30" t="inlineStr"/>
      <c r="D316" s="30" t="inlineStr"/>
      <c r="E316" s="30" t="inlineStr"/>
      <c r="F316" s="34" t="inlineStr"/>
      <c r="G316" s="30" t="inlineStr"/>
      <c r="H316" s="30" t="inlineStr"/>
      <c r="I316" s="45">
        <f>IF(B316="","",MONTH(B316))</f>
        <v/>
      </c>
      <c r="J316" s="45">
        <f>IF(B316="","",YEAR(B316))</f>
        <v/>
      </c>
    </row>
    <row r="317">
      <c r="A317" s="30" t="inlineStr"/>
      <c r="B317" s="38" t="inlineStr"/>
      <c r="C317" s="30" t="inlineStr"/>
      <c r="D317" s="30" t="inlineStr"/>
      <c r="E317" s="30" t="inlineStr"/>
      <c r="F317" s="34" t="inlineStr"/>
      <c r="G317" s="30" t="inlineStr"/>
      <c r="H317" s="30" t="inlineStr"/>
      <c r="I317" s="45">
        <f>IF(B317="","",MONTH(B317))</f>
        <v/>
      </c>
      <c r="J317" s="45">
        <f>IF(B317="","",YEAR(B317))</f>
        <v/>
      </c>
    </row>
    <row r="318">
      <c r="A318" s="30" t="inlineStr"/>
      <c r="B318" s="38" t="inlineStr"/>
      <c r="C318" s="30" t="inlineStr"/>
      <c r="D318" s="30" t="inlineStr"/>
      <c r="E318" s="30" t="inlineStr"/>
      <c r="F318" s="34" t="inlineStr"/>
      <c r="G318" s="30" t="inlineStr"/>
      <c r="H318" s="30" t="inlineStr"/>
      <c r="I318" s="45">
        <f>IF(B318="","",MONTH(B318))</f>
        <v/>
      </c>
      <c r="J318" s="45">
        <f>IF(B318="","",YEAR(B318))</f>
        <v/>
      </c>
    </row>
    <row r="319">
      <c r="A319" s="30" t="inlineStr"/>
      <c r="B319" s="38" t="inlineStr"/>
      <c r="C319" s="30" t="inlineStr"/>
      <c r="D319" s="30" t="inlineStr"/>
      <c r="E319" s="30" t="inlineStr"/>
      <c r="F319" s="34" t="inlineStr"/>
      <c r="G319" s="30" t="inlineStr"/>
      <c r="H319" s="30" t="inlineStr"/>
      <c r="I319" s="45">
        <f>IF(B319="","",MONTH(B319))</f>
        <v/>
      </c>
      <c r="J319" s="45">
        <f>IF(B319="","",YEAR(B319))</f>
        <v/>
      </c>
    </row>
    <row r="320">
      <c r="A320" s="30" t="inlineStr"/>
      <c r="B320" s="38" t="inlineStr"/>
      <c r="C320" s="30" t="inlineStr"/>
      <c r="D320" s="30" t="inlineStr"/>
      <c r="E320" s="30" t="inlineStr"/>
      <c r="F320" s="34" t="inlineStr"/>
      <c r="G320" s="30" t="inlineStr"/>
      <c r="H320" s="30" t="inlineStr"/>
      <c r="I320" s="45">
        <f>IF(B320="","",MONTH(B320))</f>
        <v/>
      </c>
      <c r="J320" s="45">
        <f>IF(B320="","",YEAR(B320))</f>
        <v/>
      </c>
    </row>
    <row r="321">
      <c r="A321" s="30" t="inlineStr"/>
      <c r="B321" s="38" t="inlineStr"/>
      <c r="C321" s="30" t="inlineStr"/>
      <c r="D321" s="30" t="inlineStr"/>
      <c r="E321" s="30" t="inlineStr"/>
      <c r="F321" s="34" t="inlineStr"/>
      <c r="G321" s="30" t="inlineStr"/>
      <c r="H321" s="30" t="inlineStr"/>
      <c r="I321" s="45">
        <f>IF(B321="","",MONTH(B321))</f>
        <v/>
      </c>
      <c r="J321" s="45">
        <f>IF(B321="","",YEAR(B321))</f>
        <v/>
      </c>
    </row>
    <row r="322">
      <c r="A322" s="30" t="inlineStr"/>
      <c r="B322" s="38" t="inlineStr"/>
      <c r="C322" s="30" t="inlineStr"/>
      <c r="D322" s="30" t="inlineStr"/>
      <c r="E322" s="30" t="inlineStr"/>
      <c r="F322" s="34" t="inlineStr"/>
      <c r="G322" s="30" t="inlineStr"/>
      <c r="H322" s="30" t="inlineStr"/>
      <c r="I322" s="45">
        <f>IF(B322="","",MONTH(B322))</f>
        <v/>
      </c>
      <c r="J322" s="45">
        <f>IF(B322="","",YEAR(B322))</f>
        <v/>
      </c>
    </row>
    <row r="323">
      <c r="A323" s="30" t="inlineStr"/>
      <c r="B323" s="38" t="inlineStr"/>
      <c r="C323" s="30" t="inlineStr"/>
      <c r="D323" s="30" t="inlineStr"/>
      <c r="E323" s="30" t="inlineStr"/>
      <c r="F323" s="34" t="inlineStr"/>
      <c r="G323" s="30" t="inlineStr"/>
      <c r="H323" s="30" t="inlineStr"/>
      <c r="I323" s="45">
        <f>IF(B323="","",MONTH(B323))</f>
        <v/>
      </c>
      <c r="J323" s="45">
        <f>IF(B323="","",YEAR(B323))</f>
        <v/>
      </c>
    </row>
    <row r="324">
      <c r="A324" s="30" t="inlineStr"/>
      <c r="B324" s="38" t="inlineStr"/>
      <c r="C324" s="30" t="inlineStr"/>
      <c r="D324" s="30" t="inlineStr"/>
      <c r="E324" s="30" t="inlineStr"/>
      <c r="F324" s="34" t="inlineStr"/>
      <c r="G324" s="30" t="inlineStr"/>
      <c r="H324" s="30" t="inlineStr"/>
      <c r="I324" s="45">
        <f>IF(B324="","",MONTH(B324))</f>
        <v/>
      </c>
      <c r="J324" s="45">
        <f>IF(B324="","",YEAR(B324))</f>
        <v/>
      </c>
    </row>
    <row r="325">
      <c r="A325" s="30" t="inlineStr"/>
      <c r="B325" s="38" t="inlineStr"/>
      <c r="C325" s="30" t="inlineStr"/>
      <c r="D325" s="30" t="inlineStr"/>
      <c r="E325" s="30" t="inlineStr"/>
      <c r="F325" s="34" t="inlineStr"/>
      <c r="G325" s="30" t="inlineStr"/>
      <c r="H325" s="30" t="inlineStr"/>
      <c r="I325" s="45">
        <f>IF(B325="","",MONTH(B325))</f>
        <v/>
      </c>
      <c r="J325" s="45">
        <f>IF(B325="","",YEAR(B325))</f>
        <v/>
      </c>
    </row>
    <row r="326">
      <c r="A326" s="30" t="inlineStr"/>
      <c r="B326" s="38" t="inlineStr"/>
      <c r="C326" s="30" t="inlineStr"/>
      <c r="D326" s="30" t="inlineStr"/>
      <c r="E326" s="30" t="inlineStr"/>
      <c r="F326" s="34" t="inlineStr"/>
      <c r="G326" s="30" t="inlineStr"/>
      <c r="H326" s="30" t="inlineStr"/>
      <c r="I326" s="45">
        <f>IF(B326="","",MONTH(B326))</f>
        <v/>
      </c>
      <c r="J326" s="45">
        <f>IF(B326="","",YEAR(B326))</f>
        <v/>
      </c>
    </row>
    <row r="327">
      <c r="A327" s="30" t="inlineStr"/>
      <c r="B327" s="38" t="inlineStr"/>
      <c r="C327" s="30" t="inlineStr"/>
      <c r="D327" s="30" t="inlineStr"/>
      <c r="E327" s="30" t="inlineStr"/>
      <c r="F327" s="34" t="inlineStr"/>
      <c r="G327" s="30" t="inlineStr"/>
      <c r="H327" s="30" t="inlineStr"/>
      <c r="I327" s="45">
        <f>IF(B327="","",MONTH(B327))</f>
        <v/>
      </c>
      <c r="J327" s="45">
        <f>IF(B327="","",YEAR(B327))</f>
        <v/>
      </c>
    </row>
    <row r="328">
      <c r="A328" s="30" t="inlineStr"/>
      <c r="B328" s="38" t="inlineStr"/>
      <c r="C328" s="30" t="inlineStr"/>
      <c r="D328" s="30" t="inlineStr"/>
      <c r="E328" s="30" t="inlineStr"/>
      <c r="F328" s="34" t="inlineStr"/>
      <c r="G328" s="30" t="inlineStr"/>
      <c r="H328" s="30" t="inlineStr"/>
      <c r="I328" s="45">
        <f>IF(B328="","",MONTH(B328))</f>
        <v/>
      </c>
      <c r="J328" s="45">
        <f>IF(B328="","",YEAR(B328))</f>
        <v/>
      </c>
    </row>
    <row r="329">
      <c r="A329" s="30" t="inlineStr"/>
      <c r="B329" s="38" t="inlineStr"/>
      <c r="C329" s="30" t="inlineStr"/>
      <c r="D329" s="30" t="inlineStr"/>
      <c r="E329" s="30" t="inlineStr"/>
      <c r="F329" s="34" t="inlineStr"/>
      <c r="G329" s="30" t="inlineStr"/>
      <c r="H329" s="30" t="inlineStr"/>
      <c r="I329" s="45">
        <f>IF(B329="","",MONTH(B329))</f>
        <v/>
      </c>
      <c r="J329" s="45">
        <f>IF(B329="","",YEAR(B329))</f>
        <v/>
      </c>
    </row>
    <row r="330">
      <c r="A330" s="30" t="inlineStr"/>
      <c r="B330" s="38" t="inlineStr"/>
      <c r="C330" s="30" t="inlineStr"/>
      <c r="D330" s="30" t="inlineStr"/>
      <c r="E330" s="30" t="inlineStr"/>
      <c r="F330" s="34" t="inlineStr"/>
      <c r="G330" s="30" t="inlineStr"/>
      <c r="H330" s="30" t="inlineStr"/>
      <c r="I330" s="45">
        <f>IF(B330="","",MONTH(B330))</f>
        <v/>
      </c>
      <c r="J330" s="45">
        <f>IF(B330="","",YEAR(B330))</f>
        <v/>
      </c>
    </row>
    <row r="331">
      <c r="A331" s="30" t="inlineStr"/>
      <c r="B331" s="38" t="inlineStr"/>
      <c r="C331" s="30" t="inlineStr"/>
      <c r="D331" s="30" t="inlineStr"/>
      <c r="E331" s="30" t="inlineStr"/>
      <c r="F331" s="34" t="inlineStr"/>
      <c r="G331" s="30" t="inlineStr"/>
      <c r="H331" s="30" t="inlineStr"/>
      <c r="I331" s="45">
        <f>IF(B331="","",MONTH(B331))</f>
        <v/>
      </c>
      <c r="J331" s="45">
        <f>IF(B331="","",YEAR(B331))</f>
        <v/>
      </c>
    </row>
    <row r="332">
      <c r="A332" s="30" t="inlineStr"/>
      <c r="B332" s="38" t="inlineStr"/>
      <c r="C332" s="30" t="inlineStr"/>
      <c r="D332" s="30" t="inlineStr"/>
      <c r="E332" s="30" t="inlineStr"/>
      <c r="F332" s="34" t="inlineStr"/>
      <c r="G332" s="30" t="inlineStr"/>
      <c r="H332" s="30" t="inlineStr"/>
      <c r="I332" s="45">
        <f>IF(B332="","",MONTH(B332))</f>
        <v/>
      </c>
      <c r="J332" s="45">
        <f>IF(B332="","",YEAR(B332))</f>
        <v/>
      </c>
    </row>
    <row r="333">
      <c r="A333" s="30" t="inlineStr"/>
      <c r="B333" s="38" t="inlineStr"/>
      <c r="C333" s="30" t="inlineStr"/>
      <c r="D333" s="30" t="inlineStr"/>
      <c r="E333" s="30" t="inlineStr"/>
      <c r="F333" s="34" t="inlineStr"/>
      <c r="G333" s="30" t="inlineStr"/>
      <c r="H333" s="30" t="inlineStr"/>
      <c r="I333" s="45">
        <f>IF(B333="","",MONTH(B333))</f>
        <v/>
      </c>
      <c r="J333" s="45">
        <f>IF(B333="","",YEAR(B333))</f>
        <v/>
      </c>
    </row>
    <row r="334">
      <c r="A334" s="30" t="inlineStr"/>
      <c r="B334" s="38" t="inlineStr"/>
      <c r="C334" s="30" t="inlineStr"/>
      <c r="D334" s="30" t="inlineStr"/>
      <c r="E334" s="30" t="inlineStr"/>
      <c r="F334" s="34" t="inlineStr"/>
      <c r="G334" s="30" t="inlineStr"/>
      <c r="H334" s="30" t="inlineStr"/>
      <c r="I334" s="45">
        <f>IF(B334="","",MONTH(B334))</f>
        <v/>
      </c>
      <c r="J334" s="45">
        <f>IF(B334="","",YEAR(B334))</f>
        <v/>
      </c>
    </row>
    <row r="335">
      <c r="A335" s="30" t="inlineStr"/>
      <c r="B335" s="38" t="inlineStr"/>
      <c r="C335" s="30" t="inlineStr"/>
      <c r="D335" s="30" t="inlineStr"/>
      <c r="E335" s="30" t="inlineStr"/>
      <c r="F335" s="34" t="inlineStr"/>
      <c r="G335" s="30" t="inlineStr"/>
      <c r="H335" s="30" t="inlineStr"/>
      <c r="I335" s="45">
        <f>IF(B335="","",MONTH(B335))</f>
        <v/>
      </c>
      <c r="J335" s="45">
        <f>IF(B335="","",YEAR(B335))</f>
        <v/>
      </c>
    </row>
    <row r="336">
      <c r="A336" s="30" t="inlineStr"/>
      <c r="B336" s="38" t="inlineStr"/>
      <c r="C336" s="30" t="inlineStr"/>
      <c r="D336" s="30" t="inlineStr"/>
      <c r="E336" s="30" t="inlineStr"/>
      <c r="F336" s="34" t="inlineStr"/>
      <c r="G336" s="30" t="inlineStr"/>
      <c r="H336" s="30" t="inlineStr"/>
      <c r="I336" s="45">
        <f>IF(B336="","",MONTH(B336))</f>
        <v/>
      </c>
      <c r="J336" s="45">
        <f>IF(B336="","",YEAR(B336))</f>
        <v/>
      </c>
    </row>
    <row r="337">
      <c r="A337" s="30" t="inlineStr"/>
      <c r="B337" s="38" t="inlineStr"/>
      <c r="C337" s="30" t="inlineStr"/>
      <c r="D337" s="30" t="inlineStr"/>
      <c r="E337" s="30" t="inlineStr"/>
      <c r="F337" s="34" t="inlineStr"/>
      <c r="G337" s="30" t="inlineStr"/>
      <c r="H337" s="30" t="inlineStr"/>
      <c r="I337" s="45">
        <f>IF(B337="","",MONTH(B337))</f>
        <v/>
      </c>
      <c r="J337" s="45">
        <f>IF(B337="","",YEAR(B337))</f>
        <v/>
      </c>
    </row>
    <row r="338">
      <c r="A338" s="30" t="inlineStr"/>
      <c r="B338" s="38" t="inlineStr"/>
      <c r="C338" s="30" t="inlineStr"/>
      <c r="D338" s="30" t="inlineStr"/>
      <c r="E338" s="30" t="inlineStr"/>
      <c r="F338" s="34" t="inlineStr"/>
      <c r="G338" s="30" t="inlineStr"/>
      <c r="H338" s="30" t="inlineStr"/>
      <c r="I338" s="45">
        <f>IF(B338="","",MONTH(B338))</f>
        <v/>
      </c>
      <c r="J338" s="45">
        <f>IF(B338="","",YEAR(B338))</f>
        <v/>
      </c>
    </row>
    <row r="339">
      <c r="A339" s="30" t="inlineStr"/>
      <c r="B339" s="38" t="inlineStr"/>
      <c r="C339" s="30" t="inlineStr"/>
      <c r="D339" s="30" t="inlineStr"/>
      <c r="E339" s="30" t="inlineStr"/>
      <c r="F339" s="34" t="inlineStr"/>
      <c r="G339" s="30" t="inlineStr"/>
      <c r="H339" s="30" t="inlineStr"/>
      <c r="I339" s="45">
        <f>IF(B339="","",MONTH(B339))</f>
        <v/>
      </c>
      <c r="J339" s="45">
        <f>IF(B339="","",YEAR(B339))</f>
        <v/>
      </c>
    </row>
    <row r="340">
      <c r="A340" s="30" t="inlineStr"/>
      <c r="B340" s="38" t="inlineStr"/>
      <c r="C340" s="30" t="inlineStr"/>
      <c r="D340" s="30" t="inlineStr"/>
      <c r="E340" s="30" t="inlineStr"/>
      <c r="F340" s="34" t="inlineStr"/>
      <c r="G340" s="30" t="inlineStr"/>
      <c r="H340" s="30" t="inlineStr"/>
      <c r="I340" s="45">
        <f>IF(B340="","",MONTH(B340))</f>
        <v/>
      </c>
      <c r="J340" s="45">
        <f>IF(B340="","",YEAR(B340))</f>
        <v/>
      </c>
    </row>
    <row r="341">
      <c r="A341" s="30" t="inlineStr"/>
      <c r="B341" s="38" t="inlineStr"/>
      <c r="C341" s="30" t="inlineStr"/>
      <c r="D341" s="30" t="inlineStr"/>
      <c r="E341" s="30" t="inlineStr"/>
      <c r="F341" s="34" t="inlineStr"/>
      <c r="G341" s="30" t="inlineStr"/>
      <c r="H341" s="30" t="inlineStr"/>
      <c r="I341" s="45">
        <f>IF(B341="","",MONTH(B341))</f>
        <v/>
      </c>
      <c r="J341" s="45">
        <f>IF(B341="","",YEAR(B341))</f>
        <v/>
      </c>
    </row>
    <row r="342">
      <c r="A342" s="30" t="inlineStr"/>
      <c r="B342" s="38" t="inlineStr"/>
      <c r="C342" s="30" t="inlineStr"/>
      <c r="D342" s="30" t="inlineStr"/>
      <c r="E342" s="30" t="inlineStr"/>
      <c r="F342" s="34" t="inlineStr"/>
      <c r="G342" s="30" t="inlineStr"/>
      <c r="H342" s="30" t="inlineStr"/>
      <c r="I342" s="45">
        <f>IF(B342="","",MONTH(B342))</f>
        <v/>
      </c>
      <c r="J342" s="45">
        <f>IF(B342="","",YEAR(B342))</f>
        <v/>
      </c>
    </row>
    <row r="343">
      <c r="A343" s="30" t="inlineStr"/>
      <c r="B343" s="38" t="inlineStr"/>
      <c r="C343" s="30" t="inlineStr"/>
      <c r="D343" s="30" t="inlineStr"/>
      <c r="E343" s="30" t="inlineStr"/>
      <c r="F343" s="34" t="inlineStr"/>
      <c r="G343" s="30" t="inlineStr"/>
      <c r="H343" s="30" t="inlineStr"/>
      <c r="I343" s="45">
        <f>IF(B343="","",MONTH(B343))</f>
        <v/>
      </c>
      <c r="J343" s="45">
        <f>IF(B343="","",YEAR(B343))</f>
        <v/>
      </c>
    </row>
    <row r="344">
      <c r="A344" s="30" t="inlineStr"/>
      <c r="B344" s="38" t="inlineStr"/>
      <c r="C344" s="30" t="inlineStr"/>
      <c r="D344" s="30" t="inlineStr"/>
      <c r="E344" s="30" t="inlineStr"/>
      <c r="F344" s="34" t="inlineStr"/>
      <c r="G344" s="30" t="inlineStr"/>
      <c r="H344" s="30" t="inlineStr"/>
      <c r="I344" s="45">
        <f>IF(B344="","",MONTH(B344))</f>
        <v/>
      </c>
      <c r="J344" s="45">
        <f>IF(B344="","",YEAR(B344))</f>
        <v/>
      </c>
    </row>
    <row r="345">
      <c r="A345" s="30" t="inlineStr"/>
      <c r="B345" s="38" t="inlineStr"/>
      <c r="C345" s="30" t="inlineStr"/>
      <c r="D345" s="30" t="inlineStr"/>
      <c r="E345" s="30" t="inlineStr"/>
      <c r="F345" s="34" t="inlineStr"/>
      <c r="G345" s="30" t="inlineStr"/>
      <c r="H345" s="30" t="inlineStr"/>
      <c r="I345" s="45">
        <f>IF(B345="","",MONTH(B345))</f>
        <v/>
      </c>
      <c r="J345" s="45">
        <f>IF(B345="","",YEAR(B345))</f>
        <v/>
      </c>
    </row>
    <row r="346">
      <c r="A346" s="30" t="inlineStr"/>
      <c r="B346" s="38" t="inlineStr"/>
      <c r="C346" s="30" t="inlineStr"/>
      <c r="D346" s="30" t="inlineStr"/>
      <c r="E346" s="30" t="inlineStr"/>
      <c r="F346" s="34" t="inlineStr"/>
      <c r="G346" s="30" t="inlineStr"/>
      <c r="H346" s="30" t="inlineStr"/>
      <c r="I346" s="45">
        <f>IF(B346="","",MONTH(B346))</f>
        <v/>
      </c>
      <c r="J346" s="45">
        <f>IF(B346="","",YEAR(B346))</f>
        <v/>
      </c>
    </row>
    <row r="347">
      <c r="A347" s="30" t="inlineStr"/>
      <c r="B347" s="38" t="inlineStr"/>
      <c r="C347" s="30" t="inlineStr"/>
      <c r="D347" s="30" t="inlineStr"/>
      <c r="E347" s="30" t="inlineStr"/>
      <c r="F347" s="34" t="inlineStr"/>
      <c r="G347" s="30" t="inlineStr"/>
      <c r="H347" s="30" t="inlineStr"/>
      <c r="I347" s="45">
        <f>IF(B347="","",MONTH(B347))</f>
        <v/>
      </c>
      <c r="J347" s="45">
        <f>IF(B347="","",YEAR(B347))</f>
        <v/>
      </c>
    </row>
    <row r="348">
      <c r="A348" s="30" t="inlineStr"/>
      <c r="B348" s="38" t="inlineStr"/>
      <c r="C348" s="30" t="inlineStr"/>
      <c r="D348" s="30" t="inlineStr"/>
      <c r="E348" s="30" t="inlineStr"/>
      <c r="F348" s="34" t="inlineStr"/>
      <c r="G348" s="30" t="inlineStr"/>
      <c r="H348" s="30" t="inlineStr"/>
      <c r="I348" s="45">
        <f>IF(B348="","",MONTH(B348))</f>
        <v/>
      </c>
      <c r="J348" s="45">
        <f>IF(B348="","",YEAR(B348))</f>
        <v/>
      </c>
    </row>
    <row r="349">
      <c r="A349" s="30" t="inlineStr"/>
      <c r="B349" s="38" t="inlineStr"/>
      <c r="C349" s="30" t="inlineStr"/>
      <c r="D349" s="30" t="inlineStr"/>
      <c r="E349" s="30" t="inlineStr"/>
      <c r="F349" s="34" t="inlineStr"/>
      <c r="G349" s="30" t="inlineStr"/>
      <c r="H349" s="30" t="inlineStr"/>
      <c r="I349" s="45">
        <f>IF(B349="","",MONTH(B349))</f>
        <v/>
      </c>
      <c r="J349" s="45">
        <f>IF(B349="","",YEAR(B349))</f>
        <v/>
      </c>
    </row>
    <row r="350">
      <c r="A350" s="30" t="inlineStr"/>
      <c r="B350" s="38" t="inlineStr"/>
      <c r="C350" s="30" t="inlineStr"/>
      <c r="D350" s="30" t="inlineStr"/>
      <c r="E350" s="30" t="inlineStr"/>
      <c r="F350" s="34" t="inlineStr"/>
      <c r="G350" s="30" t="inlineStr"/>
      <c r="H350" s="30" t="inlineStr"/>
      <c r="I350" s="45">
        <f>IF(B350="","",MONTH(B350))</f>
        <v/>
      </c>
      <c r="J350" s="45">
        <f>IF(B350="","",YEAR(B350))</f>
        <v/>
      </c>
    </row>
    <row r="351">
      <c r="A351" s="30" t="inlineStr"/>
      <c r="B351" s="38" t="inlineStr"/>
      <c r="C351" s="30" t="inlineStr"/>
      <c r="D351" s="30" t="inlineStr"/>
      <c r="E351" s="30" t="inlineStr"/>
      <c r="F351" s="34" t="inlineStr"/>
      <c r="G351" s="30" t="inlineStr"/>
      <c r="H351" s="30" t="inlineStr"/>
      <c r="I351" s="45">
        <f>IF(B351="","",MONTH(B351))</f>
        <v/>
      </c>
      <c r="J351" s="45">
        <f>IF(B351="","",YEAR(B351))</f>
        <v/>
      </c>
    </row>
    <row r="352">
      <c r="A352" s="30" t="inlineStr"/>
      <c r="B352" s="38" t="inlineStr"/>
      <c r="C352" s="30" t="inlineStr"/>
      <c r="D352" s="30" t="inlineStr"/>
      <c r="E352" s="30" t="inlineStr"/>
      <c r="F352" s="34" t="inlineStr"/>
      <c r="G352" s="30" t="inlineStr"/>
      <c r="H352" s="30" t="inlineStr"/>
      <c r="I352" s="45">
        <f>IF(B352="","",MONTH(B352))</f>
        <v/>
      </c>
      <c r="J352" s="45">
        <f>IF(B352="","",YEAR(B352))</f>
        <v/>
      </c>
    </row>
    <row r="353">
      <c r="A353" s="30" t="inlineStr"/>
      <c r="B353" s="38" t="inlineStr"/>
      <c r="C353" s="30" t="inlineStr"/>
      <c r="D353" s="30" t="inlineStr"/>
      <c r="E353" s="30" t="inlineStr"/>
      <c r="F353" s="34" t="inlineStr"/>
      <c r="G353" s="30" t="inlineStr"/>
      <c r="H353" s="30" t="inlineStr"/>
      <c r="I353" s="45">
        <f>IF(B353="","",MONTH(B353))</f>
        <v/>
      </c>
      <c r="J353" s="45">
        <f>IF(B353="","",YEAR(B353))</f>
        <v/>
      </c>
    </row>
    <row r="354">
      <c r="A354" s="30" t="inlineStr"/>
      <c r="B354" s="38" t="inlineStr"/>
      <c r="C354" s="30" t="inlineStr"/>
      <c r="D354" s="30" t="inlineStr"/>
      <c r="E354" s="30" t="inlineStr"/>
      <c r="F354" s="34" t="inlineStr"/>
      <c r="G354" s="30" t="inlineStr"/>
      <c r="H354" s="30" t="inlineStr"/>
      <c r="I354" s="45">
        <f>IF(B354="","",MONTH(B354))</f>
        <v/>
      </c>
      <c r="J354" s="45">
        <f>IF(B354="","",YEAR(B354))</f>
        <v/>
      </c>
    </row>
    <row r="355">
      <c r="A355" s="30" t="inlineStr"/>
      <c r="B355" s="38" t="inlineStr"/>
      <c r="C355" s="30" t="inlineStr"/>
      <c r="D355" s="30" t="inlineStr"/>
      <c r="E355" s="30" t="inlineStr"/>
      <c r="F355" s="34" t="inlineStr"/>
      <c r="G355" s="30" t="inlineStr"/>
      <c r="H355" s="30" t="inlineStr"/>
      <c r="I355" s="45">
        <f>IF(B355="","",MONTH(B355))</f>
        <v/>
      </c>
      <c r="J355" s="45">
        <f>IF(B355="","",YEAR(B355))</f>
        <v/>
      </c>
    </row>
    <row r="356">
      <c r="A356" s="30" t="inlineStr"/>
      <c r="B356" s="38" t="inlineStr"/>
      <c r="C356" s="30" t="inlineStr"/>
      <c r="D356" s="30" t="inlineStr"/>
      <c r="E356" s="30" t="inlineStr"/>
      <c r="F356" s="34" t="inlineStr"/>
      <c r="G356" s="30" t="inlineStr"/>
      <c r="H356" s="30" t="inlineStr"/>
      <c r="I356" s="45">
        <f>IF(B356="","",MONTH(B356))</f>
        <v/>
      </c>
      <c r="J356" s="45">
        <f>IF(B356="","",YEAR(B356))</f>
        <v/>
      </c>
    </row>
    <row r="357">
      <c r="A357" s="30" t="inlineStr"/>
      <c r="B357" s="38" t="inlineStr"/>
      <c r="C357" s="30" t="inlineStr"/>
      <c r="D357" s="30" t="inlineStr"/>
      <c r="E357" s="30" t="inlineStr"/>
      <c r="F357" s="34" t="inlineStr"/>
      <c r="G357" s="30" t="inlineStr"/>
      <c r="H357" s="30" t="inlineStr"/>
      <c r="I357" s="45">
        <f>IF(B357="","",MONTH(B357))</f>
        <v/>
      </c>
      <c r="J357" s="45">
        <f>IF(B357="","",YEAR(B357))</f>
        <v/>
      </c>
    </row>
    <row r="358">
      <c r="A358" s="30" t="inlineStr"/>
      <c r="B358" s="38" t="inlineStr"/>
      <c r="C358" s="30" t="inlineStr"/>
      <c r="D358" s="30" t="inlineStr"/>
      <c r="E358" s="30" t="inlineStr"/>
      <c r="F358" s="34" t="inlineStr"/>
      <c r="G358" s="30" t="inlineStr"/>
      <c r="H358" s="30" t="inlineStr"/>
      <c r="I358" s="45">
        <f>IF(B358="","",MONTH(B358))</f>
        <v/>
      </c>
      <c r="J358" s="45">
        <f>IF(B358="","",YEAR(B358))</f>
        <v/>
      </c>
    </row>
    <row r="359">
      <c r="A359" s="30" t="inlineStr"/>
      <c r="B359" s="38" t="inlineStr"/>
      <c r="C359" s="30" t="inlineStr"/>
      <c r="D359" s="30" t="inlineStr"/>
      <c r="E359" s="30" t="inlineStr"/>
      <c r="F359" s="34" t="inlineStr"/>
      <c r="G359" s="30" t="inlineStr"/>
      <c r="H359" s="30" t="inlineStr"/>
      <c r="I359" s="45">
        <f>IF(B359="","",MONTH(B359))</f>
        <v/>
      </c>
      <c r="J359" s="45">
        <f>IF(B359="","",YEAR(B359))</f>
        <v/>
      </c>
    </row>
    <row r="360">
      <c r="A360" s="30" t="inlineStr"/>
      <c r="B360" s="38" t="inlineStr"/>
      <c r="C360" s="30" t="inlineStr"/>
      <c r="D360" s="30" t="inlineStr"/>
      <c r="E360" s="30" t="inlineStr"/>
      <c r="F360" s="34" t="inlineStr"/>
      <c r="G360" s="30" t="inlineStr"/>
      <c r="H360" s="30" t="inlineStr"/>
      <c r="I360" s="45">
        <f>IF(B360="","",MONTH(B360))</f>
        <v/>
      </c>
      <c r="J360" s="45">
        <f>IF(B360="","",YEAR(B360))</f>
        <v/>
      </c>
    </row>
    <row r="361">
      <c r="A361" s="30" t="inlineStr"/>
      <c r="B361" s="38" t="inlineStr"/>
      <c r="C361" s="30" t="inlineStr"/>
      <c r="D361" s="30" t="inlineStr"/>
      <c r="E361" s="30" t="inlineStr"/>
      <c r="F361" s="34" t="inlineStr"/>
      <c r="G361" s="30" t="inlineStr"/>
      <c r="H361" s="30" t="inlineStr"/>
      <c r="I361" s="45">
        <f>IF(B361="","",MONTH(B361))</f>
        <v/>
      </c>
      <c r="J361" s="45">
        <f>IF(B361="","",YEAR(B361))</f>
        <v/>
      </c>
    </row>
    <row r="362">
      <c r="A362" s="30" t="inlineStr"/>
      <c r="B362" s="38" t="inlineStr"/>
      <c r="C362" s="30" t="inlineStr"/>
      <c r="D362" s="30" t="inlineStr"/>
      <c r="E362" s="30" t="inlineStr"/>
      <c r="F362" s="34" t="inlineStr"/>
      <c r="G362" s="30" t="inlineStr"/>
      <c r="H362" s="30" t="inlineStr"/>
      <c r="I362" s="45">
        <f>IF(B362="","",MONTH(B362))</f>
        <v/>
      </c>
      <c r="J362" s="45">
        <f>IF(B362="","",YEAR(B362))</f>
        <v/>
      </c>
    </row>
    <row r="363">
      <c r="A363" s="30" t="inlineStr"/>
      <c r="B363" s="38" t="inlineStr"/>
      <c r="C363" s="30" t="inlineStr"/>
      <c r="D363" s="30" t="inlineStr"/>
      <c r="E363" s="30" t="inlineStr"/>
      <c r="F363" s="34" t="inlineStr"/>
      <c r="G363" s="30" t="inlineStr"/>
      <c r="H363" s="30" t="inlineStr"/>
      <c r="I363" s="45">
        <f>IF(B363="","",MONTH(B363))</f>
        <v/>
      </c>
      <c r="J363" s="45">
        <f>IF(B363="","",YEAR(B363))</f>
        <v/>
      </c>
    </row>
    <row r="364">
      <c r="A364" s="30" t="inlineStr"/>
      <c r="B364" s="38" t="inlineStr"/>
      <c r="C364" s="30" t="inlineStr"/>
      <c r="D364" s="30" t="inlineStr"/>
      <c r="E364" s="30" t="inlineStr"/>
      <c r="F364" s="34" t="inlineStr"/>
      <c r="G364" s="30" t="inlineStr"/>
      <c r="H364" s="30" t="inlineStr"/>
      <c r="I364" s="45">
        <f>IF(B364="","",MONTH(B364))</f>
        <v/>
      </c>
      <c r="J364" s="45">
        <f>IF(B364="","",YEAR(B364))</f>
        <v/>
      </c>
    </row>
    <row r="365">
      <c r="A365" s="30" t="inlineStr"/>
      <c r="B365" s="38" t="inlineStr"/>
      <c r="C365" s="30" t="inlineStr"/>
      <c r="D365" s="30" t="inlineStr"/>
      <c r="E365" s="30" t="inlineStr"/>
      <c r="F365" s="34" t="inlineStr"/>
      <c r="G365" s="30" t="inlineStr"/>
      <c r="H365" s="30" t="inlineStr"/>
      <c r="I365" s="45">
        <f>IF(B365="","",MONTH(B365))</f>
        <v/>
      </c>
      <c r="J365" s="45">
        <f>IF(B365="","",YEAR(B365))</f>
        <v/>
      </c>
    </row>
    <row r="366">
      <c r="A366" s="30" t="inlineStr"/>
      <c r="B366" s="38" t="inlineStr"/>
      <c r="C366" s="30" t="inlineStr"/>
      <c r="D366" s="30" t="inlineStr"/>
      <c r="E366" s="30" t="inlineStr"/>
      <c r="F366" s="34" t="inlineStr"/>
      <c r="G366" s="30" t="inlineStr"/>
      <c r="H366" s="30" t="inlineStr"/>
      <c r="I366" s="45">
        <f>IF(B366="","",MONTH(B366))</f>
        <v/>
      </c>
      <c r="J366" s="45">
        <f>IF(B366="","",YEAR(B366))</f>
        <v/>
      </c>
    </row>
    <row r="367">
      <c r="A367" s="30" t="inlineStr"/>
      <c r="B367" s="38" t="inlineStr"/>
      <c r="C367" s="30" t="inlineStr"/>
      <c r="D367" s="30" t="inlineStr"/>
      <c r="E367" s="30" t="inlineStr"/>
      <c r="F367" s="34" t="inlineStr"/>
      <c r="G367" s="30" t="inlineStr"/>
      <c r="H367" s="30" t="inlineStr"/>
      <c r="I367" s="45">
        <f>IF(B367="","",MONTH(B367))</f>
        <v/>
      </c>
      <c r="J367" s="45">
        <f>IF(B367="","",YEAR(B367))</f>
        <v/>
      </c>
    </row>
    <row r="368">
      <c r="A368" s="30" t="inlineStr"/>
      <c r="B368" s="38" t="inlineStr"/>
      <c r="C368" s="30" t="inlineStr"/>
      <c r="D368" s="30" t="inlineStr"/>
      <c r="E368" s="30" t="inlineStr"/>
      <c r="F368" s="34" t="inlineStr"/>
      <c r="G368" s="30" t="inlineStr"/>
      <c r="H368" s="30" t="inlineStr"/>
      <c r="I368" s="45">
        <f>IF(B368="","",MONTH(B368))</f>
        <v/>
      </c>
      <c r="J368" s="45">
        <f>IF(B368="","",YEAR(B368))</f>
        <v/>
      </c>
    </row>
    <row r="369">
      <c r="A369" s="30" t="inlineStr"/>
      <c r="B369" s="38" t="inlineStr"/>
      <c r="C369" s="30" t="inlineStr"/>
      <c r="D369" s="30" t="inlineStr"/>
      <c r="E369" s="30" t="inlineStr"/>
      <c r="F369" s="34" t="inlineStr"/>
      <c r="G369" s="30" t="inlineStr"/>
      <c r="H369" s="30" t="inlineStr"/>
      <c r="I369" s="45">
        <f>IF(B369="","",MONTH(B369))</f>
        <v/>
      </c>
      <c r="J369" s="45">
        <f>IF(B369="","",YEAR(B369))</f>
        <v/>
      </c>
    </row>
    <row r="370">
      <c r="A370" s="30" t="inlineStr"/>
      <c r="B370" s="38" t="inlineStr"/>
      <c r="C370" s="30" t="inlineStr"/>
      <c r="D370" s="30" t="inlineStr"/>
      <c r="E370" s="30" t="inlineStr"/>
      <c r="F370" s="34" t="inlineStr"/>
      <c r="G370" s="30" t="inlineStr"/>
      <c r="H370" s="30" t="inlineStr"/>
      <c r="I370" s="45">
        <f>IF(B370="","",MONTH(B370))</f>
        <v/>
      </c>
      <c r="J370" s="45">
        <f>IF(B370="","",YEAR(B370))</f>
        <v/>
      </c>
    </row>
    <row r="371">
      <c r="A371" s="30" t="inlineStr"/>
      <c r="B371" s="38" t="inlineStr"/>
      <c r="C371" s="30" t="inlineStr"/>
      <c r="D371" s="30" t="inlineStr"/>
      <c r="E371" s="30" t="inlineStr"/>
      <c r="F371" s="34" t="inlineStr"/>
      <c r="G371" s="30" t="inlineStr"/>
      <c r="H371" s="30" t="inlineStr"/>
      <c r="I371" s="45">
        <f>IF(B371="","",MONTH(B371))</f>
        <v/>
      </c>
      <c r="J371" s="45">
        <f>IF(B371="","",YEAR(B371))</f>
        <v/>
      </c>
    </row>
    <row r="372">
      <c r="A372" s="30" t="inlineStr"/>
      <c r="B372" s="38" t="inlineStr"/>
      <c r="C372" s="30" t="inlineStr"/>
      <c r="D372" s="30" t="inlineStr"/>
      <c r="E372" s="30" t="inlineStr"/>
      <c r="F372" s="34" t="inlineStr"/>
      <c r="G372" s="30" t="inlineStr"/>
      <c r="H372" s="30" t="inlineStr"/>
      <c r="I372" s="45">
        <f>IF(B372="","",MONTH(B372))</f>
        <v/>
      </c>
      <c r="J372" s="45">
        <f>IF(B372="","",YEAR(B372))</f>
        <v/>
      </c>
    </row>
    <row r="373">
      <c r="A373" s="30" t="inlineStr"/>
      <c r="B373" s="38" t="inlineStr"/>
      <c r="C373" s="30" t="inlineStr"/>
      <c r="D373" s="30" t="inlineStr"/>
      <c r="E373" s="30" t="inlineStr"/>
      <c r="F373" s="34" t="inlineStr"/>
      <c r="G373" s="30" t="inlineStr"/>
      <c r="H373" s="30" t="inlineStr"/>
      <c r="I373" s="45">
        <f>IF(B373="","",MONTH(B373))</f>
        <v/>
      </c>
      <c r="J373" s="45">
        <f>IF(B373="","",YEAR(B373))</f>
        <v/>
      </c>
    </row>
    <row r="374">
      <c r="A374" s="30" t="inlineStr"/>
      <c r="B374" s="38" t="inlineStr"/>
      <c r="C374" s="30" t="inlineStr"/>
      <c r="D374" s="30" t="inlineStr"/>
      <c r="E374" s="30" t="inlineStr"/>
      <c r="F374" s="34" t="inlineStr"/>
      <c r="G374" s="30" t="inlineStr"/>
      <c r="H374" s="30" t="inlineStr"/>
      <c r="I374" s="45">
        <f>IF(B374="","",MONTH(B374))</f>
        <v/>
      </c>
      <c r="J374" s="45">
        <f>IF(B374="","",YEAR(B374))</f>
        <v/>
      </c>
    </row>
    <row r="375">
      <c r="A375" s="30" t="inlineStr"/>
      <c r="B375" s="38" t="inlineStr"/>
      <c r="C375" s="30" t="inlineStr"/>
      <c r="D375" s="30" t="inlineStr"/>
      <c r="E375" s="30" t="inlineStr"/>
      <c r="F375" s="34" t="inlineStr"/>
      <c r="G375" s="30" t="inlineStr"/>
      <c r="H375" s="30" t="inlineStr"/>
      <c r="I375" s="45">
        <f>IF(B375="","",MONTH(B375))</f>
        <v/>
      </c>
      <c r="J375" s="45">
        <f>IF(B375="","",YEAR(B375))</f>
        <v/>
      </c>
    </row>
    <row r="376">
      <c r="A376" s="30" t="inlineStr"/>
      <c r="B376" s="38" t="inlineStr"/>
      <c r="C376" s="30" t="inlineStr"/>
      <c r="D376" s="30" t="inlineStr"/>
      <c r="E376" s="30" t="inlineStr"/>
      <c r="F376" s="34" t="inlineStr"/>
      <c r="G376" s="30" t="inlineStr"/>
      <c r="H376" s="30" t="inlineStr"/>
      <c r="I376" s="45">
        <f>IF(B376="","",MONTH(B376))</f>
        <v/>
      </c>
      <c r="J376" s="45">
        <f>IF(B376="","",YEAR(B376))</f>
        <v/>
      </c>
    </row>
    <row r="377">
      <c r="A377" s="30" t="inlineStr"/>
      <c r="B377" s="38" t="inlineStr"/>
      <c r="C377" s="30" t="inlineStr"/>
      <c r="D377" s="30" t="inlineStr"/>
      <c r="E377" s="30" t="inlineStr"/>
      <c r="F377" s="34" t="inlineStr"/>
      <c r="G377" s="30" t="inlineStr"/>
      <c r="H377" s="30" t="inlineStr"/>
      <c r="I377" s="45">
        <f>IF(B377="","",MONTH(B377))</f>
        <v/>
      </c>
      <c r="J377" s="45">
        <f>IF(B377="","",YEAR(B377))</f>
        <v/>
      </c>
    </row>
    <row r="378">
      <c r="A378" s="30" t="inlineStr"/>
      <c r="B378" s="38" t="inlineStr"/>
      <c r="C378" s="30" t="inlineStr"/>
      <c r="D378" s="30" t="inlineStr"/>
      <c r="E378" s="30" t="inlineStr"/>
      <c r="F378" s="34" t="inlineStr"/>
      <c r="G378" s="30" t="inlineStr"/>
      <c r="H378" s="30" t="inlineStr"/>
      <c r="I378" s="45">
        <f>IF(B378="","",MONTH(B378))</f>
        <v/>
      </c>
      <c r="J378" s="45">
        <f>IF(B378="","",YEAR(B378))</f>
        <v/>
      </c>
    </row>
    <row r="379">
      <c r="A379" s="30" t="inlineStr"/>
      <c r="B379" s="38" t="inlineStr"/>
      <c r="C379" s="30" t="inlineStr"/>
      <c r="D379" s="30" t="inlineStr"/>
      <c r="E379" s="30" t="inlineStr"/>
      <c r="F379" s="34" t="inlineStr"/>
      <c r="G379" s="30" t="inlineStr"/>
      <c r="H379" s="30" t="inlineStr"/>
      <c r="I379" s="45">
        <f>IF(B379="","",MONTH(B379))</f>
        <v/>
      </c>
      <c r="J379" s="45">
        <f>IF(B379="","",YEAR(B379))</f>
        <v/>
      </c>
    </row>
    <row r="380">
      <c r="A380" s="30" t="inlineStr"/>
      <c r="B380" s="38" t="inlineStr"/>
      <c r="C380" s="30" t="inlineStr"/>
      <c r="D380" s="30" t="inlineStr"/>
      <c r="E380" s="30" t="inlineStr"/>
      <c r="F380" s="34" t="inlineStr"/>
      <c r="G380" s="30" t="inlineStr"/>
      <c r="H380" s="30" t="inlineStr"/>
      <c r="I380" s="45">
        <f>IF(B380="","",MONTH(B380))</f>
        <v/>
      </c>
      <c r="J380" s="45">
        <f>IF(B380="","",YEAR(B380))</f>
        <v/>
      </c>
    </row>
    <row r="381">
      <c r="A381" s="30" t="inlineStr"/>
      <c r="B381" s="38" t="inlineStr"/>
      <c r="C381" s="30" t="inlineStr"/>
      <c r="D381" s="30" t="inlineStr"/>
      <c r="E381" s="30" t="inlineStr"/>
      <c r="F381" s="34" t="inlineStr"/>
      <c r="G381" s="30" t="inlineStr"/>
      <c r="H381" s="30" t="inlineStr"/>
      <c r="I381" s="45">
        <f>IF(B381="","",MONTH(B381))</f>
        <v/>
      </c>
      <c r="J381" s="45">
        <f>IF(B381="","",YEAR(B381))</f>
        <v/>
      </c>
    </row>
    <row r="382">
      <c r="A382" s="30" t="inlineStr"/>
      <c r="B382" s="38" t="inlineStr"/>
      <c r="C382" s="30" t="inlineStr"/>
      <c r="D382" s="30" t="inlineStr"/>
      <c r="E382" s="30" t="inlineStr"/>
      <c r="F382" s="34" t="inlineStr"/>
      <c r="G382" s="30" t="inlineStr"/>
      <c r="H382" s="30" t="inlineStr"/>
      <c r="I382" s="45">
        <f>IF(B382="","",MONTH(B382))</f>
        <v/>
      </c>
      <c r="J382" s="45">
        <f>IF(B382="","",YEAR(B382))</f>
        <v/>
      </c>
    </row>
    <row r="383">
      <c r="A383" s="30" t="inlineStr"/>
      <c r="B383" s="38" t="inlineStr"/>
      <c r="C383" s="30" t="inlineStr"/>
      <c r="D383" s="30" t="inlineStr"/>
      <c r="E383" s="30" t="inlineStr"/>
      <c r="F383" s="34" t="inlineStr"/>
      <c r="G383" s="30" t="inlineStr"/>
      <c r="H383" s="30" t="inlineStr"/>
      <c r="I383" s="45">
        <f>IF(B383="","",MONTH(B383))</f>
        <v/>
      </c>
      <c r="J383" s="45">
        <f>IF(B383="","",YEAR(B383))</f>
        <v/>
      </c>
    </row>
    <row r="384">
      <c r="A384" s="30" t="inlineStr"/>
      <c r="B384" s="38" t="inlineStr"/>
      <c r="C384" s="30" t="inlineStr"/>
      <c r="D384" s="30" t="inlineStr"/>
      <c r="E384" s="30" t="inlineStr"/>
      <c r="F384" s="34" t="inlineStr"/>
      <c r="G384" s="30" t="inlineStr"/>
      <c r="H384" s="30" t="inlineStr"/>
      <c r="I384" s="45">
        <f>IF(B384="","",MONTH(B384))</f>
        <v/>
      </c>
      <c r="J384" s="45">
        <f>IF(B384="","",YEAR(B384))</f>
        <v/>
      </c>
    </row>
    <row r="385">
      <c r="A385" s="30" t="inlineStr"/>
      <c r="B385" s="38" t="inlineStr"/>
      <c r="C385" s="30" t="inlineStr"/>
      <c r="D385" s="30" t="inlineStr"/>
      <c r="E385" s="30" t="inlineStr"/>
      <c r="F385" s="34" t="inlineStr"/>
      <c r="G385" s="30" t="inlineStr"/>
      <c r="H385" s="30" t="inlineStr"/>
      <c r="I385" s="45">
        <f>IF(B385="","",MONTH(B385))</f>
        <v/>
      </c>
      <c r="J385" s="45">
        <f>IF(B385="","",YEAR(B385))</f>
        <v/>
      </c>
    </row>
    <row r="386">
      <c r="A386" s="30" t="inlineStr"/>
      <c r="B386" s="38" t="inlineStr"/>
      <c r="C386" s="30" t="inlineStr"/>
      <c r="D386" s="30" t="inlineStr"/>
      <c r="E386" s="30" t="inlineStr"/>
      <c r="F386" s="34" t="inlineStr"/>
      <c r="G386" s="30" t="inlineStr"/>
      <c r="H386" s="30" t="inlineStr"/>
      <c r="I386" s="45">
        <f>IF(B386="","",MONTH(B386))</f>
        <v/>
      </c>
      <c r="J386" s="45">
        <f>IF(B386="","",YEAR(B386))</f>
        <v/>
      </c>
    </row>
    <row r="387">
      <c r="A387" s="30" t="inlineStr"/>
      <c r="B387" s="38" t="inlineStr"/>
      <c r="C387" s="30" t="inlineStr"/>
      <c r="D387" s="30" t="inlineStr"/>
      <c r="E387" s="30" t="inlineStr"/>
      <c r="F387" s="34" t="inlineStr"/>
      <c r="G387" s="30" t="inlineStr"/>
      <c r="H387" s="30" t="inlineStr"/>
      <c r="I387" s="45">
        <f>IF(B387="","",MONTH(B387))</f>
        <v/>
      </c>
      <c r="J387" s="45">
        <f>IF(B387="","",YEAR(B387))</f>
        <v/>
      </c>
    </row>
    <row r="388">
      <c r="A388" s="30" t="inlineStr"/>
      <c r="B388" s="38" t="inlineStr"/>
      <c r="C388" s="30" t="inlineStr"/>
      <c r="D388" s="30" t="inlineStr"/>
      <c r="E388" s="30" t="inlineStr"/>
      <c r="F388" s="34" t="inlineStr"/>
      <c r="G388" s="30" t="inlineStr"/>
      <c r="H388" s="30" t="inlineStr"/>
      <c r="I388" s="45">
        <f>IF(B388="","",MONTH(B388))</f>
        <v/>
      </c>
      <c r="J388" s="45">
        <f>IF(B388="","",YEAR(B388))</f>
        <v/>
      </c>
    </row>
    <row r="389">
      <c r="A389" s="30" t="inlineStr"/>
      <c r="B389" s="38" t="inlineStr"/>
      <c r="C389" s="30" t="inlineStr"/>
      <c r="D389" s="30" t="inlineStr"/>
      <c r="E389" s="30" t="inlineStr"/>
      <c r="F389" s="34" t="inlineStr"/>
      <c r="G389" s="30" t="inlineStr"/>
      <c r="H389" s="30" t="inlineStr"/>
      <c r="I389" s="45">
        <f>IF(B389="","",MONTH(B389))</f>
        <v/>
      </c>
      <c r="J389" s="45">
        <f>IF(B389="","",YEAR(B389))</f>
        <v/>
      </c>
    </row>
    <row r="390">
      <c r="A390" s="30" t="inlineStr"/>
      <c r="B390" s="38" t="inlineStr"/>
      <c r="C390" s="30" t="inlineStr"/>
      <c r="D390" s="30" t="inlineStr"/>
      <c r="E390" s="30" t="inlineStr"/>
      <c r="F390" s="34" t="inlineStr"/>
      <c r="G390" s="30" t="inlineStr"/>
      <c r="H390" s="30" t="inlineStr"/>
      <c r="I390" s="45">
        <f>IF(B390="","",MONTH(B390))</f>
        <v/>
      </c>
      <c r="J390" s="45">
        <f>IF(B390="","",YEAR(B390))</f>
        <v/>
      </c>
    </row>
    <row r="391">
      <c r="A391" s="30" t="inlineStr"/>
      <c r="B391" s="38" t="inlineStr"/>
      <c r="C391" s="30" t="inlineStr"/>
      <c r="D391" s="30" t="inlineStr"/>
      <c r="E391" s="30" t="inlineStr"/>
      <c r="F391" s="34" t="inlineStr"/>
      <c r="G391" s="30" t="inlineStr"/>
      <c r="H391" s="30" t="inlineStr"/>
      <c r="I391" s="45">
        <f>IF(B391="","",MONTH(B391))</f>
        <v/>
      </c>
      <c r="J391" s="45">
        <f>IF(B391="","",YEAR(B391))</f>
        <v/>
      </c>
    </row>
    <row r="392">
      <c r="A392" s="30" t="inlineStr"/>
      <c r="B392" s="38" t="inlineStr"/>
      <c r="C392" s="30" t="inlineStr"/>
      <c r="D392" s="30" t="inlineStr"/>
      <c r="E392" s="30" t="inlineStr"/>
      <c r="F392" s="34" t="inlineStr"/>
      <c r="G392" s="30" t="inlineStr"/>
      <c r="H392" s="30" t="inlineStr"/>
      <c r="I392" s="45">
        <f>IF(B392="","",MONTH(B392))</f>
        <v/>
      </c>
      <c r="J392" s="45">
        <f>IF(B392="","",YEAR(B392))</f>
        <v/>
      </c>
    </row>
    <row r="393">
      <c r="A393" s="30" t="inlineStr"/>
      <c r="B393" s="38" t="inlineStr"/>
      <c r="C393" s="30" t="inlineStr"/>
      <c r="D393" s="30" t="inlineStr"/>
      <c r="E393" s="30" t="inlineStr"/>
      <c r="F393" s="34" t="inlineStr"/>
      <c r="G393" s="30" t="inlineStr"/>
      <c r="H393" s="30" t="inlineStr"/>
      <c r="I393" s="45">
        <f>IF(B393="","",MONTH(B393))</f>
        <v/>
      </c>
      <c r="J393" s="45">
        <f>IF(B393="","",YEAR(B393))</f>
        <v/>
      </c>
    </row>
    <row r="394">
      <c r="A394" s="30" t="inlineStr"/>
      <c r="B394" s="38" t="inlineStr"/>
      <c r="C394" s="30" t="inlineStr"/>
      <c r="D394" s="30" t="inlineStr"/>
      <c r="E394" s="30" t="inlineStr"/>
      <c r="F394" s="34" t="inlineStr"/>
      <c r="G394" s="30" t="inlineStr"/>
      <c r="H394" s="30" t="inlineStr"/>
      <c r="I394" s="45">
        <f>IF(B394="","",MONTH(B394))</f>
        <v/>
      </c>
      <c r="J394" s="45">
        <f>IF(B394="","",YEAR(B394))</f>
        <v/>
      </c>
    </row>
    <row r="395">
      <c r="A395" s="30" t="inlineStr"/>
      <c r="B395" s="38" t="inlineStr"/>
      <c r="C395" s="30" t="inlineStr"/>
      <c r="D395" s="30" t="inlineStr"/>
      <c r="E395" s="30" t="inlineStr"/>
      <c r="F395" s="34" t="inlineStr"/>
      <c r="G395" s="30" t="inlineStr"/>
      <c r="H395" s="30" t="inlineStr"/>
      <c r="I395" s="45">
        <f>IF(B395="","",MONTH(B395))</f>
        <v/>
      </c>
      <c r="J395" s="45">
        <f>IF(B395="","",YEAR(B395))</f>
        <v/>
      </c>
    </row>
    <row r="396">
      <c r="A396" s="30" t="inlineStr"/>
      <c r="B396" s="38" t="inlineStr"/>
      <c r="C396" s="30" t="inlineStr"/>
      <c r="D396" s="30" t="inlineStr"/>
      <c r="E396" s="30" t="inlineStr"/>
      <c r="F396" s="34" t="inlineStr"/>
      <c r="G396" s="30" t="inlineStr"/>
      <c r="H396" s="30" t="inlineStr"/>
      <c r="I396" s="45">
        <f>IF(B396="","",MONTH(B396))</f>
        <v/>
      </c>
      <c r="J396" s="45">
        <f>IF(B396="","",YEAR(B396))</f>
        <v/>
      </c>
    </row>
    <row r="397">
      <c r="A397" s="30" t="inlineStr"/>
      <c r="B397" s="38" t="inlineStr"/>
      <c r="C397" s="30" t="inlineStr"/>
      <c r="D397" s="30" t="inlineStr"/>
      <c r="E397" s="30" t="inlineStr"/>
      <c r="F397" s="34" t="inlineStr"/>
      <c r="G397" s="30" t="inlineStr"/>
      <c r="H397" s="30" t="inlineStr"/>
      <c r="I397" s="45">
        <f>IF(B397="","",MONTH(B397))</f>
        <v/>
      </c>
      <c r="J397" s="45">
        <f>IF(B397="","",YEAR(B397))</f>
        <v/>
      </c>
    </row>
    <row r="398">
      <c r="A398" s="30" t="inlineStr"/>
      <c r="B398" s="38" t="inlineStr"/>
      <c r="C398" s="30" t="inlineStr"/>
      <c r="D398" s="30" t="inlineStr"/>
      <c r="E398" s="30" t="inlineStr"/>
      <c r="F398" s="34" t="inlineStr"/>
      <c r="G398" s="30" t="inlineStr"/>
      <c r="H398" s="30" t="inlineStr"/>
      <c r="I398" s="45">
        <f>IF(B398="","",MONTH(B398))</f>
        <v/>
      </c>
      <c r="J398" s="45">
        <f>IF(B398="","",YEAR(B398))</f>
        <v/>
      </c>
    </row>
    <row r="399">
      <c r="A399" s="30" t="inlineStr"/>
      <c r="B399" s="38" t="inlineStr"/>
      <c r="C399" s="30" t="inlineStr"/>
      <c r="D399" s="30" t="inlineStr"/>
      <c r="E399" s="30" t="inlineStr"/>
      <c r="F399" s="34" t="inlineStr"/>
      <c r="G399" s="30" t="inlineStr"/>
      <c r="H399" s="30" t="inlineStr"/>
      <c r="I399" s="45">
        <f>IF(B399="","",MONTH(B399))</f>
        <v/>
      </c>
      <c r="J399" s="45">
        <f>IF(B399="","",YEAR(B399))</f>
        <v/>
      </c>
    </row>
    <row r="400">
      <c r="A400" s="30" t="inlineStr"/>
      <c r="B400" s="38" t="inlineStr"/>
      <c r="C400" s="30" t="inlineStr"/>
      <c r="D400" s="30" t="inlineStr"/>
      <c r="E400" s="30" t="inlineStr"/>
      <c r="F400" s="34" t="inlineStr"/>
      <c r="G400" s="30" t="inlineStr"/>
      <c r="H400" s="30" t="inlineStr"/>
      <c r="I400" s="45">
        <f>IF(B400="","",MONTH(B400))</f>
        <v/>
      </c>
      <c r="J400" s="45">
        <f>IF(B400="","",YEAR(B400))</f>
        <v/>
      </c>
    </row>
  </sheetData>
  <mergeCells count="2">
    <mergeCell ref="A1:J1"/>
    <mergeCell ref="A2:J2"/>
  </mergeCells>
  <dataValidations count="1">
    <dataValidation sqref="C4:C400" showDropDown="0" showInputMessage="0" showErrorMessage="0" allowBlank="1" errorTitle="Ungültige Auswahl" error="Bitte einen Wert aus der Liste wählen." promptTitle="Liste" prompt="Auswahl" type="list">
      <formula1>=lstZahlungArt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8B2E2E"/>
    <outlinePr summaryBelow="1" summaryRight="1"/>
    <pageSetUpPr/>
  </sheetPr>
  <dimension ref="A1:P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24" customWidth="1" min="7" max="7"/>
    <col width="12" customWidth="1" min="8" max="8"/>
    <col width="28" customWidth="1" min="9" max="9"/>
    <col width="14" customWidth="1" min="10" max="10"/>
    <col width="16" customWidth="1" min="11" max="11"/>
  </cols>
  <sheetData>
    <row r="1" ht="28" customHeight="1">
      <c r="A1" s="1" t="inlineStr">
        <is>
          <t>Mahnwesen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M1" s="3" t="n"/>
      <c r="N1" s="3" t="n"/>
      <c r="O1" s="3" t="n"/>
      <c r="P1" s="3" t="n"/>
    </row>
    <row r="2" ht="18" customHeight="1">
      <c r="A2" s="4" t="inlineStr">
        <is>
          <t>Stufe und Frist · offener Rechnungsbetrag wird gezogen · Formular 29_Form_Mahnung druckt die gewählte Mahnung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3" t="n"/>
      <c r="M2" s="3" t="n"/>
      <c r="N2" s="3" t="n"/>
      <c r="O2" s="3" t="n"/>
      <c r="P2" s="3" t="n"/>
    </row>
    <row r="3" ht="28" customHeight="1">
      <c r="A3" s="17" t="inlineStr">
        <is>
          <t>Nr</t>
        </is>
      </c>
      <c r="B3" s="17" t="inlineStr">
        <is>
          <t>Rechnung</t>
        </is>
      </c>
      <c r="C3" s="17" t="inlineStr">
        <is>
          <t>Kunde</t>
        </is>
      </c>
      <c r="D3" s="17" t="inlineStr">
        <is>
          <t>Datum</t>
        </is>
      </c>
      <c r="E3" s="17" t="inlineStr">
        <is>
          <t>Stufe</t>
        </is>
      </c>
      <c r="F3" s="17" t="inlineStr">
        <is>
          <t>Frist Tage</t>
        </is>
      </c>
      <c r="G3" s="17" t="inlineStr">
        <is>
          <t>Art</t>
        </is>
      </c>
      <c r="H3" s="17" t="inlineStr">
        <is>
          <t>Status</t>
        </is>
      </c>
      <c r="I3" s="17" t="inlineStr">
        <is>
          <t>Text</t>
        </is>
      </c>
      <c r="J3" s="17" t="inlineStr">
        <is>
          <t>Fällig Mahnung</t>
        </is>
      </c>
      <c r="K3" s="17" t="inlineStr">
        <is>
          <t>Rechnungs-Offen</t>
        </is>
      </c>
      <c r="L3" s="3" t="n"/>
      <c r="M3" s="3" t="n"/>
      <c r="N3" s="3" t="n"/>
      <c r="O3" s="3" t="n"/>
      <c r="P3" s="3" t="n"/>
    </row>
    <row r="4">
      <c r="A4" s="30" t="inlineStr">
        <is>
          <t>MAH-01</t>
        </is>
      </c>
      <c r="B4" s="30" t="inlineStr">
        <is>
          <t>AR-26006</t>
        </is>
      </c>
      <c r="C4" s="30" t="inlineStr">
        <is>
          <t>K-1003</t>
        </is>
      </c>
      <c r="D4" s="38" t="n">
        <v>46259</v>
      </c>
      <c r="E4" s="31" t="n">
        <v>1</v>
      </c>
      <c r="F4" s="31" t="n">
        <v>21</v>
      </c>
      <c r="G4" s="30" t="inlineStr">
        <is>
          <t>1. Mahnung</t>
        </is>
      </c>
      <c r="H4" s="30" t="inlineStr">
        <is>
          <t>offen</t>
        </is>
      </c>
      <c r="I4" s="30" t="inlineStr">
        <is>
          <t>Zahlungserinnerung Kita</t>
        </is>
      </c>
      <c r="J4" s="44">
        <f>IF(A4="","",D4+F4)</f>
        <v/>
      </c>
      <c r="K4" s="15">
        <f>IF(A4="","",IFERROR(VLOOKUP(B4,'13_Ausgangsrechnungen'!$A$4:$S$400,19,FALSE),0))</f>
        <v/>
      </c>
      <c r="L4" s="3" t="n"/>
      <c r="M4" s="3" t="n"/>
      <c r="N4" s="3" t="n"/>
      <c r="O4" s="3" t="n"/>
      <c r="P4" s="3" t="n"/>
    </row>
    <row r="5">
      <c r="A5" s="30" t="inlineStr">
        <is>
          <t>MAH-02</t>
        </is>
      </c>
      <c r="B5" s="30" t="inlineStr">
        <is>
          <t>AR-26006</t>
        </is>
      </c>
      <c r="C5" s="30" t="inlineStr">
        <is>
          <t>K-1003</t>
        </is>
      </c>
      <c r="D5" s="38" t="n">
        <v>46285</v>
      </c>
      <c r="E5" s="31" t="n">
        <v>2</v>
      </c>
      <c r="F5" s="31" t="n">
        <v>14</v>
      </c>
      <c r="G5" s="30" t="inlineStr">
        <is>
          <t>2. Mahnung + Verzug</t>
        </is>
      </c>
      <c r="H5" s="30" t="inlineStr">
        <is>
          <t>offen</t>
        </is>
      </c>
      <c r="I5" s="30" t="inlineStr">
        <is>
          <t>Frist 04.10.2026</t>
        </is>
      </c>
      <c r="J5" s="44">
        <f>IF(A5="","",D5+F5)</f>
        <v/>
      </c>
      <c r="K5" s="15">
        <f>IF(A5="","",IFERROR(VLOOKUP(B5,'13_Ausgangsrechnungen'!$A$4:$S$400,19,FALSE),0))</f>
        <v/>
      </c>
      <c r="L5" s="3" t="n"/>
      <c r="M5" s="3" t="n"/>
      <c r="N5" s="3" t="n"/>
      <c r="O5" s="3" t="n"/>
      <c r="P5" s="3" t="n"/>
    </row>
    <row r="6">
      <c r="A6" s="30" t="inlineStr"/>
      <c r="B6" s="30" t="inlineStr"/>
      <c r="C6" s="30" t="inlineStr"/>
      <c r="D6" s="38" t="inlineStr"/>
      <c r="E6" s="31" t="inlineStr"/>
      <c r="F6" s="31" t="inlineStr"/>
      <c r="G6" s="30" t="inlineStr"/>
      <c r="H6" s="30" t="inlineStr"/>
      <c r="I6" s="30" t="inlineStr"/>
      <c r="J6" s="44">
        <f>IF(A6="","",D6+F6)</f>
        <v/>
      </c>
      <c r="K6" s="15">
        <f>IF(A6="","",IFERROR(VLOOKUP(B6,'13_Ausgangsrechnungen'!$A$4:$S$400,19,FALSE),0))</f>
        <v/>
      </c>
      <c r="L6" s="3" t="n"/>
      <c r="M6" s="3" t="n"/>
      <c r="N6" s="3" t="n"/>
      <c r="O6" s="3" t="n"/>
      <c r="P6" s="3" t="n"/>
    </row>
    <row r="7">
      <c r="A7" s="30" t="inlineStr"/>
      <c r="B7" s="30" t="inlineStr"/>
      <c r="C7" s="30" t="inlineStr"/>
      <c r="D7" s="38" t="inlineStr"/>
      <c r="E7" s="31" t="inlineStr"/>
      <c r="F7" s="31" t="inlineStr"/>
      <c r="G7" s="30" t="inlineStr"/>
      <c r="H7" s="30" t="inlineStr"/>
      <c r="I7" s="30" t="inlineStr"/>
      <c r="J7" s="44">
        <f>IF(A7="","",D7+F7)</f>
        <v/>
      </c>
      <c r="K7" s="15">
        <f>IF(A7="","",IFERROR(VLOOKUP(B7,'13_Ausgangsrechnungen'!$A$4:$S$400,19,FALSE),0))</f>
        <v/>
      </c>
    </row>
    <row r="8">
      <c r="A8" s="30" t="inlineStr"/>
      <c r="B8" s="30" t="inlineStr"/>
      <c r="C8" s="30" t="inlineStr"/>
      <c r="D8" s="38" t="inlineStr"/>
      <c r="E8" s="31" t="inlineStr"/>
      <c r="F8" s="31" t="inlineStr"/>
      <c r="G8" s="30" t="inlineStr"/>
      <c r="H8" s="30" t="inlineStr"/>
      <c r="I8" s="30" t="inlineStr"/>
      <c r="J8" s="44">
        <f>IF(A8="","",D8+F8)</f>
        <v/>
      </c>
      <c r="K8" s="15">
        <f>IF(A8="","",IFERROR(VLOOKUP(B8,'13_Ausgangsrechnungen'!$A$4:$S$400,19,FALSE),0))</f>
        <v/>
      </c>
    </row>
    <row r="9">
      <c r="A9" s="30" t="inlineStr"/>
      <c r="B9" s="30" t="inlineStr"/>
      <c r="C9" s="30" t="inlineStr"/>
      <c r="D9" s="38" t="inlineStr"/>
      <c r="E9" s="31" t="inlineStr"/>
      <c r="F9" s="31" t="inlineStr"/>
      <c r="G9" s="30" t="inlineStr"/>
      <c r="H9" s="30" t="inlineStr"/>
      <c r="I9" s="30" t="inlineStr"/>
      <c r="J9" s="44">
        <f>IF(A9="","",D9+F9)</f>
        <v/>
      </c>
      <c r="K9" s="15">
        <f>IF(A9="","",IFERROR(VLOOKUP(B9,'13_Ausgangsrechnungen'!$A$4:$S$400,19,FALSE),0))</f>
        <v/>
      </c>
    </row>
    <row r="10">
      <c r="A10" s="30" t="inlineStr"/>
      <c r="B10" s="30" t="inlineStr"/>
      <c r="C10" s="30" t="inlineStr"/>
      <c r="D10" s="38" t="inlineStr"/>
      <c r="E10" s="31" t="inlineStr"/>
      <c r="F10" s="31" t="inlineStr"/>
      <c r="G10" s="30" t="inlineStr"/>
      <c r="H10" s="30" t="inlineStr"/>
      <c r="I10" s="30" t="inlineStr"/>
      <c r="J10" s="44">
        <f>IF(A10="","",D10+F10)</f>
        <v/>
      </c>
      <c r="K10" s="15">
        <f>IF(A10="","",IFERROR(VLOOKUP(B10,'13_Ausgangsrechnungen'!$A$4:$S$400,19,FALSE),0))</f>
        <v/>
      </c>
    </row>
    <row r="11">
      <c r="A11" s="30" t="inlineStr"/>
      <c r="B11" s="30" t="inlineStr"/>
      <c r="C11" s="30" t="inlineStr"/>
      <c r="D11" s="38" t="inlineStr"/>
      <c r="E11" s="31" t="inlineStr"/>
      <c r="F11" s="31" t="inlineStr"/>
      <c r="G11" s="30" t="inlineStr"/>
      <c r="H11" s="30" t="inlineStr"/>
      <c r="I11" s="30" t="inlineStr"/>
      <c r="J11" s="44">
        <f>IF(A11="","",D11+F11)</f>
        <v/>
      </c>
      <c r="K11" s="15">
        <f>IF(A11="","",IFERROR(VLOOKUP(B11,'13_Ausgangsrechnungen'!$A$4:$S$400,19,FALSE),0))</f>
        <v/>
      </c>
    </row>
    <row r="12">
      <c r="A12" s="30" t="inlineStr"/>
      <c r="B12" s="30" t="inlineStr"/>
      <c r="C12" s="30" t="inlineStr"/>
      <c r="D12" s="38" t="inlineStr"/>
      <c r="E12" s="31" t="inlineStr"/>
      <c r="F12" s="31" t="inlineStr"/>
      <c r="G12" s="30" t="inlineStr"/>
      <c r="H12" s="30" t="inlineStr"/>
      <c r="I12" s="30" t="inlineStr"/>
      <c r="J12" s="44">
        <f>IF(A12="","",D12+F12)</f>
        <v/>
      </c>
      <c r="K12" s="15">
        <f>IF(A12="","",IFERROR(VLOOKUP(B12,'13_Ausgangsrechnungen'!$A$4:$S$400,19,FALSE),0))</f>
        <v/>
      </c>
    </row>
    <row r="13">
      <c r="A13" s="30" t="inlineStr"/>
      <c r="B13" s="30" t="inlineStr"/>
      <c r="C13" s="30" t="inlineStr"/>
      <c r="D13" s="38" t="inlineStr"/>
      <c r="E13" s="31" t="inlineStr"/>
      <c r="F13" s="31" t="inlineStr"/>
      <c r="G13" s="30" t="inlineStr"/>
      <c r="H13" s="30" t="inlineStr"/>
      <c r="I13" s="30" t="inlineStr"/>
      <c r="J13" s="44">
        <f>IF(A13="","",D13+F13)</f>
        <v/>
      </c>
      <c r="K13" s="15">
        <f>IF(A13="","",IFERROR(VLOOKUP(B13,'13_Ausgangsrechnungen'!$A$4:$S$400,19,FALSE),0))</f>
        <v/>
      </c>
    </row>
    <row r="14">
      <c r="A14" s="30" t="inlineStr"/>
      <c r="B14" s="30" t="inlineStr"/>
      <c r="C14" s="30" t="inlineStr"/>
      <c r="D14" s="38" t="inlineStr"/>
      <c r="E14" s="31" t="inlineStr"/>
      <c r="F14" s="31" t="inlineStr"/>
      <c r="G14" s="30" t="inlineStr"/>
      <c r="H14" s="30" t="inlineStr"/>
      <c r="I14" s="30" t="inlineStr"/>
      <c r="J14" s="44">
        <f>IF(A14="","",D14+F14)</f>
        <v/>
      </c>
      <c r="K14" s="15">
        <f>IF(A14="","",IFERROR(VLOOKUP(B14,'13_Ausgangsrechnungen'!$A$4:$S$400,19,FALSE),0))</f>
        <v/>
      </c>
    </row>
    <row r="15">
      <c r="A15" s="30" t="inlineStr"/>
      <c r="B15" s="30" t="inlineStr"/>
      <c r="C15" s="30" t="inlineStr"/>
      <c r="D15" s="38" t="inlineStr"/>
      <c r="E15" s="31" t="inlineStr"/>
      <c r="F15" s="31" t="inlineStr"/>
      <c r="G15" s="30" t="inlineStr"/>
      <c r="H15" s="30" t="inlineStr"/>
      <c r="I15" s="30" t="inlineStr"/>
      <c r="J15" s="44">
        <f>IF(A15="","",D15+F15)</f>
        <v/>
      </c>
      <c r="K15" s="15">
        <f>IF(A15="","",IFERROR(VLOOKUP(B15,'13_Ausgangsrechnungen'!$A$4:$S$400,19,FALSE),0))</f>
        <v/>
      </c>
    </row>
    <row r="16">
      <c r="A16" s="30" t="inlineStr"/>
      <c r="B16" s="30" t="inlineStr"/>
      <c r="C16" s="30" t="inlineStr"/>
      <c r="D16" s="38" t="inlineStr"/>
      <c r="E16" s="31" t="inlineStr"/>
      <c r="F16" s="31" t="inlineStr"/>
      <c r="G16" s="30" t="inlineStr"/>
      <c r="H16" s="30" t="inlineStr"/>
      <c r="I16" s="30" t="inlineStr"/>
      <c r="J16" s="44">
        <f>IF(A16="","",D16+F16)</f>
        <v/>
      </c>
      <c r="K16" s="15">
        <f>IF(A16="","",IFERROR(VLOOKUP(B16,'13_Ausgangsrechnungen'!$A$4:$S$400,19,FALSE),0))</f>
        <v/>
      </c>
    </row>
    <row r="17">
      <c r="A17" s="30" t="inlineStr"/>
      <c r="B17" s="30" t="inlineStr"/>
      <c r="C17" s="30" t="inlineStr"/>
      <c r="D17" s="38" t="inlineStr"/>
      <c r="E17" s="31" t="inlineStr"/>
      <c r="F17" s="31" t="inlineStr"/>
      <c r="G17" s="30" t="inlineStr"/>
      <c r="H17" s="30" t="inlineStr"/>
      <c r="I17" s="30" t="inlineStr"/>
      <c r="J17" s="44">
        <f>IF(A17="","",D17+F17)</f>
        <v/>
      </c>
      <c r="K17" s="15">
        <f>IF(A17="","",IFERROR(VLOOKUP(B17,'13_Ausgangsrechnungen'!$A$4:$S$400,19,FALSE),0))</f>
        <v/>
      </c>
    </row>
    <row r="18">
      <c r="A18" s="30" t="inlineStr"/>
      <c r="B18" s="30" t="inlineStr"/>
      <c r="C18" s="30" t="inlineStr"/>
      <c r="D18" s="38" t="inlineStr"/>
      <c r="E18" s="31" t="inlineStr"/>
      <c r="F18" s="31" t="inlineStr"/>
      <c r="G18" s="30" t="inlineStr"/>
      <c r="H18" s="30" t="inlineStr"/>
      <c r="I18" s="30" t="inlineStr"/>
      <c r="J18" s="44">
        <f>IF(A18="","",D18+F18)</f>
        <v/>
      </c>
      <c r="K18" s="15">
        <f>IF(A18="","",IFERROR(VLOOKUP(B18,'13_Ausgangsrechnungen'!$A$4:$S$400,19,FALSE),0))</f>
        <v/>
      </c>
    </row>
    <row r="19">
      <c r="A19" s="30" t="inlineStr"/>
      <c r="B19" s="30" t="inlineStr"/>
      <c r="C19" s="30" t="inlineStr"/>
      <c r="D19" s="38" t="inlineStr"/>
      <c r="E19" s="31" t="inlineStr"/>
      <c r="F19" s="31" t="inlineStr"/>
      <c r="G19" s="30" t="inlineStr"/>
      <c r="H19" s="30" t="inlineStr"/>
      <c r="I19" s="30" t="inlineStr"/>
      <c r="J19" s="44">
        <f>IF(A19="","",D19+F19)</f>
        <v/>
      </c>
      <c r="K19" s="15">
        <f>IF(A19="","",IFERROR(VLOOKUP(B19,'13_Ausgangsrechnungen'!$A$4:$S$400,19,FALSE),0))</f>
        <v/>
      </c>
    </row>
    <row r="20">
      <c r="A20" s="30" t="inlineStr"/>
      <c r="B20" s="30" t="inlineStr"/>
      <c r="C20" s="30" t="inlineStr"/>
      <c r="D20" s="38" t="inlineStr"/>
      <c r="E20" s="31" t="inlineStr"/>
      <c r="F20" s="31" t="inlineStr"/>
      <c r="G20" s="30" t="inlineStr"/>
      <c r="H20" s="30" t="inlineStr"/>
      <c r="I20" s="30" t="inlineStr"/>
      <c r="J20" s="44">
        <f>IF(A20="","",D20+F20)</f>
        <v/>
      </c>
      <c r="K20" s="15">
        <f>IF(A20="","",IFERROR(VLOOKUP(B20,'13_Ausgangsrechnungen'!$A$4:$S$400,19,FALSE),0))</f>
        <v/>
      </c>
    </row>
    <row r="21">
      <c r="A21" s="30" t="inlineStr"/>
      <c r="B21" s="30" t="inlineStr"/>
      <c r="C21" s="30" t="inlineStr"/>
      <c r="D21" s="38" t="inlineStr"/>
      <c r="E21" s="31" t="inlineStr"/>
      <c r="F21" s="31" t="inlineStr"/>
      <c r="G21" s="30" t="inlineStr"/>
      <c r="H21" s="30" t="inlineStr"/>
      <c r="I21" s="30" t="inlineStr"/>
      <c r="J21" s="44">
        <f>IF(A21="","",D21+F21)</f>
        <v/>
      </c>
      <c r="K21" s="15">
        <f>IF(A21="","",IFERROR(VLOOKUP(B21,'13_Ausgangsrechnungen'!$A$4:$S$400,19,FALSE),0))</f>
        <v/>
      </c>
    </row>
    <row r="22">
      <c r="A22" s="30" t="inlineStr"/>
      <c r="B22" s="30" t="inlineStr"/>
      <c r="C22" s="30" t="inlineStr"/>
      <c r="D22" s="38" t="inlineStr"/>
      <c r="E22" s="31" t="inlineStr"/>
      <c r="F22" s="31" t="inlineStr"/>
      <c r="G22" s="30" t="inlineStr"/>
      <c r="H22" s="30" t="inlineStr"/>
      <c r="I22" s="30" t="inlineStr"/>
      <c r="J22" s="44">
        <f>IF(A22="","",D22+F22)</f>
        <v/>
      </c>
      <c r="K22" s="15">
        <f>IF(A22="","",IFERROR(VLOOKUP(B22,'13_Ausgangsrechnungen'!$A$4:$S$400,19,FALSE),0))</f>
        <v/>
      </c>
    </row>
    <row r="23">
      <c r="A23" s="30" t="inlineStr"/>
      <c r="B23" s="30" t="inlineStr"/>
      <c r="C23" s="30" t="inlineStr"/>
      <c r="D23" s="38" t="inlineStr"/>
      <c r="E23" s="31" t="inlineStr"/>
      <c r="F23" s="31" t="inlineStr"/>
      <c r="G23" s="30" t="inlineStr"/>
      <c r="H23" s="30" t="inlineStr"/>
      <c r="I23" s="30" t="inlineStr"/>
      <c r="J23" s="44">
        <f>IF(A23="","",D23+F23)</f>
        <v/>
      </c>
      <c r="K23" s="15">
        <f>IF(A23="","",IFERROR(VLOOKUP(B23,'13_Ausgangsrechnungen'!$A$4:$S$400,19,FALSE),0))</f>
        <v/>
      </c>
    </row>
    <row r="24">
      <c r="A24" s="30" t="inlineStr"/>
      <c r="B24" s="30" t="inlineStr"/>
      <c r="C24" s="30" t="inlineStr"/>
      <c r="D24" s="38" t="inlineStr"/>
      <c r="E24" s="31" t="inlineStr"/>
      <c r="F24" s="31" t="inlineStr"/>
      <c r="G24" s="30" t="inlineStr"/>
      <c r="H24" s="30" t="inlineStr"/>
      <c r="I24" s="30" t="inlineStr"/>
      <c r="J24" s="44">
        <f>IF(A24="","",D24+F24)</f>
        <v/>
      </c>
      <c r="K24" s="15">
        <f>IF(A24="","",IFERROR(VLOOKUP(B24,'13_Ausgangsrechnungen'!$A$4:$S$400,19,FALSE),0))</f>
        <v/>
      </c>
    </row>
    <row r="25">
      <c r="A25" s="30" t="inlineStr"/>
      <c r="B25" s="30" t="inlineStr"/>
      <c r="C25" s="30" t="inlineStr"/>
      <c r="D25" s="38" t="inlineStr"/>
      <c r="E25" s="31" t="inlineStr"/>
      <c r="F25" s="31" t="inlineStr"/>
      <c r="G25" s="30" t="inlineStr"/>
      <c r="H25" s="30" t="inlineStr"/>
      <c r="I25" s="30" t="inlineStr"/>
      <c r="J25" s="44">
        <f>IF(A25="","",D25+F25)</f>
        <v/>
      </c>
      <c r="K25" s="15">
        <f>IF(A25="","",IFERROR(VLOOKUP(B25,'13_Ausgangsrechnungen'!$A$4:$S$400,19,FALSE),0))</f>
        <v/>
      </c>
    </row>
    <row r="26">
      <c r="A26" s="30" t="inlineStr"/>
      <c r="B26" s="30" t="inlineStr"/>
      <c r="C26" s="30" t="inlineStr"/>
      <c r="D26" s="38" t="inlineStr"/>
      <c r="E26" s="31" t="inlineStr"/>
      <c r="F26" s="31" t="inlineStr"/>
      <c r="G26" s="30" t="inlineStr"/>
      <c r="H26" s="30" t="inlineStr"/>
      <c r="I26" s="30" t="inlineStr"/>
      <c r="J26" s="44">
        <f>IF(A26="","",D26+F26)</f>
        <v/>
      </c>
      <c r="K26" s="15">
        <f>IF(A26="","",IFERROR(VLOOKUP(B26,'13_Ausgangsrechnungen'!$A$4:$S$400,19,FALSE),0))</f>
        <v/>
      </c>
    </row>
    <row r="27">
      <c r="A27" s="30" t="inlineStr"/>
      <c r="B27" s="30" t="inlineStr"/>
      <c r="C27" s="30" t="inlineStr"/>
      <c r="D27" s="38" t="inlineStr"/>
      <c r="E27" s="31" t="inlineStr"/>
      <c r="F27" s="31" t="inlineStr"/>
      <c r="G27" s="30" t="inlineStr"/>
      <c r="H27" s="30" t="inlineStr"/>
      <c r="I27" s="30" t="inlineStr"/>
      <c r="J27" s="44">
        <f>IF(A27="","",D27+F27)</f>
        <v/>
      </c>
      <c r="K27" s="15">
        <f>IF(A27="","",IFERROR(VLOOKUP(B27,'13_Ausgangsrechnungen'!$A$4:$S$400,19,FALSE),0))</f>
        <v/>
      </c>
    </row>
    <row r="28">
      <c r="A28" s="30" t="inlineStr"/>
      <c r="B28" s="30" t="inlineStr"/>
      <c r="C28" s="30" t="inlineStr"/>
      <c r="D28" s="38" t="inlineStr"/>
      <c r="E28" s="31" t="inlineStr"/>
      <c r="F28" s="31" t="inlineStr"/>
      <c r="G28" s="30" t="inlineStr"/>
      <c r="H28" s="30" t="inlineStr"/>
      <c r="I28" s="30" t="inlineStr"/>
      <c r="J28" s="44">
        <f>IF(A28="","",D28+F28)</f>
        <v/>
      </c>
      <c r="K28" s="15">
        <f>IF(A28="","",IFERROR(VLOOKUP(B28,'13_Ausgangsrechnungen'!$A$4:$S$400,19,FALSE),0))</f>
        <v/>
      </c>
    </row>
    <row r="29">
      <c r="A29" s="30" t="inlineStr"/>
      <c r="B29" s="30" t="inlineStr"/>
      <c r="C29" s="30" t="inlineStr"/>
      <c r="D29" s="38" t="inlineStr"/>
      <c r="E29" s="31" t="inlineStr"/>
      <c r="F29" s="31" t="inlineStr"/>
      <c r="G29" s="30" t="inlineStr"/>
      <c r="H29" s="30" t="inlineStr"/>
      <c r="I29" s="30" t="inlineStr"/>
      <c r="J29" s="44">
        <f>IF(A29="","",D29+F29)</f>
        <v/>
      </c>
      <c r="K29" s="15">
        <f>IF(A29="","",IFERROR(VLOOKUP(B29,'13_Ausgangsrechnungen'!$A$4:$S$400,19,FALSE),0))</f>
        <v/>
      </c>
    </row>
    <row r="30">
      <c r="A30" s="30" t="inlineStr"/>
      <c r="B30" s="30" t="inlineStr"/>
      <c r="C30" s="30" t="inlineStr"/>
      <c r="D30" s="38" t="inlineStr"/>
      <c r="E30" s="31" t="inlineStr"/>
      <c r="F30" s="31" t="inlineStr"/>
      <c r="G30" s="30" t="inlineStr"/>
      <c r="H30" s="30" t="inlineStr"/>
      <c r="I30" s="30" t="inlineStr"/>
      <c r="J30" s="44">
        <f>IF(A30="","",D30+F30)</f>
        <v/>
      </c>
      <c r="K30" s="15">
        <f>IF(A30="","",IFERROR(VLOOKUP(B30,'13_Ausgangsrechnungen'!$A$4:$S$400,19,FALSE),0))</f>
        <v/>
      </c>
    </row>
    <row r="31">
      <c r="A31" s="30" t="inlineStr"/>
      <c r="B31" s="30" t="inlineStr"/>
      <c r="C31" s="30" t="inlineStr"/>
      <c r="D31" s="38" t="inlineStr"/>
      <c r="E31" s="31" t="inlineStr"/>
      <c r="F31" s="31" t="inlineStr"/>
      <c r="G31" s="30" t="inlineStr"/>
      <c r="H31" s="30" t="inlineStr"/>
      <c r="I31" s="30" t="inlineStr"/>
      <c r="J31" s="44">
        <f>IF(A31="","",D31+F31)</f>
        <v/>
      </c>
      <c r="K31" s="15">
        <f>IF(A31="","",IFERROR(VLOOKUP(B31,'13_Ausgangsrechnungen'!$A$4:$S$400,19,FALSE),0))</f>
        <v/>
      </c>
    </row>
    <row r="32">
      <c r="A32" s="30" t="inlineStr"/>
      <c r="B32" s="30" t="inlineStr"/>
      <c r="C32" s="30" t="inlineStr"/>
      <c r="D32" s="38" t="inlineStr"/>
      <c r="E32" s="31" t="inlineStr"/>
      <c r="F32" s="31" t="inlineStr"/>
      <c r="G32" s="30" t="inlineStr"/>
      <c r="H32" s="30" t="inlineStr"/>
      <c r="I32" s="30" t="inlineStr"/>
      <c r="J32" s="44">
        <f>IF(A32="","",D32+F32)</f>
        <v/>
      </c>
      <c r="K32" s="15">
        <f>IF(A32="","",IFERROR(VLOOKUP(B32,'13_Ausgangsrechnungen'!$A$4:$S$400,19,FALSE),0))</f>
        <v/>
      </c>
    </row>
    <row r="33">
      <c r="A33" s="30" t="inlineStr"/>
      <c r="B33" s="30" t="inlineStr"/>
      <c r="C33" s="30" t="inlineStr"/>
      <c r="D33" s="38" t="inlineStr"/>
      <c r="E33" s="31" t="inlineStr"/>
      <c r="F33" s="31" t="inlineStr"/>
      <c r="G33" s="30" t="inlineStr"/>
      <c r="H33" s="30" t="inlineStr"/>
      <c r="I33" s="30" t="inlineStr"/>
      <c r="J33" s="44">
        <f>IF(A33="","",D33+F33)</f>
        <v/>
      </c>
      <c r="K33" s="15">
        <f>IF(A33="","",IFERROR(VLOOKUP(B33,'13_Ausgangsrechnungen'!$A$4:$S$400,19,FALSE),0))</f>
        <v/>
      </c>
    </row>
    <row r="34">
      <c r="A34" s="30" t="inlineStr"/>
      <c r="B34" s="30" t="inlineStr"/>
      <c r="C34" s="30" t="inlineStr"/>
      <c r="D34" s="38" t="inlineStr"/>
      <c r="E34" s="31" t="inlineStr"/>
      <c r="F34" s="31" t="inlineStr"/>
      <c r="G34" s="30" t="inlineStr"/>
      <c r="H34" s="30" t="inlineStr"/>
      <c r="I34" s="30" t="inlineStr"/>
      <c r="J34" s="44">
        <f>IF(A34="","",D34+F34)</f>
        <v/>
      </c>
      <c r="K34" s="15">
        <f>IF(A34="","",IFERROR(VLOOKUP(B34,'13_Ausgangsrechnungen'!$A$4:$S$400,19,FALSE),0))</f>
        <v/>
      </c>
    </row>
    <row r="35">
      <c r="A35" s="30" t="inlineStr"/>
      <c r="B35" s="30" t="inlineStr"/>
      <c r="C35" s="30" t="inlineStr"/>
      <c r="D35" s="38" t="inlineStr"/>
      <c r="E35" s="31" t="inlineStr"/>
      <c r="F35" s="31" t="inlineStr"/>
      <c r="G35" s="30" t="inlineStr"/>
      <c r="H35" s="30" t="inlineStr"/>
      <c r="I35" s="30" t="inlineStr"/>
      <c r="J35" s="44">
        <f>IF(A35="","",D35+F35)</f>
        <v/>
      </c>
      <c r="K35" s="15">
        <f>IF(A35="","",IFERROR(VLOOKUP(B35,'13_Ausgangsrechnungen'!$A$4:$S$400,19,FALSE),0))</f>
        <v/>
      </c>
    </row>
    <row r="36">
      <c r="A36" s="30" t="inlineStr"/>
      <c r="B36" s="30" t="inlineStr"/>
      <c r="C36" s="30" t="inlineStr"/>
      <c r="D36" s="38" t="inlineStr"/>
      <c r="E36" s="31" t="inlineStr"/>
      <c r="F36" s="31" t="inlineStr"/>
      <c r="G36" s="30" t="inlineStr"/>
      <c r="H36" s="30" t="inlineStr"/>
      <c r="I36" s="30" t="inlineStr"/>
      <c r="J36" s="44">
        <f>IF(A36="","",D36+F36)</f>
        <v/>
      </c>
      <c r="K36" s="15">
        <f>IF(A36="","",IFERROR(VLOOKUP(B36,'13_Ausgangsrechnungen'!$A$4:$S$400,19,FALSE),0))</f>
        <v/>
      </c>
    </row>
    <row r="37">
      <c r="A37" s="30" t="inlineStr"/>
      <c r="B37" s="30" t="inlineStr"/>
      <c r="C37" s="30" t="inlineStr"/>
      <c r="D37" s="38" t="inlineStr"/>
      <c r="E37" s="31" t="inlineStr"/>
      <c r="F37" s="31" t="inlineStr"/>
      <c r="G37" s="30" t="inlineStr"/>
      <c r="H37" s="30" t="inlineStr"/>
      <c r="I37" s="30" t="inlineStr"/>
      <c r="J37" s="44">
        <f>IF(A37="","",D37+F37)</f>
        <v/>
      </c>
      <c r="K37" s="15">
        <f>IF(A37="","",IFERROR(VLOOKUP(B37,'13_Ausgangsrechnungen'!$A$4:$S$400,19,FALSE),0))</f>
        <v/>
      </c>
    </row>
    <row r="38">
      <c r="A38" s="30" t="inlineStr"/>
      <c r="B38" s="30" t="inlineStr"/>
      <c r="C38" s="30" t="inlineStr"/>
      <c r="D38" s="38" t="inlineStr"/>
      <c r="E38" s="31" t="inlineStr"/>
      <c r="F38" s="31" t="inlineStr"/>
      <c r="G38" s="30" t="inlineStr"/>
      <c r="H38" s="30" t="inlineStr"/>
      <c r="I38" s="30" t="inlineStr"/>
      <c r="J38" s="44">
        <f>IF(A38="","",D38+F38)</f>
        <v/>
      </c>
      <c r="K38" s="15">
        <f>IF(A38="","",IFERROR(VLOOKUP(B38,'13_Ausgangsrechnungen'!$A$4:$S$400,19,FALSE),0))</f>
        <v/>
      </c>
    </row>
    <row r="39">
      <c r="A39" s="30" t="inlineStr"/>
      <c r="B39" s="30" t="inlineStr"/>
      <c r="C39" s="30" t="inlineStr"/>
      <c r="D39" s="38" t="inlineStr"/>
      <c r="E39" s="31" t="inlineStr"/>
      <c r="F39" s="31" t="inlineStr"/>
      <c r="G39" s="30" t="inlineStr"/>
      <c r="H39" s="30" t="inlineStr"/>
      <c r="I39" s="30" t="inlineStr"/>
      <c r="J39" s="44">
        <f>IF(A39="","",D39+F39)</f>
        <v/>
      </c>
      <c r="K39" s="15">
        <f>IF(A39="","",IFERROR(VLOOKUP(B39,'13_Ausgangsrechnungen'!$A$4:$S$400,19,FALSE),0))</f>
        <v/>
      </c>
    </row>
    <row r="40">
      <c r="A40" s="30" t="inlineStr"/>
      <c r="B40" s="30" t="inlineStr"/>
      <c r="C40" s="30" t="inlineStr"/>
      <c r="D40" s="38" t="inlineStr"/>
      <c r="E40" s="31" t="inlineStr"/>
      <c r="F40" s="31" t="inlineStr"/>
      <c r="G40" s="30" t="inlineStr"/>
      <c r="H40" s="30" t="inlineStr"/>
      <c r="I40" s="30" t="inlineStr"/>
      <c r="J40" s="44">
        <f>IF(A40="","",D40+F40)</f>
        <v/>
      </c>
      <c r="K40" s="15">
        <f>IF(A40="","",IFERROR(VLOOKUP(B40,'13_Ausgangsrechnungen'!$A$4:$S$400,19,FALSE),0))</f>
        <v/>
      </c>
    </row>
    <row r="41">
      <c r="A41" s="30" t="inlineStr"/>
      <c r="B41" s="30" t="inlineStr"/>
      <c r="C41" s="30" t="inlineStr"/>
      <c r="D41" s="38" t="inlineStr"/>
      <c r="E41" s="31" t="inlineStr"/>
      <c r="F41" s="31" t="inlineStr"/>
      <c r="G41" s="30" t="inlineStr"/>
      <c r="H41" s="30" t="inlineStr"/>
      <c r="I41" s="30" t="inlineStr"/>
      <c r="J41" s="44">
        <f>IF(A41="","",D41+F41)</f>
        <v/>
      </c>
      <c r="K41" s="15">
        <f>IF(A41="","",IFERROR(VLOOKUP(B41,'13_Ausgangsrechnungen'!$A$4:$S$400,19,FALSE),0))</f>
        <v/>
      </c>
    </row>
    <row r="42">
      <c r="A42" s="30" t="inlineStr"/>
      <c r="B42" s="30" t="inlineStr"/>
      <c r="C42" s="30" t="inlineStr"/>
      <c r="D42" s="38" t="inlineStr"/>
      <c r="E42" s="31" t="inlineStr"/>
      <c r="F42" s="31" t="inlineStr"/>
      <c r="G42" s="30" t="inlineStr"/>
      <c r="H42" s="30" t="inlineStr"/>
      <c r="I42" s="30" t="inlineStr"/>
      <c r="J42" s="44">
        <f>IF(A42="","",D42+F42)</f>
        <v/>
      </c>
      <c r="K42" s="15">
        <f>IF(A42="","",IFERROR(VLOOKUP(B42,'13_Ausgangsrechnungen'!$A$4:$S$400,19,FALSE),0))</f>
        <v/>
      </c>
    </row>
    <row r="43">
      <c r="A43" s="30" t="inlineStr"/>
      <c r="B43" s="30" t="inlineStr"/>
      <c r="C43" s="30" t="inlineStr"/>
      <c r="D43" s="38" t="inlineStr"/>
      <c r="E43" s="31" t="inlineStr"/>
      <c r="F43" s="31" t="inlineStr"/>
      <c r="G43" s="30" t="inlineStr"/>
      <c r="H43" s="30" t="inlineStr"/>
      <c r="I43" s="30" t="inlineStr"/>
      <c r="J43" s="44">
        <f>IF(A43="","",D43+F43)</f>
        <v/>
      </c>
      <c r="K43" s="15">
        <f>IF(A43="","",IFERROR(VLOOKUP(B43,'13_Ausgangsrechnungen'!$A$4:$S$400,19,FALSE),0))</f>
        <v/>
      </c>
    </row>
    <row r="44">
      <c r="A44" s="30" t="inlineStr"/>
      <c r="B44" s="30" t="inlineStr"/>
      <c r="C44" s="30" t="inlineStr"/>
      <c r="D44" s="38" t="inlineStr"/>
      <c r="E44" s="31" t="inlineStr"/>
      <c r="F44" s="31" t="inlineStr"/>
      <c r="G44" s="30" t="inlineStr"/>
      <c r="H44" s="30" t="inlineStr"/>
      <c r="I44" s="30" t="inlineStr"/>
      <c r="J44" s="44">
        <f>IF(A44="","",D44+F44)</f>
        <v/>
      </c>
      <c r="K44" s="15">
        <f>IF(A44="","",IFERROR(VLOOKUP(B44,'13_Ausgangsrechnungen'!$A$4:$S$400,19,FALSE),0))</f>
        <v/>
      </c>
    </row>
    <row r="45">
      <c r="A45" s="30" t="inlineStr"/>
      <c r="B45" s="30" t="inlineStr"/>
      <c r="C45" s="30" t="inlineStr"/>
      <c r="D45" s="38" t="inlineStr"/>
      <c r="E45" s="31" t="inlineStr"/>
      <c r="F45" s="31" t="inlineStr"/>
      <c r="G45" s="30" t="inlineStr"/>
      <c r="H45" s="30" t="inlineStr"/>
      <c r="I45" s="30" t="inlineStr"/>
      <c r="J45" s="44">
        <f>IF(A45="","",D45+F45)</f>
        <v/>
      </c>
      <c r="K45" s="15">
        <f>IF(A45="","",IFERROR(VLOOKUP(B45,'13_Ausgangsrechnungen'!$A$4:$S$400,19,FALSE),0))</f>
        <v/>
      </c>
    </row>
    <row r="46">
      <c r="A46" s="30" t="inlineStr"/>
      <c r="B46" s="30" t="inlineStr"/>
      <c r="C46" s="30" t="inlineStr"/>
      <c r="D46" s="38" t="inlineStr"/>
      <c r="E46" s="31" t="inlineStr"/>
      <c r="F46" s="31" t="inlineStr"/>
      <c r="G46" s="30" t="inlineStr"/>
      <c r="H46" s="30" t="inlineStr"/>
      <c r="I46" s="30" t="inlineStr"/>
      <c r="J46" s="44">
        <f>IF(A46="","",D46+F46)</f>
        <v/>
      </c>
      <c r="K46" s="15">
        <f>IF(A46="","",IFERROR(VLOOKUP(B46,'13_Ausgangsrechnungen'!$A$4:$S$400,19,FALSE),0))</f>
        <v/>
      </c>
    </row>
    <row r="47">
      <c r="A47" s="30" t="inlineStr"/>
      <c r="B47" s="30" t="inlineStr"/>
      <c r="C47" s="30" t="inlineStr"/>
      <c r="D47" s="38" t="inlineStr"/>
      <c r="E47" s="31" t="inlineStr"/>
      <c r="F47" s="31" t="inlineStr"/>
      <c r="G47" s="30" t="inlineStr"/>
      <c r="H47" s="30" t="inlineStr"/>
      <c r="I47" s="30" t="inlineStr"/>
      <c r="J47" s="44">
        <f>IF(A47="","",D47+F47)</f>
        <v/>
      </c>
      <c r="K47" s="15">
        <f>IF(A47="","",IFERROR(VLOOKUP(B47,'13_Ausgangsrechnungen'!$A$4:$S$400,19,FALSE),0))</f>
        <v/>
      </c>
    </row>
    <row r="48">
      <c r="A48" s="30" t="inlineStr"/>
      <c r="B48" s="30" t="inlineStr"/>
      <c r="C48" s="30" t="inlineStr"/>
      <c r="D48" s="38" t="inlineStr"/>
      <c r="E48" s="31" t="inlineStr"/>
      <c r="F48" s="31" t="inlineStr"/>
      <c r="G48" s="30" t="inlineStr"/>
      <c r="H48" s="30" t="inlineStr"/>
      <c r="I48" s="30" t="inlineStr"/>
      <c r="J48" s="44">
        <f>IF(A48="","",D48+F48)</f>
        <v/>
      </c>
      <c r="K48" s="15">
        <f>IF(A48="","",IFERROR(VLOOKUP(B48,'13_Ausgangsrechnungen'!$A$4:$S$400,19,FALSE),0))</f>
        <v/>
      </c>
    </row>
    <row r="49">
      <c r="A49" s="30" t="inlineStr"/>
      <c r="B49" s="30" t="inlineStr"/>
      <c r="C49" s="30" t="inlineStr"/>
      <c r="D49" s="38" t="inlineStr"/>
      <c r="E49" s="31" t="inlineStr"/>
      <c r="F49" s="31" t="inlineStr"/>
      <c r="G49" s="30" t="inlineStr"/>
      <c r="H49" s="30" t="inlineStr"/>
      <c r="I49" s="30" t="inlineStr"/>
      <c r="J49" s="44">
        <f>IF(A49="","",D49+F49)</f>
        <v/>
      </c>
      <c r="K49" s="15">
        <f>IF(A49="","",IFERROR(VLOOKUP(B49,'13_Ausgangsrechnungen'!$A$4:$S$400,19,FALSE),0))</f>
        <v/>
      </c>
    </row>
    <row r="50">
      <c r="A50" s="30" t="inlineStr"/>
      <c r="B50" s="30" t="inlineStr"/>
      <c r="C50" s="30" t="inlineStr"/>
      <c r="D50" s="38" t="inlineStr"/>
      <c r="E50" s="31" t="inlineStr"/>
      <c r="F50" s="31" t="inlineStr"/>
      <c r="G50" s="30" t="inlineStr"/>
      <c r="H50" s="30" t="inlineStr"/>
      <c r="I50" s="30" t="inlineStr"/>
      <c r="J50" s="44">
        <f>IF(A50="","",D50+F50)</f>
        <v/>
      </c>
      <c r="K50" s="15">
        <f>IF(A50="","",IFERROR(VLOOKUP(B50,'13_Ausgangsrechnungen'!$A$4:$S$400,19,FALSE),0))</f>
        <v/>
      </c>
    </row>
    <row r="51">
      <c r="A51" s="30" t="inlineStr"/>
      <c r="B51" s="30" t="inlineStr"/>
      <c r="C51" s="30" t="inlineStr"/>
      <c r="D51" s="38" t="inlineStr"/>
      <c r="E51" s="31" t="inlineStr"/>
      <c r="F51" s="31" t="inlineStr"/>
      <c r="G51" s="30" t="inlineStr"/>
      <c r="H51" s="30" t="inlineStr"/>
      <c r="I51" s="30" t="inlineStr"/>
      <c r="J51" s="44">
        <f>IF(A51="","",D51+F51)</f>
        <v/>
      </c>
      <c r="K51" s="15">
        <f>IF(A51="","",IFERROR(VLOOKUP(B51,'13_Ausgangsrechnungen'!$A$4:$S$400,19,FALSE),0))</f>
        <v/>
      </c>
    </row>
    <row r="52">
      <c r="A52" s="30" t="inlineStr"/>
      <c r="B52" s="30" t="inlineStr"/>
      <c r="C52" s="30" t="inlineStr"/>
      <c r="D52" s="38" t="inlineStr"/>
      <c r="E52" s="31" t="inlineStr"/>
      <c r="F52" s="31" t="inlineStr"/>
      <c r="G52" s="30" t="inlineStr"/>
      <c r="H52" s="30" t="inlineStr"/>
      <c r="I52" s="30" t="inlineStr"/>
      <c r="J52" s="44">
        <f>IF(A52="","",D52+F52)</f>
        <v/>
      </c>
      <c r="K52" s="15">
        <f>IF(A52="","",IFERROR(VLOOKUP(B52,'13_Ausgangsrechnungen'!$A$4:$S$400,19,FALSE),0))</f>
        <v/>
      </c>
    </row>
    <row r="53">
      <c r="A53" s="30" t="inlineStr"/>
      <c r="B53" s="30" t="inlineStr"/>
      <c r="C53" s="30" t="inlineStr"/>
      <c r="D53" s="38" t="inlineStr"/>
      <c r="E53" s="31" t="inlineStr"/>
      <c r="F53" s="31" t="inlineStr"/>
      <c r="G53" s="30" t="inlineStr"/>
      <c r="H53" s="30" t="inlineStr"/>
      <c r="I53" s="30" t="inlineStr"/>
      <c r="J53" s="44">
        <f>IF(A53="","",D53+F53)</f>
        <v/>
      </c>
      <c r="K53" s="15">
        <f>IF(A53="","",IFERROR(VLOOKUP(B53,'13_Ausgangsrechnungen'!$A$4:$S$400,19,FALSE),0))</f>
        <v/>
      </c>
    </row>
    <row r="54">
      <c r="A54" s="30" t="inlineStr"/>
      <c r="B54" s="30" t="inlineStr"/>
      <c r="C54" s="30" t="inlineStr"/>
      <c r="D54" s="38" t="inlineStr"/>
      <c r="E54" s="31" t="inlineStr"/>
      <c r="F54" s="31" t="inlineStr"/>
      <c r="G54" s="30" t="inlineStr"/>
      <c r="H54" s="30" t="inlineStr"/>
      <c r="I54" s="30" t="inlineStr"/>
      <c r="J54" s="44">
        <f>IF(A54="","",D54+F54)</f>
        <v/>
      </c>
      <c r="K54" s="15">
        <f>IF(A54="","",IFERROR(VLOOKUP(B54,'13_Ausgangsrechnungen'!$A$4:$S$400,19,FALSE),0))</f>
        <v/>
      </c>
    </row>
    <row r="55">
      <c r="A55" s="30" t="inlineStr"/>
      <c r="B55" s="30" t="inlineStr"/>
      <c r="C55" s="30" t="inlineStr"/>
      <c r="D55" s="38" t="inlineStr"/>
      <c r="E55" s="31" t="inlineStr"/>
      <c r="F55" s="31" t="inlineStr"/>
      <c r="G55" s="30" t="inlineStr"/>
      <c r="H55" s="30" t="inlineStr"/>
      <c r="I55" s="30" t="inlineStr"/>
      <c r="J55" s="44">
        <f>IF(A55="","",D55+F55)</f>
        <v/>
      </c>
      <c r="K55" s="15">
        <f>IF(A55="","",IFERROR(VLOOKUP(B55,'13_Ausgangsrechnungen'!$A$4:$S$400,19,FALSE),0))</f>
        <v/>
      </c>
    </row>
    <row r="56">
      <c r="A56" s="30" t="inlineStr"/>
      <c r="B56" s="30" t="inlineStr"/>
      <c r="C56" s="30" t="inlineStr"/>
      <c r="D56" s="38" t="inlineStr"/>
      <c r="E56" s="31" t="inlineStr"/>
      <c r="F56" s="31" t="inlineStr"/>
      <c r="G56" s="30" t="inlineStr"/>
      <c r="H56" s="30" t="inlineStr"/>
      <c r="I56" s="30" t="inlineStr"/>
      <c r="J56" s="44">
        <f>IF(A56="","",D56+F56)</f>
        <v/>
      </c>
      <c r="K56" s="15">
        <f>IF(A56="","",IFERROR(VLOOKUP(B56,'13_Ausgangsrechnungen'!$A$4:$S$400,19,FALSE),0))</f>
        <v/>
      </c>
    </row>
    <row r="57">
      <c r="A57" s="30" t="inlineStr"/>
      <c r="B57" s="30" t="inlineStr"/>
      <c r="C57" s="30" t="inlineStr"/>
      <c r="D57" s="38" t="inlineStr"/>
      <c r="E57" s="31" t="inlineStr"/>
      <c r="F57" s="31" t="inlineStr"/>
      <c r="G57" s="30" t="inlineStr"/>
      <c r="H57" s="30" t="inlineStr"/>
      <c r="I57" s="30" t="inlineStr"/>
      <c r="J57" s="44">
        <f>IF(A57="","",D57+F57)</f>
        <v/>
      </c>
      <c r="K57" s="15">
        <f>IF(A57="","",IFERROR(VLOOKUP(B57,'13_Ausgangsrechnungen'!$A$4:$S$400,19,FALSE),0))</f>
        <v/>
      </c>
    </row>
    <row r="58">
      <c r="A58" s="30" t="inlineStr"/>
      <c r="B58" s="30" t="inlineStr"/>
      <c r="C58" s="30" t="inlineStr"/>
      <c r="D58" s="38" t="inlineStr"/>
      <c r="E58" s="31" t="inlineStr"/>
      <c r="F58" s="31" t="inlineStr"/>
      <c r="G58" s="30" t="inlineStr"/>
      <c r="H58" s="30" t="inlineStr"/>
      <c r="I58" s="30" t="inlineStr"/>
      <c r="J58" s="44">
        <f>IF(A58="","",D58+F58)</f>
        <v/>
      </c>
      <c r="K58" s="15">
        <f>IF(A58="","",IFERROR(VLOOKUP(B58,'13_Ausgangsrechnungen'!$A$4:$S$400,19,FALSE),0))</f>
        <v/>
      </c>
    </row>
    <row r="59">
      <c r="A59" s="30" t="inlineStr"/>
      <c r="B59" s="30" t="inlineStr"/>
      <c r="C59" s="30" t="inlineStr"/>
      <c r="D59" s="38" t="inlineStr"/>
      <c r="E59" s="31" t="inlineStr"/>
      <c r="F59" s="31" t="inlineStr"/>
      <c r="G59" s="30" t="inlineStr"/>
      <c r="H59" s="30" t="inlineStr"/>
      <c r="I59" s="30" t="inlineStr"/>
      <c r="J59" s="44">
        <f>IF(A59="","",D59+F59)</f>
        <v/>
      </c>
      <c r="K59" s="15">
        <f>IF(A59="","",IFERROR(VLOOKUP(B59,'13_Ausgangsrechnungen'!$A$4:$S$400,19,FALSE),0))</f>
        <v/>
      </c>
    </row>
    <row r="60">
      <c r="A60" s="30" t="inlineStr"/>
      <c r="B60" s="30" t="inlineStr"/>
      <c r="C60" s="30" t="inlineStr"/>
      <c r="D60" s="38" t="inlineStr"/>
      <c r="E60" s="31" t="inlineStr"/>
      <c r="F60" s="31" t="inlineStr"/>
      <c r="G60" s="30" t="inlineStr"/>
      <c r="H60" s="30" t="inlineStr"/>
      <c r="I60" s="30" t="inlineStr"/>
      <c r="J60" s="44">
        <f>IF(A60="","",D60+F60)</f>
        <v/>
      </c>
      <c r="K60" s="15">
        <f>IF(A60="","",IFERROR(VLOOKUP(B60,'13_Ausgangsrechnungen'!$A$4:$S$400,19,FALSE),0))</f>
        <v/>
      </c>
    </row>
    <row r="61">
      <c r="A61" s="30" t="inlineStr"/>
      <c r="B61" s="30" t="inlineStr"/>
      <c r="C61" s="30" t="inlineStr"/>
      <c r="D61" s="38" t="inlineStr"/>
      <c r="E61" s="31" t="inlineStr"/>
      <c r="F61" s="31" t="inlineStr"/>
      <c r="G61" s="30" t="inlineStr"/>
      <c r="H61" s="30" t="inlineStr"/>
      <c r="I61" s="30" t="inlineStr"/>
      <c r="J61" s="44">
        <f>IF(A61="","",D61+F61)</f>
        <v/>
      </c>
      <c r="K61" s="15">
        <f>IF(A61="","",IFERROR(VLOOKUP(B61,'13_Ausgangsrechnungen'!$A$4:$S$400,19,FALSE),0))</f>
        <v/>
      </c>
    </row>
    <row r="62">
      <c r="A62" s="30" t="inlineStr"/>
      <c r="B62" s="30" t="inlineStr"/>
      <c r="C62" s="30" t="inlineStr"/>
      <c r="D62" s="38" t="inlineStr"/>
      <c r="E62" s="31" t="inlineStr"/>
      <c r="F62" s="31" t="inlineStr"/>
      <c r="G62" s="30" t="inlineStr"/>
      <c r="H62" s="30" t="inlineStr"/>
      <c r="I62" s="30" t="inlineStr"/>
      <c r="J62" s="44">
        <f>IF(A62="","",D62+F62)</f>
        <v/>
      </c>
      <c r="K62" s="15">
        <f>IF(A62="","",IFERROR(VLOOKUP(B62,'13_Ausgangsrechnungen'!$A$4:$S$400,19,FALSE),0))</f>
        <v/>
      </c>
    </row>
    <row r="63">
      <c r="A63" s="30" t="inlineStr"/>
      <c r="B63" s="30" t="inlineStr"/>
      <c r="C63" s="30" t="inlineStr"/>
      <c r="D63" s="38" t="inlineStr"/>
      <c r="E63" s="31" t="inlineStr"/>
      <c r="F63" s="31" t="inlineStr"/>
      <c r="G63" s="30" t="inlineStr"/>
      <c r="H63" s="30" t="inlineStr"/>
      <c r="I63" s="30" t="inlineStr"/>
      <c r="J63" s="44">
        <f>IF(A63="","",D63+F63)</f>
        <v/>
      </c>
      <c r="K63" s="15">
        <f>IF(A63="","",IFERROR(VLOOKUP(B63,'13_Ausgangsrechnungen'!$A$4:$S$400,19,FALSE),0))</f>
        <v/>
      </c>
    </row>
    <row r="64">
      <c r="A64" s="30" t="inlineStr"/>
      <c r="B64" s="30" t="inlineStr"/>
      <c r="C64" s="30" t="inlineStr"/>
      <c r="D64" s="38" t="inlineStr"/>
      <c r="E64" s="31" t="inlineStr"/>
      <c r="F64" s="31" t="inlineStr"/>
      <c r="G64" s="30" t="inlineStr"/>
      <c r="H64" s="30" t="inlineStr"/>
      <c r="I64" s="30" t="inlineStr"/>
      <c r="J64" s="44">
        <f>IF(A64="","",D64+F64)</f>
        <v/>
      </c>
      <c r="K64" s="15">
        <f>IF(A64="","",IFERROR(VLOOKUP(B64,'13_Ausgangsrechnungen'!$A$4:$S$400,19,FALSE),0))</f>
        <v/>
      </c>
    </row>
    <row r="65">
      <c r="A65" s="30" t="inlineStr"/>
      <c r="B65" s="30" t="inlineStr"/>
      <c r="C65" s="30" t="inlineStr"/>
      <c r="D65" s="38" t="inlineStr"/>
      <c r="E65" s="31" t="inlineStr"/>
      <c r="F65" s="31" t="inlineStr"/>
      <c r="G65" s="30" t="inlineStr"/>
      <c r="H65" s="30" t="inlineStr"/>
      <c r="I65" s="30" t="inlineStr"/>
      <c r="J65" s="44">
        <f>IF(A65="","",D65+F65)</f>
        <v/>
      </c>
      <c r="K65" s="15">
        <f>IF(A65="","",IFERROR(VLOOKUP(B65,'13_Ausgangsrechnungen'!$A$4:$S$400,19,FALSE),0))</f>
        <v/>
      </c>
    </row>
    <row r="66">
      <c r="A66" s="30" t="inlineStr"/>
      <c r="B66" s="30" t="inlineStr"/>
      <c r="C66" s="30" t="inlineStr"/>
      <c r="D66" s="38" t="inlineStr"/>
      <c r="E66" s="31" t="inlineStr"/>
      <c r="F66" s="31" t="inlineStr"/>
      <c r="G66" s="30" t="inlineStr"/>
      <c r="H66" s="30" t="inlineStr"/>
      <c r="I66" s="30" t="inlineStr"/>
      <c r="J66" s="44">
        <f>IF(A66="","",D66+F66)</f>
        <v/>
      </c>
      <c r="K66" s="15">
        <f>IF(A66="","",IFERROR(VLOOKUP(B66,'13_Ausgangsrechnungen'!$A$4:$S$400,19,FALSE),0))</f>
        <v/>
      </c>
    </row>
    <row r="67">
      <c r="A67" s="30" t="inlineStr"/>
      <c r="B67" s="30" t="inlineStr"/>
      <c r="C67" s="30" t="inlineStr"/>
      <c r="D67" s="38" t="inlineStr"/>
      <c r="E67" s="31" t="inlineStr"/>
      <c r="F67" s="31" t="inlineStr"/>
      <c r="G67" s="30" t="inlineStr"/>
      <c r="H67" s="30" t="inlineStr"/>
      <c r="I67" s="30" t="inlineStr"/>
      <c r="J67" s="44">
        <f>IF(A67="","",D67+F67)</f>
        <v/>
      </c>
      <c r="K67" s="15">
        <f>IF(A67="","",IFERROR(VLOOKUP(B67,'13_Ausgangsrechnungen'!$A$4:$S$400,19,FALSE),0))</f>
        <v/>
      </c>
    </row>
    <row r="68">
      <c r="A68" s="30" t="inlineStr"/>
      <c r="B68" s="30" t="inlineStr"/>
      <c r="C68" s="30" t="inlineStr"/>
      <c r="D68" s="38" t="inlineStr"/>
      <c r="E68" s="31" t="inlineStr"/>
      <c r="F68" s="31" t="inlineStr"/>
      <c r="G68" s="30" t="inlineStr"/>
      <c r="H68" s="30" t="inlineStr"/>
      <c r="I68" s="30" t="inlineStr"/>
      <c r="J68" s="44">
        <f>IF(A68="","",D68+F68)</f>
        <v/>
      </c>
      <c r="K68" s="15">
        <f>IF(A68="","",IFERROR(VLOOKUP(B68,'13_Ausgangsrechnungen'!$A$4:$S$400,19,FALSE),0))</f>
        <v/>
      </c>
    </row>
    <row r="69">
      <c r="A69" s="30" t="inlineStr"/>
      <c r="B69" s="30" t="inlineStr"/>
      <c r="C69" s="30" t="inlineStr"/>
      <c r="D69" s="38" t="inlineStr"/>
      <c r="E69" s="31" t="inlineStr"/>
      <c r="F69" s="31" t="inlineStr"/>
      <c r="G69" s="30" t="inlineStr"/>
      <c r="H69" s="30" t="inlineStr"/>
      <c r="I69" s="30" t="inlineStr"/>
      <c r="J69" s="44">
        <f>IF(A69="","",D69+F69)</f>
        <v/>
      </c>
      <c r="K69" s="15">
        <f>IF(A69="","",IFERROR(VLOOKUP(B69,'13_Ausgangsrechnungen'!$A$4:$S$400,19,FALSE),0))</f>
        <v/>
      </c>
    </row>
    <row r="70">
      <c r="A70" s="30" t="inlineStr"/>
      <c r="B70" s="30" t="inlineStr"/>
      <c r="C70" s="30" t="inlineStr"/>
      <c r="D70" s="38" t="inlineStr"/>
      <c r="E70" s="31" t="inlineStr"/>
      <c r="F70" s="31" t="inlineStr"/>
      <c r="G70" s="30" t="inlineStr"/>
      <c r="H70" s="30" t="inlineStr"/>
      <c r="I70" s="30" t="inlineStr"/>
      <c r="J70" s="44">
        <f>IF(A70="","",D70+F70)</f>
        <v/>
      </c>
      <c r="K70" s="15">
        <f>IF(A70="","",IFERROR(VLOOKUP(B70,'13_Ausgangsrechnungen'!$A$4:$S$400,19,FALSE),0))</f>
        <v/>
      </c>
    </row>
    <row r="71">
      <c r="A71" s="30" t="inlineStr"/>
      <c r="B71" s="30" t="inlineStr"/>
      <c r="C71" s="30" t="inlineStr"/>
      <c r="D71" s="38" t="inlineStr"/>
      <c r="E71" s="31" t="inlineStr"/>
      <c r="F71" s="31" t="inlineStr"/>
      <c r="G71" s="30" t="inlineStr"/>
      <c r="H71" s="30" t="inlineStr"/>
      <c r="I71" s="30" t="inlineStr"/>
      <c r="J71" s="44">
        <f>IF(A71="","",D71+F71)</f>
        <v/>
      </c>
      <c r="K71" s="15">
        <f>IF(A71="","",IFERROR(VLOOKUP(B71,'13_Ausgangsrechnungen'!$A$4:$S$400,19,FALSE),0))</f>
        <v/>
      </c>
    </row>
    <row r="72">
      <c r="A72" s="30" t="inlineStr"/>
      <c r="B72" s="30" t="inlineStr"/>
      <c r="C72" s="30" t="inlineStr"/>
      <c r="D72" s="38" t="inlineStr"/>
      <c r="E72" s="31" t="inlineStr"/>
      <c r="F72" s="31" t="inlineStr"/>
      <c r="G72" s="30" t="inlineStr"/>
      <c r="H72" s="30" t="inlineStr"/>
      <c r="I72" s="30" t="inlineStr"/>
      <c r="J72" s="44">
        <f>IF(A72="","",D72+F72)</f>
        <v/>
      </c>
      <c r="K72" s="15">
        <f>IF(A72="","",IFERROR(VLOOKUP(B72,'13_Ausgangsrechnungen'!$A$4:$S$400,19,FALSE),0))</f>
        <v/>
      </c>
    </row>
    <row r="73">
      <c r="A73" s="30" t="inlineStr"/>
      <c r="B73" s="30" t="inlineStr"/>
      <c r="C73" s="30" t="inlineStr"/>
      <c r="D73" s="38" t="inlineStr"/>
      <c r="E73" s="31" t="inlineStr"/>
      <c r="F73" s="31" t="inlineStr"/>
      <c r="G73" s="30" t="inlineStr"/>
      <c r="H73" s="30" t="inlineStr"/>
      <c r="I73" s="30" t="inlineStr"/>
      <c r="J73" s="44">
        <f>IF(A73="","",D73+F73)</f>
        <v/>
      </c>
      <c r="K73" s="15">
        <f>IF(A73="","",IFERROR(VLOOKUP(B73,'13_Ausgangsrechnungen'!$A$4:$S$400,19,FALSE),0))</f>
        <v/>
      </c>
    </row>
    <row r="74">
      <c r="A74" s="30" t="inlineStr"/>
      <c r="B74" s="30" t="inlineStr"/>
      <c r="C74" s="30" t="inlineStr"/>
      <c r="D74" s="38" t="inlineStr"/>
      <c r="E74" s="31" t="inlineStr"/>
      <c r="F74" s="31" t="inlineStr"/>
      <c r="G74" s="30" t="inlineStr"/>
      <c r="H74" s="30" t="inlineStr"/>
      <c r="I74" s="30" t="inlineStr"/>
      <c r="J74" s="44">
        <f>IF(A74="","",D74+F74)</f>
        <v/>
      </c>
      <c r="K74" s="15">
        <f>IF(A74="","",IFERROR(VLOOKUP(B74,'13_Ausgangsrechnungen'!$A$4:$S$400,19,FALSE),0))</f>
        <v/>
      </c>
    </row>
    <row r="75">
      <c r="A75" s="30" t="inlineStr"/>
      <c r="B75" s="30" t="inlineStr"/>
      <c r="C75" s="30" t="inlineStr"/>
      <c r="D75" s="38" t="inlineStr"/>
      <c r="E75" s="31" t="inlineStr"/>
      <c r="F75" s="31" t="inlineStr"/>
      <c r="G75" s="30" t="inlineStr"/>
      <c r="H75" s="30" t="inlineStr"/>
      <c r="I75" s="30" t="inlineStr"/>
      <c r="J75" s="44">
        <f>IF(A75="","",D75+F75)</f>
        <v/>
      </c>
      <c r="K75" s="15">
        <f>IF(A75="","",IFERROR(VLOOKUP(B75,'13_Ausgangsrechnungen'!$A$4:$S$400,19,FALSE),0))</f>
        <v/>
      </c>
    </row>
    <row r="76">
      <c r="A76" s="30" t="inlineStr"/>
      <c r="B76" s="30" t="inlineStr"/>
      <c r="C76" s="30" t="inlineStr"/>
      <c r="D76" s="38" t="inlineStr"/>
      <c r="E76" s="31" t="inlineStr"/>
      <c r="F76" s="31" t="inlineStr"/>
      <c r="G76" s="30" t="inlineStr"/>
      <c r="H76" s="30" t="inlineStr"/>
      <c r="I76" s="30" t="inlineStr"/>
      <c r="J76" s="44">
        <f>IF(A76="","",D76+F76)</f>
        <v/>
      </c>
      <c r="K76" s="15">
        <f>IF(A76="","",IFERROR(VLOOKUP(B76,'13_Ausgangsrechnungen'!$A$4:$S$400,19,FALSE),0))</f>
        <v/>
      </c>
    </row>
    <row r="77">
      <c r="A77" s="30" t="inlineStr"/>
      <c r="B77" s="30" t="inlineStr"/>
      <c r="C77" s="30" t="inlineStr"/>
      <c r="D77" s="38" t="inlineStr"/>
      <c r="E77" s="31" t="inlineStr"/>
      <c r="F77" s="31" t="inlineStr"/>
      <c r="G77" s="30" t="inlineStr"/>
      <c r="H77" s="30" t="inlineStr"/>
      <c r="I77" s="30" t="inlineStr"/>
      <c r="J77" s="44">
        <f>IF(A77="","",D77+F77)</f>
        <v/>
      </c>
      <c r="K77" s="15">
        <f>IF(A77="","",IFERROR(VLOOKUP(B77,'13_Ausgangsrechnungen'!$A$4:$S$400,19,FALSE),0))</f>
        <v/>
      </c>
    </row>
    <row r="78">
      <c r="A78" s="30" t="inlineStr"/>
      <c r="B78" s="30" t="inlineStr"/>
      <c r="C78" s="30" t="inlineStr"/>
      <c r="D78" s="38" t="inlineStr"/>
      <c r="E78" s="31" t="inlineStr"/>
      <c r="F78" s="31" t="inlineStr"/>
      <c r="G78" s="30" t="inlineStr"/>
      <c r="H78" s="30" t="inlineStr"/>
      <c r="I78" s="30" t="inlineStr"/>
      <c r="J78" s="44">
        <f>IF(A78="","",D78+F78)</f>
        <v/>
      </c>
      <c r="K78" s="15">
        <f>IF(A78="","",IFERROR(VLOOKUP(B78,'13_Ausgangsrechnungen'!$A$4:$S$400,19,FALSE),0))</f>
        <v/>
      </c>
    </row>
    <row r="79">
      <c r="A79" s="30" t="inlineStr"/>
      <c r="B79" s="30" t="inlineStr"/>
      <c r="C79" s="30" t="inlineStr"/>
      <c r="D79" s="38" t="inlineStr"/>
      <c r="E79" s="31" t="inlineStr"/>
      <c r="F79" s="31" t="inlineStr"/>
      <c r="G79" s="30" t="inlineStr"/>
      <c r="H79" s="30" t="inlineStr"/>
      <c r="I79" s="30" t="inlineStr"/>
      <c r="J79" s="44">
        <f>IF(A79="","",D79+F79)</f>
        <v/>
      </c>
      <c r="K79" s="15">
        <f>IF(A79="","",IFERROR(VLOOKUP(B79,'13_Ausgangsrechnungen'!$A$4:$S$400,19,FALSE),0))</f>
        <v/>
      </c>
    </row>
    <row r="80">
      <c r="A80" s="30" t="inlineStr"/>
      <c r="B80" s="30" t="inlineStr"/>
      <c r="C80" s="30" t="inlineStr"/>
      <c r="D80" s="38" t="inlineStr"/>
      <c r="E80" s="31" t="inlineStr"/>
      <c r="F80" s="31" t="inlineStr"/>
      <c r="G80" s="30" t="inlineStr"/>
      <c r="H80" s="30" t="inlineStr"/>
      <c r="I80" s="30" t="inlineStr"/>
      <c r="J80" s="44">
        <f>IF(A80="","",D80+F80)</f>
        <v/>
      </c>
      <c r="K80" s="15">
        <f>IF(A80="","",IFERROR(VLOOKUP(B80,'13_Ausgangsrechnungen'!$A$4:$S$400,19,FALSE),0))</f>
        <v/>
      </c>
    </row>
    <row r="81">
      <c r="A81" s="30" t="inlineStr"/>
      <c r="B81" s="30" t="inlineStr"/>
      <c r="C81" s="30" t="inlineStr"/>
      <c r="D81" s="38" t="inlineStr"/>
      <c r="E81" s="31" t="inlineStr"/>
      <c r="F81" s="31" t="inlineStr"/>
      <c r="G81" s="30" t="inlineStr"/>
      <c r="H81" s="30" t="inlineStr"/>
      <c r="I81" s="30" t="inlineStr"/>
      <c r="J81" s="44">
        <f>IF(A81="","",D81+F81)</f>
        <v/>
      </c>
      <c r="K81" s="15">
        <f>IF(A81="","",IFERROR(VLOOKUP(B81,'13_Ausgangsrechnungen'!$A$4:$S$400,19,FALSE),0))</f>
        <v/>
      </c>
    </row>
    <row r="82">
      <c r="A82" s="30" t="inlineStr"/>
      <c r="B82" s="30" t="inlineStr"/>
      <c r="C82" s="30" t="inlineStr"/>
      <c r="D82" s="38" t="inlineStr"/>
      <c r="E82" s="31" t="inlineStr"/>
      <c r="F82" s="31" t="inlineStr"/>
      <c r="G82" s="30" t="inlineStr"/>
      <c r="H82" s="30" t="inlineStr"/>
      <c r="I82" s="30" t="inlineStr"/>
      <c r="J82" s="44">
        <f>IF(A82="","",D82+F82)</f>
        <v/>
      </c>
      <c r="K82" s="15">
        <f>IF(A82="","",IFERROR(VLOOKUP(B82,'13_Ausgangsrechnungen'!$A$4:$S$400,19,FALSE),0))</f>
        <v/>
      </c>
    </row>
    <row r="83">
      <c r="A83" s="30" t="inlineStr"/>
      <c r="B83" s="30" t="inlineStr"/>
      <c r="C83" s="30" t="inlineStr"/>
      <c r="D83" s="38" t="inlineStr"/>
      <c r="E83" s="31" t="inlineStr"/>
      <c r="F83" s="31" t="inlineStr"/>
      <c r="G83" s="30" t="inlineStr"/>
      <c r="H83" s="30" t="inlineStr"/>
      <c r="I83" s="30" t="inlineStr"/>
      <c r="J83" s="44">
        <f>IF(A83="","",D83+F83)</f>
        <v/>
      </c>
      <c r="K83" s="15">
        <f>IF(A83="","",IFERROR(VLOOKUP(B83,'13_Ausgangsrechnungen'!$A$4:$S$400,19,FALSE),0))</f>
        <v/>
      </c>
    </row>
    <row r="84">
      <c r="A84" s="30" t="inlineStr"/>
      <c r="B84" s="30" t="inlineStr"/>
      <c r="C84" s="30" t="inlineStr"/>
      <c r="D84" s="38" t="inlineStr"/>
      <c r="E84" s="31" t="inlineStr"/>
      <c r="F84" s="31" t="inlineStr"/>
      <c r="G84" s="30" t="inlineStr"/>
      <c r="H84" s="30" t="inlineStr"/>
      <c r="I84" s="30" t="inlineStr"/>
      <c r="J84" s="44">
        <f>IF(A84="","",D84+F84)</f>
        <v/>
      </c>
      <c r="K84" s="15">
        <f>IF(A84="","",IFERROR(VLOOKUP(B84,'13_Ausgangsrechnungen'!$A$4:$S$400,19,FALSE),0))</f>
        <v/>
      </c>
    </row>
    <row r="85">
      <c r="A85" s="30" t="inlineStr"/>
      <c r="B85" s="30" t="inlineStr"/>
      <c r="C85" s="30" t="inlineStr"/>
      <c r="D85" s="38" t="inlineStr"/>
      <c r="E85" s="31" t="inlineStr"/>
      <c r="F85" s="31" t="inlineStr"/>
      <c r="G85" s="30" t="inlineStr"/>
      <c r="H85" s="30" t="inlineStr"/>
      <c r="I85" s="30" t="inlineStr"/>
      <c r="J85" s="44">
        <f>IF(A85="","",D85+F85)</f>
        <v/>
      </c>
      <c r="K85" s="15">
        <f>IF(A85="","",IFERROR(VLOOKUP(B85,'13_Ausgangsrechnungen'!$A$4:$S$400,19,FALSE),0))</f>
        <v/>
      </c>
    </row>
    <row r="86">
      <c r="A86" s="30" t="inlineStr"/>
      <c r="B86" s="30" t="inlineStr"/>
      <c r="C86" s="30" t="inlineStr"/>
      <c r="D86" s="38" t="inlineStr"/>
      <c r="E86" s="31" t="inlineStr"/>
      <c r="F86" s="31" t="inlineStr"/>
      <c r="G86" s="30" t="inlineStr"/>
      <c r="H86" s="30" t="inlineStr"/>
      <c r="I86" s="30" t="inlineStr"/>
      <c r="J86" s="44">
        <f>IF(A86="","",D86+F86)</f>
        <v/>
      </c>
      <c r="K86" s="15">
        <f>IF(A86="","",IFERROR(VLOOKUP(B86,'13_Ausgangsrechnungen'!$A$4:$S$400,19,FALSE),0))</f>
        <v/>
      </c>
    </row>
    <row r="87">
      <c r="A87" s="30" t="inlineStr"/>
      <c r="B87" s="30" t="inlineStr"/>
      <c r="C87" s="30" t="inlineStr"/>
      <c r="D87" s="38" t="inlineStr"/>
      <c r="E87" s="31" t="inlineStr"/>
      <c r="F87" s="31" t="inlineStr"/>
      <c r="G87" s="30" t="inlineStr"/>
      <c r="H87" s="30" t="inlineStr"/>
      <c r="I87" s="30" t="inlineStr"/>
      <c r="J87" s="44">
        <f>IF(A87="","",D87+F87)</f>
        <v/>
      </c>
      <c r="K87" s="15">
        <f>IF(A87="","",IFERROR(VLOOKUP(B87,'13_Ausgangsrechnungen'!$A$4:$S$400,19,FALSE),0))</f>
        <v/>
      </c>
    </row>
    <row r="88">
      <c r="A88" s="30" t="inlineStr"/>
      <c r="B88" s="30" t="inlineStr"/>
      <c r="C88" s="30" t="inlineStr"/>
      <c r="D88" s="38" t="inlineStr"/>
      <c r="E88" s="31" t="inlineStr"/>
      <c r="F88" s="31" t="inlineStr"/>
      <c r="G88" s="30" t="inlineStr"/>
      <c r="H88" s="30" t="inlineStr"/>
      <c r="I88" s="30" t="inlineStr"/>
      <c r="J88" s="44">
        <f>IF(A88="","",D88+F88)</f>
        <v/>
      </c>
      <c r="K88" s="15">
        <f>IF(A88="","",IFERROR(VLOOKUP(B88,'13_Ausgangsrechnungen'!$A$4:$S$400,19,FALSE),0))</f>
        <v/>
      </c>
    </row>
    <row r="89">
      <c r="A89" s="30" t="inlineStr"/>
      <c r="B89" s="30" t="inlineStr"/>
      <c r="C89" s="30" t="inlineStr"/>
      <c r="D89" s="38" t="inlineStr"/>
      <c r="E89" s="31" t="inlineStr"/>
      <c r="F89" s="31" t="inlineStr"/>
      <c r="G89" s="30" t="inlineStr"/>
      <c r="H89" s="30" t="inlineStr"/>
      <c r="I89" s="30" t="inlineStr"/>
      <c r="J89" s="44">
        <f>IF(A89="","",D89+F89)</f>
        <v/>
      </c>
      <c r="K89" s="15">
        <f>IF(A89="","",IFERROR(VLOOKUP(B89,'13_Ausgangsrechnungen'!$A$4:$S$400,19,FALSE),0))</f>
        <v/>
      </c>
    </row>
    <row r="90">
      <c r="A90" s="30" t="inlineStr"/>
      <c r="B90" s="30" t="inlineStr"/>
      <c r="C90" s="30" t="inlineStr"/>
      <c r="D90" s="38" t="inlineStr"/>
      <c r="E90" s="31" t="inlineStr"/>
      <c r="F90" s="31" t="inlineStr"/>
      <c r="G90" s="30" t="inlineStr"/>
      <c r="H90" s="30" t="inlineStr"/>
      <c r="I90" s="30" t="inlineStr"/>
      <c r="J90" s="44">
        <f>IF(A90="","",D90+F90)</f>
        <v/>
      </c>
      <c r="K90" s="15">
        <f>IF(A90="","",IFERROR(VLOOKUP(B90,'13_Ausgangsrechnungen'!$A$4:$S$400,19,FALSE),0))</f>
        <v/>
      </c>
    </row>
    <row r="91">
      <c r="A91" s="30" t="inlineStr"/>
      <c r="B91" s="30" t="inlineStr"/>
      <c r="C91" s="30" t="inlineStr"/>
      <c r="D91" s="38" t="inlineStr"/>
      <c r="E91" s="31" t="inlineStr"/>
      <c r="F91" s="31" t="inlineStr"/>
      <c r="G91" s="30" t="inlineStr"/>
      <c r="H91" s="30" t="inlineStr"/>
      <c r="I91" s="30" t="inlineStr"/>
      <c r="J91" s="44">
        <f>IF(A91="","",D91+F91)</f>
        <v/>
      </c>
      <c r="K91" s="15">
        <f>IF(A91="","",IFERROR(VLOOKUP(B91,'13_Ausgangsrechnungen'!$A$4:$S$400,19,FALSE),0))</f>
        <v/>
      </c>
    </row>
    <row r="92">
      <c r="A92" s="30" t="inlineStr"/>
      <c r="B92" s="30" t="inlineStr"/>
      <c r="C92" s="30" t="inlineStr"/>
      <c r="D92" s="38" t="inlineStr"/>
      <c r="E92" s="31" t="inlineStr"/>
      <c r="F92" s="31" t="inlineStr"/>
      <c r="G92" s="30" t="inlineStr"/>
      <c r="H92" s="30" t="inlineStr"/>
      <c r="I92" s="30" t="inlineStr"/>
      <c r="J92" s="44">
        <f>IF(A92="","",D92+F92)</f>
        <v/>
      </c>
      <c r="K92" s="15">
        <f>IF(A92="","",IFERROR(VLOOKUP(B92,'13_Ausgangsrechnungen'!$A$4:$S$400,19,FALSE),0))</f>
        <v/>
      </c>
    </row>
    <row r="93">
      <c r="A93" s="30" t="inlineStr"/>
      <c r="B93" s="30" t="inlineStr"/>
      <c r="C93" s="30" t="inlineStr"/>
      <c r="D93" s="38" t="inlineStr"/>
      <c r="E93" s="31" t="inlineStr"/>
      <c r="F93" s="31" t="inlineStr"/>
      <c r="G93" s="30" t="inlineStr"/>
      <c r="H93" s="30" t="inlineStr"/>
      <c r="I93" s="30" t="inlineStr"/>
      <c r="J93" s="44">
        <f>IF(A93="","",D93+F93)</f>
        <v/>
      </c>
      <c r="K93" s="15">
        <f>IF(A93="","",IFERROR(VLOOKUP(B93,'13_Ausgangsrechnungen'!$A$4:$S$400,19,FALSE),0))</f>
        <v/>
      </c>
    </row>
    <row r="94">
      <c r="A94" s="30" t="inlineStr"/>
      <c r="B94" s="30" t="inlineStr"/>
      <c r="C94" s="30" t="inlineStr"/>
      <c r="D94" s="38" t="inlineStr"/>
      <c r="E94" s="31" t="inlineStr"/>
      <c r="F94" s="31" t="inlineStr"/>
      <c r="G94" s="30" t="inlineStr"/>
      <c r="H94" s="30" t="inlineStr"/>
      <c r="I94" s="30" t="inlineStr"/>
      <c r="J94" s="44">
        <f>IF(A94="","",D94+F94)</f>
        <v/>
      </c>
      <c r="K94" s="15">
        <f>IF(A94="","",IFERROR(VLOOKUP(B94,'13_Ausgangsrechnungen'!$A$4:$S$400,19,FALSE),0))</f>
        <v/>
      </c>
    </row>
    <row r="95">
      <c r="A95" s="30" t="inlineStr"/>
      <c r="B95" s="30" t="inlineStr"/>
      <c r="C95" s="30" t="inlineStr"/>
      <c r="D95" s="38" t="inlineStr"/>
      <c r="E95" s="31" t="inlineStr"/>
      <c r="F95" s="31" t="inlineStr"/>
      <c r="G95" s="30" t="inlineStr"/>
      <c r="H95" s="30" t="inlineStr"/>
      <c r="I95" s="30" t="inlineStr"/>
      <c r="J95" s="44">
        <f>IF(A95="","",D95+F95)</f>
        <v/>
      </c>
      <c r="K95" s="15">
        <f>IF(A95="","",IFERROR(VLOOKUP(B95,'13_Ausgangsrechnungen'!$A$4:$S$400,19,FALSE),0))</f>
        <v/>
      </c>
    </row>
    <row r="96">
      <c r="A96" s="30" t="inlineStr"/>
      <c r="B96" s="30" t="inlineStr"/>
      <c r="C96" s="30" t="inlineStr"/>
      <c r="D96" s="38" t="inlineStr"/>
      <c r="E96" s="31" t="inlineStr"/>
      <c r="F96" s="31" t="inlineStr"/>
      <c r="G96" s="30" t="inlineStr"/>
      <c r="H96" s="30" t="inlineStr"/>
      <c r="I96" s="30" t="inlineStr"/>
      <c r="J96" s="44">
        <f>IF(A96="","",D96+F96)</f>
        <v/>
      </c>
      <c r="K96" s="15">
        <f>IF(A96="","",IFERROR(VLOOKUP(B96,'13_Ausgangsrechnungen'!$A$4:$S$400,19,FALSE),0))</f>
        <v/>
      </c>
    </row>
    <row r="97">
      <c r="A97" s="30" t="inlineStr"/>
      <c r="B97" s="30" t="inlineStr"/>
      <c r="C97" s="30" t="inlineStr"/>
      <c r="D97" s="38" t="inlineStr"/>
      <c r="E97" s="31" t="inlineStr"/>
      <c r="F97" s="31" t="inlineStr"/>
      <c r="G97" s="30" t="inlineStr"/>
      <c r="H97" s="30" t="inlineStr"/>
      <c r="I97" s="30" t="inlineStr"/>
      <c r="J97" s="44">
        <f>IF(A97="","",D97+F97)</f>
        <v/>
      </c>
      <c r="K97" s="15">
        <f>IF(A97="","",IFERROR(VLOOKUP(B97,'13_Ausgangsrechnungen'!$A$4:$S$400,19,FALSE),0))</f>
        <v/>
      </c>
    </row>
    <row r="98">
      <c r="A98" s="30" t="inlineStr"/>
      <c r="B98" s="30" t="inlineStr"/>
      <c r="C98" s="30" t="inlineStr"/>
      <c r="D98" s="38" t="inlineStr"/>
      <c r="E98" s="31" t="inlineStr"/>
      <c r="F98" s="31" t="inlineStr"/>
      <c r="G98" s="30" t="inlineStr"/>
      <c r="H98" s="30" t="inlineStr"/>
      <c r="I98" s="30" t="inlineStr"/>
      <c r="J98" s="44">
        <f>IF(A98="","",D98+F98)</f>
        <v/>
      </c>
      <c r="K98" s="15">
        <f>IF(A98="","",IFERROR(VLOOKUP(B98,'13_Ausgangsrechnungen'!$A$4:$S$400,19,FALSE),0))</f>
        <v/>
      </c>
    </row>
    <row r="99">
      <c r="A99" s="30" t="inlineStr"/>
      <c r="B99" s="30" t="inlineStr"/>
      <c r="C99" s="30" t="inlineStr"/>
      <c r="D99" s="38" t="inlineStr"/>
      <c r="E99" s="31" t="inlineStr"/>
      <c r="F99" s="31" t="inlineStr"/>
      <c r="G99" s="30" t="inlineStr"/>
      <c r="H99" s="30" t="inlineStr"/>
      <c r="I99" s="30" t="inlineStr"/>
      <c r="J99" s="44">
        <f>IF(A99="","",D99+F99)</f>
        <v/>
      </c>
      <c r="K99" s="15">
        <f>IF(A99="","",IFERROR(VLOOKUP(B99,'13_Ausgangsrechnungen'!$A$4:$S$400,19,FALSE),0))</f>
        <v/>
      </c>
    </row>
    <row r="100">
      <c r="A100" s="30" t="inlineStr"/>
      <c r="B100" s="30" t="inlineStr"/>
      <c r="C100" s="30" t="inlineStr"/>
      <c r="D100" s="38" t="inlineStr"/>
      <c r="E100" s="31" t="inlineStr"/>
      <c r="F100" s="31" t="inlineStr"/>
      <c r="G100" s="30" t="inlineStr"/>
      <c r="H100" s="30" t="inlineStr"/>
      <c r="I100" s="30" t="inlineStr"/>
      <c r="J100" s="44">
        <f>IF(A100="","",D100+F100)</f>
        <v/>
      </c>
      <c r="K100" s="15">
        <f>IF(A100="","",IFERROR(VLOOKUP(B100,'13_Ausgangsrechnungen'!$A$4:$S$400,19,FALSE),0))</f>
        <v/>
      </c>
    </row>
    <row r="101">
      <c r="A101" s="30" t="inlineStr"/>
      <c r="B101" s="30" t="inlineStr"/>
      <c r="C101" s="30" t="inlineStr"/>
      <c r="D101" s="38" t="inlineStr"/>
      <c r="E101" s="31" t="inlineStr"/>
      <c r="F101" s="31" t="inlineStr"/>
      <c r="G101" s="30" t="inlineStr"/>
      <c r="H101" s="30" t="inlineStr"/>
      <c r="I101" s="30" t="inlineStr"/>
      <c r="J101" s="44">
        <f>IF(A101="","",D101+F101)</f>
        <v/>
      </c>
      <c r="K101" s="15">
        <f>IF(A101="","",IFERROR(VLOOKUP(B101,'13_Ausgangsrechnungen'!$A$4:$S$400,19,FALSE),0))</f>
        <v/>
      </c>
    </row>
    <row r="102">
      <c r="A102" s="30" t="inlineStr"/>
      <c r="B102" s="30" t="inlineStr"/>
      <c r="C102" s="30" t="inlineStr"/>
      <c r="D102" s="38" t="inlineStr"/>
      <c r="E102" s="31" t="inlineStr"/>
      <c r="F102" s="31" t="inlineStr"/>
      <c r="G102" s="30" t="inlineStr"/>
      <c r="H102" s="30" t="inlineStr"/>
      <c r="I102" s="30" t="inlineStr"/>
      <c r="J102" s="44">
        <f>IF(A102="","",D102+F102)</f>
        <v/>
      </c>
      <c r="K102" s="15">
        <f>IF(A102="","",IFERROR(VLOOKUP(B102,'13_Ausgangsrechnungen'!$A$4:$S$400,19,FALSE),0))</f>
        <v/>
      </c>
    </row>
    <row r="103">
      <c r="A103" s="30" t="inlineStr"/>
      <c r="B103" s="30" t="inlineStr"/>
      <c r="C103" s="30" t="inlineStr"/>
      <c r="D103" s="38" t="inlineStr"/>
      <c r="E103" s="31" t="inlineStr"/>
      <c r="F103" s="31" t="inlineStr"/>
      <c r="G103" s="30" t="inlineStr"/>
      <c r="H103" s="30" t="inlineStr"/>
      <c r="I103" s="30" t="inlineStr"/>
      <c r="J103" s="44">
        <f>IF(A103="","",D103+F103)</f>
        <v/>
      </c>
      <c r="K103" s="15">
        <f>IF(A103="","",IFERROR(VLOOKUP(B103,'13_Ausgangsrechnungen'!$A$4:$S$400,19,FALSE),0))</f>
        <v/>
      </c>
    </row>
    <row r="104">
      <c r="A104" s="30" t="inlineStr"/>
      <c r="B104" s="30" t="inlineStr"/>
      <c r="C104" s="30" t="inlineStr"/>
      <c r="D104" s="38" t="inlineStr"/>
      <c r="E104" s="31" t="inlineStr"/>
      <c r="F104" s="31" t="inlineStr"/>
      <c r="G104" s="30" t="inlineStr"/>
      <c r="H104" s="30" t="inlineStr"/>
      <c r="I104" s="30" t="inlineStr"/>
      <c r="J104" s="44">
        <f>IF(A104="","",D104+F104)</f>
        <v/>
      </c>
      <c r="K104" s="15">
        <f>IF(A104="","",IFERROR(VLOOKUP(B104,'13_Ausgangsrechnungen'!$A$4:$S$400,19,FALSE),0))</f>
        <v/>
      </c>
    </row>
    <row r="105">
      <c r="A105" s="30" t="inlineStr"/>
      <c r="B105" s="30" t="inlineStr"/>
      <c r="C105" s="30" t="inlineStr"/>
      <c r="D105" s="38" t="inlineStr"/>
      <c r="E105" s="31" t="inlineStr"/>
      <c r="F105" s="31" t="inlineStr"/>
      <c r="G105" s="30" t="inlineStr"/>
      <c r="H105" s="30" t="inlineStr"/>
      <c r="I105" s="30" t="inlineStr"/>
      <c r="J105" s="44">
        <f>IF(A105="","",D105+F105)</f>
        <v/>
      </c>
      <c r="K105" s="15">
        <f>IF(A105="","",IFERROR(VLOOKUP(B105,'13_Ausgangsrechnungen'!$A$4:$S$400,19,FALSE),0))</f>
        <v/>
      </c>
    </row>
    <row r="106">
      <c r="A106" s="30" t="inlineStr"/>
      <c r="B106" s="30" t="inlineStr"/>
      <c r="C106" s="30" t="inlineStr"/>
      <c r="D106" s="38" t="inlineStr"/>
      <c r="E106" s="31" t="inlineStr"/>
      <c r="F106" s="31" t="inlineStr"/>
      <c r="G106" s="30" t="inlineStr"/>
      <c r="H106" s="30" t="inlineStr"/>
      <c r="I106" s="30" t="inlineStr"/>
      <c r="J106" s="44">
        <f>IF(A106="","",D106+F106)</f>
        <v/>
      </c>
      <c r="K106" s="15">
        <f>IF(A106="","",IFERROR(VLOOKUP(B106,'13_Ausgangsrechnungen'!$A$4:$S$400,19,FALSE),0))</f>
        <v/>
      </c>
    </row>
    <row r="107">
      <c r="A107" s="30" t="inlineStr"/>
      <c r="B107" s="30" t="inlineStr"/>
      <c r="C107" s="30" t="inlineStr"/>
      <c r="D107" s="38" t="inlineStr"/>
      <c r="E107" s="31" t="inlineStr"/>
      <c r="F107" s="31" t="inlineStr"/>
      <c r="G107" s="30" t="inlineStr"/>
      <c r="H107" s="30" t="inlineStr"/>
      <c r="I107" s="30" t="inlineStr"/>
      <c r="J107" s="44">
        <f>IF(A107="","",D107+F107)</f>
        <v/>
      </c>
      <c r="K107" s="15">
        <f>IF(A107="","",IFERROR(VLOOKUP(B107,'13_Ausgangsrechnungen'!$A$4:$S$400,19,FALSE),0))</f>
        <v/>
      </c>
    </row>
    <row r="108">
      <c r="A108" s="30" t="inlineStr"/>
      <c r="B108" s="30" t="inlineStr"/>
      <c r="C108" s="30" t="inlineStr"/>
      <c r="D108" s="38" t="inlineStr"/>
      <c r="E108" s="31" t="inlineStr"/>
      <c r="F108" s="31" t="inlineStr"/>
      <c r="G108" s="30" t="inlineStr"/>
      <c r="H108" s="30" t="inlineStr"/>
      <c r="I108" s="30" t="inlineStr"/>
      <c r="J108" s="44">
        <f>IF(A108="","",D108+F108)</f>
        <v/>
      </c>
      <c r="K108" s="15">
        <f>IF(A108="","",IFERROR(VLOOKUP(B108,'13_Ausgangsrechnungen'!$A$4:$S$400,19,FALSE),0))</f>
        <v/>
      </c>
    </row>
    <row r="109">
      <c r="A109" s="30" t="inlineStr"/>
      <c r="B109" s="30" t="inlineStr"/>
      <c r="C109" s="30" t="inlineStr"/>
      <c r="D109" s="38" t="inlineStr"/>
      <c r="E109" s="31" t="inlineStr"/>
      <c r="F109" s="31" t="inlineStr"/>
      <c r="G109" s="30" t="inlineStr"/>
      <c r="H109" s="30" t="inlineStr"/>
      <c r="I109" s="30" t="inlineStr"/>
      <c r="J109" s="44">
        <f>IF(A109="","",D109+F109)</f>
        <v/>
      </c>
      <c r="K109" s="15">
        <f>IF(A109="","",IFERROR(VLOOKUP(B109,'13_Ausgangsrechnungen'!$A$4:$S$400,19,FALSE),0))</f>
        <v/>
      </c>
    </row>
    <row r="110">
      <c r="A110" s="30" t="inlineStr"/>
      <c r="B110" s="30" t="inlineStr"/>
      <c r="C110" s="30" t="inlineStr"/>
      <c r="D110" s="38" t="inlineStr"/>
      <c r="E110" s="31" t="inlineStr"/>
      <c r="F110" s="31" t="inlineStr"/>
      <c r="G110" s="30" t="inlineStr"/>
      <c r="H110" s="30" t="inlineStr"/>
      <c r="I110" s="30" t="inlineStr"/>
      <c r="J110" s="44">
        <f>IF(A110="","",D110+F110)</f>
        <v/>
      </c>
      <c r="K110" s="15">
        <f>IF(A110="","",IFERROR(VLOOKUP(B110,'13_Ausgangsrechnungen'!$A$4:$S$400,19,FALSE),0))</f>
        <v/>
      </c>
    </row>
    <row r="111">
      <c r="A111" s="30" t="inlineStr"/>
      <c r="B111" s="30" t="inlineStr"/>
      <c r="C111" s="30" t="inlineStr"/>
      <c r="D111" s="38" t="inlineStr"/>
      <c r="E111" s="31" t="inlineStr"/>
      <c r="F111" s="31" t="inlineStr"/>
      <c r="G111" s="30" t="inlineStr"/>
      <c r="H111" s="30" t="inlineStr"/>
      <c r="I111" s="30" t="inlineStr"/>
      <c r="J111" s="44">
        <f>IF(A111="","",D111+F111)</f>
        <v/>
      </c>
      <c r="K111" s="15">
        <f>IF(A111="","",IFERROR(VLOOKUP(B111,'13_Ausgangsrechnungen'!$A$4:$S$400,19,FALSE),0))</f>
        <v/>
      </c>
    </row>
    <row r="112">
      <c r="A112" s="30" t="inlineStr"/>
      <c r="B112" s="30" t="inlineStr"/>
      <c r="C112" s="30" t="inlineStr"/>
      <c r="D112" s="38" t="inlineStr"/>
      <c r="E112" s="31" t="inlineStr"/>
      <c r="F112" s="31" t="inlineStr"/>
      <c r="G112" s="30" t="inlineStr"/>
      <c r="H112" s="30" t="inlineStr"/>
      <c r="I112" s="30" t="inlineStr"/>
      <c r="J112" s="44">
        <f>IF(A112="","",D112+F112)</f>
        <v/>
      </c>
      <c r="K112" s="15">
        <f>IF(A112="","",IFERROR(VLOOKUP(B112,'13_Ausgangsrechnungen'!$A$4:$S$400,19,FALSE),0))</f>
        <v/>
      </c>
    </row>
    <row r="113">
      <c r="A113" s="30" t="inlineStr"/>
      <c r="B113" s="30" t="inlineStr"/>
      <c r="C113" s="30" t="inlineStr"/>
      <c r="D113" s="38" t="inlineStr"/>
      <c r="E113" s="31" t="inlineStr"/>
      <c r="F113" s="31" t="inlineStr"/>
      <c r="G113" s="30" t="inlineStr"/>
      <c r="H113" s="30" t="inlineStr"/>
      <c r="I113" s="30" t="inlineStr"/>
      <c r="J113" s="44">
        <f>IF(A113="","",D113+F113)</f>
        <v/>
      </c>
      <c r="K113" s="15">
        <f>IF(A113="","",IFERROR(VLOOKUP(B113,'13_Ausgangsrechnungen'!$A$4:$S$400,19,FALSE),0))</f>
        <v/>
      </c>
    </row>
    <row r="114">
      <c r="A114" s="30" t="inlineStr"/>
      <c r="B114" s="30" t="inlineStr"/>
      <c r="C114" s="30" t="inlineStr"/>
      <c r="D114" s="38" t="inlineStr"/>
      <c r="E114" s="31" t="inlineStr"/>
      <c r="F114" s="31" t="inlineStr"/>
      <c r="G114" s="30" t="inlineStr"/>
      <c r="H114" s="30" t="inlineStr"/>
      <c r="I114" s="30" t="inlineStr"/>
      <c r="J114" s="44">
        <f>IF(A114="","",D114+F114)</f>
        <v/>
      </c>
      <c r="K114" s="15">
        <f>IF(A114="","",IFERROR(VLOOKUP(B114,'13_Ausgangsrechnungen'!$A$4:$S$400,19,FALSE),0))</f>
        <v/>
      </c>
    </row>
    <row r="115">
      <c r="A115" s="30" t="inlineStr"/>
      <c r="B115" s="30" t="inlineStr"/>
      <c r="C115" s="30" t="inlineStr"/>
      <c r="D115" s="38" t="inlineStr"/>
      <c r="E115" s="31" t="inlineStr"/>
      <c r="F115" s="31" t="inlineStr"/>
      <c r="G115" s="30" t="inlineStr"/>
      <c r="H115" s="30" t="inlineStr"/>
      <c r="I115" s="30" t="inlineStr"/>
      <c r="J115" s="44">
        <f>IF(A115="","",D115+F115)</f>
        <v/>
      </c>
      <c r="K115" s="15">
        <f>IF(A115="","",IFERROR(VLOOKUP(B115,'13_Ausgangsrechnungen'!$A$4:$S$400,19,FALSE),0))</f>
        <v/>
      </c>
    </row>
    <row r="116">
      <c r="A116" s="30" t="inlineStr"/>
      <c r="B116" s="30" t="inlineStr"/>
      <c r="C116" s="30" t="inlineStr"/>
      <c r="D116" s="38" t="inlineStr"/>
      <c r="E116" s="31" t="inlineStr"/>
      <c r="F116" s="31" t="inlineStr"/>
      <c r="G116" s="30" t="inlineStr"/>
      <c r="H116" s="30" t="inlineStr"/>
      <c r="I116" s="30" t="inlineStr"/>
      <c r="J116" s="44">
        <f>IF(A116="","",D116+F116)</f>
        <v/>
      </c>
      <c r="K116" s="15">
        <f>IF(A116="","",IFERROR(VLOOKUP(B116,'13_Ausgangsrechnungen'!$A$4:$S$400,19,FALSE),0))</f>
        <v/>
      </c>
    </row>
    <row r="117">
      <c r="A117" s="30" t="inlineStr"/>
      <c r="B117" s="30" t="inlineStr"/>
      <c r="C117" s="30" t="inlineStr"/>
      <c r="D117" s="38" t="inlineStr"/>
      <c r="E117" s="31" t="inlineStr"/>
      <c r="F117" s="31" t="inlineStr"/>
      <c r="G117" s="30" t="inlineStr"/>
      <c r="H117" s="30" t="inlineStr"/>
      <c r="I117" s="30" t="inlineStr"/>
      <c r="J117" s="44">
        <f>IF(A117="","",D117+F117)</f>
        <v/>
      </c>
      <c r="K117" s="15">
        <f>IF(A117="","",IFERROR(VLOOKUP(B117,'13_Ausgangsrechnungen'!$A$4:$S$400,19,FALSE),0))</f>
        <v/>
      </c>
    </row>
    <row r="118">
      <c r="A118" s="30" t="inlineStr"/>
      <c r="B118" s="30" t="inlineStr"/>
      <c r="C118" s="30" t="inlineStr"/>
      <c r="D118" s="38" t="inlineStr"/>
      <c r="E118" s="31" t="inlineStr"/>
      <c r="F118" s="31" t="inlineStr"/>
      <c r="G118" s="30" t="inlineStr"/>
      <c r="H118" s="30" t="inlineStr"/>
      <c r="I118" s="30" t="inlineStr"/>
      <c r="J118" s="44">
        <f>IF(A118="","",D118+F118)</f>
        <v/>
      </c>
      <c r="K118" s="15">
        <f>IF(A118="","",IFERROR(VLOOKUP(B118,'13_Ausgangsrechnungen'!$A$4:$S$400,19,FALSE),0))</f>
        <v/>
      </c>
    </row>
    <row r="119">
      <c r="A119" s="30" t="inlineStr"/>
      <c r="B119" s="30" t="inlineStr"/>
      <c r="C119" s="30" t="inlineStr"/>
      <c r="D119" s="38" t="inlineStr"/>
      <c r="E119" s="31" t="inlineStr"/>
      <c r="F119" s="31" t="inlineStr"/>
      <c r="G119" s="30" t="inlineStr"/>
      <c r="H119" s="30" t="inlineStr"/>
      <c r="I119" s="30" t="inlineStr"/>
      <c r="J119" s="44">
        <f>IF(A119="","",D119+F119)</f>
        <v/>
      </c>
      <c r="K119" s="15">
        <f>IF(A119="","",IFERROR(VLOOKUP(B119,'13_Ausgangsrechnungen'!$A$4:$S$400,19,FALSE),0))</f>
        <v/>
      </c>
    </row>
    <row r="120">
      <c r="A120" s="30" t="inlineStr"/>
      <c r="B120" s="30" t="inlineStr"/>
      <c r="C120" s="30" t="inlineStr"/>
      <c r="D120" s="38" t="inlineStr"/>
      <c r="E120" s="31" t="inlineStr"/>
      <c r="F120" s="31" t="inlineStr"/>
      <c r="G120" s="30" t="inlineStr"/>
      <c r="H120" s="30" t="inlineStr"/>
      <c r="I120" s="30" t="inlineStr"/>
      <c r="J120" s="44">
        <f>IF(A120="","",D120+F120)</f>
        <v/>
      </c>
      <c r="K120" s="15">
        <f>IF(A120="","",IFERROR(VLOOKUP(B120,'13_Ausgangsrechnungen'!$A$4:$S$400,19,FALSE),0))</f>
        <v/>
      </c>
    </row>
    <row r="121">
      <c r="A121" s="30" t="inlineStr"/>
      <c r="B121" s="30" t="inlineStr"/>
      <c r="C121" s="30" t="inlineStr"/>
      <c r="D121" s="38" t="inlineStr"/>
      <c r="E121" s="31" t="inlineStr"/>
      <c r="F121" s="31" t="inlineStr"/>
      <c r="G121" s="30" t="inlineStr"/>
      <c r="H121" s="30" t="inlineStr"/>
      <c r="I121" s="30" t="inlineStr"/>
      <c r="J121" s="44">
        <f>IF(A121="","",D121+F121)</f>
        <v/>
      </c>
      <c r="K121" s="15">
        <f>IF(A121="","",IFERROR(VLOOKUP(B121,'13_Ausgangsrechnungen'!$A$4:$S$400,19,FALSE),0))</f>
        <v/>
      </c>
    </row>
    <row r="122">
      <c r="A122" s="30" t="inlineStr"/>
      <c r="B122" s="30" t="inlineStr"/>
      <c r="C122" s="30" t="inlineStr"/>
      <c r="D122" s="38" t="inlineStr"/>
      <c r="E122" s="31" t="inlineStr"/>
      <c r="F122" s="31" t="inlineStr"/>
      <c r="G122" s="30" t="inlineStr"/>
      <c r="H122" s="30" t="inlineStr"/>
      <c r="I122" s="30" t="inlineStr"/>
      <c r="J122" s="44">
        <f>IF(A122="","",D122+F122)</f>
        <v/>
      </c>
      <c r="K122" s="15">
        <f>IF(A122="","",IFERROR(VLOOKUP(B122,'13_Ausgangsrechnungen'!$A$4:$S$400,19,FALSE),0))</f>
        <v/>
      </c>
    </row>
    <row r="123">
      <c r="A123" s="30" t="inlineStr"/>
      <c r="B123" s="30" t="inlineStr"/>
      <c r="C123" s="30" t="inlineStr"/>
      <c r="D123" s="38" t="inlineStr"/>
      <c r="E123" s="31" t="inlineStr"/>
      <c r="F123" s="31" t="inlineStr"/>
      <c r="G123" s="30" t="inlineStr"/>
      <c r="H123" s="30" t="inlineStr"/>
      <c r="I123" s="30" t="inlineStr"/>
      <c r="J123" s="44">
        <f>IF(A123="","",D123+F123)</f>
        <v/>
      </c>
      <c r="K123" s="15">
        <f>IF(A123="","",IFERROR(VLOOKUP(B123,'13_Ausgangsrechnungen'!$A$4:$S$400,19,FALSE),0))</f>
        <v/>
      </c>
    </row>
    <row r="124">
      <c r="A124" s="30" t="inlineStr"/>
      <c r="B124" s="30" t="inlineStr"/>
      <c r="C124" s="30" t="inlineStr"/>
      <c r="D124" s="38" t="inlineStr"/>
      <c r="E124" s="31" t="inlineStr"/>
      <c r="F124" s="31" t="inlineStr"/>
      <c r="G124" s="30" t="inlineStr"/>
      <c r="H124" s="30" t="inlineStr"/>
      <c r="I124" s="30" t="inlineStr"/>
      <c r="J124" s="44">
        <f>IF(A124="","",D124+F124)</f>
        <v/>
      </c>
      <c r="K124" s="15">
        <f>IF(A124="","",IFERROR(VLOOKUP(B124,'13_Ausgangsrechnungen'!$A$4:$S$400,19,FALSE),0))</f>
        <v/>
      </c>
    </row>
    <row r="125">
      <c r="A125" s="30" t="inlineStr"/>
      <c r="B125" s="30" t="inlineStr"/>
      <c r="C125" s="30" t="inlineStr"/>
      <c r="D125" s="38" t="inlineStr"/>
      <c r="E125" s="31" t="inlineStr"/>
      <c r="F125" s="31" t="inlineStr"/>
      <c r="G125" s="30" t="inlineStr"/>
      <c r="H125" s="30" t="inlineStr"/>
      <c r="I125" s="30" t="inlineStr"/>
      <c r="J125" s="44">
        <f>IF(A125="","",D125+F125)</f>
        <v/>
      </c>
      <c r="K125" s="15">
        <f>IF(A125="","",IFERROR(VLOOKUP(B125,'13_Ausgangsrechnungen'!$A$4:$S$400,19,FALSE),0))</f>
        <v/>
      </c>
    </row>
    <row r="126">
      <c r="A126" s="30" t="inlineStr"/>
      <c r="B126" s="30" t="inlineStr"/>
      <c r="C126" s="30" t="inlineStr"/>
      <c r="D126" s="38" t="inlineStr"/>
      <c r="E126" s="31" t="inlineStr"/>
      <c r="F126" s="31" t="inlineStr"/>
      <c r="G126" s="30" t="inlineStr"/>
      <c r="H126" s="30" t="inlineStr"/>
      <c r="I126" s="30" t="inlineStr"/>
      <c r="J126" s="44">
        <f>IF(A126="","",D126+F126)</f>
        <v/>
      </c>
      <c r="K126" s="15">
        <f>IF(A126="","",IFERROR(VLOOKUP(B126,'13_Ausgangsrechnungen'!$A$4:$S$400,19,FALSE),0))</f>
        <v/>
      </c>
    </row>
    <row r="127">
      <c r="A127" s="30" t="inlineStr"/>
      <c r="B127" s="30" t="inlineStr"/>
      <c r="C127" s="30" t="inlineStr"/>
      <c r="D127" s="38" t="inlineStr"/>
      <c r="E127" s="31" t="inlineStr"/>
      <c r="F127" s="31" t="inlineStr"/>
      <c r="G127" s="30" t="inlineStr"/>
      <c r="H127" s="30" t="inlineStr"/>
      <c r="I127" s="30" t="inlineStr"/>
      <c r="J127" s="44">
        <f>IF(A127="","",D127+F127)</f>
        <v/>
      </c>
      <c r="K127" s="15">
        <f>IF(A127="","",IFERROR(VLOOKUP(B127,'13_Ausgangsrechnungen'!$A$4:$S$400,19,FALSE),0))</f>
        <v/>
      </c>
    </row>
    <row r="128">
      <c r="A128" s="30" t="inlineStr"/>
      <c r="B128" s="30" t="inlineStr"/>
      <c r="C128" s="30" t="inlineStr"/>
      <c r="D128" s="38" t="inlineStr"/>
      <c r="E128" s="31" t="inlineStr"/>
      <c r="F128" s="31" t="inlineStr"/>
      <c r="G128" s="30" t="inlineStr"/>
      <c r="H128" s="30" t="inlineStr"/>
      <c r="I128" s="30" t="inlineStr"/>
      <c r="J128" s="44">
        <f>IF(A128="","",D128+F128)</f>
        <v/>
      </c>
      <c r="K128" s="15">
        <f>IF(A128="","",IFERROR(VLOOKUP(B128,'13_Ausgangsrechnungen'!$A$4:$S$400,19,FALSE),0))</f>
        <v/>
      </c>
    </row>
    <row r="129">
      <c r="A129" s="30" t="inlineStr"/>
      <c r="B129" s="30" t="inlineStr"/>
      <c r="C129" s="30" t="inlineStr"/>
      <c r="D129" s="38" t="inlineStr"/>
      <c r="E129" s="31" t="inlineStr"/>
      <c r="F129" s="31" t="inlineStr"/>
      <c r="G129" s="30" t="inlineStr"/>
      <c r="H129" s="30" t="inlineStr"/>
      <c r="I129" s="30" t="inlineStr"/>
      <c r="J129" s="44">
        <f>IF(A129="","",D129+F129)</f>
        <v/>
      </c>
      <c r="K129" s="15">
        <f>IF(A129="","",IFERROR(VLOOKUP(B129,'13_Ausgangsrechnungen'!$A$4:$S$400,19,FALSE),0))</f>
        <v/>
      </c>
    </row>
    <row r="130">
      <c r="A130" s="30" t="inlineStr"/>
      <c r="B130" s="30" t="inlineStr"/>
      <c r="C130" s="30" t="inlineStr"/>
      <c r="D130" s="38" t="inlineStr"/>
      <c r="E130" s="31" t="inlineStr"/>
      <c r="F130" s="31" t="inlineStr"/>
      <c r="G130" s="30" t="inlineStr"/>
      <c r="H130" s="30" t="inlineStr"/>
      <c r="I130" s="30" t="inlineStr"/>
      <c r="J130" s="44">
        <f>IF(A130="","",D130+F130)</f>
        <v/>
      </c>
      <c r="K130" s="15">
        <f>IF(A130="","",IFERROR(VLOOKUP(B130,'13_Ausgangsrechnungen'!$A$4:$S$400,19,FALSE),0))</f>
        <v/>
      </c>
    </row>
    <row r="131">
      <c r="A131" s="30" t="inlineStr"/>
      <c r="B131" s="30" t="inlineStr"/>
      <c r="C131" s="30" t="inlineStr"/>
      <c r="D131" s="38" t="inlineStr"/>
      <c r="E131" s="31" t="inlineStr"/>
      <c r="F131" s="31" t="inlineStr"/>
      <c r="G131" s="30" t="inlineStr"/>
      <c r="H131" s="30" t="inlineStr"/>
      <c r="I131" s="30" t="inlineStr"/>
      <c r="J131" s="44">
        <f>IF(A131="","",D131+F131)</f>
        <v/>
      </c>
      <c r="K131" s="15">
        <f>IF(A131="","",IFERROR(VLOOKUP(B131,'13_Ausgangsrechnungen'!$A$4:$S$400,19,FALSE),0))</f>
        <v/>
      </c>
    </row>
    <row r="132">
      <c r="A132" s="30" t="inlineStr"/>
      <c r="B132" s="30" t="inlineStr"/>
      <c r="C132" s="30" t="inlineStr"/>
      <c r="D132" s="38" t="inlineStr"/>
      <c r="E132" s="31" t="inlineStr"/>
      <c r="F132" s="31" t="inlineStr"/>
      <c r="G132" s="30" t="inlineStr"/>
      <c r="H132" s="30" t="inlineStr"/>
      <c r="I132" s="30" t="inlineStr"/>
      <c r="J132" s="44">
        <f>IF(A132="","",D132+F132)</f>
        <v/>
      </c>
      <c r="K132" s="15">
        <f>IF(A132="","",IFERROR(VLOOKUP(B132,'13_Ausgangsrechnungen'!$A$4:$S$400,19,FALSE),0))</f>
        <v/>
      </c>
    </row>
    <row r="133">
      <c r="A133" s="30" t="inlineStr"/>
      <c r="B133" s="30" t="inlineStr"/>
      <c r="C133" s="30" t="inlineStr"/>
      <c r="D133" s="38" t="inlineStr"/>
      <c r="E133" s="31" t="inlineStr"/>
      <c r="F133" s="31" t="inlineStr"/>
      <c r="G133" s="30" t="inlineStr"/>
      <c r="H133" s="30" t="inlineStr"/>
      <c r="I133" s="30" t="inlineStr"/>
      <c r="J133" s="44">
        <f>IF(A133="","",D133+F133)</f>
        <v/>
      </c>
      <c r="K133" s="15">
        <f>IF(A133="","",IFERROR(VLOOKUP(B133,'13_Ausgangsrechnungen'!$A$4:$S$400,19,FALSE),0))</f>
        <v/>
      </c>
    </row>
    <row r="134">
      <c r="A134" s="30" t="inlineStr"/>
      <c r="B134" s="30" t="inlineStr"/>
      <c r="C134" s="30" t="inlineStr"/>
      <c r="D134" s="38" t="inlineStr"/>
      <c r="E134" s="31" t="inlineStr"/>
      <c r="F134" s="31" t="inlineStr"/>
      <c r="G134" s="30" t="inlineStr"/>
      <c r="H134" s="30" t="inlineStr"/>
      <c r="I134" s="30" t="inlineStr"/>
      <c r="J134" s="44">
        <f>IF(A134="","",D134+F134)</f>
        <v/>
      </c>
      <c r="K134" s="15">
        <f>IF(A134="","",IFERROR(VLOOKUP(B134,'13_Ausgangsrechnungen'!$A$4:$S$400,19,FALSE),0))</f>
        <v/>
      </c>
    </row>
    <row r="135">
      <c r="A135" s="30" t="inlineStr"/>
      <c r="B135" s="30" t="inlineStr"/>
      <c r="C135" s="30" t="inlineStr"/>
      <c r="D135" s="38" t="inlineStr"/>
      <c r="E135" s="31" t="inlineStr"/>
      <c r="F135" s="31" t="inlineStr"/>
      <c r="G135" s="30" t="inlineStr"/>
      <c r="H135" s="30" t="inlineStr"/>
      <c r="I135" s="30" t="inlineStr"/>
      <c r="J135" s="44">
        <f>IF(A135="","",D135+F135)</f>
        <v/>
      </c>
      <c r="K135" s="15">
        <f>IF(A135="","",IFERROR(VLOOKUP(B135,'13_Ausgangsrechnungen'!$A$4:$S$400,19,FALSE),0))</f>
        <v/>
      </c>
    </row>
    <row r="136">
      <c r="A136" s="30" t="inlineStr"/>
      <c r="B136" s="30" t="inlineStr"/>
      <c r="C136" s="30" t="inlineStr"/>
      <c r="D136" s="38" t="inlineStr"/>
      <c r="E136" s="31" t="inlineStr"/>
      <c r="F136" s="31" t="inlineStr"/>
      <c r="G136" s="30" t="inlineStr"/>
      <c r="H136" s="30" t="inlineStr"/>
      <c r="I136" s="30" t="inlineStr"/>
      <c r="J136" s="44">
        <f>IF(A136="","",D136+F136)</f>
        <v/>
      </c>
      <c r="K136" s="15">
        <f>IF(A136="","",IFERROR(VLOOKUP(B136,'13_Ausgangsrechnungen'!$A$4:$S$400,19,FALSE),0))</f>
        <v/>
      </c>
    </row>
    <row r="137">
      <c r="A137" s="30" t="inlineStr"/>
      <c r="B137" s="30" t="inlineStr"/>
      <c r="C137" s="30" t="inlineStr"/>
      <c r="D137" s="38" t="inlineStr"/>
      <c r="E137" s="31" t="inlineStr"/>
      <c r="F137" s="31" t="inlineStr"/>
      <c r="G137" s="30" t="inlineStr"/>
      <c r="H137" s="30" t="inlineStr"/>
      <c r="I137" s="30" t="inlineStr"/>
      <c r="J137" s="44">
        <f>IF(A137="","",D137+F137)</f>
        <v/>
      </c>
      <c r="K137" s="15">
        <f>IF(A137="","",IFERROR(VLOOKUP(B137,'13_Ausgangsrechnungen'!$A$4:$S$400,19,FALSE),0))</f>
        <v/>
      </c>
    </row>
    <row r="138">
      <c r="A138" s="30" t="inlineStr"/>
      <c r="B138" s="30" t="inlineStr"/>
      <c r="C138" s="30" t="inlineStr"/>
      <c r="D138" s="38" t="inlineStr"/>
      <c r="E138" s="31" t="inlineStr"/>
      <c r="F138" s="31" t="inlineStr"/>
      <c r="G138" s="30" t="inlineStr"/>
      <c r="H138" s="30" t="inlineStr"/>
      <c r="I138" s="30" t="inlineStr"/>
      <c r="J138" s="44">
        <f>IF(A138="","",D138+F138)</f>
        <v/>
      </c>
      <c r="K138" s="15">
        <f>IF(A138="","",IFERROR(VLOOKUP(B138,'13_Ausgangsrechnungen'!$A$4:$S$400,19,FALSE),0))</f>
        <v/>
      </c>
    </row>
    <row r="139">
      <c r="A139" s="30" t="inlineStr"/>
      <c r="B139" s="30" t="inlineStr"/>
      <c r="C139" s="30" t="inlineStr"/>
      <c r="D139" s="38" t="inlineStr"/>
      <c r="E139" s="31" t="inlineStr"/>
      <c r="F139" s="31" t="inlineStr"/>
      <c r="G139" s="30" t="inlineStr"/>
      <c r="H139" s="30" t="inlineStr"/>
      <c r="I139" s="30" t="inlineStr"/>
      <c r="J139" s="44">
        <f>IF(A139="","",D139+F139)</f>
        <v/>
      </c>
      <c r="K139" s="15">
        <f>IF(A139="","",IFERROR(VLOOKUP(B139,'13_Ausgangsrechnungen'!$A$4:$S$400,19,FALSE),0))</f>
        <v/>
      </c>
    </row>
    <row r="140">
      <c r="A140" s="30" t="inlineStr"/>
      <c r="B140" s="30" t="inlineStr"/>
      <c r="C140" s="30" t="inlineStr"/>
      <c r="D140" s="38" t="inlineStr"/>
      <c r="E140" s="31" t="inlineStr"/>
      <c r="F140" s="31" t="inlineStr"/>
      <c r="G140" s="30" t="inlineStr"/>
      <c r="H140" s="30" t="inlineStr"/>
      <c r="I140" s="30" t="inlineStr"/>
      <c r="J140" s="44">
        <f>IF(A140="","",D140+F140)</f>
        <v/>
      </c>
      <c r="K140" s="15">
        <f>IF(A140="","",IFERROR(VLOOKUP(B140,'13_Ausgangsrechnungen'!$A$4:$S$400,19,FALSE),0))</f>
        <v/>
      </c>
    </row>
    <row r="141">
      <c r="A141" s="30" t="inlineStr"/>
      <c r="B141" s="30" t="inlineStr"/>
      <c r="C141" s="30" t="inlineStr"/>
      <c r="D141" s="38" t="inlineStr"/>
      <c r="E141" s="31" t="inlineStr"/>
      <c r="F141" s="31" t="inlineStr"/>
      <c r="G141" s="30" t="inlineStr"/>
      <c r="H141" s="30" t="inlineStr"/>
      <c r="I141" s="30" t="inlineStr"/>
      <c r="J141" s="44">
        <f>IF(A141="","",D141+F141)</f>
        <v/>
      </c>
      <c r="K141" s="15">
        <f>IF(A141="","",IFERROR(VLOOKUP(B141,'13_Ausgangsrechnungen'!$A$4:$S$400,19,FALSE),0))</f>
        <v/>
      </c>
    </row>
    <row r="142">
      <c r="A142" s="30" t="inlineStr"/>
      <c r="B142" s="30" t="inlineStr"/>
      <c r="C142" s="30" t="inlineStr"/>
      <c r="D142" s="38" t="inlineStr"/>
      <c r="E142" s="31" t="inlineStr"/>
      <c r="F142" s="31" t="inlineStr"/>
      <c r="G142" s="30" t="inlineStr"/>
      <c r="H142" s="30" t="inlineStr"/>
      <c r="I142" s="30" t="inlineStr"/>
      <c r="J142" s="44">
        <f>IF(A142="","",D142+F142)</f>
        <v/>
      </c>
      <c r="K142" s="15">
        <f>IF(A142="","",IFERROR(VLOOKUP(B142,'13_Ausgangsrechnungen'!$A$4:$S$400,19,FALSE),0))</f>
        <v/>
      </c>
    </row>
    <row r="143">
      <c r="A143" s="30" t="inlineStr"/>
      <c r="B143" s="30" t="inlineStr"/>
      <c r="C143" s="30" t="inlineStr"/>
      <c r="D143" s="38" t="inlineStr"/>
      <c r="E143" s="31" t="inlineStr"/>
      <c r="F143" s="31" t="inlineStr"/>
      <c r="G143" s="30" t="inlineStr"/>
      <c r="H143" s="30" t="inlineStr"/>
      <c r="I143" s="30" t="inlineStr"/>
      <c r="J143" s="44">
        <f>IF(A143="","",D143+F143)</f>
        <v/>
      </c>
      <c r="K143" s="15">
        <f>IF(A143="","",IFERROR(VLOOKUP(B143,'13_Ausgangsrechnungen'!$A$4:$S$400,19,FALSE),0))</f>
        <v/>
      </c>
    </row>
    <row r="144">
      <c r="A144" s="30" t="inlineStr"/>
      <c r="B144" s="30" t="inlineStr"/>
      <c r="C144" s="30" t="inlineStr"/>
      <c r="D144" s="38" t="inlineStr"/>
      <c r="E144" s="31" t="inlineStr"/>
      <c r="F144" s="31" t="inlineStr"/>
      <c r="G144" s="30" t="inlineStr"/>
      <c r="H144" s="30" t="inlineStr"/>
      <c r="I144" s="30" t="inlineStr"/>
      <c r="J144" s="44">
        <f>IF(A144="","",D144+F144)</f>
        <v/>
      </c>
      <c r="K144" s="15">
        <f>IF(A144="","",IFERROR(VLOOKUP(B144,'13_Ausgangsrechnungen'!$A$4:$S$400,19,FALSE),0))</f>
        <v/>
      </c>
    </row>
    <row r="145">
      <c r="A145" s="30" t="inlineStr"/>
      <c r="B145" s="30" t="inlineStr"/>
      <c r="C145" s="30" t="inlineStr"/>
      <c r="D145" s="38" t="inlineStr"/>
      <c r="E145" s="31" t="inlineStr"/>
      <c r="F145" s="31" t="inlineStr"/>
      <c r="G145" s="30" t="inlineStr"/>
      <c r="H145" s="30" t="inlineStr"/>
      <c r="I145" s="30" t="inlineStr"/>
      <c r="J145" s="44">
        <f>IF(A145="","",D145+F145)</f>
        <v/>
      </c>
      <c r="K145" s="15">
        <f>IF(A145="","",IFERROR(VLOOKUP(B145,'13_Ausgangsrechnungen'!$A$4:$S$400,19,FALSE),0))</f>
        <v/>
      </c>
    </row>
    <row r="146">
      <c r="A146" s="30" t="inlineStr"/>
      <c r="B146" s="30" t="inlineStr"/>
      <c r="C146" s="30" t="inlineStr"/>
      <c r="D146" s="38" t="inlineStr"/>
      <c r="E146" s="31" t="inlineStr"/>
      <c r="F146" s="31" t="inlineStr"/>
      <c r="G146" s="30" t="inlineStr"/>
      <c r="H146" s="30" t="inlineStr"/>
      <c r="I146" s="30" t="inlineStr"/>
      <c r="J146" s="44">
        <f>IF(A146="","",D146+F146)</f>
        <v/>
      </c>
      <c r="K146" s="15">
        <f>IF(A146="","",IFERROR(VLOOKUP(B146,'13_Ausgangsrechnungen'!$A$4:$S$400,19,FALSE),0))</f>
        <v/>
      </c>
    </row>
    <row r="147">
      <c r="A147" s="30" t="inlineStr"/>
      <c r="B147" s="30" t="inlineStr"/>
      <c r="C147" s="30" t="inlineStr"/>
      <c r="D147" s="38" t="inlineStr"/>
      <c r="E147" s="31" t="inlineStr"/>
      <c r="F147" s="31" t="inlineStr"/>
      <c r="G147" s="30" t="inlineStr"/>
      <c r="H147" s="30" t="inlineStr"/>
      <c r="I147" s="30" t="inlineStr"/>
      <c r="J147" s="44">
        <f>IF(A147="","",D147+F147)</f>
        <v/>
      </c>
      <c r="K147" s="15">
        <f>IF(A147="","",IFERROR(VLOOKUP(B147,'13_Ausgangsrechnungen'!$A$4:$S$400,19,FALSE),0))</f>
        <v/>
      </c>
    </row>
    <row r="148">
      <c r="A148" s="30" t="inlineStr"/>
      <c r="B148" s="30" t="inlineStr"/>
      <c r="C148" s="30" t="inlineStr"/>
      <c r="D148" s="38" t="inlineStr"/>
      <c r="E148" s="31" t="inlineStr"/>
      <c r="F148" s="31" t="inlineStr"/>
      <c r="G148" s="30" t="inlineStr"/>
      <c r="H148" s="30" t="inlineStr"/>
      <c r="I148" s="30" t="inlineStr"/>
      <c r="J148" s="44">
        <f>IF(A148="","",D148+F148)</f>
        <v/>
      </c>
      <c r="K148" s="15">
        <f>IF(A148="","",IFERROR(VLOOKUP(B148,'13_Ausgangsrechnungen'!$A$4:$S$400,19,FALSE),0))</f>
        <v/>
      </c>
    </row>
    <row r="149">
      <c r="A149" s="30" t="inlineStr"/>
      <c r="B149" s="30" t="inlineStr"/>
      <c r="C149" s="30" t="inlineStr"/>
      <c r="D149" s="38" t="inlineStr"/>
      <c r="E149" s="31" t="inlineStr"/>
      <c r="F149" s="31" t="inlineStr"/>
      <c r="G149" s="30" t="inlineStr"/>
      <c r="H149" s="30" t="inlineStr"/>
      <c r="I149" s="30" t="inlineStr"/>
      <c r="J149" s="44">
        <f>IF(A149="","",D149+F149)</f>
        <v/>
      </c>
      <c r="K149" s="15">
        <f>IF(A149="","",IFERROR(VLOOKUP(B149,'13_Ausgangsrechnungen'!$A$4:$S$400,19,FALSE),0))</f>
        <v/>
      </c>
    </row>
    <row r="150">
      <c r="A150" s="30" t="inlineStr"/>
      <c r="B150" s="30" t="inlineStr"/>
      <c r="C150" s="30" t="inlineStr"/>
      <c r="D150" s="38" t="inlineStr"/>
      <c r="E150" s="31" t="inlineStr"/>
      <c r="F150" s="31" t="inlineStr"/>
      <c r="G150" s="30" t="inlineStr"/>
      <c r="H150" s="30" t="inlineStr"/>
      <c r="I150" s="30" t="inlineStr"/>
      <c r="J150" s="44">
        <f>IF(A150="","",D150+F150)</f>
        <v/>
      </c>
      <c r="K150" s="15">
        <f>IF(A150="","",IFERROR(VLOOKUP(B150,'13_Ausgangsrechnungen'!$A$4:$S$400,19,FALSE),0))</f>
        <v/>
      </c>
    </row>
    <row r="151">
      <c r="A151" s="30" t="inlineStr"/>
      <c r="B151" s="30" t="inlineStr"/>
      <c r="C151" s="30" t="inlineStr"/>
      <c r="D151" s="38" t="inlineStr"/>
      <c r="E151" s="31" t="inlineStr"/>
      <c r="F151" s="31" t="inlineStr"/>
      <c r="G151" s="30" t="inlineStr"/>
      <c r="H151" s="30" t="inlineStr"/>
      <c r="I151" s="30" t="inlineStr"/>
      <c r="J151" s="44">
        <f>IF(A151="","",D151+F151)</f>
        <v/>
      </c>
      <c r="K151" s="15">
        <f>IF(A151="","",IFERROR(VLOOKUP(B151,'13_Ausgangsrechnungen'!$A$4:$S$400,19,FALSE),0))</f>
        <v/>
      </c>
    </row>
    <row r="152">
      <c r="A152" s="30" t="inlineStr"/>
      <c r="B152" s="30" t="inlineStr"/>
      <c r="C152" s="30" t="inlineStr"/>
      <c r="D152" s="38" t="inlineStr"/>
      <c r="E152" s="31" t="inlineStr"/>
      <c r="F152" s="31" t="inlineStr"/>
      <c r="G152" s="30" t="inlineStr"/>
      <c r="H152" s="30" t="inlineStr"/>
      <c r="I152" s="30" t="inlineStr"/>
      <c r="J152" s="44">
        <f>IF(A152="","",D152+F152)</f>
        <v/>
      </c>
      <c r="K152" s="15">
        <f>IF(A152="","",IFERROR(VLOOKUP(B152,'13_Ausgangsrechnungen'!$A$4:$S$400,19,FALSE),0))</f>
        <v/>
      </c>
    </row>
    <row r="153">
      <c r="A153" s="30" t="inlineStr"/>
      <c r="B153" s="30" t="inlineStr"/>
      <c r="C153" s="30" t="inlineStr"/>
      <c r="D153" s="38" t="inlineStr"/>
      <c r="E153" s="31" t="inlineStr"/>
      <c r="F153" s="31" t="inlineStr"/>
      <c r="G153" s="30" t="inlineStr"/>
      <c r="H153" s="30" t="inlineStr"/>
      <c r="I153" s="30" t="inlineStr"/>
      <c r="J153" s="44">
        <f>IF(A153="","",D153+F153)</f>
        <v/>
      </c>
      <c r="K153" s="15">
        <f>IF(A153="","",IFERROR(VLOOKUP(B153,'13_Ausgangsrechnungen'!$A$4:$S$400,19,FALSE),0))</f>
        <v/>
      </c>
    </row>
    <row r="154">
      <c r="A154" s="30" t="inlineStr"/>
      <c r="B154" s="30" t="inlineStr"/>
      <c r="C154" s="30" t="inlineStr"/>
      <c r="D154" s="38" t="inlineStr"/>
      <c r="E154" s="31" t="inlineStr"/>
      <c r="F154" s="31" t="inlineStr"/>
      <c r="G154" s="30" t="inlineStr"/>
      <c r="H154" s="30" t="inlineStr"/>
      <c r="I154" s="30" t="inlineStr"/>
      <c r="J154" s="44">
        <f>IF(A154="","",D154+F154)</f>
        <v/>
      </c>
      <c r="K154" s="15">
        <f>IF(A154="","",IFERROR(VLOOKUP(B154,'13_Ausgangsrechnungen'!$A$4:$S$400,19,FALSE),0))</f>
        <v/>
      </c>
    </row>
    <row r="155">
      <c r="A155" s="30" t="inlineStr"/>
      <c r="B155" s="30" t="inlineStr"/>
      <c r="C155" s="30" t="inlineStr"/>
      <c r="D155" s="38" t="inlineStr"/>
      <c r="E155" s="31" t="inlineStr"/>
      <c r="F155" s="31" t="inlineStr"/>
      <c r="G155" s="30" t="inlineStr"/>
      <c r="H155" s="30" t="inlineStr"/>
      <c r="I155" s="30" t="inlineStr"/>
      <c r="J155" s="44">
        <f>IF(A155="","",D155+F155)</f>
        <v/>
      </c>
      <c r="K155" s="15">
        <f>IF(A155="","",IFERROR(VLOOKUP(B155,'13_Ausgangsrechnungen'!$A$4:$S$400,19,FALSE),0))</f>
        <v/>
      </c>
    </row>
    <row r="156">
      <c r="A156" s="30" t="inlineStr"/>
      <c r="B156" s="30" t="inlineStr"/>
      <c r="C156" s="30" t="inlineStr"/>
      <c r="D156" s="38" t="inlineStr"/>
      <c r="E156" s="31" t="inlineStr"/>
      <c r="F156" s="31" t="inlineStr"/>
      <c r="G156" s="30" t="inlineStr"/>
      <c r="H156" s="30" t="inlineStr"/>
      <c r="I156" s="30" t="inlineStr"/>
      <c r="J156" s="44">
        <f>IF(A156="","",D156+F156)</f>
        <v/>
      </c>
      <c r="K156" s="15">
        <f>IF(A156="","",IFERROR(VLOOKUP(B156,'13_Ausgangsrechnungen'!$A$4:$S$400,19,FALSE),0))</f>
        <v/>
      </c>
    </row>
    <row r="157">
      <c r="A157" s="30" t="inlineStr"/>
      <c r="B157" s="30" t="inlineStr"/>
      <c r="C157" s="30" t="inlineStr"/>
      <c r="D157" s="38" t="inlineStr"/>
      <c r="E157" s="31" t="inlineStr"/>
      <c r="F157" s="31" t="inlineStr"/>
      <c r="G157" s="30" t="inlineStr"/>
      <c r="H157" s="30" t="inlineStr"/>
      <c r="I157" s="30" t="inlineStr"/>
      <c r="J157" s="44">
        <f>IF(A157="","",D157+F157)</f>
        <v/>
      </c>
      <c r="K157" s="15">
        <f>IF(A157="","",IFERROR(VLOOKUP(B157,'13_Ausgangsrechnungen'!$A$4:$S$400,19,FALSE),0))</f>
        <v/>
      </c>
    </row>
    <row r="158">
      <c r="A158" s="30" t="inlineStr"/>
      <c r="B158" s="30" t="inlineStr"/>
      <c r="C158" s="30" t="inlineStr"/>
      <c r="D158" s="38" t="inlineStr"/>
      <c r="E158" s="31" t="inlineStr"/>
      <c r="F158" s="31" t="inlineStr"/>
      <c r="G158" s="30" t="inlineStr"/>
      <c r="H158" s="30" t="inlineStr"/>
      <c r="I158" s="30" t="inlineStr"/>
      <c r="J158" s="44">
        <f>IF(A158="","",D158+F158)</f>
        <v/>
      </c>
      <c r="K158" s="15">
        <f>IF(A158="","",IFERROR(VLOOKUP(B158,'13_Ausgangsrechnungen'!$A$4:$S$400,19,FALSE),0))</f>
        <v/>
      </c>
    </row>
    <row r="159">
      <c r="A159" s="30" t="inlineStr"/>
      <c r="B159" s="30" t="inlineStr"/>
      <c r="C159" s="30" t="inlineStr"/>
      <c r="D159" s="38" t="inlineStr"/>
      <c r="E159" s="31" t="inlineStr"/>
      <c r="F159" s="31" t="inlineStr"/>
      <c r="G159" s="30" t="inlineStr"/>
      <c r="H159" s="30" t="inlineStr"/>
      <c r="I159" s="30" t="inlineStr"/>
      <c r="J159" s="44">
        <f>IF(A159="","",D159+F159)</f>
        <v/>
      </c>
      <c r="K159" s="15">
        <f>IF(A159="","",IFERROR(VLOOKUP(B159,'13_Ausgangsrechnungen'!$A$4:$S$400,19,FALSE),0))</f>
        <v/>
      </c>
    </row>
    <row r="160">
      <c r="A160" s="30" t="inlineStr"/>
      <c r="B160" s="30" t="inlineStr"/>
      <c r="C160" s="30" t="inlineStr"/>
      <c r="D160" s="38" t="inlineStr"/>
      <c r="E160" s="31" t="inlineStr"/>
      <c r="F160" s="31" t="inlineStr"/>
      <c r="G160" s="30" t="inlineStr"/>
      <c r="H160" s="30" t="inlineStr"/>
      <c r="I160" s="30" t="inlineStr"/>
      <c r="J160" s="44">
        <f>IF(A160="","",D160+F160)</f>
        <v/>
      </c>
      <c r="K160" s="15">
        <f>IF(A160="","",IFERROR(VLOOKUP(B160,'13_Ausgangsrechnungen'!$A$4:$S$400,19,FALSE),0))</f>
        <v/>
      </c>
    </row>
    <row r="161">
      <c r="A161" s="30" t="inlineStr"/>
      <c r="B161" s="30" t="inlineStr"/>
      <c r="C161" s="30" t="inlineStr"/>
      <c r="D161" s="38" t="inlineStr"/>
      <c r="E161" s="31" t="inlineStr"/>
      <c r="F161" s="31" t="inlineStr"/>
      <c r="G161" s="30" t="inlineStr"/>
      <c r="H161" s="30" t="inlineStr"/>
      <c r="I161" s="30" t="inlineStr"/>
      <c r="J161" s="44">
        <f>IF(A161="","",D161+F161)</f>
        <v/>
      </c>
      <c r="K161" s="15">
        <f>IF(A161="","",IFERROR(VLOOKUP(B161,'13_Ausgangsrechnungen'!$A$4:$S$400,19,FALSE),0))</f>
        <v/>
      </c>
    </row>
    <row r="162">
      <c r="A162" s="30" t="inlineStr"/>
      <c r="B162" s="30" t="inlineStr"/>
      <c r="C162" s="30" t="inlineStr"/>
      <c r="D162" s="38" t="inlineStr"/>
      <c r="E162" s="31" t="inlineStr"/>
      <c r="F162" s="31" t="inlineStr"/>
      <c r="G162" s="30" t="inlineStr"/>
      <c r="H162" s="30" t="inlineStr"/>
      <c r="I162" s="30" t="inlineStr"/>
      <c r="J162" s="44">
        <f>IF(A162="","",D162+F162)</f>
        <v/>
      </c>
      <c r="K162" s="15">
        <f>IF(A162="","",IFERROR(VLOOKUP(B162,'13_Ausgangsrechnungen'!$A$4:$S$400,19,FALSE),0))</f>
        <v/>
      </c>
    </row>
    <row r="163">
      <c r="A163" s="30" t="inlineStr"/>
      <c r="B163" s="30" t="inlineStr"/>
      <c r="C163" s="30" t="inlineStr"/>
      <c r="D163" s="38" t="inlineStr"/>
      <c r="E163" s="31" t="inlineStr"/>
      <c r="F163" s="31" t="inlineStr"/>
      <c r="G163" s="30" t="inlineStr"/>
      <c r="H163" s="30" t="inlineStr"/>
      <c r="I163" s="30" t="inlineStr"/>
      <c r="J163" s="44">
        <f>IF(A163="","",D163+F163)</f>
        <v/>
      </c>
      <c r="K163" s="15">
        <f>IF(A163="","",IFERROR(VLOOKUP(B163,'13_Ausgangsrechnungen'!$A$4:$S$400,19,FALSE),0))</f>
        <v/>
      </c>
    </row>
    <row r="164">
      <c r="A164" s="30" t="inlineStr"/>
      <c r="B164" s="30" t="inlineStr"/>
      <c r="C164" s="30" t="inlineStr"/>
      <c r="D164" s="38" t="inlineStr"/>
      <c r="E164" s="31" t="inlineStr"/>
      <c r="F164" s="31" t="inlineStr"/>
      <c r="G164" s="30" t="inlineStr"/>
      <c r="H164" s="30" t="inlineStr"/>
      <c r="I164" s="30" t="inlineStr"/>
      <c r="J164" s="44">
        <f>IF(A164="","",D164+F164)</f>
        <v/>
      </c>
      <c r="K164" s="15">
        <f>IF(A164="","",IFERROR(VLOOKUP(B164,'13_Ausgangsrechnungen'!$A$4:$S$400,19,FALSE),0))</f>
        <v/>
      </c>
    </row>
    <row r="165">
      <c r="A165" s="30" t="inlineStr"/>
      <c r="B165" s="30" t="inlineStr"/>
      <c r="C165" s="30" t="inlineStr"/>
      <c r="D165" s="38" t="inlineStr"/>
      <c r="E165" s="31" t="inlineStr"/>
      <c r="F165" s="31" t="inlineStr"/>
      <c r="G165" s="30" t="inlineStr"/>
      <c r="H165" s="30" t="inlineStr"/>
      <c r="I165" s="30" t="inlineStr"/>
      <c r="J165" s="44">
        <f>IF(A165="","",D165+F165)</f>
        <v/>
      </c>
      <c r="K165" s="15">
        <f>IF(A165="","",IFERROR(VLOOKUP(B165,'13_Ausgangsrechnungen'!$A$4:$S$400,19,FALSE),0))</f>
        <v/>
      </c>
    </row>
    <row r="166">
      <c r="A166" s="30" t="inlineStr"/>
      <c r="B166" s="30" t="inlineStr"/>
      <c r="C166" s="30" t="inlineStr"/>
      <c r="D166" s="38" t="inlineStr"/>
      <c r="E166" s="31" t="inlineStr"/>
      <c r="F166" s="31" t="inlineStr"/>
      <c r="G166" s="30" t="inlineStr"/>
      <c r="H166" s="30" t="inlineStr"/>
      <c r="I166" s="30" t="inlineStr"/>
      <c r="J166" s="44">
        <f>IF(A166="","",D166+F166)</f>
        <v/>
      </c>
      <c r="K166" s="15">
        <f>IF(A166="","",IFERROR(VLOOKUP(B166,'13_Ausgangsrechnungen'!$A$4:$S$400,19,FALSE),0))</f>
        <v/>
      </c>
    </row>
    <row r="167">
      <c r="A167" s="30" t="inlineStr"/>
      <c r="B167" s="30" t="inlineStr"/>
      <c r="C167" s="30" t="inlineStr"/>
      <c r="D167" s="38" t="inlineStr"/>
      <c r="E167" s="31" t="inlineStr"/>
      <c r="F167" s="31" t="inlineStr"/>
      <c r="G167" s="30" t="inlineStr"/>
      <c r="H167" s="30" t="inlineStr"/>
      <c r="I167" s="30" t="inlineStr"/>
      <c r="J167" s="44">
        <f>IF(A167="","",D167+F167)</f>
        <v/>
      </c>
      <c r="K167" s="15">
        <f>IF(A167="","",IFERROR(VLOOKUP(B167,'13_Ausgangsrechnungen'!$A$4:$S$400,19,FALSE),0))</f>
        <v/>
      </c>
    </row>
    <row r="168">
      <c r="A168" s="30" t="inlineStr"/>
      <c r="B168" s="30" t="inlineStr"/>
      <c r="C168" s="30" t="inlineStr"/>
      <c r="D168" s="38" t="inlineStr"/>
      <c r="E168" s="31" t="inlineStr"/>
      <c r="F168" s="31" t="inlineStr"/>
      <c r="G168" s="30" t="inlineStr"/>
      <c r="H168" s="30" t="inlineStr"/>
      <c r="I168" s="30" t="inlineStr"/>
      <c r="J168" s="44">
        <f>IF(A168="","",D168+F168)</f>
        <v/>
      </c>
      <c r="K168" s="15">
        <f>IF(A168="","",IFERROR(VLOOKUP(B168,'13_Ausgangsrechnungen'!$A$4:$S$400,19,FALSE),0))</f>
        <v/>
      </c>
    </row>
    <row r="169">
      <c r="A169" s="30" t="inlineStr"/>
      <c r="B169" s="30" t="inlineStr"/>
      <c r="C169" s="30" t="inlineStr"/>
      <c r="D169" s="38" t="inlineStr"/>
      <c r="E169" s="31" t="inlineStr"/>
      <c r="F169" s="31" t="inlineStr"/>
      <c r="G169" s="30" t="inlineStr"/>
      <c r="H169" s="30" t="inlineStr"/>
      <c r="I169" s="30" t="inlineStr"/>
      <c r="J169" s="44">
        <f>IF(A169="","",D169+F169)</f>
        <v/>
      </c>
      <c r="K169" s="15">
        <f>IF(A169="","",IFERROR(VLOOKUP(B169,'13_Ausgangsrechnungen'!$A$4:$S$400,19,FALSE),0))</f>
        <v/>
      </c>
    </row>
    <row r="170">
      <c r="A170" s="30" t="inlineStr"/>
      <c r="B170" s="30" t="inlineStr"/>
      <c r="C170" s="30" t="inlineStr"/>
      <c r="D170" s="38" t="inlineStr"/>
      <c r="E170" s="31" t="inlineStr"/>
      <c r="F170" s="31" t="inlineStr"/>
      <c r="G170" s="30" t="inlineStr"/>
      <c r="H170" s="30" t="inlineStr"/>
      <c r="I170" s="30" t="inlineStr"/>
      <c r="J170" s="44">
        <f>IF(A170="","",D170+F170)</f>
        <v/>
      </c>
      <c r="K170" s="15">
        <f>IF(A170="","",IFERROR(VLOOKUP(B170,'13_Ausgangsrechnungen'!$A$4:$S$400,19,FALSE),0))</f>
        <v/>
      </c>
    </row>
    <row r="171">
      <c r="A171" s="30" t="inlineStr"/>
      <c r="B171" s="30" t="inlineStr"/>
      <c r="C171" s="30" t="inlineStr"/>
      <c r="D171" s="38" t="inlineStr"/>
      <c r="E171" s="31" t="inlineStr"/>
      <c r="F171" s="31" t="inlineStr"/>
      <c r="G171" s="30" t="inlineStr"/>
      <c r="H171" s="30" t="inlineStr"/>
      <c r="I171" s="30" t="inlineStr"/>
      <c r="J171" s="44">
        <f>IF(A171="","",D171+F171)</f>
        <v/>
      </c>
      <c r="K171" s="15">
        <f>IF(A171="","",IFERROR(VLOOKUP(B171,'13_Ausgangsrechnungen'!$A$4:$S$400,19,FALSE),0))</f>
        <v/>
      </c>
    </row>
    <row r="172">
      <c r="A172" s="30" t="inlineStr"/>
      <c r="B172" s="30" t="inlineStr"/>
      <c r="C172" s="30" t="inlineStr"/>
      <c r="D172" s="38" t="inlineStr"/>
      <c r="E172" s="31" t="inlineStr"/>
      <c r="F172" s="31" t="inlineStr"/>
      <c r="G172" s="30" t="inlineStr"/>
      <c r="H172" s="30" t="inlineStr"/>
      <c r="I172" s="30" t="inlineStr"/>
      <c r="J172" s="44">
        <f>IF(A172="","",D172+F172)</f>
        <v/>
      </c>
      <c r="K172" s="15">
        <f>IF(A172="","",IFERROR(VLOOKUP(B172,'13_Ausgangsrechnungen'!$A$4:$S$400,19,FALSE),0))</f>
        <v/>
      </c>
    </row>
    <row r="173">
      <c r="A173" s="30" t="inlineStr"/>
      <c r="B173" s="30" t="inlineStr"/>
      <c r="C173" s="30" t="inlineStr"/>
      <c r="D173" s="38" t="inlineStr"/>
      <c r="E173" s="31" t="inlineStr"/>
      <c r="F173" s="31" t="inlineStr"/>
      <c r="G173" s="30" t="inlineStr"/>
      <c r="H173" s="30" t="inlineStr"/>
      <c r="I173" s="30" t="inlineStr"/>
      <c r="J173" s="44">
        <f>IF(A173="","",D173+F173)</f>
        <v/>
      </c>
      <c r="K173" s="15">
        <f>IF(A173="","",IFERROR(VLOOKUP(B173,'13_Ausgangsrechnungen'!$A$4:$S$400,19,FALSE),0))</f>
        <v/>
      </c>
    </row>
    <row r="174">
      <c r="A174" s="30" t="inlineStr"/>
      <c r="B174" s="30" t="inlineStr"/>
      <c r="C174" s="30" t="inlineStr"/>
      <c r="D174" s="38" t="inlineStr"/>
      <c r="E174" s="31" t="inlineStr"/>
      <c r="F174" s="31" t="inlineStr"/>
      <c r="G174" s="30" t="inlineStr"/>
      <c r="H174" s="30" t="inlineStr"/>
      <c r="I174" s="30" t="inlineStr"/>
      <c r="J174" s="44">
        <f>IF(A174="","",D174+F174)</f>
        <v/>
      </c>
      <c r="K174" s="15">
        <f>IF(A174="","",IFERROR(VLOOKUP(B174,'13_Ausgangsrechnungen'!$A$4:$S$400,19,FALSE),0))</f>
        <v/>
      </c>
    </row>
    <row r="175">
      <c r="A175" s="30" t="inlineStr"/>
      <c r="B175" s="30" t="inlineStr"/>
      <c r="C175" s="30" t="inlineStr"/>
      <c r="D175" s="38" t="inlineStr"/>
      <c r="E175" s="31" t="inlineStr"/>
      <c r="F175" s="31" t="inlineStr"/>
      <c r="G175" s="30" t="inlineStr"/>
      <c r="H175" s="30" t="inlineStr"/>
      <c r="I175" s="30" t="inlineStr"/>
      <c r="J175" s="44">
        <f>IF(A175="","",D175+F175)</f>
        <v/>
      </c>
      <c r="K175" s="15">
        <f>IF(A175="","",IFERROR(VLOOKUP(B175,'13_Ausgangsrechnungen'!$A$4:$S$400,19,FALSE),0))</f>
        <v/>
      </c>
    </row>
    <row r="176">
      <c r="A176" s="30" t="inlineStr"/>
      <c r="B176" s="30" t="inlineStr"/>
      <c r="C176" s="30" t="inlineStr"/>
      <c r="D176" s="38" t="inlineStr"/>
      <c r="E176" s="31" t="inlineStr"/>
      <c r="F176" s="31" t="inlineStr"/>
      <c r="G176" s="30" t="inlineStr"/>
      <c r="H176" s="30" t="inlineStr"/>
      <c r="I176" s="30" t="inlineStr"/>
      <c r="J176" s="44">
        <f>IF(A176="","",D176+F176)</f>
        <v/>
      </c>
      <c r="K176" s="15">
        <f>IF(A176="","",IFERROR(VLOOKUP(B176,'13_Ausgangsrechnungen'!$A$4:$S$400,19,FALSE),0))</f>
        <v/>
      </c>
    </row>
    <row r="177">
      <c r="A177" s="30" t="inlineStr"/>
      <c r="B177" s="30" t="inlineStr"/>
      <c r="C177" s="30" t="inlineStr"/>
      <c r="D177" s="38" t="inlineStr"/>
      <c r="E177" s="31" t="inlineStr"/>
      <c r="F177" s="31" t="inlineStr"/>
      <c r="G177" s="30" t="inlineStr"/>
      <c r="H177" s="30" t="inlineStr"/>
      <c r="I177" s="30" t="inlineStr"/>
      <c r="J177" s="44">
        <f>IF(A177="","",D177+F177)</f>
        <v/>
      </c>
      <c r="K177" s="15">
        <f>IF(A177="","",IFERROR(VLOOKUP(B177,'13_Ausgangsrechnungen'!$A$4:$S$400,19,FALSE),0))</f>
        <v/>
      </c>
    </row>
    <row r="178">
      <c r="A178" s="30" t="inlineStr"/>
      <c r="B178" s="30" t="inlineStr"/>
      <c r="C178" s="30" t="inlineStr"/>
      <c r="D178" s="38" t="inlineStr"/>
      <c r="E178" s="31" t="inlineStr"/>
      <c r="F178" s="31" t="inlineStr"/>
      <c r="G178" s="30" t="inlineStr"/>
      <c r="H178" s="30" t="inlineStr"/>
      <c r="I178" s="30" t="inlineStr"/>
      <c r="J178" s="44">
        <f>IF(A178="","",D178+F178)</f>
        <v/>
      </c>
      <c r="K178" s="15">
        <f>IF(A178="","",IFERROR(VLOOKUP(B178,'13_Ausgangsrechnungen'!$A$4:$S$400,19,FALSE),0))</f>
        <v/>
      </c>
    </row>
    <row r="179">
      <c r="A179" s="30" t="inlineStr"/>
      <c r="B179" s="30" t="inlineStr"/>
      <c r="C179" s="30" t="inlineStr"/>
      <c r="D179" s="38" t="inlineStr"/>
      <c r="E179" s="31" t="inlineStr"/>
      <c r="F179" s="31" t="inlineStr"/>
      <c r="G179" s="30" t="inlineStr"/>
      <c r="H179" s="30" t="inlineStr"/>
      <c r="I179" s="30" t="inlineStr"/>
      <c r="J179" s="44">
        <f>IF(A179="","",D179+F179)</f>
        <v/>
      </c>
      <c r="K179" s="15">
        <f>IF(A179="","",IFERROR(VLOOKUP(B179,'13_Ausgangsrechnungen'!$A$4:$S$400,19,FALSE),0))</f>
        <v/>
      </c>
    </row>
    <row r="180">
      <c r="A180" s="30" t="inlineStr"/>
      <c r="B180" s="30" t="inlineStr"/>
      <c r="C180" s="30" t="inlineStr"/>
      <c r="D180" s="38" t="inlineStr"/>
      <c r="E180" s="31" t="inlineStr"/>
      <c r="F180" s="31" t="inlineStr"/>
      <c r="G180" s="30" t="inlineStr"/>
      <c r="H180" s="30" t="inlineStr"/>
      <c r="I180" s="30" t="inlineStr"/>
      <c r="J180" s="44">
        <f>IF(A180="","",D180+F180)</f>
        <v/>
      </c>
      <c r="K180" s="15">
        <f>IF(A180="","",IFERROR(VLOOKUP(B180,'13_Ausgangsrechnungen'!$A$4:$S$400,19,FALSE),0))</f>
        <v/>
      </c>
    </row>
    <row r="181">
      <c r="A181" s="30" t="inlineStr"/>
      <c r="B181" s="30" t="inlineStr"/>
      <c r="C181" s="30" t="inlineStr"/>
      <c r="D181" s="38" t="inlineStr"/>
      <c r="E181" s="31" t="inlineStr"/>
      <c r="F181" s="31" t="inlineStr"/>
      <c r="G181" s="30" t="inlineStr"/>
      <c r="H181" s="30" t="inlineStr"/>
      <c r="I181" s="30" t="inlineStr"/>
      <c r="J181" s="44">
        <f>IF(A181="","",D181+F181)</f>
        <v/>
      </c>
      <c r="K181" s="15">
        <f>IF(A181="","",IFERROR(VLOOKUP(B181,'13_Ausgangsrechnungen'!$A$4:$S$400,19,FALSE),0))</f>
        <v/>
      </c>
    </row>
    <row r="182">
      <c r="A182" s="30" t="inlineStr"/>
      <c r="B182" s="30" t="inlineStr"/>
      <c r="C182" s="30" t="inlineStr"/>
      <c r="D182" s="38" t="inlineStr"/>
      <c r="E182" s="31" t="inlineStr"/>
      <c r="F182" s="31" t="inlineStr"/>
      <c r="G182" s="30" t="inlineStr"/>
      <c r="H182" s="30" t="inlineStr"/>
      <c r="I182" s="30" t="inlineStr"/>
      <c r="J182" s="44">
        <f>IF(A182="","",D182+F182)</f>
        <v/>
      </c>
      <c r="K182" s="15">
        <f>IF(A182="","",IFERROR(VLOOKUP(B182,'13_Ausgangsrechnungen'!$A$4:$S$400,19,FALSE),0))</f>
        <v/>
      </c>
    </row>
    <row r="183">
      <c r="A183" s="30" t="inlineStr"/>
      <c r="B183" s="30" t="inlineStr"/>
      <c r="C183" s="30" t="inlineStr"/>
      <c r="D183" s="38" t="inlineStr"/>
      <c r="E183" s="31" t="inlineStr"/>
      <c r="F183" s="31" t="inlineStr"/>
      <c r="G183" s="30" t="inlineStr"/>
      <c r="H183" s="30" t="inlineStr"/>
      <c r="I183" s="30" t="inlineStr"/>
      <c r="J183" s="44">
        <f>IF(A183="","",D183+F183)</f>
        <v/>
      </c>
      <c r="K183" s="15">
        <f>IF(A183="","",IFERROR(VLOOKUP(B183,'13_Ausgangsrechnungen'!$A$4:$S$400,19,FALSE),0))</f>
        <v/>
      </c>
    </row>
    <row r="184">
      <c r="A184" s="30" t="inlineStr"/>
      <c r="B184" s="30" t="inlineStr"/>
      <c r="C184" s="30" t="inlineStr"/>
      <c r="D184" s="38" t="inlineStr"/>
      <c r="E184" s="31" t="inlineStr"/>
      <c r="F184" s="31" t="inlineStr"/>
      <c r="G184" s="30" t="inlineStr"/>
      <c r="H184" s="30" t="inlineStr"/>
      <c r="I184" s="30" t="inlineStr"/>
      <c r="J184" s="44">
        <f>IF(A184="","",D184+F184)</f>
        <v/>
      </c>
      <c r="K184" s="15">
        <f>IF(A184="","",IFERROR(VLOOKUP(B184,'13_Ausgangsrechnungen'!$A$4:$S$400,19,FALSE),0))</f>
        <v/>
      </c>
    </row>
    <row r="185">
      <c r="A185" s="30" t="inlineStr"/>
      <c r="B185" s="30" t="inlineStr"/>
      <c r="C185" s="30" t="inlineStr"/>
      <c r="D185" s="38" t="inlineStr"/>
      <c r="E185" s="31" t="inlineStr"/>
      <c r="F185" s="31" t="inlineStr"/>
      <c r="G185" s="30" t="inlineStr"/>
      <c r="H185" s="30" t="inlineStr"/>
      <c r="I185" s="30" t="inlineStr"/>
      <c r="J185" s="44">
        <f>IF(A185="","",D185+F185)</f>
        <v/>
      </c>
      <c r="K185" s="15">
        <f>IF(A185="","",IFERROR(VLOOKUP(B185,'13_Ausgangsrechnungen'!$A$4:$S$400,19,FALSE),0))</f>
        <v/>
      </c>
    </row>
    <row r="186">
      <c r="A186" s="30" t="inlineStr"/>
      <c r="B186" s="30" t="inlineStr"/>
      <c r="C186" s="30" t="inlineStr"/>
      <c r="D186" s="38" t="inlineStr"/>
      <c r="E186" s="31" t="inlineStr"/>
      <c r="F186" s="31" t="inlineStr"/>
      <c r="G186" s="30" t="inlineStr"/>
      <c r="H186" s="30" t="inlineStr"/>
      <c r="I186" s="30" t="inlineStr"/>
      <c r="J186" s="44">
        <f>IF(A186="","",D186+F186)</f>
        <v/>
      </c>
      <c r="K186" s="15">
        <f>IF(A186="","",IFERROR(VLOOKUP(B186,'13_Ausgangsrechnungen'!$A$4:$S$400,19,FALSE),0))</f>
        <v/>
      </c>
    </row>
    <row r="187">
      <c r="A187" s="30" t="inlineStr"/>
      <c r="B187" s="30" t="inlineStr"/>
      <c r="C187" s="30" t="inlineStr"/>
      <c r="D187" s="38" t="inlineStr"/>
      <c r="E187" s="31" t="inlineStr"/>
      <c r="F187" s="31" t="inlineStr"/>
      <c r="G187" s="30" t="inlineStr"/>
      <c r="H187" s="30" t="inlineStr"/>
      <c r="I187" s="30" t="inlineStr"/>
      <c r="J187" s="44">
        <f>IF(A187="","",D187+F187)</f>
        <v/>
      </c>
      <c r="K187" s="15">
        <f>IF(A187="","",IFERROR(VLOOKUP(B187,'13_Ausgangsrechnungen'!$A$4:$S$400,19,FALSE),0))</f>
        <v/>
      </c>
    </row>
    <row r="188">
      <c r="A188" s="30" t="inlineStr"/>
      <c r="B188" s="30" t="inlineStr"/>
      <c r="C188" s="30" t="inlineStr"/>
      <c r="D188" s="38" t="inlineStr"/>
      <c r="E188" s="31" t="inlineStr"/>
      <c r="F188" s="31" t="inlineStr"/>
      <c r="G188" s="30" t="inlineStr"/>
      <c r="H188" s="30" t="inlineStr"/>
      <c r="I188" s="30" t="inlineStr"/>
      <c r="J188" s="44">
        <f>IF(A188="","",D188+F188)</f>
        <v/>
      </c>
      <c r="K188" s="15">
        <f>IF(A188="","",IFERROR(VLOOKUP(B188,'13_Ausgangsrechnungen'!$A$4:$S$400,19,FALSE),0))</f>
        <v/>
      </c>
    </row>
    <row r="189">
      <c r="A189" s="30" t="inlineStr"/>
      <c r="B189" s="30" t="inlineStr"/>
      <c r="C189" s="30" t="inlineStr"/>
      <c r="D189" s="38" t="inlineStr"/>
      <c r="E189" s="31" t="inlineStr"/>
      <c r="F189" s="31" t="inlineStr"/>
      <c r="G189" s="30" t="inlineStr"/>
      <c r="H189" s="30" t="inlineStr"/>
      <c r="I189" s="30" t="inlineStr"/>
      <c r="J189" s="44">
        <f>IF(A189="","",D189+F189)</f>
        <v/>
      </c>
      <c r="K189" s="15">
        <f>IF(A189="","",IFERROR(VLOOKUP(B189,'13_Ausgangsrechnungen'!$A$4:$S$400,19,FALSE),0))</f>
        <v/>
      </c>
    </row>
    <row r="190">
      <c r="A190" s="30" t="inlineStr"/>
      <c r="B190" s="30" t="inlineStr"/>
      <c r="C190" s="30" t="inlineStr"/>
      <c r="D190" s="38" t="inlineStr"/>
      <c r="E190" s="31" t="inlineStr"/>
      <c r="F190" s="31" t="inlineStr"/>
      <c r="G190" s="30" t="inlineStr"/>
      <c r="H190" s="30" t="inlineStr"/>
      <c r="I190" s="30" t="inlineStr"/>
      <c r="J190" s="44">
        <f>IF(A190="","",D190+F190)</f>
        <v/>
      </c>
      <c r="K190" s="15">
        <f>IF(A190="","",IFERROR(VLOOKUP(B190,'13_Ausgangsrechnungen'!$A$4:$S$400,19,FALSE),0))</f>
        <v/>
      </c>
    </row>
    <row r="191">
      <c r="A191" s="30" t="inlineStr"/>
      <c r="B191" s="30" t="inlineStr"/>
      <c r="C191" s="30" t="inlineStr"/>
      <c r="D191" s="38" t="inlineStr"/>
      <c r="E191" s="31" t="inlineStr"/>
      <c r="F191" s="31" t="inlineStr"/>
      <c r="G191" s="30" t="inlineStr"/>
      <c r="H191" s="30" t="inlineStr"/>
      <c r="I191" s="30" t="inlineStr"/>
      <c r="J191" s="44">
        <f>IF(A191="","",D191+F191)</f>
        <v/>
      </c>
      <c r="K191" s="15">
        <f>IF(A191="","",IFERROR(VLOOKUP(B191,'13_Ausgangsrechnungen'!$A$4:$S$400,19,FALSE),0))</f>
        <v/>
      </c>
    </row>
    <row r="192">
      <c r="A192" s="30" t="inlineStr"/>
      <c r="B192" s="30" t="inlineStr"/>
      <c r="C192" s="30" t="inlineStr"/>
      <c r="D192" s="38" t="inlineStr"/>
      <c r="E192" s="31" t="inlineStr"/>
      <c r="F192" s="31" t="inlineStr"/>
      <c r="G192" s="30" t="inlineStr"/>
      <c r="H192" s="30" t="inlineStr"/>
      <c r="I192" s="30" t="inlineStr"/>
      <c r="J192" s="44">
        <f>IF(A192="","",D192+F192)</f>
        <v/>
      </c>
      <c r="K192" s="15">
        <f>IF(A192="","",IFERROR(VLOOKUP(B192,'13_Ausgangsrechnungen'!$A$4:$S$400,19,FALSE),0))</f>
        <v/>
      </c>
    </row>
    <row r="193">
      <c r="A193" s="30" t="inlineStr"/>
      <c r="B193" s="30" t="inlineStr"/>
      <c r="C193" s="30" t="inlineStr"/>
      <c r="D193" s="38" t="inlineStr"/>
      <c r="E193" s="31" t="inlineStr"/>
      <c r="F193" s="31" t="inlineStr"/>
      <c r="G193" s="30" t="inlineStr"/>
      <c r="H193" s="30" t="inlineStr"/>
      <c r="I193" s="30" t="inlineStr"/>
      <c r="J193" s="44">
        <f>IF(A193="","",D193+F193)</f>
        <v/>
      </c>
      <c r="K193" s="15">
        <f>IF(A193="","",IFERROR(VLOOKUP(B193,'13_Ausgangsrechnungen'!$A$4:$S$400,19,FALSE),0))</f>
        <v/>
      </c>
    </row>
    <row r="194">
      <c r="A194" s="30" t="inlineStr"/>
      <c r="B194" s="30" t="inlineStr"/>
      <c r="C194" s="30" t="inlineStr"/>
      <c r="D194" s="38" t="inlineStr"/>
      <c r="E194" s="31" t="inlineStr"/>
      <c r="F194" s="31" t="inlineStr"/>
      <c r="G194" s="30" t="inlineStr"/>
      <c r="H194" s="30" t="inlineStr"/>
      <c r="I194" s="30" t="inlineStr"/>
      <c r="J194" s="44">
        <f>IF(A194="","",D194+F194)</f>
        <v/>
      </c>
      <c r="K194" s="15">
        <f>IF(A194="","",IFERROR(VLOOKUP(B194,'13_Ausgangsrechnungen'!$A$4:$S$400,19,FALSE),0))</f>
        <v/>
      </c>
    </row>
    <row r="195">
      <c r="A195" s="30" t="inlineStr"/>
      <c r="B195" s="30" t="inlineStr"/>
      <c r="C195" s="30" t="inlineStr"/>
      <c r="D195" s="38" t="inlineStr"/>
      <c r="E195" s="31" t="inlineStr"/>
      <c r="F195" s="31" t="inlineStr"/>
      <c r="G195" s="30" t="inlineStr"/>
      <c r="H195" s="30" t="inlineStr"/>
      <c r="I195" s="30" t="inlineStr"/>
      <c r="J195" s="44">
        <f>IF(A195="","",D195+F195)</f>
        <v/>
      </c>
      <c r="K195" s="15">
        <f>IF(A195="","",IFERROR(VLOOKUP(B195,'13_Ausgangsrechnungen'!$A$4:$S$400,19,FALSE),0))</f>
        <v/>
      </c>
    </row>
    <row r="196">
      <c r="A196" s="30" t="inlineStr"/>
      <c r="B196" s="30" t="inlineStr"/>
      <c r="C196" s="30" t="inlineStr"/>
      <c r="D196" s="38" t="inlineStr"/>
      <c r="E196" s="31" t="inlineStr"/>
      <c r="F196" s="31" t="inlineStr"/>
      <c r="G196" s="30" t="inlineStr"/>
      <c r="H196" s="30" t="inlineStr"/>
      <c r="I196" s="30" t="inlineStr"/>
      <c r="J196" s="44">
        <f>IF(A196="","",D196+F196)</f>
        <v/>
      </c>
      <c r="K196" s="15">
        <f>IF(A196="","",IFERROR(VLOOKUP(B196,'13_Ausgangsrechnungen'!$A$4:$S$400,19,FALSE),0))</f>
        <v/>
      </c>
    </row>
    <row r="197">
      <c r="A197" s="30" t="inlineStr"/>
      <c r="B197" s="30" t="inlineStr"/>
      <c r="C197" s="30" t="inlineStr"/>
      <c r="D197" s="38" t="inlineStr"/>
      <c r="E197" s="31" t="inlineStr"/>
      <c r="F197" s="31" t="inlineStr"/>
      <c r="G197" s="30" t="inlineStr"/>
      <c r="H197" s="30" t="inlineStr"/>
      <c r="I197" s="30" t="inlineStr"/>
      <c r="J197" s="44">
        <f>IF(A197="","",D197+F197)</f>
        <v/>
      </c>
      <c r="K197" s="15">
        <f>IF(A197="","",IFERROR(VLOOKUP(B197,'13_Ausgangsrechnungen'!$A$4:$S$400,19,FALSE),0))</f>
        <v/>
      </c>
    </row>
    <row r="198">
      <c r="A198" s="30" t="inlineStr"/>
      <c r="B198" s="30" t="inlineStr"/>
      <c r="C198" s="30" t="inlineStr"/>
      <c r="D198" s="38" t="inlineStr"/>
      <c r="E198" s="31" t="inlineStr"/>
      <c r="F198" s="31" t="inlineStr"/>
      <c r="G198" s="30" t="inlineStr"/>
      <c r="H198" s="30" t="inlineStr"/>
      <c r="I198" s="30" t="inlineStr"/>
      <c r="J198" s="44">
        <f>IF(A198="","",D198+F198)</f>
        <v/>
      </c>
      <c r="K198" s="15">
        <f>IF(A198="","",IFERROR(VLOOKUP(B198,'13_Ausgangsrechnungen'!$A$4:$S$400,19,FALSE),0))</f>
        <v/>
      </c>
    </row>
    <row r="199">
      <c r="A199" s="30" t="inlineStr"/>
      <c r="B199" s="30" t="inlineStr"/>
      <c r="C199" s="30" t="inlineStr"/>
      <c r="D199" s="38" t="inlineStr"/>
      <c r="E199" s="31" t="inlineStr"/>
      <c r="F199" s="31" t="inlineStr"/>
      <c r="G199" s="30" t="inlineStr"/>
      <c r="H199" s="30" t="inlineStr"/>
      <c r="I199" s="30" t="inlineStr"/>
      <c r="J199" s="44">
        <f>IF(A199="","",D199+F199)</f>
        <v/>
      </c>
      <c r="K199" s="15">
        <f>IF(A199="","",IFERROR(VLOOKUP(B199,'13_Ausgangsrechnungen'!$A$4:$S$400,19,FALSE),0))</f>
        <v/>
      </c>
    </row>
    <row r="200">
      <c r="A200" s="30" t="inlineStr"/>
      <c r="B200" s="30" t="inlineStr"/>
      <c r="C200" s="30" t="inlineStr"/>
      <c r="D200" s="38" t="inlineStr"/>
      <c r="E200" s="31" t="inlineStr"/>
      <c r="F200" s="31" t="inlineStr"/>
      <c r="G200" s="30" t="inlineStr"/>
      <c r="H200" s="30" t="inlineStr"/>
      <c r="I200" s="30" t="inlineStr"/>
      <c r="J200" s="44">
        <f>IF(A200="","",D200+F200)</f>
        <v/>
      </c>
      <c r="K200" s="15">
        <f>IF(A200="","",IFERROR(VLOOKUP(B200,'13_Ausgangsrechnungen'!$A$4:$S$400,19,FALSE),0))</f>
        <v/>
      </c>
    </row>
    <row r="201">
      <c r="A201" s="30" t="inlineStr"/>
      <c r="B201" s="30" t="inlineStr"/>
      <c r="C201" s="30" t="inlineStr"/>
      <c r="D201" s="38" t="inlineStr"/>
      <c r="E201" s="31" t="inlineStr"/>
      <c r="F201" s="31" t="inlineStr"/>
      <c r="G201" s="30" t="inlineStr"/>
      <c r="H201" s="30" t="inlineStr"/>
      <c r="I201" s="30" t="inlineStr"/>
      <c r="J201" s="44">
        <f>IF(A201="","",D201+F201)</f>
        <v/>
      </c>
      <c r="K201" s="15">
        <f>IF(A201="","",IFERROR(VLOOKUP(B201,'13_Ausgangsrechnungen'!$A$4:$S$400,19,FALSE),0))</f>
        <v/>
      </c>
    </row>
    <row r="202">
      <c r="A202" s="30" t="inlineStr"/>
      <c r="B202" s="30" t="inlineStr"/>
      <c r="C202" s="30" t="inlineStr"/>
      <c r="D202" s="38" t="inlineStr"/>
      <c r="E202" s="31" t="inlineStr"/>
      <c r="F202" s="31" t="inlineStr"/>
      <c r="G202" s="30" t="inlineStr"/>
      <c r="H202" s="30" t="inlineStr"/>
      <c r="I202" s="30" t="inlineStr"/>
      <c r="J202" s="44">
        <f>IF(A202="","",D202+F202)</f>
        <v/>
      </c>
      <c r="K202" s="15">
        <f>IF(A202="","",IFERROR(VLOOKUP(B202,'13_Ausgangsrechnungen'!$A$4:$S$400,19,FALSE),0))</f>
        <v/>
      </c>
    </row>
    <row r="203">
      <c r="A203" s="30" t="inlineStr"/>
      <c r="B203" s="30" t="inlineStr"/>
      <c r="C203" s="30" t="inlineStr"/>
      <c r="D203" s="38" t="inlineStr"/>
      <c r="E203" s="31" t="inlineStr"/>
      <c r="F203" s="31" t="inlineStr"/>
      <c r="G203" s="30" t="inlineStr"/>
      <c r="H203" s="30" t="inlineStr"/>
      <c r="I203" s="30" t="inlineStr"/>
      <c r="J203" s="44">
        <f>IF(A203="","",D203+F203)</f>
        <v/>
      </c>
      <c r="K203" s="15">
        <f>IF(A203="","",IFERROR(VLOOKUP(B203,'13_Ausgangsrechnungen'!$A$4:$S$400,19,FALSE),0))</f>
        <v/>
      </c>
    </row>
    <row r="204">
      <c r="A204" s="30" t="inlineStr"/>
      <c r="B204" s="30" t="inlineStr"/>
      <c r="C204" s="30" t="inlineStr"/>
      <c r="D204" s="38" t="inlineStr"/>
      <c r="E204" s="31" t="inlineStr"/>
      <c r="F204" s="31" t="inlineStr"/>
      <c r="G204" s="30" t="inlineStr"/>
      <c r="H204" s="30" t="inlineStr"/>
      <c r="I204" s="30" t="inlineStr"/>
      <c r="J204" s="44">
        <f>IF(A204="","",D204+F204)</f>
        <v/>
      </c>
      <c r="K204" s="15">
        <f>IF(A204="","",IFERROR(VLOOKUP(B204,'13_Ausgangsrechnungen'!$A$4:$S$400,19,FALSE),0))</f>
        <v/>
      </c>
    </row>
    <row r="205">
      <c r="A205" s="30" t="inlineStr"/>
      <c r="B205" s="30" t="inlineStr"/>
      <c r="C205" s="30" t="inlineStr"/>
      <c r="D205" s="38" t="inlineStr"/>
      <c r="E205" s="31" t="inlineStr"/>
      <c r="F205" s="31" t="inlineStr"/>
      <c r="G205" s="30" t="inlineStr"/>
      <c r="H205" s="30" t="inlineStr"/>
      <c r="I205" s="30" t="inlineStr"/>
      <c r="J205" s="44">
        <f>IF(A205="","",D205+F205)</f>
        <v/>
      </c>
      <c r="K205" s="15">
        <f>IF(A205="","",IFERROR(VLOOKUP(B205,'13_Ausgangsrechnungen'!$A$4:$S$400,19,FALSE),0))</f>
        <v/>
      </c>
    </row>
    <row r="206">
      <c r="A206" s="30" t="inlineStr"/>
      <c r="B206" s="30" t="inlineStr"/>
      <c r="C206" s="30" t="inlineStr"/>
      <c r="D206" s="38" t="inlineStr"/>
      <c r="E206" s="31" t="inlineStr"/>
      <c r="F206" s="31" t="inlineStr"/>
      <c r="G206" s="30" t="inlineStr"/>
      <c r="H206" s="30" t="inlineStr"/>
      <c r="I206" s="30" t="inlineStr"/>
      <c r="J206" s="44">
        <f>IF(A206="","",D206+F206)</f>
        <v/>
      </c>
      <c r="K206" s="15">
        <f>IF(A206="","",IFERROR(VLOOKUP(B206,'13_Ausgangsrechnungen'!$A$4:$S$400,19,FALSE),0))</f>
        <v/>
      </c>
    </row>
    <row r="207">
      <c r="A207" s="30" t="inlineStr"/>
      <c r="B207" s="30" t="inlineStr"/>
      <c r="C207" s="30" t="inlineStr"/>
      <c r="D207" s="38" t="inlineStr"/>
      <c r="E207" s="31" t="inlineStr"/>
      <c r="F207" s="31" t="inlineStr"/>
      <c r="G207" s="30" t="inlineStr"/>
      <c r="H207" s="30" t="inlineStr"/>
      <c r="I207" s="30" t="inlineStr"/>
      <c r="J207" s="44">
        <f>IF(A207="","",D207+F207)</f>
        <v/>
      </c>
      <c r="K207" s="15">
        <f>IF(A207="","",IFERROR(VLOOKUP(B207,'13_Ausgangsrechnungen'!$A$4:$S$400,19,FALSE),0))</f>
        <v/>
      </c>
    </row>
    <row r="208">
      <c r="A208" s="30" t="inlineStr"/>
      <c r="B208" s="30" t="inlineStr"/>
      <c r="C208" s="30" t="inlineStr"/>
      <c r="D208" s="38" t="inlineStr"/>
      <c r="E208" s="31" t="inlineStr"/>
      <c r="F208" s="31" t="inlineStr"/>
      <c r="G208" s="30" t="inlineStr"/>
      <c r="H208" s="30" t="inlineStr"/>
      <c r="I208" s="30" t="inlineStr"/>
      <c r="J208" s="44">
        <f>IF(A208="","",D208+F208)</f>
        <v/>
      </c>
      <c r="K208" s="15">
        <f>IF(A208="","",IFERROR(VLOOKUP(B208,'13_Ausgangsrechnungen'!$A$4:$S$400,19,FALSE),0))</f>
        <v/>
      </c>
    </row>
    <row r="209">
      <c r="A209" s="30" t="inlineStr"/>
      <c r="B209" s="30" t="inlineStr"/>
      <c r="C209" s="30" t="inlineStr"/>
      <c r="D209" s="38" t="inlineStr"/>
      <c r="E209" s="31" t="inlineStr"/>
      <c r="F209" s="31" t="inlineStr"/>
      <c r="G209" s="30" t="inlineStr"/>
      <c r="H209" s="30" t="inlineStr"/>
      <c r="I209" s="30" t="inlineStr"/>
      <c r="J209" s="44">
        <f>IF(A209="","",D209+F209)</f>
        <v/>
      </c>
      <c r="K209" s="15">
        <f>IF(A209="","",IFERROR(VLOOKUP(B209,'13_Ausgangsrechnungen'!$A$4:$S$400,19,FALSE),0))</f>
        <v/>
      </c>
    </row>
    <row r="210">
      <c r="A210" s="30" t="inlineStr"/>
      <c r="B210" s="30" t="inlineStr"/>
      <c r="C210" s="30" t="inlineStr"/>
      <c r="D210" s="38" t="inlineStr"/>
      <c r="E210" s="31" t="inlineStr"/>
      <c r="F210" s="31" t="inlineStr"/>
      <c r="G210" s="30" t="inlineStr"/>
      <c r="H210" s="30" t="inlineStr"/>
      <c r="I210" s="30" t="inlineStr"/>
      <c r="J210" s="44">
        <f>IF(A210="","",D210+F210)</f>
        <v/>
      </c>
      <c r="K210" s="15">
        <f>IF(A210="","",IFERROR(VLOOKUP(B210,'13_Ausgangsrechnungen'!$A$4:$S$400,19,FALSE),0))</f>
        <v/>
      </c>
    </row>
    <row r="211">
      <c r="A211" s="30" t="inlineStr"/>
      <c r="B211" s="30" t="inlineStr"/>
      <c r="C211" s="30" t="inlineStr"/>
      <c r="D211" s="38" t="inlineStr"/>
      <c r="E211" s="31" t="inlineStr"/>
      <c r="F211" s="31" t="inlineStr"/>
      <c r="G211" s="30" t="inlineStr"/>
      <c r="H211" s="30" t="inlineStr"/>
      <c r="I211" s="30" t="inlineStr"/>
      <c r="J211" s="44">
        <f>IF(A211="","",D211+F211)</f>
        <v/>
      </c>
      <c r="K211" s="15">
        <f>IF(A211="","",IFERROR(VLOOKUP(B211,'13_Ausgangsrechnungen'!$A$4:$S$400,19,FALSE),0))</f>
        <v/>
      </c>
    </row>
    <row r="212">
      <c r="A212" s="30" t="inlineStr"/>
      <c r="B212" s="30" t="inlineStr"/>
      <c r="C212" s="30" t="inlineStr"/>
      <c r="D212" s="38" t="inlineStr"/>
      <c r="E212" s="31" t="inlineStr"/>
      <c r="F212" s="31" t="inlineStr"/>
      <c r="G212" s="30" t="inlineStr"/>
      <c r="H212" s="30" t="inlineStr"/>
      <c r="I212" s="30" t="inlineStr"/>
      <c r="J212" s="44">
        <f>IF(A212="","",D212+F212)</f>
        <v/>
      </c>
      <c r="K212" s="15">
        <f>IF(A212="","",IFERROR(VLOOKUP(B212,'13_Ausgangsrechnungen'!$A$4:$S$400,19,FALSE),0))</f>
        <v/>
      </c>
    </row>
    <row r="213">
      <c r="A213" s="30" t="inlineStr"/>
      <c r="B213" s="30" t="inlineStr"/>
      <c r="C213" s="30" t="inlineStr"/>
      <c r="D213" s="38" t="inlineStr"/>
      <c r="E213" s="31" t="inlineStr"/>
      <c r="F213" s="31" t="inlineStr"/>
      <c r="G213" s="30" t="inlineStr"/>
      <c r="H213" s="30" t="inlineStr"/>
      <c r="I213" s="30" t="inlineStr"/>
      <c r="J213" s="44">
        <f>IF(A213="","",D213+F213)</f>
        <v/>
      </c>
      <c r="K213" s="15">
        <f>IF(A213="","",IFERROR(VLOOKUP(B213,'13_Ausgangsrechnungen'!$A$4:$S$400,19,FALSE),0))</f>
        <v/>
      </c>
    </row>
    <row r="214">
      <c r="A214" s="30" t="inlineStr"/>
      <c r="B214" s="30" t="inlineStr"/>
      <c r="C214" s="30" t="inlineStr"/>
      <c r="D214" s="38" t="inlineStr"/>
      <c r="E214" s="31" t="inlineStr"/>
      <c r="F214" s="31" t="inlineStr"/>
      <c r="G214" s="30" t="inlineStr"/>
      <c r="H214" s="30" t="inlineStr"/>
      <c r="I214" s="30" t="inlineStr"/>
      <c r="J214" s="44">
        <f>IF(A214="","",D214+F214)</f>
        <v/>
      </c>
      <c r="K214" s="15">
        <f>IF(A214="","",IFERROR(VLOOKUP(B214,'13_Ausgangsrechnungen'!$A$4:$S$400,19,FALSE),0))</f>
        <v/>
      </c>
    </row>
    <row r="215">
      <c r="A215" s="30" t="inlineStr"/>
      <c r="B215" s="30" t="inlineStr"/>
      <c r="C215" s="30" t="inlineStr"/>
      <c r="D215" s="38" t="inlineStr"/>
      <c r="E215" s="31" t="inlineStr"/>
      <c r="F215" s="31" t="inlineStr"/>
      <c r="G215" s="30" t="inlineStr"/>
      <c r="H215" s="30" t="inlineStr"/>
      <c r="I215" s="30" t="inlineStr"/>
      <c r="J215" s="44">
        <f>IF(A215="","",D215+F215)</f>
        <v/>
      </c>
      <c r="K215" s="15">
        <f>IF(A215="","",IFERROR(VLOOKUP(B215,'13_Ausgangsrechnungen'!$A$4:$S$400,19,FALSE),0))</f>
        <v/>
      </c>
    </row>
    <row r="216">
      <c r="A216" s="30" t="inlineStr"/>
      <c r="B216" s="30" t="inlineStr"/>
      <c r="C216" s="30" t="inlineStr"/>
      <c r="D216" s="38" t="inlineStr"/>
      <c r="E216" s="31" t="inlineStr"/>
      <c r="F216" s="31" t="inlineStr"/>
      <c r="G216" s="30" t="inlineStr"/>
      <c r="H216" s="30" t="inlineStr"/>
      <c r="I216" s="30" t="inlineStr"/>
      <c r="J216" s="44">
        <f>IF(A216="","",D216+F216)</f>
        <v/>
      </c>
      <c r="K216" s="15">
        <f>IF(A216="","",IFERROR(VLOOKUP(B216,'13_Ausgangsrechnungen'!$A$4:$S$400,19,FALSE),0))</f>
        <v/>
      </c>
    </row>
    <row r="217">
      <c r="A217" s="30" t="inlineStr"/>
      <c r="B217" s="30" t="inlineStr"/>
      <c r="C217" s="30" t="inlineStr"/>
      <c r="D217" s="38" t="inlineStr"/>
      <c r="E217" s="31" t="inlineStr"/>
      <c r="F217" s="31" t="inlineStr"/>
      <c r="G217" s="30" t="inlineStr"/>
      <c r="H217" s="30" t="inlineStr"/>
      <c r="I217" s="30" t="inlineStr"/>
      <c r="J217" s="44">
        <f>IF(A217="","",D217+F217)</f>
        <v/>
      </c>
      <c r="K217" s="15">
        <f>IF(A217="","",IFERROR(VLOOKUP(B217,'13_Ausgangsrechnungen'!$A$4:$S$400,19,FALSE),0))</f>
        <v/>
      </c>
    </row>
    <row r="218">
      <c r="A218" s="30" t="inlineStr"/>
      <c r="B218" s="30" t="inlineStr"/>
      <c r="C218" s="30" t="inlineStr"/>
      <c r="D218" s="38" t="inlineStr"/>
      <c r="E218" s="31" t="inlineStr"/>
      <c r="F218" s="31" t="inlineStr"/>
      <c r="G218" s="30" t="inlineStr"/>
      <c r="H218" s="30" t="inlineStr"/>
      <c r="I218" s="30" t="inlineStr"/>
      <c r="J218" s="44">
        <f>IF(A218="","",D218+F218)</f>
        <v/>
      </c>
      <c r="K218" s="15">
        <f>IF(A218="","",IFERROR(VLOOKUP(B218,'13_Ausgangsrechnungen'!$A$4:$S$400,19,FALSE),0))</f>
        <v/>
      </c>
    </row>
    <row r="219">
      <c r="A219" s="30" t="inlineStr"/>
      <c r="B219" s="30" t="inlineStr"/>
      <c r="C219" s="30" t="inlineStr"/>
      <c r="D219" s="38" t="inlineStr"/>
      <c r="E219" s="31" t="inlineStr"/>
      <c r="F219" s="31" t="inlineStr"/>
      <c r="G219" s="30" t="inlineStr"/>
      <c r="H219" s="30" t="inlineStr"/>
      <c r="I219" s="30" t="inlineStr"/>
      <c r="J219" s="44">
        <f>IF(A219="","",D219+F219)</f>
        <v/>
      </c>
      <c r="K219" s="15">
        <f>IF(A219="","",IFERROR(VLOOKUP(B219,'13_Ausgangsrechnungen'!$A$4:$S$400,19,FALSE),0))</f>
        <v/>
      </c>
    </row>
    <row r="220">
      <c r="A220" s="30" t="inlineStr"/>
      <c r="B220" s="30" t="inlineStr"/>
      <c r="C220" s="30" t="inlineStr"/>
      <c r="D220" s="38" t="inlineStr"/>
      <c r="E220" s="31" t="inlineStr"/>
      <c r="F220" s="31" t="inlineStr"/>
      <c r="G220" s="30" t="inlineStr"/>
      <c r="H220" s="30" t="inlineStr"/>
      <c r="I220" s="30" t="inlineStr"/>
      <c r="J220" s="44">
        <f>IF(A220="","",D220+F220)</f>
        <v/>
      </c>
      <c r="K220" s="15">
        <f>IF(A220="","",IFERROR(VLOOKUP(B220,'13_Ausgangsrechnungen'!$A$4:$S$400,19,FALSE),0))</f>
        <v/>
      </c>
    </row>
    <row r="221">
      <c r="A221" s="30" t="inlineStr"/>
      <c r="B221" s="30" t="inlineStr"/>
      <c r="C221" s="30" t="inlineStr"/>
      <c r="D221" s="38" t="inlineStr"/>
      <c r="E221" s="31" t="inlineStr"/>
      <c r="F221" s="31" t="inlineStr"/>
      <c r="G221" s="30" t="inlineStr"/>
      <c r="H221" s="30" t="inlineStr"/>
      <c r="I221" s="30" t="inlineStr"/>
      <c r="J221" s="44">
        <f>IF(A221="","",D221+F221)</f>
        <v/>
      </c>
      <c r="K221" s="15">
        <f>IF(A221="","",IFERROR(VLOOKUP(B221,'13_Ausgangsrechnungen'!$A$4:$S$400,19,FALSE),0))</f>
        <v/>
      </c>
    </row>
    <row r="222">
      <c r="A222" s="30" t="inlineStr"/>
      <c r="B222" s="30" t="inlineStr"/>
      <c r="C222" s="30" t="inlineStr"/>
      <c r="D222" s="38" t="inlineStr"/>
      <c r="E222" s="31" t="inlineStr"/>
      <c r="F222" s="31" t="inlineStr"/>
      <c r="G222" s="30" t="inlineStr"/>
      <c r="H222" s="30" t="inlineStr"/>
      <c r="I222" s="30" t="inlineStr"/>
      <c r="J222" s="44">
        <f>IF(A222="","",D222+F222)</f>
        <v/>
      </c>
      <c r="K222" s="15">
        <f>IF(A222="","",IFERROR(VLOOKUP(B222,'13_Ausgangsrechnungen'!$A$4:$S$400,19,FALSE),0))</f>
        <v/>
      </c>
    </row>
    <row r="223">
      <c r="A223" s="30" t="inlineStr"/>
      <c r="B223" s="30" t="inlineStr"/>
      <c r="C223" s="30" t="inlineStr"/>
      <c r="D223" s="38" t="inlineStr"/>
      <c r="E223" s="31" t="inlineStr"/>
      <c r="F223" s="31" t="inlineStr"/>
      <c r="G223" s="30" t="inlineStr"/>
      <c r="H223" s="30" t="inlineStr"/>
      <c r="I223" s="30" t="inlineStr"/>
      <c r="J223" s="44">
        <f>IF(A223="","",D223+F223)</f>
        <v/>
      </c>
      <c r="K223" s="15">
        <f>IF(A223="","",IFERROR(VLOOKUP(B223,'13_Ausgangsrechnungen'!$A$4:$S$400,19,FALSE),0))</f>
        <v/>
      </c>
    </row>
    <row r="224">
      <c r="A224" s="30" t="inlineStr"/>
      <c r="B224" s="30" t="inlineStr"/>
      <c r="C224" s="30" t="inlineStr"/>
      <c r="D224" s="38" t="inlineStr"/>
      <c r="E224" s="31" t="inlineStr"/>
      <c r="F224" s="31" t="inlineStr"/>
      <c r="G224" s="30" t="inlineStr"/>
      <c r="H224" s="30" t="inlineStr"/>
      <c r="I224" s="30" t="inlineStr"/>
      <c r="J224" s="44">
        <f>IF(A224="","",D224+F224)</f>
        <v/>
      </c>
      <c r="K224" s="15">
        <f>IF(A224="","",IFERROR(VLOOKUP(B224,'13_Ausgangsrechnungen'!$A$4:$S$400,19,FALSE),0))</f>
        <v/>
      </c>
    </row>
    <row r="225">
      <c r="A225" s="30" t="inlineStr"/>
      <c r="B225" s="30" t="inlineStr"/>
      <c r="C225" s="30" t="inlineStr"/>
      <c r="D225" s="38" t="inlineStr"/>
      <c r="E225" s="31" t="inlineStr"/>
      <c r="F225" s="31" t="inlineStr"/>
      <c r="G225" s="30" t="inlineStr"/>
      <c r="H225" s="30" t="inlineStr"/>
      <c r="I225" s="30" t="inlineStr"/>
      <c r="J225" s="44">
        <f>IF(A225="","",D225+F225)</f>
        <v/>
      </c>
      <c r="K225" s="15">
        <f>IF(A225="","",IFERROR(VLOOKUP(B225,'13_Ausgangsrechnungen'!$A$4:$S$400,19,FALSE),0))</f>
        <v/>
      </c>
    </row>
    <row r="226">
      <c r="A226" s="30" t="inlineStr"/>
      <c r="B226" s="30" t="inlineStr"/>
      <c r="C226" s="30" t="inlineStr"/>
      <c r="D226" s="38" t="inlineStr"/>
      <c r="E226" s="31" t="inlineStr"/>
      <c r="F226" s="31" t="inlineStr"/>
      <c r="G226" s="30" t="inlineStr"/>
      <c r="H226" s="30" t="inlineStr"/>
      <c r="I226" s="30" t="inlineStr"/>
      <c r="J226" s="44">
        <f>IF(A226="","",D226+F226)</f>
        <v/>
      </c>
      <c r="K226" s="15">
        <f>IF(A226="","",IFERROR(VLOOKUP(B226,'13_Ausgangsrechnungen'!$A$4:$S$400,19,FALSE),0))</f>
        <v/>
      </c>
    </row>
    <row r="227">
      <c r="A227" s="30" t="inlineStr"/>
      <c r="B227" s="30" t="inlineStr"/>
      <c r="C227" s="30" t="inlineStr"/>
      <c r="D227" s="38" t="inlineStr"/>
      <c r="E227" s="31" t="inlineStr"/>
      <c r="F227" s="31" t="inlineStr"/>
      <c r="G227" s="30" t="inlineStr"/>
      <c r="H227" s="30" t="inlineStr"/>
      <c r="I227" s="30" t="inlineStr"/>
      <c r="J227" s="44">
        <f>IF(A227="","",D227+F227)</f>
        <v/>
      </c>
      <c r="K227" s="15">
        <f>IF(A227="","",IFERROR(VLOOKUP(B227,'13_Ausgangsrechnungen'!$A$4:$S$400,19,FALSE),0))</f>
        <v/>
      </c>
    </row>
    <row r="228">
      <c r="A228" s="30" t="inlineStr"/>
      <c r="B228" s="30" t="inlineStr"/>
      <c r="C228" s="30" t="inlineStr"/>
      <c r="D228" s="38" t="inlineStr"/>
      <c r="E228" s="31" t="inlineStr"/>
      <c r="F228" s="31" t="inlineStr"/>
      <c r="G228" s="30" t="inlineStr"/>
      <c r="H228" s="30" t="inlineStr"/>
      <c r="I228" s="30" t="inlineStr"/>
      <c r="J228" s="44">
        <f>IF(A228="","",D228+F228)</f>
        <v/>
      </c>
      <c r="K228" s="15">
        <f>IF(A228="","",IFERROR(VLOOKUP(B228,'13_Ausgangsrechnungen'!$A$4:$S$400,19,FALSE),0))</f>
        <v/>
      </c>
    </row>
    <row r="229">
      <c r="A229" s="30" t="inlineStr"/>
      <c r="B229" s="30" t="inlineStr"/>
      <c r="C229" s="30" t="inlineStr"/>
      <c r="D229" s="38" t="inlineStr"/>
      <c r="E229" s="31" t="inlineStr"/>
      <c r="F229" s="31" t="inlineStr"/>
      <c r="G229" s="30" t="inlineStr"/>
      <c r="H229" s="30" t="inlineStr"/>
      <c r="I229" s="30" t="inlineStr"/>
      <c r="J229" s="44">
        <f>IF(A229="","",D229+F229)</f>
        <v/>
      </c>
      <c r="K229" s="15">
        <f>IF(A229="","",IFERROR(VLOOKUP(B229,'13_Ausgangsrechnungen'!$A$4:$S$400,19,FALSE),0))</f>
        <v/>
      </c>
    </row>
    <row r="230">
      <c r="A230" s="30" t="inlineStr"/>
      <c r="B230" s="30" t="inlineStr"/>
      <c r="C230" s="30" t="inlineStr"/>
      <c r="D230" s="38" t="inlineStr"/>
      <c r="E230" s="31" t="inlineStr"/>
      <c r="F230" s="31" t="inlineStr"/>
      <c r="G230" s="30" t="inlineStr"/>
      <c r="H230" s="30" t="inlineStr"/>
      <c r="I230" s="30" t="inlineStr"/>
      <c r="J230" s="44">
        <f>IF(A230="","",D230+F230)</f>
        <v/>
      </c>
      <c r="K230" s="15">
        <f>IF(A230="","",IFERROR(VLOOKUP(B230,'13_Ausgangsrechnungen'!$A$4:$S$400,19,FALSE),0))</f>
        <v/>
      </c>
    </row>
    <row r="231">
      <c r="A231" s="30" t="inlineStr"/>
      <c r="B231" s="30" t="inlineStr"/>
      <c r="C231" s="30" t="inlineStr"/>
      <c r="D231" s="38" t="inlineStr"/>
      <c r="E231" s="31" t="inlineStr"/>
      <c r="F231" s="31" t="inlineStr"/>
      <c r="G231" s="30" t="inlineStr"/>
      <c r="H231" s="30" t="inlineStr"/>
      <c r="I231" s="30" t="inlineStr"/>
      <c r="J231" s="44">
        <f>IF(A231="","",D231+F231)</f>
        <v/>
      </c>
      <c r="K231" s="15">
        <f>IF(A231="","",IFERROR(VLOOKUP(B231,'13_Ausgangsrechnungen'!$A$4:$S$400,19,FALSE),0))</f>
        <v/>
      </c>
    </row>
    <row r="232">
      <c r="A232" s="30" t="inlineStr"/>
      <c r="B232" s="30" t="inlineStr"/>
      <c r="C232" s="30" t="inlineStr"/>
      <c r="D232" s="38" t="inlineStr"/>
      <c r="E232" s="31" t="inlineStr"/>
      <c r="F232" s="31" t="inlineStr"/>
      <c r="G232" s="30" t="inlineStr"/>
      <c r="H232" s="30" t="inlineStr"/>
      <c r="I232" s="30" t="inlineStr"/>
      <c r="J232" s="44">
        <f>IF(A232="","",D232+F232)</f>
        <v/>
      </c>
      <c r="K232" s="15">
        <f>IF(A232="","",IFERROR(VLOOKUP(B232,'13_Ausgangsrechnungen'!$A$4:$S$400,19,FALSE),0))</f>
        <v/>
      </c>
    </row>
    <row r="233">
      <c r="A233" s="30" t="inlineStr"/>
      <c r="B233" s="30" t="inlineStr"/>
      <c r="C233" s="30" t="inlineStr"/>
      <c r="D233" s="38" t="inlineStr"/>
      <c r="E233" s="31" t="inlineStr"/>
      <c r="F233" s="31" t="inlineStr"/>
      <c r="G233" s="30" t="inlineStr"/>
      <c r="H233" s="30" t="inlineStr"/>
      <c r="I233" s="30" t="inlineStr"/>
      <c r="J233" s="44">
        <f>IF(A233="","",D233+F233)</f>
        <v/>
      </c>
      <c r="K233" s="15">
        <f>IF(A233="","",IFERROR(VLOOKUP(B233,'13_Ausgangsrechnungen'!$A$4:$S$400,19,FALSE),0))</f>
        <v/>
      </c>
    </row>
    <row r="234">
      <c r="A234" s="30" t="inlineStr"/>
      <c r="B234" s="30" t="inlineStr"/>
      <c r="C234" s="30" t="inlineStr"/>
      <c r="D234" s="38" t="inlineStr"/>
      <c r="E234" s="31" t="inlineStr"/>
      <c r="F234" s="31" t="inlineStr"/>
      <c r="G234" s="30" t="inlineStr"/>
      <c r="H234" s="30" t="inlineStr"/>
      <c r="I234" s="30" t="inlineStr"/>
      <c r="J234" s="44">
        <f>IF(A234="","",D234+F234)</f>
        <v/>
      </c>
      <c r="K234" s="15">
        <f>IF(A234="","",IFERROR(VLOOKUP(B234,'13_Ausgangsrechnungen'!$A$4:$S$400,19,FALSE),0))</f>
        <v/>
      </c>
    </row>
    <row r="235">
      <c r="A235" s="30" t="inlineStr"/>
      <c r="B235" s="30" t="inlineStr"/>
      <c r="C235" s="30" t="inlineStr"/>
      <c r="D235" s="38" t="inlineStr"/>
      <c r="E235" s="31" t="inlineStr"/>
      <c r="F235" s="31" t="inlineStr"/>
      <c r="G235" s="30" t="inlineStr"/>
      <c r="H235" s="30" t="inlineStr"/>
      <c r="I235" s="30" t="inlineStr"/>
      <c r="J235" s="44">
        <f>IF(A235="","",D235+F235)</f>
        <v/>
      </c>
      <c r="K235" s="15">
        <f>IF(A235="","",IFERROR(VLOOKUP(B235,'13_Ausgangsrechnungen'!$A$4:$S$400,19,FALSE),0))</f>
        <v/>
      </c>
    </row>
    <row r="236">
      <c r="A236" s="30" t="inlineStr"/>
      <c r="B236" s="30" t="inlineStr"/>
      <c r="C236" s="30" t="inlineStr"/>
      <c r="D236" s="38" t="inlineStr"/>
      <c r="E236" s="31" t="inlineStr"/>
      <c r="F236" s="31" t="inlineStr"/>
      <c r="G236" s="30" t="inlineStr"/>
      <c r="H236" s="30" t="inlineStr"/>
      <c r="I236" s="30" t="inlineStr"/>
      <c r="J236" s="44">
        <f>IF(A236="","",D236+F236)</f>
        <v/>
      </c>
      <c r="K236" s="15">
        <f>IF(A236="","",IFERROR(VLOOKUP(B236,'13_Ausgangsrechnungen'!$A$4:$S$400,19,FALSE),0))</f>
        <v/>
      </c>
    </row>
    <row r="237">
      <c r="A237" s="30" t="inlineStr"/>
      <c r="B237" s="30" t="inlineStr"/>
      <c r="C237" s="30" t="inlineStr"/>
      <c r="D237" s="38" t="inlineStr"/>
      <c r="E237" s="31" t="inlineStr"/>
      <c r="F237" s="31" t="inlineStr"/>
      <c r="G237" s="30" t="inlineStr"/>
      <c r="H237" s="30" t="inlineStr"/>
      <c r="I237" s="30" t="inlineStr"/>
      <c r="J237" s="44">
        <f>IF(A237="","",D237+F237)</f>
        <v/>
      </c>
      <c r="K237" s="15">
        <f>IF(A237="","",IFERROR(VLOOKUP(B237,'13_Ausgangsrechnungen'!$A$4:$S$400,19,FALSE),0))</f>
        <v/>
      </c>
    </row>
    <row r="238">
      <c r="A238" s="30" t="inlineStr"/>
      <c r="B238" s="30" t="inlineStr"/>
      <c r="C238" s="30" t="inlineStr"/>
      <c r="D238" s="38" t="inlineStr"/>
      <c r="E238" s="31" t="inlineStr"/>
      <c r="F238" s="31" t="inlineStr"/>
      <c r="G238" s="30" t="inlineStr"/>
      <c r="H238" s="30" t="inlineStr"/>
      <c r="I238" s="30" t="inlineStr"/>
      <c r="J238" s="44">
        <f>IF(A238="","",D238+F238)</f>
        <v/>
      </c>
      <c r="K238" s="15">
        <f>IF(A238="","",IFERROR(VLOOKUP(B238,'13_Ausgangsrechnungen'!$A$4:$S$400,19,FALSE),0))</f>
        <v/>
      </c>
    </row>
    <row r="239">
      <c r="A239" s="30" t="inlineStr"/>
      <c r="B239" s="30" t="inlineStr"/>
      <c r="C239" s="30" t="inlineStr"/>
      <c r="D239" s="38" t="inlineStr"/>
      <c r="E239" s="31" t="inlineStr"/>
      <c r="F239" s="31" t="inlineStr"/>
      <c r="G239" s="30" t="inlineStr"/>
      <c r="H239" s="30" t="inlineStr"/>
      <c r="I239" s="30" t="inlineStr"/>
      <c r="J239" s="44">
        <f>IF(A239="","",D239+F239)</f>
        <v/>
      </c>
      <c r="K239" s="15">
        <f>IF(A239="","",IFERROR(VLOOKUP(B239,'13_Ausgangsrechnungen'!$A$4:$S$400,19,FALSE),0))</f>
        <v/>
      </c>
    </row>
    <row r="240">
      <c r="A240" s="30" t="inlineStr"/>
      <c r="B240" s="30" t="inlineStr"/>
      <c r="C240" s="30" t="inlineStr"/>
      <c r="D240" s="38" t="inlineStr"/>
      <c r="E240" s="31" t="inlineStr"/>
      <c r="F240" s="31" t="inlineStr"/>
      <c r="G240" s="30" t="inlineStr"/>
      <c r="H240" s="30" t="inlineStr"/>
      <c r="I240" s="30" t="inlineStr"/>
      <c r="J240" s="44">
        <f>IF(A240="","",D240+F240)</f>
        <v/>
      </c>
      <c r="K240" s="15">
        <f>IF(A240="","",IFERROR(VLOOKUP(B240,'13_Ausgangsrechnungen'!$A$4:$S$400,19,FALSE),0))</f>
        <v/>
      </c>
    </row>
    <row r="241">
      <c r="A241" s="30" t="inlineStr"/>
      <c r="B241" s="30" t="inlineStr"/>
      <c r="C241" s="30" t="inlineStr"/>
      <c r="D241" s="38" t="inlineStr"/>
      <c r="E241" s="31" t="inlineStr"/>
      <c r="F241" s="31" t="inlineStr"/>
      <c r="G241" s="30" t="inlineStr"/>
      <c r="H241" s="30" t="inlineStr"/>
      <c r="I241" s="30" t="inlineStr"/>
      <c r="J241" s="44">
        <f>IF(A241="","",D241+F241)</f>
        <v/>
      </c>
      <c r="K241" s="15">
        <f>IF(A241="","",IFERROR(VLOOKUP(B241,'13_Ausgangsrechnungen'!$A$4:$S$400,19,FALSE),0))</f>
        <v/>
      </c>
    </row>
    <row r="242">
      <c r="A242" s="30" t="inlineStr"/>
      <c r="B242" s="30" t="inlineStr"/>
      <c r="C242" s="30" t="inlineStr"/>
      <c r="D242" s="38" t="inlineStr"/>
      <c r="E242" s="31" t="inlineStr"/>
      <c r="F242" s="31" t="inlineStr"/>
      <c r="G242" s="30" t="inlineStr"/>
      <c r="H242" s="30" t="inlineStr"/>
      <c r="I242" s="30" t="inlineStr"/>
      <c r="J242" s="44">
        <f>IF(A242="","",D242+F242)</f>
        <v/>
      </c>
      <c r="K242" s="15">
        <f>IF(A242="","",IFERROR(VLOOKUP(B242,'13_Ausgangsrechnungen'!$A$4:$S$400,19,FALSE),0))</f>
        <v/>
      </c>
    </row>
    <row r="243">
      <c r="A243" s="30" t="inlineStr"/>
      <c r="B243" s="30" t="inlineStr"/>
      <c r="C243" s="30" t="inlineStr"/>
      <c r="D243" s="38" t="inlineStr"/>
      <c r="E243" s="31" t="inlineStr"/>
      <c r="F243" s="31" t="inlineStr"/>
      <c r="G243" s="30" t="inlineStr"/>
      <c r="H243" s="30" t="inlineStr"/>
      <c r="I243" s="30" t="inlineStr"/>
      <c r="J243" s="44">
        <f>IF(A243="","",D243+F243)</f>
        <v/>
      </c>
      <c r="K243" s="15">
        <f>IF(A243="","",IFERROR(VLOOKUP(B243,'13_Ausgangsrechnungen'!$A$4:$S$400,19,FALSE),0))</f>
        <v/>
      </c>
    </row>
    <row r="244">
      <c r="A244" s="30" t="inlineStr"/>
      <c r="B244" s="30" t="inlineStr"/>
      <c r="C244" s="30" t="inlineStr"/>
      <c r="D244" s="38" t="inlineStr"/>
      <c r="E244" s="31" t="inlineStr"/>
      <c r="F244" s="31" t="inlineStr"/>
      <c r="G244" s="30" t="inlineStr"/>
      <c r="H244" s="30" t="inlineStr"/>
      <c r="I244" s="30" t="inlineStr"/>
      <c r="J244" s="44">
        <f>IF(A244="","",D244+F244)</f>
        <v/>
      </c>
      <c r="K244" s="15">
        <f>IF(A244="","",IFERROR(VLOOKUP(B244,'13_Ausgangsrechnungen'!$A$4:$S$400,19,FALSE),0))</f>
        <v/>
      </c>
    </row>
    <row r="245">
      <c r="A245" s="30" t="inlineStr"/>
      <c r="B245" s="30" t="inlineStr"/>
      <c r="C245" s="30" t="inlineStr"/>
      <c r="D245" s="38" t="inlineStr"/>
      <c r="E245" s="31" t="inlineStr"/>
      <c r="F245" s="31" t="inlineStr"/>
      <c r="G245" s="30" t="inlineStr"/>
      <c r="H245" s="30" t="inlineStr"/>
      <c r="I245" s="30" t="inlineStr"/>
      <c r="J245" s="44">
        <f>IF(A245="","",D245+F245)</f>
        <v/>
      </c>
      <c r="K245" s="15">
        <f>IF(A245="","",IFERROR(VLOOKUP(B245,'13_Ausgangsrechnungen'!$A$4:$S$400,19,FALSE),0))</f>
        <v/>
      </c>
    </row>
    <row r="246">
      <c r="A246" s="30" t="inlineStr"/>
      <c r="B246" s="30" t="inlineStr"/>
      <c r="C246" s="30" t="inlineStr"/>
      <c r="D246" s="38" t="inlineStr"/>
      <c r="E246" s="31" t="inlineStr"/>
      <c r="F246" s="31" t="inlineStr"/>
      <c r="G246" s="30" t="inlineStr"/>
      <c r="H246" s="30" t="inlineStr"/>
      <c r="I246" s="30" t="inlineStr"/>
      <c r="J246" s="44">
        <f>IF(A246="","",D246+F246)</f>
        <v/>
      </c>
      <c r="K246" s="15">
        <f>IF(A246="","",IFERROR(VLOOKUP(B246,'13_Ausgangsrechnungen'!$A$4:$S$400,19,FALSE),0))</f>
        <v/>
      </c>
    </row>
    <row r="247">
      <c r="A247" s="30" t="inlineStr"/>
      <c r="B247" s="30" t="inlineStr"/>
      <c r="C247" s="30" t="inlineStr"/>
      <c r="D247" s="38" t="inlineStr"/>
      <c r="E247" s="31" t="inlineStr"/>
      <c r="F247" s="31" t="inlineStr"/>
      <c r="G247" s="30" t="inlineStr"/>
      <c r="H247" s="30" t="inlineStr"/>
      <c r="I247" s="30" t="inlineStr"/>
      <c r="J247" s="44">
        <f>IF(A247="","",D247+F247)</f>
        <v/>
      </c>
      <c r="K247" s="15">
        <f>IF(A247="","",IFERROR(VLOOKUP(B247,'13_Ausgangsrechnungen'!$A$4:$S$400,19,FALSE),0))</f>
        <v/>
      </c>
    </row>
    <row r="248">
      <c r="A248" s="30" t="inlineStr"/>
      <c r="B248" s="30" t="inlineStr"/>
      <c r="C248" s="30" t="inlineStr"/>
      <c r="D248" s="38" t="inlineStr"/>
      <c r="E248" s="31" t="inlineStr"/>
      <c r="F248" s="31" t="inlineStr"/>
      <c r="G248" s="30" t="inlineStr"/>
      <c r="H248" s="30" t="inlineStr"/>
      <c r="I248" s="30" t="inlineStr"/>
      <c r="J248" s="44">
        <f>IF(A248="","",D248+F248)</f>
        <v/>
      </c>
      <c r="K248" s="15">
        <f>IF(A248="","",IFERROR(VLOOKUP(B248,'13_Ausgangsrechnungen'!$A$4:$S$400,19,FALSE),0))</f>
        <v/>
      </c>
    </row>
    <row r="249">
      <c r="A249" s="30" t="inlineStr"/>
      <c r="B249" s="30" t="inlineStr"/>
      <c r="C249" s="30" t="inlineStr"/>
      <c r="D249" s="38" t="inlineStr"/>
      <c r="E249" s="31" t="inlineStr"/>
      <c r="F249" s="31" t="inlineStr"/>
      <c r="G249" s="30" t="inlineStr"/>
      <c r="H249" s="30" t="inlineStr"/>
      <c r="I249" s="30" t="inlineStr"/>
      <c r="J249" s="44">
        <f>IF(A249="","",D249+F249)</f>
        <v/>
      </c>
      <c r="K249" s="15">
        <f>IF(A249="","",IFERROR(VLOOKUP(B249,'13_Ausgangsrechnungen'!$A$4:$S$400,19,FALSE),0))</f>
        <v/>
      </c>
    </row>
    <row r="250">
      <c r="A250" s="30" t="inlineStr"/>
      <c r="B250" s="30" t="inlineStr"/>
      <c r="C250" s="30" t="inlineStr"/>
      <c r="D250" s="38" t="inlineStr"/>
      <c r="E250" s="31" t="inlineStr"/>
      <c r="F250" s="31" t="inlineStr"/>
      <c r="G250" s="30" t="inlineStr"/>
      <c r="H250" s="30" t="inlineStr"/>
      <c r="I250" s="30" t="inlineStr"/>
      <c r="J250" s="44">
        <f>IF(A250="","",D250+F250)</f>
        <v/>
      </c>
      <c r="K250" s="15">
        <f>IF(A250="","",IFERROR(VLOOKUP(B250,'13_Ausgangsrechnungen'!$A$4:$S$400,19,FALSE),0))</f>
        <v/>
      </c>
    </row>
    <row r="251">
      <c r="A251" s="30" t="inlineStr"/>
      <c r="B251" s="30" t="inlineStr"/>
      <c r="C251" s="30" t="inlineStr"/>
      <c r="D251" s="38" t="inlineStr"/>
      <c r="E251" s="31" t="inlineStr"/>
      <c r="F251" s="31" t="inlineStr"/>
      <c r="G251" s="30" t="inlineStr"/>
      <c r="H251" s="30" t="inlineStr"/>
      <c r="I251" s="30" t="inlineStr"/>
      <c r="J251" s="44">
        <f>IF(A251="","",D251+F251)</f>
        <v/>
      </c>
      <c r="K251" s="15">
        <f>IF(A251="","",IFERROR(VLOOKUP(B251,'13_Ausgangsrechnungen'!$A$4:$S$400,19,FALSE),0))</f>
        <v/>
      </c>
    </row>
    <row r="252">
      <c r="A252" s="30" t="inlineStr"/>
      <c r="B252" s="30" t="inlineStr"/>
      <c r="C252" s="30" t="inlineStr"/>
      <c r="D252" s="38" t="inlineStr"/>
      <c r="E252" s="31" t="inlineStr"/>
      <c r="F252" s="31" t="inlineStr"/>
      <c r="G252" s="30" t="inlineStr"/>
      <c r="H252" s="30" t="inlineStr"/>
      <c r="I252" s="30" t="inlineStr"/>
      <c r="J252" s="44">
        <f>IF(A252="","",D252+F252)</f>
        <v/>
      </c>
      <c r="K252" s="15">
        <f>IF(A252="","",IFERROR(VLOOKUP(B252,'13_Ausgangsrechnungen'!$A$4:$S$400,19,FALSE),0))</f>
        <v/>
      </c>
    </row>
    <row r="253">
      <c r="A253" s="30" t="inlineStr"/>
      <c r="B253" s="30" t="inlineStr"/>
      <c r="C253" s="30" t="inlineStr"/>
      <c r="D253" s="38" t="inlineStr"/>
      <c r="E253" s="31" t="inlineStr"/>
      <c r="F253" s="31" t="inlineStr"/>
      <c r="G253" s="30" t="inlineStr"/>
      <c r="H253" s="30" t="inlineStr"/>
      <c r="I253" s="30" t="inlineStr"/>
      <c r="J253" s="44">
        <f>IF(A253="","",D253+F253)</f>
        <v/>
      </c>
      <c r="K253" s="15">
        <f>IF(A253="","",IFERROR(VLOOKUP(B253,'13_Ausgangsrechnungen'!$A$4:$S$400,19,FALSE),0))</f>
        <v/>
      </c>
    </row>
    <row r="254">
      <c r="A254" s="30" t="inlineStr"/>
      <c r="B254" s="30" t="inlineStr"/>
      <c r="C254" s="30" t="inlineStr"/>
      <c r="D254" s="38" t="inlineStr"/>
      <c r="E254" s="31" t="inlineStr"/>
      <c r="F254" s="31" t="inlineStr"/>
      <c r="G254" s="30" t="inlineStr"/>
      <c r="H254" s="30" t="inlineStr"/>
      <c r="I254" s="30" t="inlineStr"/>
      <c r="J254" s="44">
        <f>IF(A254="","",D254+F254)</f>
        <v/>
      </c>
      <c r="K254" s="15">
        <f>IF(A254="","",IFERROR(VLOOKUP(B254,'13_Ausgangsrechnungen'!$A$4:$S$400,19,FALSE),0))</f>
        <v/>
      </c>
    </row>
    <row r="255">
      <c r="A255" s="30" t="inlineStr"/>
      <c r="B255" s="30" t="inlineStr"/>
      <c r="C255" s="30" t="inlineStr"/>
      <c r="D255" s="38" t="inlineStr"/>
      <c r="E255" s="31" t="inlineStr"/>
      <c r="F255" s="31" t="inlineStr"/>
      <c r="G255" s="30" t="inlineStr"/>
      <c r="H255" s="30" t="inlineStr"/>
      <c r="I255" s="30" t="inlineStr"/>
      <c r="J255" s="44">
        <f>IF(A255="","",D255+F255)</f>
        <v/>
      </c>
      <c r="K255" s="15">
        <f>IF(A255="","",IFERROR(VLOOKUP(B255,'13_Ausgangsrechnungen'!$A$4:$S$400,19,FALSE),0))</f>
        <v/>
      </c>
    </row>
    <row r="256">
      <c r="A256" s="30" t="inlineStr"/>
      <c r="B256" s="30" t="inlineStr"/>
      <c r="C256" s="30" t="inlineStr"/>
      <c r="D256" s="38" t="inlineStr"/>
      <c r="E256" s="31" t="inlineStr"/>
      <c r="F256" s="31" t="inlineStr"/>
      <c r="G256" s="30" t="inlineStr"/>
      <c r="H256" s="30" t="inlineStr"/>
      <c r="I256" s="30" t="inlineStr"/>
      <c r="J256" s="44">
        <f>IF(A256="","",D256+F256)</f>
        <v/>
      </c>
      <c r="K256" s="15">
        <f>IF(A256="","",IFERROR(VLOOKUP(B256,'13_Ausgangsrechnungen'!$A$4:$S$400,19,FALSE),0))</f>
        <v/>
      </c>
    </row>
    <row r="257">
      <c r="A257" s="30" t="inlineStr"/>
      <c r="B257" s="30" t="inlineStr"/>
      <c r="C257" s="30" t="inlineStr"/>
      <c r="D257" s="38" t="inlineStr"/>
      <c r="E257" s="31" t="inlineStr"/>
      <c r="F257" s="31" t="inlineStr"/>
      <c r="G257" s="30" t="inlineStr"/>
      <c r="H257" s="30" t="inlineStr"/>
      <c r="I257" s="30" t="inlineStr"/>
      <c r="J257" s="44">
        <f>IF(A257="","",D257+F257)</f>
        <v/>
      </c>
      <c r="K257" s="15">
        <f>IF(A257="","",IFERROR(VLOOKUP(B257,'13_Ausgangsrechnungen'!$A$4:$S$400,19,FALSE),0))</f>
        <v/>
      </c>
    </row>
    <row r="258">
      <c r="A258" s="30" t="inlineStr"/>
      <c r="B258" s="30" t="inlineStr"/>
      <c r="C258" s="30" t="inlineStr"/>
      <c r="D258" s="38" t="inlineStr"/>
      <c r="E258" s="31" t="inlineStr"/>
      <c r="F258" s="31" t="inlineStr"/>
      <c r="G258" s="30" t="inlineStr"/>
      <c r="H258" s="30" t="inlineStr"/>
      <c r="I258" s="30" t="inlineStr"/>
      <c r="J258" s="44">
        <f>IF(A258="","",D258+F258)</f>
        <v/>
      </c>
      <c r="K258" s="15">
        <f>IF(A258="","",IFERROR(VLOOKUP(B258,'13_Ausgangsrechnungen'!$A$4:$S$400,19,FALSE),0))</f>
        <v/>
      </c>
    </row>
    <row r="259">
      <c r="A259" s="30" t="inlineStr"/>
      <c r="B259" s="30" t="inlineStr"/>
      <c r="C259" s="30" t="inlineStr"/>
      <c r="D259" s="38" t="inlineStr"/>
      <c r="E259" s="31" t="inlineStr"/>
      <c r="F259" s="31" t="inlineStr"/>
      <c r="G259" s="30" t="inlineStr"/>
      <c r="H259" s="30" t="inlineStr"/>
      <c r="I259" s="30" t="inlineStr"/>
      <c r="J259" s="44">
        <f>IF(A259="","",D259+F259)</f>
        <v/>
      </c>
      <c r="K259" s="15">
        <f>IF(A259="","",IFERROR(VLOOKUP(B259,'13_Ausgangsrechnungen'!$A$4:$S$400,19,FALSE),0))</f>
        <v/>
      </c>
    </row>
    <row r="260">
      <c r="A260" s="30" t="inlineStr"/>
      <c r="B260" s="30" t="inlineStr"/>
      <c r="C260" s="30" t="inlineStr"/>
      <c r="D260" s="38" t="inlineStr"/>
      <c r="E260" s="31" t="inlineStr"/>
      <c r="F260" s="31" t="inlineStr"/>
      <c r="G260" s="30" t="inlineStr"/>
      <c r="H260" s="30" t="inlineStr"/>
      <c r="I260" s="30" t="inlineStr"/>
      <c r="J260" s="44">
        <f>IF(A260="","",D260+F260)</f>
        <v/>
      </c>
      <c r="K260" s="15">
        <f>IF(A260="","",IFERROR(VLOOKUP(B260,'13_Ausgangsrechnungen'!$A$4:$S$400,19,FALSE),0))</f>
        <v/>
      </c>
    </row>
    <row r="261">
      <c r="A261" s="30" t="inlineStr"/>
      <c r="B261" s="30" t="inlineStr"/>
      <c r="C261" s="30" t="inlineStr"/>
      <c r="D261" s="38" t="inlineStr"/>
      <c r="E261" s="31" t="inlineStr"/>
      <c r="F261" s="31" t="inlineStr"/>
      <c r="G261" s="30" t="inlineStr"/>
      <c r="H261" s="30" t="inlineStr"/>
      <c r="I261" s="30" t="inlineStr"/>
      <c r="J261" s="44">
        <f>IF(A261="","",D261+F261)</f>
        <v/>
      </c>
      <c r="K261" s="15">
        <f>IF(A261="","",IFERROR(VLOOKUP(B261,'13_Ausgangsrechnungen'!$A$4:$S$400,19,FALSE),0))</f>
        <v/>
      </c>
    </row>
    <row r="262">
      <c r="A262" s="30" t="inlineStr"/>
      <c r="B262" s="30" t="inlineStr"/>
      <c r="C262" s="30" t="inlineStr"/>
      <c r="D262" s="38" t="inlineStr"/>
      <c r="E262" s="31" t="inlineStr"/>
      <c r="F262" s="31" t="inlineStr"/>
      <c r="G262" s="30" t="inlineStr"/>
      <c r="H262" s="30" t="inlineStr"/>
      <c r="I262" s="30" t="inlineStr"/>
      <c r="J262" s="44">
        <f>IF(A262="","",D262+F262)</f>
        <v/>
      </c>
      <c r="K262" s="15">
        <f>IF(A262="","",IFERROR(VLOOKUP(B262,'13_Ausgangsrechnungen'!$A$4:$S$400,19,FALSE),0))</f>
        <v/>
      </c>
    </row>
    <row r="263">
      <c r="A263" s="30" t="inlineStr"/>
      <c r="B263" s="30" t="inlineStr"/>
      <c r="C263" s="30" t="inlineStr"/>
      <c r="D263" s="38" t="inlineStr"/>
      <c r="E263" s="31" t="inlineStr"/>
      <c r="F263" s="31" t="inlineStr"/>
      <c r="G263" s="30" t="inlineStr"/>
      <c r="H263" s="30" t="inlineStr"/>
      <c r="I263" s="30" t="inlineStr"/>
      <c r="J263" s="44">
        <f>IF(A263="","",D263+F263)</f>
        <v/>
      </c>
      <c r="K263" s="15">
        <f>IF(A263="","",IFERROR(VLOOKUP(B263,'13_Ausgangsrechnungen'!$A$4:$S$400,19,FALSE),0))</f>
        <v/>
      </c>
    </row>
    <row r="264">
      <c r="A264" s="30" t="inlineStr"/>
      <c r="B264" s="30" t="inlineStr"/>
      <c r="C264" s="30" t="inlineStr"/>
      <c r="D264" s="38" t="inlineStr"/>
      <c r="E264" s="31" t="inlineStr"/>
      <c r="F264" s="31" t="inlineStr"/>
      <c r="G264" s="30" t="inlineStr"/>
      <c r="H264" s="30" t="inlineStr"/>
      <c r="I264" s="30" t="inlineStr"/>
      <c r="J264" s="44">
        <f>IF(A264="","",D264+F264)</f>
        <v/>
      </c>
      <c r="K264" s="15">
        <f>IF(A264="","",IFERROR(VLOOKUP(B264,'13_Ausgangsrechnungen'!$A$4:$S$400,19,FALSE),0))</f>
        <v/>
      </c>
    </row>
    <row r="265">
      <c r="A265" s="30" t="inlineStr"/>
      <c r="B265" s="30" t="inlineStr"/>
      <c r="C265" s="30" t="inlineStr"/>
      <c r="D265" s="38" t="inlineStr"/>
      <c r="E265" s="31" t="inlineStr"/>
      <c r="F265" s="31" t="inlineStr"/>
      <c r="G265" s="30" t="inlineStr"/>
      <c r="H265" s="30" t="inlineStr"/>
      <c r="I265" s="30" t="inlineStr"/>
      <c r="J265" s="44">
        <f>IF(A265="","",D265+F265)</f>
        <v/>
      </c>
      <c r="K265" s="15">
        <f>IF(A265="","",IFERROR(VLOOKUP(B265,'13_Ausgangsrechnungen'!$A$4:$S$400,19,FALSE),0))</f>
        <v/>
      </c>
    </row>
    <row r="266">
      <c r="A266" s="30" t="inlineStr"/>
      <c r="B266" s="30" t="inlineStr"/>
      <c r="C266" s="30" t="inlineStr"/>
      <c r="D266" s="38" t="inlineStr"/>
      <c r="E266" s="31" t="inlineStr"/>
      <c r="F266" s="31" t="inlineStr"/>
      <c r="G266" s="30" t="inlineStr"/>
      <c r="H266" s="30" t="inlineStr"/>
      <c r="I266" s="30" t="inlineStr"/>
      <c r="J266" s="44">
        <f>IF(A266="","",D266+F266)</f>
        <v/>
      </c>
      <c r="K266" s="15">
        <f>IF(A266="","",IFERROR(VLOOKUP(B266,'13_Ausgangsrechnungen'!$A$4:$S$400,19,FALSE),0))</f>
        <v/>
      </c>
    </row>
    <row r="267">
      <c r="A267" s="30" t="inlineStr"/>
      <c r="B267" s="30" t="inlineStr"/>
      <c r="C267" s="30" t="inlineStr"/>
      <c r="D267" s="38" t="inlineStr"/>
      <c r="E267" s="31" t="inlineStr"/>
      <c r="F267" s="31" t="inlineStr"/>
      <c r="G267" s="30" t="inlineStr"/>
      <c r="H267" s="30" t="inlineStr"/>
      <c r="I267" s="30" t="inlineStr"/>
      <c r="J267" s="44">
        <f>IF(A267="","",D267+F267)</f>
        <v/>
      </c>
      <c r="K267" s="15">
        <f>IF(A267="","",IFERROR(VLOOKUP(B267,'13_Ausgangsrechnungen'!$A$4:$S$400,19,FALSE),0))</f>
        <v/>
      </c>
    </row>
    <row r="268">
      <c r="A268" s="30" t="inlineStr"/>
      <c r="B268" s="30" t="inlineStr"/>
      <c r="C268" s="30" t="inlineStr"/>
      <c r="D268" s="38" t="inlineStr"/>
      <c r="E268" s="31" t="inlineStr"/>
      <c r="F268" s="31" t="inlineStr"/>
      <c r="G268" s="30" t="inlineStr"/>
      <c r="H268" s="30" t="inlineStr"/>
      <c r="I268" s="30" t="inlineStr"/>
      <c r="J268" s="44">
        <f>IF(A268="","",D268+F268)</f>
        <v/>
      </c>
      <c r="K268" s="15">
        <f>IF(A268="","",IFERROR(VLOOKUP(B268,'13_Ausgangsrechnungen'!$A$4:$S$400,19,FALSE),0))</f>
        <v/>
      </c>
    </row>
    <row r="269">
      <c r="A269" s="30" t="inlineStr"/>
      <c r="B269" s="30" t="inlineStr"/>
      <c r="C269" s="30" t="inlineStr"/>
      <c r="D269" s="38" t="inlineStr"/>
      <c r="E269" s="31" t="inlineStr"/>
      <c r="F269" s="31" t="inlineStr"/>
      <c r="G269" s="30" t="inlineStr"/>
      <c r="H269" s="30" t="inlineStr"/>
      <c r="I269" s="30" t="inlineStr"/>
      <c r="J269" s="44">
        <f>IF(A269="","",D269+F269)</f>
        <v/>
      </c>
      <c r="K269" s="15">
        <f>IF(A269="","",IFERROR(VLOOKUP(B269,'13_Ausgangsrechnungen'!$A$4:$S$400,19,FALSE),0))</f>
        <v/>
      </c>
    </row>
    <row r="270">
      <c r="A270" s="30" t="inlineStr"/>
      <c r="B270" s="30" t="inlineStr"/>
      <c r="C270" s="30" t="inlineStr"/>
      <c r="D270" s="38" t="inlineStr"/>
      <c r="E270" s="31" t="inlineStr"/>
      <c r="F270" s="31" t="inlineStr"/>
      <c r="G270" s="30" t="inlineStr"/>
      <c r="H270" s="30" t="inlineStr"/>
      <c r="I270" s="30" t="inlineStr"/>
      <c r="J270" s="44">
        <f>IF(A270="","",D270+F270)</f>
        <v/>
      </c>
      <c r="K270" s="15">
        <f>IF(A270="","",IFERROR(VLOOKUP(B270,'13_Ausgangsrechnungen'!$A$4:$S$400,19,FALSE),0))</f>
        <v/>
      </c>
    </row>
    <row r="271">
      <c r="A271" s="30" t="inlineStr"/>
      <c r="B271" s="30" t="inlineStr"/>
      <c r="C271" s="30" t="inlineStr"/>
      <c r="D271" s="38" t="inlineStr"/>
      <c r="E271" s="31" t="inlineStr"/>
      <c r="F271" s="31" t="inlineStr"/>
      <c r="G271" s="30" t="inlineStr"/>
      <c r="H271" s="30" t="inlineStr"/>
      <c r="I271" s="30" t="inlineStr"/>
      <c r="J271" s="44">
        <f>IF(A271="","",D271+F271)</f>
        <v/>
      </c>
      <c r="K271" s="15">
        <f>IF(A271="","",IFERROR(VLOOKUP(B271,'13_Ausgangsrechnungen'!$A$4:$S$400,19,FALSE),0))</f>
        <v/>
      </c>
    </row>
    <row r="272">
      <c r="A272" s="30" t="inlineStr"/>
      <c r="B272" s="30" t="inlineStr"/>
      <c r="C272" s="30" t="inlineStr"/>
      <c r="D272" s="38" t="inlineStr"/>
      <c r="E272" s="31" t="inlineStr"/>
      <c r="F272" s="31" t="inlineStr"/>
      <c r="G272" s="30" t="inlineStr"/>
      <c r="H272" s="30" t="inlineStr"/>
      <c r="I272" s="30" t="inlineStr"/>
      <c r="J272" s="44">
        <f>IF(A272="","",D272+F272)</f>
        <v/>
      </c>
      <c r="K272" s="15">
        <f>IF(A272="","",IFERROR(VLOOKUP(B272,'13_Ausgangsrechnungen'!$A$4:$S$400,19,FALSE),0))</f>
        <v/>
      </c>
    </row>
    <row r="273">
      <c r="A273" s="30" t="inlineStr"/>
      <c r="B273" s="30" t="inlineStr"/>
      <c r="C273" s="30" t="inlineStr"/>
      <c r="D273" s="38" t="inlineStr"/>
      <c r="E273" s="31" t="inlineStr"/>
      <c r="F273" s="31" t="inlineStr"/>
      <c r="G273" s="30" t="inlineStr"/>
      <c r="H273" s="30" t="inlineStr"/>
      <c r="I273" s="30" t="inlineStr"/>
      <c r="J273" s="44">
        <f>IF(A273="","",D273+F273)</f>
        <v/>
      </c>
      <c r="K273" s="15">
        <f>IF(A273="","",IFERROR(VLOOKUP(B273,'13_Ausgangsrechnungen'!$A$4:$S$400,19,FALSE),0))</f>
        <v/>
      </c>
    </row>
    <row r="274">
      <c r="A274" s="30" t="inlineStr"/>
      <c r="B274" s="30" t="inlineStr"/>
      <c r="C274" s="30" t="inlineStr"/>
      <c r="D274" s="38" t="inlineStr"/>
      <c r="E274" s="31" t="inlineStr"/>
      <c r="F274" s="31" t="inlineStr"/>
      <c r="G274" s="30" t="inlineStr"/>
      <c r="H274" s="30" t="inlineStr"/>
      <c r="I274" s="30" t="inlineStr"/>
      <c r="J274" s="44">
        <f>IF(A274="","",D274+F274)</f>
        <v/>
      </c>
      <c r="K274" s="15">
        <f>IF(A274="","",IFERROR(VLOOKUP(B274,'13_Ausgangsrechnungen'!$A$4:$S$400,19,FALSE),0))</f>
        <v/>
      </c>
    </row>
    <row r="275">
      <c r="A275" s="30" t="inlineStr"/>
      <c r="B275" s="30" t="inlineStr"/>
      <c r="C275" s="30" t="inlineStr"/>
      <c r="D275" s="38" t="inlineStr"/>
      <c r="E275" s="31" t="inlineStr"/>
      <c r="F275" s="31" t="inlineStr"/>
      <c r="G275" s="30" t="inlineStr"/>
      <c r="H275" s="30" t="inlineStr"/>
      <c r="I275" s="30" t="inlineStr"/>
      <c r="J275" s="44">
        <f>IF(A275="","",D275+F275)</f>
        <v/>
      </c>
      <c r="K275" s="15">
        <f>IF(A275="","",IFERROR(VLOOKUP(B275,'13_Ausgangsrechnungen'!$A$4:$S$400,19,FALSE),0))</f>
        <v/>
      </c>
    </row>
    <row r="276">
      <c r="A276" s="30" t="inlineStr"/>
      <c r="B276" s="30" t="inlineStr"/>
      <c r="C276" s="30" t="inlineStr"/>
      <c r="D276" s="38" t="inlineStr"/>
      <c r="E276" s="31" t="inlineStr"/>
      <c r="F276" s="31" t="inlineStr"/>
      <c r="G276" s="30" t="inlineStr"/>
      <c r="H276" s="30" t="inlineStr"/>
      <c r="I276" s="30" t="inlineStr"/>
      <c r="J276" s="44">
        <f>IF(A276="","",D276+F276)</f>
        <v/>
      </c>
      <c r="K276" s="15">
        <f>IF(A276="","",IFERROR(VLOOKUP(B276,'13_Ausgangsrechnungen'!$A$4:$S$400,19,FALSE),0))</f>
        <v/>
      </c>
    </row>
    <row r="277">
      <c r="A277" s="30" t="inlineStr"/>
      <c r="B277" s="30" t="inlineStr"/>
      <c r="C277" s="30" t="inlineStr"/>
      <c r="D277" s="38" t="inlineStr"/>
      <c r="E277" s="31" t="inlineStr"/>
      <c r="F277" s="31" t="inlineStr"/>
      <c r="G277" s="30" t="inlineStr"/>
      <c r="H277" s="30" t="inlineStr"/>
      <c r="I277" s="30" t="inlineStr"/>
      <c r="J277" s="44">
        <f>IF(A277="","",D277+F277)</f>
        <v/>
      </c>
      <c r="K277" s="15">
        <f>IF(A277="","",IFERROR(VLOOKUP(B277,'13_Ausgangsrechnungen'!$A$4:$S$400,19,FALSE),0))</f>
        <v/>
      </c>
    </row>
    <row r="278">
      <c r="A278" s="30" t="inlineStr"/>
      <c r="B278" s="30" t="inlineStr"/>
      <c r="C278" s="30" t="inlineStr"/>
      <c r="D278" s="38" t="inlineStr"/>
      <c r="E278" s="31" t="inlineStr"/>
      <c r="F278" s="31" t="inlineStr"/>
      <c r="G278" s="30" t="inlineStr"/>
      <c r="H278" s="30" t="inlineStr"/>
      <c r="I278" s="30" t="inlineStr"/>
      <c r="J278" s="44">
        <f>IF(A278="","",D278+F278)</f>
        <v/>
      </c>
      <c r="K278" s="15">
        <f>IF(A278="","",IFERROR(VLOOKUP(B278,'13_Ausgangsrechnungen'!$A$4:$S$400,19,FALSE),0))</f>
        <v/>
      </c>
    </row>
    <row r="279">
      <c r="A279" s="30" t="inlineStr"/>
      <c r="B279" s="30" t="inlineStr"/>
      <c r="C279" s="30" t="inlineStr"/>
      <c r="D279" s="38" t="inlineStr"/>
      <c r="E279" s="31" t="inlineStr"/>
      <c r="F279" s="31" t="inlineStr"/>
      <c r="G279" s="30" t="inlineStr"/>
      <c r="H279" s="30" t="inlineStr"/>
      <c r="I279" s="30" t="inlineStr"/>
      <c r="J279" s="44">
        <f>IF(A279="","",D279+F279)</f>
        <v/>
      </c>
      <c r="K279" s="15">
        <f>IF(A279="","",IFERROR(VLOOKUP(B279,'13_Ausgangsrechnungen'!$A$4:$S$400,19,FALSE),0))</f>
        <v/>
      </c>
    </row>
    <row r="280">
      <c r="A280" s="30" t="inlineStr"/>
      <c r="B280" s="30" t="inlineStr"/>
      <c r="C280" s="30" t="inlineStr"/>
      <c r="D280" s="38" t="inlineStr"/>
      <c r="E280" s="31" t="inlineStr"/>
      <c r="F280" s="31" t="inlineStr"/>
      <c r="G280" s="30" t="inlineStr"/>
      <c r="H280" s="30" t="inlineStr"/>
      <c r="I280" s="30" t="inlineStr"/>
      <c r="J280" s="44">
        <f>IF(A280="","",D280+F280)</f>
        <v/>
      </c>
      <c r="K280" s="15">
        <f>IF(A280="","",IFERROR(VLOOKUP(B280,'13_Ausgangsrechnungen'!$A$4:$S$400,19,FALSE),0))</f>
        <v/>
      </c>
    </row>
    <row r="281">
      <c r="A281" s="30" t="inlineStr"/>
      <c r="B281" s="30" t="inlineStr"/>
      <c r="C281" s="30" t="inlineStr"/>
      <c r="D281" s="38" t="inlineStr"/>
      <c r="E281" s="31" t="inlineStr"/>
      <c r="F281" s="31" t="inlineStr"/>
      <c r="G281" s="30" t="inlineStr"/>
      <c r="H281" s="30" t="inlineStr"/>
      <c r="I281" s="30" t="inlineStr"/>
      <c r="J281" s="44">
        <f>IF(A281="","",D281+F281)</f>
        <v/>
      </c>
      <c r="K281" s="15">
        <f>IF(A281="","",IFERROR(VLOOKUP(B281,'13_Ausgangsrechnungen'!$A$4:$S$400,19,FALSE),0))</f>
        <v/>
      </c>
    </row>
    <row r="282">
      <c r="A282" s="30" t="inlineStr"/>
      <c r="B282" s="30" t="inlineStr"/>
      <c r="C282" s="30" t="inlineStr"/>
      <c r="D282" s="38" t="inlineStr"/>
      <c r="E282" s="31" t="inlineStr"/>
      <c r="F282" s="31" t="inlineStr"/>
      <c r="G282" s="30" t="inlineStr"/>
      <c r="H282" s="30" t="inlineStr"/>
      <c r="I282" s="30" t="inlineStr"/>
      <c r="J282" s="44">
        <f>IF(A282="","",D282+F282)</f>
        <v/>
      </c>
      <c r="K282" s="15">
        <f>IF(A282="","",IFERROR(VLOOKUP(B282,'13_Ausgangsrechnungen'!$A$4:$S$400,19,FALSE),0))</f>
        <v/>
      </c>
    </row>
    <row r="283">
      <c r="A283" s="30" t="inlineStr"/>
      <c r="B283" s="30" t="inlineStr"/>
      <c r="C283" s="30" t="inlineStr"/>
      <c r="D283" s="38" t="inlineStr"/>
      <c r="E283" s="31" t="inlineStr"/>
      <c r="F283" s="31" t="inlineStr"/>
      <c r="G283" s="30" t="inlineStr"/>
      <c r="H283" s="30" t="inlineStr"/>
      <c r="I283" s="30" t="inlineStr"/>
      <c r="J283" s="44">
        <f>IF(A283="","",D283+F283)</f>
        <v/>
      </c>
      <c r="K283" s="15">
        <f>IF(A283="","",IFERROR(VLOOKUP(B283,'13_Ausgangsrechnungen'!$A$4:$S$400,19,FALSE),0))</f>
        <v/>
      </c>
    </row>
    <row r="284">
      <c r="A284" s="30" t="inlineStr"/>
      <c r="B284" s="30" t="inlineStr"/>
      <c r="C284" s="30" t="inlineStr"/>
      <c r="D284" s="38" t="inlineStr"/>
      <c r="E284" s="31" t="inlineStr"/>
      <c r="F284" s="31" t="inlineStr"/>
      <c r="G284" s="30" t="inlineStr"/>
      <c r="H284" s="30" t="inlineStr"/>
      <c r="I284" s="30" t="inlineStr"/>
      <c r="J284" s="44">
        <f>IF(A284="","",D284+F284)</f>
        <v/>
      </c>
      <c r="K284" s="15">
        <f>IF(A284="","",IFERROR(VLOOKUP(B284,'13_Ausgangsrechnungen'!$A$4:$S$400,19,FALSE),0))</f>
        <v/>
      </c>
    </row>
    <row r="285">
      <c r="A285" s="30" t="inlineStr"/>
      <c r="B285" s="30" t="inlineStr"/>
      <c r="C285" s="30" t="inlineStr"/>
      <c r="D285" s="38" t="inlineStr"/>
      <c r="E285" s="31" t="inlineStr"/>
      <c r="F285" s="31" t="inlineStr"/>
      <c r="G285" s="30" t="inlineStr"/>
      <c r="H285" s="30" t="inlineStr"/>
      <c r="I285" s="30" t="inlineStr"/>
      <c r="J285" s="44">
        <f>IF(A285="","",D285+F285)</f>
        <v/>
      </c>
      <c r="K285" s="15">
        <f>IF(A285="","",IFERROR(VLOOKUP(B285,'13_Ausgangsrechnungen'!$A$4:$S$400,19,FALSE),0))</f>
        <v/>
      </c>
    </row>
    <row r="286">
      <c r="A286" s="30" t="inlineStr"/>
      <c r="B286" s="30" t="inlineStr"/>
      <c r="C286" s="30" t="inlineStr"/>
      <c r="D286" s="38" t="inlineStr"/>
      <c r="E286" s="31" t="inlineStr"/>
      <c r="F286" s="31" t="inlineStr"/>
      <c r="G286" s="30" t="inlineStr"/>
      <c r="H286" s="30" t="inlineStr"/>
      <c r="I286" s="30" t="inlineStr"/>
      <c r="J286" s="44">
        <f>IF(A286="","",D286+F286)</f>
        <v/>
      </c>
      <c r="K286" s="15">
        <f>IF(A286="","",IFERROR(VLOOKUP(B286,'13_Ausgangsrechnungen'!$A$4:$S$400,19,FALSE),0))</f>
        <v/>
      </c>
    </row>
    <row r="287">
      <c r="A287" s="30" t="inlineStr"/>
      <c r="B287" s="30" t="inlineStr"/>
      <c r="C287" s="30" t="inlineStr"/>
      <c r="D287" s="38" t="inlineStr"/>
      <c r="E287" s="31" t="inlineStr"/>
      <c r="F287" s="31" t="inlineStr"/>
      <c r="G287" s="30" t="inlineStr"/>
      <c r="H287" s="30" t="inlineStr"/>
      <c r="I287" s="30" t="inlineStr"/>
      <c r="J287" s="44">
        <f>IF(A287="","",D287+F287)</f>
        <v/>
      </c>
      <c r="K287" s="15">
        <f>IF(A287="","",IFERROR(VLOOKUP(B287,'13_Ausgangsrechnungen'!$A$4:$S$400,19,FALSE),0))</f>
        <v/>
      </c>
    </row>
    <row r="288">
      <c r="A288" s="30" t="inlineStr"/>
      <c r="B288" s="30" t="inlineStr"/>
      <c r="C288" s="30" t="inlineStr"/>
      <c r="D288" s="38" t="inlineStr"/>
      <c r="E288" s="31" t="inlineStr"/>
      <c r="F288" s="31" t="inlineStr"/>
      <c r="G288" s="30" t="inlineStr"/>
      <c r="H288" s="30" t="inlineStr"/>
      <c r="I288" s="30" t="inlineStr"/>
      <c r="J288" s="44">
        <f>IF(A288="","",D288+F288)</f>
        <v/>
      </c>
      <c r="K288" s="15">
        <f>IF(A288="","",IFERROR(VLOOKUP(B288,'13_Ausgangsrechnungen'!$A$4:$S$400,19,FALSE),0))</f>
        <v/>
      </c>
    </row>
    <row r="289">
      <c r="A289" s="30" t="inlineStr"/>
      <c r="B289" s="30" t="inlineStr"/>
      <c r="C289" s="30" t="inlineStr"/>
      <c r="D289" s="38" t="inlineStr"/>
      <c r="E289" s="31" t="inlineStr"/>
      <c r="F289" s="31" t="inlineStr"/>
      <c r="G289" s="30" t="inlineStr"/>
      <c r="H289" s="30" t="inlineStr"/>
      <c r="I289" s="30" t="inlineStr"/>
      <c r="J289" s="44">
        <f>IF(A289="","",D289+F289)</f>
        <v/>
      </c>
      <c r="K289" s="15">
        <f>IF(A289="","",IFERROR(VLOOKUP(B289,'13_Ausgangsrechnungen'!$A$4:$S$400,19,FALSE),0))</f>
        <v/>
      </c>
    </row>
    <row r="290">
      <c r="A290" s="30" t="inlineStr"/>
      <c r="B290" s="30" t="inlineStr"/>
      <c r="C290" s="30" t="inlineStr"/>
      <c r="D290" s="38" t="inlineStr"/>
      <c r="E290" s="31" t="inlineStr"/>
      <c r="F290" s="31" t="inlineStr"/>
      <c r="G290" s="30" t="inlineStr"/>
      <c r="H290" s="30" t="inlineStr"/>
      <c r="I290" s="30" t="inlineStr"/>
      <c r="J290" s="44">
        <f>IF(A290="","",D290+F290)</f>
        <v/>
      </c>
      <c r="K290" s="15">
        <f>IF(A290="","",IFERROR(VLOOKUP(B290,'13_Ausgangsrechnungen'!$A$4:$S$400,19,FALSE),0))</f>
        <v/>
      </c>
    </row>
    <row r="291">
      <c r="A291" s="30" t="inlineStr"/>
      <c r="B291" s="30" t="inlineStr"/>
      <c r="C291" s="30" t="inlineStr"/>
      <c r="D291" s="38" t="inlineStr"/>
      <c r="E291" s="31" t="inlineStr"/>
      <c r="F291" s="31" t="inlineStr"/>
      <c r="G291" s="30" t="inlineStr"/>
      <c r="H291" s="30" t="inlineStr"/>
      <c r="I291" s="30" t="inlineStr"/>
      <c r="J291" s="44">
        <f>IF(A291="","",D291+F291)</f>
        <v/>
      </c>
      <c r="K291" s="15">
        <f>IF(A291="","",IFERROR(VLOOKUP(B291,'13_Ausgangsrechnungen'!$A$4:$S$400,19,FALSE),0))</f>
        <v/>
      </c>
    </row>
    <row r="292">
      <c r="A292" s="30" t="inlineStr"/>
      <c r="B292" s="30" t="inlineStr"/>
      <c r="C292" s="30" t="inlineStr"/>
      <c r="D292" s="38" t="inlineStr"/>
      <c r="E292" s="31" t="inlineStr"/>
      <c r="F292" s="31" t="inlineStr"/>
      <c r="G292" s="30" t="inlineStr"/>
      <c r="H292" s="30" t="inlineStr"/>
      <c r="I292" s="30" t="inlineStr"/>
      <c r="J292" s="44">
        <f>IF(A292="","",D292+F292)</f>
        <v/>
      </c>
      <c r="K292" s="15">
        <f>IF(A292="","",IFERROR(VLOOKUP(B292,'13_Ausgangsrechnungen'!$A$4:$S$400,19,FALSE),0))</f>
        <v/>
      </c>
    </row>
    <row r="293">
      <c r="A293" s="30" t="inlineStr"/>
      <c r="B293" s="30" t="inlineStr"/>
      <c r="C293" s="30" t="inlineStr"/>
      <c r="D293" s="38" t="inlineStr"/>
      <c r="E293" s="31" t="inlineStr"/>
      <c r="F293" s="31" t="inlineStr"/>
      <c r="G293" s="30" t="inlineStr"/>
      <c r="H293" s="30" t="inlineStr"/>
      <c r="I293" s="30" t="inlineStr"/>
      <c r="J293" s="44">
        <f>IF(A293="","",D293+F293)</f>
        <v/>
      </c>
      <c r="K293" s="15">
        <f>IF(A293="","",IFERROR(VLOOKUP(B293,'13_Ausgangsrechnungen'!$A$4:$S$400,19,FALSE),0))</f>
        <v/>
      </c>
    </row>
    <row r="294">
      <c r="A294" s="30" t="inlineStr"/>
      <c r="B294" s="30" t="inlineStr"/>
      <c r="C294" s="30" t="inlineStr"/>
      <c r="D294" s="38" t="inlineStr"/>
      <c r="E294" s="31" t="inlineStr"/>
      <c r="F294" s="31" t="inlineStr"/>
      <c r="G294" s="30" t="inlineStr"/>
      <c r="H294" s="30" t="inlineStr"/>
      <c r="I294" s="30" t="inlineStr"/>
      <c r="J294" s="44">
        <f>IF(A294="","",D294+F294)</f>
        <v/>
      </c>
      <c r="K294" s="15">
        <f>IF(A294="","",IFERROR(VLOOKUP(B294,'13_Ausgangsrechnungen'!$A$4:$S$400,19,FALSE),0))</f>
        <v/>
      </c>
    </row>
    <row r="295">
      <c r="A295" s="30" t="inlineStr"/>
      <c r="B295" s="30" t="inlineStr"/>
      <c r="C295" s="30" t="inlineStr"/>
      <c r="D295" s="38" t="inlineStr"/>
      <c r="E295" s="31" t="inlineStr"/>
      <c r="F295" s="31" t="inlineStr"/>
      <c r="G295" s="30" t="inlineStr"/>
      <c r="H295" s="30" t="inlineStr"/>
      <c r="I295" s="30" t="inlineStr"/>
      <c r="J295" s="44">
        <f>IF(A295="","",D295+F295)</f>
        <v/>
      </c>
      <c r="K295" s="15">
        <f>IF(A295="","",IFERROR(VLOOKUP(B295,'13_Ausgangsrechnungen'!$A$4:$S$400,19,FALSE),0))</f>
        <v/>
      </c>
    </row>
    <row r="296">
      <c r="A296" s="30" t="inlineStr"/>
      <c r="B296" s="30" t="inlineStr"/>
      <c r="C296" s="30" t="inlineStr"/>
      <c r="D296" s="38" t="inlineStr"/>
      <c r="E296" s="31" t="inlineStr"/>
      <c r="F296" s="31" t="inlineStr"/>
      <c r="G296" s="30" t="inlineStr"/>
      <c r="H296" s="30" t="inlineStr"/>
      <c r="I296" s="30" t="inlineStr"/>
      <c r="J296" s="44">
        <f>IF(A296="","",D296+F296)</f>
        <v/>
      </c>
      <c r="K296" s="15">
        <f>IF(A296="","",IFERROR(VLOOKUP(B296,'13_Ausgangsrechnungen'!$A$4:$S$400,19,FALSE),0))</f>
        <v/>
      </c>
    </row>
    <row r="297">
      <c r="A297" s="30" t="inlineStr"/>
      <c r="B297" s="30" t="inlineStr"/>
      <c r="C297" s="30" t="inlineStr"/>
      <c r="D297" s="38" t="inlineStr"/>
      <c r="E297" s="31" t="inlineStr"/>
      <c r="F297" s="31" t="inlineStr"/>
      <c r="G297" s="30" t="inlineStr"/>
      <c r="H297" s="30" t="inlineStr"/>
      <c r="I297" s="30" t="inlineStr"/>
      <c r="J297" s="44">
        <f>IF(A297="","",D297+F297)</f>
        <v/>
      </c>
      <c r="K297" s="15">
        <f>IF(A297="","",IFERROR(VLOOKUP(B297,'13_Ausgangsrechnungen'!$A$4:$S$400,19,FALSE),0))</f>
        <v/>
      </c>
    </row>
    <row r="298">
      <c r="A298" s="30" t="inlineStr"/>
      <c r="B298" s="30" t="inlineStr"/>
      <c r="C298" s="30" t="inlineStr"/>
      <c r="D298" s="38" t="inlineStr"/>
      <c r="E298" s="31" t="inlineStr"/>
      <c r="F298" s="31" t="inlineStr"/>
      <c r="G298" s="30" t="inlineStr"/>
      <c r="H298" s="30" t="inlineStr"/>
      <c r="I298" s="30" t="inlineStr"/>
      <c r="J298" s="44">
        <f>IF(A298="","",D298+F298)</f>
        <v/>
      </c>
      <c r="K298" s="15">
        <f>IF(A298="","",IFERROR(VLOOKUP(B298,'13_Ausgangsrechnungen'!$A$4:$S$400,19,FALSE),0))</f>
        <v/>
      </c>
    </row>
    <row r="299">
      <c r="A299" s="30" t="inlineStr"/>
      <c r="B299" s="30" t="inlineStr"/>
      <c r="C299" s="30" t="inlineStr"/>
      <c r="D299" s="38" t="inlineStr"/>
      <c r="E299" s="31" t="inlineStr"/>
      <c r="F299" s="31" t="inlineStr"/>
      <c r="G299" s="30" t="inlineStr"/>
      <c r="H299" s="30" t="inlineStr"/>
      <c r="I299" s="30" t="inlineStr"/>
      <c r="J299" s="44">
        <f>IF(A299="","",D299+F299)</f>
        <v/>
      </c>
      <c r="K299" s="15">
        <f>IF(A299="","",IFERROR(VLOOKUP(B299,'13_Ausgangsrechnungen'!$A$4:$S$400,19,FALSE),0))</f>
        <v/>
      </c>
    </row>
    <row r="300">
      <c r="A300" s="30" t="inlineStr"/>
      <c r="B300" s="30" t="inlineStr"/>
      <c r="C300" s="30" t="inlineStr"/>
      <c r="D300" s="38" t="inlineStr"/>
      <c r="E300" s="31" t="inlineStr"/>
      <c r="F300" s="31" t="inlineStr"/>
      <c r="G300" s="30" t="inlineStr"/>
      <c r="H300" s="30" t="inlineStr"/>
      <c r="I300" s="30" t="inlineStr"/>
      <c r="J300" s="44">
        <f>IF(A300="","",D300+F300)</f>
        <v/>
      </c>
      <c r="K300" s="15">
        <f>IF(A300="","",IFERROR(VLOOKUP(B300,'13_Ausgangsrechnungen'!$A$4:$S$400,19,FALSE),0))</f>
        <v/>
      </c>
    </row>
    <row r="301">
      <c r="A301" s="30" t="inlineStr"/>
      <c r="B301" s="30" t="inlineStr"/>
      <c r="C301" s="30" t="inlineStr"/>
      <c r="D301" s="38" t="inlineStr"/>
      <c r="E301" s="31" t="inlineStr"/>
      <c r="F301" s="31" t="inlineStr"/>
      <c r="G301" s="30" t="inlineStr"/>
      <c r="H301" s="30" t="inlineStr"/>
      <c r="I301" s="30" t="inlineStr"/>
      <c r="J301" s="44">
        <f>IF(A301="","",D301+F301)</f>
        <v/>
      </c>
      <c r="K301" s="15">
        <f>IF(A301="","",IFERROR(VLOOKUP(B301,'13_Ausgangsrechnungen'!$A$4:$S$400,19,FALSE),0))</f>
        <v/>
      </c>
    </row>
    <row r="302">
      <c r="A302" s="30" t="inlineStr"/>
      <c r="B302" s="30" t="inlineStr"/>
      <c r="C302" s="30" t="inlineStr"/>
      <c r="D302" s="38" t="inlineStr"/>
      <c r="E302" s="31" t="inlineStr"/>
      <c r="F302" s="31" t="inlineStr"/>
      <c r="G302" s="30" t="inlineStr"/>
      <c r="H302" s="30" t="inlineStr"/>
      <c r="I302" s="30" t="inlineStr"/>
      <c r="J302" s="44">
        <f>IF(A302="","",D302+F302)</f>
        <v/>
      </c>
      <c r="K302" s="15">
        <f>IF(A302="","",IFERROR(VLOOKUP(B302,'13_Ausgangsrechnungen'!$A$4:$S$400,19,FALSE),0))</f>
        <v/>
      </c>
    </row>
    <row r="303">
      <c r="A303" s="30" t="inlineStr"/>
      <c r="B303" s="30" t="inlineStr"/>
      <c r="C303" s="30" t="inlineStr"/>
      <c r="D303" s="38" t="inlineStr"/>
      <c r="E303" s="31" t="inlineStr"/>
      <c r="F303" s="31" t="inlineStr"/>
      <c r="G303" s="30" t="inlineStr"/>
      <c r="H303" s="30" t="inlineStr"/>
      <c r="I303" s="30" t="inlineStr"/>
      <c r="J303" s="44">
        <f>IF(A303="","",D303+F303)</f>
        <v/>
      </c>
      <c r="K303" s="15">
        <f>IF(A303="","",IFERROR(VLOOKUP(B303,'13_Ausgangsrechnungen'!$A$4:$S$400,19,FALSE),0))</f>
        <v/>
      </c>
    </row>
    <row r="304">
      <c r="A304" s="30" t="inlineStr"/>
      <c r="B304" s="30" t="inlineStr"/>
      <c r="C304" s="30" t="inlineStr"/>
      <c r="D304" s="38" t="inlineStr"/>
      <c r="E304" s="31" t="inlineStr"/>
      <c r="F304" s="31" t="inlineStr"/>
      <c r="G304" s="30" t="inlineStr"/>
      <c r="H304" s="30" t="inlineStr"/>
      <c r="I304" s="30" t="inlineStr"/>
      <c r="J304" s="44">
        <f>IF(A304="","",D304+F304)</f>
        <v/>
      </c>
      <c r="K304" s="15">
        <f>IF(A304="","",IFERROR(VLOOKUP(B304,'13_Ausgangsrechnungen'!$A$4:$S$400,19,FALSE),0))</f>
        <v/>
      </c>
    </row>
    <row r="305">
      <c r="A305" s="30" t="inlineStr"/>
      <c r="B305" s="30" t="inlineStr"/>
      <c r="C305" s="30" t="inlineStr"/>
      <c r="D305" s="38" t="inlineStr"/>
      <c r="E305" s="31" t="inlineStr"/>
      <c r="F305" s="31" t="inlineStr"/>
      <c r="G305" s="30" t="inlineStr"/>
      <c r="H305" s="30" t="inlineStr"/>
      <c r="I305" s="30" t="inlineStr"/>
      <c r="J305" s="44">
        <f>IF(A305="","",D305+F305)</f>
        <v/>
      </c>
      <c r="K305" s="15">
        <f>IF(A305="","",IFERROR(VLOOKUP(B305,'13_Ausgangsrechnungen'!$A$4:$S$400,19,FALSE),0))</f>
        <v/>
      </c>
    </row>
    <row r="306">
      <c r="A306" s="30" t="inlineStr"/>
      <c r="B306" s="30" t="inlineStr"/>
      <c r="C306" s="30" t="inlineStr"/>
      <c r="D306" s="38" t="inlineStr"/>
      <c r="E306" s="31" t="inlineStr"/>
      <c r="F306" s="31" t="inlineStr"/>
      <c r="G306" s="30" t="inlineStr"/>
      <c r="H306" s="30" t="inlineStr"/>
      <c r="I306" s="30" t="inlineStr"/>
      <c r="J306" s="44">
        <f>IF(A306="","",D306+F306)</f>
        <v/>
      </c>
      <c r="K306" s="15">
        <f>IF(A306="","",IFERROR(VLOOKUP(B306,'13_Ausgangsrechnungen'!$A$4:$S$400,19,FALSE),0))</f>
        <v/>
      </c>
    </row>
    <row r="307">
      <c r="A307" s="30" t="inlineStr"/>
      <c r="B307" s="30" t="inlineStr"/>
      <c r="C307" s="30" t="inlineStr"/>
      <c r="D307" s="38" t="inlineStr"/>
      <c r="E307" s="31" t="inlineStr"/>
      <c r="F307" s="31" t="inlineStr"/>
      <c r="G307" s="30" t="inlineStr"/>
      <c r="H307" s="30" t="inlineStr"/>
      <c r="I307" s="30" t="inlineStr"/>
      <c r="J307" s="44">
        <f>IF(A307="","",D307+F307)</f>
        <v/>
      </c>
      <c r="K307" s="15">
        <f>IF(A307="","",IFERROR(VLOOKUP(B307,'13_Ausgangsrechnungen'!$A$4:$S$400,19,FALSE),0))</f>
        <v/>
      </c>
    </row>
    <row r="308">
      <c r="A308" s="30" t="inlineStr"/>
      <c r="B308" s="30" t="inlineStr"/>
      <c r="C308" s="30" t="inlineStr"/>
      <c r="D308" s="38" t="inlineStr"/>
      <c r="E308" s="31" t="inlineStr"/>
      <c r="F308" s="31" t="inlineStr"/>
      <c r="G308" s="30" t="inlineStr"/>
      <c r="H308" s="30" t="inlineStr"/>
      <c r="I308" s="30" t="inlineStr"/>
      <c r="J308" s="44">
        <f>IF(A308="","",D308+F308)</f>
        <v/>
      </c>
      <c r="K308" s="15">
        <f>IF(A308="","",IFERROR(VLOOKUP(B308,'13_Ausgangsrechnungen'!$A$4:$S$400,19,FALSE),0))</f>
        <v/>
      </c>
    </row>
    <row r="309">
      <c r="A309" s="30" t="inlineStr"/>
      <c r="B309" s="30" t="inlineStr"/>
      <c r="C309" s="30" t="inlineStr"/>
      <c r="D309" s="38" t="inlineStr"/>
      <c r="E309" s="31" t="inlineStr"/>
      <c r="F309" s="31" t="inlineStr"/>
      <c r="G309" s="30" t="inlineStr"/>
      <c r="H309" s="30" t="inlineStr"/>
      <c r="I309" s="30" t="inlineStr"/>
      <c r="J309" s="44">
        <f>IF(A309="","",D309+F309)</f>
        <v/>
      </c>
      <c r="K309" s="15">
        <f>IF(A309="","",IFERROR(VLOOKUP(B309,'13_Ausgangsrechnungen'!$A$4:$S$400,19,FALSE),0))</f>
        <v/>
      </c>
    </row>
    <row r="310">
      <c r="A310" s="30" t="inlineStr"/>
      <c r="B310" s="30" t="inlineStr"/>
      <c r="C310" s="30" t="inlineStr"/>
      <c r="D310" s="38" t="inlineStr"/>
      <c r="E310" s="31" t="inlineStr"/>
      <c r="F310" s="31" t="inlineStr"/>
      <c r="G310" s="30" t="inlineStr"/>
      <c r="H310" s="30" t="inlineStr"/>
      <c r="I310" s="30" t="inlineStr"/>
      <c r="J310" s="44">
        <f>IF(A310="","",D310+F310)</f>
        <v/>
      </c>
      <c r="K310" s="15">
        <f>IF(A310="","",IFERROR(VLOOKUP(B310,'13_Ausgangsrechnungen'!$A$4:$S$400,19,FALSE),0))</f>
        <v/>
      </c>
    </row>
    <row r="311">
      <c r="A311" s="30" t="inlineStr"/>
      <c r="B311" s="30" t="inlineStr"/>
      <c r="C311" s="30" t="inlineStr"/>
      <c r="D311" s="38" t="inlineStr"/>
      <c r="E311" s="31" t="inlineStr"/>
      <c r="F311" s="31" t="inlineStr"/>
      <c r="G311" s="30" t="inlineStr"/>
      <c r="H311" s="30" t="inlineStr"/>
      <c r="I311" s="30" t="inlineStr"/>
      <c r="J311" s="44">
        <f>IF(A311="","",D311+F311)</f>
        <v/>
      </c>
      <c r="K311" s="15">
        <f>IF(A311="","",IFERROR(VLOOKUP(B311,'13_Ausgangsrechnungen'!$A$4:$S$400,19,FALSE),0))</f>
        <v/>
      </c>
    </row>
    <row r="312">
      <c r="A312" s="30" t="inlineStr"/>
      <c r="B312" s="30" t="inlineStr"/>
      <c r="C312" s="30" t="inlineStr"/>
      <c r="D312" s="38" t="inlineStr"/>
      <c r="E312" s="31" t="inlineStr"/>
      <c r="F312" s="31" t="inlineStr"/>
      <c r="G312" s="30" t="inlineStr"/>
      <c r="H312" s="30" t="inlineStr"/>
      <c r="I312" s="30" t="inlineStr"/>
      <c r="J312" s="44">
        <f>IF(A312="","",D312+F312)</f>
        <v/>
      </c>
      <c r="K312" s="15">
        <f>IF(A312="","",IFERROR(VLOOKUP(B312,'13_Ausgangsrechnungen'!$A$4:$S$400,19,FALSE),0))</f>
        <v/>
      </c>
    </row>
    <row r="313">
      <c r="A313" s="30" t="inlineStr"/>
      <c r="B313" s="30" t="inlineStr"/>
      <c r="C313" s="30" t="inlineStr"/>
      <c r="D313" s="38" t="inlineStr"/>
      <c r="E313" s="31" t="inlineStr"/>
      <c r="F313" s="31" t="inlineStr"/>
      <c r="G313" s="30" t="inlineStr"/>
      <c r="H313" s="30" t="inlineStr"/>
      <c r="I313" s="30" t="inlineStr"/>
      <c r="J313" s="44">
        <f>IF(A313="","",D313+F313)</f>
        <v/>
      </c>
      <c r="K313" s="15">
        <f>IF(A313="","",IFERROR(VLOOKUP(B313,'13_Ausgangsrechnungen'!$A$4:$S$400,19,FALSE),0))</f>
        <v/>
      </c>
    </row>
    <row r="314">
      <c r="A314" s="30" t="inlineStr"/>
      <c r="B314" s="30" t="inlineStr"/>
      <c r="C314" s="30" t="inlineStr"/>
      <c r="D314" s="38" t="inlineStr"/>
      <c r="E314" s="31" t="inlineStr"/>
      <c r="F314" s="31" t="inlineStr"/>
      <c r="G314" s="30" t="inlineStr"/>
      <c r="H314" s="30" t="inlineStr"/>
      <c r="I314" s="30" t="inlineStr"/>
      <c r="J314" s="44">
        <f>IF(A314="","",D314+F314)</f>
        <v/>
      </c>
      <c r="K314" s="15">
        <f>IF(A314="","",IFERROR(VLOOKUP(B314,'13_Ausgangsrechnungen'!$A$4:$S$400,19,FALSE),0))</f>
        <v/>
      </c>
    </row>
    <row r="315">
      <c r="A315" s="30" t="inlineStr"/>
      <c r="B315" s="30" t="inlineStr"/>
      <c r="C315" s="30" t="inlineStr"/>
      <c r="D315" s="38" t="inlineStr"/>
      <c r="E315" s="31" t="inlineStr"/>
      <c r="F315" s="31" t="inlineStr"/>
      <c r="G315" s="30" t="inlineStr"/>
      <c r="H315" s="30" t="inlineStr"/>
      <c r="I315" s="30" t="inlineStr"/>
      <c r="J315" s="44">
        <f>IF(A315="","",D315+F315)</f>
        <v/>
      </c>
      <c r="K315" s="15">
        <f>IF(A315="","",IFERROR(VLOOKUP(B315,'13_Ausgangsrechnungen'!$A$4:$S$400,19,FALSE),0))</f>
        <v/>
      </c>
    </row>
    <row r="316">
      <c r="A316" s="30" t="inlineStr"/>
      <c r="B316" s="30" t="inlineStr"/>
      <c r="C316" s="30" t="inlineStr"/>
      <c r="D316" s="38" t="inlineStr"/>
      <c r="E316" s="31" t="inlineStr"/>
      <c r="F316" s="31" t="inlineStr"/>
      <c r="G316" s="30" t="inlineStr"/>
      <c r="H316" s="30" t="inlineStr"/>
      <c r="I316" s="30" t="inlineStr"/>
      <c r="J316" s="44">
        <f>IF(A316="","",D316+F316)</f>
        <v/>
      </c>
      <c r="K316" s="15">
        <f>IF(A316="","",IFERROR(VLOOKUP(B316,'13_Ausgangsrechnungen'!$A$4:$S$400,19,FALSE),0))</f>
        <v/>
      </c>
    </row>
    <row r="317">
      <c r="A317" s="30" t="inlineStr"/>
      <c r="B317" s="30" t="inlineStr"/>
      <c r="C317" s="30" t="inlineStr"/>
      <c r="D317" s="38" t="inlineStr"/>
      <c r="E317" s="31" t="inlineStr"/>
      <c r="F317" s="31" t="inlineStr"/>
      <c r="G317" s="30" t="inlineStr"/>
      <c r="H317" s="30" t="inlineStr"/>
      <c r="I317" s="30" t="inlineStr"/>
      <c r="J317" s="44">
        <f>IF(A317="","",D317+F317)</f>
        <v/>
      </c>
      <c r="K317" s="15">
        <f>IF(A317="","",IFERROR(VLOOKUP(B317,'13_Ausgangsrechnungen'!$A$4:$S$400,19,FALSE),0))</f>
        <v/>
      </c>
    </row>
    <row r="318">
      <c r="A318" s="30" t="inlineStr"/>
      <c r="B318" s="30" t="inlineStr"/>
      <c r="C318" s="30" t="inlineStr"/>
      <c r="D318" s="38" t="inlineStr"/>
      <c r="E318" s="31" t="inlineStr"/>
      <c r="F318" s="31" t="inlineStr"/>
      <c r="G318" s="30" t="inlineStr"/>
      <c r="H318" s="30" t="inlineStr"/>
      <c r="I318" s="30" t="inlineStr"/>
      <c r="J318" s="44">
        <f>IF(A318="","",D318+F318)</f>
        <v/>
      </c>
      <c r="K318" s="15">
        <f>IF(A318="","",IFERROR(VLOOKUP(B318,'13_Ausgangsrechnungen'!$A$4:$S$400,19,FALSE),0))</f>
        <v/>
      </c>
    </row>
    <row r="319">
      <c r="A319" s="30" t="inlineStr"/>
      <c r="B319" s="30" t="inlineStr"/>
      <c r="C319" s="30" t="inlineStr"/>
      <c r="D319" s="38" t="inlineStr"/>
      <c r="E319" s="31" t="inlineStr"/>
      <c r="F319" s="31" t="inlineStr"/>
      <c r="G319" s="30" t="inlineStr"/>
      <c r="H319" s="30" t="inlineStr"/>
      <c r="I319" s="30" t="inlineStr"/>
      <c r="J319" s="44">
        <f>IF(A319="","",D319+F319)</f>
        <v/>
      </c>
      <c r="K319" s="15">
        <f>IF(A319="","",IFERROR(VLOOKUP(B319,'13_Ausgangsrechnungen'!$A$4:$S$400,19,FALSE),0))</f>
        <v/>
      </c>
    </row>
    <row r="320">
      <c r="A320" s="30" t="inlineStr"/>
      <c r="B320" s="30" t="inlineStr"/>
      <c r="C320" s="30" t="inlineStr"/>
      <c r="D320" s="38" t="inlineStr"/>
      <c r="E320" s="31" t="inlineStr"/>
      <c r="F320" s="31" t="inlineStr"/>
      <c r="G320" s="30" t="inlineStr"/>
      <c r="H320" s="30" t="inlineStr"/>
      <c r="I320" s="30" t="inlineStr"/>
      <c r="J320" s="44">
        <f>IF(A320="","",D320+F320)</f>
        <v/>
      </c>
      <c r="K320" s="15">
        <f>IF(A320="","",IFERROR(VLOOKUP(B320,'13_Ausgangsrechnungen'!$A$4:$S$400,19,FALSE),0))</f>
        <v/>
      </c>
    </row>
    <row r="321">
      <c r="A321" s="30" t="inlineStr"/>
      <c r="B321" s="30" t="inlineStr"/>
      <c r="C321" s="30" t="inlineStr"/>
      <c r="D321" s="38" t="inlineStr"/>
      <c r="E321" s="31" t="inlineStr"/>
      <c r="F321" s="31" t="inlineStr"/>
      <c r="G321" s="30" t="inlineStr"/>
      <c r="H321" s="30" t="inlineStr"/>
      <c r="I321" s="30" t="inlineStr"/>
      <c r="J321" s="44">
        <f>IF(A321="","",D321+F321)</f>
        <v/>
      </c>
      <c r="K321" s="15">
        <f>IF(A321="","",IFERROR(VLOOKUP(B321,'13_Ausgangsrechnungen'!$A$4:$S$400,19,FALSE),0))</f>
        <v/>
      </c>
    </row>
    <row r="322">
      <c r="A322" s="30" t="inlineStr"/>
      <c r="B322" s="30" t="inlineStr"/>
      <c r="C322" s="30" t="inlineStr"/>
      <c r="D322" s="38" t="inlineStr"/>
      <c r="E322" s="31" t="inlineStr"/>
      <c r="F322" s="31" t="inlineStr"/>
      <c r="G322" s="30" t="inlineStr"/>
      <c r="H322" s="30" t="inlineStr"/>
      <c r="I322" s="30" t="inlineStr"/>
      <c r="J322" s="44">
        <f>IF(A322="","",D322+F322)</f>
        <v/>
      </c>
      <c r="K322" s="15">
        <f>IF(A322="","",IFERROR(VLOOKUP(B322,'13_Ausgangsrechnungen'!$A$4:$S$400,19,FALSE),0))</f>
        <v/>
      </c>
    </row>
    <row r="323">
      <c r="A323" s="30" t="inlineStr"/>
      <c r="B323" s="30" t="inlineStr"/>
      <c r="C323" s="30" t="inlineStr"/>
      <c r="D323" s="38" t="inlineStr"/>
      <c r="E323" s="31" t="inlineStr"/>
      <c r="F323" s="31" t="inlineStr"/>
      <c r="G323" s="30" t="inlineStr"/>
      <c r="H323" s="30" t="inlineStr"/>
      <c r="I323" s="30" t="inlineStr"/>
      <c r="J323" s="44">
        <f>IF(A323="","",D323+F323)</f>
        <v/>
      </c>
      <c r="K323" s="15">
        <f>IF(A323="","",IFERROR(VLOOKUP(B323,'13_Ausgangsrechnungen'!$A$4:$S$400,19,FALSE),0))</f>
        <v/>
      </c>
    </row>
    <row r="324">
      <c r="A324" s="30" t="inlineStr"/>
      <c r="B324" s="30" t="inlineStr"/>
      <c r="C324" s="30" t="inlineStr"/>
      <c r="D324" s="38" t="inlineStr"/>
      <c r="E324" s="31" t="inlineStr"/>
      <c r="F324" s="31" t="inlineStr"/>
      <c r="G324" s="30" t="inlineStr"/>
      <c r="H324" s="30" t="inlineStr"/>
      <c r="I324" s="30" t="inlineStr"/>
      <c r="J324" s="44">
        <f>IF(A324="","",D324+F324)</f>
        <v/>
      </c>
      <c r="K324" s="15">
        <f>IF(A324="","",IFERROR(VLOOKUP(B324,'13_Ausgangsrechnungen'!$A$4:$S$400,19,FALSE),0))</f>
        <v/>
      </c>
    </row>
    <row r="325">
      <c r="A325" s="30" t="inlineStr"/>
      <c r="B325" s="30" t="inlineStr"/>
      <c r="C325" s="30" t="inlineStr"/>
      <c r="D325" s="38" t="inlineStr"/>
      <c r="E325" s="31" t="inlineStr"/>
      <c r="F325" s="31" t="inlineStr"/>
      <c r="G325" s="30" t="inlineStr"/>
      <c r="H325" s="30" t="inlineStr"/>
      <c r="I325" s="30" t="inlineStr"/>
      <c r="J325" s="44">
        <f>IF(A325="","",D325+F325)</f>
        <v/>
      </c>
      <c r="K325" s="15">
        <f>IF(A325="","",IFERROR(VLOOKUP(B325,'13_Ausgangsrechnungen'!$A$4:$S$400,19,FALSE),0))</f>
        <v/>
      </c>
    </row>
    <row r="326">
      <c r="A326" s="30" t="inlineStr"/>
      <c r="B326" s="30" t="inlineStr"/>
      <c r="C326" s="30" t="inlineStr"/>
      <c r="D326" s="38" t="inlineStr"/>
      <c r="E326" s="31" t="inlineStr"/>
      <c r="F326" s="31" t="inlineStr"/>
      <c r="G326" s="30" t="inlineStr"/>
      <c r="H326" s="30" t="inlineStr"/>
      <c r="I326" s="30" t="inlineStr"/>
      <c r="J326" s="44">
        <f>IF(A326="","",D326+F326)</f>
        <v/>
      </c>
      <c r="K326" s="15">
        <f>IF(A326="","",IFERROR(VLOOKUP(B326,'13_Ausgangsrechnungen'!$A$4:$S$400,19,FALSE),0))</f>
        <v/>
      </c>
    </row>
    <row r="327">
      <c r="A327" s="30" t="inlineStr"/>
      <c r="B327" s="30" t="inlineStr"/>
      <c r="C327" s="30" t="inlineStr"/>
      <c r="D327" s="38" t="inlineStr"/>
      <c r="E327" s="31" t="inlineStr"/>
      <c r="F327" s="31" t="inlineStr"/>
      <c r="G327" s="30" t="inlineStr"/>
      <c r="H327" s="30" t="inlineStr"/>
      <c r="I327" s="30" t="inlineStr"/>
      <c r="J327" s="44">
        <f>IF(A327="","",D327+F327)</f>
        <v/>
      </c>
      <c r="K327" s="15">
        <f>IF(A327="","",IFERROR(VLOOKUP(B327,'13_Ausgangsrechnungen'!$A$4:$S$400,19,FALSE),0))</f>
        <v/>
      </c>
    </row>
    <row r="328">
      <c r="A328" s="30" t="inlineStr"/>
      <c r="B328" s="30" t="inlineStr"/>
      <c r="C328" s="30" t="inlineStr"/>
      <c r="D328" s="38" t="inlineStr"/>
      <c r="E328" s="31" t="inlineStr"/>
      <c r="F328" s="31" t="inlineStr"/>
      <c r="G328" s="30" t="inlineStr"/>
      <c r="H328" s="30" t="inlineStr"/>
      <c r="I328" s="30" t="inlineStr"/>
      <c r="J328" s="44">
        <f>IF(A328="","",D328+F328)</f>
        <v/>
      </c>
      <c r="K328" s="15">
        <f>IF(A328="","",IFERROR(VLOOKUP(B328,'13_Ausgangsrechnungen'!$A$4:$S$400,19,FALSE),0))</f>
        <v/>
      </c>
    </row>
    <row r="329">
      <c r="A329" s="30" t="inlineStr"/>
      <c r="B329" s="30" t="inlineStr"/>
      <c r="C329" s="30" t="inlineStr"/>
      <c r="D329" s="38" t="inlineStr"/>
      <c r="E329" s="31" t="inlineStr"/>
      <c r="F329" s="31" t="inlineStr"/>
      <c r="G329" s="30" t="inlineStr"/>
      <c r="H329" s="30" t="inlineStr"/>
      <c r="I329" s="30" t="inlineStr"/>
      <c r="J329" s="44">
        <f>IF(A329="","",D329+F329)</f>
        <v/>
      </c>
      <c r="K329" s="15">
        <f>IF(A329="","",IFERROR(VLOOKUP(B329,'13_Ausgangsrechnungen'!$A$4:$S$400,19,FALSE),0))</f>
        <v/>
      </c>
    </row>
    <row r="330">
      <c r="A330" s="30" t="inlineStr"/>
      <c r="B330" s="30" t="inlineStr"/>
      <c r="C330" s="30" t="inlineStr"/>
      <c r="D330" s="38" t="inlineStr"/>
      <c r="E330" s="31" t="inlineStr"/>
      <c r="F330" s="31" t="inlineStr"/>
      <c r="G330" s="30" t="inlineStr"/>
      <c r="H330" s="30" t="inlineStr"/>
      <c r="I330" s="30" t="inlineStr"/>
      <c r="J330" s="44">
        <f>IF(A330="","",D330+F330)</f>
        <v/>
      </c>
      <c r="K330" s="15">
        <f>IF(A330="","",IFERROR(VLOOKUP(B330,'13_Ausgangsrechnungen'!$A$4:$S$400,19,FALSE),0))</f>
        <v/>
      </c>
    </row>
    <row r="331">
      <c r="A331" s="30" t="inlineStr"/>
      <c r="B331" s="30" t="inlineStr"/>
      <c r="C331" s="30" t="inlineStr"/>
      <c r="D331" s="38" t="inlineStr"/>
      <c r="E331" s="31" t="inlineStr"/>
      <c r="F331" s="31" t="inlineStr"/>
      <c r="G331" s="30" t="inlineStr"/>
      <c r="H331" s="30" t="inlineStr"/>
      <c r="I331" s="30" t="inlineStr"/>
      <c r="J331" s="44">
        <f>IF(A331="","",D331+F331)</f>
        <v/>
      </c>
      <c r="K331" s="15">
        <f>IF(A331="","",IFERROR(VLOOKUP(B331,'13_Ausgangsrechnungen'!$A$4:$S$400,19,FALSE),0))</f>
        <v/>
      </c>
    </row>
    <row r="332">
      <c r="A332" s="30" t="inlineStr"/>
      <c r="B332" s="30" t="inlineStr"/>
      <c r="C332" s="30" t="inlineStr"/>
      <c r="D332" s="38" t="inlineStr"/>
      <c r="E332" s="31" t="inlineStr"/>
      <c r="F332" s="31" t="inlineStr"/>
      <c r="G332" s="30" t="inlineStr"/>
      <c r="H332" s="30" t="inlineStr"/>
      <c r="I332" s="30" t="inlineStr"/>
      <c r="J332" s="44">
        <f>IF(A332="","",D332+F332)</f>
        <v/>
      </c>
      <c r="K332" s="15">
        <f>IF(A332="","",IFERROR(VLOOKUP(B332,'13_Ausgangsrechnungen'!$A$4:$S$400,19,FALSE),0))</f>
        <v/>
      </c>
    </row>
    <row r="333">
      <c r="A333" s="30" t="inlineStr"/>
      <c r="B333" s="30" t="inlineStr"/>
      <c r="C333" s="30" t="inlineStr"/>
      <c r="D333" s="38" t="inlineStr"/>
      <c r="E333" s="31" t="inlineStr"/>
      <c r="F333" s="31" t="inlineStr"/>
      <c r="G333" s="30" t="inlineStr"/>
      <c r="H333" s="30" t="inlineStr"/>
      <c r="I333" s="30" t="inlineStr"/>
      <c r="J333" s="44">
        <f>IF(A333="","",D333+F333)</f>
        <v/>
      </c>
      <c r="K333" s="15">
        <f>IF(A333="","",IFERROR(VLOOKUP(B333,'13_Ausgangsrechnungen'!$A$4:$S$400,19,FALSE),0))</f>
        <v/>
      </c>
    </row>
    <row r="334">
      <c r="A334" s="30" t="inlineStr"/>
      <c r="B334" s="30" t="inlineStr"/>
      <c r="C334" s="30" t="inlineStr"/>
      <c r="D334" s="38" t="inlineStr"/>
      <c r="E334" s="31" t="inlineStr"/>
      <c r="F334" s="31" t="inlineStr"/>
      <c r="G334" s="30" t="inlineStr"/>
      <c r="H334" s="30" t="inlineStr"/>
      <c r="I334" s="30" t="inlineStr"/>
      <c r="J334" s="44">
        <f>IF(A334="","",D334+F334)</f>
        <v/>
      </c>
      <c r="K334" s="15">
        <f>IF(A334="","",IFERROR(VLOOKUP(B334,'13_Ausgangsrechnungen'!$A$4:$S$400,19,FALSE),0))</f>
        <v/>
      </c>
    </row>
    <row r="335">
      <c r="A335" s="30" t="inlineStr"/>
      <c r="B335" s="30" t="inlineStr"/>
      <c r="C335" s="30" t="inlineStr"/>
      <c r="D335" s="38" t="inlineStr"/>
      <c r="E335" s="31" t="inlineStr"/>
      <c r="F335" s="31" t="inlineStr"/>
      <c r="G335" s="30" t="inlineStr"/>
      <c r="H335" s="30" t="inlineStr"/>
      <c r="I335" s="30" t="inlineStr"/>
      <c r="J335" s="44">
        <f>IF(A335="","",D335+F335)</f>
        <v/>
      </c>
      <c r="K335" s="15">
        <f>IF(A335="","",IFERROR(VLOOKUP(B335,'13_Ausgangsrechnungen'!$A$4:$S$400,19,FALSE),0))</f>
        <v/>
      </c>
    </row>
    <row r="336">
      <c r="A336" s="30" t="inlineStr"/>
      <c r="B336" s="30" t="inlineStr"/>
      <c r="C336" s="30" t="inlineStr"/>
      <c r="D336" s="38" t="inlineStr"/>
      <c r="E336" s="31" t="inlineStr"/>
      <c r="F336" s="31" t="inlineStr"/>
      <c r="G336" s="30" t="inlineStr"/>
      <c r="H336" s="30" t="inlineStr"/>
      <c r="I336" s="30" t="inlineStr"/>
      <c r="J336" s="44">
        <f>IF(A336="","",D336+F336)</f>
        <v/>
      </c>
      <c r="K336" s="15">
        <f>IF(A336="","",IFERROR(VLOOKUP(B336,'13_Ausgangsrechnungen'!$A$4:$S$400,19,FALSE),0))</f>
        <v/>
      </c>
    </row>
    <row r="337">
      <c r="A337" s="30" t="inlineStr"/>
      <c r="B337" s="30" t="inlineStr"/>
      <c r="C337" s="30" t="inlineStr"/>
      <c r="D337" s="38" t="inlineStr"/>
      <c r="E337" s="31" t="inlineStr"/>
      <c r="F337" s="31" t="inlineStr"/>
      <c r="G337" s="30" t="inlineStr"/>
      <c r="H337" s="30" t="inlineStr"/>
      <c r="I337" s="30" t="inlineStr"/>
      <c r="J337" s="44">
        <f>IF(A337="","",D337+F337)</f>
        <v/>
      </c>
      <c r="K337" s="15">
        <f>IF(A337="","",IFERROR(VLOOKUP(B337,'13_Ausgangsrechnungen'!$A$4:$S$400,19,FALSE),0))</f>
        <v/>
      </c>
    </row>
    <row r="338">
      <c r="A338" s="30" t="inlineStr"/>
      <c r="B338" s="30" t="inlineStr"/>
      <c r="C338" s="30" t="inlineStr"/>
      <c r="D338" s="38" t="inlineStr"/>
      <c r="E338" s="31" t="inlineStr"/>
      <c r="F338" s="31" t="inlineStr"/>
      <c r="G338" s="30" t="inlineStr"/>
      <c r="H338" s="30" t="inlineStr"/>
      <c r="I338" s="30" t="inlineStr"/>
      <c r="J338" s="44">
        <f>IF(A338="","",D338+F338)</f>
        <v/>
      </c>
      <c r="K338" s="15">
        <f>IF(A338="","",IFERROR(VLOOKUP(B338,'13_Ausgangsrechnungen'!$A$4:$S$400,19,FALSE),0))</f>
        <v/>
      </c>
    </row>
    <row r="339">
      <c r="A339" s="30" t="inlineStr"/>
      <c r="B339" s="30" t="inlineStr"/>
      <c r="C339" s="30" t="inlineStr"/>
      <c r="D339" s="38" t="inlineStr"/>
      <c r="E339" s="31" t="inlineStr"/>
      <c r="F339" s="31" t="inlineStr"/>
      <c r="G339" s="30" t="inlineStr"/>
      <c r="H339" s="30" t="inlineStr"/>
      <c r="I339" s="30" t="inlineStr"/>
      <c r="J339" s="44">
        <f>IF(A339="","",D339+F339)</f>
        <v/>
      </c>
      <c r="K339" s="15">
        <f>IF(A339="","",IFERROR(VLOOKUP(B339,'13_Ausgangsrechnungen'!$A$4:$S$400,19,FALSE),0))</f>
        <v/>
      </c>
    </row>
    <row r="340">
      <c r="A340" s="30" t="inlineStr"/>
      <c r="B340" s="30" t="inlineStr"/>
      <c r="C340" s="30" t="inlineStr"/>
      <c r="D340" s="38" t="inlineStr"/>
      <c r="E340" s="31" t="inlineStr"/>
      <c r="F340" s="31" t="inlineStr"/>
      <c r="G340" s="30" t="inlineStr"/>
      <c r="H340" s="30" t="inlineStr"/>
      <c r="I340" s="30" t="inlineStr"/>
      <c r="J340" s="44">
        <f>IF(A340="","",D340+F340)</f>
        <v/>
      </c>
      <c r="K340" s="15">
        <f>IF(A340="","",IFERROR(VLOOKUP(B340,'13_Ausgangsrechnungen'!$A$4:$S$400,19,FALSE),0))</f>
        <v/>
      </c>
    </row>
    <row r="341">
      <c r="A341" s="30" t="inlineStr"/>
      <c r="B341" s="30" t="inlineStr"/>
      <c r="C341" s="30" t="inlineStr"/>
      <c r="D341" s="38" t="inlineStr"/>
      <c r="E341" s="31" t="inlineStr"/>
      <c r="F341" s="31" t="inlineStr"/>
      <c r="G341" s="30" t="inlineStr"/>
      <c r="H341" s="30" t="inlineStr"/>
      <c r="I341" s="30" t="inlineStr"/>
      <c r="J341" s="44">
        <f>IF(A341="","",D341+F341)</f>
        <v/>
      </c>
      <c r="K341" s="15">
        <f>IF(A341="","",IFERROR(VLOOKUP(B341,'13_Ausgangsrechnungen'!$A$4:$S$400,19,FALSE),0))</f>
        <v/>
      </c>
    </row>
    <row r="342">
      <c r="A342" s="30" t="inlineStr"/>
      <c r="B342" s="30" t="inlineStr"/>
      <c r="C342" s="30" t="inlineStr"/>
      <c r="D342" s="38" t="inlineStr"/>
      <c r="E342" s="31" t="inlineStr"/>
      <c r="F342" s="31" t="inlineStr"/>
      <c r="G342" s="30" t="inlineStr"/>
      <c r="H342" s="30" t="inlineStr"/>
      <c r="I342" s="30" t="inlineStr"/>
      <c r="J342" s="44">
        <f>IF(A342="","",D342+F342)</f>
        <v/>
      </c>
      <c r="K342" s="15">
        <f>IF(A342="","",IFERROR(VLOOKUP(B342,'13_Ausgangsrechnungen'!$A$4:$S$400,19,FALSE),0))</f>
        <v/>
      </c>
    </row>
    <row r="343">
      <c r="A343" s="30" t="inlineStr"/>
      <c r="B343" s="30" t="inlineStr"/>
      <c r="C343" s="30" t="inlineStr"/>
      <c r="D343" s="38" t="inlineStr"/>
      <c r="E343" s="31" t="inlineStr"/>
      <c r="F343" s="31" t="inlineStr"/>
      <c r="G343" s="30" t="inlineStr"/>
      <c r="H343" s="30" t="inlineStr"/>
      <c r="I343" s="30" t="inlineStr"/>
      <c r="J343" s="44">
        <f>IF(A343="","",D343+F343)</f>
        <v/>
      </c>
      <c r="K343" s="15">
        <f>IF(A343="","",IFERROR(VLOOKUP(B343,'13_Ausgangsrechnungen'!$A$4:$S$400,19,FALSE),0))</f>
        <v/>
      </c>
    </row>
    <row r="344">
      <c r="A344" s="30" t="inlineStr"/>
      <c r="B344" s="30" t="inlineStr"/>
      <c r="C344" s="30" t="inlineStr"/>
      <c r="D344" s="38" t="inlineStr"/>
      <c r="E344" s="31" t="inlineStr"/>
      <c r="F344" s="31" t="inlineStr"/>
      <c r="G344" s="30" t="inlineStr"/>
      <c r="H344" s="30" t="inlineStr"/>
      <c r="I344" s="30" t="inlineStr"/>
      <c r="J344" s="44">
        <f>IF(A344="","",D344+F344)</f>
        <v/>
      </c>
      <c r="K344" s="15">
        <f>IF(A344="","",IFERROR(VLOOKUP(B344,'13_Ausgangsrechnungen'!$A$4:$S$400,19,FALSE),0))</f>
        <v/>
      </c>
    </row>
    <row r="345">
      <c r="A345" s="30" t="inlineStr"/>
      <c r="B345" s="30" t="inlineStr"/>
      <c r="C345" s="30" t="inlineStr"/>
      <c r="D345" s="38" t="inlineStr"/>
      <c r="E345" s="31" t="inlineStr"/>
      <c r="F345" s="31" t="inlineStr"/>
      <c r="G345" s="30" t="inlineStr"/>
      <c r="H345" s="30" t="inlineStr"/>
      <c r="I345" s="30" t="inlineStr"/>
      <c r="J345" s="44">
        <f>IF(A345="","",D345+F345)</f>
        <v/>
      </c>
      <c r="K345" s="15">
        <f>IF(A345="","",IFERROR(VLOOKUP(B345,'13_Ausgangsrechnungen'!$A$4:$S$400,19,FALSE),0))</f>
        <v/>
      </c>
    </row>
    <row r="346">
      <c r="A346" s="30" t="inlineStr"/>
      <c r="B346" s="30" t="inlineStr"/>
      <c r="C346" s="30" t="inlineStr"/>
      <c r="D346" s="38" t="inlineStr"/>
      <c r="E346" s="31" t="inlineStr"/>
      <c r="F346" s="31" t="inlineStr"/>
      <c r="G346" s="30" t="inlineStr"/>
      <c r="H346" s="30" t="inlineStr"/>
      <c r="I346" s="30" t="inlineStr"/>
      <c r="J346" s="44">
        <f>IF(A346="","",D346+F346)</f>
        <v/>
      </c>
      <c r="K346" s="15">
        <f>IF(A346="","",IFERROR(VLOOKUP(B346,'13_Ausgangsrechnungen'!$A$4:$S$400,19,FALSE),0))</f>
        <v/>
      </c>
    </row>
    <row r="347">
      <c r="A347" s="30" t="inlineStr"/>
      <c r="B347" s="30" t="inlineStr"/>
      <c r="C347" s="30" t="inlineStr"/>
      <c r="D347" s="38" t="inlineStr"/>
      <c r="E347" s="31" t="inlineStr"/>
      <c r="F347" s="31" t="inlineStr"/>
      <c r="G347" s="30" t="inlineStr"/>
      <c r="H347" s="30" t="inlineStr"/>
      <c r="I347" s="30" t="inlineStr"/>
      <c r="J347" s="44">
        <f>IF(A347="","",D347+F347)</f>
        <v/>
      </c>
      <c r="K347" s="15">
        <f>IF(A347="","",IFERROR(VLOOKUP(B347,'13_Ausgangsrechnungen'!$A$4:$S$400,19,FALSE),0))</f>
        <v/>
      </c>
    </row>
    <row r="348">
      <c r="A348" s="30" t="inlineStr"/>
      <c r="B348" s="30" t="inlineStr"/>
      <c r="C348" s="30" t="inlineStr"/>
      <c r="D348" s="38" t="inlineStr"/>
      <c r="E348" s="31" t="inlineStr"/>
      <c r="F348" s="31" t="inlineStr"/>
      <c r="G348" s="30" t="inlineStr"/>
      <c r="H348" s="30" t="inlineStr"/>
      <c r="I348" s="30" t="inlineStr"/>
      <c r="J348" s="44">
        <f>IF(A348="","",D348+F348)</f>
        <v/>
      </c>
      <c r="K348" s="15">
        <f>IF(A348="","",IFERROR(VLOOKUP(B348,'13_Ausgangsrechnungen'!$A$4:$S$400,19,FALSE),0))</f>
        <v/>
      </c>
    </row>
    <row r="349">
      <c r="A349" s="30" t="inlineStr"/>
      <c r="B349" s="30" t="inlineStr"/>
      <c r="C349" s="30" t="inlineStr"/>
      <c r="D349" s="38" t="inlineStr"/>
      <c r="E349" s="31" t="inlineStr"/>
      <c r="F349" s="31" t="inlineStr"/>
      <c r="G349" s="30" t="inlineStr"/>
      <c r="H349" s="30" t="inlineStr"/>
      <c r="I349" s="30" t="inlineStr"/>
      <c r="J349" s="44">
        <f>IF(A349="","",D349+F349)</f>
        <v/>
      </c>
      <c r="K349" s="15">
        <f>IF(A349="","",IFERROR(VLOOKUP(B349,'13_Ausgangsrechnungen'!$A$4:$S$400,19,FALSE),0))</f>
        <v/>
      </c>
    </row>
    <row r="350">
      <c r="A350" s="30" t="inlineStr"/>
      <c r="B350" s="30" t="inlineStr"/>
      <c r="C350" s="30" t="inlineStr"/>
      <c r="D350" s="38" t="inlineStr"/>
      <c r="E350" s="31" t="inlineStr"/>
      <c r="F350" s="31" t="inlineStr"/>
      <c r="G350" s="30" t="inlineStr"/>
      <c r="H350" s="30" t="inlineStr"/>
      <c r="I350" s="30" t="inlineStr"/>
      <c r="J350" s="44">
        <f>IF(A350="","",D350+F350)</f>
        <v/>
      </c>
      <c r="K350" s="15">
        <f>IF(A350="","",IFERROR(VLOOKUP(B350,'13_Ausgangsrechnungen'!$A$4:$S$400,19,FALSE),0))</f>
        <v/>
      </c>
    </row>
    <row r="351">
      <c r="A351" s="30" t="inlineStr"/>
      <c r="B351" s="30" t="inlineStr"/>
      <c r="C351" s="30" t="inlineStr"/>
      <c r="D351" s="38" t="inlineStr"/>
      <c r="E351" s="31" t="inlineStr"/>
      <c r="F351" s="31" t="inlineStr"/>
      <c r="G351" s="30" t="inlineStr"/>
      <c r="H351" s="30" t="inlineStr"/>
      <c r="I351" s="30" t="inlineStr"/>
      <c r="J351" s="44">
        <f>IF(A351="","",D351+F351)</f>
        <v/>
      </c>
      <c r="K351" s="15">
        <f>IF(A351="","",IFERROR(VLOOKUP(B351,'13_Ausgangsrechnungen'!$A$4:$S$400,19,FALSE),0))</f>
        <v/>
      </c>
    </row>
    <row r="352">
      <c r="A352" s="30" t="inlineStr"/>
      <c r="B352" s="30" t="inlineStr"/>
      <c r="C352" s="30" t="inlineStr"/>
      <c r="D352" s="38" t="inlineStr"/>
      <c r="E352" s="31" t="inlineStr"/>
      <c r="F352" s="31" t="inlineStr"/>
      <c r="G352" s="30" t="inlineStr"/>
      <c r="H352" s="30" t="inlineStr"/>
      <c r="I352" s="30" t="inlineStr"/>
      <c r="J352" s="44">
        <f>IF(A352="","",D352+F352)</f>
        <v/>
      </c>
      <c r="K352" s="15">
        <f>IF(A352="","",IFERROR(VLOOKUP(B352,'13_Ausgangsrechnungen'!$A$4:$S$400,19,FALSE),0))</f>
        <v/>
      </c>
    </row>
    <row r="353">
      <c r="A353" s="30" t="inlineStr"/>
      <c r="B353" s="30" t="inlineStr"/>
      <c r="C353" s="30" t="inlineStr"/>
      <c r="D353" s="38" t="inlineStr"/>
      <c r="E353" s="31" t="inlineStr"/>
      <c r="F353" s="31" t="inlineStr"/>
      <c r="G353" s="30" t="inlineStr"/>
      <c r="H353" s="30" t="inlineStr"/>
      <c r="I353" s="30" t="inlineStr"/>
      <c r="J353" s="44">
        <f>IF(A353="","",D353+F353)</f>
        <v/>
      </c>
      <c r="K353" s="15">
        <f>IF(A353="","",IFERROR(VLOOKUP(B353,'13_Ausgangsrechnungen'!$A$4:$S$400,19,FALSE),0))</f>
        <v/>
      </c>
    </row>
    <row r="354">
      <c r="A354" s="30" t="inlineStr"/>
      <c r="B354" s="30" t="inlineStr"/>
      <c r="C354" s="30" t="inlineStr"/>
      <c r="D354" s="38" t="inlineStr"/>
      <c r="E354" s="31" t="inlineStr"/>
      <c r="F354" s="31" t="inlineStr"/>
      <c r="G354" s="30" t="inlineStr"/>
      <c r="H354" s="30" t="inlineStr"/>
      <c r="I354" s="30" t="inlineStr"/>
      <c r="J354" s="44">
        <f>IF(A354="","",D354+F354)</f>
        <v/>
      </c>
      <c r="K354" s="15">
        <f>IF(A354="","",IFERROR(VLOOKUP(B354,'13_Ausgangsrechnungen'!$A$4:$S$400,19,FALSE),0))</f>
        <v/>
      </c>
    </row>
    <row r="355">
      <c r="A355" s="30" t="inlineStr"/>
      <c r="B355" s="30" t="inlineStr"/>
      <c r="C355" s="30" t="inlineStr"/>
      <c r="D355" s="38" t="inlineStr"/>
      <c r="E355" s="31" t="inlineStr"/>
      <c r="F355" s="31" t="inlineStr"/>
      <c r="G355" s="30" t="inlineStr"/>
      <c r="H355" s="30" t="inlineStr"/>
      <c r="I355" s="30" t="inlineStr"/>
      <c r="J355" s="44">
        <f>IF(A355="","",D355+F355)</f>
        <v/>
      </c>
      <c r="K355" s="15">
        <f>IF(A355="","",IFERROR(VLOOKUP(B355,'13_Ausgangsrechnungen'!$A$4:$S$400,19,FALSE),0))</f>
        <v/>
      </c>
    </row>
    <row r="356">
      <c r="A356" s="30" t="inlineStr"/>
      <c r="B356" s="30" t="inlineStr"/>
      <c r="C356" s="30" t="inlineStr"/>
      <c r="D356" s="38" t="inlineStr"/>
      <c r="E356" s="31" t="inlineStr"/>
      <c r="F356" s="31" t="inlineStr"/>
      <c r="G356" s="30" t="inlineStr"/>
      <c r="H356" s="30" t="inlineStr"/>
      <c r="I356" s="30" t="inlineStr"/>
      <c r="J356" s="44">
        <f>IF(A356="","",D356+F356)</f>
        <v/>
      </c>
      <c r="K356" s="15">
        <f>IF(A356="","",IFERROR(VLOOKUP(B356,'13_Ausgangsrechnungen'!$A$4:$S$400,19,FALSE),0))</f>
        <v/>
      </c>
    </row>
    <row r="357">
      <c r="A357" s="30" t="inlineStr"/>
      <c r="B357" s="30" t="inlineStr"/>
      <c r="C357" s="30" t="inlineStr"/>
      <c r="D357" s="38" t="inlineStr"/>
      <c r="E357" s="31" t="inlineStr"/>
      <c r="F357" s="31" t="inlineStr"/>
      <c r="G357" s="30" t="inlineStr"/>
      <c r="H357" s="30" t="inlineStr"/>
      <c r="I357" s="30" t="inlineStr"/>
      <c r="J357" s="44">
        <f>IF(A357="","",D357+F357)</f>
        <v/>
      </c>
      <c r="K357" s="15">
        <f>IF(A357="","",IFERROR(VLOOKUP(B357,'13_Ausgangsrechnungen'!$A$4:$S$400,19,FALSE),0))</f>
        <v/>
      </c>
    </row>
    <row r="358">
      <c r="A358" s="30" t="inlineStr"/>
      <c r="B358" s="30" t="inlineStr"/>
      <c r="C358" s="30" t="inlineStr"/>
      <c r="D358" s="38" t="inlineStr"/>
      <c r="E358" s="31" t="inlineStr"/>
      <c r="F358" s="31" t="inlineStr"/>
      <c r="G358" s="30" t="inlineStr"/>
      <c r="H358" s="30" t="inlineStr"/>
      <c r="I358" s="30" t="inlineStr"/>
      <c r="J358" s="44">
        <f>IF(A358="","",D358+F358)</f>
        <v/>
      </c>
      <c r="K358" s="15">
        <f>IF(A358="","",IFERROR(VLOOKUP(B358,'13_Ausgangsrechnungen'!$A$4:$S$400,19,FALSE),0))</f>
        <v/>
      </c>
    </row>
    <row r="359">
      <c r="A359" s="30" t="inlineStr"/>
      <c r="B359" s="30" t="inlineStr"/>
      <c r="C359" s="30" t="inlineStr"/>
      <c r="D359" s="38" t="inlineStr"/>
      <c r="E359" s="31" t="inlineStr"/>
      <c r="F359" s="31" t="inlineStr"/>
      <c r="G359" s="30" t="inlineStr"/>
      <c r="H359" s="30" t="inlineStr"/>
      <c r="I359" s="30" t="inlineStr"/>
      <c r="J359" s="44">
        <f>IF(A359="","",D359+F359)</f>
        <v/>
      </c>
      <c r="K359" s="15">
        <f>IF(A359="","",IFERROR(VLOOKUP(B359,'13_Ausgangsrechnungen'!$A$4:$S$400,19,FALSE),0))</f>
        <v/>
      </c>
    </row>
    <row r="360">
      <c r="A360" s="30" t="inlineStr"/>
      <c r="B360" s="30" t="inlineStr"/>
      <c r="C360" s="30" t="inlineStr"/>
      <c r="D360" s="38" t="inlineStr"/>
      <c r="E360" s="31" t="inlineStr"/>
      <c r="F360" s="31" t="inlineStr"/>
      <c r="G360" s="30" t="inlineStr"/>
      <c r="H360" s="30" t="inlineStr"/>
      <c r="I360" s="30" t="inlineStr"/>
      <c r="J360" s="44">
        <f>IF(A360="","",D360+F360)</f>
        <v/>
      </c>
      <c r="K360" s="15">
        <f>IF(A360="","",IFERROR(VLOOKUP(B360,'13_Ausgangsrechnungen'!$A$4:$S$400,19,FALSE),0))</f>
        <v/>
      </c>
    </row>
    <row r="361">
      <c r="A361" s="30" t="inlineStr"/>
      <c r="B361" s="30" t="inlineStr"/>
      <c r="C361" s="30" t="inlineStr"/>
      <c r="D361" s="38" t="inlineStr"/>
      <c r="E361" s="31" t="inlineStr"/>
      <c r="F361" s="31" t="inlineStr"/>
      <c r="G361" s="30" t="inlineStr"/>
      <c r="H361" s="30" t="inlineStr"/>
      <c r="I361" s="30" t="inlineStr"/>
      <c r="J361" s="44">
        <f>IF(A361="","",D361+F361)</f>
        <v/>
      </c>
      <c r="K361" s="15">
        <f>IF(A361="","",IFERROR(VLOOKUP(B361,'13_Ausgangsrechnungen'!$A$4:$S$400,19,FALSE),0))</f>
        <v/>
      </c>
    </row>
    <row r="362">
      <c r="A362" s="30" t="inlineStr"/>
      <c r="B362" s="30" t="inlineStr"/>
      <c r="C362" s="30" t="inlineStr"/>
      <c r="D362" s="38" t="inlineStr"/>
      <c r="E362" s="31" t="inlineStr"/>
      <c r="F362" s="31" t="inlineStr"/>
      <c r="G362" s="30" t="inlineStr"/>
      <c r="H362" s="30" t="inlineStr"/>
      <c r="I362" s="30" t="inlineStr"/>
      <c r="J362" s="44">
        <f>IF(A362="","",D362+F362)</f>
        <v/>
      </c>
      <c r="K362" s="15">
        <f>IF(A362="","",IFERROR(VLOOKUP(B362,'13_Ausgangsrechnungen'!$A$4:$S$400,19,FALSE),0))</f>
        <v/>
      </c>
    </row>
    <row r="363">
      <c r="A363" s="30" t="inlineStr"/>
      <c r="B363" s="30" t="inlineStr"/>
      <c r="C363" s="30" t="inlineStr"/>
      <c r="D363" s="38" t="inlineStr"/>
      <c r="E363" s="31" t="inlineStr"/>
      <c r="F363" s="31" t="inlineStr"/>
      <c r="G363" s="30" t="inlineStr"/>
      <c r="H363" s="30" t="inlineStr"/>
      <c r="I363" s="30" t="inlineStr"/>
      <c r="J363" s="44">
        <f>IF(A363="","",D363+F363)</f>
        <v/>
      </c>
      <c r="K363" s="15">
        <f>IF(A363="","",IFERROR(VLOOKUP(B363,'13_Ausgangsrechnungen'!$A$4:$S$400,19,FALSE),0))</f>
        <v/>
      </c>
    </row>
    <row r="364">
      <c r="A364" s="30" t="inlineStr"/>
      <c r="B364" s="30" t="inlineStr"/>
      <c r="C364" s="30" t="inlineStr"/>
      <c r="D364" s="38" t="inlineStr"/>
      <c r="E364" s="31" t="inlineStr"/>
      <c r="F364" s="31" t="inlineStr"/>
      <c r="G364" s="30" t="inlineStr"/>
      <c r="H364" s="30" t="inlineStr"/>
      <c r="I364" s="30" t="inlineStr"/>
      <c r="J364" s="44">
        <f>IF(A364="","",D364+F364)</f>
        <v/>
      </c>
      <c r="K364" s="15">
        <f>IF(A364="","",IFERROR(VLOOKUP(B364,'13_Ausgangsrechnungen'!$A$4:$S$400,19,FALSE),0))</f>
        <v/>
      </c>
    </row>
    <row r="365">
      <c r="A365" s="30" t="inlineStr"/>
      <c r="B365" s="30" t="inlineStr"/>
      <c r="C365" s="30" t="inlineStr"/>
      <c r="D365" s="38" t="inlineStr"/>
      <c r="E365" s="31" t="inlineStr"/>
      <c r="F365" s="31" t="inlineStr"/>
      <c r="G365" s="30" t="inlineStr"/>
      <c r="H365" s="30" t="inlineStr"/>
      <c r="I365" s="30" t="inlineStr"/>
      <c r="J365" s="44">
        <f>IF(A365="","",D365+F365)</f>
        <v/>
      </c>
      <c r="K365" s="15">
        <f>IF(A365="","",IFERROR(VLOOKUP(B365,'13_Ausgangsrechnungen'!$A$4:$S$400,19,FALSE),0))</f>
        <v/>
      </c>
    </row>
    <row r="366">
      <c r="A366" s="30" t="inlineStr"/>
      <c r="B366" s="30" t="inlineStr"/>
      <c r="C366" s="30" t="inlineStr"/>
      <c r="D366" s="38" t="inlineStr"/>
      <c r="E366" s="31" t="inlineStr"/>
      <c r="F366" s="31" t="inlineStr"/>
      <c r="G366" s="30" t="inlineStr"/>
      <c r="H366" s="30" t="inlineStr"/>
      <c r="I366" s="30" t="inlineStr"/>
      <c r="J366" s="44">
        <f>IF(A366="","",D366+F366)</f>
        <v/>
      </c>
      <c r="K366" s="15">
        <f>IF(A366="","",IFERROR(VLOOKUP(B366,'13_Ausgangsrechnungen'!$A$4:$S$400,19,FALSE),0))</f>
        <v/>
      </c>
    </row>
    <row r="367">
      <c r="A367" s="30" t="inlineStr"/>
      <c r="B367" s="30" t="inlineStr"/>
      <c r="C367" s="30" t="inlineStr"/>
      <c r="D367" s="38" t="inlineStr"/>
      <c r="E367" s="31" t="inlineStr"/>
      <c r="F367" s="31" t="inlineStr"/>
      <c r="G367" s="30" t="inlineStr"/>
      <c r="H367" s="30" t="inlineStr"/>
      <c r="I367" s="30" t="inlineStr"/>
      <c r="J367" s="44">
        <f>IF(A367="","",D367+F367)</f>
        <v/>
      </c>
      <c r="K367" s="15">
        <f>IF(A367="","",IFERROR(VLOOKUP(B367,'13_Ausgangsrechnungen'!$A$4:$S$400,19,FALSE),0))</f>
        <v/>
      </c>
    </row>
    <row r="368">
      <c r="A368" s="30" t="inlineStr"/>
      <c r="B368" s="30" t="inlineStr"/>
      <c r="C368" s="30" t="inlineStr"/>
      <c r="D368" s="38" t="inlineStr"/>
      <c r="E368" s="31" t="inlineStr"/>
      <c r="F368" s="31" t="inlineStr"/>
      <c r="G368" s="30" t="inlineStr"/>
      <c r="H368" s="30" t="inlineStr"/>
      <c r="I368" s="30" t="inlineStr"/>
      <c r="J368" s="44">
        <f>IF(A368="","",D368+F368)</f>
        <v/>
      </c>
      <c r="K368" s="15">
        <f>IF(A368="","",IFERROR(VLOOKUP(B368,'13_Ausgangsrechnungen'!$A$4:$S$400,19,FALSE),0))</f>
        <v/>
      </c>
    </row>
    <row r="369">
      <c r="A369" s="30" t="inlineStr"/>
      <c r="B369" s="30" t="inlineStr"/>
      <c r="C369" s="30" t="inlineStr"/>
      <c r="D369" s="38" t="inlineStr"/>
      <c r="E369" s="31" t="inlineStr"/>
      <c r="F369" s="31" t="inlineStr"/>
      <c r="G369" s="30" t="inlineStr"/>
      <c r="H369" s="30" t="inlineStr"/>
      <c r="I369" s="30" t="inlineStr"/>
      <c r="J369" s="44">
        <f>IF(A369="","",D369+F369)</f>
        <v/>
      </c>
      <c r="K369" s="15">
        <f>IF(A369="","",IFERROR(VLOOKUP(B369,'13_Ausgangsrechnungen'!$A$4:$S$400,19,FALSE),0))</f>
        <v/>
      </c>
    </row>
    <row r="370">
      <c r="A370" s="30" t="inlineStr"/>
      <c r="B370" s="30" t="inlineStr"/>
      <c r="C370" s="30" t="inlineStr"/>
      <c r="D370" s="38" t="inlineStr"/>
      <c r="E370" s="31" t="inlineStr"/>
      <c r="F370" s="31" t="inlineStr"/>
      <c r="G370" s="30" t="inlineStr"/>
      <c r="H370" s="30" t="inlineStr"/>
      <c r="I370" s="30" t="inlineStr"/>
      <c r="J370" s="44">
        <f>IF(A370="","",D370+F370)</f>
        <v/>
      </c>
      <c r="K370" s="15">
        <f>IF(A370="","",IFERROR(VLOOKUP(B370,'13_Ausgangsrechnungen'!$A$4:$S$400,19,FALSE),0))</f>
        <v/>
      </c>
    </row>
    <row r="371">
      <c r="A371" s="30" t="inlineStr"/>
      <c r="B371" s="30" t="inlineStr"/>
      <c r="C371" s="30" t="inlineStr"/>
      <c r="D371" s="38" t="inlineStr"/>
      <c r="E371" s="31" t="inlineStr"/>
      <c r="F371" s="31" t="inlineStr"/>
      <c r="G371" s="30" t="inlineStr"/>
      <c r="H371" s="30" t="inlineStr"/>
      <c r="I371" s="30" t="inlineStr"/>
      <c r="J371" s="44">
        <f>IF(A371="","",D371+F371)</f>
        <v/>
      </c>
      <c r="K371" s="15">
        <f>IF(A371="","",IFERROR(VLOOKUP(B371,'13_Ausgangsrechnungen'!$A$4:$S$400,19,FALSE),0))</f>
        <v/>
      </c>
    </row>
    <row r="372">
      <c r="A372" s="30" t="inlineStr"/>
      <c r="B372" s="30" t="inlineStr"/>
      <c r="C372" s="30" t="inlineStr"/>
      <c r="D372" s="38" t="inlineStr"/>
      <c r="E372" s="31" t="inlineStr"/>
      <c r="F372" s="31" t="inlineStr"/>
      <c r="G372" s="30" t="inlineStr"/>
      <c r="H372" s="30" t="inlineStr"/>
      <c r="I372" s="30" t="inlineStr"/>
      <c r="J372" s="44">
        <f>IF(A372="","",D372+F372)</f>
        <v/>
      </c>
      <c r="K372" s="15">
        <f>IF(A372="","",IFERROR(VLOOKUP(B372,'13_Ausgangsrechnungen'!$A$4:$S$400,19,FALSE),0))</f>
        <v/>
      </c>
    </row>
    <row r="373">
      <c r="A373" s="30" t="inlineStr"/>
      <c r="B373" s="30" t="inlineStr"/>
      <c r="C373" s="30" t="inlineStr"/>
      <c r="D373" s="38" t="inlineStr"/>
      <c r="E373" s="31" t="inlineStr"/>
      <c r="F373" s="31" t="inlineStr"/>
      <c r="G373" s="30" t="inlineStr"/>
      <c r="H373" s="30" t="inlineStr"/>
      <c r="I373" s="30" t="inlineStr"/>
      <c r="J373" s="44">
        <f>IF(A373="","",D373+F373)</f>
        <v/>
      </c>
      <c r="K373" s="15">
        <f>IF(A373="","",IFERROR(VLOOKUP(B373,'13_Ausgangsrechnungen'!$A$4:$S$400,19,FALSE),0))</f>
        <v/>
      </c>
    </row>
    <row r="374">
      <c r="A374" s="30" t="inlineStr"/>
      <c r="B374" s="30" t="inlineStr"/>
      <c r="C374" s="30" t="inlineStr"/>
      <c r="D374" s="38" t="inlineStr"/>
      <c r="E374" s="31" t="inlineStr"/>
      <c r="F374" s="31" t="inlineStr"/>
      <c r="G374" s="30" t="inlineStr"/>
      <c r="H374" s="30" t="inlineStr"/>
      <c r="I374" s="30" t="inlineStr"/>
      <c r="J374" s="44">
        <f>IF(A374="","",D374+F374)</f>
        <v/>
      </c>
      <c r="K374" s="15">
        <f>IF(A374="","",IFERROR(VLOOKUP(B374,'13_Ausgangsrechnungen'!$A$4:$S$400,19,FALSE),0))</f>
        <v/>
      </c>
    </row>
    <row r="375">
      <c r="A375" s="30" t="inlineStr"/>
      <c r="B375" s="30" t="inlineStr"/>
      <c r="C375" s="30" t="inlineStr"/>
      <c r="D375" s="38" t="inlineStr"/>
      <c r="E375" s="31" t="inlineStr"/>
      <c r="F375" s="31" t="inlineStr"/>
      <c r="G375" s="30" t="inlineStr"/>
      <c r="H375" s="30" t="inlineStr"/>
      <c r="I375" s="30" t="inlineStr"/>
      <c r="J375" s="44">
        <f>IF(A375="","",D375+F375)</f>
        <v/>
      </c>
      <c r="K375" s="15">
        <f>IF(A375="","",IFERROR(VLOOKUP(B375,'13_Ausgangsrechnungen'!$A$4:$S$400,19,FALSE),0))</f>
        <v/>
      </c>
    </row>
    <row r="376">
      <c r="A376" s="30" t="inlineStr"/>
      <c r="B376" s="30" t="inlineStr"/>
      <c r="C376" s="30" t="inlineStr"/>
      <c r="D376" s="38" t="inlineStr"/>
      <c r="E376" s="31" t="inlineStr"/>
      <c r="F376" s="31" t="inlineStr"/>
      <c r="G376" s="30" t="inlineStr"/>
      <c r="H376" s="30" t="inlineStr"/>
      <c r="I376" s="30" t="inlineStr"/>
      <c r="J376" s="44">
        <f>IF(A376="","",D376+F376)</f>
        <v/>
      </c>
      <c r="K376" s="15">
        <f>IF(A376="","",IFERROR(VLOOKUP(B376,'13_Ausgangsrechnungen'!$A$4:$S$400,19,FALSE),0))</f>
        <v/>
      </c>
    </row>
    <row r="377">
      <c r="A377" s="30" t="inlineStr"/>
      <c r="B377" s="30" t="inlineStr"/>
      <c r="C377" s="30" t="inlineStr"/>
      <c r="D377" s="38" t="inlineStr"/>
      <c r="E377" s="31" t="inlineStr"/>
      <c r="F377" s="31" t="inlineStr"/>
      <c r="G377" s="30" t="inlineStr"/>
      <c r="H377" s="30" t="inlineStr"/>
      <c r="I377" s="30" t="inlineStr"/>
      <c r="J377" s="44">
        <f>IF(A377="","",D377+F377)</f>
        <v/>
      </c>
      <c r="K377" s="15">
        <f>IF(A377="","",IFERROR(VLOOKUP(B377,'13_Ausgangsrechnungen'!$A$4:$S$400,19,FALSE),0))</f>
        <v/>
      </c>
    </row>
    <row r="378">
      <c r="A378" s="30" t="inlineStr"/>
      <c r="B378" s="30" t="inlineStr"/>
      <c r="C378" s="30" t="inlineStr"/>
      <c r="D378" s="38" t="inlineStr"/>
      <c r="E378" s="31" t="inlineStr"/>
      <c r="F378" s="31" t="inlineStr"/>
      <c r="G378" s="30" t="inlineStr"/>
      <c r="H378" s="30" t="inlineStr"/>
      <c r="I378" s="30" t="inlineStr"/>
      <c r="J378" s="44">
        <f>IF(A378="","",D378+F378)</f>
        <v/>
      </c>
      <c r="K378" s="15">
        <f>IF(A378="","",IFERROR(VLOOKUP(B378,'13_Ausgangsrechnungen'!$A$4:$S$400,19,FALSE),0))</f>
        <v/>
      </c>
    </row>
    <row r="379">
      <c r="A379" s="30" t="inlineStr"/>
      <c r="B379" s="30" t="inlineStr"/>
      <c r="C379" s="30" t="inlineStr"/>
      <c r="D379" s="38" t="inlineStr"/>
      <c r="E379" s="31" t="inlineStr"/>
      <c r="F379" s="31" t="inlineStr"/>
      <c r="G379" s="30" t="inlineStr"/>
      <c r="H379" s="30" t="inlineStr"/>
      <c r="I379" s="30" t="inlineStr"/>
      <c r="J379" s="44">
        <f>IF(A379="","",D379+F379)</f>
        <v/>
      </c>
      <c r="K379" s="15">
        <f>IF(A379="","",IFERROR(VLOOKUP(B379,'13_Ausgangsrechnungen'!$A$4:$S$400,19,FALSE),0))</f>
        <v/>
      </c>
    </row>
    <row r="380">
      <c r="A380" s="30" t="inlineStr"/>
      <c r="B380" s="30" t="inlineStr"/>
      <c r="C380" s="30" t="inlineStr"/>
      <c r="D380" s="38" t="inlineStr"/>
      <c r="E380" s="31" t="inlineStr"/>
      <c r="F380" s="31" t="inlineStr"/>
      <c r="G380" s="30" t="inlineStr"/>
      <c r="H380" s="30" t="inlineStr"/>
      <c r="I380" s="30" t="inlineStr"/>
      <c r="J380" s="44">
        <f>IF(A380="","",D380+F380)</f>
        <v/>
      </c>
      <c r="K380" s="15">
        <f>IF(A380="","",IFERROR(VLOOKUP(B380,'13_Ausgangsrechnungen'!$A$4:$S$400,19,FALSE),0))</f>
        <v/>
      </c>
    </row>
    <row r="381">
      <c r="A381" s="30" t="inlineStr"/>
      <c r="B381" s="30" t="inlineStr"/>
      <c r="C381" s="30" t="inlineStr"/>
      <c r="D381" s="38" t="inlineStr"/>
      <c r="E381" s="31" t="inlineStr"/>
      <c r="F381" s="31" t="inlineStr"/>
      <c r="G381" s="30" t="inlineStr"/>
      <c r="H381" s="30" t="inlineStr"/>
      <c r="I381" s="30" t="inlineStr"/>
      <c r="J381" s="44">
        <f>IF(A381="","",D381+F381)</f>
        <v/>
      </c>
      <c r="K381" s="15">
        <f>IF(A381="","",IFERROR(VLOOKUP(B381,'13_Ausgangsrechnungen'!$A$4:$S$400,19,FALSE),0))</f>
        <v/>
      </c>
    </row>
    <row r="382">
      <c r="A382" s="30" t="inlineStr"/>
      <c r="B382" s="30" t="inlineStr"/>
      <c r="C382" s="30" t="inlineStr"/>
      <c r="D382" s="38" t="inlineStr"/>
      <c r="E382" s="31" t="inlineStr"/>
      <c r="F382" s="31" t="inlineStr"/>
      <c r="G382" s="30" t="inlineStr"/>
      <c r="H382" s="30" t="inlineStr"/>
      <c r="I382" s="30" t="inlineStr"/>
      <c r="J382" s="44">
        <f>IF(A382="","",D382+F382)</f>
        <v/>
      </c>
      <c r="K382" s="15">
        <f>IF(A382="","",IFERROR(VLOOKUP(B382,'13_Ausgangsrechnungen'!$A$4:$S$400,19,FALSE),0))</f>
        <v/>
      </c>
    </row>
    <row r="383">
      <c r="A383" s="30" t="inlineStr"/>
      <c r="B383" s="30" t="inlineStr"/>
      <c r="C383" s="30" t="inlineStr"/>
      <c r="D383" s="38" t="inlineStr"/>
      <c r="E383" s="31" t="inlineStr"/>
      <c r="F383" s="31" t="inlineStr"/>
      <c r="G383" s="30" t="inlineStr"/>
      <c r="H383" s="30" t="inlineStr"/>
      <c r="I383" s="30" t="inlineStr"/>
      <c r="J383" s="44">
        <f>IF(A383="","",D383+F383)</f>
        <v/>
      </c>
      <c r="K383" s="15">
        <f>IF(A383="","",IFERROR(VLOOKUP(B383,'13_Ausgangsrechnungen'!$A$4:$S$400,19,FALSE),0))</f>
        <v/>
      </c>
    </row>
    <row r="384">
      <c r="A384" s="30" t="inlineStr"/>
      <c r="B384" s="30" t="inlineStr"/>
      <c r="C384" s="30" t="inlineStr"/>
      <c r="D384" s="38" t="inlineStr"/>
      <c r="E384" s="31" t="inlineStr"/>
      <c r="F384" s="31" t="inlineStr"/>
      <c r="G384" s="30" t="inlineStr"/>
      <c r="H384" s="30" t="inlineStr"/>
      <c r="I384" s="30" t="inlineStr"/>
      <c r="J384" s="44">
        <f>IF(A384="","",D384+F384)</f>
        <v/>
      </c>
      <c r="K384" s="15">
        <f>IF(A384="","",IFERROR(VLOOKUP(B384,'13_Ausgangsrechnungen'!$A$4:$S$400,19,FALSE),0))</f>
        <v/>
      </c>
    </row>
    <row r="385">
      <c r="A385" s="30" t="inlineStr"/>
      <c r="B385" s="30" t="inlineStr"/>
      <c r="C385" s="30" t="inlineStr"/>
      <c r="D385" s="38" t="inlineStr"/>
      <c r="E385" s="31" t="inlineStr"/>
      <c r="F385" s="31" t="inlineStr"/>
      <c r="G385" s="30" t="inlineStr"/>
      <c r="H385" s="30" t="inlineStr"/>
      <c r="I385" s="30" t="inlineStr"/>
      <c r="J385" s="44">
        <f>IF(A385="","",D385+F385)</f>
        <v/>
      </c>
      <c r="K385" s="15">
        <f>IF(A385="","",IFERROR(VLOOKUP(B385,'13_Ausgangsrechnungen'!$A$4:$S$400,19,FALSE),0))</f>
        <v/>
      </c>
    </row>
    <row r="386">
      <c r="A386" s="30" t="inlineStr"/>
      <c r="B386" s="30" t="inlineStr"/>
      <c r="C386" s="30" t="inlineStr"/>
      <c r="D386" s="38" t="inlineStr"/>
      <c r="E386" s="31" t="inlineStr"/>
      <c r="F386" s="31" t="inlineStr"/>
      <c r="G386" s="30" t="inlineStr"/>
      <c r="H386" s="30" t="inlineStr"/>
      <c r="I386" s="30" t="inlineStr"/>
      <c r="J386" s="44">
        <f>IF(A386="","",D386+F386)</f>
        <v/>
      </c>
      <c r="K386" s="15">
        <f>IF(A386="","",IFERROR(VLOOKUP(B386,'13_Ausgangsrechnungen'!$A$4:$S$400,19,FALSE),0))</f>
        <v/>
      </c>
    </row>
    <row r="387">
      <c r="A387" s="30" t="inlineStr"/>
      <c r="B387" s="30" t="inlineStr"/>
      <c r="C387" s="30" t="inlineStr"/>
      <c r="D387" s="38" t="inlineStr"/>
      <c r="E387" s="31" t="inlineStr"/>
      <c r="F387" s="31" t="inlineStr"/>
      <c r="G387" s="30" t="inlineStr"/>
      <c r="H387" s="30" t="inlineStr"/>
      <c r="I387" s="30" t="inlineStr"/>
      <c r="J387" s="44">
        <f>IF(A387="","",D387+F387)</f>
        <v/>
      </c>
      <c r="K387" s="15">
        <f>IF(A387="","",IFERROR(VLOOKUP(B387,'13_Ausgangsrechnungen'!$A$4:$S$400,19,FALSE),0))</f>
        <v/>
      </c>
    </row>
    <row r="388">
      <c r="A388" s="30" t="inlineStr"/>
      <c r="B388" s="30" t="inlineStr"/>
      <c r="C388" s="30" t="inlineStr"/>
      <c r="D388" s="38" t="inlineStr"/>
      <c r="E388" s="31" t="inlineStr"/>
      <c r="F388" s="31" t="inlineStr"/>
      <c r="G388" s="30" t="inlineStr"/>
      <c r="H388" s="30" t="inlineStr"/>
      <c r="I388" s="30" t="inlineStr"/>
      <c r="J388" s="44">
        <f>IF(A388="","",D388+F388)</f>
        <v/>
      </c>
      <c r="K388" s="15">
        <f>IF(A388="","",IFERROR(VLOOKUP(B388,'13_Ausgangsrechnungen'!$A$4:$S$400,19,FALSE),0))</f>
        <v/>
      </c>
    </row>
    <row r="389">
      <c r="A389" s="30" t="inlineStr"/>
      <c r="B389" s="30" t="inlineStr"/>
      <c r="C389" s="30" t="inlineStr"/>
      <c r="D389" s="38" t="inlineStr"/>
      <c r="E389" s="31" t="inlineStr"/>
      <c r="F389" s="31" t="inlineStr"/>
      <c r="G389" s="30" t="inlineStr"/>
      <c r="H389" s="30" t="inlineStr"/>
      <c r="I389" s="30" t="inlineStr"/>
      <c r="J389" s="44">
        <f>IF(A389="","",D389+F389)</f>
        <v/>
      </c>
      <c r="K389" s="15">
        <f>IF(A389="","",IFERROR(VLOOKUP(B389,'13_Ausgangsrechnungen'!$A$4:$S$400,19,FALSE),0))</f>
        <v/>
      </c>
    </row>
    <row r="390">
      <c r="A390" s="30" t="inlineStr"/>
      <c r="B390" s="30" t="inlineStr"/>
      <c r="C390" s="30" t="inlineStr"/>
      <c r="D390" s="38" t="inlineStr"/>
      <c r="E390" s="31" t="inlineStr"/>
      <c r="F390" s="31" t="inlineStr"/>
      <c r="G390" s="30" t="inlineStr"/>
      <c r="H390" s="30" t="inlineStr"/>
      <c r="I390" s="30" t="inlineStr"/>
      <c r="J390" s="44">
        <f>IF(A390="","",D390+F390)</f>
        <v/>
      </c>
      <c r="K390" s="15">
        <f>IF(A390="","",IFERROR(VLOOKUP(B390,'13_Ausgangsrechnungen'!$A$4:$S$400,19,FALSE),0))</f>
        <v/>
      </c>
    </row>
    <row r="391">
      <c r="A391" s="30" t="inlineStr"/>
      <c r="B391" s="30" t="inlineStr"/>
      <c r="C391" s="30" t="inlineStr"/>
      <c r="D391" s="38" t="inlineStr"/>
      <c r="E391" s="31" t="inlineStr"/>
      <c r="F391" s="31" t="inlineStr"/>
      <c r="G391" s="30" t="inlineStr"/>
      <c r="H391" s="30" t="inlineStr"/>
      <c r="I391" s="30" t="inlineStr"/>
      <c r="J391" s="44">
        <f>IF(A391="","",D391+F391)</f>
        <v/>
      </c>
      <c r="K391" s="15">
        <f>IF(A391="","",IFERROR(VLOOKUP(B391,'13_Ausgangsrechnungen'!$A$4:$S$400,19,FALSE),0))</f>
        <v/>
      </c>
    </row>
    <row r="392">
      <c r="A392" s="30" t="inlineStr"/>
      <c r="B392" s="30" t="inlineStr"/>
      <c r="C392" s="30" t="inlineStr"/>
      <c r="D392" s="38" t="inlineStr"/>
      <c r="E392" s="31" t="inlineStr"/>
      <c r="F392" s="31" t="inlineStr"/>
      <c r="G392" s="30" t="inlineStr"/>
      <c r="H392" s="30" t="inlineStr"/>
      <c r="I392" s="30" t="inlineStr"/>
      <c r="J392" s="44">
        <f>IF(A392="","",D392+F392)</f>
        <v/>
      </c>
      <c r="K392" s="15">
        <f>IF(A392="","",IFERROR(VLOOKUP(B392,'13_Ausgangsrechnungen'!$A$4:$S$400,19,FALSE),0))</f>
        <v/>
      </c>
    </row>
    <row r="393">
      <c r="A393" s="30" t="inlineStr"/>
      <c r="B393" s="30" t="inlineStr"/>
      <c r="C393" s="30" t="inlineStr"/>
      <c r="D393" s="38" t="inlineStr"/>
      <c r="E393" s="31" t="inlineStr"/>
      <c r="F393" s="31" t="inlineStr"/>
      <c r="G393" s="30" t="inlineStr"/>
      <c r="H393" s="30" t="inlineStr"/>
      <c r="I393" s="30" t="inlineStr"/>
      <c r="J393" s="44">
        <f>IF(A393="","",D393+F393)</f>
        <v/>
      </c>
      <c r="K393" s="15">
        <f>IF(A393="","",IFERROR(VLOOKUP(B393,'13_Ausgangsrechnungen'!$A$4:$S$400,19,FALSE),0))</f>
        <v/>
      </c>
    </row>
    <row r="394">
      <c r="A394" s="30" t="inlineStr"/>
      <c r="B394" s="30" t="inlineStr"/>
      <c r="C394" s="30" t="inlineStr"/>
      <c r="D394" s="38" t="inlineStr"/>
      <c r="E394" s="31" t="inlineStr"/>
      <c r="F394" s="31" t="inlineStr"/>
      <c r="G394" s="30" t="inlineStr"/>
      <c r="H394" s="30" t="inlineStr"/>
      <c r="I394" s="30" t="inlineStr"/>
      <c r="J394" s="44">
        <f>IF(A394="","",D394+F394)</f>
        <v/>
      </c>
      <c r="K394" s="15">
        <f>IF(A394="","",IFERROR(VLOOKUP(B394,'13_Ausgangsrechnungen'!$A$4:$S$400,19,FALSE),0))</f>
        <v/>
      </c>
    </row>
    <row r="395">
      <c r="A395" s="30" t="inlineStr"/>
      <c r="B395" s="30" t="inlineStr"/>
      <c r="C395" s="30" t="inlineStr"/>
      <c r="D395" s="38" t="inlineStr"/>
      <c r="E395" s="31" t="inlineStr"/>
      <c r="F395" s="31" t="inlineStr"/>
      <c r="G395" s="30" t="inlineStr"/>
      <c r="H395" s="30" t="inlineStr"/>
      <c r="I395" s="30" t="inlineStr"/>
      <c r="J395" s="44">
        <f>IF(A395="","",D395+F395)</f>
        <v/>
      </c>
      <c r="K395" s="15">
        <f>IF(A395="","",IFERROR(VLOOKUP(B395,'13_Ausgangsrechnungen'!$A$4:$S$400,19,FALSE),0))</f>
        <v/>
      </c>
    </row>
    <row r="396">
      <c r="A396" s="30" t="inlineStr"/>
      <c r="B396" s="30" t="inlineStr"/>
      <c r="C396" s="30" t="inlineStr"/>
      <c r="D396" s="38" t="inlineStr"/>
      <c r="E396" s="31" t="inlineStr"/>
      <c r="F396" s="31" t="inlineStr"/>
      <c r="G396" s="30" t="inlineStr"/>
      <c r="H396" s="30" t="inlineStr"/>
      <c r="I396" s="30" t="inlineStr"/>
      <c r="J396" s="44">
        <f>IF(A396="","",D396+F396)</f>
        <v/>
      </c>
      <c r="K396" s="15">
        <f>IF(A396="","",IFERROR(VLOOKUP(B396,'13_Ausgangsrechnungen'!$A$4:$S$400,19,FALSE),0))</f>
        <v/>
      </c>
    </row>
    <row r="397">
      <c r="A397" s="30" t="inlineStr"/>
      <c r="B397" s="30" t="inlineStr"/>
      <c r="C397" s="30" t="inlineStr"/>
      <c r="D397" s="38" t="inlineStr"/>
      <c r="E397" s="31" t="inlineStr"/>
      <c r="F397" s="31" t="inlineStr"/>
      <c r="G397" s="30" t="inlineStr"/>
      <c r="H397" s="30" t="inlineStr"/>
      <c r="I397" s="30" t="inlineStr"/>
      <c r="J397" s="44">
        <f>IF(A397="","",D397+F397)</f>
        <v/>
      </c>
      <c r="K397" s="15">
        <f>IF(A397="","",IFERROR(VLOOKUP(B397,'13_Ausgangsrechnungen'!$A$4:$S$400,19,FALSE),0))</f>
        <v/>
      </c>
    </row>
    <row r="398">
      <c r="A398" s="30" t="inlineStr"/>
      <c r="B398" s="30" t="inlineStr"/>
      <c r="C398" s="30" t="inlineStr"/>
      <c r="D398" s="38" t="inlineStr"/>
      <c r="E398" s="31" t="inlineStr"/>
      <c r="F398" s="31" t="inlineStr"/>
      <c r="G398" s="30" t="inlineStr"/>
      <c r="H398" s="30" t="inlineStr"/>
      <c r="I398" s="30" t="inlineStr"/>
      <c r="J398" s="44">
        <f>IF(A398="","",D398+F398)</f>
        <v/>
      </c>
      <c r="K398" s="15">
        <f>IF(A398="","",IFERROR(VLOOKUP(B398,'13_Ausgangsrechnungen'!$A$4:$S$400,19,FALSE),0))</f>
        <v/>
      </c>
    </row>
    <row r="399">
      <c r="A399" s="30" t="inlineStr"/>
      <c r="B399" s="30" t="inlineStr"/>
      <c r="C399" s="30" t="inlineStr"/>
      <c r="D399" s="38" t="inlineStr"/>
      <c r="E399" s="31" t="inlineStr"/>
      <c r="F399" s="31" t="inlineStr"/>
      <c r="G399" s="30" t="inlineStr"/>
      <c r="H399" s="30" t="inlineStr"/>
      <c r="I399" s="30" t="inlineStr"/>
      <c r="J399" s="44">
        <f>IF(A399="","",D399+F399)</f>
        <v/>
      </c>
      <c r="K399" s="15">
        <f>IF(A399="","",IFERROR(VLOOKUP(B399,'13_Ausgangsrechnungen'!$A$4:$S$400,19,FALSE),0))</f>
        <v/>
      </c>
    </row>
    <row r="400">
      <c r="A400" s="30" t="inlineStr"/>
      <c r="B400" s="30" t="inlineStr"/>
      <c r="C400" s="30" t="inlineStr"/>
      <c r="D400" s="38" t="inlineStr"/>
      <c r="E400" s="31" t="inlineStr"/>
      <c r="F400" s="31" t="inlineStr"/>
      <c r="G400" s="30" t="inlineStr"/>
      <c r="H400" s="30" t="inlineStr"/>
      <c r="I400" s="30" t="inlineStr"/>
      <c r="J400" s="44">
        <f>IF(A400="","",D400+F400)</f>
        <v/>
      </c>
      <c r="K400" s="15">
        <f>IF(A400="","",IFERROR(VLOOKUP(B400,'13_Ausgangsrechnungen'!$A$4:$S$400,19,FALSE),0))</f>
        <v/>
      </c>
    </row>
  </sheetData>
  <mergeCells count="2">
    <mergeCell ref="A2:K2"/>
    <mergeCell ref="A1:K1"/>
  </mergeCells>
  <dataValidations count="3">
    <dataValidation sqref="B4:B400" showDropDown="0" showInputMessage="0" showErrorMessage="0" allowBlank="1" errorTitle="Ungültige Auswahl" error="Bitte einen Wert aus der Liste wählen." promptTitle="Liste" prompt="Auswahl" type="list">
      <formula1>=ARNr</formula1>
    </dataValidation>
    <dataValidation sqref="C4:C400" showDropDown="0" showInputMessage="0" showErrorMessage="0" allowBlank="1" errorTitle="Ungültige Auswahl" error="Bitte einen Wert aus der Liste wählen." promptTitle="Liste" prompt="Auswahl" type="list">
      <formula1>=KundenNr</formula1>
    </dataValidation>
    <dataValidation sqref="G4:G400" showDropDown="0" showInputMessage="0" showErrorMessage="0" allowBlank="1" errorTitle="Ungültige Auswahl" error="Bitte einen Wert aus der Liste wählen." promptTitle="Liste" prompt="Auswahl" type="list">
      <formula1>"Zahlungserinnerung,1. Mahnung,2. Mahnung + Verzug,3. Mahnung / RA"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2F6B4F"/>
    <outlinePr summaryBelow="1" summaryRight="1"/>
    <pageSetUpPr/>
  </sheetPr>
  <dimension ref="A1:P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32" customWidth="1" min="9" max="9"/>
    <col width="16" customWidth="1" min="10" max="10"/>
  </cols>
  <sheetData>
    <row r="1" ht="28" customHeight="1">
      <c r="A1" s="1" t="inlineStr">
        <is>
          <t>Sicherheitseinbehalte und Gewährleistung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3" t="n"/>
      <c r="M1" s="3" t="n"/>
      <c r="N1" s="3" t="n"/>
      <c r="O1" s="3" t="n"/>
      <c r="P1" s="3" t="n"/>
    </row>
    <row r="2" ht="18" customHeight="1">
      <c r="A2" s="4" t="inlineStr">
        <is>
          <t>Einbehalte, Bürgschaften, Aval — Restlaufzeit steuert die Liquiditätsbindung nach Abnahme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3" t="n"/>
      <c r="L2" s="3" t="n"/>
      <c r="M2" s="3" t="n"/>
      <c r="N2" s="3" t="n"/>
      <c r="O2" s="3" t="n"/>
      <c r="P2" s="3" t="n"/>
    </row>
    <row r="3" ht="28" customHeight="1">
      <c r="A3" s="17" t="inlineStr">
        <is>
          <t>Nr</t>
        </is>
      </c>
      <c r="B3" s="17" t="inlineStr">
        <is>
          <t>Projekt</t>
        </is>
      </c>
      <c r="C3" s="17" t="inlineStr">
        <is>
          <t>Beleg</t>
        </is>
      </c>
      <c r="D3" s="17" t="inlineStr">
        <is>
          <t>Beginn</t>
        </is>
      </c>
      <c r="E3" s="17" t="inlineStr">
        <is>
          <t>Ende</t>
        </is>
      </c>
      <c r="F3" s="17" t="inlineStr">
        <is>
          <t>Betrag</t>
        </is>
      </c>
      <c r="G3" s="17" t="inlineStr">
        <is>
          <t>Art</t>
        </is>
      </c>
      <c r="H3" s="17" t="inlineStr">
        <is>
          <t>Status</t>
        </is>
      </c>
      <c r="I3" s="17" t="inlineStr">
        <is>
          <t>Text</t>
        </is>
      </c>
      <c r="J3" s="17" t="inlineStr">
        <is>
          <t>Restlaufzeit Jahre</t>
        </is>
      </c>
      <c r="K3" s="3" t="n"/>
      <c r="L3" s="3" t="n"/>
      <c r="M3" s="3" t="n"/>
      <c r="N3" s="3" t="n"/>
      <c r="O3" s="3" t="n"/>
      <c r="P3" s="3" t="n"/>
    </row>
    <row r="4">
      <c r="A4" s="30" t="inlineStr">
        <is>
          <t>GW-01</t>
        </is>
      </c>
      <c r="B4" s="30" t="inlineStr">
        <is>
          <t>P-2026-005</t>
        </is>
      </c>
      <c r="C4" s="30" t="inlineStr">
        <is>
          <t>AR-26012</t>
        </is>
      </c>
      <c r="D4" s="38" t="n">
        <v>46134</v>
      </c>
      <c r="E4" s="38" t="n">
        <v>47959</v>
      </c>
      <c r="F4" s="34" t="n">
        <v>21000</v>
      </c>
      <c r="G4" s="30" t="inlineStr">
        <is>
          <t>Einbehalt</t>
        </is>
      </c>
      <c r="H4" s="30" t="inlineStr">
        <is>
          <t>laufend</t>
        </is>
      </c>
      <c r="I4" s="30" t="inlineStr">
        <is>
          <t>5 % Schlussrechnung EFH</t>
        </is>
      </c>
      <c r="J4" s="45">
        <f>IF(A4="","",MAX(0,(E4-TODAY())/365))</f>
        <v/>
      </c>
      <c r="K4" s="3" t="n"/>
      <c r="L4" s="3" t="n"/>
      <c r="M4" s="3" t="n"/>
      <c r="N4" s="3" t="n"/>
      <c r="O4" s="3" t="n"/>
      <c r="P4" s="3" t="n"/>
    </row>
    <row r="5">
      <c r="A5" s="30" t="inlineStr">
        <is>
          <t>GW-02</t>
        </is>
      </c>
      <c r="B5" s="30" t="inlineStr">
        <is>
          <t>P-2026-001</t>
        </is>
      </c>
      <c r="C5" s="30" t="inlineStr">
        <is>
          <t>AR-26001</t>
        </is>
      </c>
      <c r="D5" s="38" t="n">
        <v>46105</v>
      </c>
      <c r="E5" s="38" t="n">
        <v>48182</v>
      </c>
      <c r="F5" s="34" t="n">
        <v>18000</v>
      </c>
      <c r="G5" s="30" t="inlineStr">
        <is>
          <t>Einbehalt</t>
        </is>
      </c>
      <c r="H5" s="30" t="inlineStr">
        <is>
          <t>laufend</t>
        </is>
      </c>
      <c r="I5" s="30" t="inlineStr">
        <is>
          <t>kumuliert Abschläge Wohnquartier</t>
        </is>
      </c>
      <c r="J5" s="45">
        <f>IF(A5="","",MAX(0,(E5-TODAY())/365))</f>
        <v/>
      </c>
      <c r="K5" s="3" t="n"/>
      <c r="L5" s="3" t="n"/>
      <c r="M5" s="3" t="n"/>
      <c r="N5" s="3" t="n"/>
      <c r="O5" s="3" t="n"/>
      <c r="P5" s="3" t="n"/>
    </row>
    <row r="6">
      <c r="A6" s="30" t="inlineStr">
        <is>
          <t>GW-03</t>
        </is>
      </c>
      <c r="B6" s="30" t="inlineStr">
        <is>
          <t>P-2026-001</t>
        </is>
      </c>
      <c r="C6" s="30" t="inlineStr">
        <is>
          <t>AR-26002</t>
        </is>
      </c>
      <c r="D6" s="38" t="n">
        <v>46164</v>
      </c>
      <c r="E6" s="38" t="n">
        <v>48182</v>
      </c>
      <c r="F6" s="34" t="n">
        <v>21000</v>
      </c>
      <c r="G6" s="30" t="inlineStr">
        <is>
          <t>Einbehalt</t>
        </is>
      </c>
      <c r="H6" s="30" t="inlineStr">
        <is>
          <t>laufend</t>
        </is>
      </c>
      <c r="I6" s="30" t="inlineStr"/>
      <c r="J6" s="45">
        <f>IF(A6="","",MAX(0,(E6-TODAY())/365))</f>
        <v/>
      </c>
      <c r="K6" s="3" t="n"/>
      <c r="L6" s="3" t="n"/>
      <c r="M6" s="3" t="n"/>
      <c r="N6" s="3" t="n"/>
      <c r="O6" s="3" t="n"/>
      <c r="P6" s="3" t="n"/>
    </row>
    <row r="7">
      <c r="A7" s="30" t="inlineStr">
        <is>
          <t>GW-04</t>
        </is>
      </c>
      <c r="B7" s="30" t="inlineStr">
        <is>
          <t>P-2026-001</t>
        </is>
      </c>
      <c r="C7" s="30" t="inlineStr">
        <is>
          <t>AR-26003</t>
        </is>
      </c>
      <c r="D7" s="38" t="n">
        <v>46269</v>
      </c>
      <c r="E7" s="38" t="n">
        <v>48182</v>
      </c>
      <c r="F7" s="34" t="n">
        <v>19000</v>
      </c>
      <c r="G7" s="30" t="inlineStr">
        <is>
          <t>Einbehalt</t>
        </is>
      </c>
      <c r="H7" s="30" t="inlineStr">
        <is>
          <t>laufend</t>
        </is>
      </c>
      <c r="I7" s="30" t="inlineStr"/>
      <c r="J7" s="45">
        <f>IF(A7="","",MAX(0,(E7-TODAY())/365))</f>
        <v/>
      </c>
    </row>
    <row r="8">
      <c r="A8" s="30" t="inlineStr"/>
      <c r="B8" s="30" t="inlineStr"/>
      <c r="C8" s="30" t="inlineStr"/>
      <c r="D8" s="38" t="inlineStr"/>
      <c r="E8" s="38" t="inlineStr"/>
      <c r="F8" s="34" t="inlineStr"/>
      <c r="G8" s="30" t="inlineStr"/>
      <c r="H8" s="30" t="inlineStr"/>
      <c r="I8" s="30" t="inlineStr"/>
      <c r="J8" s="45">
        <f>IF(A8="","",MAX(0,(E8-TODAY())/365))</f>
        <v/>
      </c>
    </row>
    <row r="9">
      <c r="A9" s="30" t="inlineStr"/>
      <c r="B9" s="30" t="inlineStr"/>
      <c r="C9" s="30" t="inlineStr"/>
      <c r="D9" s="38" t="inlineStr"/>
      <c r="E9" s="38" t="inlineStr"/>
      <c r="F9" s="34" t="inlineStr"/>
      <c r="G9" s="30" t="inlineStr"/>
      <c r="H9" s="30" t="inlineStr"/>
      <c r="I9" s="30" t="inlineStr"/>
      <c r="J9" s="45">
        <f>IF(A9="","",MAX(0,(E9-TODAY())/365))</f>
        <v/>
      </c>
    </row>
    <row r="10">
      <c r="A10" s="30" t="inlineStr"/>
      <c r="B10" s="30" t="inlineStr"/>
      <c r="C10" s="30" t="inlineStr"/>
      <c r="D10" s="38" t="inlineStr"/>
      <c r="E10" s="38" t="inlineStr"/>
      <c r="F10" s="34" t="inlineStr"/>
      <c r="G10" s="30" t="inlineStr"/>
      <c r="H10" s="30" t="inlineStr"/>
      <c r="I10" s="30" t="inlineStr"/>
      <c r="J10" s="45">
        <f>IF(A10="","",MAX(0,(E10-TODAY())/365))</f>
        <v/>
      </c>
    </row>
    <row r="11">
      <c r="A11" s="30" t="inlineStr"/>
      <c r="B11" s="30" t="inlineStr"/>
      <c r="C11" s="30" t="inlineStr"/>
      <c r="D11" s="38" t="inlineStr"/>
      <c r="E11" s="38" t="inlineStr"/>
      <c r="F11" s="34" t="inlineStr"/>
      <c r="G11" s="30" t="inlineStr"/>
      <c r="H11" s="30" t="inlineStr"/>
      <c r="I11" s="30" t="inlineStr"/>
      <c r="J11" s="45">
        <f>IF(A11="","",MAX(0,(E11-TODAY())/365))</f>
        <v/>
      </c>
    </row>
    <row r="12">
      <c r="A12" s="30" t="inlineStr"/>
      <c r="B12" s="30" t="inlineStr"/>
      <c r="C12" s="30" t="inlineStr"/>
      <c r="D12" s="38" t="inlineStr"/>
      <c r="E12" s="38" t="inlineStr"/>
      <c r="F12" s="34" t="inlineStr"/>
      <c r="G12" s="30" t="inlineStr"/>
      <c r="H12" s="30" t="inlineStr"/>
      <c r="I12" s="30" t="inlineStr"/>
      <c r="J12" s="45">
        <f>IF(A12="","",MAX(0,(E12-TODAY())/365))</f>
        <v/>
      </c>
    </row>
    <row r="13">
      <c r="A13" s="30" t="inlineStr"/>
      <c r="B13" s="30" t="inlineStr"/>
      <c r="C13" s="30" t="inlineStr"/>
      <c r="D13" s="38" t="inlineStr"/>
      <c r="E13" s="38" t="inlineStr"/>
      <c r="F13" s="34" t="inlineStr"/>
      <c r="G13" s="30" t="inlineStr"/>
      <c r="H13" s="30" t="inlineStr"/>
      <c r="I13" s="30" t="inlineStr"/>
      <c r="J13" s="45">
        <f>IF(A13="","",MAX(0,(E13-TODAY())/365))</f>
        <v/>
      </c>
    </row>
    <row r="14">
      <c r="A14" s="30" t="inlineStr"/>
      <c r="B14" s="30" t="inlineStr"/>
      <c r="C14" s="30" t="inlineStr"/>
      <c r="D14" s="38" t="inlineStr"/>
      <c r="E14" s="38" t="inlineStr"/>
      <c r="F14" s="34" t="inlineStr"/>
      <c r="G14" s="30" t="inlineStr"/>
      <c r="H14" s="30" t="inlineStr"/>
      <c r="I14" s="30" t="inlineStr"/>
      <c r="J14" s="45">
        <f>IF(A14="","",MAX(0,(E14-TODAY())/365))</f>
        <v/>
      </c>
    </row>
    <row r="15">
      <c r="A15" s="30" t="inlineStr"/>
      <c r="B15" s="30" t="inlineStr"/>
      <c r="C15" s="30" t="inlineStr"/>
      <c r="D15" s="38" t="inlineStr"/>
      <c r="E15" s="38" t="inlineStr"/>
      <c r="F15" s="34" t="inlineStr"/>
      <c r="G15" s="30" t="inlineStr"/>
      <c r="H15" s="30" t="inlineStr"/>
      <c r="I15" s="30" t="inlineStr"/>
      <c r="J15" s="45">
        <f>IF(A15="","",MAX(0,(E15-TODAY())/365))</f>
        <v/>
      </c>
    </row>
    <row r="16">
      <c r="A16" s="30" t="inlineStr"/>
      <c r="B16" s="30" t="inlineStr"/>
      <c r="C16" s="30" t="inlineStr"/>
      <c r="D16" s="38" t="inlineStr"/>
      <c r="E16" s="38" t="inlineStr"/>
      <c r="F16" s="34" t="inlineStr"/>
      <c r="G16" s="30" t="inlineStr"/>
      <c r="H16" s="30" t="inlineStr"/>
      <c r="I16" s="30" t="inlineStr"/>
      <c r="J16" s="45">
        <f>IF(A16="","",MAX(0,(E16-TODAY())/365))</f>
        <v/>
      </c>
    </row>
    <row r="17">
      <c r="A17" s="30" t="inlineStr"/>
      <c r="B17" s="30" t="inlineStr"/>
      <c r="C17" s="30" t="inlineStr"/>
      <c r="D17" s="38" t="inlineStr"/>
      <c r="E17" s="38" t="inlineStr"/>
      <c r="F17" s="34" t="inlineStr"/>
      <c r="G17" s="30" t="inlineStr"/>
      <c r="H17" s="30" t="inlineStr"/>
      <c r="I17" s="30" t="inlineStr"/>
      <c r="J17" s="45">
        <f>IF(A17="","",MAX(0,(E17-TODAY())/365))</f>
        <v/>
      </c>
    </row>
    <row r="18">
      <c r="A18" s="30" t="inlineStr"/>
      <c r="B18" s="30" t="inlineStr"/>
      <c r="C18" s="30" t="inlineStr"/>
      <c r="D18" s="38" t="inlineStr"/>
      <c r="E18" s="38" t="inlineStr"/>
      <c r="F18" s="34" t="inlineStr"/>
      <c r="G18" s="30" t="inlineStr"/>
      <c r="H18" s="30" t="inlineStr"/>
      <c r="I18" s="30" t="inlineStr"/>
      <c r="J18" s="45">
        <f>IF(A18="","",MAX(0,(E18-TODAY())/365))</f>
        <v/>
      </c>
    </row>
    <row r="19">
      <c r="A19" s="30" t="inlineStr"/>
      <c r="B19" s="30" t="inlineStr"/>
      <c r="C19" s="30" t="inlineStr"/>
      <c r="D19" s="38" t="inlineStr"/>
      <c r="E19" s="38" t="inlineStr"/>
      <c r="F19" s="34" t="inlineStr"/>
      <c r="G19" s="30" t="inlineStr"/>
      <c r="H19" s="30" t="inlineStr"/>
      <c r="I19" s="30" t="inlineStr"/>
      <c r="J19" s="45">
        <f>IF(A19="","",MAX(0,(E19-TODAY())/365))</f>
        <v/>
      </c>
    </row>
    <row r="20">
      <c r="A20" s="30" t="inlineStr"/>
      <c r="B20" s="30" t="inlineStr"/>
      <c r="C20" s="30" t="inlineStr"/>
      <c r="D20" s="38" t="inlineStr"/>
      <c r="E20" s="38" t="inlineStr"/>
      <c r="F20" s="34" t="inlineStr"/>
      <c r="G20" s="30" t="inlineStr"/>
      <c r="H20" s="30" t="inlineStr"/>
      <c r="I20" s="30" t="inlineStr"/>
      <c r="J20" s="45">
        <f>IF(A20="","",MAX(0,(E20-TODAY())/365))</f>
        <v/>
      </c>
    </row>
    <row r="21">
      <c r="A21" s="30" t="inlineStr"/>
      <c r="B21" s="30" t="inlineStr"/>
      <c r="C21" s="30" t="inlineStr"/>
      <c r="D21" s="38" t="inlineStr"/>
      <c r="E21" s="38" t="inlineStr"/>
      <c r="F21" s="34" t="inlineStr"/>
      <c r="G21" s="30" t="inlineStr"/>
      <c r="H21" s="30" t="inlineStr"/>
      <c r="I21" s="30" t="inlineStr"/>
      <c r="J21" s="45">
        <f>IF(A21="","",MAX(0,(E21-TODAY())/365))</f>
        <v/>
      </c>
    </row>
    <row r="22">
      <c r="A22" s="30" t="inlineStr"/>
      <c r="B22" s="30" t="inlineStr"/>
      <c r="C22" s="30" t="inlineStr"/>
      <c r="D22" s="38" t="inlineStr"/>
      <c r="E22" s="38" t="inlineStr"/>
      <c r="F22" s="34" t="inlineStr"/>
      <c r="G22" s="30" t="inlineStr"/>
      <c r="H22" s="30" t="inlineStr"/>
      <c r="I22" s="30" t="inlineStr"/>
      <c r="J22" s="45">
        <f>IF(A22="","",MAX(0,(E22-TODAY())/365))</f>
        <v/>
      </c>
    </row>
    <row r="23">
      <c r="A23" s="30" t="inlineStr"/>
      <c r="B23" s="30" t="inlineStr"/>
      <c r="C23" s="30" t="inlineStr"/>
      <c r="D23" s="38" t="inlineStr"/>
      <c r="E23" s="38" t="inlineStr"/>
      <c r="F23" s="34" t="inlineStr"/>
      <c r="G23" s="30" t="inlineStr"/>
      <c r="H23" s="30" t="inlineStr"/>
      <c r="I23" s="30" t="inlineStr"/>
      <c r="J23" s="45">
        <f>IF(A23="","",MAX(0,(E23-TODAY())/365))</f>
        <v/>
      </c>
    </row>
    <row r="24">
      <c r="A24" s="30" t="inlineStr"/>
      <c r="B24" s="30" t="inlineStr"/>
      <c r="C24" s="30" t="inlineStr"/>
      <c r="D24" s="38" t="inlineStr"/>
      <c r="E24" s="38" t="inlineStr"/>
      <c r="F24" s="34" t="inlineStr"/>
      <c r="G24" s="30" t="inlineStr"/>
      <c r="H24" s="30" t="inlineStr"/>
      <c r="I24" s="30" t="inlineStr"/>
      <c r="J24" s="45">
        <f>IF(A24="","",MAX(0,(E24-TODAY())/365))</f>
        <v/>
      </c>
    </row>
    <row r="25">
      <c r="A25" s="30" t="inlineStr"/>
      <c r="B25" s="30" t="inlineStr"/>
      <c r="C25" s="30" t="inlineStr"/>
      <c r="D25" s="38" t="inlineStr"/>
      <c r="E25" s="38" t="inlineStr"/>
      <c r="F25" s="34" t="inlineStr"/>
      <c r="G25" s="30" t="inlineStr"/>
      <c r="H25" s="30" t="inlineStr"/>
      <c r="I25" s="30" t="inlineStr"/>
      <c r="J25" s="45">
        <f>IF(A25="","",MAX(0,(E25-TODAY())/365))</f>
        <v/>
      </c>
    </row>
    <row r="26">
      <c r="A26" s="30" t="inlineStr"/>
      <c r="B26" s="30" t="inlineStr"/>
      <c r="C26" s="30" t="inlineStr"/>
      <c r="D26" s="38" t="inlineStr"/>
      <c r="E26" s="38" t="inlineStr"/>
      <c r="F26" s="34" t="inlineStr"/>
      <c r="G26" s="30" t="inlineStr"/>
      <c r="H26" s="30" t="inlineStr"/>
      <c r="I26" s="30" t="inlineStr"/>
      <c r="J26" s="45">
        <f>IF(A26="","",MAX(0,(E26-TODAY())/365))</f>
        <v/>
      </c>
    </row>
    <row r="27">
      <c r="A27" s="30" t="inlineStr"/>
      <c r="B27" s="30" t="inlineStr"/>
      <c r="C27" s="30" t="inlineStr"/>
      <c r="D27" s="38" t="inlineStr"/>
      <c r="E27" s="38" t="inlineStr"/>
      <c r="F27" s="34" t="inlineStr"/>
      <c r="G27" s="30" t="inlineStr"/>
      <c r="H27" s="30" t="inlineStr"/>
      <c r="I27" s="30" t="inlineStr"/>
      <c r="J27" s="45">
        <f>IF(A27="","",MAX(0,(E27-TODAY())/365))</f>
        <v/>
      </c>
    </row>
    <row r="28">
      <c r="A28" s="30" t="inlineStr"/>
      <c r="B28" s="30" t="inlineStr"/>
      <c r="C28" s="30" t="inlineStr"/>
      <c r="D28" s="38" t="inlineStr"/>
      <c r="E28" s="38" t="inlineStr"/>
      <c r="F28" s="34" t="inlineStr"/>
      <c r="G28" s="30" t="inlineStr"/>
      <c r="H28" s="30" t="inlineStr"/>
      <c r="I28" s="30" t="inlineStr"/>
      <c r="J28" s="45">
        <f>IF(A28="","",MAX(0,(E28-TODAY())/365))</f>
        <v/>
      </c>
    </row>
    <row r="29">
      <c r="A29" s="30" t="inlineStr"/>
      <c r="B29" s="30" t="inlineStr"/>
      <c r="C29" s="30" t="inlineStr"/>
      <c r="D29" s="38" t="inlineStr"/>
      <c r="E29" s="38" t="inlineStr"/>
      <c r="F29" s="34" t="inlineStr"/>
      <c r="G29" s="30" t="inlineStr"/>
      <c r="H29" s="30" t="inlineStr"/>
      <c r="I29" s="30" t="inlineStr"/>
      <c r="J29" s="45">
        <f>IF(A29="","",MAX(0,(E29-TODAY())/365))</f>
        <v/>
      </c>
    </row>
    <row r="30">
      <c r="A30" s="30" t="inlineStr"/>
      <c r="B30" s="30" t="inlineStr"/>
      <c r="C30" s="30" t="inlineStr"/>
      <c r="D30" s="38" t="inlineStr"/>
      <c r="E30" s="38" t="inlineStr"/>
      <c r="F30" s="34" t="inlineStr"/>
      <c r="G30" s="30" t="inlineStr"/>
      <c r="H30" s="30" t="inlineStr"/>
      <c r="I30" s="30" t="inlineStr"/>
      <c r="J30" s="45">
        <f>IF(A30="","",MAX(0,(E30-TODAY())/365))</f>
        <v/>
      </c>
    </row>
    <row r="31">
      <c r="A31" s="30" t="inlineStr"/>
      <c r="B31" s="30" t="inlineStr"/>
      <c r="C31" s="30" t="inlineStr"/>
      <c r="D31" s="38" t="inlineStr"/>
      <c r="E31" s="38" t="inlineStr"/>
      <c r="F31" s="34" t="inlineStr"/>
      <c r="G31" s="30" t="inlineStr"/>
      <c r="H31" s="30" t="inlineStr"/>
      <c r="I31" s="30" t="inlineStr"/>
      <c r="J31" s="45">
        <f>IF(A31="","",MAX(0,(E31-TODAY())/365))</f>
        <v/>
      </c>
    </row>
    <row r="32">
      <c r="A32" s="30" t="inlineStr"/>
      <c r="B32" s="30" t="inlineStr"/>
      <c r="C32" s="30" t="inlineStr"/>
      <c r="D32" s="38" t="inlineStr"/>
      <c r="E32" s="38" t="inlineStr"/>
      <c r="F32" s="34" t="inlineStr"/>
      <c r="G32" s="30" t="inlineStr"/>
      <c r="H32" s="30" t="inlineStr"/>
      <c r="I32" s="30" t="inlineStr"/>
      <c r="J32" s="45">
        <f>IF(A32="","",MAX(0,(E32-TODAY())/365))</f>
        <v/>
      </c>
    </row>
    <row r="33">
      <c r="A33" s="30" t="inlineStr"/>
      <c r="B33" s="30" t="inlineStr"/>
      <c r="C33" s="30" t="inlineStr"/>
      <c r="D33" s="38" t="inlineStr"/>
      <c r="E33" s="38" t="inlineStr"/>
      <c r="F33" s="34" t="inlineStr"/>
      <c r="G33" s="30" t="inlineStr"/>
      <c r="H33" s="30" t="inlineStr"/>
      <c r="I33" s="30" t="inlineStr"/>
      <c r="J33" s="45">
        <f>IF(A33="","",MAX(0,(E33-TODAY())/365))</f>
        <v/>
      </c>
    </row>
    <row r="34">
      <c r="A34" s="30" t="inlineStr"/>
      <c r="B34" s="30" t="inlineStr"/>
      <c r="C34" s="30" t="inlineStr"/>
      <c r="D34" s="38" t="inlineStr"/>
      <c r="E34" s="38" t="inlineStr"/>
      <c r="F34" s="34" t="inlineStr"/>
      <c r="G34" s="30" t="inlineStr"/>
      <c r="H34" s="30" t="inlineStr"/>
      <c r="I34" s="30" t="inlineStr"/>
      <c r="J34" s="45">
        <f>IF(A34="","",MAX(0,(E34-TODAY())/365))</f>
        <v/>
      </c>
    </row>
    <row r="35">
      <c r="A35" s="30" t="inlineStr"/>
      <c r="B35" s="30" t="inlineStr"/>
      <c r="C35" s="30" t="inlineStr"/>
      <c r="D35" s="38" t="inlineStr"/>
      <c r="E35" s="38" t="inlineStr"/>
      <c r="F35" s="34" t="inlineStr"/>
      <c r="G35" s="30" t="inlineStr"/>
      <c r="H35" s="30" t="inlineStr"/>
      <c r="I35" s="30" t="inlineStr"/>
      <c r="J35" s="45">
        <f>IF(A35="","",MAX(0,(E35-TODAY())/365))</f>
        <v/>
      </c>
    </row>
    <row r="36">
      <c r="A36" s="30" t="inlineStr"/>
      <c r="B36" s="30" t="inlineStr"/>
      <c r="C36" s="30" t="inlineStr"/>
      <c r="D36" s="38" t="inlineStr"/>
      <c r="E36" s="38" t="inlineStr"/>
      <c r="F36" s="34" t="inlineStr"/>
      <c r="G36" s="30" t="inlineStr"/>
      <c r="H36" s="30" t="inlineStr"/>
      <c r="I36" s="30" t="inlineStr"/>
      <c r="J36" s="45">
        <f>IF(A36="","",MAX(0,(E36-TODAY())/365))</f>
        <v/>
      </c>
    </row>
    <row r="37">
      <c r="A37" s="30" t="inlineStr"/>
      <c r="B37" s="30" t="inlineStr"/>
      <c r="C37" s="30" t="inlineStr"/>
      <c r="D37" s="38" t="inlineStr"/>
      <c r="E37" s="38" t="inlineStr"/>
      <c r="F37" s="34" t="inlineStr"/>
      <c r="G37" s="30" t="inlineStr"/>
      <c r="H37" s="30" t="inlineStr"/>
      <c r="I37" s="30" t="inlineStr"/>
      <c r="J37" s="45">
        <f>IF(A37="","",MAX(0,(E37-TODAY())/365))</f>
        <v/>
      </c>
    </row>
    <row r="38">
      <c r="A38" s="30" t="inlineStr"/>
      <c r="B38" s="30" t="inlineStr"/>
      <c r="C38" s="30" t="inlineStr"/>
      <c r="D38" s="38" t="inlineStr"/>
      <c r="E38" s="38" t="inlineStr"/>
      <c r="F38" s="34" t="inlineStr"/>
      <c r="G38" s="30" t="inlineStr"/>
      <c r="H38" s="30" t="inlineStr"/>
      <c r="I38" s="30" t="inlineStr"/>
      <c r="J38" s="45">
        <f>IF(A38="","",MAX(0,(E38-TODAY())/365))</f>
        <v/>
      </c>
    </row>
    <row r="39">
      <c r="A39" s="30" t="inlineStr"/>
      <c r="B39" s="30" t="inlineStr"/>
      <c r="C39" s="30" t="inlineStr"/>
      <c r="D39" s="38" t="inlineStr"/>
      <c r="E39" s="38" t="inlineStr"/>
      <c r="F39" s="34" t="inlineStr"/>
      <c r="G39" s="30" t="inlineStr"/>
      <c r="H39" s="30" t="inlineStr"/>
      <c r="I39" s="30" t="inlineStr"/>
      <c r="J39" s="45">
        <f>IF(A39="","",MAX(0,(E39-TODAY())/365))</f>
        <v/>
      </c>
    </row>
    <row r="40">
      <c r="A40" s="30" t="inlineStr"/>
      <c r="B40" s="30" t="inlineStr"/>
      <c r="C40" s="30" t="inlineStr"/>
      <c r="D40" s="38" t="inlineStr"/>
      <c r="E40" s="38" t="inlineStr"/>
      <c r="F40" s="34" t="inlineStr"/>
      <c r="G40" s="30" t="inlineStr"/>
      <c r="H40" s="30" t="inlineStr"/>
      <c r="I40" s="30" t="inlineStr"/>
      <c r="J40" s="45">
        <f>IF(A40="","",MAX(0,(E40-TODAY())/365))</f>
        <v/>
      </c>
    </row>
    <row r="41">
      <c r="A41" s="30" t="inlineStr"/>
      <c r="B41" s="30" t="inlineStr"/>
      <c r="C41" s="30" t="inlineStr"/>
      <c r="D41" s="38" t="inlineStr"/>
      <c r="E41" s="38" t="inlineStr"/>
      <c r="F41" s="34" t="inlineStr"/>
      <c r="G41" s="30" t="inlineStr"/>
      <c r="H41" s="30" t="inlineStr"/>
      <c r="I41" s="30" t="inlineStr"/>
      <c r="J41" s="45">
        <f>IF(A41="","",MAX(0,(E41-TODAY())/365))</f>
        <v/>
      </c>
    </row>
    <row r="42">
      <c r="A42" s="30" t="inlineStr"/>
      <c r="B42" s="30" t="inlineStr"/>
      <c r="C42" s="30" t="inlineStr"/>
      <c r="D42" s="38" t="inlineStr"/>
      <c r="E42" s="38" t="inlineStr"/>
      <c r="F42" s="34" t="inlineStr"/>
      <c r="G42" s="30" t="inlineStr"/>
      <c r="H42" s="30" t="inlineStr"/>
      <c r="I42" s="30" t="inlineStr"/>
      <c r="J42" s="45">
        <f>IF(A42="","",MAX(0,(E42-TODAY())/365))</f>
        <v/>
      </c>
    </row>
    <row r="43">
      <c r="A43" s="30" t="inlineStr"/>
      <c r="B43" s="30" t="inlineStr"/>
      <c r="C43" s="30" t="inlineStr"/>
      <c r="D43" s="38" t="inlineStr"/>
      <c r="E43" s="38" t="inlineStr"/>
      <c r="F43" s="34" t="inlineStr"/>
      <c r="G43" s="30" t="inlineStr"/>
      <c r="H43" s="30" t="inlineStr"/>
      <c r="I43" s="30" t="inlineStr"/>
      <c r="J43" s="45">
        <f>IF(A43="","",MAX(0,(E43-TODAY())/365))</f>
        <v/>
      </c>
    </row>
    <row r="44">
      <c r="A44" s="30" t="inlineStr"/>
      <c r="B44" s="30" t="inlineStr"/>
      <c r="C44" s="30" t="inlineStr"/>
      <c r="D44" s="38" t="inlineStr"/>
      <c r="E44" s="38" t="inlineStr"/>
      <c r="F44" s="34" t="inlineStr"/>
      <c r="G44" s="30" t="inlineStr"/>
      <c r="H44" s="30" t="inlineStr"/>
      <c r="I44" s="30" t="inlineStr"/>
      <c r="J44" s="45">
        <f>IF(A44="","",MAX(0,(E44-TODAY())/365))</f>
        <v/>
      </c>
    </row>
    <row r="45">
      <c r="A45" s="30" t="inlineStr"/>
      <c r="B45" s="30" t="inlineStr"/>
      <c r="C45" s="30" t="inlineStr"/>
      <c r="D45" s="38" t="inlineStr"/>
      <c r="E45" s="38" t="inlineStr"/>
      <c r="F45" s="34" t="inlineStr"/>
      <c r="G45" s="30" t="inlineStr"/>
      <c r="H45" s="30" t="inlineStr"/>
      <c r="I45" s="30" t="inlineStr"/>
      <c r="J45" s="45">
        <f>IF(A45="","",MAX(0,(E45-TODAY())/365))</f>
        <v/>
      </c>
    </row>
    <row r="46">
      <c r="A46" s="30" t="inlineStr"/>
      <c r="B46" s="30" t="inlineStr"/>
      <c r="C46" s="30" t="inlineStr"/>
      <c r="D46" s="38" t="inlineStr"/>
      <c r="E46" s="38" t="inlineStr"/>
      <c r="F46" s="34" t="inlineStr"/>
      <c r="G46" s="30" t="inlineStr"/>
      <c r="H46" s="30" t="inlineStr"/>
      <c r="I46" s="30" t="inlineStr"/>
      <c r="J46" s="45">
        <f>IF(A46="","",MAX(0,(E46-TODAY())/365))</f>
        <v/>
      </c>
    </row>
    <row r="47">
      <c r="A47" s="30" t="inlineStr"/>
      <c r="B47" s="30" t="inlineStr"/>
      <c r="C47" s="30" t="inlineStr"/>
      <c r="D47" s="38" t="inlineStr"/>
      <c r="E47" s="38" t="inlineStr"/>
      <c r="F47" s="34" t="inlineStr"/>
      <c r="G47" s="30" t="inlineStr"/>
      <c r="H47" s="30" t="inlineStr"/>
      <c r="I47" s="30" t="inlineStr"/>
      <c r="J47" s="45">
        <f>IF(A47="","",MAX(0,(E47-TODAY())/365))</f>
        <v/>
      </c>
    </row>
    <row r="48">
      <c r="A48" s="30" t="inlineStr"/>
      <c r="B48" s="30" t="inlineStr"/>
      <c r="C48" s="30" t="inlineStr"/>
      <c r="D48" s="38" t="inlineStr"/>
      <c r="E48" s="38" t="inlineStr"/>
      <c r="F48" s="34" t="inlineStr"/>
      <c r="G48" s="30" t="inlineStr"/>
      <c r="H48" s="30" t="inlineStr"/>
      <c r="I48" s="30" t="inlineStr"/>
      <c r="J48" s="45">
        <f>IF(A48="","",MAX(0,(E48-TODAY())/365))</f>
        <v/>
      </c>
    </row>
    <row r="49">
      <c r="A49" s="30" t="inlineStr"/>
      <c r="B49" s="30" t="inlineStr"/>
      <c r="C49" s="30" t="inlineStr"/>
      <c r="D49" s="38" t="inlineStr"/>
      <c r="E49" s="38" t="inlineStr"/>
      <c r="F49" s="34" t="inlineStr"/>
      <c r="G49" s="30" t="inlineStr"/>
      <c r="H49" s="30" t="inlineStr"/>
      <c r="I49" s="30" t="inlineStr"/>
      <c r="J49" s="45">
        <f>IF(A49="","",MAX(0,(E49-TODAY())/365))</f>
        <v/>
      </c>
    </row>
    <row r="50">
      <c r="A50" s="30" t="inlineStr"/>
      <c r="B50" s="30" t="inlineStr"/>
      <c r="C50" s="30" t="inlineStr"/>
      <c r="D50" s="38" t="inlineStr"/>
      <c r="E50" s="38" t="inlineStr"/>
      <c r="F50" s="34" t="inlineStr"/>
      <c r="G50" s="30" t="inlineStr"/>
      <c r="H50" s="30" t="inlineStr"/>
      <c r="I50" s="30" t="inlineStr"/>
      <c r="J50" s="45">
        <f>IF(A50="","",MAX(0,(E50-TODAY())/365))</f>
        <v/>
      </c>
    </row>
    <row r="51">
      <c r="A51" s="30" t="inlineStr"/>
      <c r="B51" s="30" t="inlineStr"/>
      <c r="C51" s="30" t="inlineStr"/>
      <c r="D51" s="38" t="inlineStr"/>
      <c r="E51" s="38" t="inlineStr"/>
      <c r="F51" s="34" t="inlineStr"/>
      <c r="G51" s="30" t="inlineStr"/>
      <c r="H51" s="30" t="inlineStr"/>
      <c r="I51" s="30" t="inlineStr"/>
      <c r="J51" s="45">
        <f>IF(A51="","",MAX(0,(E51-TODAY())/365))</f>
        <v/>
      </c>
    </row>
    <row r="52">
      <c r="A52" s="30" t="inlineStr"/>
      <c r="B52" s="30" t="inlineStr"/>
      <c r="C52" s="30" t="inlineStr"/>
      <c r="D52" s="38" t="inlineStr"/>
      <c r="E52" s="38" t="inlineStr"/>
      <c r="F52" s="34" t="inlineStr"/>
      <c r="G52" s="30" t="inlineStr"/>
      <c r="H52" s="30" t="inlineStr"/>
      <c r="I52" s="30" t="inlineStr"/>
      <c r="J52" s="45">
        <f>IF(A52="","",MAX(0,(E52-TODAY())/365))</f>
        <v/>
      </c>
    </row>
    <row r="53">
      <c r="A53" s="30" t="inlineStr"/>
      <c r="B53" s="30" t="inlineStr"/>
      <c r="C53" s="30" t="inlineStr"/>
      <c r="D53" s="38" t="inlineStr"/>
      <c r="E53" s="38" t="inlineStr"/>
      <c r="F53" s="34" t="inlineStr"/>
      <c r="G53" s="30" t="inlineStr"/>
      <c r="H53" s="30" t="inlineStr"/>
      <c r="I53" s="30" t="inlineStr"/>
      <c r="J53" s="45">
        <f>IF(A53="","",MAX(0,(E53-TODAY())/365))</f>
        <v/>
      </c>
    </row>
    <row r="54">
      <c r="A54" s="30" t="inlineStr"/>
      <c r="B54" s="30" t="inlineStr"/>
      <c r="C54" s="30" t="inlineStr"/>
      <c r="D54" s="38" t="inlineStr"/>
      <c r="E54" s="38" t="inlineStr"/>
      <c r="F54" s="34" t="inlineStr"/>
      <c r="G54" s="30" t="inlineStr"/>
      <c r="H54" s="30" t="inlineStr"/>
      <c r="I54" s="30" t="inlineStr"/>
      <c r="J54" s="45">
        <f>IF(A54="","",MAX(0,(E54-TODAY())/365))</f>
        <v/>
      </c>
    </row>
    <row r="55">
      <c r="A55" s="30" t="inlineStr"/>
      <c r="B55" s="30" t="inlineStr"/>
      <c r="C55" s="30" t="inlineStr"/>
      <c r="D55" s="38" t="inlineStr"/>
      <c r="E55" s="38" t="inlineStr"/>
      <c r="F55" s="34" t="inlineStr"/>
      <c r="G55" s="30" t="inlineStr"/>
      <c r="H55" s="30" t="inlineStr"/>
      <c r="I55" s="30" t="inlineStr"/>
      <c r="J55" s="45">
        <f>IF(A55="","",MAX(0,(E55-TODAY())/365))</f>
        <v/>
      </c>
    </row>
    <row r="56">
      <c r="A56" s="30" t="inlineStr"/>
      <c r="B56" s="30" t="inlineStr"/>
      <c r="C56" s="30" t="inlineStr"/>
      <c r="D56" s="38" t="inlineStr"/>
      <c r="E56" s="38" t="inlineStr"/>
      <c r="F56" s="34" t="inlineStr"/>
      <c r="G56" s="30" t="inlineStr"/>
      <c r="H56" s="30" t="inlineStr"/>
      <c r="I56" s="30" t="inlineStr"/>
      <c r="J56" s="45">
        <f>IF(A56="","",MAX(0,(E56-TODAY())/365))</f>
        <v/>
      </c>
    </row>
    <row r="57">
      <c r="A57" s="30" t="inlineStr"/>
      <c r="B57" s="30" t="inlineStr"/>
      <c r="C57" s="30" t="inlineStr"/>
      <c r="D57" s="38" t="inlineStr"/>
      <c r="E57" s="38" t="inlineStr"/>
      <c r="F57" s="34" t="inlineStr"/>
      <c r="G57" s="30" t="inlineStr"/>
      <c r="H57" s="30" t="inlineStr"/>
      <c r="I57" s="30" t="inlineStr"/>
      <c r="J57" s="45">
        <f>IF(A57="","",MAX(0,(E57-TODAY())/365))</f>
        <v/>
      </c>
    </row>
    <row r="58">
      <c r="A58" s="30" t="inlineStr"/>
      <c r="B58" s="30" t="inlineStr"/>
      <c r="C58" s="30" t="inlineStr"/>
      <c r="D58" s="38" t="inlineStr"/>
      <c r="E58" s="38" t="inlineStr"/>
      <c r="F58" s="34" t="inlineStr"/>
      <c r="G58" s="30" t="inlineStr"/>
      <c r="H58" s="30" t="inlineStr"/>
      <c r="I58" s="30" t="inlineStr"/>
      <c r="J58" s="45">
        <f>IF(A58="","",MAX(0,(E58-TODAY())/365))</f>
        <v/>
      </c>
    </row>
    <row r="59">
      <c r="A59" s="30" t="inlineStr"/>
      <c r="B59" s="30" t="inlineStr"/>
      <c r="C59" s="30" t="inlineStr"/>
      <c r="D59" s="38" t="inlineStr"/>
      <c r="E59" s="38" t="inlineStr"/>
      <c r="F59" s="34" t="inlineStr"/>
      <c r="G59" s="30" t="inlineStr"/>
      <c r="H59" s="30" t="inlineStr"/>
      <c r="I59" s="30" t="inlineStr"/>
      <c r="J59" s="45">
        <f>IF(A59="","",MAX(0,(E59-TODAY())/365))</f>
        <v/>
      </c>
    </row>
    <row r="60">
      <c r="A60" s="30" t="inlineStr"/>
      <c r="B60" s="30" t="inlineStr"/>
      <c r="C60" s="30" t="inlineStr"/>
      <c r="D60" s="38" t="inlineStr"/>
      <c r="E60" s="38" t="inlineStr"/>
      <c r="F60" s="34" t="inlineStr"/>
      <c r="G60" s="30" t="inlineStr"/>
      <c r="H60" s="30" t="inlineStr"/>
      <c r="I60" s="30" t="inlineStr"/>
      <c r="J60" s="45">
        <f>IF(A60="","",MAX(0,(E60-TODAY())/365))</f>
        <v/>
      </c>
    </row>
    <row r="61">
      <c r="A61" s="30" t="inlineStr"/>
      <c r="B61" s="30" t="inlineStr"/>
      <c r="C61" s="30" t="inlineStr"/>
      <c r="D61" s="38" t="inlineStr"/>
      <c r="E61" s="38" t="inlineStr"/>
      <c r="F61" s="34" t="inlineStr"/>
      <c r="G61" s="30" t="inlineStr"/>
      <c r="H61" s="30" t="inlineStr"/>
      <c r="I61" s="30" t="inlineStr"/>
      <c r="J61" s="45">
        <f>IF(A61="","",MAX(0,(E61-TODAY())/365))</f>
        <v/>
      </c>
    </row>
    <row r="62">
      <c r="A62" s="30" t="inlineStr"/>
      <c r="B62" s="30" t="inlineStr"/>
      <c r="C62" s="30" t="inlineStr"/>
      <c r="D62" s="38" t="inlineStr"/>
      <c r="E62" s="38" t="inlineStr"/>
      <c r="F62" s="34" t="inlineStr"/>
      <c r="G62" s="30" t="inlineStr"/>
      <c r="H62" s="30" t="inlineStr"/>
      <c r="I62" s="30" t="inlineStr"/>
      <c r="J62" s="45">
        <f>IF(A62="","",MAX(0,(E62-TODAY())/365))</f>
        <v/>
      </c>
    </row>
    <row r="63">
      <c r="A63" s="30" t="inlineStr"/>
      <c r="B63" s="30" t="inlineStr"/>
      <c r="C63" s="30" t="inlineStr"/>
      <c r="D63" s="38" t="inlineStr"/>
      <c r="E63" s="38" t="inlineStr"/>
      <c r="F63" s="34" t="inlineStr"/>
      <c r="G63" s="30" t="inlineStr"/>
      <c r="H63" s="30" t="inlineStr"/>
      <c r="I63" s="30" t="inlineStr"/>
      <c r="J63" s="45">
        <f>IF(A63="","",MAX(0,(E63-TODAY())/365))</f>
        <v/>
      </c>
    </row>
    <row r="64">
      <c r="A64" s="30" t="inlineStr"/>
      <c r="B64" s="30" t="inlineStr"/>
      <c r="C64" s="30" t="inlineStr"/>
      <c r="D64" s="38" t="inlineStr"/>
      <c r="E64" s="38" t="inlineStr"/>
      <c r="F64" s="34" t="inlineStr"/>
      <c r="G64" s="30" t="inlineStr"/>
      <c r="H64" s="30" t="inlineStr"/>
      <c r="I64" s="30" t="inlineStr"/>
      <c r="J64" s="45">
        <f>IF(A64="","",MAX(0,(E64-TODAY())/365))</f>
        <v/>
      </c>
    </row>
    <row r="65">
      <c r="A65" s="30" t="inlineStr"/>
      <c r="B65" s="30" t="inlineStr"/>
      <c r="C65" s="30" t="inlineStr"/>
      <c r="D65" s="38" t="inlineStr"/>
      <c r="E65" s="38" t="inlineStr"/>
      <c r="F65" s="34" t="inlineStr"/>
      <c r="G65" s="30" t="inlineStr"/>
      <c r="H65" s="30" t="inlineStr"/>
      <c r="I65" s="30" t="inlineStr"/>
      <c r="J65" s="45">
        <f>IF(A65="","",MAX(0,(E65-TODAY())/365))</f>
        <v/>
      </c>
    </row>
    <row r="66">
      <c r="A66" s="30" t="inlineStr"/>
      <c r="B66" s="30" t="inlineStr"/>
      <c r="C66" s="30" t="inlineStr"/>
      <c r="D66" s="38" t="inlineStr"/>
      <c r="E66" s="38" t="inlineStr"/>
      <c r="F66" s="34" t="inlineStr"/>
      <c r="G66" s="30" t="inlineStr"/>
      <c r="H66" s="30" t="inlineStr"/>
      <c r="I66" s="30" t="inlineStr"/>
      <c r="J66" s="45">
        <f>IF(A66="","",MAX(0,(E66-TODAY())/365))</f>
        <v/>
      </c>
    </row>
    <row r="67">
      <c r="A67" s="30" t="inlineStr"/>
      <c r="B67" s="30" t="inlineStr"/>
      <c r="C67" s="30" t="inlineStr"/>
      <c r="D67" s="38" t="inlineStr"/>
      <c r="E67" s="38" t="inlineStr"/>
      <c r="F67" s="34" t="inlineStr"/>
      <c r="G67" s="30" t="inlineStr"/>
      <c r="H67" s="30" t="inlineStr"/>
      <c r="I67" s="30" t="inlineStr"/>
      <c r="J67" s="45">
        <f>IF(A67="","",MAX(0,(E67-TODAY())/365))</f>
        <v/>
      </c>
    </row>
    <row r="68">
      <c r="A68" s="30" t="inlineStr"/>
      <c r="B68" s="30" t="inlineStr"/>
      <c r="C68" s="30" t="inlineStr"/>
      <c r="D68" s="38" t="inlineStr"/>
      <c r="E68" s="38" t="inlineStr"/>
      <c r="F68" s="34" t="inlineStr"/>
      <c r="G68" s="30" t="inlineStr"/>
      <c r="H68" s="30" t="inlineStr"/>
      <c r="I68" s="30" t="inlineStr"/>
      <c r="J68" s="45">
        <f>IF(A68="","",MAX(0,(E68-TODAY())/365))</f>
        <v/>
      </c>
    </row>
    <row r="69">
      <c r="A69" s="30" t="inlineStr"/>
      <c r="B69" s="30" t="inlineStr"/>
      <c r="C69" s="30" t="inlineStr"/>
      <c r="D69" s="38" t="inlineStr"/>
      <c r="E69" s="38" t="inlineStr"/>
      <c r="F69" s="34" t="inlineStr"/>
      <c r="G69" s="30" t="inlineStr"/>
      <c r="H69" s="30" t="inlineStr"/>
      <c r="I69" s="30" t="inlineStr"/>
      <c r="J69" s="45">
        <f>IF(A69="","",MAX(0,(E69-TODAY())/365))</f>
        <v/>
      </c>
    </row>
    <row r="70">
      <c r="A70" s="30" t="inlineStr"/>
      <c r="B70" s="30" t="inlineStr"/>
      <c r="C70" s="30" t="inlineStr"/>
      <c r="D70" s="38" t="inlineStr"/>
      <c r="E70" s="38" t="inlineStr"/>
      <c r="F70" s="34" t="inlineStr"/>
      <c r="G70" s="30" t="inlineStr"/>
      <c r="H70" s="30" t="inlineStr"/>
      <c r="I70" s="30" t="inlineStr"/>
      <c r="J70" s="45">
        <f>IF(A70="","",MAX(0,(E70-TODAY())/365))</f>
        <v/>
      </c>
    </row>
    <row r="71">
      <c r="A71" s="30" t="inlineStr"/>
      <c r="B71" s="30" t="inlineStr"/>
      <c r="C71" s="30" t="inlineStr"/>
      <c r="D71" s="38" t="inlineStr"/>
      <c r="E71" s="38" t="inlineStr"/>
      <c r="F71" s="34" t="inlineStr"/>
      <c r="G71" s="30" t="inlineStr"/>
      <c r="H71" s="30" t="inlineStr"/>
      <c r="I71" s="30" t="inlineStr"/>
      <c r="J71" s="45">
        <f>IF(A71="","",MAX(0,(E71-TODAY())/365))</f>
        <v/>
      </c>
    </row>
    <row r="72">
      <c r="A72" s="30" t="inlineStr"/>
      <c r="B72" s="30" t="inlineStr"/>
      <c r="C72" s="30" t="inlineStr"/>
      <c r="D72" s="38" t="inlineStr"/>
      <c r="E72" s="38" t="inlineStr"/>
      <c r="F72" s="34" t="inlineStr"/>
      <c r="G72" s="30" t="inlineStr"/>
      <c r="H72" s="30" t="inlineStr"/>
      <c r="I72" s="30" t="inlineStr"/>
      <c r="J72" s="45">
        <f>IF(A72="","",MAX(0,(E72-TODAY())/365))</f>
        <v/>
      </c>
    </row>
    <row r="73">
      <c r="A73" s="30" t="inlineStr"/>
      <c r="B73" s="30" t="inlineStr"/>
      <c r="C73" s="30" t="inlineStr"/>
      <c r="D73" s="38" t="inlineStr"/>
      <c r="E73" s="38" t="inlineStr"/>
      <c r="F73" s="34" t="inlineStr"/>
      <c r="G73" s="30" t="inlineStr"/>
      <c r="H73" s="30" t="inlineStr"/>
      <c r="I73" s="30" t="inlineStr"/>
      <c r="J73" s="45">
        <f>IF(A73="","",MAX(0,(E73-TODAY())/365))</f>
        <v/>
      </c>
    </row>
    <row r="74">
      <c r="A74" s="30" t="inlineStr"/>
      <c r="B74" s="30" t="inlineStr"/>
      <c r="C74" s="30" t="inlineStr"/>
      <c r="D74" s="38" t="inlineStr"/>
      <c r="E74" s="38" t="inlineStr"/>
      <c r="F74" s="34" t="inlineStr"/>
      <c r="G74" s="30" t="inlineStr"/>
      <c r="H74" s="30" t="inlineStr"/>
      <c r="I74" s="30" t="inlineStr"/>
      <c r="J74" s="45">
        <f>IF(A74="","",MAX(0,(E74-TODAY())/365))</f>
        <v/>
      </c>
    </row>
    <row r="75">
      <c r="A75" s="30" t="inlineStr"/>
      <c r="B75" s="30" t="inlineStr"/>
      <c r="C75" s="30" t="inlineStr"/>
      <c r="D75" s="38" t="inlineStr"/>
      <c r="E75" s="38" t="inlineStr"/>
      <c r="F75" s="34" t="inlineStr"/>
      <c r="G75" s="30" t="inlineStr"/>
      <c r="H75" s="30" t="inlineStr"/>
      <c r="I75" s="30" t="inlineStr"/>
      <c r="J75" s="45">
        <f>IF(A75="","",MAX(0,(E75-TODAY())/365))</f>
        <v/>
      </c>
    </row>
    <row r="76">
      <c r="A76" s="30" t="inlineStr"/>
      <c r="B76" s="30" t="inlineStr"/>
      <c r="C76" s="30" t="inlineStr"/>
      <c r="D76" s="38" t="inlineStr"/>
      <c r="E76" s="38" t="inlineStr"/>
      <c r="F76" s="34" t="inlineStr"/>
      <c r="G76" s="30" t="inlineStr"/>
      <c r="H76" s="30" t="inlineStr"/>
      <c r="I76" s="30" t="inlineStr"/>
      <c r="J76" s="45">
        <f>IF(A76="","",MAX(0,(E76-TODAY())/365))</f>
        <v/>
      </c>
    </row>
    <row r="77">
      <c r="A77" s="30" t="inlineStr"/>
      <c r="B77" s="30" t="inlineStr"/>
      <c r="C77" s="30" t="inlineStr"/>
      <c r="D77" s="38" t="inlineStr"/>
      <c r="E77" s="38" t="inlineStr"/>
      <c r="F77" s="34" t="inlineStr"/>
      <c r="G77" s="30" t="inlineStr"/>
      <c r="H77" s="30" t="inlineStr"/>
      <c r="I77" s="30" t="inlineStr"/>
      <c r="J77" s="45">
        <f>IF(A77="","",MAX(0,(E77-TODAY())/365))</f>
        <v/>
      </c>
    </row>
    <row r="78">
      <c r="A78" s="30" t="inlineStr"/>
      <c r="B78" s="30" t="inlineStr"/>
      <c r="C78" s="30" t="inlineStr"/>
      <c r="D78" s="38" t="inlineStr"/>
      <c r="E78" s="38" t="inlineStr"/>
      <c r="F78" s="34" t="inlineStr"/>
      <c r="G78" s="30" t="inlineStr"/>
      <c r="H78" s="30" t="inlineStr"/>
      <c r="I78" s="30" t="inlineStr"/>
      <c r="J78" s="45">
        <f>IF(A78="","",MAX(0,(E78-TODAY())/365))</f>
        <v/>
      </c>
    </row>
    <row r="79">
      <c r="A79" s="30" t="inlineStr"/>
      <c r="B79" s="30" t="inlineStr"/>
      <c r="C79" s="30" t="inlineStr"/>
      <c r="D79" s="38" t="inlineStr"/>
      <c r="E79" s="38" t="inlineStr"/>
      <c r="F79" s="34" t="inlineStr"/>
      <c r="G79" s="30" t="inlineStr"/>
      <c r="H79" s="30" t="inlineStr"/>
      <c r="I79" s="30" t="inlineStr"/>
      <c r="J79" s="45">
        <f>IF(A79="","",MAX(0,(E79-TODAY())/365))</f>
        <v/>
      </c>
    </row>
    <row r="80">
      <c r="A80" s="30" t="inlineStr"/>
      <c r="B80" s="30" t="inlineStr"/>
      <c r="C80" s="30" t="inlineStr"/>
      <c r="D80" s="38" t="inlineStr"/>
      <c r="E80" s="38" t="inlineStr"/>
      <c r="F80" s="34" t="inlineStr"/>
      <c r="G80" s="30" t="inlineStr"/>
      <c r="H80" s="30" t="inlineStr"/>
      <c r="I80" s="30" t="inlineStr"/>
      <c r="J80" s="45">
        <f>IF(A80="","",MAX(0,(E80-TODAY())/365))</f>
        <v/>
      </c>
    </row>
    <row r="81">
      <c r="A81" s="30" t="inlineStr"/>
      <c r="B81" s="30" t="inlineStr"/>
      <c r="C81" s="30" t="inlineStr"/>
      <c r="D81" s="38" t="inlineStr"/>
      <c r="E81" s="38" t="inlineStr"/>
      <c r="F81" s="34" t="inlineStr"/>
      <c r="G81" s="30" t="inlineStr"/>
      <c r="H81" s="30" t="inlineStr"/>
      <c r="I81" s="30" t="inlineStr"/>
      <c r="J81" s="45">
        <f>IF(A81="","",MAX(0,(E81-TODAY())/365))</f>
        <v/>
      </c>
    </row>
    <row r="82">
      <c r="A82" s="30" t="inlineStr"/>
      <c r="B82" s="30" t="inlineStr"/>
      <c r="C82" s="30" t="inlineStr"/>
      <c r="D82" s="38" t="inlineStr"/>
      <c r="E82" s="38" t="inlineStr"/>
      <c r="F82" s="34" t="inlineStr"/>
      <c r="G82" s="30" t="inlineStr"/>
      <c r="H82" s="30" t="inlineStr"/>
      <c r="I82" s="30" t="inlineStr"/>
      <c r="J82" s="45">
        <f>IF(A82="","",MAX(0,(E82-TODAY())/365))</f>
        <v/>
      </c>
    </row>
    <row r="83">
      <c r="A83" s="30" t="inlineStr"/>
      <c r="B83" s="30" t="inlineStr"/>
      <c r="C83" s="30" t="inlineStr"/>
      <c r="D83" s="38" t="inlineStr"/>
      <c r="E83" s="38" t="inlineStr"/>
      <c r="F83" s="34" t="inlineStr"/>
      <c r="G83" s="30" t="inlineStr"/>
      <c r="H83" s="30" t="inlineStr"/>
      <c r="I83" s="30" t="inlineStr"/>
      <c r="J83" s="45">
        <f>IF(A83="","",MAX(0,(E83-TODAY())/365))</f>
        <v/>
      </c>
    </row>
    <row r="84">
      <c r="A84" s="30" t="inlineStr"/>
      <c r="B84" s="30" t="inlineStr"/>
      <c r="C84" s="30" t="inlineStr"/>
      <c r="D84" s="38" t="inlineStr"/>
      <c r="E84" s="38" t="inlineStr"/>
      <c r="F84" s="34" t="inlineStr"/>
      <c r="G84" s="30" t="inlineStr"/>
      <c r="H84" s="30" t="inlineStr"/>
      <c r="I84" s="30" t="inlineStr"/>
      <c r="J84" s="45">
        <f>IF(A84="","",MAX(0,(E84-TODAY())/365))</f>
        <v/>
      </c>
    </row>
    <row r="85">
      <c r="A85" s="30" t="inlineStr"/>
      <c r="B85" s="30" t="inlineStr"/>
      <c r="C85" s="30" t="inlineStr"/>
      <c r="D85" s="38" t="inlineStr"/>
      <c r="E85" s="38" t="inlineStr"/>
      <c r="F85" s="34" t="inlineStr"/>
      <c r="G85" s="30" t="inlineStr"/>
      <c r="H85" s="30" t="inlineStr"/>
      <c r="I85" s="30" t="inlineStr"/>
      <c r="J85" s="45">
        <f>IF(A85="","",MAX(0,(E85-TODAY())/365))</f>
        <v/>
      </c>
    </row>
    <row r="86">
      <c r="A86" s="30" t="inlineStr"/>
      <c r="B86" s="30" t="inlineStr"/>
      <c r="C86" s="30" t="inlineStr"/>
      <c r="D86" s="38" t="inlineStr"/>
      <c r="E86" s="38" t="inlineStr"/>
      <c r="F86" s="34" t="inlineStr"/>
      <c r="G86" s="30" t="inlineStr"/>
      <c r="H86" s="30" t="inlineStr"/>
      <c r="I86" s="30" t="inlineStr"/>
      <c r="J86" s="45">
        <f>IF(A86="","",MAX(0,(E86-TODAY())/365))</f>
        <v/>
      </c>
    </row>
    <row r="87">
      <c r="A87" s="30" t="inlineStr"/>
      <c r="B87" s="30" t="inlineStr"/>
      <c r="C87" s="30" t="inlineStr"/>
      <c r="D87" s="38" t="inlineStr"/>
      <c r="E87" s="38" t="inlineStr"/>
      <c r="F87" s="34" t="inlineStr"/>
      <c r="G87" s="30" t="inlineStr"/>
      <c r="H87" s="30" t="inlineStr"/>
      <c r="I87" s="30" t="inlineStr"/>
      <c r="J87" s="45">
        <f>IF(A87="","",MAX(0,(E87-TODAY())/365))</f>
        <v/>
      </c>
    </row>
    <row r="88">
      <c r="A88" s="30" t="inlineStr"/>
      <c r="B88" s="30" t="inlineStr"/>
      <c r="C88" s="30" t="inlineStr"/>
      <c r="D88" s="38" t="inlineStr"/>
      <c r="E88" s="38" t="inlineStr"/>
      <c r="F88" s="34" t="inlineStr"/>
      <c r="G88" s="30" t="inlineStr"/>
      <c r="H88" s="30" t="inlineStr"/>
      <c r="I88" s="30" t="inlineStr"/>
      <c r="J88" s="45">
        <f>IF(A88="","",MAX(0,(E88-TODAY())/365))</f>
        <v/>
      </c>
    </row>
    <row r="89">
      <c r="A89" s="30" t="inlineStr"/>
      <c r="B89" s="30" t="inlineStr"/>
      <c r="C89" s="30" t="inlineStr"/>
      <c r="D89" s="38" t="inlineStr"/>
      <c r="E89" s="38" t="inlineStr"/>
      <c r="F89" s="34" t="inlineStr"/>
      <c r="G89" s="30" t="inlineStr"/>
      <c r="H89" s="30" t="inlineStr"/>
      <c r="I89" s="30" t="inlineStr"/>
      <c r="J89" s="45">
        <f>IF(A89="","",MAX(0,(E89-TODAY())/365))</f>
        <v/>
      </c>
    </row>
    <row r="90">
      <c r="A90" s="30" t="inlineStr"/>
      <c r="B90" s="30" t="inlineStr"/>
      <c r="C90" s="30" t="inlineStr"/>
      <c r="D90" s="38" t="inlineStr"/>
      <c r="E90" s="38" t="inlineStr"/>
      <c r="F90" s="34" t="inlineStr"/>
      <c r="G90" s="30" t="inlineStr"/>
      <c r="H90" s="30" t="inlineStr"/>
      <c r="I90" s="30" t="inlineStr"/>
      <c r="J90" s="45">
        <f>IF(A90="","",MAX(0,(E90-TODAY())/365))</f>
        <v/>
      </c>
    </row>
    <row r="91">
      <c r="A91" s="30" t="inlineStr"/>
      <c r="B91" s="30" t="inlineStr"/>
      <c r="C91" s="30" t="inlineStr"/>
      <c r="D91" s="38" t="inlineStr"/>
      <c r="E91" s="38" t="inlineStr"/>
      <c r="F91" s="34" t="inlineStr"/>
      <c r="G91" s="30" t="inlineStr"/>
      <c r="H91" s="30" t="inlineStr"/>
      <c r="I91" s="30" t="inlineStr"/>
      <c r="J91" s="45">
        <f>IF(A91="","",MAX(0,(E91-TODAY())/365))</f>
        <v/>
      </c>
    </row>
    <row r="92">
      <c r="A92" s="30" t="inlineStr"/>
      <c r="B92" s="30" t="inlineStr"/>
      <c r="C92" s="30" t="inlineStr"/>
      <c r="D92" s="38" t="inlineStr"/>
      <c r="E92" s="38" t="inlineStr"/>
      <c r="F92" s="34" t="inlineStr"/>
      <c r="G92" s="30" t="inlineStr"/>
      <c r="H92" s="30" t="inlineStr"/>
      <c r="I92" s="30" t="inlineStr"/>
      <c r="J92" s="45">
        <f>IF(A92="","",MAX(0,(E92-TODAY())/365))</f>
        <v/>
      </c>
    </row>
    <row r="93">
      <c r="A93" s="30" t="inlineStr"/>
      <c r="B93" s="30" t="inlineStr"/>
      <c r="C93" s="30" t="inlineStr"/>
      <c r="D93" s="38" t="inlineStr"/>
      <c r="E93" s="38" t="inlineStr"/>
      <c r="F93" s="34" t="inlineStr"/>
      <c r="G93" s="30" t="inlineStr"/>
      <c r="H93" s="30" t="inlineStr"/>
      <c r="I93" s="30" t="inlineStr"/>
      <c r="J93" s="45">
        <f>IF(A93="","",MAX(0,(E93-TODAY())/365))</f>
        <v/>
      </c>
    </row>
    <row r="94">
      <c r="A94" s="30" t="inlineStr"/>
      <c r="B94" s="30" t="inlineStr"/>
      <c r="C94" s="30" t="inlineStr"/>
      <c r="D94" s="38" t="inlineStr"/>
      <c r="E94" s="38" t="inlineStr"/>
      <c r="F94" s="34" t="inlineStr"/>
      <c r="G94" s="30" t="inlineStr"/>
      <c r="H94" s="30" t="inlineStr"/>
      <c r="I94" s="30" t="inlineStr"/>
      <c r="J94" s="45">
        <f>IF(A94="","",MAX(0,(E94-TODAY())/365))</f>
        <v/>
      </c>
    </row>
    <row r="95">
      <c r="A95" s="30" t="inlineStr"/>
      <c r="B95" s="30" t="inlineStr"/>
      <c r="C95" s="30" t="inlineStr"/>
      <c r="D95" s="38" t="inlineStr"/>
      <c r="E95" s="38" t="inlineStr"/>
      <c r="F95" s="34" t="inlineStr"/>
      <c r="G95" s="30" t="inlineStr"/>
      <c r="H95" s="30" t="inlineStr"/>
      <c r="I95" s="30" t="inlineStr"/>
      <c r="J95" s="45">
        <f>IF(A95="","",MAX(0,(E95-TODAY())/365))</f>
        <v/>
      </c>
    </row>
    <row r="96">
      <c r="A96" s="30" t="inlineStr"/>
      <c r="B96" s="30" t="inlineStr"/>
      <c r="C96" s="30" t="inlineStr"/>
      <c r="D96" s="38" t="inlineStr"/>
      <c r="E96" s="38" t="inlineStr"/>
      <c r="F96" s="34" t="inlineStr"/>
      <c r="G96" s="30" t="inlineStr"/>
      <c r="H96" s="30" t="inlineStr"/>
      <c r="I96" s="30" t="inlineStr"/>
      <c r="J96" s="45">
        <f>IF(A96="","",MAX(0,(E96-TODAY())/365))</f>
        <v/>
      </c>
    </row>
    <row r="97">
      <c r="A97" s="30" t="inlineStr"/>
      <c r="B97" s="30" t="inlineStr"/>
      <c r="C97" s="30" t="inlineStr"/>
      <c r="D97" s="38" t="inlineStr"/>
      <c r="E97" s="38" t="inlineStr"/>
      <c r="F97" s="34" t="inlineStr"/>
      <c r="G97" s="30" t="inlineStr"/>
      <c r="H97" s="30" t="inlineStr"/>
      <c r="I97" s="30" t="inlineStr"/>
      <c r="J97" s="45">
        <f>IF(A97="","",MAX(0,(E97-TODAY())/365))</f>
        <v/>
      </c>
    </row>
    <row r="98">
      <c r="A98" s="30" t="inlineStr"/>
      <c r="B98" s="30" t="inlineStr"/>
      <c r="C98" s="30" t="inlineStr"/>
      <c r="D98" s="38" t="inlineStr"/>
      <c r="E98" s="38" t="inlineStr"/>
      <c r="F98" s="34" t="inlineStr"/>
      <c r="G98" s="30" t="inlineStr"/>
      <c r="H98" s="30" t="inlineStr"/>
      <c r="I98" s="30" t="inlineStr"/>
      <c r="J98" s="45">
        <f>IF(A98="","",MAX(0,(E98-TODAY())/365))</f>
        <v/>
      </c>
    </row>
    <row r="99">
      <c r="A99" s="30" t="inlineStr"/>
      <c r="B99" s="30" t="inlineStr"/>
      <c r="C99" s="30" t="inlineStr"/>
      <c r="D99" s="38" t="inlineStr"/>
      <c r="E99" s="38" t="inlineStr"/>
      <c r="F99" s="34" t="inlineStr"/>
      <c r="G99" s="30" t="inlineStr"/>
      <c r="H99" s="30" t="inlineStr"/>
      <c r="I99" s="30" t="inlineStr"/>
      <c r="J99" s="45">
        <f>IF(A99="","",MAX(0,(E99-TODAY())/365))</f>
        <v/>
      </c>
    </row>
    <row r="100">
      <c r="A100" s="30" t="inlineStr"/>
      <c r="B100" s="30" t="inlineStr"/>
      <c r="C100" s="30" t="inlineStr"/>
      <c r="D100" s="38" t="inlineStr"/>
      <c r="E100" s="38" t="inlineStr"/>
      <c r="F100" s="34" t="inlineStr"/>
      <c r="G100" s="30" t="inlineStr"/>
      <c r="H100" s="30" t="inlineStr"/>
      <c r="I100" s="30" t="inlineStr"/>
      <c r="J100" s="45">
        <f>IF(A100="","",MAX(0,(E100-TODAY())/365))</f>
        <v/>
      </c>
    </row>
    <row r="101">
      <c r="A101" s="30" t="inlineStr"/>
      <c r="B101" s="30" t="inlineStr"/>
      <c r="C101" s="30" t="inlineStr"/>
      <c r="D101" s="38" t="inlineStr"/>
      <c r="E101" s="38" t="inlineStr"/>
      <c r="F101" s="34" t="inlineStr"/>
      <c r="G101" s="30" t="inlineStr"/>
      <c r="H101" s="30" t="inlineStr"/>
      <c r="I101" s="30" t="inlineStr"/>
      <c r="J101" s="45">
        <f>IF(A101="","",MAX(0,(E101-TODAY())/365))</f>
        <v/>
      </c>
    </row>
    <row r="102">
      <c r="A102" s="30" t="inlineStr"/>
      <c r="B102" s="30" t="inlineStr"/>
      <c r="C102" s="30" t="inlineStr"/>
      <c r="D102" s="38" t="inlineStr"/>
      <c r="E102" s="38" t="inlineStr"/>
      <c r="F102" s="34" t="inlineStr"/>
      <c r="G102" s="30" t="inlineStr"/>
      <c r="H102" s="30" t="inlineStr"/>
      <c r="I102" s="30" t="inlineStr"/>
      <c r="J102" s="45">
        <f>IF(A102="","",MAX(0,(E102-TODAY())/365))</f>
        <v/>
      </c>
    </row>
    <row r="103">
      <c r="A103" s="30" t="inlineStr"/>
      <c r="B103" s="30" t="inlineStr"/>
      <c r="C103" s="30" t="inlineStr"/>
      <c r="D103" s="38" t="inlineStr"/>
      <c r="E103" s="38" t="inlineStr"/>
      <c r="F103" s="34" t="inlineStr"/>
      <c r="G103" s="30" t="inlineStr"/>
      <c r="H103" s="30" t="inlineStr"/>
      <c r="I103" s="30" t="inlineStr"/>
      <c r="J103" s="45">
        <f>IF(A103="","",MAX(0,(E103-TODAY())/365))</f>
        <v/>
      </c>
    </row>
    <row r="104">
      <c r="A104" s="30" t="inlineStr"/>
      <c r="B104" s="30" t="inlineStr"/>
      <c r="C104" s="30" t="inlineStr"/>
      <c r="D104" s="38" t="inlineStr"/>
      <c r="E104" s="38" t="inlineStr"/>
      <c r="F104" s="34" t="inlineStr"/>
      <c r="G104" s="30" t="inlineStr"/>
      <c r="H104" s="30" t="inlineStr"/>
      <c r="I104" s="30" t="inlineStr"/>
      <c r="J104" s="45">
        <f>IF(A104="","",MAX(0,(E104-TODAY())/365))</f>
        <v/>
      </c>
    </row>
    <row r="105">
      <c r="A105" s="30" t="inlineStr"/>
      <c r="B105" s="30" t="inlineStr"/>
      <c r="C105" s="30" t="inlineStr"/>
      <c r="D105" s="38" t="inlineStr"/>
      <c r="E105" s="38" t="inlineStr"/>
      <c r="F105" s="34" t="inlineStr"/>
      <c r="G105" s="30" t="inlineStr"/>
      <c r="H105" s="30" t="inlineStr"/>
      <c r="I105" s="30" t="inlineStr"/>
      <c r="J105" s="45">
        <f>IF(A105="","",MAX(0,(E105-TODAY())/365))</f>
        <v/>
      </c>
    </row>
    <row r="106">
      <c r="A106" s="30" t="inlineStr"/>
      <c r="B106" s="30" t="inlineStr"/>
      <c r="C106" s="30" t="inlineStr"/>
      <c r="D106" s="38" t="inlineStr"/>
      <c r="E106" s="38" t="inlineStr"/>
      <c r="F106" s="34" t="inlineStr"/>
      <c r="G106" s="30" t="inlineStr"/>
      <c r="H106" s="30" t="inlineStr"/>
      <c r="I106" s="30" t="inlineStr"/>
      <c r="J106" s="45">
        <f>IF(A106="","",MAX(0,(E106-TODAY())/365))</f>
        <v/>
      </c>
    </row>
    <row r="107">
      <c r="A107" s="30" t="inlineStr"/>
      <c r="B107" s="30" t="inlineStr"/>
      <c r="C107" s="30" t="inlineStr"/>
      <c r="D107" s="38" t="inlineStr"/>
      <c r="E107" s="38" t="inlineStr"/>
      <c r="F107" s="34" t="inlineStr"/>
      <c r="G107" s="30" t="inlineStr"/>
      <c r="H107" s="30" t="inlineStr"/>
      <c r="I107" s="30" t="inlineStr"/>
      <c r="J107" s="45">
        <f>IF(A107="","",MAX(0,(E107-TODAY())/365))</f>
        <v/>
      </c>
    </row>
    <row r="108">
      <c r="A108" s="30" t="inlineStr"/>
      <c r="B108" s="30" t="inlineStr"/>
      <c r="C108" s="30" t="inlineStr"/>
      <c r="D108" s="38" t="inlineStr"/>
      <c r="E108" s="38" t="inlineStr"/>
      <c r="F108" s="34" t="inlineStr"/>
      <c r="G108" s="30" t="inlineStr"/>
      <c r="H108" s="30" t="inlineStr"/>
      <c r="I108" s="30" t="inlineStr"/>
      <c r="J108" s="45">
        <f>IF(A108="","",MAX(0,(E108-TODAY())/365))</f>
        <v/>
      </c>
    </row>
    <row r="109">
      <c r="A109" s="30" t="inlineStr"/>
      <c r="B109" s="30" t="inlineStr"/>
      <c r="C109" s="30" t="inlineStr"/>
      <c r="D109" s="38" t="inlineStr"/>
      <c r="E109" s="38" t="inlineStr"/>
      <c r="F109" s="34" t="inlineStr"/>
      <c r="G109" s="30" t="inlineStr"/>
      <c r="H109" s="30" t="inlineStr"/>
      <c r="I109" s="30" t="inlineStr"/>
      <c r="J109" s="45">
        <f>IF(A109="","",MAX(0,(E109-TODAY())/365))</f>
        <v/>
      </c>
    </row>
    <row r="110">
      <c r="A110" s="30" t="inlineStr"/>
      <c r="B110" s="30" t="inlineStr"/>
      <c r="C110" s="30" t="inlineStr"/>
      <c r="D110" s="38" t="inlineStr"/>
      <c r="E110" s="38" t="inlineStr"/>
      <c r="F110" s="34" t="inlineStr"/>
      <c r="G110" s="30" t="inlineStr"/>
      <c r="H110" s="30" t="inlineStr"/>
      <c r="I110" s="30" t="inlineStr"/>
      <c r="J110" s="45">
        <f>IF(A110="","",MAX(0,(E110-TODAY())/365))</f>
        <v/>
      </c>
    </row>
    <row r="111">
      <c r="A111" s="30" t="inlineStr"/>
      <c r="B111" s="30" t="inlineStr"/>
      <c r="C111" s="30" t="inlineStr"/>
      <c r="D111" s="38" t="inlineStr"/>
      <c r="E111" s="38" t="inlineStr"/>
      <c r="F111" s="34" t="inlineStr"/>
      <c r="G111" s="30" t="inlineStr"/>
      <c r="H111" s="30" t="inlineStr"/>
      <c r="I111" s="30" t="inlineStr"/>
      <c r="J111" s="45">
        <f>IF(A111="","",MAX(0,(E111-TODAY())/365))</f>
        <v/>
      </c>
    </row>
    <row r="112">
      <c r="A112" s="30" t="inlineStr"/>
      <c r="B112" s="30" t="inlineStr"/>
      <c r="C112" s="30" t="inlineStr"/>
      <c r="D112" s="38" t="inlineStr"/>
      <c r="E112" s="38" t="inlineStr"/>
      <c r="F112" s="34" t="inlineStr"/>
      <c r="G112" s="30" t="inlineStr"/>
      <c r="H112" s="30" t="inlineStr"/>
      <c r="I112" s="30" t="inlineStr"/>
      <c r="J112" s="45">
        <f>IF(A112="","",MAX(0,(E112-TODAY())/365))</f>
        <v/>
      </c>
    </row>
    <row r="113">
      <c r="A113" s="30" t="inlineStr"/>
      <c r="B113" s="30" t="inlineStr"/>
      <c r="C113" s="30" t="inlineStr"/>
      <c r="D113" s="38" t="inlineStr"/>
      <c r="E113" s="38" t="inlineStr"/>
      <c r="F113" s="34" t="inlineStr"/>
      <c r="G113" s="30" t="inlineStr"/>
      <c r="H113" s="30" t="inlineStr"/>
      <c r="I113" s="30" t="inlineStr"/>
      <c r="J113" s="45">
        <f>IF(A113="","",MAX(0,(E113-TODAY())/365))</f>
        <v/>
      </c>
    </row>
    <row r="114">
      <c r="A114" s="30" t="inlineStr"/>
      <c r="B114" s="30" t="inlineStr"/>
      <c r="C114" s="30" t="inlineStr"/>
      <c r="D114" s="38" t="inlineStr"/>
      <c r="E114" s="38" t="inlineStr"/>
      <c r="F114" s="34" t="inlineStr"/>
      <c r="G114" s="30" t="inlineStr"/>
      <c r="H114" s="30" t="inlineStr"/>
      <c r="I114" s="30" t="inlineStr"/>
      <c r="J114" s="45">
        <f>IF(A114="","",MAX(0,(E114-TODAY())/365))</f>
        <v/>
      </c>
    </row>
    <row r="115">
      <c r="A115" s="30" t="inlineStr"/>
      <c r="B115" s="30" t="inlineStr"/>
      <c r="C115" s="30" t="inlineStr"/>
      <c r="D115" s="38" t="inlineStr"/>
      <c r="E115" s="38" t="inlineStr"/>
      <c r="F115" s="34" t="inlineStr"/>
      <c r="G115" s="30" t="inlineStr"/>
      <c r="H115" s="30" t="inlineStr"/>
      <c r="I115" s="30" t="inlineStr"/>
      <c r="J115" s="45">
        <f>IF(A115="","",MAX(0,(E115-TODAY())/365))</f>
        <v/>
      </c>
    </row>
    <row r="116">
      <c r="A116" s="30" t="inlineStr"/>
      <c r="B116" s="30" t="inlineStr"/>
      <c r="C116" s="30" t="inlineStr"/>
      <c r="D116" s="38" t="inlineStr"/>
      <c r="E116" s="38" t="inlineStr"/>
      <c r="F116" s="34" t="inlineStr"/>
      <c r="G116" s="30" t="inlineStr"/>
      <c r="H116" s="30" t="inlineStr"/>
      <c r="I116" s="30" t="inlineStr"/>
      <c r="J116" s="45">
        <f>IF(A116="","",MAX(0,(E116-TODAY())/365))</f>
        <v/>
      </c>
    </row>
    <row r="117">
      <c r="A117" s="30" t="inlineStr"/>
      <c r="B117" s="30" t="inlineStr"/>
      <c r="C117" s="30" t="inlineStr"/>
      <c r="D117" s="38" t="inlineStr"/>
      <c r="E117" s="38" t="inlineStr"/>
      <c r="F117" s="34" t="inlineStr"/>
      <c r="G117" s="30" t="inlineStr"/>
      <c r="H117" s="30" t="inlineStr"/>
      <c r="I117" s="30" t="inlineStr"/>
      <c r="J117" s="45">
        <f>IF(A117="","",MAX(0,(E117-TODAY())/365))</f>
        <v/>
      </c>
    </row>
    <row r="118">
      <c r="A118" s="30" t="inlineStr"/>
      <c r="B118" s="30" t="inlineStr"/>
      <c r="C118" s="30" t="inlineStr"/>
      <c r="D118" s="38" t="inlineStr"/>
      <c r="E118" s="38" t="inlineStr"/>
      <c r="F118" s="34" t="inlineStr"/>
      <c r="G118" s="30" t="inlineStr"/>
      <c r="H118" s="30" t="inlineStr"/>
      <c r="I118" s="30" t="inlineStr"/>
      <c r="J118" s="45">
        <f>IF(A118="","",MAX(0,(E118-TODAY())/365))</f>
        <v/>
      </c>
    </row>
    <row r="119">
      <c r="A119" s="30" t="inlineStr"/>
      <c r="B119" s="30" t="inlineStr"/>
      <c r="C119" s="30" t="inlineStr"/>
      <c r="D119" s="38" t="inlineStr"/>
      <c r="E119" s="38" t="inlineStr"/>
      <c r="F119" s="34" t="inlineStr"/>
      <c r="G119" s="30" t="inlineStr"/>
      <c r="H119" s="30" t="inlineStr"/>
      <c r="I119" s="30" t="inlineStr"/>
      <c r="J119" s="45">
        <f>IF(A119="","",MAX(0,(E119-TODAY())/365))</f>
        <v/>
      </c>
    </row>
    <row r="120">
      <c r="A120" s="30" t="inlineStr"/>
      <c r="B120" s="30" t="inlineStr"/>
      <c r="C120" s="30" t="inlineStr"/>
      <c r="D120" s="38" t="inlineStr"/>
      <c r="E120" s="38" t="inlineStr"/>
      <c r="F120" s="34" t="inlineStr"/>
      <c r="G120" s="30" t="inlineStr"/>
      <c r="H120" s="30" t="inlineStr"/>
      <c r="I120" s="30" t="inlineStr"/>
      <c r="J120" s="45">
        <f>IF(A120="","",MAX(0,(E120-TODAY())/365))</f>
        <v/>
      </c>
    </row>
    <row r="121">
      <c r="A121" s="30" t="inlineStr"/>
      <c r="B121" s="30" t="inlineStr"/>
      <c r="C121" s="30" t="inlineStr"/>
      <c r="D121" s="38" t="inlineStr"/>
      <c r="E121" s="38" t="inlineStr"/>
      <c r="F121" s="34" t="inlineStr"/>
      <c r="G121" s="30" t="inlineStr"/>
      <c r="H121" s="30" t="inlineStr"/>
      <c r="I121" s="30" t="inlineStr"/>
      <c r="J121" s="45">
        <f>IF(A121="","",MAX(0,(E121-TODAY())/365))</f>
        <v/>
      </c>
    </row>
    <row r="122">
      <c r="A122" s="30" t="inlineStr"/>
      <c r="B122" s="30" t="inlineStr"/>
      <c r="C122" s="30" t="inlineStr"/>
      <c r="D122" s="38" t="inlineStr"/>
      <c r="E122" s="38" t="inlineStr"/>
      <c r="F122" s="34" t="inlineStr"/>
      <c r="G122" s="30" t="inlineStr"/>
      <c r="H122" s="30" t="inlineStr"/>
      <c r="I122" s="30" t="inlineStr"/>
      <c r="J122" s="45">
        <f>IF(A122="","",MAX(0,(E122-TODAY())/365))</f>
        <v/>
      </c>
    </row>
    <row r="123">
      <c r="A123" s="30" t="inlineStr"/>
      <c r="B123" s="30" t="inlineStr"/>
      <c r="C123" s="30" t="inlineStr"/>
      <c r="D123" s="38" t="inlineStr"/>
      <c r="E123" s="38" t="inlineStr"/>
      <c r="F123" s="34" t="inlineStr"/>
      <c r="G123" s="30" t="inlineStr"/>
      <c r="H123" s="30" t="inlineStr"/>
      <c r="I123" s="30" t="inlineStr"/>
      <c r="J123" s="45">
        <f>IF(A123="","",MAX(0,(E123-TODAY())/365))</f>
        <v/>
      </c>
    </row>
    <row r="124">
      <c r="A124" s="30" t="inlineStr"/>
      <c r="B124" s="30" t="inlineStr"/>
      <c r="C124" s="30" t="inlineStr"/>
      <c r="D124" s="38" t="inlineStr"/>
      <c r="E124" s="38" t="inlineStr"/>
      <c r="F124" s="34" t="inlineStr"/>
      <c r="G124" s="30" t="inlineStr"/>
      <c r="H124" s="30" t="inlineStr"/>
      <c r="I124" s="30" t="inlineStr"/>
      <c r="J124" s="45">
        <f>IF(A124="","",MAX(0,(E124-TODAY())/365))</f>
        <v/>
      </c>
    </row>
    <row r="125">
      <c r="A125" s="30" t="inlineStr"/>
      <c r="B125" s="30" t="inlineStr"/>
      <c r="C125" s="30" t="inlineStr"/>
      <c r="D125" s="38" t="inlineStr"/>
      <c r="E125" s="38" t="inlineStr"/>
      <c r="F125" s="34" t="inlineStr"/>
      <c r="G125" s="30" t="inlineStr"/>
      <c r="H125" s="30" t="inlineStr"/>
      <c r="I125" s="30" t="inlineStr"/>
      <c r="J125" s="45">
        <f>IF(A125="","",MAX(0,(E125-TODAY())/365))</f>
        <v/>
      </c>
    </row>
    <row r="126">
      <c r="A126" s="30" t="inlineStr"/>
      <c r="B126" s="30" t="inlineStr"/>
      <c r="C126" s="30" t="inlineStr"/>
      <c r="D126" s="38" t="inlineStr"/>
      <c r="E126" s="38" t="inlineStr"/>
      <c r="F126" s="34" t="inlineStr"/>
      <c r="G126" s="30" t="inlineStr"/>
      <c r="H126" s="30" t="inlineStr"/>
      <c r="I126" s="30" t="inlineStr"/>
      <c r="J126" s="45">
        <f>IF(A126="","",MAX(0,(E126-TODAY())/365))</f>
        <v/>
      </c>
    </row>
    <row r="127">
      <c r="A127" s="30" t="inlineStr"/>
      <c r="B127" s="30" t="inlineStr"/>
      <c r="C127" s="30" t="inlineStr"/>
      <c r="D127" s="38" t="inlineStr"/>
      <c r="E127" s="38" t="inlineStr"/>
      <c r="F127" s="34" t="inlineStr"/>
      <c r="G127" s="30" t="inlineStr"/>
      <c r="H127" s="30" t="inlineStr"/>
      <c r="I127" s="30" t="inlineStr"/>
      <c r="J127" s="45">
        <f>IF(A127="","",MAX(0,(E127-TODAY())/365))</f>
        <v/>
      </c>
    </row>
    <row r="128">
      <c r="A128" s="30" t="inlineStr"/>
      <c r="B128" s="30" t="inlineStr"/>
      <c r="C128" s="30" t="inlineStr"/>
      <c r="D128" s="38" t="inlineStr"/>
      <c r="E128" s="38" t="inlineStr"/>
      <c r="F128" s="34" t="inlineStr"/>
      <c r="G128" s="30" t="inlineStr"/>
      <c r="H128" s="30" t="inlineStr"/>
      <c r="I128" s="30" t="inlineStr"/>
      <c r="J128" s="45">
        <f>IF(A128="","",MAX(0,(E128-TODAY())/365))</f>
        <v/>
      </c>
    </row>
    <row r="129">
      <c r="A129" s="30" t="inlineStr"/>
      <c r="B129" s="30" t="inlineStr"/>
      <c r="C129" s="30" t="inlineStr"/>
      <c r="D129" s="38" t="inlineStr"/>
      <c r="E129" s="38" t="inlineStr"/>
      <c r="F129" s="34" t="inlineStr"/>
      <c r="G129" s="30" t="inlineStr"/>
      <c r="H129" s="30" t="inlineStr"/>
      <c r="I129" s="30" t="inlineStr"/>
      <c r="J129" s="45">
        <f>IF(A129="","",MAX(0,(E129-TODAY())/365))</f>
        <v/>
      </c>
    </row>
    <row r="130">
      <c r="A130" s="30" t="inlineStr"/>
      <c r="B130" s="30" t="inlineStr"/>
      <c r="C130" s="30" t="inlineStr"/>
      <c r="D130" s="38" t="inlineStr"/>
      <c r="E130" s="38" t="inlineStr"/>
      <c r="F130" s="34" t="inlineStr"/>
      <c r="G130" s="30" t="inlineStr"/>
      <c r="H130" s="30" t="inlineStr"/>
      <c r="I130" s="30" t="inlineStr"/>
      <c r="J130" s="45">
        <f>IF(A130="","",MAX(0,(E130-TODAY())/365))</f>
        <v/>
      </c>
    </row>
    <row r="131">
      <c r="A131" s="30" t="inlineStr"/>
      <c r="B131" s="30" t="inlineStr"/>
      <c r="C131" s="30" t="inlineStr"/>
      <c r="D131" s="38" t="inlineStr"/>
      <c r="E131" s="38" t="inlineStr"/>
      <c r="F131" s="34" t="inlineStr"/>
      <c r="G131" s="30" t="inlineStr"/>
      <c r="H131" s="30" t="inlineStr"/>
      <c r="I131" s="30" t="inlineStr"/>
      <c r="J131" s="45">
        <f>IF(A131="","",MAX(0,(E131-TODAY())/365))</f>
        <v/>
      </c>
    </row>
    <row r="132">
      <c r="A132" s="30" t="inlineStr"/>
      <c r="B132" s="30" t="inlineStr"/>
      <c r="C132" s="30" t="inlineStr"/>
      <c r="D132" s="38" t="inlineStr"/>
      <c r="E132" s="38" t="inlineStr"/>
      <c r="F132" s="34" t="inlineStr"/>
      <c r="G132" s="30" t="inlineStr"/>
      <c r="H132" s="30" t="inlineStr"/>
      <c r="I132" s="30" t="inlineStr"/>
      <c r="J132" s="45">
        <f>IF(A132="","",MAX(0,(E132-TODAY())/365))</f>
        <v/>
      </c>
    </row>
    <row r="133">
      <c r="A133" s="30" t="inlineStr"/>
      <c r="B133" s="30" t="inlineStr"/>
      <c r="C133" s="30" t="inlineStr"/>
      <c r="D133" s="38" t="inlineStr"/>
      <c r="E133" s="38" t="inlineStr"/>
      <c r="F133" s="34" t="inlineStr"/>
      <c r="G133" s="30" t="inlineStr"/>
      <c r="H133" s="30" t="inlineStr"/>
      <c r="I133" s="30" t="inlineStr"/>
      <c r="J133" s="45">
        <f>IF(A133="","",MAX(0,(E133-TODAY())/365))</f>
        <v/>
      </c>
    </row>
    <row r="134">
      <c r="A134" s="30" t="inlineStr"/>
      <c r="B134" s="30" t="inlineStr"/>
      <c r="C134" s="30" t="inlineStr"/>
      <c r="D134" s="38" t="inlineStr"/>
      <c r="E134" s="38" t="inlineStr"/>
      <c r="F134" s="34" t="inlineStr"/>
      <c r="G134" s="30" t="inlineStr"/>
      <c r="H134" s="30" t="inlineStr"/>
      <c r="I134" s="30" t="inlineStr"/>
      <c r="J134" s="45">
        <f>IF(A134="","",MAX(0,(E134-TODAY())/365))</f>
        <v/>
      </c>
    </row>
    <row r="135">
      <c r="A135" s="30" t="inlineStr"/>
      <c r="B135" s="30" t="inlineStr"/>
      <c r="C135" s="30" t="inlineStr"/>
      <c r="D135" s="38" t="inlineStr"/>
      <c r="E135" s="38" t="inlineStr"/>
      <c r="F135" s="34" t="inlineStr"/>
      <c r="G135" s="30" t="inlineStr"/>
      <c r="H135" s="30" t="inlineStr"/>
      <c r="I135" s="30" t="inlineStr"/>
      <c r="J135" s="45">
        <f>IF(A135="","",MAX(0,(E135-TODAY())/365))</f>
        <v/>
      </c>
    </row>
    <row r="136">
      <c r="A136" s="30" t="inlineStr"/>
      <c r="B136" s="30" t="inlineStr"/>
      <c r="C136" s="30" t="inlineStr"/>
      <c r="D136" s="38" t="inlineStr"/>
      <c r="E136" s="38" t="inlineStr"/>
      <c r="F136" s="34" t="inlineStr"/>
      <c r="G136" s="30" t="inlineStr"/>
      <c r="H136" s="30" t="inlineStr"/>
      <c r="I136" s="30" t="inlineStr"/>
      <c r="J136" s="45">
        <f>IF(A136="","",MAX(0,(E136-TODAY())/365))</f>
        <v/>
      </c>
    </row>
    <row r="137">
      <c r="A137" s="30" t="inlineStr"/>
      <c r="B137" s="30" t="inlineStr"/>
      <c r="C137" s="30" t="inlineStr"/>
      <c r="D137" s="38" t="inlineStr"/>
      <c r="E137" s="38" t="inlineStr"/>
      <c r="F137" s="34" t="inlineStr"/>
      <c r="G137" s="30" t="inlineStr"/>
      <c r="H137" s="30" t="inlineStr"/>
      <c r="I137" s="30" t="inlineStr"/>
      <c r="J137" s="45">
        <f>IF(A137="","",MAX(0,(E137-TODAY())/365))</f>
        <v/>
      </c>
    </row>
    <row r="138">
      <c r="A138" s="30" t="inlineStr"/>
      <c r="B138" s="30" t="inlineStr"/>
      <c r="C138" s="30" t="inlineStr"/>
      <c r="D138" s="38" t="inlineStr"/>
      <c r="E138" s="38" t="inlineStr"/>
      <c r="F138" s="34" t="inlineStr"/>
      <c r="G138" s="30" t="inlineStr"/>
      <c r="H138" s="30" t="inlineStr"/>
      <c r="I138" s="30" t="inlineStr"/>
      <c r="J138" s="45">
        <f>IF(A138="","",MAX(0,(E138-TODAY())/365))</f>
        <v/>
      </c>
    </row>
    <row r="139">
      <c r="A139" s="30" t="inlineStr"/>
      <c r="B139" s="30" t="inlineStr"/>
      <c r="C139" s="30" t="inlineStr"/>
      <c r="D139" s="38" t="inlineStr"/>
      <c r="E139" s="38" t="inlineStr"/>
      <c r="F139" s="34" t="inlineStr"/>
      <c r="G139" s="30" t="inlineStr"/>
      <c r="H139" s="30" t="inlineStr"/>
      <c r="I139" s="30" t="inlineStr"/>
      <c r="J139" s="45">
        <f>IF(A139="","",MAX(0,(E139-TODAY())/365))</f>
        <v/>
      </c>
    </row>
    <row r="140">
      <c r="A140" s="30" t="inlineStr"/>
      <c r="B140" s="30" t="inlineStr"/>
      <c r="C140" s="30" t="inlineStr"/>
      <c r="D140" s="38" t="inlineStr"/>
      <c r="E140" s="38" t="inlineStr"/>
      <c r="F140" s="34" t="inlineStr"/>
      <c r="G140" s="30" t="inlineStr"/>
      <c r="H140" s="30" t="inlineStr"/>
      <c r="I140" s="30" t="inlineStr"/>
      <c r="J140" s="45">
        <f>IF(A140="","",MAX(0,(E140-TODAY())/365))</f>
        <v/>
      </c>
    </row>
    <row r="141">
      <c r="A141" s="30" t="inlineStr"/>
      <c r="B141" s="30" t="inlineStr"/>
      <c r="C141" s="30" t="inlineStr"/>
      <c r="D141" s="38" t="inlineStr"/>
      <c r="E141" s="38" t="inlineStr"/>
      <c r="F141" s="34" t="inlineStr"/>
      <c r="G141" s="30" t="inlineStr"/>
      <c r="H141" s="30" t="inlineStr"/>
      <c r="I141" s="30" t="inlineStr"/>
      <c r="J141" s="45">
        <f>IF(A141="","",MAX(0,(E141-TODAY())/365))</f>
        <v/>
      </c>
    </row>
    <row r="142">
      <c r="A142" s="30" t="inlineStr"/>
      <c r="B142" s="30" t="inlineStr"/>
      <c r="C142" s="30" t="inlineStr"/>
      <c r="D142" s="38" t="inlineStr"/>
      <c r="E142" s="38" t="inlineStr"/>
      <c r="F142" s="34" t="inlineStr"/>
      <c r="G142" s="30" t="inlineStr"/>
      <c r="H142" s="30" t="inlineStr"/>
      <c r="I142" s="30" t="inlineStr"/>
      <c r="J142" s="45">
        <f>IF(A142="","",MAX(0,(E142-TODAY())/365))</f>
        <v/>
      </c>
    </row>
    <row r="143">
      <c r="A143" s="30" t="inlineStr"/>
      <c r="B143" s="30" t="inlineStr"/>
      <c r="C143" s="30" t="inlineStr"/>
      <c r="D143" s="38" t="inlineStr"/>
      <c r="E143" s="38" t="inlineStr"/>
      <c r="F143" s="34" t="inlineStr"/>
      <c r="G143" s="30" t="inlineStr"/>
      <c r="H143" s="30" t="inlineStr"/>
      <c r="I143" s="30" t="inlineStr"/>
      <c r="J143" s="45">
        <f>IF(A143="","",MAX(0,(E143-TODAY())/365))</f>
        <v/>
      </c>
    </row>
    <row r="144">
      <c r="A144" s="30" t="inlineStr"/>
      <c r="B144" s="30" t="inlineStr"/>
      <c r="C144" s="30" t="inlineStr"/>
      <c r="D144" s="38" t="inlineStr"/>
      <c r="E144" s="38" t="inlineStr"/>
      <c r="F144" s="34" t="inlineStr"/>
      <c r="G144" s="30" t="inlineStr"/>
      <c r="H144" s="30" t="inlineStr"/>
      <c r="I144" s="30" t="inlineStr"/>
      <c r="J144" s="45">
        <f>IF(A144="","",MAX(0,(E144-TODAY())/365))</f>
        <v/>
      </c>
    </row>
    <row r="145">
      <c r="A145" s="30" t="inlineStr"/>
      <c r="B145" s="30" t="inlineStr"/>
      <c r="C145" s="30" t="inlineStr"/>
      <c r="D145" s="38" t="inlineStr"/>
      <c r="E145" s="38" t="inlineStr"/>
      <c r="F145" s="34" t="inlineStr"/>
      <c r="G145" s="30" t="inlineStr"/>
      <c r="H145" s="30" t="inlineStr"/>
      <c r="I145" s="30" t="inlineStr"/>
      <c r="J145" s="45">
        <f>IF(A145="","",MAX(0,(E145-TODAY())/365))</f>
        <v/>
      </c>
    </row>
    <row r="146">
      <c r="A146" s="30" t="inlineStr"/>
      <c r="B146" s="30" t="inlineStr"/>
      <c r="C146" s="30" t="inlineStr"/>
      <c r="D146" s="38" t="inlineStr"/>
      <c r="E146" s="38" t="inlineStr"/>
      <c r="F146" s="34" t="inlineStr"/>
      <c r="G146" s="30" t="inlineStr"/>
      <c r="H146" s="30" t="inlineStr"/>
      <c r="I146" s="30" t="inlineStr"/>
      <c r="J146" s="45">
        <f>IF(A146="","",MAX(0,(E146-TODAY())/365))</f>
        <v/>
      </c>
    </row>
    <row r="147">
      <c r="A147" s="30" t="inlineStr"/>
      <c r="B147" s="30" t="inlineStr"/>
      <c r="C147" s="30" t="inlineStr"/>
      <c r="D147" s="38" t="inlineStr"/>
      <c r="E147" s="38" t="inlineStr"/>
      <c r="F147" s="34" t="inlineStr"/>
      <c r="G147" s="30" t="inlineStr"/>
      <c r="H147" s="30" t="inlineStr"/>
      <c r="I147" s="30" t="inlineStr"/>
      <c r="J147" s="45">
        <f>IF(A147="","",MAX(0,(E147-TODAY())/365))</f>
        <v/>
      </c>
    </row>
    <row r="148">
      <c r="A148" s="30" t="inlineStr"/>
      <c r="B148" s="30" t="inlineStr"/>
      <c r="C148" s="30" t="inlineStr"/>
      <c r="D148" s="38" t="inlineStr"/>
      <c r="E148" s="38" t="inlineStr"/>
      <c r="F148" s="34" t="inlineStr"/>
      <c r="G148" s="30" t="inlineStr"/>
      <c r="H148" s="30" t="inlineStr"/>
      <c r="I148" s="30" t="inlineStr"/>
      <c r="J148" s="45">
        <f>IF(A148="","",MAX(0,(E148-TODAY())/365))</f>
        <v/>
      </c>
    </row>
    <row r="149">
      <c r="A149" s="30" t="inlineStr"/>
      <c r="B149" s="30" t="inlineStr"/>
      <c r="C149" s="30" t="inlineStr"/>
      <c r="D149" s="38" t="inlineStr"/>
      <c r="E149" s="38" t="inlineStr"/>
      <c r="F149" s="34" t="inlineStr"/>
      <c r="G149" s="30" t="inlineStr"/>
      <c r="H149" s="30" t="inlineStr"/>
      <c r="I149" s="30" t="inlineStr"/>
      <c r="J149" s="45">
        <f>IF(A149="","",MAX(0,(E149-TODAY())/365))</f>
        <v/>
      </c>
    </row>
    <row r="150">
      <c r="A150" s="30" t="inlineStr"/>
      <c r="B150" s="30" t="inlineStr"/>
      <c r="C150" s="30" t="inlineStr"/>
      <c r="D150" s="38" t="inlineStr"/>
      <c r="E150" s="38" t="inlineStr"/>
      <c r="F150" s="34" t="inlineStr"/>
      <c r="G150" s="30" t="inlineStr"/>
      <c r="H150" s="30" t="inlineStr"/>
      <c r="I150" s="30" t="inlineStr"/>
      <c r="J150" s="45">
        <f>IF(A150="","",MAX(0,(E150-TODAY())/365))</f>
        <v/>
      </c>
    </row>
    <row r="151">
      <c r="A151" s="30" t="inlineStr"/>
      <c r="B151" s="30" t="inlineStr"/>
      <c r="C151" s="30" t="inlineStr"/>
      <c r="D151" s="38" t="inlineStr"/>
      <c r="E151" s="38" t="inlineStr"/>
      <c r="F151" s="34" t="inlineStr"/>
      <c r="G151" s="30" t="inlineStr"/>
      <c r="H151" s="30" t="inlineStr"/>
      <c r="I151" s="30" t="inlineStr"/>
      <c r="J151" s="45">
        <f>IF(A151="","",MAX(0,(E151-TODAY())/365))</f>
        <v/>
      </c>
    </row>
    <row r="152">
      <c r="A152" s="30" t="inlineStr"/>
      <c r="B152" s="30" t="inlineStr"/>
      <c r="C152" s="30" t="inlineStr"/>
      <c r="D152" s="38" t="inlineStr"/>
      <c r="E152" s="38" t="inlineStr"/>
      <c r="F152" s="34" t="inlineStr"/>
      <c r="G152" s="30" t="inlineStr"/>
      <c r="H152" s="30" t="inlineStr"/>
      <c r="I152" s="30" t="inlineStr"/>
      <c r="J152" s="45">
        <f>IF(A152="","",MAX(0,(E152-TODAY())/365))</f>
        <v/>
      </c>
    </row>
    <row r="153">
      <c r="A153" s="30" t="inlineStr"/>
      <c r="B153" s="30" t="inlineStr"/>
      <c r="C153" s="30" t="inlineStr"/>
      <c r="D153" s="38" t="inlineStr"/>
      <c r="E153" s="38" t="inlineStr"/>
      <c r="F153" s="34" t="inlineStr"/>
      <c r="G153" s="30" t="inlineStr"/>
      <c r="H153" s="30" t="inlineStr"/>
      <c r="I153" s="30" t="inlineStr"/>
      <c r="J153" s="45">
        <f>IF(A153="","",MAX(0,(E153-TODAY())/365))</f>
        <v/>
      </c>
    </row>
    <row r="154">
      <c r="A154" s="30" t="inlineStr"/>
      <c r="B154" s="30" t="inlineStr"/>
      <c r="C154" s="30" t="inlineStr"/>
      <c r="D154" s="38" t="inlineStr"/>
      <c r="E154" s="38" t="inlineStr"/>
      <c r="F154" s="34" t="inlineStr"/>
      <c r="G154" s="30" t="inlineStr"/>
      <c r="H154" s="30" t="inlineStr"/>
      <c r="I154" s="30" t="inlineStr"/>
      <c r="J154" s="45">
        <f>IF(A154="","",MAX(0,(E154-TODAY())/365))</f>
        <v/>
      </c>
    </row>
    <row r="155">
      <c r="A155" s="30" t="inlineStr"/>
      <c r="B155" s="30" t="inlineStr"/>
      <c r="C155" s="30" t="inlineStr"/>
      <c r="D155" s="38" t="inlineStr"/>
      <c r="E155" s="38" t="inlineStr"/>
      <c r="F155" s="34" t="inlineStr"/>
      <c r="G155" s="30" t="inlineStr"/>
      <c r="H155" s="30" t="inlineStr"/>
      <c r="I155" s="30" t="inlineStr"/>
      <c r="J155" s="45">
        <f>IF(A155="","",MAX(0,(E155-TODAY())/365))</f>
        <v/>
      </c>
    </row>
    <row r="156">
      <c r="A156" s="30" t="inlineStr"/>
      <c r="B156" s="30" t="inlineStr"/>
      <c r="C156" s="30" t="inlineStr"/>
      <c r="D156" s="38" t="inlineStr"/>
      <c r="E156" s="38" t="inlineStr"/>
      <c r="F156" s="34" t="inlineStr"/>
      <c r="G156" s="30" t="inlineStr"/>
      <c r="H156" s="30" t="inlineStr"/>
      <c r="I156" s="30" t="inlineStr"/>
      <c r="J156" s="45">
        <f>IF(A156="","",MAX(0,(E156-TODAY())/365))</f>
        <v/>
      </c>
    </row>
    <row r="157">
      <c r="A157" s="30" t="inlineStr"/>
      <c r="B157" s="30" t="inlineStr"/>
      <c r="C157" s="30" t="inlineStr"/>
      <c r="D157" s="38" t="inlineStr"/>
      <c r="E157" s="38" t="inlineStr"/>
      <c r="F157" s="34" t="inlineStr"/>
      <c r="G157" s="30" t="inlineStr"/>
      <c r="H157" s="30" t="inlineStr"/>
      <c r="I157" s="30" t="inlineStr"/>
      <c r="J157" s="45">
        <f>IF(A157="","",MAX(0,(E157-TODAY())/365))</f>
        <v/>
      </c>
    </row>
    <row r="158">
      <c r="A158" s="30" t="inlineStr"/>
      <c r="B158" s="30" t="inlineStr"/>
      <c r="C158" s="30" t="inlineStr"/>
      <c r="D158" s="38" t="inlineStr"/>
      <c r="E158" s="38" t="inlineStr"/>
      <c r="F158" s="34" t="inlineStr"/>
      <c r="G158" s="30" t="inlineStr"/>
      <c r="H158" s="30" t="inlineStr"/>
      <c r="I158" s="30" t="inlineStr"/>
      <c r="J158" s="45">
        <f>IF(A158="","",MAX(0,(E158-TODAY())/365))</f>
        <v/>
      </c>
    </row>
    <row r="159">
      <c r="A159" s="30" t="inlineStr"/>
      <c r="B159" s="30" t="inlineStr"/>
      <c r="C159" s="30" t="inlineStr"/>
      <c r="D159" s="38" t="inlineStr"/>
      <c r="E159" s="38" t="inlineStr"/>
      <c r="F159" s="34" t="inlineStr"/>
      <c r="G159" s="30" t="inlineStr"/>
      <c r="H159" s="30" t="inlineStr"/>
      <c r="I159" s="30" t="inlineStr"/>
      <c r="J159" s="45">
        <f>IF(A159="","",MAX(0,(E159-TODAY())/365))</f>
        <v/>
      </c>
    </row>
    <row r="160">
      <c r="A160" s="30" t="inlineStr"/>
      <c r="B160" s="30" t="inlineStr"/>
      <c r="C160" s="30" t="inlineStr"/>
      <c r="D160" s="38" t="inlineStr"/>
      <c r="E160" s="38" t="inlineStr"/>
      <c r="F160" s="34" t="inlineStr"/>
      <c r="G160" s="30" t="inlineStr"/>
      <c r="H160" s="30" t="inlineStr"/>
      <c r="I160" s="30" t="inlineStr"/>
      <c r="J160" s="45">
        <f>IF(A160="","",MAX(0,(E160-TODAY())/365))</f>
        <v/>
      </c>
    </row>
    <row r="161">
      <c r="A161" s="30" t="inlineStr"/>
      <c r="B161" s="30" t="inlineStr"/>
      <c r="C161" s="30" t="inlineStr"/>
      <c r="D161" s="38" t="inlineStr"/>
      <c r="E161" s="38" t="inlineStr"/>
      <c r="F161" s="34" t="inlineStr"/>
      <c r="G161" s="30" t="inlineStr"/>
      <c r="H161" s="30" t="inlineStr"/>
      <c r="I161" s="30" t="inlineStr"/>
      <c r="J161" s="45">
        <f>IF(A161="","",MAX(0,(E161-TODAY())/365))</f>
        <v/>
      </c>
    </row>
    <row r="162">
      <c r="A162" s="30" t="inlineStr"/>
      <c r="B162" s="30" t="inlineStr"/>
      <c r="C162" s="30" t="inlineStr"/>
      <c r="D162" s="38" t="inlineStr"/>
      <c r="E162" s="38" t="inlineStr"/>
      <c r="F162" s="34" t="inlineStr"/>
      <c r="G162" s="30" t="inlineStr"/>
      <c r="H162" s="30" t="inlineStr"/>
      <c r="I162" s="30" t="inlineStr"/>
      <c r="J162" s="45">
        <f>IF(A162="","",MAX(0,(E162-TODAY())/365))</f>
        <v/>
      </c>
    </row>
    <row r="163">
      <c r="A163" s="30" t="inlineStr"/>
      <c r="B163" s="30" t="inlineStr"/>
      <c r="C163" s="30" t="inlineStr"/>
      <c r="D163" s="38" t="inlineStr"/>
      <c r="E163" s="38" t="inlineStr"/>
      <c r="F163" s="34" t="inlineStr"/>
      <c r="G163" s="30" t="inlineStr"/>
      <c r="H163" s="30" t="inlineStr"/>
      <c r="I163" s="30" t="inlineStr"/>
      <c r="J163" s="45">
        <f>IF(A163="","",MAX(0,(E163-TODAY())/365))</f>
        <v/>
      </c>
    </row>
    <row r="164">
      <c r="A164" s="30" t="inlineStr"/>
      <c r="B164" s="30" t="inlineStr"/>
      <c r="C164" s="30" t="inlineStr"/>
      <c r="D164" s="38" t="inlineStr"/>
      <c r="E164" s="38" t="inlineStr"/>
      <c r="F164" s="34" t="inlineStr"/>
      <c r="G164" s="30" t="inlineStr"/>
      <c r="H164" s="30" t="inlineStr"/>
      <c r="I164" s="30" t="inlineStr"/>
      <c r="J164" s="45">
        <f>IF(A164="","",MAX(0,(E164-TODAY())/365))</f>
        <v/>
      </c>
    </row>
    <row r="165">
      <c r="A165" s="30" t="inlineStr"/>
      <c r="B165" s="30" t="inlineStr"/>
      <c r="C165" s="30" t="inlineStr"/>
      <c r="D165" s="38" t="inlineStr"/>
      <c r="E165" s="38" t="inlineStr"/>
      <c r="F165" s="34" t="inlineStr"/>
      <c r="G165" s="30" t="inlineStr"/>
      <c r="H165" s="30" t="inlineStr"/>
      <c r="I165" s="30" t="inlineStr"/>
      <c r="J165" s="45">
        <f>IF(A165="","",MAX(0,(E165-TODAY())/365))</f>
        <v/>
      </c>
    </row>
    <row r="166">
      <c r="A166" s="30" t="inlineStr"/>
      <c r="B166" s="30" t="inlineStr"/>
      <c r="C166" s="30" t="inlineStr"/>
      <c r="D166" s="38" t="inlineStr"/>
      <c r="E166" s="38" t="inlineStr"/>
      <c r="F166" s="34" t="inlineStr"/>
      <c r="G166" s="30" t="inlineStr"/>
      <c r="H166" s="30" t="inlineStr"/>
      <c r="I166" s="30" t="inlineStr"/>
      <c r="J166" s="45">
        <f>IF(A166="","",MAX(0,(E166-TODAY())/365))</f>
        <v/>
      </c>
    </row>
    <row r="167">
      <c r="A167" s="30" t="inlineStr"/>
      <c r="B167" s="30" t="inlineStr"/>
      <c r="C167" s="30" t="inlineStr"/>
      <c r="D167" s="38" t="inlineStr"/>
      <c r="E167" s="38" t="inlineStr"/>
      <c r="F167" s="34" t="inlineStr"/>
      <c r="G167" s="30" t="inlineStr"/>
      <c r="H167" s="30" t="inlineStr"/>
      <c r="I167" s="30" t="inlineStr"/>
      <c r="J167" s="45">
        <f>IF(A167="","",MAX(0,(E167-TODAY())/365))</f>
        <v/>
      </c>
    </row>
    <row r="168">
      <c r="A168" s="30" t="inlineStr"/>
      <c r="B168" s="30" t="inlineStr"/>
      <c r="C168" s="30" t="inlineStr"/>
      <c r="D168" s="38" t="inlineStr"/>
      <c r="E168" s="38" t="inlineStr"/>
      <c r="F168" s="34" t="inlineStr"/>
      <c r="G168" s="30" t="inlineStr"/>
      <c r="H168" s="30" t="inlineStr"/>
      <c r="I168" s="30" t="inlineStr"/>
      <c r="J168" s="45">
        <f>IF(A168="","",MAX(0,(E168-TODAY())/365))</f>
        <v/>
      </c>
    </row>
    <row r="169">
      <c r="A169" s="30" t="inlineStr"/>
      <c r="B169" s="30" t="inlineStr"/>
      <c r="C169" s="30" t="inlineStr"/>
      <c r="D169" s="38" t="inlineStr"/>
      <c r="E169" s="38" t="inlineStr"/>
      <c r="F169" s="34" t="inlineStr"/>
      <c r="G169" s="30" t="inlineStr"/>
      <c r="H169" s="30" t="inlineStr"/>
      <c r="I169" s="30" t="inlineStr"/>
      <c r="J169" s="45">
        <f>IF(A169="","",MAX(0,(E169-TODAY())/365))</f>
        <v/>
      </c>
    </row>
    <row r="170">
      <c r="A170" s="30" t="inlineStr"/>
      <c r="B170" s="30" t="inlineStr"/>
      <c r="C170" s="30" t="inlineStr"/>
      <c r="D170" s="38" t="inlineStr"/>
      <c r="E170" s="38" t="inlineStr"/>
      <c r="F170" s="34" t="inlineStr"/>
      <c r="G170" s="30" t="inlineStr"/>
      <c r="H170" s="30" t="inlineStr"/>
      <c r="I170" s="30" t="inlineStr"/>
      <c r="J170" s="45">
        <f>IF(A170="","",MAX(0,(E170-TODAY())/365))</f>
        <v/>
      </c>
    </row>
    <row r="171">
      <c r="A171" s="30" t="inlineStr"/>
      <c r="B171" s="30" t="inlineStr"/>
      <c r="C171" s="30" t="inlineStr"/>
      <c r="D171" s="38" t="inlineStr"/>
      <c r="E171" s="38" t="inlineStr"/>
      <c r="F171" s="34" t="inlineStr"/>
      <c r="G171" s="30" t="inlineStr"/>
      <c r="H171" s="30" t="inlineStr"/>
      <c r="I171" s="30" t="inlineStr"/>
      <c r="J171" s="45">
        <f>IF(A171="","",MAX(0,(E171-TODAY())/365))</f>
        <v/>
      </c>
    </row>
    <row r="172">
      <c r="A172" s="30" t="inlineStr"/>
      <c r="B172" s="30" t="inlineStr"/>
      <c r="C172" s="30" t="inlineStr"/>
      <c r="D172" s="38" t="inlineStr"/>
      <c r="E172" s="38" t="inlineStr"/>
      <c r="F172" s="34" t="inlineStr"/>
      <c r="G172" s="30" t="inlineStr"/>
      <c r="H172" s="30" t="inlineStr"/>
      <c r="I172" s="30" t="inlineStr"/>
      <c r="J172" s="45">
        <f>IF(A172="","",MAX(0,(E172-TODAY())/365))</f>
        <v/>
      </c>
    </row>
    <row r="173">
      <c r="A173" s="30" t="inlineStr"/>
      <c r="B173" s="30" t="inlineStr"/>
      <c r="C173" s="30" t="inlineStr"/>
      <c r="D173" s="38" t="inlineStr"/>
      <c r="E173" s="38" t="inlineStr"/>
      <c r="F173" s="34" t="inlineStr"/>
      <c r="G173" s="30" t="inlineStr"/>
      <c r="H173" s="30" t="inlineStr"/>
      <c r="I173" s="30" t="inlineStr"/>
      <c r="J173" s="45">
        <f>IF(A173="","",MAX(0,(E173-TODAY())/365))</f>
        <v/>
      </c>
    </row>
    <row r="174">
      <c r="A174" s="30" t="inlineStr"/>
      <c r="B174" s="30" t="inlineStr"/>
      <c r="C174" s="30" t="inlineStr"/>
      <c r="D174" s="38" t="inlineStr"/>
      <c r="E174" s="38" t="inlineStr"/>
      <c r="F174" s="34" t="inlineStr"/>
      <c r="G174" s="30" t="inlineStr"/>
      <c r="H174" s="30" t="inlineStr"/>
      <c r="I174" s="30" t="inlineStr"/>
      <c r="J174" s="45">
        <f>IF(A174="","",MAX(0,(E174-TODAY())/365))</f>
        <v/>
      </c>
    </row>
    <row r="175">
      <c r="A175" s="30" t="inlineStr"/>
      <c r="B175" s="30" t="inlineStr"/>
      <c r="C175" s="30" t="inlineStr"/>
      <c r="D175" s="38" t="inlineStr"/>
      <c r="E175" s="38" t="inlineStr"/>
      <c r="F175" s="34" t="inlineStr"/>
      <c r="G175" s="30" t="inlineStr"/>
      <c r="H175" s="30" t="inlineStr"/>
      <c r="I175" s="30" t="inlineStr"/>
      <c r="J175" s="45">
        <f>IF(A175="","",MAX(0,(E175-TODAY())/365))</f>
        <v/>
      </c>
    </row>
    <row r="176">
      <c r="A176" s="30" t="inlineStr"/>
      <c r="B176" s="30" t="inlineStr"/>
      <c r="C176" s="30" t="inlineStr"/>
      <c r="D176" s="38" t="inlineStr"/>
      <c r="E176" s="38" t="inlineStr"/>
      <c r="F176" s="34" t="inlineStr"/>
      <c r="G176" s="30" t="inlineStr"/>
      <c r="H176" s="30" t="inlineStr"/>
      <c r="I176" s="30" t="inlineStr"/>
      <c r="J176" s="45">
        <f>IF(A176="","",MAX(0,(E176-TODAY())/365))</f>
        <v/>
      </c>
    </row>
    <row r="177">
      <c r="A177" s="30" t="inlineStr"/>
      <c r="B177" s="30" t="inlineStr"/>
      <c r="C177" s="30" t="inlineStr"/>
      <c r="D177" s="38" t="inlineStr"/>
      <c r="E177" s="38" t="inlineStr"/>
      <c r="F177" s="34" t="inlineStr"/>
      <c r="G177" s="30" t="inlineStr"/>
      <c r="H177" s="30" t="inlineStr"/>
      <c r="I177" s="30" t="inlineStr"/>
      <c r="J177" s="45">
        <f>IF(A177="","",MAX(0,(E177-TODAY())/365))</f>
        <v/>
      </c>
    </row>
    <row r="178">
      <c r="A178" s="30" t="inlineStr"/>
      <c r="B178" s="30" t="inlineStr"/>
      <c r="C178" s="30" t="inlineStr"/>
      <c r="D178" s="38" t="inlineStr"/>
      <c r="E178" s="38" t="inlineStr"/>
      <c r="F178" s="34" t="inlineStr"/>
      <c r="G178" s="30" t="inlineStr"/>
      <c r="H178" s="30" t="inlineStr"/>
      <c r="I178" s="30" t="inlineStr"/>
      <c r="J178" s="45">
        <f>IF(A178="","",MAX(0,(E178-TODAY())/365))</f>
        <v/>
      </c>
    </row>
    <row r="179">
      <c r="A179" s="30" t="inlineStr"/>
      <c r="B179" s="30" t="inlineStr"/>
      <c r="C179" s="30" t="inlineStr"/>
      <c r="D179" s="38" t="inlineStr"/>
      <c r="E179" s="38" t="inlineStr"/>
      <c r="F179" s="34" t="inlineStr"/>
      <c r="G179" s="30" t="inlineStr"/>
      <c r="H179" s="30" t="inlineStr"/>
      <c r="I179" s="30" t="inlineStr"/>
      <c r="J179" s="45">
        <f>IF(A179="","",MAX(0,(E179-TODAY())/365))</f>
        <v/>
      </c>
    </row>
    <row r="180">
      <c r="A180" s="30" t="inlineStr"/>
      <c r="B180" s="30" t="inlineStr"/>
      <c r="C180" s="30" t="inlineStr"/>
      <c r="D180" s="38" t="inlineStr"/>
      <c r="E180" s="38" t="inlineStr"/>
      <c r="F180" s="34" t="inlineStr"/>
      <c r="G180" s="30" t="inlineStr"/>
      <c r="H180" s="30" t="inlineStr"/>
      <c r="I180" s="30" t="inlineStr"/>
      <c r="J180" s="45">
        <f>IF(A180="","",MAX(0,(E180-TODAY())/365))</f>
        <v/>
      </c>
    </row>
    <row r="181">
      <c r="A181" s="30" t="inlineStr"/>
      <c r="B181" s="30" t="inlineStr"/>
      <c r="C181" s="30" t="inlineStr"/>
      <c r="D181" s="38" t="inlineStr"/>
      <c r="E181" s="38" t="inlineStr"/>
      <c r="F181" s="34" t="inlineStr"/>
      <c r="G181" s="30" t="inlineStr"/>
      <c r="H181" s="30" t="inlineStr"/>
      <c r="I181" s="30" t="inlineStr"/>
      <c r="J181" s="45">
        <f>IF(A181="","",MAX(0,(E181-TODAY())/365))</f>
        <v/>
      </c>
    </row>
    <row r="182">
      <c r="A182" s="30" t="inlineStr"/>
      <c r="B182" s="30" t="inlineStr"/>
      <c r="C182" s="30" t="inlineStr"/>
      <c r="D182" s="38" t="inlineStr"/>
      <c r="E182" s="38" t="inlineStr"/>
      <c r="F182" s="34" t="inlineStr"/>
      <c r="G182" s="30" t="inlineStr"/>
      <c r="H182" s="30" t="inlineStr"/>
      <c r="I182" s="30" t="inlineStr"/>
      <c r="J182" s="45">
        <f>IF(A182="","",MAX(0,(E182-TODAY())/365))</f>
        <v/>
      </c>
    </row>
    <row r="183">
      <c r="A183" s="30" t="inlineStr"/>
      <c r="B183" s="30" t="inlineStr"/>
      <c r="C183" s="30" t="inlineStr"/>
      <c r="D183" s="38" t="inlineStr"/>
      <c r="E183" s="38" t="inlineStr"/>
      <c r="F183" s="34" t="inlineStr"/>
      <c r="G183" s="30" t="inlineStr"/>
      <c r="H183" s="30" t="inlineStr"/>
      <c r="I183" s="30" t="inlineStr"/>
      <c r="J183" s="45">
        <f>IF(A183="","",MAX(0,(E183-TODAY())/365))</f>
        <v/>
      </c>
    </row>
    <row r="184">
      <c r="A184" s="30" t="inlineStr"/>
      <c r="B184" s="30" t="inlineStr"/>
      <c r="C184" s="30" t="inlineStr"/>
      <c r="D184" s="38" t="inlineStr"/>
      <c r="E184" s="38" t="inlineStr"/>
      <c r="F184" s="34" t="inlineStr"/>
      <c r="G184" s="30" t="inlineStr"/>
      <c r="H184" s="30" t="inlineStr"/>
      <c r="I184" s="30" t="inlineStr"/>
      <c r="J184" s="45">
        <f>IF(A184="","",MAX(0,(E184-TODAY())/365))</f>
        <v/>
      </c>
    </row>
    <row r="185">
      <c r="A185" s="30" t="inlineStr"/>
      <c r="B185" s="30" t="inlineStr"/>
      <c r="C185" s="30" t="inlineStr"/>
      <c r="D185" s="38" t="inlineStr"/>
      <c r="E185" s="38" t="inlineStr"/>
      <c r="F185" s="34" t="inlineStr"/>
      <c r="G185" s="30" t="inlineStr"/>
      <c r="H185" s="30" t="inlineStr"/>
      <c r="I185" s="30" t="inlineStr"/>
      <c r="J185" s="45">
        <f>IF(A185="","",MAX(0,(E185-TODAY())/365))</f>
        <v/>
      </c>
    </row>
    <row r="186">
      <c r="A186" s="30" t="inlineStr"/>
      <c r="B186" s="30" t="inlineStr"/>
      <c r="C186" s="30" t="inlineStr"/>
      <c r="D186" s="38" t="inlineStr"/>
      <c r="E186" s="38" t="inlineStr"/>
      <c r="F186" s="34" t="inlineStr"/>
      <c r="G186" s="30" t="inlineStr"/>
      <c r="H186" s="30" t="inlineStr"/>
      <c r="I186" s="30" t="inlineStr"/>
      <c r="J186" s="45">
        <f>IF(A186="","",MAX(0,(E186-TODAY())/365))</f>
        <v/>
      </c>
    </row>
    <row r="187">
      <c r="A187" s="30" t="inlineStr"/>
      <c r="B187" s="30" t="inlineStr"/>
      <c r="C187" s="30" t="inlineStr"/>
      <c r="D187" s="38" t="inlineStr"/>
      <c r="E187" s="38" t="inlineStr"/>
      <c r="F187" s="34" t="inlineStr"/>
      <c r="G187" s="30" t="inlineStr"/>
      <c r="H187" s="30" t="inlineStr"/>
      <c r="I187" s="30" t="inlineStr"/>
      <c r="J187" s="45">
        <f>IF(A187="","",MAX(0,(E187-TODAY())/365))</f>
        <v/>
      </c>
    </row>
    <row r="188">
      <c r="A188" s="30" t="inlineStr"/>
      <c r="B188" s="30" t="inlineStr"/>
      <c r="C188" s="30" t="inlineStr"/>
      <c r="D188" s="38" t="inlineStr"/>
      <c r="E188" s="38" t="inlineStr"/>
      <c r="F188" s="34" t="inlineStr"/>
      <c r="G188" s="30" t="inlineStr"/>
      <c r="H188" s="30" t="inlineStr"/>
      <c r="I188" s="30" t="inlineStr"/>
      <c r="J188" s="45">
        <f>IF(A188="","",MAX(0,(E188-TODAY())/365))</f>
        <v/>
      </c>
    </row>
    <row r="189">
      <c r="A189" s="30" t="inlineStr"/>
      <c r="B189" s="30" t="inlineStr"/>
      <c r="C189" s="30" t="inlineStr"/>
      <c r="D189" s="38" t="inlineStr"/>
      <c r="E189" s="38" t="inlineStr"/>
      <c r="F189" s="34" t="inlineStr"/>
      <c r="G189" s="30" t="inlineStr"/>
      <c r="H189" s="30" t="inlineStr"/>
      <c r="I189" s="30" t="inlineStr"/>
      <c r="J189" s="45">
        <f>IF(A189="","",MAX(0,(E189-TODAY())/365))</f>
        <v/>
      </c>
    </row>
    <row r="190">
      <c r="A190" s="30" t="inlineStr"/>
      <c r="B190" s="30" t="inlineStr"/>
      <c r="C190" s="30" t="inlineStr"/>
      <c r="D190" s="38" t="inlineStr"/>
      <c r="E190" s="38" t="inlineStr"/>
      <c r="F190" s="34" t="inlineStr"/>
      <c r="G190" s="30" t="inlineStr"/>
      <c r="H190" s="30" t="inlineStr"/>
      <c r="I190" s="30" t="inlineStr"/>
      <c r="J190" s="45">
        <f>IF(A190="","",MAX(0,(E190-TODAY())/365))</f>
        <v/>
      </c>
    </row>
    <row r="191">
      <c r="A191" s="30" t="inlineStr"/>
      <c r="B191" s="30" t="inlineStr"/>
      <c r="C191" s="30" t="inlineStr"/>
      <c r="D191" s="38" t="inlineStr"/>
      <c r="E191" s="38" t="inlineStr"/>
      <c r="F191" s="34" t="inlineStr"/>
      <c r="G191" s="30" t="inlineStr"/>
      <c r="H191" s="30" t="inlineStr"/>
      <c r="I191" s="30" t="inlineStr"/>
      <c r="J191" s="45">
        <f>IF(A191="","",MAX(0,(E191-TODAY())/365))</f>
        <v/>
      </c>
    </row>
    <row r="192">
      <c r="A192" s="30" t="inlineStr"/>
      <c r="B192" s="30" t="inlineStr"/>
      <c r="C192" s="30" t="inlineStr"/>
      <c r="D192" s="38" t="inlineStr"/>
      <c r="E192" s="38" t="inlineStr"/>
      <c r="F192" s="34" t="inlineStr"/>
      <c r="G192" s="30" t="inlineStr"/>
      <c r="H192" s="30" t="inlineStr"/>
      <c r="I192" s="30" t="inlineStr"/>
      <c r="J192" s="45">
        <f>IF(A192="","",MAX(0,(E192-TODAY())/365))</f>
        <v/>
      </c>
    </row>
    <row r="193">
      <c r="A193" s="30" t="inlineStr"/>
      <c r="B193" s="30" t="inlineStr"/>
      <c r="C193" s="30" t="inlineStr"/>
      <c r="D193" s="38" t="inlineStr"/>
      <c r="E193" s="38" t="inlineStr"/>
      <c r="F193" s="34" t="inlineStr"/>
      <c r="G193" s="30" t="inlineStr"/>
      <c r="H193" s="30" t="inlineStr"/>
      <c r="I193" s="30" t="inlineStr"/>
      <c r="J193" s="45">
        <f>IF(A193="","",MAX(0,(E193-TODAY())/365))</f>
        <v/>
      </c>
    </row>
    <row r="194">
      <c r="A194" s="30" t="inlineStr"/>
      <c r="B194" s="30" t="inlineStr"/>
      <c r="C194" s="30" t="inlineStr"/>
      <c r="D194" s="38" t="inlineStr"/>
      <c r="E194" s="38" t="inlineStr"/>
      <c r="F194" s="34" t="inlineStr"/>
      <c r="G194" s="30" t="inlineStr"/>
      <c r="H194" s="30" t="inlineStr"/>
      <c r="I194" s="30" t="inlineStr"/>
      <c r="J194" s="45">
        <f>IF(A194="","",MAX(0,(E194-TODAY())/365))</f>
        <v/>
      </c>
    </row>
    <row r="195">
      <c r="A195" s="30" t="inlineStr"/>
      <c r="B195" s="30" t="inlineStr"/>
      <c r="C195" s="30" t="inlineStr"/>
      <c r="D195" s="38" t="inlineStr"/>
      <c r="E195" s="38" t="inlineStr"/>
      <c r="F195" s="34" t="inlineStr"/>
      <c r="G195" s="30" t="inlineStr"/>
      <c r="H195" s="30" t="inlineStr"/>
      <c r="I195" s="30" t="inlineStr"/>
      <c r="J195" s="45">
        <f>IF(A195="","",MAX(0,(E195-TODAY())/365))</f>
        <v/>
      </c>
    </row>
    <row r="196">
      <c r="A196" s="30" t="inlineStr"/>
      <c r="B196" s="30" t="inlineStr"/>
      <c r="C196" s="30" t="inlineStr"/>
      <c r="D196" s="38" t="inlineStr"/>
      <c r="E196" s="38" t="inlineStr"/>
      <c r="F196" s="34" t="inlineStr"/>
      <c r="G196" s="30" t="inlineStr"/>
      <c r="H196" s="30" t="inlineStr"/>
      <c r="I196" s="30" t="inlineStr"/>
      <c r="J196" s="45">
        <f>IF(A196="","",MAX(0,(E196-TODAY())/365))</f>
        <v/>
      </c>
    </row>
    <row r="197">
      <c r="A197" s="30" t="inlineStr"/>
      <c r="B197" s="30" t="inlineStr"/>
      <c r="C197" s="30" t="inlineStr"/>
      <c r="D197" s="38" t="inlineStr"/>
      <c r="E197" s="38" t="inlineStr"/>
      <c r="F197" s="34" t="inlineStr"/>
      <c r="G197" s="30" t="inlineStr"/>
      <c r="H197" s="30" t="inlineStr"/>
      <c r="I197" s="30" t="inlineStr"/>
      <c r="J197" s="45">
        <f>IF(A197="","",MAX(0,(E197-TODAY())/365))</f>
        <v/>
      </c>
    </row>
    <row r="198">
      <c r="A198" s="30" t="inlineStr"/>
      <c r="B198" s="30" t="inlineStr"/>
      <c r="C198" s="30" t="inlineStr"/>
      <c r="D198" s="38" t="inlineStr"/>
      <c r="E198" s="38" t="inlineStr"/>
      <c r="F198" s="34" t="inlineStr"/>
      <c r="G198" s="30" t="inlineStr"/>
      <c r="H198" s="30" t="inlineStr"/>
      <c r="I198" s="30" t="inlineStr"/>
      <c r="J198" s="45">
        <f>IF(A198="","",MAX(0,(E198-TODAY())/365))</f>
        <v/>
      </c>
    </row>
    <row r="199">
      <c r="A199" s="30" t="inlineStr"/>
      <c r="B199" s="30" t="inlineStr"/>
      <c r="C199" s="30" t="inlineStr"/>
      <c r="D199" s="38" t="inlineStr"/>
      <c r="E199" s="38" t="inlineStr"/>
      <c r="F199" s="34" t="inlineStr"/>
      <c r="G199" s="30" t="inlineStr"/>
      <c r="H199" s="30" t="inlineStr"/>
      <c r="I199" s="30" t="inlineStr"/>
      <c r="J199" s="45">
        <f>IF(A199="","",MAX(0,(E199-TODAY())/365))</f>
        <v/>
      </c>
    </row>
    <row r="200">
      <c r="A200" s="30" t="inlineStr"/>
      <c r="B200" s="30" t="inlineStr"/>
      <c r="C200" s="30" t="inlineStr"/>
      <c r="D200" s="38" t="inlineStr"/>
      <c r="E200" s="38" t="inlineStr"/>
      <c r="F200" s="34" t="inlineStr"/>
      <c r="G200" s="30" t="inlineStr"/>
      <c r="H200" s="30" t="inlineStr"/>
      <c r="I200" s="30" t="inlineStr"/>
      <c r="J200" s="45">
        <f>IF(A200="","",MAX(0,(E200-TODAY())/365))</f>
        <v/>
      </c>
    </row>
    <row r="201">
      <c r="A201" s="30" t="inlineStr"/>
      <c r="B201" s="30" t="inlineStr"/>
      <c r="C201" s="30" t="inlineStr"/>
      <c r="D201" s="38" t="inlineStr"/>
      <c r="E201" s="38" t="inlineStr"/>
      <c r="F201" s="34" t="inlineStr"/>
      <c r="G201" s="30" t="inlineStr"/>
      <c r="H201" s="30" t="inlineStr"/>
      <c r="I201" s="30" t="inlineStr"/>
      <c r="J201" s="45">
        <f>IF(A201="","",MAX(0,(E201-TODAY())/365))</f>
        <v/>
      </c>
    </row>
    <row r="202">
      <c r="A202" s="30" t="inlineStr"/>
      <c r="B202" s="30" t="inlineStr"/>
      <c r="C202" s="30" t="inlineStr"/>
      <c r="D202" s="38" t="inlineStr"/>
      <c r="E202" s="38" t="inlineStr"/>
      <c r="F202" s="34" t="inlineStr"/>
      <c r="G202" s="30" t="inlineStr"/>
      <c r="H202" s="30" t="inlineStr"/>
      <c r="I202" s="30" t="inlineStr"/>
      <c r="J202" s="45">
        <f>IF(A202="","",MAX(0,(E202-TODAY())/365))</f>
        <v/>
      </c>
    </row>
    <row r="203">
      <c r="A203" s="30" t="inlineStr"/>
      <c r="B203" s="30" t="inlineStr"/>
      <c r="C203" s="30" t="inlineStr"/>
      <c r="D203" s="38" t="inlineStr"/>
      <c r="E203" s="38" t="inlineStr"/>
      <c r="F203" s="34" t="inlineStr"/>
      <c r="G203" s="30" t="inlineStr"/>
      <c r="H203" s="30" t="inlineStr"/>
      <c r="I203" s="30" t="inlineStr"/>
      <c r="J203" s="45">
        <f>IF(A203="","",MAX(0,(E203-TODAY())/365))</f>
        <v/>
      </c>
    </row>
    <row r="204">
      <c r="A204" s="30" t="inlineStr"/>
      <c r="B204" s="30" t="inlineStr"/>
      <c r="C204" s="30" t="inlineStr"/>
      <c r="D204" s="38" t="inlineStr"/>
      <c r="E204" s="38" t="inlineStr"/>
      <c r="F204" s="34" t="inlineStr"/>
      <c r="G204" s="30" t="inlineStr"/>
      <c r="H204" s="30" t="inlineStr"/>
      <c r="I204" s="30" t="inlineStr"/>
      <c r="J204" s="45">
        <f>IF(A204="","",MAX(0,(E204-TODAY())/365))</f>
        <v/>
      </c>
    </row>
    <row r="205">
      <c r="A205" s="30" t="inlineStr"/>
      <c r="B205" s="30" t="inlineStr"/>
      <c r="C205" s="30" t="inlineStr"/>
      <c r="D205" s="38" t="inlineStr"/>
      <c r="E205" s="38" t="inlineStr"/>
      <c r="F205" s="34" t="inlineStr"/>
      <c r="G205" s="30" t="inlineStr"/>
      <c r="H205" s="30" t="inlineStr"/>
      <c r="I205" s="30" t="inlineStr"/>
      <c r="J205" s="45">
        <f>IF(A205="","",MAX(0,(E205-TODAY())/365))</f>
        <v/>
      </c>
    </row>
    <row r="206">
      <c r="A206" s="30" t="inlineStr"/>
      <c r="B206" s="30" t="inlineStr"/>
      <c r="C206" s="30" t="inlineStr"/>
      <c r="D206" s="38" t="inlineStr"/>
      <c r="E206" s="38" t="inlineStr"/>
      <c r="F206" s="34" t="inlineStr"/>
      <c r="G206" s="30" t="inlineStr"/>
      <c r="H206" s="30" t="inlineStr"/>
      <c r="I206" s="30" t="inlineStr"/>
      <c r="J206" s="45">
        <f>IF(A206="","",MAX(0,(E206-TODAY())/365))</f>
        <v/>
      </c>
    </row>
    <row r="207">
      <c r="A207" s="30" t="inlineStr"/>
      <c r="B207" s="30" t="inlineStr"/>
      <c r="C207" s="30" t="inlineStr"/>
      <c r="D207" s="38" t="inlineStr"/>
      <c r="E207" s="38" t="inlineStr"/>
      <c r="F207" s="34" t="inlineStr"/>
      <c r="G207" s="30" t="inlineStr"/>
      <c r="H207" s="30" t="inlineStr"/>
      <c r="I207" s="30" t="inlineStr"/>
      <c r="J207" s="45">
        <f>IF(A207="","",MAX(0,(E207-TODAY())/365))</f>
        <v/>
      </c>
    </row>
    <row r="208">
      <c r="A208" s="30" t="inlineStr"/>
      <c r="B208" s="30" t="inlineStr"/>
      <c r="C208" s="30" t="inlineStr"/>
      <c r="D208" s="38" t="inlineStr"/>
      <c r="E208" s="38" t="inlineStr"/>
      <c r="F208" s="34" t="inlineStr"/>
      <c r="G208" s="30" t="inlineStr"/>
      <c r="H208" s="30" t="inlineStr"/>
      <c r="I208" s="30" t="inlineStr"/>
      <c r="J208" s="45">
        <f>IF(A208="","",MAX(0,(E208-TODAY())/365))</f>
        <v/>
      </c>
    </row>
    <row r="209">
      <c r="A209" s="30" t="inlineStr"/>
      <c r="B209" s="30" t="inlineStr"/>
      <c r="C209" s="30" t="inlineStr"/>
      <c r="D209" s="38" t="inlineStr"/>
      <c r="E209" s="38" t="inlineStr"/>
      <c r="F209" s="34" t="inlineStr"/>
      <c r="G209" s="30" t="inlineStr"/>
      <c r="H209" s="30" t="inlineStr"/>
      <c r="I209" s="30" t="inlineStr"/>
      <c r="J209" s="45">
        <f>IF(A209="","",MAX(0,(E209-TODAY())/365))</f>
        <v/>
      </c>
    </row>
    <row r="210">
      <c r="A210" s="30" t="inlineStr"/>
      <c r="B210" s="30" t="inlineStr"/>
      <c r="C210" s="30" t="inlineStr"/>
      <c r="D210" s="38" t="inlineStr"/>
      <c r="E210" s="38" t="inlineStr"/>
      <c r="F210" s="34" t="inlineStr"/>
      <c r="G210" s="30" t="inlineStr"/>
      <c r="H210" s="30" t="inlineStr"/>
      <c r="I210" s="30" t="inlineStr"/>
      <c r="J210" s="45">
        <f>IF(A210="","",MAX(0,(E210-TODAY())/365))</f>
        <v/>
      </c>
    </row>
    <row r="211">
      <c r="A211" s="30" t="inlineStr"/>
      <c r="B211" s="30" t="inlineStr"/>
      <c r="C211" s="30" t="inlineStr"/>
      <c r="D211" s="38" t="inlineStr"/>
      <c r="E211" s="38" t="inlineStr"/>
      <c r="F211" s="34" t="inlineStr"/>
      <c r="G211" s="30" t="inlineStr"/>
      <c r="H211" s="30" t="inlineStr"/>
      <c r="I211" s="30" t="inlineStr"/>
      <c r="J211" s="45">
        <f>IF(A211="","",MAX(0,(E211-TODAY())/365))</f>
        <v/>
      </c>
    </row>
    <row r="212">
      <c r="A212" s="30" t="inlineStr"/>
      <c r="B212" s="30" t="inlineStr"/>
      <c r="C212" s="30" t="inlineStr"/>
      <c r="D212" s="38" t="inlineStr"/>
      <c r="E212" s="38" t="inlineStr"/>
      <c r="F212" s="34" t="inlineStr"/>
      <c r="G212" s="30" t="inlineStr"/>
      <c r="H212" s="30" t="inlineStr"/>
      <c r="I212" s="30" t="inlineStr"/>
      <c r="J212" s="45">
        <f>IF(A212="","",MAX(0,(E212-TODAY())/365))</f>
        <v/>
      </c>
    </row>
    <row r="213">
      <c r="A213" s="30" t="inlineStr"/>
      <c r="B213" s="30" t="inlineStr"/>
      <c r="C213" s="30" t="inlineStr"/>
      <c r="D213" s="38" t="inlineStr"/>
      <c r="E213" s="38" t="inlineStr"/>
      <c r="F213" s="34" t="inlineStr"/>
      <c r="G213" s="30" t="inlineStr"/>
      <c r="H213" s="30" t="inlineStr"/>
      <c r="I213" s="30" t="inlineStr"/>
      <c r="J213" s="45">
        <f>IF(A213="","",MAX(0,(E213-TODAY())/365))</f>
        <v/>
      </c>
    </row>
    <row r="214">
      <c r="A214" s="30" t="inlineStr"/>
      <c r="B214" s="30" t="inlineStr"/>
      <c r="C214" s="30" t="inlineStr"/>
      <c r="D214" s="38" t="inlineStr"/>
      <c r="E214" s="38" t="inlineStr"/>
      <c r="F214" s="34" t="inlineStr"/>
      <c r="G214" s="30" t="inlineStr"/>
      <c r="H214" s="30" t="inlineStr"/>
      <c r="I214" s="30" t="inlineStr"/>
      <c r="J214" s="45">
        <f>IF(A214="","",MAX(0,(E214-TODAY())/365))</f>
        <v/>
      </c>
    </row>
    <row r="215">
      <c r="A215" s="30" t="inlineStr"/>
      <c r="B215" s="30" t="inlineStr"/>
      <c r="C215" s="30" t="inlineStr"/>
      <c r="D215" s="38" t="inlineStr"/>
      <c r="E215" s="38" t="inlineStr"/>
      <c r="F215" s="34" t="inlineStr"/>
      <c r="G215" s="30" t="inlineStr"/>
      <c r="H215" s="30" t="inlineStr"/>
      <c r="I215" s="30" t="inlineStr"/>
      <c r="J215" s="45">
        <f>IF(A215="","",MAX(0,(E215-TODAY())/365))</f>
        <v/>
      </c>
    </row>
    <row r="216">
      <c r="A216" s="30" t="inlineStr"/>
      <c r="B216" s="30" t="inlineStr"/>
      <c r="C216" s="30" t="inlineStr"/>
      <c r="D216" s="38" t="inlineStr"/>
      <c r="E216" s="38" t="inlineStr"/>
      <c r="F216" s="34" t="inlineStr"/>
      <c r="G216" s="30" t="inlineStr"/>
      <c r="H216" s="30" t="inlineStr"/>
      <c r="I216" s="30" t="inlineStr"/>
      <c r="J216" s="45">
        <f>IF(A216="","",MAX(0,(E216-TODAY())/365))</f>
        <v/>
      </c>
    </row>
    <row r="217">
      <c r="A217" s="30" t="inlineStr"/>
      <c r="B217" s="30" t="inlineStr"/>
      <c r="C217" s="30" t="inlineStr"/>
      <c r="D217" s="38" t="inlineStr"/>
      <c r="E217" s="38" t="inlineStr"/>
      <c r="F217" s="34" t="inlineStr"/>
      <c r="G217" s="30" t="inlineStr"/>
      <c r="H217" s="30" t="inlineStr"/>
      <c r="I217" s="30" t="inlineStr"/>
      <c r="J217" s="45">
        <f>IF(A217="","",MAX(0,(E217-TODAY())/365))</f>
        <v/>
      </c>
    </row>
    <row r="218">
      <c r="A218" s="30" t="inlineStr"/>
      <c r="B218" s="30" t="inlineStr"/>
      <c r="C218" s="30" t="inlineStr"/>
      <c r="D218" s="38" t="inlineStr"/>
      <c r="E218" s="38" t="inlineStr"/>
      <c r="F218" s="34" t="inlineStr"/>
      <c r="G218" s="30" t="inlineStr"/>
      <c r="H218" s="30" t="inlineStr"/>
      <c r="I218" s="30" t="inlineStr"/>
      <c r="J218" s="45">
        <f>IF(A218="","",MAX(0,(E218-TODAY())/365))</f>
        <v/>
      </c>
    </row>
    <row r="219">
      <c r="A219" s="30" t="inlineStr"/>
      <c r="B219" s="30" t="inlineStr"/>
      <c r="C219" s="30" t="inlineStr"/>
      <c r="D219" s="38" t="inlineStr"/>
      <c r="E219" s="38" t="inlineStr"/>
      <c r="F219" s="34" t="inlineStr"/>
      <c r="G219" s="30" t="inlineStr"/>
      <c r="H219" s="30" t="inlineStr"/>
      <c r="I219" s="30" t="inlineStr"/>
      <c r="J219" s="45">
        <f>IF(A219="","",MAX(0,(E219-TODAY())/365))</f>
        <v/>
      </c>
    </row>
    <row r="220">
      <c r="A220" s="30" t="inlineStr"/>
      <c r="B220" s="30" t="inlineStr"/>
      <c r="C220" s="30" t="inlineStr"/>
      <c r="D220" s="38" t="inlineStr"/>
      <c r="E220" s="38" t="inlineStr"/>
      <c r="F220" s="34" t="inlineStr"/>
      <c r="G220" s="30" t="inlineStr"/>
      <c r="H220" s="30" t="inlineStr"/>
      <c r="I220" s="30" t="inlineStr"/>
      <c r="J220" s="45">
        <f>IF(A220="","",MAX(0,(E220-TODAY())/365))</f>
        <v/>
      </c>
    </row>
    <row r="221">
      <c r="A221" s="30" t="inlineStr"/>
      <c r="B221" s="30" t="inlineStr"/>
      <c r="C221" s="30" t="inlineStr"/>
      <c r="D221" s="38" t="inlineStr"/>
      <c r="E221" s="38" t="inlineStr"/>
      <c r="F221" s="34" t="inlineStr"/>
      <c r="G221" s="30" t="inlineStr"/>
      <c r="H221" s="30" t="inlineStr"/>
      <c r="I221" s="30" t="inlineStr"/>
      <c r="J221" s="45">
        <f>IF(A221="","",MAX(0,(E221-TODAY())/365))</f>
        <v/>
      </c>
    </row>
    <row r="222">
      <c r="A222" s="30" t="inlineStr"/>
      <c r="B222" s="30" t="inlineStr"/>
      <c r="C222" s="30" t="inlineStr"/>
      <c r="D222" s="38" t="inlineStr"/>
      <c r="E222" s="38" t="inlineStr"/>
      <c r="F222" s="34" t="inlineStr"/>
      <c r="G222" s="30" t="inlineStr"/>
      <c r="H222" s="30" t="inlineStr"/>
      <c r="I222" s="30" t="inlineStr"/>
      <c r="J222" s="45">
        <f>IF(A222="","",MAX(0,(E222-TODAY())/365))</f>
        <v/>
      </c>
    </row>
    <row r="223">
      <c r="A223" s="30" t="inlineStr"/>
      <c r="B223" s="30" t="inlineStr"/>
      <c r="C223" s="30" t="inlineStr"/>
      <c r="D223" s="38" t="inlineStr"/>
      <c r="E223" s="38" t="inlineStr"/>
      <c r="F223" s="34" t="inlineStr"/>
      <c r="G223" s="30" t="inlineStr"/>
      <c r="H223" s="30" t="inlineStr"/>
      <c r="I223" s="30" t="inlineStr"/>
      <c r="J223" s="45">
        <f>IF(A223="","",MAX(0,(E223-TODAY())/365))</f>
        <v/>
      </c>
    </row>
    <row r="224">
      <c r="A224" s="30" t="inlineStr"/>
      <c r="B224" s="30" t="inlineStr"/>
      <c r="C224" s="30" t="inlineStr"/>
      <c r="D224" s="38" t="inlineStr"/>
      <c r="E224" s="38" t="inlineStr"/>
      <c r="F224" s="34" t="inlineStr"/>
      <c r="G224" s="30" t="inlineStr"/>
      <c r="H224" s="30" t="inlineStr"/>
      <c r="I224" s="30" t="inlineStr"/>
      <c r="J224" s="45">
        <f>IF(A224="","",MAX(0,(E224-TODAY())/365))</f>
        <v/>
      </c>
    </row>
    <row r="225">
      <c r="A225" s="30" t="inlineStr"/>
      <c r="B225" s="30" t="inlineStr"/>
      <c r="C225" s="30" t="inlineStr"/>
      <c r="D225" s="38" t="inlineStr"/>
      <c r="E225" s="38" t="inlineStr"/>
      <c r="F225" s="34" t="inlineStr"/>
      <c r="G225" s="30" t="inlineStr"/>
      <c r="H225" s="30" t="inlineStr"/>
      <c r="I225" s="30" t="inlineStr"/>
      <c r="J225" s="45">
        <f>IF(A225="","",MAX(0,(E225-TODAY())/365))</f>
        <v/>
      </c>
    </row>
    <row r="226">
      <c r="A226" s="30" t="inlineStr"/>
      <c r="B226" s="30" t="inlineStr"/>
      <c r="C226" s="30" t="inlineStr"/>
      <c r="D226" s="38" t="inlineStr"/>
      <c r="E226" s="38" t="inlineStr"/>
      <c r="F226" s="34" t="inlineStr"/>
      <c r="G226" s="30" t="inlineStr"/>
      <c r="H226" s="30" t="inlineStr"/>
      <c r="I226" s="30" t="inlineStr"/>
      <c r="J226" s="45">
        <f>IF(A226="","",MAX(0,(E226-TODAY())/365))</f>
        <v/>
      </c>
    </row>
    <row r="227">
      <c r="A227" s="30" t="inlineStr"/>
      <c r="B227" s="30" t="inlineStr"/>
      <c r="C227" s="30" t="inlineStr"/>
      <c r="D227" s="38" t="inlineStr"/>
      <c r="E227" s="38" t="inlineStr"/>
      <c r="F227" s="34" t="inlineStr"/>
      <c r="G227" s="30" t="inlineStr"/>
      <c r="H227" s="30" t="inlineStr"/>
      <c r="I227" s="30" t="inlineStr"/>
      <c r="J227" s="45">
        <f>IF(A227="","",MAX(0,(E227-TODAY())/365))</f>
        <v/>
      </c>
    </row>
    <row r="228">
      <c r="A228" s="30" t="inlineStr"/>
      <c r="B228" s="30" t="inlineStr"/>
      <c r="C228" s="30" t="inlineStr"/>
      <c r="D228" s="38" t="inlineStr"/>
      <c r="E228" s="38" t="inlineStr"/>
      <c r="F228" s="34" t="inlineStr"/>
      <c r="G228" s="30" t="inlineStr"/>
      <c r="H228" s="30" t="inlineStr"/>
      <c r="I228" s="30" t="inlineStr"/>
      <c r="J228" s="45">
        <f>IF(A228="","",MAX(0,(E228-TODAY())/365))</f>
        <v/>
      </c>
    </row>
    <row r="229">
      <c r="A229" s="30" t="inlineStr"/>
      <c r="B229" s="30" t="inlineStr"/>
      <c r="C229" s="30" t="inlineStr"/>
      <c r="D229" s="38" t="inlineStr"/>
      <c r="E229" s="38" t="inlineStr"/>
      <c r="F229" s="34" t="inlineStr"/>
      <c r="G229" s="30" t="inlineStr"/>
      <c r="H229" s="30" t="inlineStr"/>
      <c r="I229" s="30" t="inlineStr"/>
      <c r="J229" s="45">
        <f>IF(A229="","",MAX(0,(E229-TODAY())/365))</f>
        <v/>
      </c>
    </row>
    <row r="230">
      <c r="A230" s="30" t="inlineStr"/>
      <c r="B230" s="30" t="inlineStr"/>
      <c r="C230" s="30" t="inlineStr"/>
      <c r="D230" s="38" t="inlineStr"/>
      <c r="E230" s="38" t="inlineStr"/>
      <c r="F230" s="34" t="inlineStr"/>
      <c r="G230" s="30" t="inlineStr"/>
      <c r="H230" s="30" t="inlineStr"/>
      <c r="I230" s="30" t="inlineStr"/>
      <c r="J230" s="45">
        <f>IF(A230="","",MAX(0,(E230-TODAY())/365))</f>
        <v/>
      </c>
    </row>
    <row r="231">
      <c r="A231" s="30" t="inlineStr"/>
      <c r="B231" s="30" t="inlineStr"/>
      <c r="C231" s="30" t="inlineStr"/>
      <c r="D231" s="38" t="inlineStr"/>
      <c r="E231" s="38" t="inlineStr"/>
      <c r="F231" s="34" t="inlineStr"/>
      <c r="G231" s="30" t="inlineStr"/>
      <c r="H231" s="30" t="inlineStr"/>
      <c r="I231" s="30" t="inlineStr"/>
      <c r="J231" s="45">
        <f>IF(A231="","",MAX(0,(E231-TODAY())/365))</f>
        <v/>
      </c>
    </row>
    <row r="232">
      <c r="A232" s="30" t="inlineStr"/>
      <c r="B232" s="30" t="inlineStr"/>
      <c r="C232" s="30" t="inlineStr"/>
      <c r="D232" s="38" t="inlineStr"/>
      <c r="E232" s="38" t="inlineStr"/>
      <c r="F232" s="34" t="inlineStr"/>
      <c r="G232" s="30" t="inlineStr"/>
      <c r="H232" s="30" t="inlineStr"/>
      <c r="I232" s="30" t="inlineStr"/>
      <c r="J232" s="45">
        <f>IF(A232="","",MAX(0,(E232-TODAY())/365))</f>
        <v/>
      </c>
    </row>
    <row r="233">
      <c r="A233" s="30" t="inlineStr"/>
      <c r="B233" s="30" t="inlineStr"/>
      <c r="C233" s="30" t="inlineStr"/>
      <c r="D233" s="38" t="inlineStr"/>
      <c r="E233" s="38" t="inlineStr"/>
      <c r="F233" s="34" t="inlineStr"/>
      <c r="G233" s="30" t="inlineStr"/>
      <c r="H233" s="30" t="inlineStr"/>
      <c r="I233" s="30" t="inlineStr"/>
      <c r="J233" s="45">
        <f>IF(A233="","",MAX(0,(E233-TODAY())/365))</f>
        <v/>
      </c>
    </row>
    <row r="234">
      <c r="A234" s="30" t="inlineStr"/>
      <c r="B234" s="30" t="inlineStr"/>
      <c r="C234" s="30" t="inlineStr"/>
      <c r="D234" s="38" t="inlineStr"/>
      <c r="E234" s="38" t="inlineStr"/>
      <c r="F234" s="34" t="inlineStr"/>
      <c r="G234" s="30" t="inlineStr"/>
      <c r="H234" s="30" t="inlineStr"/>
      <c r="I234" s="30" t="inlineStr"/>
      <c r="J234" s="45">
        <f>IF(A234="","",MAX(0,(E234-TODAY())/365))</f>
        <v/>
      </c>
    </row>
    <row r="235">
      <c r="A235" s="30" t="inlineStr"/>
      <c r="B235" s="30" t="inlineStr"/>
      <c r="C235" s="30" t="inlineStr"/>
      <c r="D235" s="38" t="inlineStr"/>
      <c r="E235" s="38" t="inlineStr"/>
      <c r="F235" s="34" t="inlineStr"/>
      <c r="G235" s="30" t="inlineStr"/>
      <c r="H235" s="30" t="inlineStr"/>
      <c r="I235" s="30" t="inlineStr"/>
      <c r="J235" s="45">
        <f>IF(A235="","",MAX(0,(E235-TODAY())/365))</f>
        <v/>
      </c>
    </row>
    <row r="236">
      <c r="A236" s="30" t="inlineStr"/>
      <c r="B236" s="30" t="inlineStr"/>
      <c r="C236" s="30" t="inlineStr"/>
      <c r="D236" s="38" t="inlineStr"/>
      <c r="E236" s="38" t="inlineStr"/>
      <c r="F236" s="34" t="inlineStr"/>
      <c r="G236" s="30" t="inlineStr"/>
      <c r="H236" s="30" t="inlineStr"/>
      <c r="I236" s="30" t="inlineStr"/>
      <c r="J236" s="45">
        <f>IF(A236="","",MAX(0,(E236-TODAY())/365))</f>
        <v/>
      </c>
    </row>
    <row r="237">
      <c r="A237" s="30" t="inlineStr"/>
      <c r="B237" s="30" t="inlineStr"/>
      <c r="C237" s="30" t="inlineStr"/>
      <c r="D237" s="38" t="inlineStr"/>
      <c r="E237" s="38" t="inlineStr"/>
      <c r="F237" s="34" t="inlineStr"/>
      <c r="G237" s="30" t="inlineStr"/>
      <c r="H237" s="30" t="inlineStr"/>
      <c r="I237" s="30" t="inlineStr"/>
      <c r="J237" s="45">
        <f>IF(A237="","",MAX(0,(E237-TODAY())/365))</f>
        <v/>
      </c>
    </row>
    <row r="238">
      <c r="A238" s="30" t="inlineStr"/>
      <c r="B238" s="30" t="inlineStr"/>
      <c r="C238" s="30" t="inlineStr"/>
      <c r="D238" s="38" t="inlineStr"/>
      <c r="E238" s="38" t="inlineStr"/>
      <c r="F238" s="34" t="inlineStr"/>
      <c r="G238" s="30" t="inlineStr"/>
      <c r="H238" s="30" t="inlineStr"/>
      <c r="I238" s="30" t="inlineStr"/>
      <c r="J238" s="45">
        <f>IF(A238="","",MAX(0,(E238-TODAY())/365))</f>
        <v/>
      </c>
    </row>
    <row r="239">
      <c r="A239" s="30" t="inlineStr"/>
      <c r="B239" s="30" t="inlineStr"/>
      <c r="C239" s="30" t="inlineStr"/>
      <c r="D239" s="38" t="inlineStr"/>
      <c r="E239" s="38" t="inlineStr"/>
      <c r="F239" s="34" t="inlineStr"/>
      <c r="G239" s="30" t="inlineStr"/>
      <c r="H239" s="30" t="inlineStr"/>
      <c r="I239" s="30" t="inlineStr"/>
      <c r="J239" s="45">
        <f>IF(A239="","",MAX(0,(E239-TODAY())/365))</f>
        <v/>
      </c>
    </row>
    <row r="240">
      <c r="A240" s="30" t="inlineStr"/>
      <c r="B240" s="30" t="inlineStr"/>
      <c r="C240" s="30" t="inlineStr"/>
      <c r="D240" s="38" t="inlineStr"/>
      <c r="E240" s="38" t="inlineStr"/>
      <c r="F240" s="34" t="inlineStr"/>
      <c r="G240" s="30" t="inlineStr"/>
      <c r="H240" s="30" t="inlineStr"/>
      <c r="I240" s="30" t="inlineStr"/>
      <c r="J240" s="45">
        <f>IF(A240="","",MAX(0,(E240-TODAY())/365))</f>
        <v/>
      </c>
    </row>
    <row r="241">
      <c r="A241" s="30" t="inlineStr"/>
      <c r="B241" s="30" t="inlineStr"/>
      <c r="C241" s="30" t="inlineStr"/>
      <c r="D241" s="38" t="inlineStr"/>
      <c r="E241" s="38" t="inlineStr"/>
      <c r="F241" s="34" t="inlineStr"/>
      <c r="G241" s="30" t="inlineStr"/>
      <c r="H241" s="30" t="inlineStr"/>
      <c r="I241" s="30" t="inlineStr"/>
      <c r="J241" s="45">
        <f>IF(A241="","",MAX(0,(E241-TODAY())/365))</f>
        <v/>
      </c>
    </row>
    <row r="242">
      <c r="A242" s="30" t="inlineStr"/>
      <c r="B242" s="30" t="inlineStr"/>
      <c r="C242" s="30" t="inlineStr"/>
      <c r="D242" s="38" t="inlineStr"/>
      <c r="E242" s="38" t="inlineStr"/>
      <c r="F242" s="34" t="inlineStr"/>
      <c r="G242" s="30" t="inlineStr"/>
      <c r="H242" s="30" t="inlineStr"/>
      <c r="I242" s="30" t="inlineStr"/>
      <c r="J242" s="45">
        <f>IF(A242="","",MAX(0,(E242-TODAY())/365))</f>
        <v/>
      </c>
    </row>
    <row r="243">
      <c r="A243" s="30" t="inlineStr"/>
      <c r="B243" s="30" t="inlineStr"/>
      <c r="C243" s="30" t="inlineStr"/>
      <c r="D243" s="38" t="inlineStr"/>
      <c r="E243" s="38" t="inlineStr"/>
      <c r="F243" s="34" t="inlineStr"/>
      <c r="G243" s="30" t="inlineStr"/>
      <c r="H243" s="30" t="inlineStr"/>
      <c r="I243" s="30" t="inlineStr"/>
      <c r="J243" s="45">
        <f>IF(A243="","",MAX(0,(E243-TODAY())/365))</f>
        <v/>
      </c>
    </row>
    <row r="244">
      <c r="A244" s="30" t="inlineStr"/>
      <c r="B244" s="30" t="inlineStr"/>
      <c r="C244" s="30" t="inlineStr"/>
      <c r="D244" s="38" t="inlineStr"/>
      <c r="E244" s="38" t="inlineStr"/>
      <c r="F244" s="34" t="inlineStr"/>
      <c r="G244" s="30" t="inlineStr"/>
      <c r="H244" s="30" t="inlineStr"/>
      <c r="I244" s="30" t="inlineStr"/>
      <c r="J244" s="45">
        <f>IF(A244="","",MAX(0,(E244-TODAY())/365))</f>
        <v/>
      </c>
    </row>
    <row r="245">
      <c r="A245" s="30" t="inlineStr"/>
      <c r="B245" s="30" t="inlineStr"/>
      <c r="C245" s="30" t="inlineStr"/>
      <c r="D245" s="38" t="inlineStr"/>
      <c r="E245" s="38" t="inlineStr"/>
      <c r="F245" s="34" t="inlineStr"/>
      <c r="G245" s="30" t="inlineStr"/>
      <c r="H245" s="30" t="inlineStr"/>
      <c r="I245" s="30" t="inlineStr"/>
      <c r="J245" s="45">
        <f>IF(A245="","",MAX(0,(E245-TODAY())/365))</f>
        <v/>
      </c>
    </row>
    <row r="246">
      <c r="A246" s="30" t="inlineStr"/>
      <c r="B246" s="30" t="inlineStr"/>
      <c r="C246" s="30" t="inlineStr"/>
      <c r="D246" s="38" t="inlineStr"/>
      <c r="E246" s="38" t="inlineStr"/>
      <c r="F246" s="34" t="inlineStr"/>
      <c r="G246" s="30" t="inlineStr"/>
      <c r="H246" s="30" t="inlineStr"/>
      <c r="I246" s="30" t="inlineStr"/>
      <c r="J246" s="45">
        <f>IF(A246="","",MAX(0,(E246-TODAY())/365))</f>
        <v/>
      </c>
    </row>
    <row r="247">
      <c r="A247" s="30" t="inlineStr"/>
      <c r="B247" s="30" t="inlineStr"/>
      <c r="C247" s="30" t="inlineStr"/>
      <c r="D247" s="38" t="inlineStr"/>
      <c r="E247" s="38" t="inlineStr"/>
      <c r="F247" s="34" t="inlineStr"/>
      <c r="G247" s="30" t="inlineStr"/>
      <c r="H247" s="30" t="inlineStr"/>
      <c r="I247" s="30" t="inlineStr"/>
      <c r="J247" s="45">
        <f>IF(A247="","",MAX(0,(E247-TODAY())/365))</f>
        <v/>
      </c>
    </row>
    <row r="248">
      <c r="A248" s="30" t="inlineStr"/>
      <c r="B248" s="30" t="inlineStr"/>
      <c r="C248" s="30" t="inlineStr"/>
      <c r="D248" s="38" t="inlineStr"/>
      <c r="E248" s="38" t="inlineStr"/>
      <c r="F248" s="34" t="inlineStr"/>
      <c r="G248" s="30" t="inlineStr"/>
      <c r="H248" s="30" t="inlineStr"/>
      <c r="I248" s="30" t="inlineStr"/>
      <c r="J248" s="45">
        <f>IF(A248="","",MAX(0,(E248-TODAY())/365))</f>
        <v/>
      </c>
    </row>
    <row r="249">
      <c r="A249" s="30" t="inlineStr"/>
      <c r="B249" s="30" t="inlineStr"/>
      <c r="C249" s="30" t="inlineStr"/>
      <c r="D249" s="38" t="inlineStr"/>
      <c r="E249" s="38" t="inlineStr"/>
      <c r="F249" s="34" t="inlineStr"/>
      <c r="G249" s="30" t="inlineStr"/>
      <c r="H249" s="30" t="inlineStr"/>
      <c r="I249" s="30" t="inlineStr"/>
      <c r="J249" s="45">
        <f>IF(A249="","",MAX(0,(E249-TODAY())/365))</f>
        <v/>
      </c>
    </row>
    <row r="250">
      <c r="A250" s="30" t="inlineStr"/>
      <c r="B250" s="30" t="inlineStr"/>
      <c r="C250" s="30" t="inlineStr"/>
      <c r="D250" s="38" t="inlineStr"/>
      <c r="E250" s="38" t="inlineStr"/>
      <c r="F250" s="34" t="inlineStr"/>
      <c r="G250" s="30" t="inlineStr"/>
      <c r="H250" s="30" t="inlineStr"/>
      <c r="I250" s="30" t="inlineStr"/>
      <c r="J250" s="45">
        <f>IF(A250="","",MAX(0,(E250-TODAY())/365))</f>
        <v/>
      </c>
    </row>
    <row r="251">
      <c r="A251" s="30" t="inlineStr"/>
      <c r="B251" s="30" t="inlineStr"/>
      <c r="C251" s="30" t="inlineStr"/>
      <c r="D251" s="38" t="inlineStr"/>
      <c r="E251" s="38" t="inlineStr"/>
      <c r="F251" s="34" t="inlineStr"/>
      <c r="G251" s="30" t="inlineStr"/>
      <c r="H251" s="30" t="inlineStr"/>
      <c r="I251" s="30" t="inlineStr"/>
      <c r="J251" s="45">
        <f>IF(A251="","",MAX(0,(E251-TODAY())/365))</f>
        <v/>
      </c>
    </row>
    <row r="252">
      <c r="A252" s="30" t="inlineStr"/>
      <c r="B252" s="30" t="inlineStr"/>
      <c r="C252" s="30" t="inlineStr"/>
      <c r="D252" s="38" t="inlineStr"/>
      <c r="E252" s="38" t="inlineStr"/>
      <c r="F252" s="34" t="inlineStr"/>
      <c r="G252" s="30" t="inlineStr"/>
      <c r="H252" s="30" t="inlineStr"/>
      <c r="I252" s="30" t="inlineStr"/>
      <c r="J252" s="45">
        <f>IF(A252="","",MAX(0,(E252-TODAY())/365))</f>
        <v/>
      </c>
    </row>
    <row r="253">
      <c r="A253" s="30" t="inlineStr"/>
      <c r="B253" s="30" t="inlineStr"/>
      <c r="C253" s="30" t="inlineStr"/>
      <c r="D253" s="38" t="inlineStr"/>
      <c r="E253" s="38" t="inlineStr"/>
      <c r="F253" s="34" t="inlineStr"/>
      <c r="G253" s="30" t="inlineStr"/>
      <c r="H253" s="30" t="inlineStr"/>
      <c r="I253" s="30" t="inlineStr"/>
      <c r="J253" s="45">
        <f>IF(A253="","",MAX(0,(E253-TODAY())/365))</f>
        <v/>
      </c>
    </row>
    <row r="254">
      <c r="A254" s="30" t="inlineStr"/>
      <c r="B254" s="30" t="inlineStr"/>
      <c r="C254" s="30" t="inlineStr"/>
      <c r="D254" s="38" t="inlineStr"/>
      <c r="E254" s="38" t="inlineStr"/>
      <c r="F254" s="34" t="inlineStr"/>
      <c r="G254" s="30" t="inlineStr"/>
      <c r="H254" s="30" t="inlineStr"/>
      <c r="I254" s="30" t="inlineStr"/>
      <c r="J254" s="45">
        <f>IF(A254="","",MAX(0,(E254-TODAY())/365))</f>
        <v/>
      </c>
    </row>
    <row r="255">
      <c r="A255" s="30" t="inlineStr"/>
      <c r="B255" s="30" t="inlineStr"/>
      <c r="C255" s="30" t="inlineStr"/>
      <c r="D255" s="38" t="inlineStr"/>
      <c r="E255" s="38" t="inlineStr"/>
      <c r="F255" s="34" t="inlineStr"/>
      <c r="G255" s="30" t="inlineStr"/>
      <c r="H255" s="30" t="inlineStr"/>
      <c r="I255" s="30" t="inlineStr"/>
      <c r="J255" s="45">
        <f>IF(A255="","",MAX(0,(E255-TODAY())/365))</f>
        <v/>
      </c>
    </row>
    <row r="256">
      <c r="A256" s="30" t="inlineStr"/>
      <c r="B256" s="30" t="inlineStr"/>
      <c r="C256" s="30" t="inlineStr"/>
      <c r="D256" s="38" t="inlineStr"/>
      <c r="E256" s="38" t="inlineStr"/>
      <c r="F256" s="34" t="inlineStr"/>
      <c r="G256" s="30" t="inlineStr"/>
      <c r="H256" s="30" t="inlineStr"/>
      <c r="I256" s="30" t="inlineStr"/>
      <c r="J256" s="45">
        <f>IF(A256="","",MAX(0,(E256-TODAY())/365))</f>
        <v/>
      </c>
    </row>
    <row r="257">
      <c r="A257" s="30" t="inlineStr"/>
      <c r="B257" s="30" t="inlineStr"/>
      <c r="C257" s="30" t="inlineStr"/>
      <c r="D257" s="38" t="inlineStr"/>
      <c r="E257" s="38" t="inlineStr"/>
      <c r="F257" s="34" t="inlineStr"/>
      <c r="G257" s="30" t="inlineStr"/>
      <c r="H257" s="30" t="inlineStr"/>
      <c r="I257" s="30" t="inlineStr"/>
      <c r="J257" s="45">
        <f>IF(A257="","",MAX(0,(E257-TODAY())/365))</f>
        <v/>
      </c>
    </row>
    <row r="258">
      <c r="A258" s="30" t="inlineStr"/>
      <c r="B258" s="30" t="inlineStr"/>
      <c r="C258" s="30" t="inlineStr"/>
      <c r="D258" s="38" t="inlineStr"/>
      <c r="E258" s="38" t="inlineStr"/>
      <c r="F258" s="34" t="inlineStr"/>
      <c r="G258" s="30" t="inlineStr"/>
      <c r="H258" s="30" t="inlineStr"/>
      <c r="I258" s="30" t="inlineStr"/>
      <c r="J258" s="45">
        <f>IF(A258="","",MAX(0,(E258-TODAY())/365))</f>
        <v/>
      </c>
    </row>
    <row r="259">
      <c r="A259" s="30" t="inlineStr"/>
      <c r="B259" s="30" t="inlineStr"/>
      <c r="C259" s="30" t="inlineStr"/>
      <c r="D259" s="38" t="inlineStr"/>
      <c r="E259" s="38" t="inlineStr"/>
      <c r="F259" s="34" t="inlineStr"/>
      <c r="G259" s="30" t="inlineStr"/>
      <c r="H259" s="30" t="inlineStr"/>
      <c r="I259" s="30" t="inlineStr"/>
      <c r="J259" s="45">
        <f>IF(A259="","",MAX(0,(E259-TODAY())/365))</f>
        <v/>
      </c>
    </row>
    <row r="260">
      <c r="A260" s="30" t="inlineStr"/>
      <c r="B260" s="30" t="inlineStr"/>
      <c r="C260" s="30" t="inlineStr"/>
      <c r="D260" s="38" t="inlineStr"/>
      <c r="E260" s="38" t="inlineStr"/>
      <c r="F260" s="34" t="inlineStr"/>
      <c r="G260" s="30" t="inlineStr"/>
      <c r="H260" s="30" t="inlineStr"/>
      <c r="I260" s="30" t="inlineStr"/>
      <c r="J260" s="45">
        <f>IF(A260="","",MAX(0,(E260-TODAY())/365))</f>
        <v/>
      </c>
    </row>
    <row r="261">
      <c r="A261" s="30" t="inlineStr"/>
      <c r="B261" s="30" t="inlineStr"/>
      <c r="C261" s="30" t="inlineStr"/>
      <c r="D261" s="38" t="inlineStr"/>
      <c r="E261" s="38" t="inlineStr"/>
      <c r="F261" s="34" t="inlineStr"/>
      <c r="G261" s="30" t="inlineStr"/>
      <c r="H261" s="30" t="inlineStr"/>
      <c r="I261" s="30" t="inlineStr"/>
      <c r="J261" s="45">
        <f>IF(A261="","",MAX(0,(E261-TODAY())/365))</f>
        <v/>
      </c>
    </row>
    <row r="262">
      <c r="A262" s="30" t="inlineStr"/>
      <c r="B262" s="30" t="inlineStr"/>
      <c r="C262" s="30" t="inlineStr"/>
      <c r="D262" s="38" t="inlineStr"/>
      <c r="E262" s="38" t="inlineStr"/>
      <c r="F262" s="34" t="inlineStr"/>
      <c r="G262" s="30" t="inlineStr"/>
      <c r="H262" s="30" t="inlineStr"/>
      <c r="I262" s="30" t="inlineStr"/>
      <c r="J262" s="45">
        <f>IF(A262="","",MAX(0,(E262-TODAY())/365))</f>
        <v/>
      </c>
    </row>
    <row r="263">
      <c r="A263" s="30" t="inlineStr"/>
      <c r="B263" s="30" t="inlineStr"/>
      <c r="C263" s="30" t="inlineStr"/>
      <c r="D263" s="38" t="inlineStr"/>
      <c r="E263" s="38" t="inlineStr"/>
      <c r="F263" s="34" t="inlineStr"/>
      <c r="G263" s="30" t="inlineStr"/>
      <c r="H263" s="30" t="inlineStr"/>
      <c r="I263" s="30" t="inlineStr"/>
      <c r="J263" s="45">
        <f>IF(A263="","",MAX(0,(E263-TODAY())/365))</f>
        <v/>
      </c>
    </row>
    <row r="264">
      <c r="A264" s="30" t="inlineStr"/>
      <c r="B264" s="30" t="inlineStr"/>
      <c r="C264" s="30" t="inlineStr"/>
      <c r="D264" s="38" t="inlineStr"/>
      <c r="E264" s="38" t="inlineStr"/>
      <c r="F264" s="34" t="inlineStr"/>
      <c r="G264" s="30" t="inlineStr"/>
      <c r="H264" s="30" t="inlineStr"/>
      <c r="I264" s="30" t="inlineStr"/>
      <c r="J264" s="45">
        <f>IF(A264="","",MAX(0,(E264-TODAY())/365))</f>
        <v/>
      </c>
    </row>
    <row r="265">
      <c r="A265" s="30" t="inlineStr"/>
      <c r="B265" s="30" t="inlineStr"/>
      <c r="C265" s="30" t="inlineStr"/>
      <c r="D265" s="38" t="inlineStr"/>
      <c r="E265" s="38" t="inlineStr"/>
      <c r="F265" s="34" t="inlineStr"/>
      <c r="G265" s="30" t="inlineStr"/>
      <c r="H265" s="30" t="inlineStr"/>
      <c r="I265" s="30" t="inlineStr"/>
      <c r="J265" s="45">
        <f>IF(A265="","",MAX(0,(E265-TODAY())/365))</f>
        <v/>
      </c>
    </row>
    <row r="266">
      <c r="A266" s="30" t="inlineStr"/>
      <c r="B266" s="30" t="inlineStr"/>
      <c r="C266" s="30" t="inlineStr"/>
      <c r="D266" s="38" t="inlineStr"/>
      <c r="E266" s="38" t="inlineStr"/>
      <c r="F266" s="34" t="inlineStr"/>
      <c r="G266" s="30" t="inlineStr"/>
      <c r="H266" s="30" t="inlineStr"/>
      <c r="I266" s="30" t="inlineStr"/>
      <c r="J266" s="45">
        <f>IF(A266="","",MAX(0,(E266-TODAY())/365))</f>
        <v/>
      </c>
    </row>
    <row r="267">
      <c r="A267" s="30" t="inlineStr"/>
      <c r="B267" s="30" t="inlineStr"/>
      <c r="C267" s="30" t="inlineStr"/>
      <c r="D267" s="38" t="inlineStr"/>
      <c r="E267" s="38" t="inlineStr"/>
      <c r="F267" s="34" t="inlineStr"/>
      <c r="G267" s="30" t="inlineStr"/>
      <c r="H267" s="30" t="inlineStr"/>
      <c r="I267" s="30" t="inlineStr"/>
      <c r="J267" s="45">
        <f>IF(A267="","",MAX(0,(E267-TODAY())/365))</f>
        <v/>
      </c>
    </row>
    <row r="268">
      <c r="A268" s="30" t="inlineStr"/>
      <c r="B268" s="30" t="inlineStr"/>
      <c r="C268" s="30" t="inlineStr"/>
      <c r="D268" s="38" t="inlineStr"/>
      <c r="E268" s="38" t="inlineStr"/>
      <c r="F268" s="34" t="inlineStr"/>
      <c r="G268" s="30" t="inlineStr"/>
      <c r="H268" s="30" t="inlineStr"/>
      <c r="I268" s="30" t="inlineStr"/>
      <c r="J268" s="45">
        <f>IF(A268="","",MAX(0,(E268-TODAY())/365))</f>
        <v/>
      </c>
    </row>
    <row r="269">
      <c r="A269" s="30" t="inlineStr"/>
      <c r="B269" s="30" t="inlineStr"/>
      <c r="C269" s="30" t="inlineStr"/>
      <c r="D269" s="38" t="inlineStr"/>
      <c r="E269" s="38" t="inlineStr"/>
      <c r="F269" s="34" t="inlineStr"/>
      <c r="G269" s="30" t="inlineStr"/>
      <c r="H269" s="30" t="inlineStr"/>
      <c r="I269" s="30" t="inlineStr"/>
      <c r="J269" s="45">
        <f>IF(A269="","",MAX(0,(E269-TODAY())/365))</f>
        <v/>
      </c>
    </row>
    <row r="270">
      <c r="A270" s="30" t="inlineStr"/>
      <c r="B270" s="30" t="inlineStr"/>
      <c r="C270" s="30" t="inlineStr"/>
      <c r="D270" s="38" t="inlineStr"/>
      <c r="E270" s="38" t="inlineStr"/>
      <c r="F270" s="34" t="inlineStr"/>
      <c r="G270" s="30" t="inlineStr"/>
      <c r="H270" s="30" t="inlineStr"/>
      <c r="I270" s="30" t="inlineStr"/>
      <c r="J270" s="45">
        <f>IF(A270="","",MAX(0,(E270-TODAY())/365))</f>
        <v/>
      </c>
    </row>
    <row r="271">
      <c r="A271" s="30" t="inlineStr"/>
      <c r="B271" s="30" t="inlineStr"/>
      <c r="C271" s="30" t="inlineStr"/>
      <c r="D271" s="38" t="inlineStr"/>
      <c r="E271" s="38" t="inlineStr"/>
      <c r="F271" s="34" t="inlineStr"/>
      <c r="G271" s="30" t="inlineStr"/>
      <c r="H271" s="30" t="inlineStr"/>
      <c r="I271" s="30" t="inlineStr"/>
      <c r="J271" s="45">
        <f>IF(A271="","",MAX(0,(E271-TODAY())/365))</f>
        <v/>
      </c>
    </row>
    <row r="272">
      <c r="A272" s="30" t="inlineStr"/>
      <c r="B272" s="30" t="inlineStr"/>
      <c r="C272" s="30" t="inlineStr"/>
      <c r="D272" s="38" t="inlineStr"/>
      <c r="E272" s="38" t="inlineStr"/>
      <c r="F272" s="34" t="inlineStr"/>
      <c r="G272" s="30" t="inlineStr"/>
      <c r="H272" s="30" t="inlineStr"/>
      <c r="I272" s="30" t="inlineStr"/>
      <c r="J272" s="45">
        <f>IF(A272="","",MAX(0,(E272-TODAY())/365))</f>
        <v/>
      </c>
    </row>
    <row r="273">
      <c r="A273" s="30" t="inlineStr"/>
      <c r="B273" s="30" t="inlineStr"/>
      <c r="C273" s="30" t="inlineStr"/>
      <c r="D273" s="38" t="inlineStr"/>
      <c r="E273" s="38" t="inlineStr"/>
      <c r="F273" s="34" t="inlineStr"/>
      <c r="G273" s="30" t="inlineStr"/>
      <c r="H273" s="30" t="inlineStr"/>
      <c r="I273" s="30" t="inlineStr"/>
      <c r="J273" s="45">
        <f>IF(A273="","",MAX(0,(E273-TODAY())/365))</f>
        <v/>
      </c>
    </row>
    <row r="274">
      <c r="A274" s="30" t="inlineStr"/>
      <c r="B274" s="30" t="inlineStr"/>
      <c r="C274" s="30" t="inlineStr"/>
      <c r="D274" s="38" t="inlineStr"/>
      <c r="E274" s="38" t="inlineStr"/>
      <c r="F274" s="34" t="inlineStr"/>
      <c r="G274" s="30" t="inlineStr"/>
      <c r="H274" s="30" t="inlineStr"/>
      <c r="I274" s="30" t="inlineStr"/>
      <c r="J274" s="45">
        <f>IF(A274="","",MAX(0,(E274-TODAY())/365))</f>
        <v/>
      </c>
    </row>
    <row r="275">
      <c r="A275" s="30" t="inlineStr"/>
      <c r="B275" s="30" t="inlineStr"/>
      <c r="C275" s="30" t="inlineStr"/>
      <c r="D275" s="38" t="inlineStr"/>
      <c r="E275" s="38" t="inlineStr"/>
      <c r="F275" s="34" t="inlineStr"/>
      <c r="G275" s="30" t="inlineStr"/>
      <c r="H275" s="30" t="inlineStr"/>
      <c r="I275" s="30" t="inlineStr"/>
      <c r="J275" s="45">
        <f>IF(A275="","",MAX(0,(E275-TODAY())/365))</f>
        <v/>
      </c>
    </row>
    <row r="276">
      <c r="A276" s="30" t="inlineStr"/>
      <c r="B276" s="30" t="inlineStr"/>
      <c r="C276" s="30" t="inlineStr"/>
      <c r="D276" s="38" t="inlineStr"/>
      <c r="E276" s="38" t="inlineStr"/>
      <c r="F276" s="34" t="inlineStr"/>
      <c r="G276" s="30" t="inlineStr"/>
      <c r="H276" s="30" t="inlineStr"/>
      <c r="I276" s="30" t="inlineStr"/>
      <c r="J276" s="45">
        <f>IF(A276="","",MAX(0,(E276-TODAY())/365))</f>
        <v/>
      </c>
    </row>
    <row r="277">
      <c r="A277" s="30" t="inlineStr"/>
      <c r="B277" s="30" t="inlineStr"/>
      <c r="C277" s="30" t="inlineStr"/>
      <c r="D277" s="38" t="inlineStr"/>
      <c r="E277" s="38" t="inlineStr"/>
      <c r="F277" s="34" t="inlineStr"/>
      <c r="G277" s="30" t="inlineStr"/>
      <c r="H277" s="30" t="inlineStr"/>
      <c r="I277" s="30" t="inlineStr"/>
      <c r="J277" s="45">
        <f>IF(A277="","",MAX(0,(E277-TODAY())/365))</f>
        <v/>
      </c>
    </row>
    <row r="278">
      <c r="A278" s="30" t="inlineStr"/>
      <c r="B278" s="30" t="inlineStr"/>
      <c r="C278" s="30" t="inlineStr"/>
      <c r="D278" s="38" t="inlineStr"/>
      <c r="E278" s="38" t="inlineStr"/>
      <c r="F278" s="34" t="inlineStr"/>
      <c r="G278" s="30" t="inlineStr"/>
      <c r="H278" s="30" t="inlineStr"/>
      <c r="I278" s="30" t="inlineStr"/>
      <c r="J278" s="45">
        <f>IF(A278="","",MAX(0,(E278-TODAY())/365))</f>
        <v/>
      </c>
    </row>
    <row r="279">
      <c r="A279" s="30" t="inlineStr"/>
      <c r="B279" s="30" t="inlineStr"/>
      <c r="C279" s="30" t="inlineStr"/>
      <c r="D279" s="38" t="inlineStr"/>
      <c r="E279" s="38" t="inlineStr"/>
      <c r="F279" s="34" t="inlineStr"/>
      <c r="G279" s="30" t="inlineStr"/>
      <c r="H279" s="30" t="inlineStr"/>
      <c r="I279" s="30" t="inlineStr"/>
      <c r="J279" s="45">
        <f>IF(A279="","",MAX(0,(E279-TODAY())/365))</f>
        <v/>
      </c>
    </row>
    <row r="280">
      <c r="A280" s="30" t="inlineStr"/>
      <c r="B280" s="30" t="inlineStr"/>
      <c r="C280" s="30" t="inlineStr"/>
      <c r="D280" s="38" t="inlineStr"/>
      <c r="E280" s="38" t="inlineStr"/>
      <c r="F280" s="34" t="inlineStr"/>
      <c r="G280" s="30" t="inlineStr"/>
      <c r="H280" s="30" t="inlineStr"/>
      <c r="I280" s="30" t="inlineStr"/>
      <c r="J280" s="45">
        <f>IF(A280="","",MAX(0,(E280-TODAY())/365))</f>
        <v/>
      </c>
    </row>
    <row r="281">
      <c r="A281" s="30" t="inlineStr"/>
      <c r="B281" s="30" t="inlineStr"/>
      <c r="C281" s="30" t="inlineStr"/>
      <c r="D281" s="38" t="inlineStr"/>
      <c r="E281" s="38" t="inlineStr"/>
      <c r="F281" s="34" t="inlineStr"/>
      <c r="G281" s="30" t="inlineStr"/>
      <c r="H281" s="30" t="inlineStr"/>
      <c r="I281" s="30" t="inlineStr"/>
      <c r="J281" s="45">
        <f>IF(A281="","",MAX(0,(E281-TODAY())/365))</f>
        <v/>
      </c>
    </row>
    <row r="282">
      <c r="A282" s="30" t="inlineStr"/>
      <c r="B282" s="30" t="inlineStr"/>
      <c r="C282" s="30" t="inlineStr"/>
      <c r="D282" s="38" t="inlineStr"/>
      <c r="E282" s="38" t="inlineStr"/>
      <c r="F282" s="34" t="inlineStr"/>
      <c r="G282" s="30" t="inlineStr"/>
      <c r="H282" s="30" t="inlineStr"/>
      <c r="I282" s="30" t="inlineStr"/>
      <c r="J282" s="45">
        <f>IF(A282="","",MAX(0,(E282-TODAY())/365))</f>
        <v/>
      </c>
    </row>
    <row r="283">
      <c r="A283" s="30" t="inlineStr"/>
      <c r="B283" s="30" t="inlineStr"/>
      <c r="C283" s="30" t="inlineStr"/>
      <c r="D283" s="38" t="inlineStr"/>
      <c r="E283" s="38" t="inlineStr"/>
      <c r="F283" s="34" t="inlineStr"/>
      <c r="G283" s="30" t="inlineStr"/>
      <c r="H283" s="30" t="inlineStr"/>
      <c r="I283" s="30" t="inlineStr"/>
      <c r="J283" s="45">
        <f>IF(A283="","",MAX(0,(E283-TODAY())/365))</f>
        <v/>
      </c>
    </row>
    <row r="284">
      <c r="A284" s="30" t="inlineStr"/>
      <c r="B284" s="30" t="inlineStr"/>
      <c r="C284" s="30" t="inlineStr"/>
      <c r="D284" s="38" t="inlineStr"/>
      <c r="E284" s="38" t="inlineStr"/>
      <c r="F284" s="34" t="inlineStr"/>
      <c r="G284" s="30" t="inlineStr"/>
      <c r="H284" s="30" t="inlineStr"/>
      <c r="I284" s="30" t="inlineStr"/>
      <c r="J284" s="45">
        <f>IF(A284="","",MAX(0,(E284-TODAY())/365))</f>
        <v/>
      </c>
    </row>
    <row r="285">
      <c r="A285" s="30" t="inlineStr"/>
      <c r="B285" s="30" t="inlineStr"/>
      <c r="C285" s="30" t="inlineStr"/>
      <c r="D285" s="38" t="inlineStr"/>
      <c r="E285" s="38" t="inlineStr"/>
      <c r="F285" s="34" t="inlineStr"/>
      <c r="G285" s="30" t="inlineStr"/>
      <c r="H285" s="30" t="inlineStr"/>
      <c r="I285" s="30" t="inlineStr"/>
      <c r="J285" s="45">
        <f>IF(A285="","",MAX(0,(E285-TODAY())/365))</f>
        <v/>
      </c>
    </row>
    <row r="286">
      <c r="A286" s="30" t="inlineStr"/>
      <c r="B286" s="30" t="inlineStr"/>
      <c r="C286" s="30" t="inlineStr"/>
      <c r="D286" s="38" t="inlineStr"/>
      <c r="E286" s="38" t="inlineStr"/>
      <c r="F286" s="34" t="inlineStr"/>
      <c r="G286" s="30" t="inlineStr"/>
      <c r="H286" s="30" t="inlineStr"/>
      <c r="I286" s="30" t="inlineStr"/>
      <c r="J286" s="45">
        <f>IF(A286="","",MAX(0,(E286-TODAY())/365))</f>
        <v/>
      </c>
    </row>
    <row r="287">
      <c r="A287" s="30" t="inlineStr"/>
      <c r="B287" s="30" t="inlineStr"/>
      <c r="C287" s="30" t="inlineStr"/>
      <c r="D287" s="38" t="inlineStr"/>
      <c r="E287" s="38" t="inlineStr"/>
      <c r="F287" s="34" t="inlineStr"/>
      <c r="G287" s="30" t="inlineStr"/>
      <c r="H287" s="30" t="inlineStr"/>
      <c r="I287" s="30" t="inlineStr"/>
      <c r="J287" s="45">
        <f>IF(A287="","",MAX(0,(E287-TODAY())/365))</f>
        <v/>
      </c>
    </row>
    <row r="288">
      <c r="A288" s="30" t="inlineStr"/>
      <c r="B288" s="30" t="inlineStr"/>
      <c r="C288" s="30" t="inlineStr"/>
      <c r="D288" s="38" t="inlineStr"/>
      <c r="E288" s="38" t="inlineStr"/>
      <c r="F288" s="34" t="inlineStr"/>
      <c r="G288" s="30" t="inlineStr"/>
      <c r="H288" s="30" t="inlineStr"/>
      <c r="I288" s="30" t="inlineStr"/>
      <c r="J288" s="45">
        <f>IF(A288="","",MAX(0,(E288-TODAY())/365))</f>
        <v/>
      </c>
    </row>
    <row r="289">
      <c r="A289" s="30" t="inlineStr"/>
      <c r="B289" s="30" t="inlineStr"/>
      <c r="C289" s="30" t="inlineStr"/>
      <c r="D289" s="38" t="inlineStr"/>
      <c r="E289" s="38" t="inlineStr"/>
      <c r="F289" s="34" t="inlineStr"/>
      <c r="G289" s="30" t="inlineStr"/>
      <c r="H289" s="30" t="inlineStr"/>
      <c r="I289" s="30" t="inlineStr"/>
      <c r="J289" s="45">
        <f>IF(A289="","",MAX(0,(E289-TODAY())/365))</f>
        <v/>
      </c>
    </row>
    <row r="290">
      <c r="A290" s="30" t="inlineStr"/>
      <c r="B290" s="30" t="inlineStr"/>
      <c r="C290" s="30" t="inlineStr"/>
      <c r="D290" s="38" t="inlineStr"/>
      <c r="E290" s="38" t="inlineStr"/>
      <c r="F290" s="34" t="inlineStr"/>
      <c r="G290" s="30" t="inlineStr"/>
      <c r="H290" s="30" t="inlineStr"/>
      <c r="I290" s="30" t="inlineStr"/>
      <c r="J290" s="45">
        <f>IF(A290="","",MAX(0,(E290-TODAY())/365))</f>
        <v/>
      </c>
    </row>
    <row r="291">
      <c r="A291" s="30" t="inlineStr"/>
      <c r="B291" s="30" t="inlineStr"/>
      <c r="C291" s="30" t="inlineStr"/>
      <c r="D291" s="38" t="inlineStr"/>
      <c r="E291" s="38" t="inlineStr"/>
      <c r="F291" s="34" t="inlineStr"/>
      <c r="G291" s="30" t="inlineStr"/>
      <c r="H291" s="30" t="inlineStr"/>
      <c r="I291" s="30" t="inlineStr"/>
      <c r="J291" s="45">
        <f>IF(A291="","",MAX(0,(E291-TODAY())/365))</f>
        <v/>
      </c>
    </row>
    <row r="292">
      <c r="A292" s="30" t="inlineStr"/>
      <c r="B292" s="30" t="inlineStr"/>
      <c r="C292" s="30" t="inlineStr"/>
      <c r="D292" s="38" t="inlineStr"/>
      <c r="E292" s="38" t="inlineStr"/>
      <c r="F292" s="34" t="inlineStr"/>
      <c r="G292" s="30" t="inlineStr"/>
      <c r="H292" s="30" t="inlineStr"/>
      <c r="I292" s="30" t="inlineStr"/>
      <c r="J292" s="45">
        <f>IF(A292="","",MAX(0,(E292-TODAY())/365))</f>
        <v/>
      </c>
    </row>
    <row r="293">
      <c r="A293" s="30" t="inlineStr"/>
      <c r="B293" s="30" t="inlineStr"/>
      <c r="C293" s="30" t="inlineStr"/>
      <c r="D293" s="38" t="inlineStr"/>
      <c r="E293" s="38" t="inlineStr"/>
      <c r="F293" s="34" t="inlineStr"/>
      <c r="G293" s="30" t="inlineStr"/>
      <c r="H293" s="30" t="inlineStr"/>
      <c r="I293" s="30" t="inlineStr"/>
      <c r="J293" s="45">
        <f>IF(A293="","",MAX(0,(E293-TODAY())/365))</f>
        <v/>
      </c>
    </row>
    <row r="294">
      <c r="A294" s="30" t="inlineStr"/>
      <c r="B294" s="30" t="inlineStr"/>
      <c r="C294" s="30" t="inlineStr"/>
      <c r="D294" s="38" t="inlineStr"/>
      <c r="E294" s="38" t="inlineStr"/>
      <c r="F294" s="34" t="inlineStr"/>
      <c r="G294" s="30" t="inlineStr"/>
      <c r="H294" s="30" t="inlineStr"/>
      <c r="I294" s="30" t="inlineStr"/>
      <c r="J294" s="45">
        <f>IF(A294="","",MAX(0,(E294-TODAY())/365))</f>
        <v/>
      </c>
    </row>
    <row r="295">
      <c r="A295" s="30" t="inlineStr"/>
      <c r="B295" s="30" t="inlineStr"/>
      <c r="C295" s="30" t="inlineStr"/>
      <c r="D295" s="38" t="inlineStr"/>
      <c r="E295" s="38" t="inlineStr"/>
      <c r="F295" s="34" t="inlineStr"/>
      <c r="G295" s="30" t="inlineStr"/>
      <c r="H295" s="30" t="inlineStr"/>
      <c r="I295" s="30" t="inlineStr"/>
      <c r="J295" s="45">
        <f>IF(A295="","",MAX(0,(E295-TODAY())/365))</f>
        <v/>
      </c>
    </row>
    <row r="296">
      <c r="A296" s="30" t="inlineStr"/>
      <c r="B296" s="30" t="inlineStr"/>
      <c r="C296" s="30" t="inlineStr"/>
      <c r="D296" s="38" t="inlineStr"/>
      <c r="E296" s="38" t="inlineStr"/>
      <c r="F296" s="34" t="inlineStr"/>
      <c r="G296" s="30" t="inlineStr"/>
      <c r="H296" s="30" t="inlineStr"/>
      <c r="I296" s="30" t="inlineStr"/>
      <c r="J296" s="45">
        <f>IF(A296="","",MAX(0,(E296-TODAY())/365))</f>
        <v/>
      </c>
    </row>
    <row r="297">
      <c r="A297" s="30" t="inlineStr"/>
      <c r="B297" s="30" t="inlineStr"/>
      <c r="C297" s="30" t="inlineStr"/>
      <c r="D297" s="38" t="inlineStr"/>
      <c r="E297" s="38" t="inlineStr"/>
      <c r="F297" s="34" t="inlineStr"/>
      <c r="G297" s="30" t="inlineStr"/>
      <c r="H297" s="30" t="inlineStr"/>
      <c r="I297" s="30" t="inlineStr"/>
      <c r="J297" s="45">
        <f>IF(A297="","",MAX(0,(E297-TODAY())/365))</f>
        <v/>
      </c>
    </row>
    <row r="298">
      <c r="A298" s="30" t="inlineStr"/>
      <c r="B298" s="30" t="inlineStr"/>
      <c r="C298" s="30" t="inlineStr"/>
      <c r="D298" s="38" t="inlineStr"/>
      <c r="E298" s="38" t="inlineStr"/>
      <c r="F298" s="34" t="inlineStr"/>
      <c r="G298" s="30" t="inlineStr"/>
      <c r="H298" s="30" t="inlineStr"/>
      <c r="I298" s="30" t="inlineStr"/>
      <c r="J298" s="45">
        <f>IF(A298="","",MAX(0,(E298-TODAY())/365))</f>
        <v/>
      </c>
    </row>
    <row r="299">
      <c r="A299" s="30" t="inlineStr"/>
      <c r="B299" s="30" t="inlineStr"/>
      <c r="C299" s="30" t="inlineStr"/>
      <c r="D299" s="38" t="inlineStr"/>
      <c r="E299" s="38" t="inlineStr"/>
      <c r="F299" s="34" t="inlineStr"/>
      <c r="G299" s="30" t="inlineStr"/>
      <c r="H299" s="30" t="inlineStr"/>
      <c r="I299" s="30" t="inlineStr"/>
      <c r="J299" s="45">
        <f>IF(A299="","",MAX(0,(E299-TODAY())/365))</f>
        <v/>
      </c>
    </row>
    <row r="300">
      <c r="A300" s="30" t="inlineStr"/>
      <c r="B300" s="30" t="inlineStr"/>
      <c r="C300" s="30" t="inlineStr"/>
      <c r="D300" s="38" t="inlineStr"/>
      <c r="E300" s="38" t="inlineStr"/>
      <c r="F300" s="34" t="inlineStr"/>
      <c r="G300" s="30" t="inlineStr"/>
      <c r="H300" s="30" t="inlineStr"/>
      <c r="I300" s="30" t="inlineStr"/>
      <c r="J300" s="45">
        <f>IF(A300="","",MAX(0,(E300-TODAY())/365))</f>
        <v/>
      </c>
    </row>
    <row r="301">
      <c r="A301" s="30" t="inlineStr"/>
      <c r="B301" s="30" t="inlineStr"/>
      <c r="C301" s="30" t="inlineStr"/>
      <c r="D301" s="38" t="inlineStr"/>
      <c r="E301" s="38" t="inlineStr"/>
      <c r="F301" s="34" t="inlineStr"/>
      <c r="G301" s="30" t="inlineStr"/>
      <c r="H301" s="30" t="inlineStr"/>
      <c r="I301" s="30" t="inlineStr"/>
      <c r="J301" s="45">
        <f>IF(A301="","",MAX(0,(E301-TODAY())/365))</f>
        <v/>
      </c>
    </row>
    <row r="302">
      <c r="A302" s="30" t="inlineStr"/>
      <c r="B302" s="30" t="inlineStr"/>
      <c r="C302" s="30" t="inlineStr"/>
      <c r="D302" s="38" t="inlineStr"/>
      <c r="E302" s="38" t="inlineStr"/>
      <c r="F302" s="34" t="inlineStr"/>
      <c r="G302" s="30" t="inlineStr"/>
      <c r="H302" s="30" t="inlineStr"/>
      <c r="I302" s="30" t="inlineStr"/>
      <c r="J302" s="45">
        <f>IF(A302="","",MAX(0,(E302-TODAY())/365))</f>
        <v/>
      </c>
    </row>
    <row r="303">
      <c r="A303" s="30" t="inlineStr"/>
      <c r="B303" s="30" t="inlineStr"/>
      <c r="C303" s="30" t="inlineStr"/>
      <c r="D303" s="38" t="inlineStr"/>
      <c r="E303" s="38" t="inlineStr"/>
      <c r="F303" s="34" t="inlineStr"/>
      <c r="G303" s="30" t="inlineStr"/>
      <c r="H303" s="30" t="inlineStr"/>
      <c r="I303" s="30" t="inlineStr"/>
      <c r="J303" s="45">
        <f>IF(A303="","",MAX(0,(E303-TODAY())/365))</f>
        <v/>
      </c>
    </row>
    <row r="304">
      <c r="A304" s="30" t="inlineStr"/>
      <c r="B304" s="30" t="inlineStr"/>
      <c r="C304" s="30" t="inlineStr"/>
      <c r="D304" s="38" t="inlineStr"/>
      <c r="E304" s="38" t="inlineStr"/>
      <c r="F304" s="34" t="inlineStr"/>
      <c r="G304" s="30" t="inlineStr"/>
      <c r="H304" s="30" t="inlineStr"/>
      <c r="I304" s="30" t="inlineStr"/>
      <c r="J304" s="45">
        <f>IF(A304="","",MAX(0,(E304-TODAY())/365))</f>
        <v/>
      </c>
    </row>
    <row r="305">
      <c r="A305" s="30" t="inlineStr"/>
      <c r="B305" s="30" t="inlineStr"/>
      <c r="C305" s="30" t="inlineStr"/>
      <c r="D305" s="38" t="inlineStr"/>
      <c r="E305" s="38" t="inlineStr"/>
      <c r="F305" s="34" t="inlineStr"/>
      <c r="G305" s="30" t="inlineStr"/>
      <c r="H305" s="30" t="inlineStr"/>
      <c r="I305" s="30" t="inlineStr"/>
      <c r="J305" s="45">
        <f>IF(A305="","",MAX(0,(E305-TODAY())/365))</f>
        <v/>
      </c>
    </row>
    <row r="306">
      <c r="A306" s="30" t="inlineStr"/>
      <c r="B306" s="30" t="inlineStr"/>
      <c r="C306" s="30" t="inlineStr"/>
      <c r="D306" s="38" t="inlineStr"/>
      <c r="E306" s="38" t="inlineStr"/>
      <c r="F306" s="34" t="inlineStr"/>
      <c r="G306" s="30" t="inlineStr"/>
      <c r="H306" s="30" t="inlineStr"/>
      <c r="I306" s="30" t="inlineStr"/>
      <c r="J306" s="45">
        <f>IF(A306="","",MAX(0,(E306-TODAY())/365))</f>
        <v/>
      </c>
    </row>
    <row r="307">
      <c r="A307" s="30" t="inlineStr"/>
      <c r="B307" s="30" t="inlineStr"/>
      <c r="C307" s="30" t="inlineStr"/>
      <c r="D307" s="38" t="inlineStr"/>
      <c r="E307" s="38" t="inlineStr"/>
      <c r="F307" s="34" t="inlineStr"/>
      <c r="G307" s="30" t="inlineStr"/>
      <c r="H307" s="30" t="inlineStr"/>
      <c r="I307" s="30" t="inlineStr"/>
      <c r="J307" s="45">
        <f>IF(A307="","",MAX(0,(E307-TODAY())/365))</f>
        <v/>
      </c>
    </row>
    <row r="308">
      <c r="A308" s="30" t="inlineStr"/>
      <c r="B308" s="30" t="inlineStr"/>
      <c r="C308" s="30" t="inlineStr"/>
      <c r="D308" s="38" t="inlineStr"/>
      <c r="E308" s="38" t="inlineStr"/>
      <c r="F308" s="34" t="inlineStr"/>
      <c r="G308" s="30" t="inlineStr"/>
      <c r="H308" s="30" t="inlineStr"/>
      <c r="I308" s="30" t="inlineStr"/>
      <c r="J308" s="45">
        <f>IF(A308="","",MAX(0,(E308-TODAY())/365))</f>
        <v/>
      </c>
    </row>
    <row r="309">
      <c r="A309" s="30" t="inlineStr"/>
      <c r="B309" s="30" t="inlineStr"/>
      <c r="C309" s="30" t="inlineStr"/>
      <c r="D309" s="38" t="inlineStr"/>
      <c r="E309" s="38" t="inlineStr"/>
      <c r="F309" s="34" t="inlineStr"/>
      <c r="G309" s="30" t="inlineStr"/>
      <c r="H309" s="30" t="inlineStr"/>
      <c r="I309" s="30" t="inlineStr"/>
      <c r="J309" s="45">
        <f>IF(A309="","",MAX(0,(E309-TODAY())/365))</f>
        <v/>
      </c>
    </row>
    <row r="310">
      <c r="A310" s="30" t="inlineStr"/>
      <c r="B310" s="30" t="inlineStr"/>
      <c r="C310" s="30" t="inlineStr"/>
      <c r="D310" s="38" t="inlineStr"/>
      <c r="E310" s="38" t="inlineStr"/>
      <c r="F310" s="34" t="inlineStr"/>
      <c r="G310" s="30" t="inlineStr"/>
      <c r="H310" s="30" t="inlineStr"/>
      <c r="I310" s="30" t="inlineStr"/>
      <c r="J310" s="45">
        <f>IF(A310="","",MAX(0,(E310-TODAY())/365))</f>
        <v/>
      </c>
    </row>
    <row r="311">
      <c r="A311" s="30" t="inlineStr"/>
      <c r="B311" s="30" t="inlineStr"/>
      <c r="C311" s="30" t="inlineStr"/>
      <c r="D311" s="38" t="inlineStr"/>
      <c r="E311" s="38" t="inlineStr"/>
      <c r="F311" s="34" t="inlineStr"/>
      <c r="G311" s="30" t="inlineStr"/>
      <c r="H311" s="30" t="inlineStr"/>
      <c r="I311" s="30" t="inlineStr"/>
      <c r="J311" s="45">
        <f>IF(A311="","",MAX(0,(E311-TODAY())/365))</f>
        <v/>
      </c>
    </row>
    <row r="312">
      <c r="A312" s="30" t="inlineStr"/>
      <c r="B312" s="30" t="inlineStr"/>
      <c r="C312" s="30" t="inlineStr"/>
      <c r="D312" s="38" t="inlineStr"/>
      <c r="E312" s="38" t="inlineStr"/>
      <c r="F312" s="34" t="inlineStr"/>
      <c r="G312" s="30" t="inlineStr"/>
      <c r="H312" s="30" t="inlineStr"/>
      <c r="I312" s="30" t="inlineStr"/>
      <c r="J312" s="45">
        <f>IF(A312="","",MAX(0,(E312-TODAY())/365))</f>
        <v/>
      </c>
    </row>
    <row r="313">
      <c r="A313" s="30" t="inlineStr"/>
      <c r="B313" s="30" t="inlineStr"/>
      <c r="C313" s="30" t="inlineStr"/>
      <c r="D313" s="38" t="inlineStr"/>
      <c r="E313" s="38" t="inlineStr"/>
      <c r="F313" s="34" t="inlineStr"/>
      <c r="G313" s="30" t="inlineStr"/>
      <c r="H313" s="30" t="inlineStr"/>
      <c r="I313" s="30" t="inlineStr"/>
      <c r="J313" s="45">
        <f>IF(A313="","",MAX(0,(E313-TODAY())/365))</f>
        <v/>
      </c>
    </row>
    <row r="314">
      <c r="A314" s="30" t="inlineStr"/>
      <c r="B314" s="30" t="inlineStr"/>
      <c r="C314" s="30" t="inlineStr"/>
      <c r="D314" s="38" t="inlineStr"/>
      <c r="E314" s="38" t="inlineStr"/>
      <c r="F314" s="34" t="inlineStr"/>
      <c r="G314" s="30" t="inlineStr"/>
      <c r="H314" s="30" t="inlineStr"/>
      <c r="I314" s="30" t="inlineStr"/>
      <c r="J314" s="45">
        <f>IF(A314="","",MAX(0,(E314-TODAY())/365))</f>
        <v/>
      </c>
    </row>
    <row r="315">
      <c r="A315" s="30" t="inlineStr"/>
      <c r="B315" s="30" t="inlineStr"/>
      <c r="C315" s="30" t="inlineStr"/>
      <c r="D315" s="38" t="inlineStr"/>
      <c r="E315" s="38" t="inlineStr"/>
      <c r="F315" s="34" t="inlineStr"/>
      <c r="G315" s="30" t="inlineStr"/>
      <c r="H315" s="30" t="inlineStr"/>
      <c r="I315" s="30" t="inlineStr"/>
      <c r="J315" s="45">
        <f>IF(A315="","",MAX(0,(E315-TODAY())/365))</f>
        <v/>
      </c>
    </row>
    <row r="316">
      <c r="A316" s="30" t="inlineStr"/>
      <c r="B316" s="30" t="inlineStr"/>
      <c r="C316" s="30" t="inlineStr"/>
      <c r="D316" s="38" t="inlineStr"/>
      <c r="E316" s="38" t="inlineStr"/>
      <c r="F316" s="34" t="inlineStr"/>
      <c r="G316" s="30" t="inlineStr"/>
      <c r="H316" s="30" t="inlineStr"/>
      <c r="I316" s="30" t="inlineStr"/>
      <c r="J316" s="45">
        <f>IF(A316="","",MAX(0,(E316-TODAY())/365))</f>
        <v/>
      </c>
    </row>
    <row r="317">
      <c r="A317" s="30" t="inlineStr"/>
      <c r="B317" s="30" t="inlineStr"/>
      <c r="C317" s="30" t="inlineStr"/>
      <c r="D317" s="38" t="inlineStr"/>
      <c r="E317" s="38" t="inlineStr"/>
      <c r="F317" s="34" t="inlineStr"/>
      <c r="G317" s="30" t="inlineStr"/>
      <c r="H317" s="30" t="inlineStr"/>
      <c r="I317" s="30" t="inlineStr"/>
      <c r="J317" s="45">
        <f>IF(A317="","",MAX(0,(E317-TODAY())/365))</f>
        <v/>
      </c>
    </row>
    <row r="318">
      <c r="A318" s="30" t="inlineStr"/>
      <c r="B318" s="30" t="inlineStr"/>
      <c r="C318" s="30" t="inlineStr"/>
      <c r="D318" s="38" t="inlineStr"/>
      <c r="E318" s="38" t="inlineStr"/>
      <c r="F318" s="34" t="inlineStr"/>
      <c r="G318" s="30" t="inlineStr"/>
      <c r="H318" s="30" t="inlineStr"/>
      <c r="I318" s="30" t="inlineStr"/>
      <c r="J318" s="45">
        <f>IF(A318="","",MAX(0,(E318-TODAY())/365))</f>
        <v/>
      </c>
    </row>
    <row r="319">
      <c r="A319" s="30" t="inlineStr"/>
      <c r="B319" s="30" t="inlineStr"/>
      <c r="C319" s="30" t="inlineStr"/>
      <c r="D319" s="38" t="inlineStr"/>
      <c r="E319" s="38" t="inlineStr"/>
      <c r="F319" s="34" t="inlineStr"/>
      <c r="G319" s="30" t="inlineStr"/>
      <c r="H319" s="30" t="inlineStr"/>
      <c r="I319" s="30" t="inlineStr"/>
      <c r="J319" s="45">
        <f>IF(A319="","",MAX(0,(E319-TODAY())/365))</f>
        <v/>
      </c>
    </row>
    <row r="320">
      <c r="A320" s="30" t="inlineStr"/>
      <c r="B320" s="30" t="inlineStr"/>
      <c r="C320" s="30" t="inlineStr"/>
      <c r="D320" s="38" t="inlineStr"/>
      <c r="E320" s="38" t="inlineStr"/>
      <c r="F320" s="34" t="inlineStr"/>
      <c r="G320" s="30" t="inlineStr"/>
      <c r="H320" s="30" t="inlineStr"/>
      <c r="I320" s="30" t="inlineStr"/>
      <c r="J320" s="45">
        <f>IF(A320="","",MAX(0,(E320-TODAY())/365))</f>
        <v/>
      </c>
    </row>
    <row r="321">
      <c r="A321" s="30" t="inlineStr"/>
      <c r="B321" s="30" t="inlineStr"/>
      <c r="C321" s="30" t="inlineStr"/>
      <c r="D321" s="38" t="inlineStr"/>
      <c r="E321" s="38" t="inlineStr"/>
      <c r="F321" s="34" t="inlineStr"/>
      <c r="G321" s="30" t="inlineStr"/>
      <c r="H321" s="30" t="inlineStr"/>
      <c r="I321" s="30" t="inlineStr"/>
      <c r="J321" s="45">
        <f>IF(A321="","",MAX(0,(E321-TODAY())/365))</f>
        <v/>
      </c>
    </row>
    <row r="322">
      <c r="A322" s="30" t="inlineStr"/>
      <c r="B322" s="30" t="inlineStr"/>
      <c r="C322" s="30" t="inlineStr"/>
      <c r="D322" s="38" t="inlineStr"/>
      <c r="E322" s="38" t="inlineStr"/>
      <c r="F322" s="34" t="inlineStr"/>
      <c r="G322" s="30" t="inlineStr"/>
      <c r="H322" s="30" t="inlineStr"/>
      <c r="I322" s="30" t="inlineStr"/>
      <c r="J322" s="45">
        <f>IF(A322="","",MAX(0,(E322-TODAY())/365))</f>
        <v/>
      </c>
    </row>
    <row r="323">
      <c r="A323" s="30" t="inlineStr"/>
      <c r="B323" s="30" t="inlineStr"/>
      <c r="C323" s="30" t="inlineStr"/>
      <c r="D323" s="38" t="inlineStr"/>
      <c r="E323" s="38" t="inlineStr"/>
      <c r="F323" s="34" t="inlineStr"/>
      <c r="G323" s="30" t="inlineStr"/>
      <c r="H323" s="30" t="inlineStr"/>
      <c r="I323" s="30" t="inlineStr"/>
      <c r="J323" s="45">
        <f>IF(A323="","",MAX(0,(E323-TODAY())/365))</f>
        <v/>
      </c>
    </row>
    <row r="324">
      <c r="A324" s="30" t="inlineStr"/>
      <c r="B324" s="30" t="inlineStr"/>
      <c r="C324" s="30" t="inlineStr"/>
      <c r="D324" s="38" t="inlineStr"/>
      <c r="E324" s="38" t="inlineStr"/>
      <c r="F324" s="34" t="inlineStr"/>
      <c r="G324" s="30" t="inlineStr"/>
      <c r="H324" s="30" t="inlineStr"/>
      <c r="I324" s="30" t="inlineStr"/>
      <c r="J324" s="45">
        <f>IF(A324="","",MAX(0,(E324-TODAY())/365))</f>
        <v/>
      </c>
    </row>
    <row r="325">
      <c r="A325" s="30" t="inlineStr"/>
      <c r="B325" s="30" t="inlineStr"/>
      <c r="C325" s="30" t="inlineStr"/>
      <c r="D325" s="38" t="inlineStr"/>
      <c r="E325" s="38" t="inlineStr"/>
      <c r="F325" s="34" t="inlineStr"/>
      <c r="G325" s="30" t="inlineStr"/>
      <c r="H325" s="30" t="inlineStr"/>
      <c r="I325" s="30" t="inlineStr"/>
      <c r="J325" s="45">
        <f>IF(A325="","",MAX(0,(E325-TODAY())/365))</f>
        <v/>
      </c>
    </row>
    <row r="326">
      <c r="A326" s="30" t="inlineStr"/>
      <c r="B326" s="30" t="inlineStr"/>
      <c r="C326" s="30" t="inlineStr"/>
      <c r="D326" s="38" t="inlineStr"/>
      <c r="E326" s="38" t="inlineStr"/>
      <c r="F326" s="34" t="inlineStr"/>
      <c r="G326" s="30" t="inlineStr"/>
      <c r="H326" s="30" t="inlineStr"/>
      <c r="I326" s="30" t="inlineStr"/>
      <c r="J326" s="45">
        <f>IF(A326="","",MAX(0,(E326-TODAY())/365))</f>
        <v/>
      </c>
    </row>
    <row r="327">
      <c r="A327" s="30" t="inlineStr"/>
      <c r="B327" s="30" t="inlineStr"/>
      <c r="C327" s="30" t="inlineStr"/>
      <c r="D327" s="38" t="inlineStr"/>
      <c r="E327" s="38" t="inlineStr"/>
      <c r="F327" s="34" t="inlineStr"/>
      <c r="G327" s="30" t="inlineStr"/>
      <c r="H327" s="30" t="inlineStr"/>
      <c r="I327" s="30" t="inlineStr"/>
      <c r="J327" s="45">
        <f>IF(A327="","",MAX(0,(E327-TODAY())/365))</f>
        <v/>
      </c>
    </row>
    <row r="328">
      <c r="A328" s="30" t="inlineStr"/>
      <c r="B328" s="30" t="inlineStr"/>
      <c r="C328" s="30" t="inlineStr"/>
      <c r="D328" s="38" t="inlineStr"/>
      <c r="E328" s="38" t="inlineStr"/>
      <c r="F328" s="34" t="inlineStr"/>
      <c r="G328" s="30" t="inlineStr"/>
      <c r="H328" s="30" t="inlineStr"/>
      <c r="I328" s="30" t="inlineStr"/>
      <c r="J328" s="45">
        <f>IF(A328="","",MAX(0,(E328-TODAY())/365))</f>
        <v/>
      </c>
    </row>
    <row r="329">
      <c r="A329" s="30" t="inlineStr"/>
      <c r="B329" s="30" t="inlineStr"/>
      <c r="C329" s="30" t="inlineStr"/>
      <c r="D329" s="38" t="inlineStr"/>
      <c r="E329" s="38" t="inlineStr"/>
      <c r="F329" s="34" t="inlineStr"/>
      <c r="G329" s="30" t="inlineStr"/>
      <c r="H329" s="30" t="inlineStr"/>
      <c r="I329" s="30" t="inlineStr"/>
      <c r="J329" s="45">
        <f>IF(A329="","",MAX(0,(E329-TODAY())/365))</f>
        <v/>
      </c>
    </row>
    <row r="330">
      <c r="A330" s="30" t="inlineStr"/>
      <c r="B330" s="30" t="inlineStr"/>
      <c r="C330" s="30" t="inlineStr"/>
      <c r="D330" s="38" t="inlineStr"/>
      <c r="E330" s="38" t="inlineStr"/>
      <c r="F330" s="34" t="inlineStr"/>
      <c r="G330" s="30" t="inlineStr"/>
      <c r="H330" s="30" t="inlineStr"/>
      <c r="I330" s="30" t="inlineStr"/>
      <c r="J330" s="45">
        <f>IF(A330="","",MAX(0,(E330-TODAY())/365))</f>
        <v/>
      </c>
    </row>
    <row r="331">
      <c r="A331" s="30" t="inlineStr"/>
      <c r="B331" s="30" t="inlineStr"/>
      <c r="C331" s="30" t="inlineStr"/>
      <c r="D331" s="38" t="inlineStr"/>
      <c r="E331" s="38" t="inlineStr"/>
      <c r="F331" s="34" t="inlineStr"/>
      <c r="G331" s="30" t="inlineStr"/>
      <c r="H331" s="30" t="inlineStr"/>
      <c r="I331" s="30" t="inlineStr"/>
      <c r="J331" s="45">
        <f>IF(A331="","",MAX(0,(E331-TODAY())/365))</f>
        <v/>
      </c>
    </row>
    <row r="332">
      <c r="A332" s="30" t="inlineStr"/>
      <c r="B332" s="30" t="inlineStr"/>
      <c r="C332" s="30" t="inlineStr"/>
      <c r="D332" s="38" t="inlineStr"/>
      <c r="E332" s="38" t="inlineStr"/>
      <c r="F332" s="34" t="inlineStr"/>
      <c r="G332" s="30" t="inlineStr"/>
      <c r="H332" s="30" t="inlineStr"/>
      <c r="I332" s="30" t="inlineStr"/>
      <c r="J332" s="45">
        <f>IF(A332="","",MAX(0,(E332-TODAY())/365))</f>
        <v/>
      </c>
    </row>
    <row r="333">
      <c r="A333" s="30" t="inlineStr"/>
      <c r="B333" s="30" t="inlineStr"/>
      <c r="C333" s="30" t="inlineStr"/>
      <c r="D333" s="38" t="inlineStr"/>
      <c r="E333" s="38" t="inlineStr"/>
      <c r="F333" s="34" t="inlineStr"/>
      <c r="G333" s="30" t="inlineStr"/>
      <c r="H333" s="30" t="inlineStr"/>
      <c r="I333" s="30" t="inlineStr"/>
      <c r="J333" s="45">
        <f>IF(A333="","",MAX(0,(E333-TODAY())/365))</f>
        <v/>
      </c>
    </row>
    <row r="334">
      <c r="A334" s="30" t="inlineStr"/>
      <c r="B334" s="30" t="inlineStr"/>
      <c r="C334" s="30" t="inlineStr"/>
      <c r="D334" s="38" t="inlineStr"/>
      <c r="E334" s="38" t="inlineStr"/>
      <c r="F334" s="34" t="inlineStr"/>
      <c r="G334" s="30" t="inlineStr"/>
      <c r="H334" s="30" t="inlineStr"/>
      <c r="I334" s="30" t="inlineStr"/>
      <c r="J334" s="45">
        <f>IF(A334="","",MAX(0,(E334-TODAY())/365))</f>
        <v/>
      </c>
    </row>
    <row r="335">
      <c r="A335" s="30" t="inlineStr"/>
      <c r="B335" s="30" t="inlineStr"/>
      <c r="C335" s="30" t="inlineStr"/>
      <c r="D335" s="38" t="inlineStr"/>
      <c r="E335" s="38" t="inlineStr"/>
      <c r="F335" s="34" t="inlineStr"/>
      <c r="G335" s="30" t="inlineStr"/>
      <c r="H335" s="30" t="inlineStr"/>
      <c r="I335" s="30" t="inlineStr"/>
      <c r="J335" s="45">
        <f>IF(A335="","",MAX(0,(E335-TODAY())/365))</f>
        <v/>
      </c>
    </row>
    <row r="336">
      <c r="A336" s="30" t="inlineStr"/>
      <c r="B336" s="30" t="inlineStr"/>
      <c r="C336" s="30" t="inlineStr"/>
      <c r="D336" s="38" t="inlineStr"/>
      <c r="E336" s="38" t="inlineStr"/>
      <c r="F336" s="34" t="inlineStr"/>
      <c r="G336" s="30" t="inlineStr"/>
      <c r="H336" s="30" t="inlineStr"/>
      <c r="I336" s="30" t="inlineStr"/>
      <c r="J336" s="45">
        <f>IF(A336="","",MAX(0,(E336-TODAY())/365))</f>
        <v/>
      </c>
    </row>
    <row r="337">
      <c r="A337" s="30" t="inlineStr"/>
      <c r="B337" s="30" t="inlineStr"/>
      <c r="C337" s="30" t="inlineStr"/>
      <c r="D337" s="38" t="inlineStr"/>
      <c r="E337" s="38" t="inlineStr"/>
      <c r="F337" s="34" t="inlineStr"/>
      <c r="G337" s="30" t="inlineStr"/>
      <c r="H337" s="30" t="inlineStr"/>
      <c r="I337" s="30" t="inlineStr"/>
      <c r="J337" s="45">
        <f>IF(A337="","",MAX(0,(E337-TODAY())/365))</f>
        <v/>
      </c>
    </row>
    <row r="338">
      <c r="A338" s="30" t="inlineStr"/>
      <c r="B338" s="30" t="inlineStr"/>
      <c r="C338" s="30" t="inlineStr"/>
      <c r="D338" s="38" t="inlineStr"/>
      <c r="E338" s="38" t="inlineStr"/>
      <c r="F338" s="34" t="inlineStr"/>
      <c r="G338" s="30" t="inlineStr"/>
      <c r="H338" s="30" t="inlineStr"/>
      <c r="I338" s="30" t="inlineStr"/>
      <c r="J338" s="45">
        <f>IF(A338="","",MAX(0,(E338-TODAY())/365))</f>
        <v/>
      </c>
    </row>
    <row r="339">
      <c r="A339" s="30" t="inlineStr"/>
      <c r="B339" s="30" t="inlineStr"/>
      <c r="C339" s="30" t="inlineStr"/>
      <c r="D339" s="38" t="inlineStr"/>
      <c r="E339" s="38" t="inlineStr"/>
      <c r="F339" s="34" t="inlineStr"/>
      <c r="G339" s="30" t="inlineStr"/>
      <c r="H339" s="30" t="inlineStr"/>
      <c r="I339" s="30" t="inlineStr"/>
      <c r="J339" s="45">
        <f>IF(A339="","",MAX(0,(E339-TODAY())/365))</f>
        <v/>
      </c>
    </row>
    <row r="340">
      <c r="A340" s="30" t="inlineStr"/>
      <c r="B340" s="30" t="inlineStr"/>
      <c r="C340" s="30" t="inlineStr"/>
      <c r="D340" s="38" t="inlineStr"/>
      <c r="E340" s="38" t="inlineStr"/>
      <c r="F340" s="34" t="inlineStr"/>
      <c r="G340" s="30" t="inlineStr"/>
      <c r="H340" s="30" t="inlineStr"/>
      <c r="I340" s="30" t="inlineStr"/>
      <c r="J340" s="45">
        <f>IF(A340="","",MAX(0,(E340-TODAY())/365))</f>
        <v/>
      </c>
    </row>
    <row r="341">
      <c r="A341" s="30" t="inlineStr"/>
      <c r="B341" s="30" t="inlineStr"/>
      <c r="C341" s="30" t="inlineStr"/>
      <c r="D341" s="38" t="inlineStr"/>
      <c r="E341" s="38" t="inlineStr"/>
      <c r="F341" s="34" t="inlineStr"/>
      <c r="G341" s="30" t="inlineStr"/>
      <c r="H341" s="30" t="inlineStr"/>
      <c r="I341" s="30" t="inlineStr"/>
      <c r="J341" s="45">
        <f>IF(A341="","",MAX(0,(E341-TODAY())/365))</f>
        <v/>
      </c>
    </row>
    <row r="342">
      <c r="A342" s="30" t="inlineStr"/>
      <c r="B342" s="30" t="inlineStr"/>
      <c r="C342" s="30" t="inlineStr"/>
      <c r="D342" s="38" t="inlineStr"/>
      <c r="E342" s="38" t="inlineStr"/>
      <c r="F342" s="34" t="inlineStr"/>
      <c r="G342" s="30" t="inlineStr"/>
      <c r="H342" s="30" t="inlineStr"/>
      <c r="I342" s="30" t="inlineStr"/>
      <c r="J342" s="45">
        <f>IF(A342="","",MAX(0,(E342-TODAY())/365))</f>
        <v/>
      </c>
    </row>
    <row r="343">
      <c r="A343" s="30" t="inlineStr"/>
      <c r="B343" s="30" t="inlineStr"/>
      <c r="C343" s="30" t="inlineStr"/>
      <c r="D343" s="38" t="inlineStr"/>
      <c r="E343" s="38" t="inlineStr"/>
      <c r="F343" s="34" t="inlineStr"/>
      <c r="G343" s="30" t="inlineStr"/>
      <c r="H343" s="30" t="inlineStr"/>
      <c r="I343" s="30" t="inlineStr"/>
      <c r="J343" s="45">
        <f>IF(A343="","",MAX(0,(E343-TODAY())/365))</f>
        <v/>
      </c>
    </row>
    <row r="344">
      <c r="A344" s="30" t="inlineStr"/>
      <c r="B344" s="30" t="inlineStr"/>
      <c r="C344" s="30" t="inlineStr"/>
      <c r="D344" s="38" t="inlineStr"/>
      <c r="E344" s="38" t="inlineStr"/>
      <c r="F344" s="34" t="inlineStr"/>
      <c r="G344" s="30" t="inlineStr"/>
      <c r="H344" s="30" t="inlineStr"/>
      <c r="I344" s="30" t="inlineStr"/>
      <c r="J344" s="45">
        <f>IF(A344="","",MAX(0,(E344-TODAY())/365))</f>
        <v/>
      </c>
    </row>
    <row r="345">
      <c r="A345" s="30" t="inlineStr"/>
      <c r="B345" s="30" t="inlineStr"/>
      <c r="C345" s="30" t="inlineStr"/>
      <c r="D345" s="38" t="inlineStr"/>
      <c r="E345" s="38" t="inlineStr"/>
      <c r="F345" s="34" t="inlineStr"/>
      <c r="G345" s="30" t="inlineStr"/>
      <c r="H345" s="30" t="inlineStr"/>
      <c r="I345" s="30" t="inlineStr"/>
      <c r="J345" s="45">
        <f>IF(A345="","",MAX(0,(E345-TODAY())/365))</f>
        <v/>
      </c>
    </row>
    <row r="346">
      <c r="A346" s="30" t="inlineStr"/>
      <c r="B346" s="30" t="inlineStr"/>
      <c r="C346" s="30" t="inlineStr"/>
      <c r="D346" s="38" t="inlineStr"/>
      <c r="E346" s="38" t="inlineStr"/>
      <c r="F346" s="34" t="inlineStr"/>
      <c r="G346" s="30" t="inlineStr"/>
      <c r="H346" s="30" t="inlineStr"/>
      <c r="I346" s="30" t="inlineStr"/>
      <c r="J346" s="45">
        <f>IF(A346="","",MAX(0,(E346-TODAY())/365))</f>
        <v/>
      </c>
    </row>
    <row r="347">
      <c r="A347" s="30" t="inlineStr"/>
      <c r="B347" s="30" t="inlineStr"/>
      <c r="C347" s="30" t="inlineStr"/>
      <c r="D347" s="38" t="inlineStr"/>
      <c r="E347" s="38" t="inlineStr"/>
      <c r="F347" s="34" t="inlineStr"/>
      <c r="G347" s="30" t="inlineStr"/>
      <c r="H347" s="30" t="inlineStr"/>
      <c r="I347" s="30" t="inlineStr"/>
      <c r="J347" s="45">
        <f>IF(A347="","",MAX(0,(E347-TODAY())/365))</f>
        <v/>
      </c>
    </row>
    <row r="348">
      <c r="A348" s="30" t="inlineStr"/>
      <c r="B348" s="30" t="inlineStr"/>
      <c r="C348" s="30" t="inlineStr"/>
      <c r="D348" s="38" t="inlineStr"/>
      <c r="E348" s="38" t="inlineStr"/>
      <c r="F348" s="34" t="inlineStr"/>
      <c r="G348" s="30" t="inlineStr"/>
      <c r="H348" s="30" t="inlineStr"/>
      <c r="I348" s="30" t="inlineStr"/>
      <c r="J348" s="45">
        <f>IF(A348="","",MAX(0,(E348-TODAY())/365))</f>
        <v/>
      </c>
    </row>
    <row r="349">
      <c r="A349" s="30" t="inlineStr"/>
      <c r="B349" s="30" t="inlineStr"/>
      <c r="C349" s="30" t="inlineStr"/>
      <c r="D349" s="38" t="inlineStr"/>
      <c r="E349" s="38" t="inlineStr"/>
      <c r="F349" s="34" t="inlineStr"/>
      <c r="G349" s="30" t="inlineStr"/>
      <c r="H349" s="30" t="inlineStr"/>
      <c r="I349" s="30" t="inlineStr"/>
      <c r="J349" s="45">
        <f>IF(A349="","",MAX(0,(E349-TODAY())/365))</f>
        <v/>
      </c>
    </row>
    <row r="350">
      <c r="A350" s="30" t="inlineStr"/>
      <c r="B350" s="30" t="inlineStr"/>
      <c r="C350" s="30" t="inlineStr"/>
      <c r="D350" s="38" t="inlineStr"/>
      <c r="E350" s="38" t="inlineStr"/>
      <c r="F350" s="34" t="inlineStr"/>
      <c r="G350" s="30" t="inlineStr"/>
      <c r="H350" s="30" t="inlineStr"/>
      <c r="I350" s="30" t="inlineStr"/>
      <c r="J350" s="45">
        <f>IF(A350="","",MAX(0,(E350-TODAY())/365))</f>
        <v/>
      </c>
    </row>
    <row r="351">
      <c r="A351" s="30" t="inlineStr"/>
      <c r="B351" s="30" t="inlineStr"/>
      <c r="C351" s="30" t="inlineStr"/>
      <c r="D351" s="38" t="inlineStr"/>
      <c r="E351" s="38" t="inlineStr"/>
      <c r="F351" s="34" t="inlineStr"/>
      <c r="G351" s="30" t="inlineStr"/>
      <c r="H351" s="30" t="inlineStr"/>
      <c r="I351" s="30" t="inlineStr"/>
      <c r="J351" s="45">
        <f>IF(A351="","",MAX(0,(E351-TODAY())/365))</f>
        <v/>
      </c>
    </row>
    <row r="352">
      <c r="A352" s="30" t="inlineStr"/>
      <c r="B352" s="30" t="inlineStr"/>
      <c r="C352" s="30" t="inlineStr"/>
      <c r="D352" s="38" t="inlineStr"/>
      <c r="E352" s="38" t="inlineStr"/>
      <c r="F352" s="34" t="inlineStr"/>
      <c r="G352" s="30" t="inlineStr"/>
      <c r="H352" s="30" t="inlineStr"/>
      <c r="I352" s="30" t="inlineStr"/>
      <c r="J352" s="45">
        <f>IF(A352="","",MAX(0,(E352-TODAY())/365))</f>
        <v/>
      </c>
    </row>
    <row r="353">
      <c r="A353" s="30" t="inlineStr"/>
      <c r="B353" s="30" t="inlineStr"/>
      <c r="C353" s="30" t="inlineStr"/>
      <c r="D353" s="38" t="inlineStr"/>
      <c r="E353" s="38" t="inlineStr"/>
      <c r="F353" s="34" t="inlineStr"/>
      <c r="G353" s="30" t="inlineStr"/>
      <c r="H353" s="30" t="inlineStr"/>
      <c r="I353" s="30" t="inlineStr"/>
      <c r="J353" s="45">
        <f>IF(A353="","",MAX(0,(E353-TODAY())/365))</f>
        <v/>
      </c>
    </row>
    <row r="354">
      <c r="A354" s="30" t="inlineStr"/>
      <c r="B354" s="30" t="inlineStr"/>
      <c r="C354" s="30" t="inlineStr"/>
      <c r="D354" s="38" t="inlineStr"/>
      <c r="E354" s="38" t="inlineStr"/>
      <c r="F354" s="34" t="inlineStr"/>
      <c r="G354" s="30" t="inlineStr"/>
      <c r="H354" s="30" t="inlineStr"/>
      <c r="I354" s="30" t="inlineStr"/>
      <c r="J354" s="45">
        <f>IF(A354="","",MAX(0,(E354-TODAY())/365))</f>
        <v/>
      </c>
    </row>
    <row r="355">
      <c r="A355" s="30" t="inlineStr"/>
      <c r="B355" s="30" t="inlineStr"/>
      <c r="C355" s="30" t="inlineStr"/>
      <c r="D355" s="38" t="inlineStr"/>
      <c r="E355" s="38" t="inlineStr"/>
      <c r="F355" s="34" t="inlineStr"/>
      <c r="G355" s="30" t="inlineStr"/>
      <c r="H355" s="30" t="inlineStr"/>
      <c r="I355" s="30" t="inlineStr"/>
      <c r="J355" s="45">
        <f>IF(A355="","",MAX(0,(E355-TODAY())/365))</f>
        <v/>
      </c>
    </row>
    <row r="356">
      <c r="A356" s="30" t="inlineStr"/>
      <c r="B356" s="30" t="inlineStr"/>
      <c r="C356" s="30" t="inlineStr"/>
      <c r="D356" s="38" t="inlineStr"/>
      <c r="E356" s="38" t="inlineStr"/>
      <c r="F356" s="34" t="inlineStr"/>
      <c r="G356" s="30" t="inlineStr"/>
      <c r="H356" s="30" t="inlineStr"/>
      <c r="I356" s="30" t="inlineStr"/>
      <c r="J356" s="45">
        <f>IF(A356="","",MAX(0,(E356-TODAY())/365))</f>
        <v/>
      </c>
    </row>
    <row r="357">
      <c r="A357" s="30" t="inlineStr"/>
      <c r="B357" s="30" t="inlineStr"/>
      <c r="C357" s="30" t="inlineStr"/>
      <c r="D357" s="38" t="inlineStr"/>
      <c r="E357" s="38" t="inlineStr"/>
      <c r="F357" s="34" t="inlineStr"/>
      <c r="G357" s="30" t="inlineStr"/>
      <c r="H357" s="30" t="inlineStr"/>
      <c r="I357" s="30" t="inlineStr"/>
      <c r="J357" s="45">
        <f>IF(A357="","",MAX(0,(E357-TODAY())/365))</f>
        <v/>
      </c>
    </row>
    <row r="358">
      <c r="A358" s="30" t="inlineStr"/>
      <c r="B358" s="30" t="inlineStr"/>
      <c r="C358" s="30" t="inlineStr"/>
      <c r="D358" s="38" t="inlineStr"/>
      <c r="E358" s="38" t="inlineStr"/>
      <c r="F358" s="34" t="inlineStr"/>
      <c r="G358" s="30" t="inlineStr"/>
      <c r="H358" s="30" t="inlineStr"/>
      <c r="I358" s="30" t="inlineStr"/>
      <c r="J358" s="45">
        <f>IF(A358="","",MAX(0,(E358-TODAY())/365))</f>
        <v/>
      </c>
    </row>
    <row r="359">
      <c r="A359" s="30" t="inlineStr"/>
      <c r="B359" s="30" t="inlineStr"/>
      <c r="C359" s="30" t="inlineStr"/>
      <c r="D359" s="38" t="inlineStr"/>
      <c r="E359" s="38" t="inlineStr"/>
      <c r="F359" s="34" t="inlineStr"/>
      <c r="G359" s="30" t="inlineStr"/>
      <c r="H359" s="30" t="inlineStr"/>
      <c r="I359" s="30" t="inlineStr"/>
      <c r="J359" s="45">
        <f>IF(A359="","",MAX(0,(E359-TODAY())/365))</f>
        <v/>
      </c>
    </row>
    <row r="360">
      <c r="A360" s="30" t="inlineStr"/>
      <c r="B360" s="30" t="inlineStr"/>
      <c r="C360" s="30" t="inlineStr"/>
      <c r="D360" s="38" t="inlineStr"/>
      <c r="E360" s="38" t="inlineStr"/>
      <c r="F360" s="34" t="inlineStr"/>
      <c r="G360" s="30" t="inlineStr"/>
      <c r="H360" s="30" t="inlineStr"/>
      <c r="I360" s="30" t="inlineStr"/>
      <c r="J360" s="45">
        <f>IF(A360="","",MAX(0,(E360-TODAY())/365))</f>
        <v/>
      </c>
    </row>
    <row r="361">
      <c r="A361" s="30" t="inlineStr"/>
      <c r="B361" s="30" t="inlineStr"/>
      <c r="C361" s="30" t="inlineStr"/>
      <c r="D361" s="38" t="inlineStr"/>
      <c r="E361" s="38" t="inlineStr"/>
      <c r="F361" s="34" t="inlineStr"/>
      <c r="G361" s="30" t="inlineStr"/>
      <c r="H361" s="30" t="inlineStr"/>
      <c r="I361" s="30" t="inlineStr"/>
      <c r="J361" s="45">
        <f>IF(A361="","",MAX(0,(E361-TODAY())/365))</f>
        <v/>
      </c>
    </row>
    <row r="362">
      <c r="A362" s="30" t="inlineStr"/>
      <c r="B362" s="30" t="inlineStr"/>
      <c r="C362" s="30" t="inlineStr"/>
      <c r="D362" s="38" t="inlineStr"/>
      <c r="E362" s="38" t="inlineStr"/>
      <c r="F362" s="34" t="inlineStr"/>
      <c r="G362" s="30" t="inlineStr"/>
      <c r="H362" s="30" t="inlineStr"/>
      <c r="I362" s="30" t="inlineStr"/>
      <c r="J362" s="45">
        <f>IF(A362="","",MAX(0,(E362-TODAY())/365))</f>
        <v/>
      </c>
    </row>
    <row r="363">
      <c r="A363" s="30" t="inlineStr"/>
      <c r="B363" s="30" t="inlineStr"/>
      <c r="C363" s="30" t="inlineStr"/>
      <c r="D363" s="38" t="inlineStr"/>
      <c r="E363" s="38" t="inlineStr"/>
      <c r="F363" s="34" t="inlineStr"/>
      <c r="G363" s="30" t="inlineStr"/>
      <c r="H363" s="30" t="inlineStr"/>
      <c r="I363" s="30" t="inlineStr"/>
      <c r="J363" s="45">
        <f>IF(A363="","",MAX(0,(E363-TODAY())/365))</f>
        <v/>
      </c>
    </row>
    <row r="364">
      <c r="A364" s="30" t="inlineStr"/>
      <c r="B364" s="30" t="inlineStr"/>
      <c r="C364" s="30" t="inlineStr"/>
      <c r="D364" s="38" t="inlineStr"/>
      <c r="E364" s="38" t="inlineStr"/>
      <c r="F364" s="34" t="inlineStr"/>
      <c r="G364" s="30" t="inlineStr"/>
      <c r="H364" s="30" t="inlineStr"/>
      <c r="I364" s="30" t="inlineStr"/>
      <c r="J364" s="45">
        <f>IF(A364="","",MAX(0,(E364-TODAY())/365))</f>
        <v/>
      </c>
    </row>
    <row r="365">
      <c r="A365" s="30" t="inlineStr"/>
      <c r="B365" s="30" t="inlineStr"/>
      <c r="C365" s="30" t="inlineStr"/>
      <c r="D365" s="38" t="inlineStr"/>
      <c r="E365" s="38" t="inlineStr"/>
      <c r="F365" s="34" t="inlineStr"/>
      <c r="G365" s="30" t="inlineStr"/>
      <c r="H365" s="30" t="inlineStr"/>
      <c r="I365" s="30" t="inlineStr"/>
      <c r="J365" s="45">
        <f>IF(A365="","",MAX(0,(E365-TODAY())/365))</f>
        <v/>
      </c>
    </row>
    <row r="366">
      <c r="A366" s="30" t="inlineStr"/>
      <c r="B366" s="30" t="inlineStr"/>
      <c r="C366" s="30" t="inlineStr"/>
      <c r="D366" s="38" t="inlineStr"/>
      <c r="E366" s="38" t="inlineStr"/>
      <c r="F366" s="34" t="inlineStr"/>
      <c r="G366" s="30" t="inlineStr"/>
      <c r="H366" s="30" t="inlineStr"/>
      <c r="I366" s="30" t="inlineStr"/>
      <c r="J366" s="45">
        <f>IF(A366="","",MAX(0,(E366-TODAY())/365))</f>
        <v/>
      </c>
    </row>
    <row r="367">
      <c r="A367" s="30" t="inlineStr"/>
      <c r="B367" s="30" t="inlineStr"/>
      <c r="C367" s="30" t="inlineStr"/>
      <c r="D367" s="38" t="inlineStr"/>
      <c r="E367" s="38" t="inlineStr"/>
      <c r="F367" s="34" t="inlineStr"/>
      <c r="G367" s="30" t="inlineStr"/>
      <c r="H367" s="30" t="inlineStr"/>
      <c r="I367" s="30" t="inlineStr"/>
      <c r="J367" s="45">
        <f>IF(A367="","",MAX(0,(E367-TODAY())/365))</f>
        <v/>
      </c>
    </row>
    <row r="368">
      <c r="A368" s="30" t="inlineStr"/>
      <c r="B368" s="30" t="inlineStr"/>
      <c r="C368" s="30" t="inlineStr"/>
      <c r="D368" s="38" t="inlineStr"/>
      <c r="E368" s="38" t="inlineStr"/>
      <c r="F368" s="34" t="inlineStr"/>
      <c r="G368" s="30" t="inlineStr"/>
      <c r="H368" s="30" t="inlineStr"/>
      <c r="I368" s="30" t="inlineStr"/>
      <c r="J368" s="45">
        <f>IF(A368="","",MAX(0,(E368-TODAY())/365))</f>
        <v/>
      </c>
    </row>
    <row r="369">
      <c r="A369" s="30" t="inlineStr"/>
      <c r="B369" s="30" t="inlineStr"/>
      <c r="C369" s="30" t="inlineStr"/>
      <c r="D369" s="38" t="inlineStr"/>
      <c r="E369" s="38" t="inlineStr"/>
      <c r="F369" s="34" t="inlineStr"/>
      <c r="G369" s="30" t="inlineStr"/>
      <c r="H369" s="30" t="inlineStr"/>
      <c r="I369" s="30" t="inlineStr"/>
      <c r="J369" s="45">
        <f>IF(A369="","",MAX(0,(E369-TODAY())/365))</f>
        <v/>
      </c>
    </row>
    <row r="370">
      <c r="A370" s="30" t="inlineStr"/>
      <c r="B370" s="30" t="inlineStr"/>
      <c r="C370" s="30" t="inlineStr"/>
      <c r="D370" s="38" t="inlineStr"/>
      <c r="E370" s="38" t="inlineStr"/>
      <c r="F370" s="34" t="inlineStr"/>
      <c r="G370" s="30" t="inlineStr"/>
      <c r="H370" s="30" t="inlineStr"/>
      <c r="I370" s="30" t="inlineStr"/>
      <c r="J370" s="45">
        <f>IF(A370="","",MAX(0,(E370-TODAY())/365))</f>
        <v/>
      </c>
    </row>
    <row r="371">
      <c r="A371" s="30" t="inlineStr"/>
      <c r="B371" s="30" t="inlineStr"/>
      <c r="C371" s="30" t="inlineStr"/>
      <c r="D371" s="38" t="inlineStr"/>
      <c r="E371" s="38" t="inlineStr"/>
      <c r="F371" s="34" t="inlineStr"/>
      <c r="G371" s="30" t="inlineStr"/>
      <c r="H371" s="30" t="inlineStr"/>
      <c r="I371" s="30" t="inlineStr"/>
      <c r="J371" s="45">
        <f>IF(A371="","",MAX(0,(E371-TODAY())/365))</f>
        <v/>
      </c>
    </row>
    <row r="372">
      <c r="A372" s="30" t="inlineStr"/>
      <c r="B372" s="30" t="inlineStr"/>
      <c r="C372" s="30" t="inlineStr"/>
      <c r="D372" s="38" t="inlineStr"/>
      <c r="E372" s="38" t="inlineStr"/>
      <c r="F372" s="34" t="inlineStr"/>
      <c r="G372" s="30" t="inlineStr"/>
      <c r="H372" s="30" t="inlineStr"/>
      <c r="I372" s="30" t="inlineStr"/>
      <c r="J372" s="45">
        <f>IF(A372="","",MAX(0,(E372-TODAY())/365))</f>
        <v/>
      </c>
    </row>
    <row r="373">
      <c r="A373" s="30" t="inlineStr"/>
      <c r="B373" s="30" t="inlineStr"/>
      <c r="C373" s="30" t="inlineStr"/>
      <c r="D373" s="38" t="inlineStr"/>
      <c r="E373" s="38" t="inlineStr"/>
      <c r="F373" s="34" t="inlineStr"/>
      <c r="G373" s="30" t="inlineStr"/>
      <c r="H373" s="30" t="inlineStr"/>
      <c r="I373" s="30" t="inlineStr"/>
      <c r="J373" s="45">
        <f>IF(A373="","",MAX(0,(E373-TODAY())/365))</f>
        <v/>
      </c>
    </row>
    <row r="374">
      <c r="A374" s="30" t="inlineStr"/>
      <c r="B374" s="30" t="inlineStr"/>
      <c r="C374" s="30" t="inlineStr"/>
      <c r="D374" s="38" t="inlineStr"/>
      <c r="E374" s="38" t="inlineStr"/>
      <c r="F374" s="34" t="inlineStr"/>
      <c r="G374" s="30" t="inlineStr"/>
      <c r="H374" s="30" t="inlineStr"/>
      <c r="I374" s="30" t="inlineStr"/>
      <c r="J374" s="45">
        <f>IF(A374="","",MAX(0,(E374-TODAY())/365))</f>
        <v/>
      </c>
    </row>
    <row r="375">
      <c r="A375" s="30" t="inlineStr"/>
      <c r="B375" s="30" t="inlineStr"/>
      <c r="C375" s="30" t="inlineStr"/>
      <c r="D375" s="38" t="inlineStr"/>
      <c r="E375" s="38" t="inlineStr"/>
      <c r="F375" s="34" t="inlineStr"/>
      <c r="G375" s="30" t="inlineStr"/>
      <c r="H375" s="30" t="inlineStr"/>
      <c r="I375" s="30" t="inlineStr"/>
      <c r="J375" s="45">
        <f>IF(A375="","",MAX(0,(E375-TODAY())/365))</f>
        <v/>
      </c>
    </row>
    <row r="376">
      <c r="A376" s="30" t="inlineStr"/>
      <c r="B376" s="30" t="inlineStr"/>
      <c r="C376" s="30" t="inlineStr"/>
      <c r="D376" s="38" t="inlineStr"/>
      <c r="E376" s="38" t="inlineStr"/>
      <c r="F376" s="34" t="inlineStr"/>
      <c r="G376" s="30" t="inlineStr"/>
      <c r="H376" s="30" t="inlineStr"/>
      <c r="I376" s="30" t="inlineStr"/>
      <c r="J376" s="45">
        <f>IF(A376="","",MAX(0,(E376-TODAY())/365))</f>
        <v/>
      </c>
    </row>
    <row r="377">
      <c r="A377" s="30" t="inlineStr"/>
      <c r="B377" s="30" t="inlineStr"/>
      <c r="C377" s="30" t="inlineStr"/>
      <c r="D377" s="38" t="inlineStr"/>
      <c r="E377" s="38" t="inlineStr"/>
      <c r="F377" s="34" t="inlineStr"/>
      <c r="G377" s="30" t="inlineStr"/>
      <c r="H377" s="30" t="inlineStr"/>
      <c r="I377" s="30" t="inlineStr"/>
      <c r="J377" s="45">
        <f>IF(A377="","",MAX(0,(E377-TODAY())/365))</f>
        <v/>
      </c>
    </row>
    <row r="378">
      <c r="A378" s="30" t="inlineStr"/>
      <c r="B378" s="30" t="inlineStr"/>
      <c r="C378" s="30" t="inlineStr"/>
      <c r="D378" s="38" t="inlineStr"/>
      <c r="E378" s="38" t="inlineStr"/>
      <c r="F378" s="34" t="inlineStr"/>
      <c r="G378" s="30" t="inlineStr"/>
      <c r="H378" s="30" t="inlineStr"/>
      <c r="I378" s="30" t="inlineStr"/>
      <c r="J378" s="45">
        <f>IF(A378="","",MAX(0,(E378-TODAY())/365))</f>
        <v/>
      </c>
    </row>
    <row r="379">
      <c r="A379" s="30" t="inlineStr"/>
      <c r="B379" s="30" t="inlineStr"/>
      <c r="C379" s="30" t="inlineStr"/>
      <c r="D379" s="38" t="inlineStr"/>
      <c r="E379" s="38" t="inlineStr"/>
      <c r="F379" s="34" t="inlineStr"/>
      <c r="G379" s="30" t="inlineStr"/>
      <c r="H379" s="30" t="inlineStr"/>
      <c r="I379" s="30" t="inlineStr"/>
      <c r="J379" s="45">
        <f>IF(A379="","",MAX(0,(E379-TODAY())/365))</f>
        <v/>
      </c>
    </row>
    <row r="380">
      <c r="A380" s="30" t="inlineStr"/>
      <c r="B380" s="30" t="inlineStr"/>
      <c r="C380" s="30" t="inlineStr"/>
      <c r="D380" s="38" t="inlineStr"/>
      <c r="E380" s="38" t="inlineStr"/>
      <c r="F380" s="34" t="inlineStr"/>
      <c r="G380" s="30" t="inlineStr"/>
      <c r="H380" s="30" t="inlineStr"/>
      <c r="I380" s="30" t="inlineStr"/>
      <c r="J380" s="45">
        <f>IF(A380="","",MAX(0,(E380-TODAY())/365))</f>
        <v/>
      </c>
    </row>
    <row r="381">
      <c r="A381" s="30" t="inlineStr"/>
      <c r="B381" s="30" t="inlineStr"/>
      <c r="C381" s="30" t="inlineStr"/>
      <c r="D381" s="38" t="inlineStr"/>
      <c r="E381" s="38" t="inlineStr"/>
      <c r="F381" s="34" t="inlineStr"/>
      <c r="G381" s="30" t="inlineStr"/>
      <c r="H381" s="30" t="inlineStr"/>
      <c r="I381" s="30" t="inlineStr"/>
      <c r="J381" s="45">
        <f>IF(A381="","",MAX(0,(E381-TODAY())/365))</f>
        <v/>
      </c>
    </row>
    <row r="382">
      <c r="A382" s="30" t="inlineStr"/>
      <c r="B382" s="30" t="inlineStr"/>
      <c r="C382" s="30" t="inlineStr"/>
      <c r="D382" s="38" t="inlineStr"/>
      <c r="E382" s="38" t="inlineStr"/>
      <c r="F382" s="34" t="inlineStr"/>
      <c r="G382" s="30" t="inlineStr"/>
      <c r="H382" s="30" t="inlineStr"/>
      <c r="I382" s="30" t="inlineStr"/>
      <c r="J382" s="45">
        <f>IF(A382="","",MAX(0,(E382-TODAY())/365))</f>
        <v/>
      </c>
    </row>
    <row r="383">
      <c r="A383" s="30" t="inlineStr"/>
      <c r="B383" s="30" t="inlineStr"/>
      <c r="C383" s="30" t="inlineStr"/>
      <c r="D383" s="38" t="inlineStr"/>
      <c r="E383" s="38" t="inlineStr"/>
      <c r="F383" s="34" t="inlineStr"/>
      <c r="G383" s="30" t="inlineStr"/>
      <c r="H383" s="30" t="inlineStr"/>
      <c r="I383" s="30" t="inlineStr"/>
      <c r="J383" s="45">
        <f>IF(A383="","",MAX(0,(E383-TODAY())/365))</f>
        <v/>
      </c>
    </row>
    <row r="384">
      <c r="A384" s="30" t="inlineStr"/>
      <c r="B384" s="30" t="inlineStr"/>
      <c r="C384" s="30" t="inlineStr"/>
      <c r="D384" s="38" t="inlineStr"/>
      <c r="E384" s="38" t="inlineStr"/>
      <c r="F384" s="34" t="inlineStr"/>
      <c r="G384" s="30" t="inlineStr"/>
      <c r="H384" s="30" t="inlineStr"/>
      <c r="I384" s="30" t="inlineStr"/>
      <c r="J384" s="45">
        <f>IF(A384="","",MAX(0,(E384-TODAY())/365))</f>
        <v/>
      </c>
    </row>
    <row r="385">
      <c r="A385" s="30" t="inlineStr"/>
      <c r="B385" s="30" t="inlineStr"/>
      <c r="C385" s="30" t="inlineStr"/>
      <c r="D385" s="38" t="inlineStr"/>
      <c r="E385" s="38" t="inlineStr"/>
      <c r="F385" s="34" t="inlineStr"/>
      <c r="G385" s="30" t="inlineStr"/>
      <c r="H385" s="30" t="inlineStr"/>
      <c r="I385" s="30" t="inlineStr"/>
      <c r="J385" s="45">
        <f>IF(A385="","",MAX(0,(E385-TODAY())/365))</f>
        <v/>
      </c>
    </row>
    <row r="386">
      <c r="A386" s="30" t="inlineStr"/>
      <c r="B386" s="30" t="inlineStr"/>
      <c r="C386" s="30" t="inlineStr"/>
      <c r="D386" s="38" t="inlineStr"/>
      <c r="E386" s="38" t="inlineStr"/>
      <c r="F386" s="34" t="inlineStr"/>
      <c r="G386" s="30" t="inlineStr"/>
      <c r="H386" s="30" t="inlineStr"/>
      <c r="I386" s="30" t="inlineStr"/>
      <c r="J386" s="45">
        <f>IF(A386="","",MAX(0,(E386-TODAY())/365))</f>
        <v/>
      </c>
    </row>
    <row r="387">
      <c r="A387" s="30" t="inlineStr"/>
      <c r="B387" s="30" t="inlineStr"/>
      <c r="C387" s="30" t="inlineStr"/>
      <c r="D387" s="38" t="inlineStr"/>
      <c r="E387" s="38" t="inlineStr"/>
      <c r="F387" s="34" t="inlineStr"/>
      <c r="G387" s="30" t="inlineStr"/>
      <c r="H387" s="30" t="inlineStr"/>
      <c r="I387" s="30" t="inlineStr"/>
      <c r="J387" s="45">
        <f>IF(A387="","",MAX(0,(E387-TODAY())/365))</f>
        <v/>
      </c>
    </row>
    <row r="388">
      <c r="A388" s="30" t="inlineStr"/>
      <c r="B388" s="30" t="inlineStr"/>
      <c r="C388" s="30" t="inlineStr"/>
      <c r="D388" s="38" t="inlineStr"/>
      <c r="E388" s="38" t="inlineStr"/>
      <c r="F388" s="34" t="inlineStr"/>
      <c r="G388" s="30" t="inlineStr"/>
      <c r="H388" s="30" t="inlineStr"/>
      <c r="I388" s="30" t="inlineStr"/>
      <c r="J388" s="45">
        <f>IF(A388="","",MAX(0,(E388-TODAY())/365))</f>
        <v/>
      </c>
    </row>
    <row r="389">
      <c r="A389" s="30" t="inlineStr"/>
      <c r="B389" s="30" t="inlineStr"/>
      <c r="C389" s="30" t="inlineStr"/>
      <c r="D389" s="38" t="inlineStr"/>
      <c r="E389" s="38" t="inlineStr"/>
      <c r="F389" s="34" t="inlineStr"/>
      <c r="G389" s="30" t="inlineStr"/>
      <c r="H389" s="30" t="inlineStr"/>
      <c r="I389" s="30" t="inlineStr"/>
      <c r="J389" s="45">
        <f>IF(A389="","",MAX(0,(E389-TODAY())/365))</f>
        <v/>
      </c>
    </row>
    <row r="390">
      <c r="A390" s="30" t="inlineStr"/>
      <c r="B390" s="30" t="inlineStr"/>
      <c r="C390" s="30" t="inlineStr"/>
      <c r="D390" s="38" t="inlineStr"/>
      <c r="E390" s="38" t="inlineStr"/>
      <c r="F390" s="34" t="inlineStr"/>
      <c r="G390" s="30" t="inlineStr"/>
      <c r="H390" s="30" t="inlineStr"/>
      <c r="I390" s="30" t="inlineStr"/>
      <c r="J390" s="45">
        <f>IF(A390="","",MAX(0,(E390-TODAY())/365))</f>
        <v/>
      </c>
    </row>
    <row r="391">
      <c r="A391" s="30" t="inlineStr"/>
      <c r="B391" s="30" t="inlineStr"/>
      <c r="C391" s="30" t="inlineStr"/>
      <c r="D391" s="38" t="inlineStr"/>
      <c r="E391" s="38" t="inlineStr"/>
      <c r="F391" s="34" t="inlineStr"/>
      <c r="G391" s="30" t="inlineStr"/>
      <c r="H391" s="30" t="inlineStr"/>
      <c r="I391" s="30" t="inlineStr"/>
      <c r="J391" s="45">
        <f>IF(A391="","",MAX(0,(E391-TODAY())/365))</f>
        <v/>
      </c>
    </row>
    <row r="392">
      <c r="A392" s="30" t="inlineStr"/>
      <c r="B392" s="30" t="inlineStr"/>
      <c r="C392" s="30" t="inlineStr"/>
      <c r="D392" s="38" t="inlineStr"/>
      <c r="E392" s="38" t="inlineStr"/>
      <c r="F392" s="34" t="inlineStr"/>
      <c r="G392" s="30" t="inlineStr"/>
      <c r="H392" s="30" t="inlineStr"/>
      <c r="I392" s="30" t="inlineStr"/>
      <c r="J392" s="45">
        <f>IF(A392="","",MAX(0,(E392-TODAY())/365))</f>
        <v/>
      </c>
    </row>
    <row r="393">
      <c r="A393" s="30" t="inlineStr"/>
      <c r="B393" s="30" t="inlineStr"/>
      <c r="C393" s="30" t="inlineStr"/>
      <c r="D393" s="38" t="inlineStr"/>
      <c r="E393" s="38" t="inlineStr"/>
      <c r="F393" s="34" t="inlineStr"/>
      <c r="G393" s="30" t="inlineStr"/>
      <c r="H393" s="30" t="inlineStr"/>
      <c r="I393" s="30" t="inlineStr"/>
      <c r="J393" s="45">
        <f>IF(A393="","",MAX(0,(E393-TODAY())/365))</f>
        <v/>
      </c>
    </row>
    <row r="394">
      <c r="A394" s="30" t="inlineStr"/>
      <c r="B394" s="30" t="inlineStr"/>
      <c r="C394" s="30" t="inlineStr"/>
      <c r="D394" s="38" t="inlineStr"/>
      <c r="E394" s="38" t="inlineStr"/>
      <c r="F394" s="34" t="inlineStr"/>
      <c r="G394" s="30" t="inlineStr"/>
      <c r="H394" s="30" t="inlineStr"/>
      <c r="I394" s="30" t="inlineStr"/>
      <c r="J394" s="45">
        <f>IF(A394="","",MAX(0,(E394-TODAY())/365))</f>
        <v/>
      </c>
    </row>
    <row r="395">
      <c r="A395" s="30" t="inlineStr"/>
      <c r="B395" s="30" t="inlineStr"/>
      <c r="C395" s="30" t="inlineStr"/>
      <c r="D395" s="38" t="inlineStr"/>
      <c r="E395" s="38" t="inlineStr"/>
      <c r="F395" s="34" t="inlineStr"/>
      <c r="G395" s="30" t="inlineStr"/>
      <c r="H395" s="30" t="inlineStr"/>
      <c r="I395" s="30" t="inlineStr"/>
      <c r="J395" s="45">
        <f>IF(A395="","",MAX(0,(E395-TODAY())/365))</f>
        <v/>
      </c>
    </row>
    <row r="396">
      <c r="A396" s="30" t="inlineStr"/>
      <c r="B396" s="30" t="inlineStr"/>
      <c r="C396" s="30" t="inlineStr"/>
      <c r="D396" s="38" t="inlineStr"/>
      <c r="E396" s="38" t="inlineStr"/>
      <c r="F396" s="34" t="inlineStr"/>
      <c r="G396" s="30" t="inlineStr"/>
      <c r="H396" s="30" t="inlineStr"/>
      <c r="I396" s="30" t="inlineStr"/>
      <c r="J396" s="45">
        <f>IF(A396="","",MAX(0,(E396-TODAY())/365))</f>
        <v/>
      </c>
    </row>
    <row r="397">
      <c r="A397" s="30" t="inlineStr"/>
      <c r="B397" s="30" t="inlineStr"/>
      <c r="C397" s="30" t="inlineStr"/>
      <c r="D397" s="38" t="inlineStr"/>
      <c r="E397" s="38" t="inlineStr"/>
      <c r="F397" s="34" t="inlineStr"/>
      <c r="G397" s="30" t="inlineStr"/>
      <c r="H397" s="30" t="inlineStr"/>
      <c r="I397" s="30" t="inlineStr"/>
      <c r="J397" s="45">
        <f>IF(A397="","",MAX(0,(E397-TODAY())/365))</f>
        <v/>
      </c>
    </row>
    <row r="398">
      <c r="A398" s="30" t="inlineStr"/>
      <c r="B398" s="30" t="inlineStr"/>
      <c r="C398" s="30" t="inlineStr"/>
      <c r="D398" s="38" t="inlineStr"/>
      <c r="E398" s="38" t="inlineStr"/>
      <c r="F398" s="34" t="inlineStr"/>
      <c r="G398" s="30" t="inlineStr"/>
      <c r="H398" s="30" t="inlineStr"/>
      <c r="I398" s="30" t="inlineStr"/>
      <c r="J398" s="45">
        <f>IF(A398="","",MAX(0,(E398-TODAY())/365))</f>
        <v/>
      </c>
    </row>
    <row r="399">
      <c r="A399" s="30" t="inlineStr"/>
      <c r="B399" s="30" t="inlineStr"/>
      <c r="C399" s="30" t="inlineStr"/>
      <c r="D399" s="38" t="inlineStr"/>
      <c r="E399" s="38" t="inlineStr"/>
      <c r="F399" s="34" t="inlineStr"/>
      <c r="G399" s="30" t="inlineStr"/>
      <c r="H399" s="30" t="inlineStr"/>
      <c r="I399" s="30" t="inlineStr"/>
      <c r="J399" s="45">
        <f>IF(A399="","",MAX(0,(E399-TODAY())/365))</f>
        <v/>
      </c>
    </row>
    <row r="400">
      <c r="A400" s="30" t="inlineStr"/>
      <c r="B400" s="30" t="inlineStr"/>
      <c r="C400" s="30" t="inlineStr"/>
      <c r="D400" s="38" t="inlineStr"/>
      <c r="E400" s="38" t="inlineStr"/>
      <c r="F400" s="34" t="inlineStr"/>
      <c r="G400" s="30" t="inlineStr"/>
      <c r="H400" s="30" t="inlineStr"/>
      <c r="I400" s="30" t="inlineStr"/>
      <c r="J400" s="45">
        <f>IF(A400="","",MAX(0,(E400-TODAY())/365))</f>
        <v/>
      </c>
    </row>
  </sheetData>
  <mergeCells count="2">
    <mergeCell ref="A1:J1"/>
    <mergeCell ref="A2:J2"/>
  </mergeCells>
  <dataValidations count="2">
    <dataValidation sqref="B4:B400" showDropDown="0" showInputMessage="0" showErrorMessage="0" allowBlank="1" errorTitle="Ungültige Auswahl" error="Bitte einen Wert aus der Liste wählen." promptTitle="Liste" prompt="Auswahl" type="list">
      <formula1>=ProjektNr</formula1>
    </dataValidation>
    <dataValidation sqref="G4:G400" showDropDown="0" showInputMessage="0" showErrorMessage="0" allowBlank="1" errorTitle="Ungültige Auswahl" error="Bitte einen Wert aus der Liste wählen." promptTitle="Liste" prompt="Auswahl" type="list">
      <formula1>"Einbehalt,Bürgschaft,Aval,Gewährleistung"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B8860B"/>
    <outlinePr summaryBelow="1" summaryRight="1"/>
    <pageSetUpPr/>
  </sheetPr>
  <dimension ref="A1:P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8" customWidth="1" min="5" max="5"/>
    <col width="14" customWidth="1" min="6" max="6"/>
    <col width="10" customWidth="1" min="7" max="7"/>
    <col width="10" customWidth="1" min="8" max="8"/>
    <col width="14" customWidth="1" min="9" max="9"/>
    <col width="14" customWidth="1" min="10" max="10"/>
    <col width="12" customWidth="1" min="11" max="11"/>
    <col width="20" customWidth="1" min="12" max="12"/>
    <col width="16" customWidth="1" min="13" max="13"/>
  </cols>
  <sheetData>
    <row r="1" ht="28" customHeight="1">
      <c r="A1" s="1" t="inlineStr">
        <is>
          <t>Angebotsverfolgung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3" t="n"/>
      <c r="P1" s="3" t="n"/>
    </row>
    <row r="2" ht="18" customHeight="1">
      <c r="A2" s="4" t="inlineStr">
        <is>
          <t>Hit-Rate, Bindefrist und Zuschläge AGK / Wagnis+Gewinn aus Stammdaten vorbelegt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3" t="n"/>
      <c r="O2" s="3" t="n"/>
      <c r="P2" s="3" t="n"/>
    </row>
    <row r="3" ht="28" customHeight="1">
      <c r="A3" s="17" t="inlineStr">
        <is>
          <t>Nr</t>
        </is>
      </c>
      <c r="B3" s="17" t="inlineStr">
        <is>
          <t>Datum</t>
        </is>
      </c>
      <c r="C3" s="17" t="inlineStr">
        <is>
          <t>Kunde</t>
        </is>
      </c>
      <c r="D3" s="17" t="inlineStr">
        <is>
          <t>Projekt</t>
        </is>
      </c>
      <c r="E3" s="17" t="inlineStr">
        <is>
          <t>Bezeichnung</t>
        </is>
      </c>
      <c r="F3" s="17" t="inlineStr">
        <is>
          <t>Netto</t>
        </is>
      </c>
      <c r="G3" s="17" t="inlineStr">
        <is>
          <t>AGK %</t>
        </is>
      </c>
      <c r="H3" s="17" t="inlineStr">
        <is>
          <t>W+G %</t>
        </is>
      </c>
      <c r="I3" s="17" t="inlineStr">
        <is>
          <t>Status</t>
        </is>
      </c>
      <c r="J3" s="17" t="inlineStr">
        <is>
          <t>Entscheidung</t>
        </is>
      </c>
      <c r="K3" s="17" t="inlineStr">
        <is>
          <t>Bindefrist Tage</t>
        </is>
      </c>
      <c r="L3" s="17" t="inlineStr">
        <is>
          <t>Angebotssumme inkl. Zuschlag</t>
        </is>
      </c>
      <c r="M3" s="17" t="inlineStr">
        <is>
          <t>Hit-Rate-Hilfe</t>
        </is>
      </c>
      <c r="N3" s="3" t="n"/>
      <c r="O3" s="3" t="n"/>
      <c r="P3" s="3" t="n"/>
    </row>
    <row r="4">
      <c r="A4" s="30" t="inlineStr">
        <is>
          <t>AN-26001</t>
        </is>
      </c>
      <c r="B4" s="38" t="n">
        <v>45979</v>
      </c>
      <c r="C4" s="30" t="inlineStr">
        <is>
          <t>K-1001</t>
        </is>
      </c>
      <c r="D4" s="30" t="inlineStr">
        <is>
          <t>P-2026-001</t>
        </is>
      </c>
      <c r="E4" s="30" t="inlineStr">
        <is>
          <t>Wohnquartier Am Park</t>
        </is>
      </c>
      <c r="F4" s="34" t="n">
        <v>2400000</v>
      </c>
      <c r="G4" s="32" t="n">
        <v>0.12</v>
      </c>
      <c r="H4" s="32" t="n">
        <v>0.05</v>
      </c>
      <c r="I4" s="30" t="inlineStr">
        <is>
          <t>angenommen</t>
        </is>
      </c>
      <c r="J4" s="38" t="n">
        <v>46000</v>
      </c>
      <c r="K4" s="31" t="n">
        <v>90</v>
      </c>
      <c r="L4" s="15">
        <f>IF(A4="","",F4*(1+G4)*(1+H4))</f>
        <v/>
      </c>
      <c r="M4" s="13">
        <f>IF(A4="","",IF(I4="angenommen","Auftrag",IF(AND(I4="offen",TODAY()&gt;B4+K4),"Bindefrist!","")))</f>
        <v/>
      </c>
      <c r="N4" s="3" t="n"/>
      <c r="O4" s="3" t="n"/>
      <c r="P4" s="3" t="n"/>
    </row>
    <row r="5">
      <c r="A5" s="30" t="inlineStr">
        <is>
          <t>AN-26002</t>
        </is>
      </c>
      <c r="B5" s="38" t="n">
        <v>46036</v>
      </c>
      <c r="C5" s="30" t="inlineStr">
        <is>
          <t>K-1003</t>
        </is>
      </c>
      <c r="D5" s="30" t="inlineStr">
        <is>
          <t>P-2026-002</t>
        </is>
      </c>
      <c r="E5" s="30" t="inlineStr">
        <is>
          <t>Kita Sonnenweg</t>
        </is>
      </c>
      <c r="F5" s="34" t="n">
        <v>890000</v>
      </c>
      <c r="G5" s="32" t="n">
        <v>0.12</v>
      </c>
      <c r="H5" s="32" t="n">
        <v>0.05</v>
      </c>
      <c r="I5" s="30" t="inlineStr">
        <is>
          <t>angenommen</t>
        </is>
      </c>
      <c r="J5" s="38" t="n">
        <v>46063</v>
      </c>
      <c r="K5" s="31" t="n">
        <v>60</v>
      </c>
      <c r="L5" s="15">
        <f>IF(A5="","",F5*(1+G5)*(1+H5))</f>
        <v/>
      </c>
      <c r="M5" s="13">
        <f>IF(A5="","",IF(I5="angenommen","Auftrag",IF(AND(I5="offen",TODAY()&gt;B5+K5),"Bindefrist!","")))</f>
        <v/>
      </c>
      <c r="N5" s="3" t="n"/>
      <c r="O5" s="3" t="n"/>
      <c r="P5" s="3" t="n"/>
    </row>
    <row r="6">
      <c r="A6" s="30" t="inlineStr">
        <is>
          <t>AN-26003</t>
        </is>
      </c>
      <c r="B6" s="38" t="n">
        <v>46030</v>
      </c>
      <c r="C6" s="30" t="inlineStr">
        <is>
          <t>K-1002</t>
        </is>
      </c>
      <c r="D6" s="30" t="inlineStr">
        <is>
          <t>P-2026-003</t>
        </is>
      </c>
      <c r="E6" s="30" t="inlineStr">
        <is>
          <t>Sanierung Rathaus</t>
        </is>
      </c>
      <c r="F6" s="34" t="n">
        <v>1100000</v>
      </c>
      <c r="G6" s="32" t="n">
        <v>0.14</v>
      </c>
      <c r="H6" s="32" t="n">
        <v>0.06</v>
      </c>
      <c r="I6" s="30" t="inlineStr">
        <is>
          <t>angenommen</t>
        </is>
      </c>
      <c r="J6" s="38" t="n">
        <v>46055</v>
      </c>
      <c r="K6" s="31" t="n">
        <v>90</v>
      </c>
      <c r="L6" s="15">
        <f>IF(A6="","",F6*(1+G6)*(1+H6))</f>
        <v/>
      </c>
      <c r="M6" s="13">
        <f>IF(A6="","",IF(I6="angenommen","Auftrag",IF(AND(I6="offen",TODAY()&gt;B6+K6),"Bindefrist!","")))</f>
        <v/>
      </c>
      <c r="N6" s="3" t="n"/>
      <c r="O6" s="3" t="n"/>
      <c r="P6" s="3" t="n"/>
    </row>
    <row r="7">
      <c r="A7" s="30" t="inlineStr">
        <is>
          <t>AN-26004</t>
        </is>
      </c>
      <c r="B7" s="38" t="n">
        <v>46073</v>
      </c>
      <c r="C7" s="30" t="inlineStr">
        <is>
          <t>K-1004</t>
        </is>
      </c>
      <c r="D7" s="30" t="inlineStr">
        <is>
          <t>P-2026-004</t>
        </is>
      </c>
      <c r="E7" s="30" t="inlineStr">
        <is>
          <t>Gewerbehalle Nord</t>
        </is>
      </c>
      <c r="F7" s="34" t="n">
        <v>3200000</v>
      </c>
      <c r="G7" s="32" t="n">
        <v>0.11</v>
      </c>
      <c r="H7" s="32" t="n">
        <v>0.05</v>
      </c>
      <c r="I7" s="30" t="inlineStr">
        <is>
          <t>angenommen</t>
        </is>
      </c>
      <c r="J7" s="38" t="n">
        <v>46099</v>
      </c>
      <c r="K7" s="31" t="n">
        <v>90</v>
      </c>
      <c r="L7" s="15">
        <f>IF(A7="","",F7*(1+G7)*(1+H7))</f>
        <v/>
      </c>
      <c r="M7" s="13">
        <f>IF(A7="","",IF(I7="angenommen","Auftrag",IF(AND(I7="offen",TODAY()&gt;B7+K7),"Bindefrist!","")))</f>
        <v/>
      </c>
    </row>
    <row r="8">
      <c r="A8" s="30" t="inlineStr">
        <is>
          <t>AN-26005</t>
        </is>
      </c>
      <c r="B8" s="38" t="n">
        <v>45840</v>
      </c>
      <c r="C8" s="30" t="inlineStr">
        <is>
          <t>K-1005</t>
        </is>
      </c>
      <c r="D8" s="30" t="inlineStr">
        <is>
          <t>P-2026-005</t>
        </is>
      </c>
      <c r="E8" s="30" t="inlineStr">
        <is>
          <t>EFH Familie Huber</t>
        </is>
      </c>
      <c r="F8" s="34" t="n">
        <v>420000</v>
      </c>
      <c r="G8" s="32" t="n">
        <v>0.13</v>
      </c>
      <c r="H8" s="32" t="n">
        <v>0.05</v>
      </c>
      <c r="I8" s="30" t="inlineStr">
        <is>
          <t>angenommen</t>
        </is>
      </c>
      <c r="J8" s="38" t="n">
        <v>45860</v>
      </c>
      <c r="K8" s="31" t="n">
        <v>30</v>
      </c>
      <c r="L8" s="15">
        <f>IF(A8="","",F8*(1+G8)*(1+H8))</f>
        <v/>
      </c>
      <c r="M8" s="13">
        <f>IF(A8="","",IF(I8="angenommen","Auftrag",IF(AND(I8="offen",TODAY()&gt;B8+K8),"Bindefrist!","")))</f>
        <v/>
      </c>
    </row>
    <row r="9">
      <c r="A9" s="30" t="inlineStr">
        <is>
          <t>AN-26006</t>
        </is>
      </c>
      <c r="B9" s="38" t="n">
        <v>46184</v>
      </c>
      <c r="C9" s="30" t="inlineStr">
        <is>
          <t>K-1006</t>
        </is>
      </c>
      <c r="D9" s="30" t="inlineStr">
        <is>
          <t>P-2026-006</t>
        </is>
      </c>
      <c r="E9" s="30" t="inlineStr">
        <is>
          <t>Straßenbau B13</t>
        </is>
      </c>
      <c r="F9" s="34" t="n">
        <v>1800000</v>
      </c>
      <c r="G9" s="32" t="n">
        <v>0.1</v>
      </c>
      <c r="H9" s="32" t="n">
        <v>0.05</v>
      </c>
      <c r="I9" s="30" t="inlineStr">
        <is>
          <t>angenommen</t>
        </is>
      </c>
      <c r="J9" s="38" t="n">
        <v>46246</v>
      </c>
      <c r="K9" s="31" t="n">
        <v>120</v>
      </c>
      <c r="L9" s="15">
        <f>IF(A9="","",F9*(1+G9)*(1+H9))</f>
        <v/>
      </c>
      <c r="M9" s="13">
        <f>IF(A9="","",IF(I9="angenommen","Auftrag",IF(AND(I9="offen",TODAY()&gt;B9+K9),"Bindefrist!","")))</f>
        <v/>
      </c>
    </row>
    <row r="10">
      <c r="A10" s="30" t="inlineStr">
        <is>
          <t>AN-26007</t>
        </is>
      </c>
      <c r="B10" s="38" t="n">
        <v>46273</v>
      </c>
      <c r="C10" s="30" t="inlineStr">
        <is>
          <t>K-1001</t>
        </is>
      </c>
      <c r="D10" s="30" t="inlineStr"/>
      <c r="E10" s="30" t="inlineStr">
        <is>
          <t>Wohnquartier Phase 2</t>
        </is>
      </c>
      <c r="F10" s="34" t="n">
        <v>1650000</v>
      </c>
      <c r="G10" s="32" t="n">
        <v>0.12</v>
      </c>
      <c r="H10" s="32" t="n">
        <v>0.05</v>
      </c>
      <c r="I10" s="30" t="inlineStr">
        <is>
          <t>offen</t>
        </is>
      </c>
      <c r="J10" s="38" t="n"/>
      <c r="K10" s="31" t="n">
        <v>60</v>
      </c>
      <c r="L10" s="15">
        <f>IF(A10="","",F10*(1+G10)*(1+H10))</f>
        <v/>
      </c>
      <c r="M10" s="13">
        <f>IF(A10="","",IF(I10="angenommen","Auftrag",IF(AND(I10="offen",TODAY()&gt;B10+K10),"Bindefrist!","")))</f>
        <v/>
      </c>
    </row>
    <row r="11">
      <c r="A11" s="30" t="inlineStr">
        <is>
          <t>AN-26008</t>
        </is>
      </c>
      <c r="B11" s="38" t="n">
        <v>46287</v>
      </c>
      <c r="C11" s="30" t="inlineStr">
        <is>
          <t>K-1004</t>
        </is>
      </c>
      <c r="D11" s="30" t="inlineStr"/>
      <c r="E11" s="30" t="inlineStr">
        <is>
          <t>Büroanbau Halle Nord</t>
        </is>
      </c>
      <c r="F11" s="34" t="n">
        <v>480000</v>
      </c>
      <c r="G11" s="32" t="n">
        <v>0.12</v>
      </c>
      <c r="H11" s="32" t="n">
        <v>0.05</v>
      </c>
      <c r="I11" s="30" t="inlineStr">
        <is>
          <t>offen</t>
        </is>
      </c>
      <c r="J11" s="38" t="n"/>
      <c r="K11" s="31" t="n">
        <v>45</v>
      </c>
      <c r="L11" s="15">
        <f>IF(A11="","",F11*(1+G11)*(1+H11))</f>
        <v/>
      </c>
      <c r="M11" s="13">
        <f>IF(A11="","",IF(I11="angenommen","Auftrag",IF(AND(I11="offen",TODAY()&gt;B11+K11),"Bindefrist!","")))</f>
        <v/>
      </c>
    </row>
    <row r="12">
      <c r="A12" s="30" t="inlineStr"/>
      <c r="B12" s="38" t="inlineStr"/>
      <c r="C12" s="30" t="inlineStr"/>
      <c r="D12" s="30" t="inlineStr"/>
      <c r="E12" s="30" t="inlineStr"/>
      <c r="F12" s="34" t="inlineStr"/>
      <c r="G12" s="32" t="inlineStr"/>
      <c r="H12" s="32" t="inlineStr"/>
      <c r="I12" s="30" t="inlineStr"/>
      <c r="J12" s="38" t="inlineStr"/>
      <c r="K12" s="31" t="inlineStr"/>
      <c r="L12" s="15">
        <f>IF(A12="","",F12*(1+G12)*(1+H12))</f>
        <v/>
      </c>
      <c r="M12" s="13">
        <f>IF(A12="","",IF(I12="angenommen","Auftrag",IF(AND(I12="offen",TODAY()&gt;B12+K12),"Bindefrist!","")))</f>
        <v/>
      </c>
    </row>
    <row r="13">
      <c r="A13" s="30" t="inlineStr"/>
      <c r="B13" s="38" t="inlineStr"/>
      <c r="C13" s="30" t="inlineStr"/>
      <c r="D13" s="30" t="inlineStr"/>
      <c r="E13" s="30" t="inlineStr"/>
      <c r="F13" s="34" t="inlineStr"/>
      <c r="G13" s="32" t="inlineStr"/>
      <c r="H13" s="32" t="inlineStr"/>
      <c r="I13" s="30" t="inlineStr"/>
      <c r="J13" s="38" t="inlineStr"/>
      <c r="K13" s="31" t="inlineStr"/>
      <c r="L13" s="15">
        <f>IF(A13="","",F13*(1+G13)*(1+H13))</f>
        <v/>
      </c>
      <c r="M13" s="13">
        <f>IF(A13="","",IF(I13="angenommen","Auftrag",IF(AND(I13="offen",TODAY()&gt;B13+K13),"Bindefrist!","")))</f>
        <v/>
      </c>
    </row>
    <row r="14">
      <c r="A14" s="30" t="inlineStr"/>
      <c r="B14" s="38" t="inlineStr"/>
      <c r="C14" s="30" t="inlineStr"/>
      <c r="D14" s="30" t="inlineStr"/>
      <c r="E14" s="30" t="inlineStr"/>
      <c r="F14" s="34" t="inlineStr"/>
      <c r="G14" s="32" t="inlineStr"/>
      <c r="H14" s="32" t="inlineStr"/>
      <c r="I14" s="30" t="inlineStr"/>
      <c r="J14" s="38" t="inlineStr"/>
      <c r="K14" s="31" t="inlineStr"/>
      <c r="L14" s="15">
        <f>IF(A14="","",F14*(1+G14)*(1+H14))</f>
        <v/>
      </c>
      <c r="M14" s="13">
        <f>IF(A14="","",IF(I14="angenommen","Auftrag",IF(AND(I14="offen",TODAY()&gt;B14+K14),"Bindefrist!","")))</f>
        <v/>
      </c>
    </row>
    <row r="15">
      <c r="A15" s="30" t="inlineStr"/>
      <c r="B15" s="38" t="inlineStr"/>
      <c r="C15" s="30" t="inlineStr"/>
      <c r="D15" s="30" t="inlineStr"/>
      <c r="E15" s="30" t="inlineStr"/>
      <c r="F15" s="34" t="inlineStr"/>
      <c r="G15" s="32" t="inlineStr"/>
      <c r="H15" s="32" t="inlineStr"/>
      <c r="I15" s="30" t="inlineStr"/>
      <c r="J15" s="38" t="inlineStr"/>
      <c r="K15" s="31" t="inlineStr"/>
      <c r="L15" s="15">
        <f>IF(A15="","",F15*(1+G15)*(1+H15))</f>
        <v/>
      </c>
      <c r="M15" s="13">
        <f>IF(A15="","",IF(I15="angenommen","Auftrag",IF(AND(I15="offen",TODAY()&gt;B15+K15),"Bindefrist!","")))</f>
        <v/>
      </c>
    </row>
    <row r="16">
      <c r="A16" s="30" t="inlineStr"/>
      <c r="B16" s="38" t="inlineStr"/>
      <c r="C16" s="30" t="inlineStr"/>
      <c r="D16" s="30" t="inlineStr"/>
      <c r="E16" s="30" t="inlineStr"/>
      <c r="F16" s="34" t="inlineStr"/>
      <c r="G16" s="32" t="inlineStr"/>
      <c r="H16" s="32" t="inlineStr"/>
      <c r="I16" s="30" t="inlineStr"/>
      <c r="J16" s="38" t="inlineStr"/>
      <c r="K16" s="31" t="inlineStr"/>
      <c r="L16" s="15">
        <f>IF(A16="","",F16*(1+G16)*(1+H16))</f>
        <v/>
      </c>
      <c r="M16" s="13">
        <f>IF(A16="","",IF(I16="angenommen","Auftrag",IF(AND(I16="offen",TODAY()&gt;B16+K16),"Bindefrist!","")))</f>
        <v/>
      </c>
    </row>
    <row r="17">
      <c r="A17" s="30" t="inlineStr"/>
      <c r="B17" s="38" t="inlineStr"/>
      <c r="C17" s="30" t="inlineStr"/>
      <c r="D17" s="30" t="inlineStr"/>
      <c r="E17" s="30" t="inlineStr"/>
      <c r="F17" s="34" t="inlineStr"/>
      <c r="G17" s="32" t="inlineStr"/>
      <c r="H17" s="32" t="inlineStr"/>
      <c r="I17" s="30" t="inlineStr"/>
      <c r="J17" s="38" t="inlineStr"/>
      <c r="K17" s="31" t="inlineStr"/>
      <c r="L17" s="15">
        <f>IF(A17="","",F17*(1+G17)*(1+H17))</f>
        <v/>
      </c>
      <c r="M17" s="13">
        <f>IF(A17="","",IF(I17="angenommen","Auftrag",IF(AND(I17="offen",TODAY()&gt;B17+K17),"Bindefrist!","")))</f>
        <v/>
      </c>
    </row>
    <row r="18">
      <c r="A18" s="30" t="inlineStr"/>
      <c r="B18" s="38" t="inlineStr"/>
      <c r="C18" s="30" t="inlineStr"/>
      <c r="D18" s="30" t="inlineStr"/>
      <c r="E18" s="30" t="inlineStr"/>
      <c r="F18" s="34" t="inlineStr"/>
      <c r="G18" s="32" t="inlineStr"/>
      <c r="H18" s="32" t="inlineStr"/>
      <c r="I18" s="30" t="inlineStr"/>
      <c r="J18" s="38" t="inlineStr"/>
      <c r="K18" s="31" t="inlineStr"/>
      <c r="L18" s="15">
        <f>IF(A18="","",F18*(1+G18)*(1+H18))</f>
        <v/>
      </c>
      <c r="M18" s="13">
        <f>IF(A18="","",IF(I18="angenommen","Auftrag",IF(AND(I18="offen",TODAY()&gt;B18+K18),"Bindefrist!","")))</f>
        <v/>
      </c>
    </row>
    <row r="19">
      <c r="A19" s="30" t="inlineStr"/>
      <c r="B19" s="38" t="inlineStr"/>
      <c r="C19" s="30" t="inlineStr"/>
      <c r="D19" s="30" t="inlineStr"/>
      <c r="E19" s="30" t="inlineStr"/>
      <c r="F19" s="34" t="inlineStr"/>
      <c r="G19" s="32" t="inlineStr"/>
      <c r="H19" s="32" t="inlineStr"/>
      <c r="I19" s="30" t="inlineStr"/>
      <c r="J19" s="38" t="inlineStr"/>
      <c r="K19" s="31" t="inlineStr"/>
      <c r="L19" s="15">
        <f>IF(A19="","",F19*(1+G19)*(1+H19))</f>
        <v/>
      </c>
      <c r="M19" s="13">
        <f>IF(A19="","",IF(I19="angenommen","Auftrag",IF(AND(I19="offen",TODAY()&gt;B19+K19),"Bindefrist!","")))</f>
        <v/>
      </c>
    </row>
    <row r="20">
      <c r="A20" s="30" t="inlineStr"/>
      <c r="B20" s="38" t="inlineStr"/>
      <c r="C20" s="30" t="inlineStr"/>
      <c r="D20" s="30" t="inlineStr"/>
      <c r="E20" s="30" t="inlineStr"/>
      <c r="F20" s="34" t="inlineStr"/>
      <c r="G20" s="32" t="inlineStr"/>
      <c r="H20" s="32" t="inlineStr"/>
      <c r="I20" s="30" t="inlineStr"/>
      <c r="J20" s="38" t="inlineStr"/>
      <c r="K20" s="31" t="inlineStr"/>
      <c r="L20" s="15">
        <f>IF(A20="","",F20*(1+G20)*(1+H20))</f>
        <v/>
      </c>
      <c r="M20" s="13">
        <f>IF(A20="","",IF(I20="angenommen","Auftrag",IF(AND(I20="offen",TODAY()&gt;B20+K20),"Bindefrist!","")))</f>
        <v/>
      </c>
    </row>
    <row r="21">
      <c r="A21" s="30" t="inlineStr"/>
      <c r="B21" s="38" t="inlineStr"/>
      <c r="C21" s="30" t="inlineStr"/>
      <c r="D21" s="30" t="inlineStr"/>
      <c r="E21" s="30" t="inlineStr"/>
      <c r="F21" s="34" t="inlineStr"/>
      <c r="G21" s="32" t="inlineStr"/>
      <c r="H21" s="32" t="inlineStr"/>
      <c r="I21" s="30" t="inlineStr"/>
      <c r="J21" s="38" t="inlineStr"/>
      <c r="K21" s="31" t="inlineStr"/>
      <c r="L21" s="15">
        <f>IF(A21="","",F21*(1+G21)*(1+H21))</f>
        <v/>
      </c>
      <c r="M21" s="13">
        <f>IF(A21="","",IF(I21="angenommen","Auftrag",IF(AND(I21="offen",TODAY()&gt;B21+K21),"Bindefrist!","")))</f>
        <v/>
      </c>
    </row>
    <row r="22">
      <c r="A22" s="30" t="inlineStr"/>
      <c r="B22" s="38" t="inlineStr"/>
      <c r="C22" s="30" t="inlineStr"/>
      <c r="D22" s="30" t="inlineStr"/>
      <c r="E22" s="30" t="inlineStr"/>
      <c r="F22" s="34" t="inlineStr"/>
      <c r="G22" s="32" t="inlineStr"/>
      <c r="H22" s="32" t="inlineStr"/>
      <c r="I22" s="30" t="inlineStr"/>
      <c r="J22" s="38" t="inlineStr"/>
      <c r="K22" s="31" t="inlineStr"/>
      <c r="L22" s="15">
        <f>IF(A22="","",F22*(1+G22)*(1+H22))</f>
        <v/>
      </c>
      <c r="M22" s="13">
        <f>IF(A22="","",IF(I22="angenommen","Auftrag",IF(AND(I22="offen",TODAY()&gt;B22+K22),"Bindefrist!","")))</f>
        <v/>
      </c>
    </row>
    <row r="23">
      <c r="A23" s="30" t="inlineStr"/>
      <c r="B23" s="38" t="inlineStr"/>
      <c r="C23" s="30" t="inlineStr"/>
      <c r="D23" s="30" t="inlineStr"/>
      <c r="E23" s="30" t="inlineStr"/>
      <c r="F23" s="34" t="inlineStr"/>
      <c r="G23" s="32" t="inlineStr"/>
      <c r="H23" s="32" t="inlineStr"/>
      <c r="I23" s="30" t="inlineStr"/>
      <c r="J23" s="38" t="inlineStr"/>
      <c r="K23" s="31" t="inlineStr"/>
      <c r="L23" s="15">
        <f>IF(A23="","",F23*(1+G23)*(1+H23))</f>
        <v/>
      </c>
      <c r="M23" s="13">
        <f>IF(A23="","",IF(I23="angenommen","Auftrag",IF(AND(I23="offen",TODAY()&gt;B23+K23),"Bindefrist!","")))</f>
        <v/>
      </c>
    </row>
    <row r="24">
      <c r="A24" s="30" t="inlineStr"/>
      <c r="B24" s="38" t="inlineStr"/>
      <c r="C24" s="30" t="inlineStr"/>
      <c r="D24" s="30" t="inlineStr"/>
      <c r="E24" s="30" t="inlineStr"/>
      <c r="F24" s="34" t="inlineStr"/>
      <c r="G24" s="32" t="inlineStr"/>
      <c r="H24" s="32" t="inlineStr"/>
      <c r="I24" s="30" t="inlineStr"/>
      <c r="J24" s="38" t="inlineStr"/>
      <c r="K24" s="31" t="inlineStr"/>
      <c r="L24" s="15">
        <f>IF(A24="","",F24*(1+G24)*(1+H24))</f>
        <v/>
      </c>
      <c r="M24" s="13">
        <f>IF(A24="","",IF(I24="angenommen","Auftrag",IF(AND(I24="offen",TODAY()&gt;B24+K24),"Bindefrist!","")))</f>
        <v/>
      </c>
    </row>
    <row r="25">
      <c r="A25" s="30" t="inlineStr"/>
      <c r="B25" s="38" t="inlineStr"/>
      <c r="C25" s="30" t="inlineStr"/>
      <c r="D25" s="30" t="inlineStr"/>
      <c r="E25" s="30" t="inlineStr"/>
      <c r="F25" s="34" t="inlineStr"/>
      <c r="G25" s="32" t="inlineStr"/>
      <c r="H25" s="32" t="inlineStr"/>
      <c r="I25" s="30" t="inlineStr"/>
      <c r="J25" s="38" t="inlineStr"/>
      <c r="K25" s="31" t="inlineStr"/>
      <c r="L25" s="15">
        <f>IF(A25="","",F25*(1+G25)*(1+H25))</f>
        <v/>
      </c>
      <c r="M25" s="13">
        <f>IF(A25="","",IF(I25="angenommen","Auftrag",IF(AND(I25="offen",TODAY()&gt;B25+K25),"Bindefrist!","")))</f>
        <v/>
      </c>
    </row>
    <row r="26">
      <c r="A26" s="30" t="inlineStr"/>
      <c r="B26" s="38" t="inlineStr"/>
      <c r="C26" s="30" t="inlineStr"/>
      <c r="D26" s="30" t="inlineStr"/>
      <c r="E26" s="30" t="inlineStr"/>
      <c r="F26" s="34" t="inlineStr"/>
      <c r="G26" s="32" t="inlineStr"/>
      <c r="H26" s="32" t="inlineStr"/>
      <c r="I26" s="30" t="inlineStr"/>
      <c r="J26" s="38" t="inlineStr"/>
      <c r="K26" s="31" t="inlineStr"/>
      <c r="L26" s="15">
        <f>IF(A26="","",F26*(1+G26)*(1+H26))</f>
        <v/>
      </c>
      <c r="M26" s="13">
        <f>IF(A26="","",IF(I26="angenommen","Auftrag",IF(AND(I26="offen",TODAY()&gt;B26+K26),"Bindefrist!","")))</f>
        <v/>
      </c>
    </row>
    <row r="27">
      <c r="A27" s="30" t="inlineStr"/>
      <c r="B27" s="38" t="inlineStr"/>
      <c r="C27" s="30" t="inlineStr"/>
      <c r="D27" s="30" t="inlineStr"/>
      <c r="E27" s="30" t="inlineStr"/>
      <c r="F27" s="34" t="inlineStr"/>
      <c r="G27" s="32" t="inlineStr"/>
      <c r="H27" s="32" t="inlineStr"/>
      <c r="I27" s="30" t="inlineStr"/>
      <c r="J27" s="38" t="inlineStr"/>
      <c r="K27" s="31" t="inlineStr"/>
      <c r="L27" s="15">
        <f>IF(A27="","",F27*(1+G27)*(1+H27))</f>
        <v/>
      </c>
      <c r="M27" s="13">
        <f>IF(A27="","",IF(I27="angenommen","Auftrag",IF(AND(I27="offen",TODAY()&gt;B27+K27),"Bindefrist!","")))</f>
        <v/>
      </c>
    </row>
    <row r="28">
      <c r="A28" s="30" t="inlineStr"/>
      <c r="B28" s="38" t="inlineStr"/>
      <c r="C28" s="30" t="inlineStr"/>
      <c r="D28" s="30" t="inlineStr"/>
      <c r="E28" s="30" t="inlineStr"/>
      <c r="F28" s="34" t="inlineStr"/>
      <c r="G28" s="32" t="inlineStr"/>
      <c r="H28" s="32" t="inlineStr"/>
      <c r="I28" s="30" t="inlineStr"/>
      <c r="J28" s="38" t="inlineStr"/>
      <c r="K28" s="31" t="inlineStr"/>
      <c r="L28" s="15">
        <f>IF(A28="","",F28*(1+G28)*(1+H28))</f>
        <v/>
      </c>
      <c r="M28" s="13">
        <f>IF(A28="","",IF(I28="angenommen","Auftrag",IF(AND(I28="offen",TODAY()&gt;B28+K28),"Bindefrist!","")))</f>
        <v/>
      </c>
    </row>
    <row r="29">
      <c r="A29" s="30" t="inlineStr"/>
      <c r="B29" s="38" t="inlineStr"/>
      <c r="C29" s="30" t="inlineStr"/>
      <c r="D29" s="30" t="inlineStr"/>
      <c r="E29" s="30" t="inlineStr"/>
      <c r="F29" s="34" t="inlineStr"/>
      <c r="G29" s="32" t="inlineStr"/>
      <c r="H29" s="32" t="inlineStr"/>
      <c r="I29" s="30" t="inlineStr"/>
      <c r="J29" s="38" t="inlineStr"/>
      <c r="K29" s="31" t="inlineStr"/>
      <c r="L29" s="15">
        <f>IF(A29="","",F29*(1+G29)*(1+H29))</f>
        <v/>
      </c>
      <c r="M29" s="13">
        <f>IF(A29="","",IF(I29="angenommen","Auftrag",IF(AND(I29="offen",TODAY()&gt;B29+K29),"Bindefrist!","")))</f>
        <v/>
      </c>
    </row>
    <row r="30">
      <c r="A30" s="30" t="inlineStr"/>
      <c r="B30" s="38" t="inlineStr"/>
      <c r="C30" s="30" t="inlineStr"/>
      <c r="D30" s="30" t="inlineStr"/>
      <c r="E30" s="30" t="inlineStr"/>
      <c r="F30" s="34" t="inlineStr"/>
      <c r="G30" s="32" t="inlineStr"/>
      <c r="H30" s="32" t="inlineStr"/>
      <c r="I30" s="30" t="inlineStr"/>
      <c r="J30" s="38" t="inlineStr"/>
      <c r="K30" s="31" t="inlineStr"/>
      <c r="L30" s="15">
        <f>IF(A30="","",F30*(1+G30)*(1+H30))</f>
        <v/>
      </c>
      <c r="M30" s="13">
        <f>IF(A30="","",IF(I30="angenommen","Auftrag",IF(AND(I30="offen",TODAY()&gt;B30+K30),"Bindefrist!","")))</f>
        <v/>
      </c>
    </row>
    <row r="31">
      <c r="A31" s="30" t="inlineStr"/>
      <c r="B31" s="38" t="inlineStr"/>
      <c r="C31" s="30" t="inlineStr"/>
      <c r="D31" s="30" t="inlineStr"/>
      <c r="E31" s="30" t="inlineStr"/>
      <c r="F31" s="34" t="inlineStr"/>
      <c r="G31" s="32" t="inlineStr"/>
      <c r="H31" s="32" t="inlineStr"/>
      <c r="I31" s="30" t="inlineStr"/>
      <c r="J31" s="38" t="inlineStr"/>
      <c r="K31" s="31" t="inlineStr"/>
      <c r="L31" s="15">
        <f>IF(A31="","",F31*(1+G31)*(1+H31))</f>
        <v/>
      </c>
      <c r="M31" s="13">
        <f>IF(A31="","",IF(I31="angenommen","Auftrag",IF(AND(I31="offen",TODAY()&gt;B31+K31),"Bindefrist!","")))</f>
        <v/>
      </c>
    </row>
    <row r="32">
      <c r="A32" s="30" t="inlineStr"/>
      <c r="B32" s="38" t="inlineStr"/>
      <c r="C32" s="30" t="inlineStr"/>
      <c r="D32" s="30" t="inlineStr"/>
      <c r="E32" s="30" t="inlineStr"/>
      <c r="F32" s="34" t="inlineStr"/>
      <c r="G32" s="32" t="inlineStr"/>
      <c r="H32" s="32" t="inlineStr"/>
      <c r="I32" s="30" t="inlineStr"/>
      <c r="J32" s="38" t="inlineStr"/>
      <c r="K32" s="31" t="inlineStr"/>
      <c r="L32" s="15">
        <f>IF(A32="","",F32*(1+G32)*(1+H32))</f>
        <v/>
      </c>
      <c r="M32" s="13">
        <f>IF(A32="","",IF(I32="angenommen","Auftrag",IF(AND(I32="offen",TODAY()&gt;B32+K32),"Bindefrist!","")))</f>
        <v/>
      </c>
    </row>
    <row r="33">
      <c r="A33" s="30" t="inlineStr"/>
      <c r="B33" s="38" t="inlineStr"/>
      <c r="C33" s="30" t="inlineStr"/>
      <c r="D33" s="30" t="inlineStr"/>
      <c r="E33" s="30" t="inlineStr"/>
      <c r="F33" s="34" t="inlineStr"/>
      <c r="G33" s="32" t="inlineStr"/>
      <c r="H33" s="32" t="inlineStr"/>
      <c r="I33" s="30" t="inlineStr"/>
      <c r="J33" s="38" t="inlineStr"/>
      <c r="K33" s="31" t="inlineStr"/>
      <c r="L33" s="15">
        <f>IF(A33="","",F33*(1+G33)*(1+H33))</f>
        <v/>
      </c>
      <c r="M33" s="13">
        <f>IF(A33="","",IF(I33="angenommen","Auftrag",IF(AND(I33="offen",TODAY()&gt;B33+K33),"Bindefrist!","")))</f>
        <v/>
      </c>
    </row>
    <row r="34">
      <c r="A34" s="30" t="inlineStr"/>
      <c r="B34" s="38" t="inlineStr"/>
      <c r="C34" s="30" t="inlineStr"/>
      <c r="D34" s="30" t="inlineStr"/>
      <c r="E34" s="30" t="inlineStr"/>
      <c r="F34" s="34" t="inlineStr"/>
      <c r="G34" s="32" t="inlineStr"/>
      <c r="H34" s="32" t="inlineStr"/>
      <c r="I34" s="30" t="inlineStr"/>
      <c r="J34" s="38" t="inlineStr"/>
      <c r="K34" s="31" t="inlineStr"/>
      <c r="L34" s="15">
        <f>IF(A34="","",F34*(1+G34)*(1+H34))</f>
        <v/>
      </c>
      <c r="M34" s="13">
        <f>IF(A34="","",IF(I34="angenommen","Auftrag",IF(AND(I34="offen",TODAY()&gt;B34+K34),"Bindefrist!","")))</f>
        <v/>
      </c>
    </row>
    <row r="35">
      <c r="A35" s="30" t="inlineStr"/>
      <c r="B35" s="38" t="inlineStr"/>
      <c r="C35" s="30" t="inlineStr"/>
      <c r="D35" s="30" t="inlineStr"/>
      <c r="E35" s="30" t="inlineStr"/>
      <c r="F35" s="34" t="inlineStr"/>
      <c r="G35" s="32" t="inlineStr"/>
      <c r="H35" s="32" t="inlineStr"/>
      <c r="I35" s="30" t="inlineStr"/>
      <c r="J35" s="38" t="inlineStr"/>
      <c r="K35" s="31" t="inlineStr"/>
      <c r="L35" s="15">
        <f>IF(A35="","",F35*(1+G35)*(1+H35))</f>
        <v/>
      </c>
      <c r="M35" s="13">
        <f>IF(A35="","",IF(I35="angenommen","Auftrag",IF(AND(I35="offen",TODAY()&gt;B35+K35),"Bindefrist!","")))</f>
        <v/>
      </c>
    </row>
    <row r="36">
      <c r="A36" s="30" t="inlineStr"/>
      <c r="B36" s="38" t="inlineStr"/>
      <c r="C36" s="30" t="inlineStr"/>
      <c r="D36" s="30" t="inlineStr"/>
      <c r="E36" s="30" t="inlineStr"/>
      <c r="F36" s="34" t="inlineStr"/>
      <c r="G36" s="32" t="inlineStr"/>
      <c r="H36" s="32" t="inlineStr"/>
      <c r="I36" s="30" t="inlineStr"/>
      <c r="J36" s="38" t="inlineStr"/>
      <c r="K36" s="31" t="inlineStr"/>
      <c r="L36" s="15">
        <f>IF(A36="","",F36*(1+G36)*(1+H36))</f>
        <v/>
      </c>
      <c r="M36" s="13">
        <f>IF(A36="","",IF(I36="angenommen","Auftrag",IF(AND(I36="offen",TODAY()&gt;B36+K36),"Bindefrist!","")))</f>
        <v/>
      </c>
    </row>
    <row r="37">
      <c r="A37" s="30" t="inlineStr"/>
      <c r="B37" s="38" t="inlineStr"/>
      <c r="C37" s="30" t="inlineStr"/>
      <c r="D37" s="30" t="inlineStr"/>
      <c r="E37" s="30" t="inlineStr"/>
      <c r="F37" s="34" t="inlineStr"/>
      <c r="G37" s="32" t="inlineStr"/>
      <c r="H37" s="32" t="inlineStr"/>
      <c r="I37" s="30" t="inlineStr"/>
      <c r="J37" s="38" t="inlineStr"/>
      <c r="K37" s="31" t="inlineStr"/>
      <c r="L37" s="15">
        <f>IF(A37="","",F37*(1+G37)*(1+H37))</f>
        <v/>
      </c>
      <c r="M37" s="13">
        <f>IF(A37="","",IF(I37="angenommen","Auftrag",IF(AND(I37="offen",TODAY()&gt;B37+K37),"Bindefrist!","")))</f>
        <v/>
      </c>
    </row>
    <row r="38">
      <c r="A38" s="30" t="inlineStr"/>
      <c r="B38" s="38" t="inlineStr"/>
      <c r="C38" s="30" t="inlineStr"/>
      <c r="D38" s="30" t="inlineStr"/>
      <c r="E38" s="30" t="inlineStr"/>
      <c r="F38" s="34" t="inlineStr"/>
      <c r="G38" s="32" t="inlineStr"/>
      <c r="H38" s="32" t="inlineStr"/>
      <c r="I38" s="30" t="inlineStr"/>
      <c r="J38" s="38" t="inlineStr"/>
      <c r="K38" s="31" t="inlineStr"/>
      <c r="L38" s="15">
        <f>IF(A38="","",F38*(1+G38)*(1+H38))</f>
        <v/>
      </c>
      <c r="M38" s="13">
        <f>IF(A38="","",IF(I38="angenommen","Auftrag",IF(AND(I38="offen",TODAY()&gt;B38+K38),"Bindefrist!","")))</f>
        <v/>
      </c>
    </row>
    <row r="39">
      <c r="A39" s="30" t="inlineStr"/>
      <c r="B39" s="38" t="inlineStr"/>
      <c r="C39" s="30" t="inlineStr"/>
      <c r="D39" s="30" t="inlineStr"/>
      <c r="E39" s="30" t="inlineStr"/>
      <c r="F39" s="34" t="inlineStr"/>
      <c r="G39" s="32" t="inlineStr"/>
      <c r="H39" s="32" t="inlineStr"/>
      <c r="I39" s="30" t="inlineStr"/>
      <c r="J39" s="38" t="inlineStr"/>
      <c r="K39" s="31" t="inlineStr"/>
      <c r="L39" s="15">
        <f>IF(A39="","",F39*(1+G39)*(1+H39))</f>
        <v/>
      </c>
      <c r="M39" s="13">
        <f>IF(A39="","",IF(I39="angenommen","Auftrag",IF(AND(I39="offen",TODAY()&gt;B39+K39),"Bindefrist!","")))</f>
        <v/>
      </c>
    </row>
    <row r="40">
      <c r="A40" s="30" t="inlineStr"/>
      <c r="B40" s="38" t="inlineStr"/>
      <c r="C40" s="30" t="inlineStr"/>
      <c r="D40" s="30" t="inlineStr"/>
      <c r="E40" s="30" t="inlineStr"/>
      <c r="F40" s="34" t="inlineStr"/>
      <c r="G40" s="32" t="inlineStr"/>
      <c r="H40" s="32" t="inlineStr"/>
      <c r="I40" s="30" t="inlineStr"/>
      <c r="J40" s="38" t="inlineStr"/>
      <c r="K40" s="31" t="inlineStr"/>
      <c r="L40" s="15">
        <f>IF(A40="","",F40*(1+G40)*(1+H40))</f>
        <v/>
      </c>
      <c r="M40" s="13">
        <f>IF(A40="","",IF(I40="angenommen","Auftrag",IF(AND(I40="offen",TODAY()&gt;B40+K40),"Bindefrist!","")))</f>
        <v/>
      </c>
    </row>
    <row r="41">
      <c r="A41" s="30" t="inlineStr"/>
      <c r="B41" s="38" t="inlineStr"/>
      <c r="C41" s="30" t="inlineStr"/>
      <c r="D41" s="30" t="inlineStr"/>
      <c r="E41" s="30" t="inlineStr"/>
      <c r="F41" s="34" t="inlineStr"/>
      <c r="G41" s="32" t="inlineStr"/>
      <c r="H41" s="32" t="inlineStr"/>
      <c r="I41" s="30" t="inlineStr"/>
      <c r="J41" s="38" t="inlineStr"/>
      <c r="K41" s="31" t="inlineStr"/>
      <c r="L41" s="15">
        <f>IF(A41="","",F41*(1+G41)*(1+H41))</f>
        <v/>
      </c>
      <c r="M41" s="13">
        <f>IF(A41="","",IF(I41="angenommen","Auftrag",IF(AND(I41="offen",TODAY()&gt;B41+K41),"Bindefrist!","")))</f>
        <v/>
      </c>
    </row>
    <row r="42">
      <c r="A42" s="30" t="inlineStr"/>
      <c r="B42" s="38" t="inlineStr"/>
      <c r="C42" s="30" t="inlineStr"/>
      <c r="D42" s="30" t="inlineStr"/>
      <c r="E42" s="30" t="inlineStr"/>
      <c r="F42" s="34" t="inlineStr"/>
      <c r="G42" s="32" t="inlineStr"/>
      <c r="H42" s="32" t="inlineStr"/>
      <c r="I42" s="30" t="inlineStr"/>
      <c r="J42" s="38" t="inlineStr"/>
      <c r="K42" s="31" t="inlineStr"/>
      <c r="L42" s="15">
        <f>IF(A42="","",F42*(1+G42)*(1+H42))</f>
        <v/>
      </c>
      <c r="M42" s="13">
        <f>IF(A42="","",IF(I42="angenommen","Auftrag",IF(AND(I42="offen",TODAY()&gt;B42+K42),"Bindefrist!","")))</f>
        <v/>
      </c>
    </row>
    <row r="43">
      <c r="A43" s="30" t="inlineStr"/>
      <c r="B43" s="38" t="inlineStr"/>
      <c r="C43" s="30" t="inlineStr"/>
      <c r="D43" s="30" t="inlineStr"/>
      <c r="E43" s="30" t="inlineStr"/>
      <c r="F43" s="34" t="inlineStr"/>
      <c r="G43" s="32" t="inlineStr"/>
      <c r="H43" s="32" t="inlineStr"/>
      <c r="I43" s="30" t="inlineStr"/>
      <c r="J43" s="38" t="inlineStr"/>
      <c r="K43" s="31" t="inlineStr"/>
      <c r="L43" s="15">
        <f>IF(A43="","",F43*(1+G43)*(1+H43))</f>
        <v/>
      </c>
      <c r="M43" s="13">
        <f>IF(A43="","",IF(I43="angenommen","Auftrag",IF(AND(I43="offen",TODAY()&gt;B43+K43),"Bindefrist!","")))</f>
        <v/>
      </c>
    </row>
    <row r="44">
      <c r="A44" s="30" t="inlineStr"/>
      <c r="B44" s="38" t="inlineStr"/>
      <c r="C44" s="30" t="inlineStr"/>
      <c r="D44" s="30" t="inlineStr"/>
      <c r="E44" s="30" t="inlineStr"/>
      <c r="F44" s="34" t="inlineStr"/>
      <c r="G44" s="32" t="inlineStr"/>
      <c r="H44" s="32" t="inlineStr"/>
      <c r="I44" s="30" t="inlineStr"/>
      <c r="J44" s="38" t="inlineStr"/>
      <c r="K44" s="31" t="inlineStr"/>
      <c r="L44" s="15">
        <f>IF(A44="","",F44*(1+G44)*(1+H44))</f>
        <v/>
      </c>
      <c r="M44" s="13">
        <f>IF(A44="","",IF(I44="angenommen","Auftrag",IF(AND(I44="offen",TODAY()&gt;B44+K44),"Bindefrist!","")))</f>
        <v/>
      </c>
    </row>
    <row r="45">
      <c r="A45" s="30" t="inlineStr"/>
      <c r="B45" s="38" t="inlineStr"/>
      <c r="C45" s="30" t="inlineStr"/>
      <c r="D45" s="30" t="inlineStr"/>
      <c r="E45" s="30" t="inlineStr"/>
      <c r="F45" s="34" t="inlineStr"/>
      <c r="G45" s="32" t="inlineStr"/>
      <c r="H45" s="32" t="inlineStr"/>
      <c r="I45" s="30" t="inlineStr"/>
      <c r="J45" s="38" t="inlineStr"/>
      <c r="K45" s="31" t="inlineStr"/>
      <c r="L45" s="15">
        <f>IF(A45="","",F45*(1+G45)*(1+H45))</f>
        <v/>
      </c>
      <c r="M45" s="13">
        <f>IF(A45="","",IF(I45="angenommen","Auftrag",IF(AND(I45="offen",TODAY()&gt;B45+K45),"Bindefrist!","")))</f>
        <v/>
      </c>
    </row>
    <row r="46">
      <c r="A46" s="30" t="inlineStr"/>
      <c r="B46" s="38" t="inlineStr"/>
      <c r="C46" s="30" t="inlineStr"/>
      <c r="D46" s="30" t="inlineStr"/>
      <c r="E46" s="30" t="inlineStr"/>
      <c r="F46" s="34" t="inlineStr"/>
      <c r="G46" s="32" t="inlineStr"/>
      <c r="H46" s="32" t="inlineStr"/>
      <c r="I46" s="30" t="inlineStr"/>
      <c r="J46" s="38" t="inlineStr"/>
      <c r="K46" s="31" t="inlineStr"/>
      <c r="L46" s="15">
        <f>IF(A46="","",F46*(1+G46)*(1+H46))</f>
        <v/>
      </c>
      <c r="M46" s="13">
        <f>IF(A46="","",IF(I46="angenommen","Auftrag",IF(AND(I46="offen",TODAY()&gt;B46+K46),"Bindefrist!","")))</f>
        <v/>
      </c>
    </row>
    <row r="47">
      <c r="A47" s="30" t="inlineStr"/>
      <c r="B47" s="38" t="inlineStr"/>
      <c r="C47" s="30" t="inlineStr"/>
      <c r="D47" s="30" t="inlineStr"/>
      <c r="E47" s="30" t="inlineStr"/>
      <c r="F47" s="34" t="inlineStr"/>
      <c r="G47" s="32" t="inlineStr"/>
      <c r="H47" s="32" t="inlineStr"/>
      <c r="I47" s="30" t="inlineStr"/>
      <c r="J47" s="38" t="inlineStr"/>
      <c r="K47" s="31" t="inlineStr"/>
      <c r="L47" s="15">
        <f>IF(A47="","",F47*(1+G47)*(1+H47))</f>
        <v/>
      </c>
      <c r="M47" s="13">
        <f>IF(A47="","",IF(I47="angenommen","Auftrag",IF(AND(I47="offen",TODAY()&gt;B47+K47),"Bindefrist!","")))</f>
        <v/>
      </c>
    </row>
    <row r="48">
      <c r="A48" s="30" t="inlineStr"/>
      <c r="B48" s="38" t="inlineStr"/>
      <c r="C48" s="30" t="inlineStr"/>
      <c r="D48" s="30" t="inlineStr"/>
      <c r="E48" s="30" t="inlineStr"/>
      <c r="F48" s="34" t="inlineStr"/>
      <c r="G48" s="32" t="inlineStr"/>
      <c r="H48" s="32" t="inlineStr"/>
      <c r="I48" s="30" t="inlineStr"/>
      <c r="J48" s="38" t="inlineStr"/>
      <c r="K48" s="31" t="inlineStr"/>
      <c r="L48" s="15">
        <f>IF(A48="","",F48*(1+G48)*(1+H48))</f>
        <v/>
      </c>
      <c r="M48" s="13">
        <f>IF(A48="","",IF(I48="angenommen","Auftrag",IF(AND(I48="offen",TODAY()&gt;B48+K48),"Bindefrist!","")))</f>
        <v/>
      </c>
    </row>
    <row r="49">
      <c r="A49" s="30" t="inlineStr"/>
      <c r="B49" s="38" t="inlineStr"/>
      <c r="C49" s="30" t="inlineStr"/>
      <c r="D49" s="30" t="inlineStr"/>
      <c r="E49" s="30" t="inlineStr"/>
      <c r="F49" s="34" t="inlineStr"/>
      <c r="G49" s="32" t="inlineStr"/>
      <c r="H49" s="32" t="inlineStr"/>
      <c r="I49" s="30" t="inlineStr"/>
      <c r="J49" s="38" t="inlineStr"/>
      <c r="K49" s="31" t="inlineStr"/>
      <c r="L49" s="15">
        <f>IF(A49="","",F49*(1+G49)*(1+H49))</f>
        <v/>
      </c>
      <c r="M49" s="13">
        <f>IF(A49="","",IF(I49="angenommen","Auftrag",IF(AND(I49="offen",TODAY()&gt;B49+K49),"Bindefrist!","")))</f>
        <v/>
      </c>
    </row>
    <row r="50">
      <c r="A50" s="30" t="inlineStr"/>
      <c r="B50" s="38" t="inlineStr"/>
      <c r="C50" s="30" t="inlineStr"/>
      <c r="D50" s="30" t="inlineStr"/>
      <c r="E50" s="30" t="inlineStr"/>
      <c r="F50" s="34" t="inlineStr"/>
      <c r="G50" s="32" t="inlineStr"/>
      <c r="H50" s="32" t="inlineStr"/>
      <c r="I50" s="30" t="inlineStr"/>
      <c r="J50" s="38" t="inlineStr"/>
      <c r="K50" s="31" t="inlineStr"/>
      <c r="L50" s="15">
        <f>IF(A50="","",F50*(1+G50)*(1+H50))</f>
        <v/>
      </c>
      <c r="M50" s="13">
        <f>IF(A50="","",IF(I50="angenommen","Auftrag",IF(AND(I50="offen",TODAY()&gt;B50+K50),"Bindefrist!","")))</f>
        <v/>
      </c>
    </row>
    <row r="51">
      <c r="A51" s="30" t="inlineStr"/>
      <c r="B51" s="38" t="inlineStr"/>
      <c r="C51" s="30" t="inlineStr"/>
      <c r="D51" s="30" t="inlineStr"/>
      <c r="E51" s="30" t="inlineStr"/>
      <c r="F51" s="34" t="inlineStr"/>
      <c r="G51" s="32" t="inlineStr"/>
      <c r="H51" s="32" t="inlineStr"/>
      <c r="I51" s="30" t="inlineStr"/>
      <c r="J51" s="38" t="inlineStr"/>
      <c r="K51" s="31" t="inlineStr"/>
      <c r="L51" s="15">
        <f>IF(A51="","",F51*(1+G51)*(1+H51))</f>
        <v/>
      </c>
      <c r="M51" s="13">
        <f>IF(A51="","",IF(I51="angenommen","Auftrag",IF(AND(I51="offen",TODAY()&gt;B51+K51),"Bindefrist!","")))</f>
        <v/>
      </c>
    </row>
    <row r="52">
      <c r="A52" s="30" t="inlineStr"/>
      <c r="B52" s="38" t="inlineStr"/>
      <c r="C52" s="30" t="inlineStr"/>
      <c r="D52" s="30" t="inlineStr"/>
      <c r="E52" s="30" t="inlineStr"/>
      <c r="F52" s="34" t="inlineStr"/>
      <c r="G52" s="32" t="inlineStr"/>
      <c r="H52" s="32" t="inlineStr"/>
      <c r="I52" s="30" t="inlineStr"/>
      <c r="J52" s="38" t="inlineStr"/>
      <c r="K52" s="31" t="inlineStr"/>
      <c r="L52" s="15">
        <f>IF(A52="","",F52*(1+G52)*(1+H52))</f>
        <v/>
      </c>
      <c r="M52" s="13">
        <f>IF(A52="","",IF(I52="angenommen","Auftrag",IF(AND(I52="offen",TODAY()&gt;B52+K52),"Bindefrist!","")))</f>
        <v/>
      </c>
    </row>
    <row r="53">
      <c r="A53" s="30" t="inlineStr"/>
      <c r="B53" s="38" t="inlineStr"/>
      <c r="C53" s="30" t="inlineStr"/>
      <c r="D53" s="30" t="inlineStr"/>
      <c r="E53" s="30" t="inlineStr"/>
      <c r="F53" s="34" t="inlineStr"/>
      <c r="G53" s="32" t="inlineStr"/>
      <c r="H53" s="32" t="inlineStr"/>
      <c r="I53" s="30" t="inlineStr"/>
      <c r="J53" s="38" t="inlineStr"/>
      <c r="K53" s="31" t="inlineStr"/>
      <c r="L53" s="15">
        <f>IF(A53="","",F53*(1+G53)*(1+H53))</f>
        <v/>
      </c>
      <c r="M53" s="13">
        <f>IF(A53="","",IF(I53="angenommen","Auftrag",IF(AND(I53="offen",TODAY()&gt;B53+K53),"Bindefrist!","")))</f>
        <v/>
      </c>
    </row>
    <row r="54">
      <c r="A54" s="30" t="inlineStr"/>
      <c r="B54" s="38" t="inlineStr"/>
      <c r="C54" s="30" t="inlineStr"/>
      <c r="D54" s="30" t="inlineStr"/>
      <c r="E54" s="30" t="inlineStr"/>
      <c r="F54" s="34" t="inlineStr"/>
      <c r="G54" s="32" t="inlineStr"/>
      <c r="H54" s="32" t="inlineStr"/>
      <c r="I54" s="30" t="inlineStr"/>
      <c r="J54" s="38" t="inlineStr"/>
      <c r="K54" s="31" t="inlineStr"/>
      <c r="L54" s="15">
        <f>IF(A54="","",F54*(1+G54)*(1+H54))</f>
        <v/>
      </c>
      <c r="M54" s="13">
        <f>IF(A54="","",IF(I54="angenommen","Auftrag",IF(AND(I54="offen",TODAY()&gt;B54+K54),"Bindefrist!","")))</f>
        <v/>
      </c>
    </row>
    <row r="55">
      <c r="A55" s="30" t="inlineStr"/>
      <c r="B55" s="38" t="inlineStr"/>
      <c r="C55" s="30" t="inlineStr"/>
      <c r="D55" s="30" t="inlineStr"/>
      <c r="E55" s="30" t="inlineStr"/>
      <c r="F55" s="34" t="inlineStr"/>
      <c r="G55" s="32" t="inlineStr"/>
      <c r="H55" s="32" t="inlineStr"/>
      <c r="I55" s="30" t="inlineStr"/>
      <c r="J55" s="38" t="inlineStr"/>
      <c r="K55" s="31" t="inlineStr"/>
      <c r="L55" s="15">
        <f>IF(A55="","",F55*(1+G55)*(1+H55))</f>
        <v/>
      </c>
      <c r="M55" s="13">
        <f>IF(A55="","",IF(I55="angenommen","Auftrag",IF(AND(I55="offen",TODAY()&gt;B55+K55),"Bindefrist!","")))</f>
        <v/>
      </c>
    </row>
    <row r="56">
      <c r="A56" s="30" t="inlineStr"/>
      <c r="B56" s="38" t="inlineStr"/>
      <c r="C56" s="30" t="inlineStr"/>
      <c r="D56" s="30" t="inlineStr"/>
      <c r="E56" s="30" t="inlineStr"/>
      <c r="F56" s="34" t="inlineStr"/>
      <c r="G56" s="32" t="inlineStr"/>
      <c r="H56" s="32" t="inlineStr"/>
      <c r="I56" s="30" t="inlineStr"/>
      <c r="J56" s="38" t="inlineStr"/>
      <c r="K56" s="31" t="inlineStr"/>
      <c r="L56" s="15">
        <f>IF(A56="","",F56*(1+G56)*(1+H56))</f>
        <v/>
      </c>
      <c r="M56" s="13">
        <f>IF(A56="","",IF(I56="angenommen","Auftrag",IF(AND(I56="offen",TODAY()&gt;B56+K56),"Bindefrist!","")))</f>
        <v/>
      </c>
    </row>
    <row r="57">
      <c r="A57" s="30" t="inlineStr"/>
      <c r="B57" s="38" t="inlineStr"/>
      <c r="C57" s="30" t="inlineStr"/>
      <c r="D57" s="30" t="inlineStr"/>
      <c r="E57" s="30" t="inlineStr"/>
      <c r="F57" s="34" t="inlineStr"/>
      <c r="G57" s="32" t="inlineStr"/>
      <c r="H57" s="32" t="inlineStr"/>
      <c r="I57" s="30" t="inlineStr"/>
      <c r="J57" s="38" t="inlineStr"/>
      <c r="K57" s="31" t="inlineStr"/>
      <c r="L57" s="15">
        <f>IF(A57="","",F57*(1+G57)*(1+H57))</f>
        <v/>
      </c>
      <c r="M57" s="13">
        <f>IF(A57="","",IF(I57="angenommen","Auftrag",IF(AND(I57="offen",TODAY()&gt;B57+K57),"Bindefrist!","")))</f>
        <v/>
      </c>
    </row>
    <row r="58">
      <c r="A58" s="30" t="inlineStr"/>
      <c r="B58" s="38" t="inlineStr"/>
      <c r="C58" s="30" t="inlineStr"/>
      <c r="D58" s="30" t="inlineStr"/>
      <c r="E58" s="30" t="inlineStr"/>
      <c r="F58" s="34" t="inlineStr"/>
      <c r="G58" s="32" t="inlineStr"/>
      <c r="H58" s="32" t="inlineStr"/>
      <c r="I58" s="30" t="inlineStr"/>
      <c r="J58" s="38" t="inlineStr"/>
      <c r="K58" s="31" t="inlineStr"/>
      <c r="L58" s="15">
        <f>IF(A58="","",F58*(1+G58)*(1+H58))</f>
        <v/>
      </c>
      <c r="M58" s="13">
        <f>IF(A58="","",IF(I58="angenommen","Auftrag",IF(AND(I58="offen",TODAY()&gt;B58+K58),"Bindefrist!","")))</f>
        <v/>
      </c>
    </row>
    <row r="59">
      <c r="A59" s="30" t="inlineStr"/>
      <c r="B59" s="38" t="inlineStr"/>
      <c r="C59" s="30" t="inlineStr"/>
      <c r="D59" s="30" t="inlineStr"/>
      <c r="E59" s="30" t="inlineStr"/>
      <c r="F59" s="34" t="inlineStr"/>
      <c r="G59" s="32" t="inlineStr"/>
      <c r="H59" s="32" t="inlineStr"/>
      <c r="I59" s="30" t="inlineStr"/>
      <c r="J59" s="38" t="inlineStr"/>
      <c r="K59" s="31" t="inlineStr"/>
      <c r="L59" s="15">
        <f>IF(A59="","",F59*(1+G59)*(1+H59))</f>
        <v/>
      </c>
      <c r="M59" s="13">
        <f>IF(A59="","",IF(I59="angenommen","Auftrag",IF(AND(I59="offen",TODAY()&gt;B59+K59),"Bindefrist!","")))</f>
        <v/>
      </c>
    </row>
    <row r="60">
      <c r="A60" s="30" t="inlineStr"/>
      <c r="B60" s="38" t="inlineStr"/>
      <c r="C60" s="30" t="inlineStr"/>
      <c r="D60" s="30" t="inlineStr"/>
      <c r="E60" s="30" t="inlineStr"/>
      <c r="F60" s="34" t="inlineStr"/>
      <c r="G60" s="32" t="inlineStr"/>
      <c r="H60" s="32" t="inlineStr"/>
      <c r="I60" s="30" t="inlineStr"/>
      <c r="J60" s="38" t="inlineStr"/>
      <c r="K60" s="31" t="inlineStr"/>
      <c r="L60" s="15">
        <f>IF(A60="","",F60*(1+G60)*(1+H60))</f>
        <v/>
      </c>
      <c r="M60" s="13">
        <f>IF(A60="","",IF(I60="angenommen","Auftrag",IF(AND(I60="offen",TODAY()&gt;B60+K60),"Bindefrist!","")))</f>
        <v/>
      </c>
    </row>
    <row r="61">
      <c r="A61" s="30" t="inlineStr"/>
      <c r="B61" s="38" t="inlineStr"/>
      <c r="C61" s="30" t="inlineStr"/>
      <c r="D61" s="30" t="inlineStr"/>
      <c r="E61" s="30" t="inlineStr"/>
      <c r="F61" s="34" t="inlineStr"/>
      <c r="G61" s="32" t="inlineStr"/>
      <c r="H61" s="32" t="inlineStr"/>
      <c r="I61" s="30" t="inlineStr"/>
      <c r="J61" s="38" t="inlineStr"/>
      <c r="K61" s="31" t="inlineStr"/>
      <c r="L61" s="15">
        <f>IF(A61="","",F61*(1+G61)*(1+H61))</f>
        <v/>
      </c>
      <c r="M61" s="13">
        <f>IF(A61="","",IF(I61="angenommen","Auftrag",IF(AND(I61="offen",TODAY()&gt;B61+K61),"Bindefrist!","")))</f>
        <v/>
      </c>
    </row>
    <row r="62">
      <c r="A62" s="30" t="inlineStr"/>
      <c r="B62" s="38" t="inlineStr"/>
      <c r="C62" s="30" t="inlineStr"/>
      <c r="D62" s="30" t="inlineStr"/>
      <c r="E62" s="30" t="inlineStr"/>
      <c r="F62" s="34" t="inlineStr"/>
      <c r="G62" s="32" t="inlineStr"/>
      <c r="H62" s="32" t="inlineStr"/>
      <c r="I62" s="30" t="inlineStr"/>
      <c r="J62" s="38" t="inlineStr"/>
      <c r="K62" s="31" t="inlineStr"/>
      <c r="L62" s="15">
        <f>IF(A62="","",F62*(1+G62)*(1+H62))</f>
        <v/>
      </c>
      <c r="M62" s="13">
        <f>IF(A62="","",IF(I62="angenommen","Auftrag",IF(AND(I62="offen",TODAY()&gt;B62+K62),"Bindefrist!","")))</f>
        <v/>
      </c>
    </row>
    <row r="63">
      <c r="A63" s="30" t="inlineStr"/>
      <c r="B63" s="38" t="inlineStr"/>
      <c r="C63" s="30" t="inlineStr"/>
      <c r="D63" s="30" t="inlineStr"/>
      <c r="E63" s="30" t="inlineStr"/>
      <c r="F63" s="34" t="inlineStr"/>
      <c r="G63" s="32" t="inlineStr"/>
      <c r="H63" s="32" t="inlineStr"/>
      <c r="I63" s="30" t="inlineStr"/>
      <c r="J63" s="38" t="inlineStr"/>
      <c r="K63" s="31" t="inlineStr"/>
      <c r="L63" s="15">
        <f>IF(A63="","",F63*(1+G63)*(1+H63))</f>
        <v/>
      </c>
      <c r="M63" s="13">
        <f>IF(A63="","",IF(I63="angenommen","Auftrag",IF(AND(I63="offen",TODAY()&gt;B63+K63),"Bindefrist!","")))</f>
        <v/>
      </c>
    </row>
    <row r="64">
      <c r="A64" s="30" t="inlineStr"/>
      <c r="B64" s="38" t="inlineStr"/>
      <c r="C64" s="30" t="inlineStr"/>
      <c r="D64" s="30" t="inlineStr"/>
      <c r="E64" s="30" t="inlineStr"/>
      <c r="F64" s="34" t="inlineStr"/>
      <c r="G64" s="32" t="inlineStr"/>
      <c r="H64" s="32" t="inlineStr"/>
      <c r="I64" s="30" t="inlineStr"/>
      <c r="J64" s="38" t="inlineStr"/>
      <c r="K64" s="31" t="inlineStr"/>
      <c r="L64" s="15">
        <f>IF(A64="","",F64*(1+G64)*(1+H64))</f>
        <v/>
      </c>
      <c r="M64" s="13">
        <f>IF(A64="","",IF(I64="angenommen","Auftrag",IF(AND(I64="offen",TODAY()&gt;B64+K64),"Bindefrist!","")))</f>
        <v/>
      </c>
    </row>
    <row r="65">
      <c r="A65" s="30" t="inlineStr"/>
      <c r="B65" s="38" t="inlineStr"/>
      <c r="C65" s="30" t="inlineStr"/>
      <c r="D65" s="30" t="inlineStr"/>
      <c r="E65" s="30" t="inlineStr"/>
      <c r="F65" s="34" t="inlineStr"/>
      <c r="G65" s="32" t="inlineStr"/>
      <c r="H65" s="32" t="inlineStr"/>
      <c r="I65" s="30" t="inlineStr"/>
      <c r="J65" s="38" t="inlineStr"/>
      <c r="K65" s="31" t="inlineStr"/>
      <c r="L65" s="15">
        <f>IF(A65="","",F65*(1+G65)*(1+H65))</f>
        <v/>
      </c>
      <c r="M65" s="13">
        <f>IF(A65="","",IF(I65="angenommen","Auftrag",IF(AND(I65="offen",TODAY()&gt;B65+K65),"Bindefrist!","")))</f>
        <v/>
      </c>
    </row>
    <row r="66">
      <c r="A66" s="30" t="inlineStr"/>
      <c r="B66" s="38" t="inlineStr"/>
      <c r="C66" s="30" t="inlineStr"/>
      <c r="D66" s="30" t="inlineStr"/>
      <c r="E66" s="30" t="inlineStr"/>
      <c r="F66" s="34" t="inlineStr"/>
      <c r="G66" s="32" t="inlineStr"/>
      <c r="H66" s="32" t="inlineStr"/>
      <c r="I66" s="30" t="inlineStr"/>
      <c r="J66" s="38" t="inlineStr"/>
      <c r="K66" s="31" t="inlineStr"/>
      <c r="L66" s="15">
        <f>IF(A66="","",F66*(1+G66)*(1+H66))</f>
        <v/>
      </c>
      <c r="M66" s="13">
        <f>IF(A66="","",IF(I66="angenommen","Auftrag",IF(AND(I66="offen",TODAY()&gt;B66+K66),"Bindefrist!","")))</f>
        <v/>
      </c>
    </row>
    <row r="67">
      <c r="A67" s="30" t="inlineStr"/>
      <c r="B67" s="38" t="inlineStr"/>
      <c r="C67" s="30" t="inlineStr"/>
      <c r="D67" s="30" t="inlineStr"/>
      <c r="E67" s="30" t="inlineStr"/>
      <c r="F67" s="34" t="inlineStr"/>
      <c r="G67" s="32" t="inlineStr"/>
      <c r="H67" s="32" t="inlineStr"/>
      <c r="I67" s="30" t="inlineStr"/>
      <c r="J67" s="38" t="inlineStr"/>
      <c r="K67" s="31" t="inlineStr"/>
      <c r="L67" s="15">
        <f>IF(A67="","",F67*(1+G67)*(1+H67))</f>
        <v/>
      </c>
      <c r="M67" s="13">
        <f>IF(A67="","",IF(I67="angenommen","Auftrag",IF(AND(I67="offen",TODAY()&gt;B67+K67),"Bindefrist!","")))</f>
        <v/>
      </c>
    </row>
    <row r="68">
      <c r="A68" s="30" t="inlineStr"/>
      <c r="B68" s="38" t="inlineStr"/>
      <c r="C68" s="30" t="inlineStr"/>
      <c r="D68" s="30" t="inlineStr"/>
      <c r="E68" s="30" t="inlineStr"/>
      <c r="F68" s="34" t="inlineStr"/>
      <c r="G68" s="32" t="inlineStr"/>
      <c r="H68" s="32" t="inlineStr"/>
      <c r="I68" s="30" t="inlineStr"/>
      <c r="J68" s="38" t="inlineStr"/>
      <c r="K68" s="31" t="inlineStr"/>
      <c r="L68" s="15">
        <f>IF(A68="","",F68*(1+G68)*(1+H68))</f>
        <v/>
      </c>
      <c r="M68" s="13">
        <f>IF(A68="","",IF(I68="angenommen","Auftrag",IF(AND(I68="offen",TODAY()&gt;B68+K68),"Bindefrist!","")))</f>
        <v/>
      </c>
    </row>
    <row r="69">
      <c r="A69" s="30" t="inlineStr"/>
      <c r="B69" s="38" t="inlineStr"/>
      <c r="C69" s="30" t="inlineStr"/>
      <c r="D69" s="30" t="inlineStr"/>
      <c r="E69" s="30" t="inlineStr"/>
      <c r="F69" s="34" t="inlineStr"/>
      <c r="G69" s="32" t="inlineStr"/>
      <c r="H69" s="32" t="inlineStr"/>
      <c r="I69" s="30" t="inlineStr"/>
      <c r="J69" s="38" t="inlineStr"/>
      <c r="K69" s="31" t="inlineStr"/>
      <c r="L69" s="15">
        <f>IF(A69="","",F69*(1+G69)*(1+H69))</f>
        <v/>
      </c>
      <c r="M69" s="13">
        <f>IF(A69="","",IF(I69="angenommen","Auftrag",IF(AND(I69="offen",TODAY()&gt;B69+K69),"Bindefrist!","")))</f>
        <v/>
      </c>
    </row>
    <row r="70">
      <c r="A70" s="30" t="inlineStr"/>
      <c r="B70" s="38" t="inlineStr"/>
      <c r="C70" s="30" t="inlineStr"/>
      <c r="D70" s="30" t="inlineStr"/>
      <c r="E70" s="30" t="inlineStr"/>
      <c r="F70" s="34" t="inlineStr"/>
      <c r="G70" s="32" t="inlineStr"/>
      <c r="H70" s="32" t="inlineStr"/>
      <c r="I70" s="30" t="inlineStr"/>
      <c r="J70" s="38" t="inlineStr"/>
      <c r="K70" s="31" t="inlineStr"/>
      <c r="L70" s="15">
        <f>IF(A70="","",F70*(1+G70)*(1+H70))</f>
        <v/>
      </c>
      <c r="M70" s="13">
        <f>IF(A70="","",IF(I70="angenommen","Auftrag",IF(AND(I70="offen",TODAY()&gt;B70+K70),"Bindefrist!","")))</f>
        <v/>
      </c>
    </row>
    <row r="71">
      <c r="A71" s="30" t="inlineStr"/>
      <c r="B71" s="38" t="inlineStr"/>
      <c r="C71" s="30" t="inlineStr"/>
      <c r="D71" s="30" t="inlineStr"/>
      <c r="E71" s="30" t="inlineStr"/>
      <c r="F71" s="34" t="inlineStr"/>
      <c r="G71" s="32" t="inlineStr"/>
      <c r="H71" s="32" t="inlineStr"/>
      <c r="I71" s="30" t="inlineStr"/>
      <c r="J71" s="38" t="inlineStr"/>
      <c r="K71" s="31" t="inlineStr"/>
      <c r="L71" s="15">
        <f>IF(A71="","",F71*(1+G71)*(1+H71))</f>
        <v/>
      </c>
      <c r="M71" s="13">
        <f>IF(A71="","",IF(I71="angenommen","Auftrag",IF(AND(I71="offen",TODAY()&gt;B71+K71),"Bindefrist!","")))</f>
        <v/>
      </c>
    </row>
    <row r="72">
      <c r="A72" s="30" t="inlineStr"/>
      <c r="B72" s="38" t="inlineStr"/>
      <c r="C72" s="30" t="inlineStr"/>
      <c r="D72" s="30" t="inlineStr"/>
      <c r="E72" s="30" t="inlineStr"/>
      <c r="F72" s="34" t="inlineStr"/>
      <c r="G72" s="32" t="inlineStr"/>
      <c r="H72" s="32" t="inlineStr"/>
      <c r="I72" s="30" t="inlineStr"/>
      <c r="J72" s="38" t="inlineStr"/>
      <c r="K72" s="31" t="inlineStr"/>
      <c r="L72" s="15">
        <f>IF(A72="","",F72*(1+G72)*(1+H72))</f>
        <v/>
      </c>
      <c r="M72" s="13">
        <f>IF(A72="","",IF(I72="angenommen","Auftrag",IF(AND(I72="offen",TODAY()&gt;B72+K72),"Bindefrist!","")))</f>
        <v/>
      </c>
    </row>
    <row r="73">
      <c r="A73" s="30" t="inlineStr"/>
      <c r="B73" s="38" t="inlineStr"/>
      <c r="C73" s="30" t="inlineStr"/>
      <c r="D73" s="30" t="inlineStr"/>
      <c r="E73" s="30" t="inlineStr"/>
      <c r="F73" s="34" t="inlineStr"/>
      <c r="G73" s="32" t="inlineStr"/>
      <c r="H73" s="32" t="inlineStr"/>
      <c r="I73" s="30" t="inlineStr"/>
      <c r="J73" s="38" t="inlineStr"/>
      <c r="K73" s="31" t="inlineStr"/>
      <c r="L73" s="15">
        <f>IF(A73="","",F73*(1+G73)*(1+H73))</f>
        <v/>
      </c>
      <c r="M73" s="13">
        <f>IF(A73="","",IF(I73="angenommen","Auftrag",IF(AND(I73="offen",TODAY()&gt;B73+K73),"Bindefrist!","")))</f>
        <v/>
      </c>
    </row>
    <row r="74">
      <c r="A74" s="30" t="inlineStr"/>
      <c r="B74" s="38" t="inlineStr"/>
      <c r="C74" s="30" t="inlineStr"/>
      <c r="D74" s="30" t="inlineStr"/>
      <c r="E74" s="30" t="inlineStr"/>
      <c r="F74" s="34" t="inlineStr"/>
      <c r="G74" s="32" t="inlineStr"/>
      <c r="H74" s="32" t="inlineStr"/>
      <c r="I74" s="30" t="inlineStr"/>
      <c r="J74" s="38" t="inlineStr"/>
      <c r="K74" s="31" t="inlineStr"/>
      <c r="L74" s="15">
        <f>IF(A74="","",F74*(1+G74)*(1+H74))</f>
        <v/>
      </c>
      <c r="M74" s="13">
        <f>IF(A74="","",IF(I74="angenommen","Auftrag",IF(AND(I74="offen",TODAY()&gt;B74+K74),"Bindefrist!","")))</f>
        <v/>
      </c>
    </row>
    <row r="75">
      <c r="A75" s="30" t="inlineStr"/>
      <c r="B75" s="38" t="inlineStr"/>
      <c r="C75" s="30" t="inlineStr"/>
      <c r="D75" s="30" t="inlineStr"/>
      <c r="E75" s="30" t="inlineStr"/>
      <c r="F75" s="34" t="inlineStr"/>
      <c r="G75" s="32" t="inlineStr"/>
      <c r="H75" s="32" t="inlineStr"/>
      <c r="I75" s="30" t="inlineStr"/>
      <c r="J75" s="38" t="inlineStr"/>
      <c r="K75" s="31" t="inlineStr"/>
      <c r="L75" s="15">
        <f>IF(A75="","",F75*(1+G75)*(1+H75))</f>
        <v/>
      </c>
      <c r="M75" s="13">
        <f>IF(A75="","",IF(I75="angenommen","Auftrag",IF(AND(I75="offen",TODAY()&gt;B75+K75),"Bindefrist!","")))</f>
        <v/>
      </c>
    </row>
    <row r="76">
      <c r="A76" s="30" t="inlineStr"/>
      <c r="B76" s="38" t="inlineStr"/>
      <c r="C76" s="30" t="inlineStr"/>
      <c r="D76" s="30" t="inlineStr"/>
      <c r="E76" s="30" t="inlineStr"/>
      <c r="F76" s="34" t="inlineStr"/>
      <c r="G76" s="32" t="inlineStr"/>
      <c r="H76" s="32" t="inlineStr"/>
      <c r="I76" s="30" t="inlineStr"/>
      <c r="J76" s="38" t="inlineStr"/>
      <c r="K76" s="31" t="inlineStr"/>
      <c r="L76" s="15">
        <f>IF(A76="","",F76*(1+G76)*(1+H76))</f>
        <v/>
      </c>
      <c r="M76" s="13">
        <f>IF(A76="","",IF(I76="angenommen","Auftrag",IF(AND(I76="offen",TODAY()&gt;B76+K76),"Bindefrist!","")))</f>
        <v/>
      </c>
    </row>
    <row r="77">
      <c r="A77" s="30" t="inlineStr"/>
      <c r="B77" s="38" t="inlineStr"/>
      <c r="C77" s="30" t="inlineStr"/>
      <c r="D77" s="30" t="inlineStr"/>
      <c r="E77" s="30" t="inlineStr"/>
      <c r="F77" s="34" t="inlineStr"/>
      <c r="G77" s="32" t="inlineStr"/>
      <c r="H77" s="32" t="inlineStr"/>
      <c r="I77" s="30" t="inlineStr"/>
      <c r="J77" s="38" t="inlineStr"/>
      <c r="K77" s="31" t="inlineStr"/>
      <c r="L77" s="15">
        <f>IF(A77="","",F77*(1+G77)*(1+H77))</f>
        <v/>
      </c>
      <c r="M77" s="13">
        <f>IF(A77="","",IF(I77="angenommen","Auftrag",IF(AND(I77="offen",TODAY()&gt;B77+K77),"Bindefrist!","")))</f>
        <v/>
      </c>
    </row>
    <row r="78">
      <c r="A78" s="30" t="inlineStr"/>
      <c r="B78" s="38" t="inlineStr"/>
      <c r="C78" s="30" t="inlineStr"/>
      <c r="D78" s="30" t="inlineStr"/>
      <c r="E78" s="30" t="inlineStr"/>
      <c r="F78" s="34" t="inlineStr"/>
      <c r="G78" s="32" t="inlineStr"/>
      <c r="H78" s="32" t="inlineStr"/>
      <c r="I78" s="30" t="inlineStr"/>
      <c r="J78" s="38" t="inlineStr"/>
      <c r="K78" s="31" t="inlineStr"/>
      <c r="L78" s="15">
        <f>IF(A78="","",F78*(1+G78)*(1+H78))</f>
        <v/>
      </c>
      <c r="M78" s="13">
        <f>IF(A78="","",IF(I78="angenommen","Auftrag",IF(AND(I78="offen",TODAY()&gt;B78+K78),"Bindefrist!","")))</f>
        <v/>
      </c>
    </row>
    <row r="79">
      <c r="A79" s="30" t="inlineStr"/>
      <c r="B79" s="38" t="inlineStr"/>
      <c r="C79" s="30" t="inlineStr"/>
      <c r="D79" s="30" t="inlineStr"/>
      <c r="E79" s="30" t="inlineStr"/>
      <c r="F79" s="34" t="inlineStr"/>
      <c r="G79" s="32" t="inlineStr"/>
      <c r="H79" s="32" t="inlineStr"/>
      <c r="I79" s="30" t="inlineStr"/>
      <c r="J79" s="38" t="inlineStr"/>
      <c r="K79" s="31" t="inlineStr"/>
      <c r="L79" s="15">
        <f>IF(A79="","",F79*(1+G79)*(1+H79))</f>
        <v/>
      </c>
      <c r="M79" s="13">
        <f>IF(A79="","",IF(I79="angenommen","Auftrag",IF(AND(I79="offen",TODAY()&gt;B79+K79),"Bindefrist!","")))</f>
        <v/>
      </c>
    </row>
    <row r="80">
      <c r="A80" s="30" t="inlineStr"/>
      <c r="B80" s="38" t="inlineStr"/>
      <c r="C80" s="30" t="inlineStr"/>
      <c r="D80" s="30" t="inlineStr"/>
      <c r="E80" s="30" t="inlineStr"/>
      <c r="F80" s="34" t="inlineStr"/>
      <c r="G80" s="32" t="inlineStr"/>
      <c r="H80" s="32" t="inlineStr"/>
      <c r="I80" s="30" t="inlineStr"/>
      <c r="J80" s="38" t="inlineStr"/>
      <c r="K80" s="31" t="inlineStr"/>
      <c r="L80" s="15">
        <f>IF(A80="","",F80*(1+G80)*(1+H80))</f>
        <v/>
      </c>
      <c r="M80" s="13">
        <f>IF(A80="","",IF(I80="angenommen","Auftrag",IF(AND(I80="offen",TODAY()&gt;B80+K80),"Bindefrist!","")))</f>
        <v/>
      </c>
    </row>
    <row r="81">
      <c r="A81" s="30" t="inlineStr"/>
      <c r="B81" s="38" t="inlineStr"/>
      <c r="C81" s="30" t="inlineStr"/>
      <c r="D81" s="30" t="inlineStr"/>
      <c r="E81" s="30" t="inlineStr"/>
      <c r="F81" s="34" t="inlineStr"/>
      <c r="G81" s="32" t="inlineStr"/>
      <c r="H81" s="32" t="inlineStr"/>
      <c r="I81" s="30" t="inlineStr"/>
      <c r="J81" s="38" t="inlineStr"/>
      <c r="K81" s="31" t="inlineStr"/>
      <c r="L81" s="15">
        <f>IF(A81="","",F81*(1+G81)*(1+H81))</f>
        <v/>
      </c>
      <c r="M81" s="13">
        <f>IF(A81="","",IF(I81="angenommen","Auftrag",IF(AND(I81="offen",TODAY()&gt;B81+K81),"Bindefrist!","")))</f>
        <v/>
      </c>
    </row>
    <row r="82">
      <c r="A82" s="30" t="inlineStr"/>
      <c r="B82" s="38" t="inlineStr"/>
      <c r="C82" s="30" t="inlineStr"/>
      <c r="D82" s="30" t="inlineStr"/>
      <c r="E82" s="30" t="inlineStr"/>
      <c r="F82" s="34" t="inlineStr"/>
      <c r="G82" s="32" t="inlineStr"/>
      <c r="H82" s="32" t="inlineStr"/>
      <c r="I82" s="30" t="inlineStr"/>
      <c r="J82" s="38" t="inlineStr"/>
      <c r="K82" s="31" t="inlineStr"/>
      <c r="L82" s="15">
        <f>IF(A82="","",F82*(1+G82)*(1+H82))</f>
        <v/>
      </c>
      <c r="M82" s="13">
        <f>IF(A82="","",IF(I82="angenommen","Auftrag",IF(AND(I82="offen",TODAY()&gt;B82+K82),"Bindefrist!","")))</f>
        <v/>
      </c>
    </row>
    <row r="83">
      <c r="A83" s="30" t="inlineStr"/>
      <c r="B83" s="38" t="inlineStr"/>
      <c r="C83" s="30" t="inlineStr"/>
      <c r="D83" s="30" t="inlineStr"/>
      <c r="E83" s="30" t="inlineStr"/>
      <c r="F83" s="34" t="inlineStr"/>
      <c r="G83" s="32" t="inlineStr"/>
      <c r="H83" s="32" t="inlineStr"/>
      <c r="I83" s="30" t="inlineStr"/>
      <c r="J83" s="38" t="inlineStr"/>
      <c r="K83" s="31" t="inlineStr"/>
      <c r="L83" s="15">
        <f>IF(A83="","",F83*(1+G83)*(1+H83))</f>
        <v/>
      </c>
      <c r="M83" s="13">
        <f>IF(A83="","",IF(I83="angenommen","Auftrag",IF(AND(I83="offen",TODAY()&gt;B83+K83),"Bindefrist!","")))</f>
        <v/>
      </c>
    </row>
    <row r="84">
      <c r="A84" s="30" t="inlineStr"/>
      <c r="B84" s="38" t="inlineStr"/>
      <c r="C84" s="30" t="inlineStr"/>
      <c r="D84" s="30" t="inlineStr"/>
      <c r="E84" s="30" t="inlineStr"/>
      <c r="F84" s="34" t="inlineStr"/>
      <c r="G84" s="32" t="inlineStr"/>
      <c r="H84" s="32" t="inlineStr"/>
      <c r="I84" s="30" t="inlineStr"/>
      <c r="J84" s="38" t="inlineStr"/>
      <c r="K84" s="31" t="inlineStr"/>
      <c r="L84" s="15">
        <f>IF(A84="","",F84*(1+G84)*(1+H84))</f>
        <v/>
      </c>
      <c r="M84" s="13">
        <f>IF(A84="","",IF(I84="angenommen","Auftrag",IF(AND(I84="offen",TODAY()&gt;B84+K84),"Bindefrist!","")))</f>
        <v/>
      </c>
    </row>
    <row r="85">
      <c r="A85" s="30" t="inlineStr"/>
      <c r="B85" s="38" t="inlineStr"/>
      <c r="C85" s="30" t="inlineStr"/>
      <c r="D85" s="30" t="inlineStr"/>
      <c r="E85" s="30" t="inlineStr"/>
      <c r="F85" s="34" t="inlineStr"/>
      <c r="G85" s="32" t="inlineStr"/>
      <c r="H85" s="32" t="inlineStr"/>
      <c r="I85" s="30" t="inlineStr"/>
      <c r="J85" s="38" t="inlineStr"/>
      <c r="K85" s="31" t="inlineStr"/>
      <c r="L85" s="15">
        <f>IF(A85="","",F85*(1+G85)*(1+H85))</f>
        <v/>
      </c>
      <c r="M85" s="13">
        <f>IF(A85="","",IF(I85="angenommen","Auftrag",IF(AND(I85="offen",TODAY()&gt;B85+K85),"Bindefrist!","")))</f>
        <v/>
      </c>
    </row>
    <row r="86">
      <c r="A86" s="30" t="inlineStr"/>
      <c r="B86" s="38" t="inlineStr"/>
      <c r="C86" s="30" t="inlineStr"/>
      <c r="D86" s="30" t="inlineStr"/>
      <c r="E86" s="30" t="inlineStr"/>
      <c r="F86" s="34" t="inlineStr"/>
      <c r="G86" s="32" t="inlineStr"/>
      <c r="H86" s="32" t="inlineStr"/>
      <c r="I86" s="30" t="inlineStr"/>
      <c r="J86" s="38" t="inlineStr"/>
      <c r="K86" s="31" t="inlineStr"/>
      <c r="L86" s="15">
        <f>IF(A86="","",F86*(1+G86)*(1+H86))</f>
        <v/>
      </c>
      <c r="M86" s="13">
        <f>IF(A86="","",IF(I86="angenommen","Auftrag",IF(AND(I86="offen",TODAY()&gt;B86+K86),"Bindefrist!","")))</f>
        <v/>
      </c>
    </row>
    <row r="87">
      <c r="A87" s="30" t="inlineStr"/>
      <c r="B87" s="38" t="inlineStr"/>
      <c r="C87" s="30" t="inlineStr"/>
      <c r="D87" s="30" t="inlineStr"/>
      <c r="E87" s="30" t="inlineStr"/>
      <c r="F87" s="34" t="inlineStr"/>
      <c r="G87" s="32" t="inlineStr"/>
      <c r="H87" s="32" t="inlineStr"/>
      <c r="I87" s="30" t="inlineStr"/>
      <c r="J87" s="38" t="inlineStr"/>
      <c r="K87" s="31" t="inlineStr"/>
      <c r="L87" s="15">
        <f>IF(A87="","",F87*(1+G87)*(1+H87))</f>
        <v/>
      </c>
      <c r="M87" s="13">
        <f>IF(A87="","",IF(I87="angenommen","Auftrag",IF(AND(I87="offen",TODAY()&gt;B87+K87),"Bindefrist!","")))</f>
        <v/>
      </c>
    </row>
    <row r="88">
      <c r="A88" s="30" t="inlineStr"/>
      <c r="B88" s="38" t="inlineStr"/>
      <c r="C88" s="30" t="inlineStr"/>
      <c r="D88" s="30" t="inlineStr"/>
      <c r="E88" s="30" t="inlineStr"/>
      <c r="F88" s="34" t="inlineStr"/>
      <c r="G88" s="32" t="inlineStr"/>
      <c r="H88" s="32" t="inlineStr"/>
      <c r="I88" s="30" t="inlineStr"/>
      <c r="J88" s="38" t="inlineStr"/>
      <c r="K88" s="31" t="inlineStr"/>
      <c r="L88" s="15">
        <f>IF(A88="","",F88*(1+G88)*(1+H88))</f>
        <v/>
      </c>
      <c r="M88" s="13">
        <f>IF(A88="","",IF(I88="angenommen","Auftrag",IF(AND(I88="offen",TODAY()&gt;B88+K88),"Bindefrist!","")))</f>
        <v/>
      </c>
    </row>
    <row r="89">
      <c r="A89" s="30" t="inlineStr"/>
      <c r="B89" s="38" t="inlineStr"/>
      <c r="C89" s="30" t="inlineStr"/>
      <c r="D89" s="30" t="inlineStr"/>
      <c r="E89" s="30" t="inlineStr"/>
      <c r="F89" s="34" t="inlineStr"/>
      <c r="G89" s="32" t="inlineStr"/>
      <c r="H89" s="32" t="inlineStr"/>
      <c r="I89" s="30" t="inlineStr"/>
      <c r="J89" s="38" t="inlineStr"/>
      <c r="K89" s="31" t="inlineStr"/>
      <c r="L89" s="15">
        <f>IF(A89="","",F89*(1+G89)*(1+H89))</f>
        <v/>
      </c>
      <c r="M89" s="13">
        <f>IF(A89="","",IF(I89="angenommen","Auftrag",IF(AND(I89="offen",TODAY()&gt;B89+K89),"Bindefrist!","")))</f>
        <v/>
      </c>
    </row>
    <row r="90">
      <c r="A90" s="30" t="inlineStr"/>
      <c r="B90" s="38" t="inlineStr"/>
      <c r="C90" s="30" t="inlineStr"/>
      <c r="D90" s="30" t="inlineStr"/>
      <c r="E90" s="30" t="inlineStr"/>
      <c r="F90" s="34" t="inlineStr"/>
      <c r="G90" s="32" t="inlineStr"/>
      <c r="H90" s="32" t="inlineStr"/>
      <c r="I90" s="30" t="inlineStr"/>
      <c r="J90" s="38" t="inlineStr"/>
      <c r="K90" s="31" t="inlineStr"/>
      <c r="L90" s="15">
        <f>IF(A90="","",F90*(1+G90)*(1+H90))</f>
        <v/>
      </c>
      <c r="M90" s="13">
        <f>IF(A90="","",IF(I90="angenommen","Auftrag",IF(AND(I90="offen",TODAY()&gt;B90+K90),"Bindefrist!","")))</f>
        <v/>
      </c>
    </row>
    <row r="91">
      <c r="A91" s="30" t="inlineStr"/>
      <c r="B91" s="38" t="inlineStr"/>
      <c r="C91" s="30" t="inlineStr"/>
      <c r="D91" s="30" t="inlineStr"/>
      <c r="E91" s="30" t="inlineStr"/>
      <c r="F91" s="34" t="inlineStr"/>
      <c r="G91" s="32" t="inlineStr"/>
      <c r="H91" s="32" t="inlineStr"/>
      <c r="I91" s="30" t="inlineStr"/>
      <c r="J91" s="38" t="inlineStr"/>
      <c r="K91" s="31" t="inlineStr"/>
      <c r="L91" s="15">
        <f>IF(A91="","",F91*(1+G91)*(1+H91))</f>
        <v/>
      </c>
      <c r="M91" s="13">
        <f>IF(A91="","",IF(I91="angenommen","Auftrag",IF(AND(I91="offen",TODAY()&gt;B91+K91),"Bindefrist!","")))</f>
        <v/>
      </c>
    </row>
    <row r="92">
      <c r="A92" s="30" t="inlineStr"/>
      <c r="B92" s="38" t="inlineStr"/>
      <c r="C92" s="30" t="inlineStr"/>
      <c r="D92" s="30" t="inlineStr"/>
      <c r="E92" s="30" t="inlineStr"/>
      <c r="F92" s="34" t="inlineStr"/>
      <c r="G92" s="32" t="inlineStr"/>
      <c r="H92" s="32" t="inlineStr"/>
      <c r="I92" s="30" t="inlineStr"/>
      <c r="J92" s="38" t="inlineStr"/>
      <c r="K92" s="31" t="inlineStr"/>
      <c r="L92" s="15">
        <f>IF(A92="","",F92*(1+G92)*(1+H92))</f>
        <v/>
      </c>
      <c r="M92" s="13">
        <f>IF(A92="","",IF(I92="angenommen","Auftrag",IF(AND(I92="offen",TODAY()&gt;B92+K92),"Bindefrist!","")))</f>
        <v/>
      </c>
    </row>
    <row r="93">
      <c r="A93" s="30" t="inlineStr"/>
      <c r="B93" s="38" t="inlineStr"/>
      <c r="C93" s="30" t="inlineStr"/>
      <c r="D93" s="30" t="inlineStr"/>
      <c r="E93" s="30" t="inlineStr"/>
      <c r="F93" s="34" t="inlineStr"/>
      <c r="G93" s="32" t="inlineStr"/>
      <c r="H93" s="32" t="inlineStr"/>
      <c r="I93" s="30" t="inlineStr"/>
      <c r="J93" s="38" t="inlineStr"/>
      <c r="K93" s="31" t="inlineStr"/>
      <c r="L93" s="15">
        <f>IF(A93="","",F93*(1+G93)*(1+H93))</f>
        <v/>
      </c>
      <c r="M93" s="13">
        <f>IF(A93="","",IF(I93="angenommen","Auftrag",IF(AND(I93="offen",TODAY()&gt;B93+K93),"Bindefrist!","")))</f>
        <v/>
      </c>
    </row>
    <row r="94">
      <c r="A94" s="30" t="inlineStr"/>
      <c r="B94" s="38" t="inlineStr"/>
      <c r="C94" s="30" t="inlineStr"/>
      <c r="D94" s="30" t="inlineStr"/>
      <c r="E94" s="30" t="inlineStr"/>
      <c r="F94" s="34" t="inlineStr"/>
      <c r="G94" s="32" t="inlineStr"/>
      <c r="H94" s="32" t="inlineStr"/>
      <c r="I94" s="30" t="inlineStr"/>
      <c r="J94" s="38" t="inlineStr"/>
      <c r="K94" s="31" t="inlineStr"/>
      <c r="L94" s="15">
        <f>IF(A94="","",F94*(1+G94)*(1+H94))</f>
        <v/>
      </c>
      <c r="M94" s="13">
        <f>IF(A94="","",IF(I94="angenommen","Auftrag",IF(AND(I94="offen",TODAY()&gt;B94+K94),"Bindefrist!","")))</f>
        <v/>
      </c>
    </row>
    <row r="95">
      <c r="A95" s="30" t="inlineStr"/>
      <c r="B95" s="38" t="inlineStr"/>
      <c r="C95" s="30" t="inlineStr"/>
      <c r="D95" s="30" t="inlineStr"/>
      <c r="E95" s="30" t="inlineStr"/>
      <c r="F95" s="34" t="inlineStr"/>
      <c r="G95" s="32" t="inlineStr"/>
      <c r="H95" s="32" t="inlineStr"/>
      <c r="I95" s="30" t="inlineStr"/>
      <c r="J95" s="38" t="inlineStr"/>
      <c r="K95" s="31" t="inlineStr"/>
      <c r="L95" s="15">
        <f>IF(A95="","",F95*(1+G95)*(1+H95))</f>
        <v/>
      </c>
      <c r="M95" s="13">
        <f>IF(A95="","",IF(I95="angenommen","Auftrag",IF(AND(I95="offen",TODAY()&gt;B95+K95),"Bindefrist!","")))</f>
        <v/>
      </c>
    </row>
    <row r="96">
      <c r="A96" s="30" t="inlineStr"/>
      <c r="B96" s="38" t="inlineStr"/>
      <c r="C96" s="30" t="inlineStr"/>
      <c r="D96" s="30" t="inlineStr"/>
      <c r="E96" s="30" t="inlineStr"/>
      <c r="F96" s="34" t="inlineStr"/>
      <c r="G96" s="32" t="inlineStr"/>
      <c r="H96" s="32" t="inlineStr"/>
      <c r="I96" s="30" t="inlineStr"/>
      <c r="J96" s="38" t="inlineStr"/>
      <c r="K96" s="31" t="inlineStr"/>
      <c r="L96" s="15">
        <f>IF(A96="","",F96*(1+G96)*(1+H96))</f>
        <v/>
      </c>
      <c r="M96" s="13">
        <f>IF(A96="","",IF(I96="angenommen","Auftrag",IF(AND(I96="offen",TODAY()&gt;B96+K96),"Bindefrist!","")))</f>
        <v/>
      </c>
    </row>
    <row r="97">
      <c r="A97" s="30" t="inlineStr"/>
      <c r="B97" s="38" t="inlineStr"/>
      <c r="C97" s="30" t="inlineStr"/>
      <c r="D97" s="30" t="inlineStr"/>
      <c r="E97" s="30" t="inlineStr"/>
      <c r="F97" s="34" t="inlineStr"/>
      <c r="G97" s="32" t="inlineStr"/>
      <c r="H97" s="32" t="inlineStr"/>
      <c r="I97" s="30" t="inlineStr"/>
      <c r="J97" s="38" t="inlineStr"/>
      <c r="K97" s="31" t="inlineStr"/>
      <c r="L97" s="15">
        <f>IF(A97="","",F97*(1+G97)*(1+H97))</f>
        <v/>
      </c>
      <c r="M97" s="13">
        <f>IF(A97="","",IF(I97="angenommen","Auftrag",IF(AND(I97="offen",TODAY()&gt;B97+K97),"Bindefrist!","")))</f>
        <v/>
      </c>
    </row>
    <row r="98">
      <c r="A98" s="30" t="inlineStr"/>
      <c r="B98" s="38" t="inlineStr"/>
      <c r="C98" s="30" t="inlineStr"/>
      <c r="D98" s="30" t="inlineStr"/>
      <c r="E98" s="30" t="inlineStr"/>
      <c r="F98" s="34" t="inlineStr"/>
      <c r="G98" s="32" t="inlineStr"/>
      <c r="H98" s="32" t="inlineStr"/>
      <c r="I98" s="30" t="inlineStr"/>
      <c r="J98" s="38" t="inlineStr"/>
      <c r="K98" s="31" t="inlineStr"/>
      <c r="L98" s="15">
        <f>IF(A98="","",F98*(1+G98)*(1+H98))</f>
        <v/>
      </c>
      <c r="M98" s="13">
        <f>IF(A98="","",IF(I98="angenommen","Auftrag",IF(AND(I98="offen",TODAY()&gt;B98+K98),"Bindefrist!","")))</f>
        <v/>
      </c>
    </row>
    <row r="99">
      <c r="A99" s="30" t="inlineStr"/>
      <c r="B99" s="38" t="inlineStr"/>
      <c r="C99" s="30" t="inlineStr"/>
      <c r="D99" s="30" t="inlineStr"/>
      <c r="E99" s="30" t="inlineStr"/>
      <c r="F99" s="34" t="inlineStr"/>
      <c r="G99" s="32" t="inlineStr"/>
      <c r="H99" s="32" t="inlineStr"/>
      <c r="I99" s="30" t="inlineStr"/>
      <c r="J99" s="38" t="inlineStr"/>
      <c r="K99" s="31" t="inlineStr"/>
      <c r="L99" s="15">
        <f>IF(A99="","",F99*(1+G99)*(1+H99))</f>
        <v/>
      </c>
      <c r="M99" s="13">
        <f>IF(A99="","",IF(I99="angenommen","Auftrag",IF(AND(I99="offen",TODAY()&gt;B99+K99),"Bindefrist!","")))</f>
        <v/>
      </c>
    </row>
    <row r="100">
      <c r="A100" s="30" t="inlineStr"/>
      <c r="B100" s="38" t="inlineStr"/>
      <c r="C100" s="30" t="inlineStr"/>
      <c r="D100" s="30" t="inlineStr"/>
      <c r="E100" s="30" t="inlineStr"/>
      <c r="F100" s="34" t="inlineStr"/>
      <c r="G100" s="32" t="inlineStr"/>
      <c r="H100" s="32" t="inlineStr"/>
      <c r="I100" s="30" t="inlineStr"/>
      <c r="J100" s="38" t="inlineStr"/>
      <c r="K100" s="31" t="inlineStr"/>
      <c r="L100" s="15">
        <f>IF(A100="","",F100*(1+G100)*(1+H100))</f>
        <v/>
      </c>
      <c r="M100" s="13">
        <f>IF(A100="","",IF(I100="angenommen","Auftrag",IF(AND(I100="offen",TODAY()&gt;B100+K100),"Bindefrist!","")))</f>
        <v/>
      </c>
    </row>
    <row r="101">
      <c r="A101" s="30" t="inlineStr"/>
      <c r="B101" s="38" t="inlineStr"/>
      <c r="C101" s="30" t="inlineStr"/>
      <c r="D101" s="30" t="inlineStr"/>
      <c r="E101" s="30" t="inlineStr"/>
      <c r="F101" s="34" t="inlineStr"/>
      <c r="G101" s="32" t="inlineStr"/>
      <c r="H101" s="32" t="inlineStr"/>
      <c r="I101" s="30" t="inlineStr"/>
      <c r="J101" s="38" t="inlineStr"/>
      <c r="K101" s="31" t="inlineStr"/>
      <c r="L101" s="15">
        <f>IF(A101="","",F101*(1+G101)*(1+H101))</f>
        <v/>
      </c>
      <c r="M101" s="13">
        <f>IF(A101="","",IF(I101="angenommen","Auftrag",IF(AND(I101="offen",TODAY()&gt;B101+K101),"Bindefrist!","")))</f>
        <v/>
      </c>
    </row>
    <row r="102">
      <c r="A102" s="30" t="inlineStr"/>
      <c r="B102" s="38" t="inlineStr"/>
      <c r="C102" s="30" t="inlineStr"/>
      <c r="D102" s="30" t="inlineStr"/>
      <c r="E102" s="30" t="inlineStr"/>
      <c r="F102" s="34" t="inlineStr"/>
      <c r="G102" s="32" t="inlineStr"/>
      <c r="H102" s="32" t="inlineStr"/>
      <c r="I102" s="30" t="inlineStr"/>
      <c r="J102" s="38" t="inlineStr"/>
      <c r="K102" s="31" t="inlineStr"/>
      <c r="L102" s="15">
        <f>IF(A102="","",F102*(1+G102)*(1+H102))</f>
        <v/>
      </c>
      <c r="M102" s="13">
        <f>IF(A102="","",IF(I102="angenommen","Auftrag",IF(AND(I102="offen",TODAY()&gt;B102+K102),"Bindefrist!","")))</f>
        <v/>
      </c>
    </row>
    <row r="103">
      <c r="A103" s="30" t="inlineStr"/>
      <c r="B103" s="38" t="inlineStr"/>
      <c r="C103" s="30" t="inlineStr"/>
      <c r="D103" s="30" t="inlineStr"/>
      <c r="E103" s="30" t="inlineStr"/>
      <c r="F103" s="34" t="inlineStr"/>
      <c r="G103" s="32" t="inlineStr"/>
      <c r="H103" s="32" t="inlineStr"/>
      <c r="I103" s="30" t="inlineStr"/>
      <c r="J103" s="38" t="inlineStr"/>
      <c r="K103" s="31" t="inlineStr"/>
      <c r="L103" s="15">
        <f>IF(A103="","",F103*(1+G103)*(1+H103))</f>
        <v/>
      </c>
      <c r="M103" s="13">
        <f>IF(A103="","",IF(I103="angenommen","Auftrag",IF(AND(I103="offen",TODAY()&gt;B103+K103),"Bindefrist!","")))</f>
        <v/>
      </c>
    </row>
    <row r="104">
      <c r="A104" s="30" t="inlineStr"/>
      <c r="B104" s="38" t="inlineStr"/>
      <c r="C104" s="30" t="inlineStr"/>
      <c r="D104" s="30" t="inlineStr"/>
      <c r="E104" s="30" t="inlineStr"/>
      <c r="F104" s="34" t="inlineStr"/>
      <c r="G104" s="32" t="inlineStr"/>
      <c r="H104" s="32" t="inlineStr"/>
      <c r="I104" s="30" t="inlineStr"/>
      <c r="J104" s="38" t="inlineStr"/>
      <c r="K104" s="31" t="inlineStr"/>
      <c r="L104" s="15">
        <f>IF(A104="","",F104*(1+G104)*(1+H104))</f>
        <v/>
      </c>
      <c r="M104" s="13">
        <f>IF(A104="","",IF(I104="angenommen","Auftrag",IF(AND(I104="offen",TODAY()&gt;B104+K104),"Bindefrist!","")))</f>
        <v/>
      </c>
    </row>
    <row r="105">
      <c r="A105" s="30" t="inlineStr"/>
      <c r="B105" s="38" t="inlineStr"/>
      <c r="C105" s="30" t="inlineStr"/>
      <c r="D105" s="30" t="inlineStr"/>
      <c r="E105" s="30" t="inlineStr"/>
      <c r="F105" s="34" t="inlineStr"/>
      <c r="G105" s="32" t="inlineStr"/>
      <c r="H105" s="32" t="inlineStr"/>
      <c r="I105" s="30" t="inlineStr"/>
      <c r="J105" s="38" t="inlineStr"/>
      <c r="K105" s="31" t="inlineStr"/>
      <c r="L105" s="15">
        <f>IF(A105="","",F105*(1+G105)*(1+H105))</f>
        <v/>
      </c>
      <c r="M105" s="13">
        <f>IF(A105="","",IF(I105="angenommen","Auftrag",IF(AND(I105="offen",TODAY()&gt;B105+K105),"Bindefrist!","")))</f>
        <v/>
      </c>
    </row>
    <row r="106">
      <c r="A106" s="30" t="inlineStr"/>
      <c r="B106" s="38" t="inlineStr"/>
      <c r="C106" s="30" t="inlineStr"/>
      <c r="D106" s="30" t="inlineStr"/>
      <c r="E106" s="30" t="inlineStr"/>
      <c r="F106" s="34" t="inlineStr"/>
      <c r="G106" s="32" t="inlineStr"/>
      <c r="H106" s="32" t="inlineStr"/>
      <c r="I106" s="30" t="inlineStr"/>
      <c r="J106" s="38" t="inlineStr"/>
      <c r="K106" s="31" t="inlineStr"/>
      <c r="L106" s="15">
        <f>IF(A106="","",F106*(1+G106)*(1+H106))</f>
        <v/>
      </c>
      <c r="M106" s="13">
        <f>IF(A106="","",IF(I106="angenommen","Auftrag",IF(AND(I106="offen",TODAY()&gt;B106+K106),"Bindefrist!","")))</f>
        <v/>
      </c>
    </row>
    <row r="107">
      <c r="A107" s="30" t="inlineStr"/>
      <c r="B107" s="38" t="inlineStr"/>
      <c r="C107" s="30" t="inlineStr"/>
      <c r="D107" s="30" t="inlineStr"/>
      <c r="E107" s="30" t="inlineStr"/>
      <c r="F107" s="34" t="inlineStr"/>
      <c r="G107" s="32" t="inlineStr"/>
      <c r="H107" s="32" t="inlineStr"/>
      <c r="I107" s="30" t="inlineStr"/>
      <c r="J107" s="38" t="inlineStr"/>
      <c r="K107" s="31" t="inlineStr"/>
      <c r="L107" s="15">
        <f>IF(A107="","",F107*(1+G107)*(1+H107))</f>
        <v/>
      </c>
      <c r="M107" s="13">
        <f>IF(A107="","",IF(I107="angenommen","Auftrag",IF(AND(I107="offen",TODAY()&gt;B107+K107),"Bindefrist!","")))</f>
        <v/>
      </c>
    </row>
    <row r="108">
      <c r="A108" s="30" t="inlineStr"/>
      <c r="B108" s="38" t="inlineStr"/>
      <c r="C108" s="30" t="inlineStr"/>
      <c r="D108" s="30" t="inlineStr"/>
      <c r="E108" s="30" t="inlineStr"/>
      <c r="F108" s="34" t="inlineStr"/>
      <c r="G108" s="32" t="inlineStr"/>
      <c r="H108" s="32" t="inlineStr"/>
      <c r="I108" s="30" t="inlineStr"/>
      <c r="J108" s="38" t="inlineStr"/>
      <c r="K108" s="31" t="inlineStr"/>
      <c r="L108" s="15">
        <f>IF(A108="","",F108*(1+G108)*(1+H108))</f>
        <v/>
      </c>
      <c r="M108" s="13">
        <f>IF(A108="","",IF(I108="angenommen","Auftrag",IF(AND(I108="offen",TODAY()&gt;B108+K108),"Bindefrist!","")))</f>
        <v/>
      </c>
    </row>
    <row r="109">
      <c r="A109" s="30" t="inlineStr"/>
      <c r="B109" s="38" t="inlineStr"/>
      <c r="C109" s="30" t="inlineStr"/>
      <c r="D109" s="30" t="inlineStr"/>
      <c r="E109" s="30" t="inlineStr"/>
      <c r="F109" s="34" t="inlineStr"/>
      <c r="G109" s="32" t="inlineStr"/>
      <c r="H109" s="32" t="inlineStr"/>
      <c r="I109" s="30" t="inlineStr"/>
      <c r="J109" s="38" t="inlineStr"/>
      <c r="K109" s="31" t="inlineStr"/>
      <c r="L109" s="15">
        <f>IF(A109="","",F109*(1+G109)*(1+H109))</f>
        <v/>
      </c>
      <c r="M109" s="13">
        <f>IF(A109="","",IF(I109="angenommen","Auftrag",IF(AND(I109="offen",TODAY()&gt;B109+K109),"Bindefrist!","")))</f>
        <v/>
      </c>
    </row>
    <row r="110">
      <c r="A110" s="30" t="inlineStr"/>
      <c r="B110" s="38" t="inlineStr"/>
      <c r="C110" s="30" t="inlineStr"/>
      <c r="D110" s="30" t="inlineStr"/>
      <c r="E110" s="30" t="inlineStr"/>
      <c r="F110" s="34" t="inlineStr"/>
      <c r="G110" s="32" t="inlineStr"/>
      <c r="H110" s="32" t="inlineStr"/>
      <c r="I110" s="30" t="inlineStr"/>
      <c r="J110" s="38" t="inlineStr"/>
      <c r="K110" s="31" t="inlineStr"/>
      <c r="L110" s="15">
        <f>IF(A110="","",F110*(1+G110)*(1+H110))</f>
        <v/>
      </c>
      <c r="M110" s="13">
        <f>IF(A110="","",IF(I110="angenommen","Auftrag",IF(AND(I110="offen",TODAY()&gt;B110+K110),"Bindefrist!","")))</f>
        <v/>
      </c>
    </row>
    <row r="111">
      <c r="A111" s="30" t="inlineStr"/>
      <c r="B111" s="38" t="inlineStr"/>
      <c r="C111" s="30" t="inlineStr"/>
      <c r="D111" s="30" t="inlineStr"/>
      <c r="E111" s="30" t="inlineStr"/>
      <c r="F111" s="34" t="inlineStr"/>
      <c r="G111" s="32" t="inlineStr"/>
      <c r="H111" s="32" t="inlineStr"/>
      <c r="I111" s="30" t="inlineStr"/>
      <c r="J111" s="38" t="inlineStr"/>
      <c r="K111" s="31" t="inlineStr"/>
      <c r="L111" s="15">
        <f>IF(A111="","",F111*(1+G111)*(1+H111))</f>
        <v/>
      </c>
      <c r="M111" s="13">
        <f>IF(A111="","",IF(I111="angenommen","Auftrag",IF(AND(I111="offen",TODAY()&gt;B111+K111),"Bindefrist!","")))</f>
        <v/>
      </c>
    </row>
    <row r="112">
      <c r="A112" s="30" t="inlineStr"/>
      <c r="B112" s="38" t="inlineStr"/>
      <c r="C112" s="30" t="inlineStr"/>
      <c r="D112" s="30" t="inlineStr"/>
      <c r="E112" s="30" t="inlineStr"/>
      <c r="F112" s="34" t="inlineStr"/>
      <c r="G112" s="32" t="inlineStr"/>
      <c r="H112" s="32" t="inlineStr"/>
      <c r="I112" s="30" t="inlineStr"/>
      <c r="J112" s="38" t="inlineStr"/>
      <c r="K112" s="31" t="inlineStr"/>
      <c r="L112" s="15">
        <f>IF(A112="","",F112*(1+G112)*(1+H112))</f>
        <v/>
      </c>
      <c r="M112" s="13">
        <f>IF(A112="","",IF(I112="angenommen","Auftrag",IF(AND(I112="offen",TODAY()&gt;B112+K112),"Bindefrist!","")))</f>
        <v/>
      </c>
    </row>
    <row r="113">
      <c r="A113" s="30" t="inlineStr"/>
      <c r="B113" s="38" t="inlineStr"/>
      <c r="C113" s="30" t="inlineStr"/>
      <c r="D113" s="30" t="inlineStr"/>
      <c r="E113" s="30" t="inlineStr"/>
      <c r="F113" s="34" t="inlineStr"/>
      <c r="G113" s="32" t="inlineStr"/>
      <c r="H113" s="32" t="inlineStr"/>
      <c r="I113" s="30" t="inlineStr"/>
      <c r="J113" s="38" t="inlineStr"/>
      <c r="K113" s="31" t="inlineStr"/>
      <c r="L113" s="15">
        <f>IF(A113="","",F113*(1+G113)*(1+H113))</f>
        <v/>
      </c>
      <c r="M113" s="13">
        <f>IF(A113="","",IF(I113="angenommen","Auftrag",IF(AND(I113="offen",TODAY()&gt;B113+K113),"Bindefrist!","")))</f>
        <v/>
      </c>
    </row>
    <row r="114">
      <c r="A114" s="30" t="inlineStr"/>
      <c r="B114" s="38" t="inlineStr"/>
      <c r="C114" s="30" t="inlineStr"/>
      <c r="D114" s="30" t="inlineStr"/>
      <c r="E114" s="30" t="inlineStr"/>
      <c r="F114" s="34" t="inlineStr"/>
      <c r="G114" s="32" t="inlineStr"/>
      <c r="H114" s="32" t="inlineStr"/>
      <c r="I114" s="30" t="inlineStr"/>
      <c r="J114" s="38" t="inlineStr"/>
      <c r="K114" s="31" t="inlineStr"/>
      <c r="L114" s="15">
        <f>IF(A114="","",F114*(1+G114)*(1+H114))</f>
        <v/>
      </c>
      <c r="M114" s="13">
        <f>IF(A114="","",IF(I114="angenommen","Auftrag",IF(AND(I114="offen",TODAY()&gt;B114+K114),"Bindefrist!","")))</f>
        <v/>
      </c>
    </row>
    <row r="115">
      <c r="A115" s="30" t="inlineStr"/>
      <c r="B115" s="38" t="inlineStr"/>
      <c r="C115" s="30" t="inlineStr"/>
      <c r="D115" s="30" t="inlineStr"/>
      <c r="E115" s="30" t="inlineStr"/>
      <c r="F115" s="34" t="inlineStr"/>
      <c r="G115" s="32" t="inlineStr"/>
      <c r="H115" s="32" t="inlineStr"/>
      <c r="I115" s="30" t="inlineStr"/>
      <c r="J115" s="38" t="inlineStr"/>
      <c r="K115" s="31" t="inlineStr"/>
      <c r="L115" s="15">
        <f>IF(A115="","",F115*(1+G115)*(1+H115))</f>
        <v/>
      </c>
      <c r="M115" s="13">
        <f>IF(A115="","",IF(I115="angenommen","Auftrag",IF(AND(I115="offen",TODAY()&gt;B115+K115),"Bindefrist!","")))</f>
        <v/>
      </c>
    </row>
    <row r="116">
      <c r="A116" s="30" t="inlineStr"/>
      <c r="B116" s="38" t="inlineStr"/>
      <c r="C116" s="30" t="inlineStr"/>
      <c r="D116" s="30" t="inlineStr"/>
      <c r="E116" s="30" t="inlineStr"/>
      <c r="F116" s="34" t="inlineStr"/>
      <c r="G116" s="32" t="inlineStr"/>
      <c r="H116" s="32" t="inlineStr"/>
      <c r="I116" s="30" t="inlineStr"/>
      <c r="J116" s="38" t="inlineStr"/>
      <c r="K116" s="31" t="inlineStr"/>
      <c r="L116" s="15">
        <f>IF(A116="","",F116*(1+G116)*(1+H116))</f>
        <v/>
      </c>
      <c r="M116" s="13">
        <f>IF(A116="","",IF(I116="angenommen","Auftrag",IF(AND(I116="offen",TODAY()&gt;B116+K116),"Bindefrist!","")))</f>
        <v/>
      </c>
    </row>
    <row r="117">
      <c r="A117" s="30" t="inlineStr"/>
      <c r="B117" s="38" t="inlineStr"/>
      <c r="C117" s="30" t="inlineStr"/>
      <c r="D117" s="30" t="inlineStr"/>
      <c r="E117" s="30" t="inlineStr"/>
      <c r="F117" s="34" t="inlineStr"/>
      <c r="G117" s="32" t="inlineStr"/>
      <c r="H117" s="32" t="inlineStr"/>
      <c r="I117" s="30" t="inlineStr"/>
      <c r="J117" s="38" t="inlineStr"/>
      <c r="K117" s="31" t="inlineStr"/>
      <c r="L117" s="15">
        <f>IF(A117="","",F117*(1+G117)*(1+H117))</f>
        <v/>
      </c>
      <c r="M117" s="13">
        <f>IF(A117="","",IF(I117="angenommen","Auftrag",IF(AND(I117="offen",TODAY()&gt;B117+K117),"Bindefrist!","")))</f>
        <v/>
      </c>
    </row>
    <row r="118">
      <c r="A118" s="30" t="inlineStr"/>
      <c r="B118" s="38" t="inlineStr"/>
      <c r="C118" s="30" t="inlineStr"/>
      <c r="D118" s="30" t="inlineStr"/>
      <c r="E118" s="30" t="inlineStr"/>
      <c r="F118" s="34" t="inlineStr"/>
      <c r="G118" s="32" t="inlineStr"/>
      <c r="H118" s="32" t="inlineStr"/>
      <c r="I118" s="30" t="inlineStr"/>
      <c r="J118" s="38" t="inlineStr"/>
      <c r="K118" s="31" t="inlineStr"/>
      <c r="L118" s="15">
        <f>IF(A118="","",F118*(1+G118)*(1+H118))</f>
        <v/>
      </c>
      <c r="M118" s="13">
        <f>IF(A118="","",IF(I118="angenommen","Auftrag",IF(AND(I118="offen",TODAY()&gt;B118+K118),"Bindefrist!","")))</f>
        <v/>
      </c>
    </row>
    <row r="119">
      <c r="A119" s="30" t="inlineStr"/>
      <c r="B119" s="38" t="inlineStr"/>
      <c r="C119" s="30" t="inlineStr"/>
      <c r="D119" s="30" t="inlineStr"/>
      <c r="E119" s="30" t="inlineStr"/>
      <c r="F119" s="34" t="inlineStr"/>
      <c r="G119" s="32" t="inlineStr"/>
      <c r="H119" s="32" t="inlineStr"/>
      <c r="I119" s="30" t="inlineStr"/>
      <c r="J119" s="38" t="inlineStr"/>
      <c r="K119" s="31" t="inlineStr"/>
      <c r="L119" s="15">
        <f>IF(A119="","",F119*(1+G119)*(1+H119))</f>
        <v/>
      </c>
      <c r="M119" s="13">
        <f>IF(A119="","",IF(I119="angenommen","Auftrag",IF(AND(I119="offen",TODAY()&gt;B119+K119),"Bindefrist!","")))</f>
        <v/>
      </c>
    </row>
    <row r="120">
      <c r="A120" s="30" t="inlineStr"/>
      <c r="B120" s="38" t="inlineStr"/>
      <c r="C120" s="30" t="inlineStr"/>
      <c r="D120" s="30" t="inlineStr"/>
      <c r="E120" s="30" t="inlineStr"/>
      <c r="F120" s="34" t="inlineStr"/>
      <c r="G120" s="32" t="inlineStr"/>
      <c r="H120" s="32" t="inlineStr"/>
      <c r="I120" s="30" t="inlineStr"/>
      <c r="J120" s="38" t="inlineStr"/>
      <c r="K120" s="31" t="inlineStr"/>
      <c r="L120" s="15">
        <f>IF(A120="","",F120*(1+G120)*(1+H120))</f>
        <v/>
      </c>
      <c r="M120" s="13">
        <f>IF(A120="","",IF(I120="angenommen","Auftrag",IF(AND(I120="offen",TODAY()&gt;B120+K120),"Bindefrist!","")))</f>
        <v/>
      </c>
    </row>
    <row r="121">
      <c r="A121" s="30" t="inlineStr"/>
      <c r="B121" s="38" t="inlineStr"/>
      <c r="C121" s="30" t="inlineStr"/>
      <c r="D121" s="30" t="inlineStr"/>
      <c r="E121" s="30" t="inlineStr"/>
      <c r="F121" s="34" t="inlineStr"/>
      <c r="G121" s="32" t="inlineStr"/>
      <c r="H121" s="32" t="inlineStr"/>
      <c r="I121" s="30" t="inlineStr"/>
      <c r="J121" s="38" t="inlineStr"/>
      <c r="K121" s="31" t="inlineStr"/>
      <c r="L121" s="15">
        <f>IF(A121="","",F121*(1+G121)*(1+H121))</f>
        <v/>
      </c>
      <c r="M121" s="13">
        <f>IF(A121="","",IF(I121="angenommen","Auftrag",IF(AND(I121="offen",TODAY()&gt;B121+K121),"Bindefrist!","")))</f>
        <v/>
      </c>
    </row>
    <row r="122">
      <c r="A122" s="30" t="inlineStr"/>
      <c r="B122" s="38" t="inlineStr"/>
      <c r="C122" s="30" t="inlineStr"/>
      <c r="D122" s="30" t="inlineStr"/>
      <c r="E122" s="30" t="inlineStr"/>
      <c r="F122" s="34" t="inlineStr"/>
      <c r="G122" s="32" t="inlineStr"/>
      <c r="H122" s="32" t="inlineStr"/>
      <c r="I122" s="30" t="inlineStr"/>
      <c r="J122" s="38" t="inlineStr"/>
      <c r="K122" s="31" t="inlineStr"/>
      <c r="L122" s="15">
        <f>IF(A122="","",F122*(1+G122)*(1+H122))</f>
        <v/>
      </c>
      <c r="M122" s="13">
        <f>IF(A122="","",IF(I122="angenommen","Auftrag",IF(AND(I122="offen",TODAY()&gt;B122+K122),"Bindefrist!","")))</f>
        <v/>
      </c>
    </row>
    <row r="123">
      <c r="A123" s="30" t="inlineStr"/>
      <c r="B123" s="38" t="inlineStr"/>
      <c r="C123" s="30" t="inlineStr"/>
      <c r="D123" s="30" t="inlineStr"/>
      <c r="E123" s="30" t="inlineStr"/>
      <c r="F123" s="34" t="inlineStr"/>
      <c r="G123" s="32" t="inlineStr"/>
      <c r="H123" s="32" t="inlineStr"/>
      <c r="I123" s="30" t="inlineStr"/>
      <c r="J123" s="38" t="inlineStr"/>
      <c r="K123" s="31" t="inlineStr"/>
      <c r="L123" s="15">
        <f>IF(A123="","",F123*(1+G123)*(1+H123))</f>
        <v/>
      </c>
      <c r="M123" s="13">
        <f>IF(A123="","",IF(I123="angenommen","Auftrag",IF(AND(I123="offen",TODAY()&gt;B123+K123),"Bindefrist!","")))</f>
        <v/>
      </c>
    </row>
    <row r="124">
      <c r="A124" s="30" t="inlineStr"/>
      <c r="B124" s="38" t="inlineStr"/>
      <c r="C124" s="30" t="inlineStr"/>
      <c r="D124" s="30" t="inlineStr"/>
      <c r="E124" s="30" t="inlineStr"/>
      <c r="F124" s="34" t="inlineStr"/>
      <c r="G124" s="32" t="inlineStr"/>
      <c r="H124" s="32" t="inlineStr"/>
      <c r="I124" s="30" t="inlineStr"/>
      <c r="J124" s="38" t="inlineStr"/>
      <c r="K124" s="31" t="inlineStr"/>
      <c r="L124" s="15">
        <f>IF(A124="","",F124*(1+G124)*(1+H124))</f>
        <v/>
      </c>
      <c r="M124" s="13">
        <f>IF(A124="","",IF(I124="angenommen","Auftrag",IF(AND(I124="offen",TODAY()&gt;B124+K124),"Bindefrist!","")))</f>
        <v/>
      </c>
    </row>
    <row r="125">
      <c r="A125" s="30" t="inlineStr"/>
      <c r="B125" s="38" t="inlineStr"/>
      <c r="C125" s="30" t="inlineStr"/>
      <c r="D125" s="30" t="inlineStr"/>
      <c r="E125" s="30" t="inlineStr"/>
      <c r="F125" s="34" t="inlineStr"/>
      <c r="G125" s="32" t="inlineStr"/>
      <c r="H125" s="32" t="inlineStr"/>
      <c r="I125" s="30" t="inlineStr"/>
      <c r="J125" s="38" t="inlineStr"/>
      <c r="K125" s="31" t="inlineStr"/>
      <c r="L125" s="15">
        <f>IF(A125="","",F125*(1+G125)*(1+H125))</f>
        <v/>
      </c>
      <c r="M125" s="13">
        <f>IF(A125="","",IF(I125="angenommen","Auftrag",IF(AND(I125="offen",TODAY()&gt;B125+K125),"Bindefrist!","")))</f>
        <v/>
      </c>
    </row>
    <row r="126">
      <c r="A126" s="30" t="inlineStr"/>
      <c r="B126" s="38" t="inlineStr"/>
      <c r="C126" s="30" t="inlineStr"/>
      <c r="D126" s="30" t="inlineStr"/>
      <c r="E126" s="30" t="inlineStr"/>
      <c r="F126" s="34" t="inlineStr"/>
      <c r="G126" s="32" t="inlineStr"/>
      <c r="H126" s="32" t="inlineStr"/>
      <c r="I126" s="30" t="inlineStr"/>
      <c r="J126" s="38" t="inlineStr"/>
      <c r="K126" s="31" t="inlineStr"/>
      <c r="L126" s="15">
        <f>IF(A126="","",F126*(1+G126)*(1+H126))</f>
        <v/>
      </c>
      <c r="M126" s="13">
        <f>IF(A126="","",IF(I126="angenommen","Auftrag",IF(AND(I126="offen",TODAY()&gt;B126+K126),"Bindefrist!","")))</f>
        <v/>
      </c>
    </row>
    <row r="127">
      <c r="A127" s="30" t="inlineStr"/>
      <c r="B127" s="38" t="inlineStr"/>
      <c r="C127" s="30" t="inlineStr"/>
      <c r="D127" s="30" t="inlineStr"/>
      <c r="E127" s="30" t="inlineStr"/>
      <c r="F127" s="34" t="inlineStr"/>
      <c r="G127" s="32" t="inlineStr"/>
      <c r="H127" s="32" t="inlineStr"/>
      <c r="I127" s="30" t="inlineStr"/>
      <c r="J127" s="38" t="inlineStr"/>
      <c r="K127" s="31" t="inlineStr"/>
      <c r="L127" s="15">
        <f>IF(A127="","",F127*(1+G127)*(1+H127))</f>
        <v/>
      </c>
      <c r="M127" s="13">
        <f>IF(A127="","",IF(I127="angenommen","Auftrag",IF(AND(I127="offen",TODAY()&gt;B127+K127),"Bindefrist!","")))</f>
        <v/>
      </c>
    </row>
    <row r="128">
      <c r="A128" s="30" t="inlineStr"/>
      <c r="B128" s="38" t="inlineStr"/>
      <c r="C128" s="30" t="inlineStr"/>
      <c r="D128" s="30" t="inlineStr"/>
      <c r="E128" s="30" t="inlineStr"/>
      <c r="F128" s="34" t="inlineStr"/>
      <c r="G128" s="32" t="inlineStr"/>
      <c r="H128" s="32" t="inlineStr"/>
      <c r="I128" s="30" t="inlineStr"/>
      <c r="J128" s="38" t="inlineStr"/>
      <c r="K128" s="31" t="inlineStr"/>
      <c r="L128" s="15">
        <f>IF(A128="","",F128*(1+G128)*(1+H128))</f>
        <v/>
      </c>
      <c r="M128" s="13">
        <f>IF(A128="","",IF(I128="angenommen","Auftrag",IF(AND(I128="offen",TODAY()&gt;B128+K128),"Bindefrist!","")))</f>
        <v/>
      </c>
    </row>
    <row r="129">
      <c r="A129" s="30" t="inlineStr"/>
      <c r="B129" s="38" t="inlineStr"/>
      <c r="C129" s="30" t="inlineStr"/>
      <c r="D129" s="30" t="inlineStr"/>
      <c r="E129" s="30" t="inlineStr"/>
      <c r="F129" s="34" t="inlineStr"/>
      <c r="G129" s="32" t="inlineStr"/>
      <c r="H129" s="32" t="inlineStr"/>
      <c r="I129" s="30" t="inlineStr"/>
      <c r="J129" s="38" t="inlineStr"/>
      <c r="K129" s="31" t="inlineStr"/>
      <c r="L129" s="15">
        <f>IF(A129="","",F129*(1+G129)*(1+H129))</f>
        <v/>
      </c>
      <c r="M129" s="13">
        <f>IF(A129="","",IF(I129="angenommen","Auftrag",IF(AND(I129="offen",TODAY()&gt;B129+K129),"Bindefrist!","")))</f>
        <v/>
      </c>
    </row>
    <row r="130">
      <c r="A130" s="30" t="inlineStr"/>
      <c r="B130" s="38" t="inlineStr"/>
      <c r="C130" s="30" t="inlineStr"/>
      <c r="D130" s="30" t="inlineStr"/>
      <c r="E130" s="30" t="inlineStr"/>
      <c r="F130" s="34" t="inlineStr"/>
      <c r="G130" s="32" t="inlineStr"/>
      <c r="H130" s="32" t="inlineStr"/>
      <c r="I130" s="30" t="inlineStr"/>
      <c r="J130" s="38" t="inlineStr"/>
      <c r="K130" s="31" t="inlineStr"/>
      <c r="L130" s="15">
        <f>IF(A130="","",F130*(1+G130)*(1+H130))</f>
        <v/>
      </c>
      <c r="M130" s="13">
        <f>IF(A130="","",IF(I130="angenommen","Auftrag",IF(AND(I130="offen",TODAY()&gt;B130+K130),"Bindefrist!","")))</f>
        <v/>
      </c>
    </row>
    <row r="131">
      <c r="A131" s="30" t="inlineStr"/>
      <c r="B131" s="38" t="inlineStr"/>
      <c r="C131" s="30" t="inlineStr"/>
      <c r="D131" s="30" t="inlineStr"/>
      <c r="E131" s="30" t="inlineStr"/>
      <c r="F131" s="34" t="inlineStr"/>
      <c r="G131" s="32" t="inlineStr"/>
      <c r="H131" s="32" t="inlineStr"/>
      <c r="I131" s="30" t="inlineStr"/>
      <c r="J131" s="38" t="inlineStr"/>
      <c r="K131" s="31" t="inlineStr"/>
      <c r="L131" s="15">
        <f>IF(A131="","",F131*(1+G131)*(1+H131))</f>
        <v/>
      </c>
      <c r="M131" s="13">
        <f>IF(A131="","",IF(I131="angenommen","Auftrag",IF(AND(I131="offen",TODAY()&gt;B131+K131),"Bindefrist!","")))</f>
        <v/>
      </c>
    </row>
    <row r="132">
      <c r="A132" s="30" t="inlineStr"/>
      <c r="B132" s="38" t="inlineStr"/>
      <c r="C132" s="30" t="inlineStr"/>
      <c r="D132" s="30" t="inlineStr"/>
      <c r="E132" s="30" t="inlineStr"/>
      <c r="F132" s="34" t="inlineStr"/>
      <c r="G132" s="32" t="inlineStr"/>
      <c r="H132" s="32" t="inlineStr"/>
      <c r="I132" s="30" t="inlineStr"/>
      <c r="J132" s="38" t="inlineStr"/>
      <c r="K132" s="31" t="inlineStr"/>
      <c r="L132" s="15">
        <f>IF(A132="","",F132*(1+G132)*(1+H132))</f>
        <v/>
      </c>
      <c r="M132" s="13">
        <f>IF(A132="","",IF(I132="angenommen","Auftrag",IF(AND(I132="offen",TODAY()&gt;B132+K132),"Bindefrist!","")))</f>
        <v/>
      </c>
    </row>
    <row r="133">
      <c r="A133" s="30" t="inlineStr"/>
      <c r="B133" s="38" t="inlineStr"/>
      <c r="C133" s="30" t="inlineStr"/>
      <c r="D133" s="30" t="inlineStr"/>
      <c r="E133" s="30" t="inlineStr"/>
      <c r="F133" s="34" t="inlineStr"/>
      <c r="G133" s="32" t="inlineStr"/>
      <c r="H133" s="32" t="inlineStr"/>
      <c r="I133" s="30" t="inlineStr"/>
      <c r="J133" s="38" t="inlineStr"/>
      <c r="K133" s="31" t="inlineStr"/>
      <c r="L133" s="15">
        <f>IF(A133="","",F133*(1+G133)*(1+H133))</f>
        <v/>
      </c>
      <c r="M133" s="13">
        <f>IF(A133="","",IF(I133="angenommen","Auftrag",IF(AND(I133="offen",TODAY()&gt;B133+K133),"Bindefrist!","")))</f>
        <v/>
      </c>
    </row>
    <row r="134">
      <c r="A134" s="30" t="inlineStr"/>
      <c r="B134" s="38" t="inlineStr"/>
      <c r="C134" s="30" t="inlineStr"/>
      <c r="D134" s="30" t="inlineStr"/>
      <c r="E134" s="30" t="inlineStr"/>
      <c r="F134" s="34" t="inlineStr"/>
      <c r="G134" s="32" t="inlineStr"/>
      <c r="H134" s="32" t="inlineStr"/>
      <c r="I134" s="30" t="inlineStr"/>
      <c r="J134" s="38" t="inlineStr"/>
      <c r="K134" s="31" t="inlineStr"/>
      <c r="L134" s="15">
        <f>IF(A134="","",F134*(1+G134)*(1+H134))</f>
        <v/>
      </c>
      <c r="M134" s="13">
        <f>IF(A134="","",IF(I134="angenommen","Auftrag",IF(AND(I134="offen",TODAY()&gt;B134+K134),"Bindefrist!","")))</f>
        <v/>
      </c>
    </row>
    <row r="135">
      <c r="A135" s="30" t="inlineStr"/>
      <c r="B135" s="38" t="inlineStr"/>
      <c r="C135" s="30" t="inlineStr"/>
      <c r="D135" s="30" t="inlineStr"/>
      <c r="E135" s="30" t="inlineStr"/>
      <c r="F135" s="34" t="inlineStr"/>
      <c r="G135" s="32" t="inlineStr"/>
      <c r="H135" s="32" t="inlineStr"/>
      <c r="I135" s="30" t="inlineStr"/>
      <c r="J135" s="38" t="inlineStr"/>
      <c r="K135" s="31" t="inlineStr"/>
      <c r="L135" s="15">
        <f>IF(A135="","",F135*(1+G135)*(1+H135))</f>
        <v/>
      </c>
      <c r="M135" s="13">
        <f>IF(A135="","",IF(I135="angenommen","Auftrag",IF(AND(I135="offen",TODAY()&gt;B135+K135),"Bindefrist!","")))</f>
        <v/>
      </c>
    </row>
    <row r="136">
      <c r="A136" s="30" t="inlineStr"/>
      <c r="B136" s="38" t="inlineStr"/>
      <c r="C136" s="30" t="inlineStr"/>
      <c r="D136" s="30" t="inlineStr"/>
      <c r="E136" s="30" t="inlineStr"/>
      <c r="F136" s="34" t="inlineStr"/>
      <c r="G136" s="32" t="inlineStr"/>
      <c r="H136" s="32" t="inlineStr"/>
      <c r="I136" s="30" t="inlineStr"/>
      <c r="J136" s="38" t="inlineStr"/>
      <c r="K136" s="31" t="inlineStr"/>
      <c r="L136" s="15">
        <f>IF(A136="","",F136*(1+G136)*(1+H136))</f>
        <v/>
      </c>
      <c r="M136" s="13">
        <f>IF(A136="","",IF(I136="angenommen","Auftrag",IF(AND(I136="offen",TODAY()&gt;B136+K136),"Bindefrist!","")))</f>
        <v/>
      </c>
    </row>
    <row r="137">
      <c r="A137" s="30" t="inlineStr"/>
      <c r="B137" s="38" t="inlineStr"/>
      <c r="C137" s="30" t="inlineStr"/>
      <c r="D137" s="30" t="inlineStr"/>
      <c r="E137" s="30" t="inlineStr"/>
      <c r="F137" s="34" t="inlineStr"/>
      <c r="G137" s="32" t="inlineStr"/>
      <c r="H137" s="32" t="inlineStr"/>
      <c r="I137" s="30" t="inlineStr"/>
      <c r="J137" s="38" t="inlineStr"/>
      <c r="K137" s="31" t="inlineStr"/>
      <c r="L137" s="15">
        <f>IF(A137="","",F137*(1+G137)*(1+H137))</f>
        <v/>
      </c>
      <c r="M137" s="13">
        <f>IF(A137="","",IF(I137="angenommen","Auftrag",IF(AND(I137="offen",TODAY()&gt;B137+K137),"Bindefrist!","")))</f>
        <v/>
      </c>
    </row>
    <row r="138">
      <c r="A138" s="30" t="inlineStr"/>
      <c r="B138" s="38" t="inlineStr"/>
      <c r="C138" s="30" t="inlineStr"/>
      <c r="D138" s="30" t="inlineStr"/>
      <c r="E138" s="30" t="inlineStr"/>
      <c r="F138" s="34" t="inlineStr"/>
      <c r="G138" s="32" t="inlineStr"/>
      <c r="H138" s="32" t="inlineStr"/>
      <c r="I138" s="30" t="inlineStr"/>
      <c r="J138" s="38" t="inlineStr"/>
      <c r="K138" s="31" t="inlineStr"/>
      <c r="L138" s="15">
        <f>IF(A138="","",F138*(1+G138)*(1+H138))</f>
        <v/>
      </c>
      <c r="M138" s="13">
        <f>IF(A138="","",IF(I138="angenommen","Auftrag",IF(AND(I138="offen",TODAY()&gt;B138+K138),"Bindefrist!","")))</f>
        <v/>
      </c>
    </row>
    <row r="139">
      <c r="A139" s="30" t="inlineStr"/>
      <c r="B139" s="38" t="inlineStr"/>
      <c r="C139" s="30" t="inlineStr"/>
      <c r="D139" s="30" t="inlineStr"/>
      <c r="E139" s="30" t="inlineStr"/>
      <c r="F139" s="34" t="inlineStr"/>
      <c r="G139" s="32" t="inlineStr"/>
      <c r="H139" s="32" t="inlineStr"/>
      <c r="I139" s="30" t="inlineStr"/>
      <c r="J139" s="38" t="inlineStr"/>
      <c r="K139" s="31" t="inlineStr"/>
      <c r="L139" s="15">
        <f>IF(A139="","",F139*(1+G139)*(1+H139))</f>
        <v/>
      </c>
      <c r="M139" s="13">
        <f>IF(A139="","",IF(I139="angenommen","Auftrag",IF(AND(I139="offen",TODAY()&gt;B139+K139),"Bindefrist!","")))</f>
        <v/>
      </c>
    </row>
    <row r="140">
      <c r="A140" s="30" t="inlineStr"/>
      <c r="B140" s="38" t="inlineStr"/>
      <c r="C140" s="30" t="inlineStr"/>
      <c r="D140" s="30" t="inlineStr"/>
      <c r="E140" s="30" t="inlineStr"/>
      <c r="F140" s="34" t="inlineStr"/>
      <c r="G140" s="32" t="inlineStr"/>
      <c r="H140" s="32" t="inlineStr"/>
      <c r="I140" s="30" t="inlineStr"/>
      <c r="J140" s="38" t="inlineStr"/>
      <c r="K140" s="31" t="inlineStr"/>
      <c r="L140" s="15">
        <f>IF(A140="","",F140*(1+G140)*(1+H140))</f>
        <v/>
      </c>
      <c r="M140" s="13">
        <f>IF(A140="","",IF(I140="angenommen","Auftrag",IF(AND(I140="offen",TODAY()&gt;B140+K140),"Bindefrist!","")))</f>
        <v/>
      </c>
    </row>
    <row r="141">
      <c r="A141" s="30" t="inlineStr"/>
      <c r="B141" s="38" t="inlineStr"/>
      <c r="C141" s="30" t="inlineStr"/>
      <c r="D141" s="30" t="inlineStr"/>
      <c r="E141" s="30" t="inlineStr"/>
      <c r="F141" s="34" t="inlineStr"/>
      <c r="G141" s="32" t="inlineStr"/>
      <c r="H141" s="32" t="inlineStr"/>
      <c r="I141" s="30" t="inlineStr"/>
      <c r="J141" s="38" t="inlineStr"/>
      <c r="K141" s="31" t="inlineStr"/>
      <c r="L141" s="15">
        <f>IF(A141="","",F141*(1+G141)*(1+H141))</f>
        <v/>
      </c>
      <c r="M141" s="13">
        <f>IF(A141="","",IF(I141="angenommen","Auftrag",IF(AND(I141="offen",TODAY()&gt;B141+K141),"Bindefrist!","")))</f>
        <v/>
      </c>
    </row>
    <row r="142">
      <c r="A142" s="30" t="inlineStr"/>
      <c r="B142" s="38" t="inlineStr"/>
      <c r="C142" s="30" t="inlineStr"/>
      <c r="D142" s="30" t="inlineStr"/>
      <c r="E142" s="30" t="inlineStr"/>
      <c r="F142" s="34" t="inlineStr"/>
      <c r="G142" s="32" t="inlineStr"/>
      <c r="H142" s="32" t="inlineStr"/>
      <c r="I142" s="30" t="inlineStr"/>
      <c r="J142" s="38" t="inlineStr"/>
      <c r="K142" s="31" t="inlineStr"/>
      <c r="L142" s="15">
        <f>IF(A142="","",F142*(1+G142)*(1+H142))</f>
        <v/>
      </c>
      <c r="M142" s="13">
        <f>IF(A142="","",IF(I142="angenommen","Auftrag",IF(AND(I142="offen",TODAY()&gt;B142+K142),"Bindefrist!","")))</f>
        <v/>
      </c>
    </row>
    <row r="143">
      <c r="A143" s="30" t="inlineStr"/>
      <c r="B143" s="38" t="inlineStr"/>
      <c r="C143" s="30" t="inlineStr"/>
      <c r="D143" s="30" t="inlineStr"/>
      <c r="E143" s="30" t="inlineStr"/>
      <c r="F143" s="34" t="inlineStr"/>
      <c r="G143" s="32" t="inlineStr"/>
      <c r="H143" s="32" t="inlineStr"/>
      <c r="I143" s="30" t="inlineStr"/>
      <c r="J143" s="38" t="inlineStr"/>
      <c r="K143" s="31" t="inlineStr"/>
      <c r="L143" s="15">
        <f>IF(A143="","",F143*(1+G143)*(1+H143))</f>
        <v/>
      </c>
      <c r="M143" s="13">
        <f>IF(A143="","",IF(I143="angenommen","Auftrag",IF(AND(I143="offen",TODAY()&gt;B143+K143),"Bindefrist!","")))</f>
        <v/>
      </c>
    </row>
    <row r="144">
      <c r="A144" s="30" t="inlineStr"/>
      <c r="B144" s="38" t="inlineStr"/>
      <c r="C144" s="30" t="inlineStr"/>
      <c r="D144" s="30" t="inlineStr"/>
      <c r="E144" s="30" t="inlineStr"/>
      <c r="F144" s="34" t="inlineStr"/>
      <c r="G144" s="32" t="inlineStr"/>
      <c r="H144" s="32" t="inlineStr"/>
      <c r="I144" s="30" t="inlineStr"/>
      <c r="J144" s="38" t="inlineStr"/>
      <c r="K144" s="31" t="inlineStr"/>
      <c r="L144" s="15">
        <f>IF(A144="","",F144*(1+G144)*(1+H144))</f>
        <v/>
      </c>
      <c r="M144" s="13">
        <f>IF(A144="","",IF(I144="angenommen","Auftrag",IF(AND(I144="offen",TODAY()&gt;B144+K144),"Bindefrist!","")))</f>
        <v/>
      </c>
    </row>
    <row r="145">
      <c r="A145" s="30" t="inlineStr"/>
      <c r="B145" s="38" t="inlineStr"/>
      <c r="C145" s="30" t="inlineStr"/>
      <c r="D145" s="30" t="inlineStr"/>
      <c r="E145" s="30" t="inlineStr"/>
      <c r="F145" s="34" t="inlineStr"/>
      <c r="G145" s="32" t="inlineStr"/>
      <c r="H145" s="32" t="inlineStr"/>
      <c r="I145" s="30" t="inlineStr"/>
      <c r="J145" s="38" t="inlineStr"/>
      <c r="K145" s="31" t="inlineStr"/>
      <c r="L145" s="15">
        <f>IF(A145="","",F145*(1+G145)*(1+H145))</f>
        <v/>
      </c>
      <c r="M145" s="13">
        <f>IF(A145="","",IF(I145="angenommen","Auftrag",IF(AND(I145="offen",TODAY()&gt;B145+K145),"Bindefrist!","")))</f>
        <v/>
      </c>
    </row>
    <row r="146">
      <c r="A146" s="30" t="inlineStr"/>
      <c r="B146" s="38" t="inlineStr"/>
      <c r="C146" s="30" t="inlineStr"/>
      <c r="D146" s="30" t="inlineStr"/>
      <c r="E146" s="30" t="inlineStr"/>
      <c r="F146" s="34" t="inlineStr"/>
      <c r="G146" s="32" t="inlineStr"/>
      <c r="H146" s="32" t="inlineStr"/>
      <c r="I146" s="30" t="inlineStr"/>
      <c r="J146" s="38" t="inlineStr"/>
      <c r="K146" s="31" t="inlineStr"/>
      <c r="L146" s="15">
        <f>IF(A146="","",F146*(1+G146)*(1+H146))</f>
        <v/>
      </c>
      <c r="M146" s="13">
        <f>IF(A146="","",IF(I146="angenommen","Auftrag",IF(AND(I146="offen",TODAY()&gt;B146+K146),"Bindefrist!","")))</f>
        <v/>
      </c>
    </row>
    <row r="147">
      <c r="A147" s="30" t="inlineStr"/>
      <c r="B147" s="38" t="inlineStr"/>
      <c r="C147" s="30" t="inlineStr"/>
      <c r="D147" s="30" t="inlineStr"/>
      <c r="E147" s="30" t="inlineStr"/>
      <c r="F147" s="34" t="inlineStr"/>
      <c r="G147" s="32" t="inlineStr"/>
      <c r="H147" s="32" t="inlineStr"/>
      <c r="I147" s="30" t="inlineStr"/>
      <c r="J147" s="38" t="inlineStr"/>
      <c r="K147" s="31" t="inlineStr"/>
      <c r="L147" s="15">
        <f>IF(A147="","",F147*(1+G147)*(1+H147))</f>
        <v/>
      </c>
      <c r="M147" s="13">
        <f>IF(A147="","",IF(I147="angenommen","Auftrag",IF(AND(I147="offen",TODAY()&gt;B147+K147),"Bindefrist!","")))</f>
        <v/>
      </c>
    </row>
    <row r="148">
      <c r="A148" s="30" t="inlineStr"/>
      <c r="B148" s="38" t="inlineStr"/>
      <c r="C148" s="30" t="inlineStr"/>
      <c r="D148" s="30" t="inlineStr"/>
      <c r="E148" s="30" t="inlineStr"/>
      <c r="F148" s="34" t="inlineStr"/>
      <c r="G148" s="32" t="inlineStr"/>
      <c r="H148" s="32" t="inlineStr"/>
      <c r="I148" s="30" t="inlineStr"/>
      <c r="J148" s="38" t="inlineStr"/>
      <c r="K148" s="31" t="inlineStr"/>
      <c r="L148" s="15">
        <f>IF(A148="","",F148*(1+G148)*(1+H148))</f>
        <v/>
      </c>
      <c r="M148" s="13">
        <f>IF(A148="","",IF(I148="angenommen","Auftrag",IF(AND(I148="offen",TODAY()&gt;B148+K148),"Bindefrist!","")))</f>
        <v/>
      </c>
    </row>
    <row r="149">
      <c r="A149" s="30" t="inlineStr"/>
      <c r="B149" s="38" t="inlineStr"/>
      <c r="C149" s="30" t="inlineStr"/>
      <c r="D149" s="30" t="inlineStr"/>
      <c r="E149" s="30" t="inlineStr"/>
      <c r="F149" s="34" t="inlineStr"/>
      <c r="G149" s="32" t="inlineStr"/>
      <c r="H149" s="32" t="inlineStr"/>
      <c r="I149" s="30" t="inlineStr"/>
      <c r="J149" s="38" t="inlineStr"/>
      <c r="K149" s="31" t="inlineStr"/>
      <c r="L149" s="15">
        <f>IF(A149="","",F149*(1+G149)*(1+H149))</f>
        <v/>
      </c>
      <c r="M149" s="13">
        <f>IF(A149="","",IF(I149="angenommen","Auftrag",IF(AND(I149="offen",TODAY()&gt;B149+K149),"Bindefrist!","")))</f>
        <v/>
      </c>
    </row>
    <row r="150">
      <c r="A150" s="30" t="inlineStr"/>
      <c r="B150" s="38" t="inlineStr"/>
      <c r="C150" s="30" t="inlineStr"/>
      <c r="D150" s="30" t="inlineStr"/>
      <c r="E150" s="30" t="inlineStr"/>
      <c r="F150" s="34" t="inlineStr"/>
      <c r="G150" s="32" t="inlineStr"/>
      <c r="H150" s="32" t="inlineStr"/>
      <c r="I150" s="30" t="inlineStr"/>
      <c r="J150" s="38" t="inlineStr"/>
      <c r="K150" s="31" t="inlineStr"/>
      <c r="L150" s="15">
        <f>IF(A150="","",F150*(1+G150)*(1+H150))</f>
        <v/>
      </c>
      <c r="M150" s="13">
        <f>IF(A150="","",IF(I150="angenommen","Auftrag",IF(AND(I150="offen",TODAY()&gt;B150+K150),"Bindefrist!","")))</f>
        <v/>
      </c>
    </row>
    <row r="151">
      <c r="A151" s="30" t="inlineStr"/>
      <c r="B151" s="38" t="inlineStr"/>
      <c r="C151" s="30" t="inlineStr"/>
      <c r="D151" s="30" t="inlineStr"/>
      <c r="E151" s="30" t="inlineStr"/>
      <c r="F151" s="34" t="inlineStr"/>
      <c r="G151" s="32" t="inlineStr"/>
      <c r="H151" s="32" t="inlineStr"/>
      <c r="I151" s="30" t="inlineStr"/>
      <c r="J151" s="38" t="inlineStr"/>
      <c r="K151" s="31" t="inlineStr"/>
      <c r="L151" s="15">
        <f>IF(A151="","",F151*(1+G151)*(1+H151))</f>
        <v/>
      </c>
      <c r="M151" s="13">
        <f>IF(A151="","",IF(I151="angenommen","Auftrag",IF(AND(I151="offen",TODAY()&gt;B151+K151),"Bindefrist!","")))</f>
        <v/>
      </c>
    </row>
    <row r="152">
      <c r="A152" s="30" t="inlineStr"/>
      <c r="B152" s="38" t="inlineStr"/>
      <c r="C152" s="30" t="inlineStr"/>
      <c r="D152" s="30" t="inlineStr"/>
      <c r="E152" s="30" t="inlineStr"/>
      <c r="F152" s="34" t="inlineStr"/>
      <c r="G152" s="32" t="inlineStr"/>
      <c r="H152" s="32" t="inlineStr"/>
      <c r="I152" s="30" t="inlineStr"/>
      <c r="J152" s="38" t="inlineStr"/>
      <c r="K152" s="31" t="inlineStr"/>
      <c r="L152" s="15">
        <f>IF(A152="","",F152*(1+G152)*(1+H152))</f>
        <v/>
      </c>
      <c r="M152" s="13">
        <f>IF(A152="","",IF(I152="angenommen","Auftrag",IF(AND(I152="offen",TODAY()&gt;B152+K152),"Bindefrist!","")))</f>
        <v/>
      </c>
    </row>
    <row r="153">
      <c r="A153" s="30" t="inlineStr"/>
      <c r="B153" s="38" t="inlineStr"/>
      <c r="C153" s="30" t="inlineStr"/>
      <c r="D153" s="30" t="inlineStr"/>
      <c r="E153" s="30" t="inlineStr"/>
      <c r="F153" s="34" t="inlineStr"/>
      <c r="G153" s="32" t="inlineStr"/>
      <c r="H153" s="32" t="inlineStr"/>
      <c r="I153" s="30" t="inlineStr"/>
      <c r="J153" s="38" t="inlineStr"/>
      <c r="K153" s="31" t="inlineStr"/>
      <c r="L153" s="15">
        <f>IF(A153="","",F153*(1+G153)*(1+H153))</f>
        <v/>
      </c>
      <c r="M153" s="13">
        <f>IF(A153="","",IF(I153="angenommen","Auftrag",IF(AND(I153="offen",TODAY()&gt;B153+K153),"Bindefrist!","")))</f>
        <v/>
      </c>
    </row>
    <row r="154">
      <c r="A154" s="30" t="inlineStr"/>
      <c r="B154" s="38" t="inlineStr"/>
      <c r="C154" s="30" t="inlineStr"/>
      <c r="D154" s="30" t="inlineStr"/>
      <c r="E154" s="30" t="inlineStr"/>
      <c r="F154" s="34" t="inlineStr"/>
      <c r="G154" s="32" t="inlineStr"/>
      <c r="H154" s="32" t="inlineStr"/>
      <c r="I154" s="30" t="inlineStr"/>
      <c r="J154" s="38" t="inlineStr"/>
      <c r="K154" s="31" t="inlineStr"/>
      <c r="L154" s="15">
        <f>IF(A154="","",F154*(1+G154)*(1+H154))</f>
        <v/>
      </c>
      <c r="M154" s="13">
        <f>IF(A154="","",IF(I154="angenommen","Auftrag",IF(AND(I154="offen",TODAY()&gt;B154+K154),"Bindefrist!","")))</f>
        <v/>
      </c>
    </row>
    <row r="155">
      <c r="A155" s="30" t="inlineStr"/>
      <c r="B155" s="38" t="inlineStr"/>
      <c r="C155" s="30" t="inlineStr"/>
      <c r="D155" s="30" t="inlineStr"/>
      <c r="E155" s="30" t="inlineStr"/>
      <c r="F155" s="34" t="inlineStr"/>
      <c r="G155" s="32" t="inlineStr"/>
      <c r="H155" s="32" t="inlineStr"/>
      <c r="I155" s="30" t="inlineStr"/>
      <c r="J155" s="38" t="inlineStr"/>
      <c r="K155" s="31" t="inlineStr"/>
      <c r="L155" s="15">
        <f>IF(A155="","",F155*(1+G155)*(1+H155))</f>
        <v/>
      </c>
      <c r="M155" s="13">
        <f>IF(A155="","",IF(I155="angenommen","Auftrag",IF(AND(I155="offen",TODAY()&gt;B155+K155),"Bindefrist!","")))</f>
        <v/>
      </c>
    </row>
    <row r="156">
      <c r="A156" s="30" t="inlineStr"/>
      <c r="B156" s="38" t="inlineStr"/>
      <c r="C156" s="30" t="inlineStr"/>
      <c r="D156" s="30" t="inlineStr"/>
      <c r="E156" s="30" t="inlineStr"/>
      <c r="F156" s="34" t="inlineStr"/>
      <c r="G156" s="32" t="inlineStr"/>
      <c r="H156" s="32" t="inlineStr"/>
      <c r="I156" s="30" t="inlineStr"/>
      <c r="J156" s="38" t="inlineStr"/>
      <c r="K156" s="31" t="inlineStr"/>
      <c r="L156" s="15">
        <f>IF(A156="","",F156*(1+G156)*(1+H156))</f>
        <v/>
      </c>
      <c r="M156" s="13">
        <f>IF(A156="","",IF(I156="angenommen","Auftrag",IF(AND(I156="offen",TODAY()&gt;B156+K156),"Bindefrist!","")))</f>
        <v/>
      </c>
    </row>
    <row r="157">
      <c r="A157" s="30" t="inlineStr"/>
      <c r="B157" s="38" t="inlineStr"/>
      <c r="C157" s="30" t="inlineStr"/>
      <c r="D157" s="30" t="inlineStr"/>
      <c r="E157" s="30" t="inlineStr"/>
      <c r="F157" s="34" t="inlineStr"/>
      <c r="G157" s="32" t="inlineStr"/>
      <c r="H157" s="32" t="inlineStr"/>
      <c r="I157" s="30" t="inlineStr"/>
      <c r="J157" s="38" t="inlineStr"/>
      <c r="K157" s="31" t="inlineStr"/>
      <c r="L157" s="15">
        <f>IF(A157="","",F157*(1+G157)*(1+H157))</f>
        <v/>
      </c>
      <c r="M157" s="13">
        <f>IF(A157="","",IF(I157="angenommen","Auftrag",IF(AND(I157="offen",TODAY()&gt;B157+K157),"Bindefrist!","")))</f>
        <v/>
      </c>
    </row>
    <row r="158">
      <c r="A158" s="30" t="inlineStr"/>
      <c r="B158" s="38" t="inlineStr"/>
      <c r="C158" s="30" t="inlineStr"/>
      <c r="D158" s="30" t="inlineStr"/>
      <c r="E158" s="30" t="inlineStr"/>
      <c r="F158" s="34" t="inlineStr"/>
      <c r="G158" s="32" t="inlineStr"/>
      <c r="H158" s="32" t="inlineStr"/>
      <c r="I158" s="30" t="inlineStr"/>
      <c r="J158" s="38" t="inlineStr"/>
      <c r="K158" s="31" t="inlineStr"/>
      <c r="L158" s="15">
        <f>IF(A158="","",F158*(1+G158)*(1+H158))</f>
        <v/>
      </c>
      <c r="M158" s="13">
        <f>IF(A158="","",IF(I158="angenommen","Auftrag",IF(AND(I158="offen",TODAY()&gt;B158+K158),"Bindefrist!","")))</f>
        <v/>
      </c>
    </row>
    <row r="159">
      <c r="A159" s="30" t="inlineStr"/>
      <c r="B159" s="38" t="inlineStr"/>
      <c r="C159" s="30" t="inlineStr"/>
      <c r="D159" s="30" t="inlineStr"/>
      <c r="E159" s="30" t="inlineStr"/>
      <c r="F159" s="34" t="inlineStr"/>
      <c r="G159" s="32" t="inlineStr"/>
      <c r="H159" s="32" t="inlineStr"/>
      <c r="I159" s="30" t="inlineStr"/>
      <c r="J159" s="38" t="inlineStr"/>
      <c r="K159" s="31" t="inlineStr"/>
      <c r="L159" s="15">
        <f>IF(A159="","",F159*(1+G159)*(1+H159))</f>
        <v/>
      </c>
      <c r="M159" s="13">
        <f>IF(A159="","",IF(I159="angenommen","Auftrag",IF(AND(I159="offen",TODAY()&gt;B159+K159),"Bindefrist!","")))</f>
        <v/>
      </c>
    </row>
    <row r="160">
      <c r="A160" s="30" t="inlineStr"/>
      <c r="B160" s="38" t="inlineStr"/>
      <c r="C160" s="30" t="inlineStr"/>
      <c r="D160" s="30" t="inlineStr"/>
      <c r="E160" s="30" t="inlineStr"/>
      <c r="F160" s="34" t="inlineStr"/>
      <c r="G160" s="32" t="inlineStr"/>
      <c r="H160" s="32" t="inlineStr"/>
      <c r="I160" s="30" t="inlineStr"/>
      <c r="J160" s="38" t="inlineStr"/>
      <c r="K160" s="31" t="inlineStr"/>
      <c r="L160" s="15">
        <f>IF(A160="","",F160*(1+G160)*(1+H160))</f>
        <v/>
      </c>
      <c r="M160" s="13">
        <f>IF(A160="","",IF(I160="angenommen","Auftrag",IF(AND(I160="offen",TODAY()&gt;B160+K160),"Bindefrist!","")))</f>
        <v/>
      </c>
    </row>
    <row r="161">
      <c r="A161" s="30" t="inlineStr"/>
      <c r="B161" s="38" t="inlineStr"/>
      <c r="C161" s="30" t="inlineStr"/>
      <c r="D161" s="30" t="inlineStr"/>
      <c r="E161" s="30" t="inlineStr"/>
      <c r="F161" s="34" t="inlineStr"/>
      <c r="G161" s="32" t="inlineStr"/>
      <c r="H161" s="32" t="inlineStr"/>
      <c r="I161" s="30" t="inlineStr"/>
      <c r="J161" s="38" t="inlineStr"/>
      <c r="K161" s="31" t="inlineStr"/>
      <c r="L161" s="15">
        <f>IF(A161="","",F161*(1+G161)*(1+H161))</f>
        <v/>
      </c>
      <c r="M161" s="13">
        <f>IF(A161="","",IF(I161="angenommen","Auftrag",IF(AND(I161="offen",TODAY()&gt;B161+K161),"Bindefrist!","")))</f>
        <v/>
      </c>
    </row>
    <row r="162">
      <c r="A162" s="30" t="inlineStr"/>
      <c r="B162" s="38" t="inlineStr"/>
      <c r="C162" s="30" t="inlineStr"/>
      <c r="D162" s="30" t="inlineStr"/>
      <c r="E162" s="30" t="inlineStr"/>
      <c r="F162" s="34" t="inlineStr"/>
      <c r="G162" s="32" t="inlineStr"/>
      <c r="H162" s="32" t="inlineStr"/>
      <c r="I162" s="30" t="inlineStr"/>
      <c r="J162" s="38" t="inlineStr"/>
      <c r="K162" s="31" t="inlineStr"/>
      <c r="L162" s="15">
        <f>IF(A162="","",F162*(1+G162)*(1+H162))</f>
        <v/>
      </c>
      <c r="M162" s="13">
        <f>IF(A162="","",IF(I162="angenommen","Auftrag",IF(AND(I162="offen",TODAY()&gt;B162+K162),"Bindefrist!","")))</f>
        <v/>
      </c>
    </row>
    <row r="163">
      <c r="A163" s="30" t="inlineStr"/>
      <c r="B163" s="38" t="inlineStr"/>
      <c r="C163" s="30" t="inlineStr"/>
      <c r="D163" s="30" t="inlineStr"/>
      <c r="E163" s="30" t="inlineStr"/>
      <c r="F163" s="34" t="inlineStr"/>
      <c r="G163" s="32" t="inlineStr"/>
      <c r="H163" s="32" t="inlineStr"/>
      <c r="I163" s="30" t="inlineStr"/>
      <c r="J163" s="38" t="inlineStr"/>
      <c r="K163" s="31" t="inlineStr"/>
      <c r="L163" s="15">
        <f>IF(A163="","",F163*(1+G163)*(1+H163))</f>
        <v/>
      </c>
      <c r="M163" s="13">
        <f>IF(A163="","",IF(I163="angenommen","Auftrag",IF(AND(I163="offen",TODAY()&gt;B163+K163),"Bindefrist!","")))</f>
        <v/>
      </c>
    </row>
    <row r="164">
      <c r="A164" s="30" t="inlineStr"/>
      <c r="B164" s="38" t="inlineStr"/>
      <c r="C164" s="30" t="inlineStr"/>
      <c r="D164" s="30" t="inlineStr"/>
      <c r="E164" s="30" t="inlineStr"/>
      <c r="F164" s="34" t="inlineStr"/>
      <c r="G164" s="32" t="inlineStr"/>
      <c r="H164" s="32" t="inlineStr"/>
      <c r="I164" s="30" t="inlineStr"/>
      <c r="J164" s="38" t="inlineStr"/>
      <c r="K164" s="31" t="inlineStr"/>
      <c r="L164" s="15">
        <f>IF(A164="","",F164*(1+G164)*(1+H164))</f>
        <v/>
      </c>
      <c r="M164" s="13">
        <f>IF(A164="","",IF(I164="angenommen","Auftrag",IF(AND(I164="offen",TODAY()&gt;B164+K164),"Bindefrist!","")))</f>
        <v/>
      </c>
    </row>
    <row r="165">
      <c r="A165" s="30" t="inlineStr"/>
      <c r="B165" s="38" t="inlineStr"/>
      <c r="C165" s="30" t="inlineStr"/>
      <c r="D165" s="30" t="inlineStr"/>
      <c r="E165" s="30" t="inlineStr"/>
      <c r="F165" s="34" t="inlineStr"/>
      <c r="G165" s="32" t="inlineStr"/>
      <c r="H165" s="32" t="inlineStr"/>
      <c r="I165" s="30" t="inlineStr"/>
      <c r="J165" s="38" t="inlineStr"/>
      <c r="K165" s="31" t="inlineStr"/>
      <c r="L165" s="15">
        <f>IF(A165="","",F165*(1+G165)*(1+H165))</f>
        <v/>
      </c>
      <c r="M165" s="13">
        <f>IF(A165="","",IF(I165="angenommen","Auftrag",IF(AND(I165="offen",TODAY()&gt;B165+K165),"Bindefrist!","")))</f>
        <v/>
      </c>
    </row>
    <row r="166">
      <c r="A166" s="30" t="inlineStr"/>
      <c r="B166" s="38" t="inlineStr"/>
      <c r="C166" s="30" t="inlineStr"/>
      <c r="D166" s="30" t="inlineStr"/>
      <c r="E166" s="30" t="inlineStr"/>
      <c r="F166" s="34" t="inlineStr"/>
      <c r="G166" s="32" t="inlineStr"/>
      <c r="H166" s="32" t="inlineStr"/>
      <c r="I166" s="30" t="inlineStr"/>
      <c r="J166" s="38" t="inlineStr"/>
      <c r="K166" s="31" t="inlineStr"/>
      <c r="L166" s="15">
        <f>IF(A166="","",F166*(1+G166)*(1+H166))</f>
        <v/>
      </c>
      <c r="M166" s="13">
        <f>IF(A166="","",IF(I166="angenommen","Auftrag",IF(AND(I166="offen",TODAY()&gt;B166+K166),"Bindefrist!","")))</f>
        <v/>
      </c>
    </row>
    <row r="167">
      <c r="A167" s="30" t="inlineStr"/>
      <c r="B167" s="38" t="inlineStr"/>
      <c r="C167" s="30" t="inlineStr"/>
      <c r="D167" s="30" t="inlineStr"/>
      <c r="E167" s="30" t="inlineStr"/>
      <c r="F167" s="34" t="inlineStr"/>
      <c r="G167" s="32" t="inlineStr"/>
      <c r="H167" s="32" t="inlineStr"/>
      <c r="I167" s="30" t="inlineStr"/>
      <c r="J167" s="38" t="inlineStr"/>
      <c r="K167" s="31" t="inlineStr"/>
      <c r="L167" s="15">
        <f>IF(A167="","",F167*(1+G167)*(1+H167))</f>
        <v/>
      </c>
      <c r="M167" s="13">
        <f>IF(A167="","",IF(I167="angenommen","Auftrag",IF(AND(I167="offen",TODAY()&gt;B167+K167),"Bindefrist!","")))</f>
        <v/>
      </c>
    </row>
    <row r="168">
      <c r="A168" s="30" t="inlineStr"/>
      <c r="B168" s="38" t="inlineStr"/>
      <c r="C168" s="30" t="inlineStr"/>
      <c r="D168" s="30" t="inlineStr"/>
      <c r="E168" s="30" t="inlineStr"/>
      <c r="F168" s="34" t="inlineStr"/>
      <c r="G168" s="32" t="inlineStr"/>
      <c r="H168" s="32" t="inlineStr"/>
      <c r="I168" s="30" t="inlineStr"/>
      <c r="J168" s="38" t="inlineStr"/>
      <c r="K168" s="31" t="inlineStr"/>
      <c r="L168" s="15">
        <f>IF(A168="","",F168*(1+G168)*(1+H168))</f>
        <v/>
      </c>
      <c r="M168" s="13">
        <f>IF(A168="","",IF(I168="angenommen","Auftrag",IF(AND(I168="offen",TODAY()&gt;B168+K168),"Bindefrist!","")))</f>
        <v/>
      </c>
    </row>
    <row r="169">
      <c r="A169" s="30" t="inlineStr"/>
      <c r="B169" s="38" t="inlineStr"/>
      <c r="C169" s="30" t="inlineStr"/>
      <c r="D169" s="30" t="inlineStr"/>
      <c r="E169" s="30" t="inlineStr"/>
      <c r="F169" s="34" t="inlineStr"/>
      <c r="G169" s="32" t="inlineStr"/>
      <c r="H169" s="32" t="inlineStr"/>
      <c r="I169" s="30" t="inlineStr"/>
      <c r="J169" s="38" t="inlineStr"/>
      <c r="K169" s="31" t="inlineStr"/>
      <c r="L169" s="15">
        <f>IF(A169="","",F169*(1+G169)*(1+H169))</f>
        <v/>
      </c>
      <c r="M169" s="13">
        <f>IF(A169="","",IF(I169="angenommen","Auftrag",IF(AND(I169="offen",TODAY()&gt;B169+K169),"Bindefrist!","")))</f>
        <v/>
      </c>
    </row>
    <row r="170">
      <c r="A170" s="30" t="inlineStr"/>
      <c r="B170" s="38" t="inlineStr"/>
      <c r="C170" s="30" t="inlineStr"/>
      <c r="D170" s="30" t="inlineStr"/>
      <c r="E170" s="30" t="inlineStr"/>
      <c r="F170" s="34" t="inlineStr"/>
      <c r="G170" s="32" t="inlineStr"/>
      <c r="H170" s="32" t="inlineStr"/>
      <c r="I170" s="30" t="inlineStr"/>
      <c r="J170" s="38" t="inlineStr"/>
      <c r="K170" s="31" t="inlineStr"/>
      <c r="L170" s="15">
        <f>IF(A170="","",F170*(1+G170)*(1+H170))</f>
        <v/>
      </c>
      <c r="M170" s="13">
        <f>IF(A170="","",IF(I170="angenommen","Auftrag",IF(AND(I170="offen",TODAY()&gt;B170+K170),"Bindefrist!","")))</f>
        <v/>
      </c>
    </row>
    <row r="171">
      <c r="A171" s="30" t="inlineStr"/>
      <c r="B171" s="38" t="inlineStr"/>
      <c r="C171" s="30" t="inlineStr"/>
      <c r="D171" s="30" t="inlineStr"/>
      <c r="E171" s="30" t="inlineStr"/>
      <c r="F171" s="34" t="inlineStr"/>
      <c r="G171" s="32" t="inlineStr"/>
      <c r="H171" s="32" t="inlineStr"/>
      <c r="I171" s="30" t="inlineStr"/>
      <c r="J171" s="38" t="inlineStr"/>
      <c r="K171" s="31" t="inlineStr"/>
      <c r="L171" s="15">
        <f>IF(A171="","",F171*(1+G171)*(1+H171))</f>
        <v/>
      </c>
      <c r="M171" s="13">
        <f>IF(A171="","",IF(I171="angenommen","Auftrag",IF(AND(I171="offen",TODAY()&gt;B171+K171),"Bindefrist!","")))</f>
        <v/>
      </c>
    </row>
    <row r="172">
      <c r="A172" s="30" t="inlineStr"/>
      <c r="B172" s="38" t="inlineStr"/>
      <c r="C172" s="30" t="inlineStr"/>
      <c r="D172" s="30" t="inlineStr"/>
      <c r="E172" s="30" t="inlineStr"/>
      <c r="F172" s="34" t="inlineStr"/>
      <c r="G172" s="32" t="inlineStr"/>
      <c r="H172" s="32" t="inlineStr"/>
      <c r="I172" s="30" t="inlineStr"/>
      <c r="J172" s="38" t="inlineStr"/>
      <c r="K172" s="31" t="inlineStr"/>
      <c r="L172" s="15">
        <f>IF(A172="","",F172*(1+G172)*(1+H172))</f>
        <v/>
      </c>
      <c r="M172" s="13">
        <f>IF(A172="","",IF(I172="angenommen","Auftrag",IF(AND(I172="offen",TODAY()&gt;B172+K172),"Bindefrist!","")))</f>
        <v/>
      </c>
    </row>
    <row r="173">
      <c r="A173" s="30" t="inlineStr"/>
      <c r="B173" s="38" t="inlineStr"/>
      <c r="C173" s="30" t="inlineStr"/>
      <c r="D173" s="30" t="inlineStr"/>
      <c r="E173" s="30" t="inlineStr"/>
      <c r="F173" s="34" t="inlineStr"/>
      <c r="G173" s="32" t="inlineStr"/>
      <c r="H173" s="32" t="inlineStr"/>
      <c r="I173" s="30" t="inlineStr"/>
      <c r="J173" s="38" t="inlineStr"/>
      <c r="K173" s="31" t="inlineStr"/>
      <c r="L173" s="15">
        <f>IF(A173="","",F173*(1+G173)*(1+H173))</f>
        <v/>
      </c>
      <c r="M173" s="13">
        <f>IF(A173="","",IF(I173="angenommen","Auftrag",IF(AND(I173="offen",TODAY()&gt;B173+K173),"Bindefrist!","")))</f>
        <v/>
      </c>
    </row>
    <row r="174">
      <c r="A174" s="30" t="inlineStr"/>
      <c r="B174" s="38" t="inlineStr"/>
      <c r="C174" s="30" t="inlineStr"/>
      <c r="D174" s="30" t="inlineStr"/>
      <c r="E174" s="30" t="inlineStr"/>
      <c r="F174" s="34" t="inlineStr"/>
      <c r="G174" s="32" t="inlineStr"/>
      <c r="H174" s="32" t="inlineStr"/>
      <c r="I174" s="30" t="inlineStr"/>
      <c r="J174" s="38" t="inlineStr"/>
      <c r="K174" s="31" t="inlineStr"/>
      <c r="L174" s="15">
        <f>IF(A174="","",F174*(1+G174)*(1+H174))</f>
        <v/>
      </c>
      <c r="M174" s="13">
        <f>IF(A174="","",IF(I174="angenommen","Auftrag",IF(AND(I174="offen",TODAY()&gt;B174+K174),"Bindefrist!","")))</f>
        <v/>
      </c>
    </row>
    <row r="175">
      <c r="A175" s="30" t="inlineStr"/>
      <c r="B175" s="38" t="inlineStr"/>
      <c r="C175" s="30" t="inlineStr"/>
      <c r="D175" s="30" t="inlineStr"/>
      <c r="E175" s="30" t="inlineStr"/>
      <c r="F175" s="34" t="inlineStr"/>
      <c r="G175" s="32" t="inlineStr"/>
      <c r="H175" s="32" t="inlineStr"/>
      <c r="I175" s="30" t="inlineStr"/>
      <c r="J175" s="38" t="inlineStr"/>
      <c r="K175" s="31" t="inlineStr"/>
      <c r="L175" s="15">
        <f>IF(A175="","",F175*(1+G175)*(1+H175))</f>
        <v/>
      </c>
      <c r="M175" s="13">
        <f>IF(A175="","",IF(I175="angenommen","Auftrag",IF(AND(I175="offen",TODAY()&gt;B175+K175),"Bindefrist!","")))</f>
        <v/>
      </c>
    </row>
    <row r="176">
      <c r="A176" s="30" t="inlineStr"/>
      <c r="B176" s="38" t="inlineStr"/>
      <c r="C176" s="30" t="inlineStr"/>
      <c r="D176" s="30" t="inlineStr"/>
      <c r="E176" s="30" t="inlineStr"/>
      <c r="F176" s="34" t="inlineStr"/>
      <c r="G176" s="32" t="inlineStr"/>
      <c r="H176" s="32" t="inlineStr"/>
      <c r="I176" s="30" t="inlineStr"/>
      <c r="J176" s="38" t="inlineStr"/>
      <c r="K176" s="31" t="inlineStr"/>
      <c r="L176" s="15">
        <f>IF(A176="","",F176*(1+G176)*(1+H176))</f>
        <v/>
      </c>
      <c r="M176" s="13">
        <f>IF(A176="","",IF(I176="angenommen","Auftrag",IF(AND(I176="offen",TODAY()&gt;B176+K176),"Bindefrist!","")))</f>
        <v/>
      </c>
    </row>
    <row r="177">
      <c r="A177" s="30" t="inlineStr"/>
      <c r="B177" s="38" t="inlineStr"/>
      <c r="C177" s="30" t="inlineStr"/>
      <c r="D177" s="30" t="inlineStr"/>
      <c r="E177" s="30" t="inlineStr"/>
      <c r="F177" s="34" t="inlineStr"/>
      <c r="G177" s="32" t="inlineStr"/>
      <c r="H177" s="32" t="inlineStr"/>
      <c r="I177" s="30" t="inlineStr"/>
      <c r="J177" s="38" t="inlineStr"/>
      <c r="K177" s="31" t="inlineStr"/>
      <c r="L177" s="15">
        <f>IF(A177="","",F177*(1+G177)*(1+H177))</f>
        <v/>
      </c>
      <c r="M177" s="13">
        <f>IF(A177="","",IF(I177="angenommen","Auftrag",IF(AND(I177="offen",TODAY()&gt;B177+K177),"Bindefrist!","")))</f>
        <v/>
      </c>
    </row>
    <row r="178">
      <c r="A178" s="30" t="inlineStr"/>
      <c r="B178" s="38" t="inlineStr"/>
      <c r="C178" s="30" t="inlineStr"/>
      <c r="D178" s="30" t="inlineStr"/>
      <c r="E178" s="30" t="inlineStr"/>
      <c r="F178" s="34" t="inlineStr"/>
      <c r="G178" s="32" t="inlineStr"/>
      <c r="H178" s="32" t="inlineStr"/>
      <c r="I178" s="30" t="inlineStr"/>
      <c r="J178" s="38" t="inlineStr"/>
      <c r="K178" s="31" t="inlineStr"/>
      <c r="L178" s="15">
        <f>IF(A178="","",F178*(1+G178)*(1+H178))</f>
        <v/>
      </c>
      <c r="M178" s="13">
        <f>IF(A178="","",IF(I178="angenommen","Auftrag",IF(AND(I178="offen",TODAY()&gt;B178+K178),"Bindefrist!","")))</f>
        <v/>
      </c>
    </row>
    <row r="179">
      <c r="A179" s="30" t="inlineStr"/>
      <c r="B179" s="38" t="inlineStr"/>
      <c r="C179" s="30" t="inlineStr"/>
      <c r="D179" s="30" t="inlineStr"/>
      <c r="E179" s="30" t="inlineStr"/>
      <c r="F179" s="34" t="inlineStr"/>
      <c r="G179" s="32" t="inlineStr"/>
      <c r="H179" s="32" t="inlineStr"/>
      <c r="I179" s="30" t="inlineStr"/>
      <c r="J179" s="38" t="inlineStr"/>
      <c r="K179" s="31" t="inlineStr"/>
      <c r="L179" s="15">
        <f>IF(A179="","",F179*(1+G179)*(1+H179))</f>
        <v/>
      </c>
      <c r="M179" s="13">
        <f>IF(A179="","",IF(I179="angenommen","Auftrag",IF(AND(I179="offen",TODAY()&gt;B179+K179),"Bindefrist!","")))</f>
        <v/>
      </c>
    </row>
    <row r="180">
      <c r="A180" s="30" t="inlineStr"/>
      <c r="B180" s="38" t="inlineStr"/>
      <c r="C180" s="30" t="inlineStr"/>
      <c r="D180" s="30" t="inlineStr"/>
      <c r="E180" s="30" t="inlineStr"/>
      <c r="F180" s="34" t="inlineStr"/>
      <c r="G180" s="32" t="inlineStr"/>
      <c r="H180" s="32" t="inlineStr"/>
      <c r="I180" s="30" t="inlineStr"/>
      <c r="J180" s="38" t="inlineStr"/>
      <c r="K180" s="31" t="inlineStr"/>
      <c r="L180" s="15">
        <f>IF(A180="","",F180*(1+G180)*(1+H180))</f>
        <v/>
      </c>
      <c r="M180" s="13">
        <f>IF(A180="","",IF(I180="angenommen","Auftrag",IF(AND(I180="offen",TODAY()&gt;B180+K180),"Bindefrist!","")))</f>
        <v/>
      </c>
    </row>
    <row r="181">
      <c r="A181" s="30" t="inlineStr"/>
      <c r="B181" s="38" t="inlineStr"/>
      <c r="C181" s="30" t="inlineStr"/>
      <c r="D181" s="30" t="inlineStr"/>
      <c r="E181" s="30" t="inlineStr"/>
      <c r="F181" s="34" t="inlineStr"/>
      <c r="G181" s="32" t="inlineStr"/>
      <c r="H181" s="32" t="inlineStr"/>
      <c r="I181" s="30" t="inlineStr"/>
      <c r="J181" s="38" t="inlineStr"/>
      <c r="K181" s="31" t="inlineStr"/>
      <c r="L181" s="15">
        <f>IF(A181="","",F181*(1+G181)*(1+H181))</f>
        <v/>
      </c>
      <c r="M181" s="13">
        <f>IF(A181="","",IF(I181="angenommen","Auftrag",IF(AND(I181="offen",TODAY()&gt;B181+K181),"Bindefrist!","")))</f>
        <v/>
      </c>
    </row>
    <row r="182">
      <c r="A182" s="30" t="inlineStr"/>
      <c r="B182" s="38" t="inlineStr"/>
      <c r="C182" s="30" t="inlineStr"/>
      <c r="D182" s="30" t="inlineStr"/>
      <c r="E182" s="30" t="inlineStr"/>
      <c r="F182" s="34" t="inlineStr"/>
      <c r="G182" s="32" t="inlineStr"/>
      <c r="H182" s="32" t="inlineStr"/>
      <c r="I182" s="30" t="inlineStr"/>
      <c r="J182" s="38" t="inlineStr"/>
      <c r="K182" s="31" t="inlineStr"/>
      <c r="L182" s="15">
        <f>IF(A182="","",F182*(1+G182)*(1+H182))</f>
        <v/>
      </c>
      <c r="M182" s="13">
        <f>IF(A182="","",IF(I182="angenommen","Auftrag",IF(AND(I182="offen",TODAY()&gt;B182+K182),"Bindefrist!","")))</f>
        <v/>
      </c>
    </row>
    <row r="183">
      <c r="A183" s="30" t="inlineStr"/>
      <c r="B183" s="38" t="inlineStr"/>
      <c r="C183" s="30" t="inlineStr"/>
      <c r="D183" s="30" t="inlineStr"/>
      <c r="E183" s="30" t="inlineStr"/>
      <c r="F183" s="34" t="inlineStr"/>
      <c r="G183" s="32" t="inlineStr"/>
      <c r="H183" s="32" t="inlineStr"/>
      <c r="I183" s="30" t="inlineStr"/>
      <c r="J183" s="38" t="inlineStr"/>
      <c r="K183" s="31" t="inlineStr"/>
      <c r="L183" s="15">
        <f>IF(A183="","",F183*(1+G183)*(1+H183))</f>
        <v/>
      </c>
      <c r="M183" s="13">
        <f>IF(A183="","",IF(I183="angenommen","Auftrag",IF(AND(I183="offen",TODAY()&gt;B183+K183),"Bindefrist!","")))</f>
        <v/>
      </c>
    </row>
    <row r="184">
      <c r="A184" s="30" t="inlineStr"/>
      <c r="B184" s="38" t="inlineStr"/>
      <c r="C184" s="30" t="inlineStr"/>
      <c r="D184" s="30" t="inlineStr"/>
      <c r="E184" s="30" t="inlineStr"/>
      <c r="F184" s="34" t="inlineStr"/>
      <c r="G184" s="32" t="inlineStr"/>
      <c r="H184" s="32" t="inlineStr"/>
      <c r="I184" s="30" t="inlineStr"/>
      <c r="J184" s="38" t="inlineStr"/>
      <c r="K184" s="31" t="inlineStr"/>
      <c r="L184" s="15">
        <f>IF(A184="","",F184*(1+G184)*(1+H184))</f>
        <v/>
      </c>
      <c r="M184" s="13">
        <f>IF(A184="","",IF(I184="angenommen","Auftrag",IF(AND(I184="offen",TODAY()&gt;B184+K184),"Bindefrist!","")))</f>
        <v/>
      </c>
    </row>
    <row r="185">
      <c r="A185" s="30" t="inlineStr"/>
      <c r="B185" s="38" t="inlineStr"/>
      <c r="C185" s="30" t="inlineStr"/>
      <c r="D185" s="30" t="inlineStr"/>
      <c r="E185" s="30" t="inlineStr"/>
      <c r="F185" s="34" t="inlineStr"/>
      <c r="G185" s="32" t="inlineStr"/>
      <c r="H185" s="32" t="inlineStr"/>
      <c r="I185" s="30" t="inlineStr"/>
      <c r="J185" s="38" t="inlineStr"/>
      <c r="K185" s="31" t="inlineStr"/>
      <c r="L185" s="15">
        <f>IF(A185="","",F185*(1+G185)*(1+H185))</f>
        <v/>
      </c>
      <c r="M185" s="13">
        <f>IF(A185="","",IF(I185="angenommen","Auftrag",IF(AND(I185="offen",TODAY()&gt;B185+K185),"Bindefrist!","")))</f>
        <v/>
      </c>
    </row>
    <row r="186">
      <c r="A186" s="30" t="inlineStr"/>
      <c r="B186" s="38" t="inlineStr"/>
      <c r="C186" s="30" t="inlineStr"/>
      <c r="D186" s="30" t="inlineStr"/>
      <c r="E186" s="30" t="inlineStr"/>
      <c r="F186" s="34" t="inlineStr"/>
      <c r="G186" s="32" t="inlineStr"/>
      <c r="H186" s="32" t="inlineStr"/>
      <c r="I186" s="30" t="inlineStr"/>
      <c r="J186" s="38" t="inlineStr"/>
      <c r="K186" s="31" t="inlineStr"/>
      <c r="L186" s="15">
        <f>IF(A186="","",F186*(1+G186)*(1+H186))</f>
        <v/>
      </c>
      <c r="M186" s="13">
        <f>IF(A186="","",IF(I186="angenommen","Auftrag",IF(AND(I186="offen",TODAY()&gt;B186+K186),"Bindefrist!","")))</f>
        <v/>
      </c>
    </row>
    <row r="187">
      <c r="A187" s="30" t="inlineStr"/>
      <c r="B187" s="38" t="inlineStr"/>
      <c r="C187" s="30" t="inlineStr"/>
      <c r="D187" s="30" t="inlineStr"/>
      <c r="E187" s="30" t="inlineStr"/>
      <c r="F187" s="34" t="inlineStr"/>
      <c r="G187" s="32" t="inlineStr"/>
      <c r="H187" s="32" t="inlineStr"/>
      <c r="I187" s="30" t="inlineStr"/>
      <c r="J187" s="38" t="inlineStr"/>
      <c r="K187" s="31" t="inlineStr"/>
      <c r="L187" s="15">
        <f>IF(A187="","",F187*(1+G187)*(1+H187))</f>
        <v/>
      </c>
      <c r="M187" s="13">
        <f>IF(A187="","",IF(I187="angenommen","Auftrag",IF(AND(I187="offen",TODAY()&gt;B187+K187),"Bindefrist!","")))</f>
        <v/>
      </c>
    </row>
    <row r="188">
      <c r="A188" s="30" t="inlineStr"/>
      <c r="B188" s="38" t="inlineStr"/>
      <c r="C188" s="30" t="inlineStr"/>
      <c r="D188" s="30" t="inlineStr"/>
      <c r="E188" s="30" t="inlineStr"/>
      <c r="F188" s="34" t="inlineStr"/>
      <c r="G188" s="32" t="inlineStr"/>
      <c r="H188" s="32" t="inlineStr"/>
      <c r="I188" s="30" t="inlineStr"/>
      <c r="J188" s="38" t="inlineStr"/>
      <c r="K188" s="31" t="inlineStr"/>
      <c r="L188" s="15">
        <f>IF(A188="","",F188*(1+G188)*(1+H188))</f>
        <v/>
      </c>
      <c r="M188" s="13">
        <f>IF(A188="","",IF(I188="angenommen","Auftrag",IF(AND(I188="offen",TODAY()&gt;B188+K188),"Bindefrist!","")))</f>
        <v/>
      </c>
    </row>
    <row r="189">
      <c r="A189" s="30" t="inlineStr"/>
      <c r="B189" s="38" t="inlineStr"/>
      <c r="C189" s="30" t="inlineStr"/>
      <c r="D189" s="30" t="inlineStr"/>
      <c r="E189" s="30" t="inlineStr"/>
      <c r="F189" s="34" t="inlineStr"/>
      <c r="G189" s="32" t="inlineStr"/>
      <c r="H189" s="32" t="inlineStr"/>
      <c r="I189" s="30" t="inlineStr"/>
      <c r="J189" s="38" t="inlineStr"/>
      <c r="K189" s="31" t="inlineStr"/>
      <c r="L189" s="15">
        <f>IF(A189="","",F189*(1+G189)*(1+H189))</f>
        <v/>
      </c>
      <c r="M189" s="13">
        <f>IF(A189="","",IF(I189="angenommen","Auftrag",IF(AND(I189="offen",TODAY()&gt;B189+K189),"Bindefrist!","")))</f>
        <v/>
      </c>
    </row>
    <row r="190">
      <c r="A190" s="30" t="inlineStr"/>
      <c r="B190" s="38" t="inlineStr"/>
      <c r="C190" s="30" t="inlineStr"/>
      <c r="D190" s="30" t="inlineStr"/>
      <c r="E190" s="30" t="inlineStr"/>
      <c r="F190" s="34" t="inlineStr"/>
      <c r="G190" s="32" t="inlineStr"/>
      <c r="H190" s="32" t="inlineStr"/>
      <c r="I190" s="30" t="inlineStr"/>
      <c r="J190" s="38" t="inlineStr"/>
      <c r="K190" s="31" t="inlineStr"/>
      <c r="L190" s="15">
        <f>IF(A190="","",F190*(1+G190)*(1+H190))</f>
        <v/>
      </c>
      <c r="M190" s="13">
        <f>IF(A190="","",IF(I190="angenommen","Auftrag",IF(AND(I190="offen",TODAY()&gt;B190+K190),"Bindefrist!","")))</f>
        <v/>
      </c>
    </row>
    <row r="191">
      <c r="A191" s="30" t="inlineStr"/>
      <c r="B191" s="38" t="inlineStr"/>
      <c r="C191" s="30" t="inlineStr"/>
      <c r="D191" s="30" t="inlineStr"/>
      <c r="E191" s="30" t="inlineStr"/>
      <c r="F191" s="34" t="inlineStr"/>
      <c r="G191" s="32" t="inlineStr"/>
      <c r="H191" s="32" t="inlineStr"/>
      <c r="I191" s="30" t="inlineStr"/>
      <c r="J191" s="38" t="inlineStr"/>
      <c r="K191" s="31" t="inlineStr"/>
      <c r="L191" s="15">
        <f>IF(A191="","",F191*(1+G191)*(1+H191))</f>
        <v/>
      </c>
      <c r="M191" s="13">
        <f>IF(A191="","",IF(I191="angenommen","Auftrag",IF(AND(I191="offen",TODAY()&gt;B191+K191),"Bindefrist!","")))</f>
        <v/>
      </c>
    </row>
    <row r="192">
      <c r="A192" s="30" t="inlineStr"/>
      <c r="B192" s="38" t="inlineStr"/>
      <c r="C192" s="30" t="inlineStr"/>
      <c r="D192" s="30" t="inlineStr"/>
      <c r="E192" s="30" t="inlineStr"/>
      <c r="F192" s="34" t="inlineStr"/>
      <c r="G192" s="32" t="inlineStr"/>
      <c r="H192" s="32" t="inlineStr"/>
      <c r="I192" s="30" t="inlineStr"/>
      <c r="J192" s="38" t="inlineStr"/>
      <c r="K192" s="31" t="inlineStr"/>
      <c r="L192" s="15">
        <f>IF(A192="","",F192*(1+G192)*(1+H192))</f>
        <v/>
      </c>
      <c r="M192" s="13">
        <f>IF(A192="","",IF(I192="angenommen","Auftrag",IF(AND(I192="offen",TODAY()&gt;B192+K192),"Bindefrist!","")))</f>
        <v/>
      </c>
    </row>
    <row r="193">
      <c r="A193" s="30" t="inlineStr"/>
      <c r="B193" s="38" t="inlineStr"/>
      <c r="C193" s="30" t="inlineStr"/>
      <c r="D193" s="30" t="inlineStr"/>
      <c r="E193" s="30" t="inlineStr"/>
      <c r="F193" s="34" t="inlineStr"/>
      <c r="G193" s="32" t="inlineStr"/>
      <c r="H193" s="32" t="inlineStr"/>
      <c r="I193" s="30" t="inlineStr"/>
      <c r="J193" s="38" t="inlineStr"/>
      <c r="K193" s="31" t="inlineStr"/>
      <c r="L193" s="15">
        <f>IF(A193="","",F193*(1+G193)*(1+H193))</f>
        <v/>
      </c>
      <c r="M193" s="13">
        <f>IF(A193="","",IF(I193="angenommen","Auftrag",IF(AND(I193="offen",TODAY()&gt;B193+K193),"Bindefrist!","")))</f>
        <v/>
      </c>
    </row>
    <row r="194">
      <c r="A194" s="30" t="inlineStr"/>
      <c r="B194" s="38" t="inlineStr"/>
      <c r="C194" s="30" t="inlineStr"/>
      <c r="D194" s="30" t="inlineStr"/>
      <c r="E194" s="30" t="inlineStr"/>
      <c r="F194" s="34" t="inlineStr"/>
      <c r="G194" s="32" t="inlineStr"/>
      <c r="H194" s="32" t="inlineStr"/>
      <c r="I194" s="30" t="inlineStr"/>
      <c r="J194" s="38" t="inlineStr"/>
      <c r="K194" s="31" t="inlineStr"/>
      <c r="L194" s="15">
        <f>IF(A194="","",F194*(1+G194)*(1+H194))</f>
        <v/>
      </c>
      <c r="M194" s="13">
        <f>IF(A194="","",IF(I194="angenommen","Auftrag",IF(AND(I194="offen",TODAY()&gt;B194+K194),"Bindefrist!","")))</f>
        <v/>
      </c>
    </row>
    <row r="195">
      <c r="A195" s="30" t="inlineStr"/>
      <c r="B195" s="38" t="inlineStr"/>
      <c r="C195" s="30" t="inlineStr"/>
      <c r="D195" s="30" t="inlineStr"/>
      <c r="E195" s="30" t="inlineStr"/>
      <c r="F195" s="34" t="inlineStr"/>
      <c r="G195" s="32" t="inlineStr"/>
      <c r="H195" s="32" t="inlineStr"/>
      <c r="I195" s="30" t="inlineStr"/>
      <c r="J195" s="38" t="inlineStr"/>
      <c r="K195" s="31" t="inlineStr"/>
      <c r="L195" s="15">
        <f>IF(A195="","",F195*(1+G195)*(1+H195))</f>
        <v/>
      </c>
      <c r="M195" s="13">
        <f>IF(A195="","",IF(I195="angenommen","Auftrag",IF(AND(I195="offen",TODAY()&gt;B195+K195),"Bindefrist!","")))</f>
        <v/>
      </c>
    </row>
    <row r="196">
      <c r="A196" s="30" t="inlineStr"/>
      <c r="B196" s="38" t="inlineStr"/>
      <c r="C196" s="30" t="inlineStr"/>
      <c r="D196" s="30" t="inlineStr"/>
      <c r="E196" s="30" t="inlineStr"/>
      <c r="F196" s="34" t="inlineStr"/>
      <c r="G196" s="32" t="inlineStr"/>
      <c r="H196" s="32" t="inlineStr"/>
      <c r="I196" s="30" t="inlineStr"/>
      <c r="J196" s="38" t="inlineStr"/>
      <c r="K196" s="31" t="inlineStr"/>
      <c r="L196" s="15">
        <f>IF(A196="","",F196*(1+G196)*(1+H196))</f>
        <v/>
      </c>
      <c r="M196" s="13">
        <f>IF(A196="","",IF(I196="angenommen","Auftrag",IF(AND(I196="offen",TODAY()&gt;B196+K196),"Bindefrist!","")))</f>
        <v/>
      </c>
    </row>
    <row r="197">
      <c r="A197" s="30" t="inlineStr"/>
      <c r="B197" s="38" t="inlineStr"/>
      <c r="C197" s="30" t="inlineStr"/>
      <c r="D197" s="30" t="inlineStr"/>
      <c r="E197" s="30" t="inlineStr"/>
      <c r="F197" s="34" t="inlineStr"/>
      <c r="G197" s="32" t="inlineStr"/>
      <c r="H197" s="32" t="inlineStr"/>
      <c r="I197" s="30" t="inlineStr"/>
      <c r="J197" s="38" t="inlineStr"/>
      <c r="K197" s="31" t="inlineStr"/>
      <c r="L197" s="15">
        <f>IF(A197="","",F197*(1+G197)*(1+H197))</f>
        <v/>
      </c>
      <c r="M197" s="13">
        <f>IF(A197="","",IF(I197="angenommen","Auftrag",IF(AND(I197="offen",TODAY()&gt;B197+K197),"Bindefrist!","")))</f>
        <v/>
      </c>
    </row>
    <row r="198">
      <c r="A198" s="30" t="inlineStr"/>
      <c r="B198" s="38" t="inlineStr"/>
      <c r="C198" s="30" t="inlineStr"/>
      <c r="D198" s="30" t="inlineStr"/>
      <c r="E198" s="30" t="inlineStr"/>
      <c r="F198" s="34" t="inlineStr"/>
      <c r="G198" s="32" t="inlineStr"/>
      <c r="H198" s="32" t="inlineStr"/>
      <c r="I198" s="30" t="inlineStr"/>
      <c r="J198" s="38" t="inlineStr"/>
      <c r="K198" s="31" t="inlineStr"/>
      <c r="L198" s="15">
        <f>IF(A198="","",F198*(1+G198)*(1+H198))</f>
        <v/>
      </c>
      <c r="M198" s="13">
        <f>IF(A198="","",IF(I198="angenommen","Auftrag",IF(AND(I198="offen",TODAY()&gt;B198+K198),"Bindefrist!","")))</f>
        <v/>
      </c>
    </row>
    <row r="199">
      <c r="A199" s="30" t="inlineStr"/>
      <c r="B199" s="38" t="inlineStr"/>
      <c r="C199" s="30" t="inlineStr"/>
      <c r="D199" s="30" t="inlineStr"/>
      <c r="E199" s="30" t="inlineStr"/>
      <c r="F199" s="34" t="inlineStr"/>
      <c r="G199" s="32" t="inlineStr"/>
      <c r="H199" s="32" t="inlineStr"/>
      <c r="I199" s="30" t="inlineStr"/>
      <c r="J199" s="38" t="inlineStr"/>
      <c r="K199" s="31" t="inlineStr"/>
      <c r="L199" s="15">
        <f>IF(A199="","",F199*(1+G199)*(1+H199))</f>
        <v/>
      </c>
      <c r="M199" s="13">
        <f>IF(A199="","",IF(I199="angenommen","Auftrag",IF(AND(I199="offen",TODAY()&gt;B199+K199),"Bindefrist!","")))</f>
        <v/>
      </c>
    </row>
    <row r="200">
      <c r="A200" s="30" t="inlineStr"/>
      <c r="B200" s="38" t="inlineStr"/>
      <c r="C200" s="30" t="inlineStr"/>
      <c r="D200" s="30" t="inlineStr"/>
      <c r="E200" s="30" t="inlineStr"/>
      <c r="F200" s="34" t="inlineStr"/>
      <c r="G200" s="32" t="inlineStr"/>
      <c r="H200" s="32" t="inlineStr"/>
      <c r="I200" s="30" t="inlineStr"/>
      <c r="J200" s="38" t="inlineStr"/>
      <c r="K200" s="31" t="inlineStr"/>
      <c r="L200" s="15">
        <f>IF(A200="","",F200*(1+G200)*(1+H200))</f>
        <v/>
      </c>
      <c r="M200" s="13">
        <f>IF(A200="","",IF(I200="angenommen","Auftrag",IF(AND(I200="offen",TODAY()&gt;B200+K200),"Bindefrist!","")))</f>
        <v/>
      </c>
    </row>
    <row r="201">
      <c r="A201" s="30" t="inlineStr"/>
      <c r="B201" s="38" t="inlineStr"/>
      <c r="C201" s="30" t="inlineStr"/>
      <c r="D201" s="30" t="inlineStr"/>
      <c r="E201" s="30" t="inlineStr"/>
      <c r="F201" s="34" t="inlineStr"/>
      <c r="G201" s="32" t="inlineStr"/>
      <c r="H201" s="32" t="inlineStr"/>
      <c r="I201" s="30" t="inlineStr"/>
      <c r="J201" s="38" t="inlineStr"/>
      <c r="K201" s="31" t="inlineStr"/>
      <c r="L201" s="15">
        <f>IF(A201="","",F201*(1+G201)*(1+H201))</f>
        <v/>
      </c>
      <c r="M201" s="13">
        <f>IF(A201="","",IF(I201="angenommen","Auftrag",IF(AND(I201="offen",TODAY()&gt;B201+K201),"Bindefrist!","")))</f>
        <v/>
      </c>
    </row>
    <row r="202">
      <c r="A202" s="30" t="inlineStr"/>
      <c r="B202" s="38" t="inlineStr"/>
      <c r="C202" s="30" t="inlineStr"/>
      <c r="D202" s="30" t="inlineStr"/>
      <c r="E202" s="30" t="inlineStr"/>
      <c r="F202" s="34" t="inlineStr"/>
      <c r="G202" s="32" t="inlineStr"/>
      <c r="H202" s="32" t="inlineStr"/>
      <c r="I202" s="30" t="inlineStr"/>
      <c r="J202" s="38" t="inlineStr"/>
      <c r="K202" s="31" t="inlineStr"/>
      <c r="L202" s="15">
        <f>IF(A202="","",F202*(1+G202)*(1+H202))</f>
        <v/>
      </c>
      <c r="M202" s="13">
        <f>IF(A202="","",IF(I202="angenommen","Auftrag",IF(AND(I202="offen",TODAY()&gt;B202+K202),"Bindefrist!","")))</f>
        <v/>
      </c>
    </row>
    <row r="203">
      <c r="A203" s="30" t="inlineStr"/>
      <c r="B203" s="38" t="inlineStr"/>
      <c r="C203" s="30" t="inlineStr"/>
      <c r="D203" s="30" t="inlineStr"/>
      <c r="E203" s="30" t="inlineStr"/>
      <c r="F203" s="34" t="inlineStr"/>
      <c r="G203" s="32" t="inlineStr"/>
      <c r="H203" s="32" t="inlineStr"/>
      <c r="I203" s="30" t="inlineStr"/>
      <c r="J203" s="38" t="inlineStr"/>
      <c r="K203" s="31" t="inlineStr"/>
      <c r="L203" s="15">
        <f>IF(A203="","",F203*(1+G203)*(1+H203))</f>
        <v/>
      </c>
      <c r="M203" s="13">
        <f>IF(A203="","",IF(I203="angenommen","Auftrag",IF(AND(I203="offen",TODAY()&gt;B203+K203),"Bindefrist!","")))</f>
        <v/>
      </c>
    </row>
    <row r="204">
      <c r="A204" s="30" t="inlineStr"/>
      <c r="B204" s="38" t="inlineStr"/>
      <c r="C204" s="30" t="inlineStr"/>
      <c r="D204" s="30" t="inlineStr"/>
      <c r="E204" s="30" t="inlineStr"/>
      <c r="F204" s="34" t="inlineStr"/>
      <c r="G204" s="32" t="inlineStr"/>
      <c r="H204" s="32" t="inlineStr"/>
      <c r="I204" s="30" t="inlineStr"/>
      <c r="J204" s="38" t="inlineStr"/>
      <c r="K204" s="31" t="inlineStr"/>
      <c r="L204" s="15">
        <f>IF(A204="","",F204*(1+G204)*(1+H204))</f>
        <v/>
      </c>
      <c r="M204" s="13">
        <f>IF(A204="","",IF(I204="angenommen","Auftrag",IF(AND(I204="offen",TODAY()&gt;B204+K204),"Bindefrist!","")))</f>
        <v/>
      </c>
    </row>
    <row r="205">
      <c r="A205" s="30" t="inlineStr"/>
      <c r="B205" s="38" t="inlineStr"/>
      <c r="C205" s="30" t="inlineStr"/>
      <c r="D205" s="30" t="inlineStr"/>
      <c r="E205" s="30" t="inlineStr"/>
      <c r="F205" s="34" t="inlineStr"/>
      <c r="G205" s="32" t="inlineStr"/>
      <c r="H205" s="32" t="inlineStr"/>
      <c r="I205" s="30" t="inlineStr"/>
      <c r="J205" s="38" t="inlineStr"/>
      <c r="K205" s="31" t="inlineStr"/>
      <c r="L205" s="15">
        <f>IF(A205="","",F205*(1+G205)*(1+H205))</f>
        <v/>
      </c>
      <c r="M205" s="13">
        <f>IF(A205="","",IF(I205="angenommen","Auftrag",IF(AND(I205="offen",TODAY()&gt;B205+K205),"Bindefrist!","")))</f>
        <v/>
      </c>
    </row>
    <row r="206">
      <c r="A206" s="30" t="inlineStr"/>
      <c r="B206" s="38" t="inlineStr"/>
      <c r="C206" s="30" t="inlineStr"/>
      <c r="D206" s="30" t="inlineStr"/>
      <c r="E206" s="30" t="inlineStr"/>
      <c r="F206" s="34" t="inlineStr"/>
      <c r="G206" s="32" t="inlineStr"/>
      <c r="H206" s="32" t="inlineStr"/>
      <c r="I206" s="30" t="inlineStr"/>
      <c r="J206" s="38" t="inlineStr"/>
      <c r="K206" s="31" t="inlineStr"/>
      <c r="L206" s="15">
        <f>IF(A206="","",F206*(1+G206)*(1+H206))</f>
        <v/>
      </c>
      <c r="M206" s="13">
        <f>IF(A206="","",IF(I206="angenommen","Auftrag",IF(AND(I206="offen",TODAY()&gt;B206+K206),"Bindefrist!","")))</f>
        <v/>
      </c>
    </row>
    <row r="207">
      <c r="A207" s="30" t="inlineStr"/>
      <c r="B207" s="38" t="inlineStr"/>
      <c r="C207" s="30" t="inlineStr"/>
      <c r="D207" s="30" t="inlineStr"/>
      <c r="E207" s="30" t="inlineStr"/>
      <c r="F207" s="34" t="inlineStr"/>
      <c r="G207" s="32" t="inlineStr"/>
      <c r="H207" s="32" t="inlineStr"/>
      <c r="I207" s="30" t="inlineStr"/>
      <c r="J207" s="38" t="inlineStr"/>
      <c r="K207" s="31" t="inlineStr"/>
      <c r="L207" s="15">
        <f>IF(A207="","",F207*(1+G207)*(1+H207))</f>
        <v/>
      </c>
      <c r="M207" s="13">
        <f>IF(A207="","",IF(I207="angenommen","Auftrag",IF(AND(I207="offen",TODAY()&gt;B207+K207),"Bindefrist!","")))</f>
        <v/>
      </c>
    </row>
    <row r="208">
      <c r="A208" s="30" t="inlineStr"/>
      <c r="B208" s="38" t="inlineStr"/>
      <c r="C208" s="30" t="inlineStr"/>
      <c r="D208" s="30" t="inlineStr"/>
      <c r="E208" s="30" t="inlineStr"/>
      <c r="F208" s="34" t="inlineStr"/>
      <c r="G208" s="32" t="inlineStr"/>
      <c r="H208" s="32" t="inlineStr"/>
      <c r="I208" s="30" t="inlineStr"/>
      <c r="J208" s="38" t="inlineStr"/>
      <c r="K208" s="31" t="inlineStr"/>
      <c r="L208" s="15">
        <f>IF(A208="","",F208*(1+G208)*(1+H208))</f>
        <v/>
      </c>
      <c r="M208" s="13">
        <f>IF(A208="","",IF(I208="angenommen","Auftrag",IF(AND(I208="offen",TODAY()&gt;B208+K208),"Bindefrist!","")))</f>
        <v/>
      </c>
    </row>
    <row r="209">
      <c r="A209" s="30" t="inlineStr"/>
      <c r="B209" s="38" t="inlineStr"/>
      <c r="C209" s="30" t="inlineStr"/>
      <c r="D209" s="30" t="inlineStr"/>
      <c r="E209" s="30" t="inlineStr"/>
      <c r="F209" s="34" t="inlineStr"/>
      <c r="G209" s="32" t="inlineStr"/>
      <c r="H209" s="32" t="inlineStr"/>
      <c r="I209" s="30" t="inlineStr"/>
      <c r="J209" s="38" t="inlineStr"/>
      <c r="K209" s="31" t="inlineStr"/>
      <c r="L209" s="15">
        <f>IF(A209="","",F209*(1+G209)*(1+H209))</f>
        <v/>
      </c>
      <c r="M209" s="13">
        <f>IF(A209="","",IF(I209="angenommen","Auftrag",IF(AND(I209="offen",TODAY()&gt;B209+K209),"Bindefrist!","")))</f>
        <v/>
      </c>
    </row>
    <row r="210">
      <c r="A210" s="30" t="inlineStr"/>
      <c r="B210" s="38" t="inlineStr"/>
      <c r="C210" s="30" t="inlineStr"/>
      <c r="D210" s="30" t="inlineStr"/>
      <c r="E210" s="30" t="inlineStr"/>
      <c r="F210" s="34" t="inlineStr"/>
      <c r="G210" s="32" t="inlineStr"/>
      <c r="H210" s="32" t="inlineStr"/>
      <c r="I210" s="30" t="inlineStr"/>
      <c r="J210" s="38" t="inlineStr"/>
      <c r="K210" s="31" t="inlineStr"/>
      <c r="L210" s="15">
        <f>IF(A210="","",F210*(1+G210)*(1+H210))</f>
        <v/>
      </c>
      <c r="M210" s="13">
        <f>IF(A210="","",IF(I210="angenommen","Auftrag",IF(AND(I210="offen",TODAY()&gt;B210+K210),"Bindefrist!","")))</f>
        <v/>
      </c>
    </row>
    <row r="211">
      <c r="A211" s="30" t="inlineStr"/>
      <c r="B211" s="38" t="inlineStr"/>
      <c r="C211" s="30" t="inlineStr"/>
      <c r="D211" s="30" t="inlineStr"/>
      <c r="E211" s="30" t="inlineStr"/>
      <c r="F211" s="34" t="inlineStr"/>
      <c r="G211" s="32" t="inlineStr"/>
      <c r="H211" s="32" t="inlineStr"/>
      <c r="I211" s="30" t="inlineStr"/>
      <c r="J211" s="38" t="inlineStr"/>
      <c r="K211" s="31" t="inlineStr"/>
      <c r="L211" s="15">
        <f>IF(A211="","",F211*(1+G211)*(1+H211))</f>
        <v/>
      </c>
      <c r="M211" s="13">
        <f>IF(A211="","",IF(I211="angenommen","Auftrag",IF(AND(I211="offen",TODAY()&gt;B211+K211),"Bindefrist!","")))</f>
        <v/>
      </c>
    </row>
    <row r="212">
      <c r="A212" s="30" t="inlineStr"/>
      <c r="B212" s="38" t="inlineStr"/>
      <c r="C212" s="30" t="inlineStr"/>
      <c r="D212" s="30" t="inlineStr"/>
      <c r="E212" s="30" t="inlineStr"/>
      <c r="F212" s="34" t="inlineStr"/>
      <c r="G212" s="32" t="inlineStr"/>
      <c r="H212" s="32" t="inlineStr"/>
      <c r="I212" s="30" t="inlineStr"/>
      <c r="J212" s="38" t="inlineStr"/>
      <c r="K212" s="31" t="inlineStr"/>
      <c r="L212" s="15">
        <f>IF(A212="","",F212*(1+G212)*(1+H212))</f>
        <v/>
      </c>
      <c r="M212" s="13">
        <f>IF(A212="","",IF(I212="angenommen","Auftrag",IF(AND(I212="offen",TODAY()&gt;B212+K212),"Bindefrist!","")))</f>
        <v/>
      </c>
    </row>
    <row r="213">
      <c r="A213" s="30" t="inlineStr"/>
      <c r="B213" s="38" t="inlineStr"/>
      <c r="C213" s="30" t="inlineStr"/>
      <c r="D213" s="30" t="inlineStr"/>
      <c r="E213" s="30" t="inlineStr"/>
      <c r="F213" s="34" t="inlineStr"/>
      <c r="G213" s="32" t="inlineStr"/>
      <c r="H213" s="32" t="inlineStr"/>
      <c r="I213" s="30" t="inlineStr"/>
      <c r="J213" s="38" t="inlineStr"/>
      <c r="K213" s="31" t="inlineStr"/>
      <c r="L213" s="15">
        <f>IF(A213="","",F213*(1+G213)*(1+H213))</f>
        <v/>
      </c>
      <c r="M213" s="13">
        <f>IF(A213="","",IF(I213="angenommen","Auftrag",IF(AND(I213="offen",TODAY()&gt;B213+K213),"Bindefrist!","")))</f>
        <v/>
      </c>
    </row>
    <row r="214">
      <c r="A214" s="30" t="inlineStr"/>
      <c r="B214" s="38" t="inlineStr"/>
      <c r="C214" s="30" t="inlineStr"/>
      <c r="D214" s="30" t="inlineStr"/>
      <c r="E214" s="30" t="inlineStr"/>
      <c r="F214" s="34" t="inlineStr"/>
      <c r="G214" s="32" t="inlineStr"/>
      <c r="H214" s="32" t="inlineStr"/>
      <c r="I214" s="30" t="inlineStr"/>
      <c r="J214" s="38" t="inlineStr"/>
      <c r="K214" s="31" t="inlineStr"/>
      <c r="L214" s="15">
        <f>IF(A214="","",F214*(1+G214)*(1+H214))</f>
        <v/>
      </c>
      <c r="M214" s="13">
        <f>IF(A214="","",IF(I214="angenommen","Auftrag",IF(AND(I214="offen",TODAY()&gt;B214+K214),"Bindefrist!","")))</f>
        <v/>
      </c>
    </row>
    <row r="215">
      <c r="A215" s="30" t="inlineStr"/>
      <c r="B215" s="38" t="inlineStr"/>
      <c r="C215" s="30" t="inlineStr"/>
      <c r="D215" s="30" t="inlineStr"/>
      <c r="E215" s="30" t="inlineStr"/>
      <c r="F215" s="34" t="inlineStr"/>
      <c r="G215" s="32" t="inlineStr"/>
      <c r="H215" s="32" t="inlineStr"/>
      <c r="I215" s="30" t="inlineStr"/>
      <c r="J215" s="38" t="inlineStr"/>
      <c r="K215" s="31" t="inlineStr"/>
      <c r="L215" s="15">
        <f>IF(A215="","",F215*(1+G215)*(1+H215))</f>
        <v/>
      </c>
      <c r="M215" s="13">
        <f>IF(A215="","",IF(I215="angenommen","Auftrag",IF(AND(I215="offen",TODAY()&gt;B215+K215),"Bindefrist!","")))</f>
        <v/>
      </c>
    </row>
    <row r="216">
      <c r="A216" s="30" t="inlineStr"/>
      <c r="B216" s="38" t="inlineStr"/>
      <c r="C216" s="30" t="inlineStr"/>
      <c r="D216" s="30" t="inlineStr"/>
      <c r="E216" s="30" t="inlineStr"/>
      <c r="F216" s="34" t="inlineStr"/>
      <c r="G216" s="32" t="inlineStr"/>
      <c r="H216" s="32" t="inlineStr"/>
      <c r="I216" s="30" t="inlineStr"/>
      <c r="J216" s="38" t="inlineStr"/>
      <c r="K216" s="31" t="inlineStr"/>
      <c r="L216" s="15">
        <f>IF(A216="","",F216*(1+G216)*(1+H216))</f>
        <v/>
      </c>
      <c r="M216" s="13">
        <f>IF(A216="","",IF(I216="angenommen","Auftrag",IF(AND(I216="offen",TODAY()&gt;B216+K216),"Bindefrist!","")))</f>
        <v/>
      </c>
    </row>
    <row r="217">
      <c r="A217" s="30" t="inlineStr"/>
      <c r="B217" s="38" t="inlineStr"/>
      <c r="C217" s="30" t="inlineStr"/>
      <c r="D217" s="30" t="inlineStr"/>
      <c r="E217" s="30" t="inlineStr"/>
      <c r="F217" s="34" t="inlineStr"/>
      <c r="G217" s="32" t="inlineStr"/>
      <c r="H217" s="32" t="inlineStr"/>
      <c r="I217" s="30" t="inlineStr"/>
      <c r="J217" s="38" t="inlineStr"/>
      <c r="K217" s="31" t="inlineStr"/>
      <c r="L217" s="15">
        <f>IF(A217="","",F217*(1+G217)*(1+H217))</f>
        <v/>
      </c>
      <c r="M217" s="13">
        <f>IF(A217="","",IF(I217="angenommen","Auftrag",IF(AND(I217="offen",TODAY()&gt;B217+K217),"Bindefrist!","")))</f>
        <v/>
      </c>
    </row>
    <row r="218">
      <c r="A218" s="30" t="inlineStr"/>
      <c r="B218" s="38" t="inlineStr"/>
      <c r="C218" s="30" t="inlineStr"/>
      <c r="D218" s="30" t="inlineStr"/>
      <c r="E218" s="30" t="inlineStr"/>
      <c r="F218" s="34" t="inlineStr"/>
      <c r="G218" s="32" t="inlineStr"/>
      <c r="H218" s="32" t="inlineStr"/>
      <c r="I218" s="30" t="inlineStr"/>
      <c r="J218" s="38" t="inlineStr"/>
      <c r="K218" s="31" t="inlineStr"/>
      <c r="L218" s="15">
        <f>IF(A218="","",F218*(1+G218)*(1+H218))</f>
        <v/>
      </c>
      <c r="M218" s="13">
        <f>IF(A218="","",IF(I218="angenommen","Auftrag",IF(AND(I218="offen",TODAY()&gt;B218+K218),"Bindefrist!","")))</f>
        <v/>
      </c>
    </row>
    <row r="219">
      <c r="A219" s="30" t="inlineStr"/>
      <c r="B219" s="38" t="inlineStr"/>
      <c r="C219" s="30" t="inlineStr"/>
      <c r="D219" s="30" t="inlineStr"/>
      <c r="E219" s="30" t="inlineStr"/>
      <c r="F219" s="34" t="inlineStr"/>
      <c r="G219" s="32" t="inlineStr"/>
      <c r="H219" s="32" t="inlineStr"/>
      <c r="I219" s="30" t="inlineStr"/>
      <c r="J219" s="38" t="inlineStr"/>
      <c r="K219" s="31" t="inlineStr"/>
      <c r="L219" s="15">
        <f>IF(A219="","",F219*(1+G219)*(1+H219))</f>
        <v/>
      </c>
      <c r="M219" s="13">
        <f>IF(A219="","",IF(I219="angenommen","Auftrag",IF(AND(I219="offen",TODAY()&gt;B219+K219),"Bindefrist!","")))</f>
        <v/>
      </c>
    </row>
    <row r="220">
      <c r="A220" s="30" t="inlineStr"/>
      <c r="B220" s="38" t="inlineStr"/>
      <c r="C220" s="30" t="inlineStr"/>
      <c r="D220" s="30" t="inlineStr"/>
      <c r="E220" s="30" t="inlineStr"/>
      <c r="F220" s="34" t="inlineStr"/>
      <c r="G220" s="32" t="inlineStr"/>
      <c r="H220" s="32" t="inlineStr"/>
      <c r="I220" s="30" t="inlineStr"/>
      <c r="J220" s="38" t="inlineStr"/>
      <c r="K220" s="31" t="inlineStr"/>
      <c r="L220" s="15">
        <f>IF(A220="","",F220*(1+G220)*(1+H220))</f>
        <v/>
      </c>
      <c r="M220" s="13">
        <f>IF(A220="","",IF(I220="angenommen","Auftrag",IF(AND(I220="offen",TODAY()&gt;B220+K220),"Bindefrist!","")))</f>
        <v/>
      </c>
    </row>
    <row r="221">
      <c r="A221" s="30" t="inlineStr"/>
      <c r="B221" s="38" t="inlineStr"/>
      <c r="C221" s="30" t="inlineStr"/>
      <c r="D221" s="30" t="inlineStr"/>
      <c r="E221" s="30" t="inlineStr"/>
      <c r="F221" s="34" t="inlineStr"/>
      <c r="G221" s="32" t="inlineStr"/>
      <c r="H221" s="32" t="inlineStr"/>
      <c r="I221" s="30" t="inlineStr"/>
      <c r="J221" s="38" t="inlineStr"/>
      <c r="K221" s="31" t="inlineStr"/>
      <c r="L221" s="15">
        <f>IF(A221="","",F221*(1+G221)*(1+H221))</f>
        <v/>
      </c>
      <c r="M221" s="13">
        <f>IF(A221="","",IF(I221="angenommen","Auftrag",IF(AND(I221="offen",TODAY()&gt;B221+K221),"Bindefrist!","")))</f>
        <v/>
      </c>
    </row>
    <row r="222">
      <c r="A222" s="30" t="inlineStr"/>
      <c r="B222" s="38" t="inlineStr"/>
      <c r="C222" s="30" t="inlineStr"/>
      <c r="D222" s="30" t="inlineStr"/>
      <c r="E222" s="30" t="inlineStr"/>
      <c r="F222" s="34" t="inlineStr"/>
      <c r="G222" s="32" t="inlineStr"/>
      <c r="H222" s="32" t="inlineStr"/>
      <c r="I222" s="30" t="inlineStr"/>
      <c r="J222" s="38" t="inlineStr"/>
      <c r="K222" s="31" t="inlineStr"/>
      <c r="L222" s="15">
        <f>IF(A222="","",F222*(1+G222)*(1+H222))</f>
        <v/>
      </c>
      <c r="M222" s="13">
        <f>IF(A222="","",IF(I222="angenommen","Auftrag",IF(AND(I222="offen",TODAY()&gt;B222+K222),"Bindefrist!","")))</f>
        <v/>
      </c>
    </row>
    <row r="223">
      <c r="A223" s="30" t="inlineStr"/>
      <c r="B223" s="38" t="inlineStr"/>
      <c r="C223" s="30" t="inlineStr"/>
      <c r="D223" s="30" t="inlineStr"/>
      <c r="E223" s="30" t="inlineStr"/>
      <c r="F223" s="34" t="inlineStr"/>
      <c r="G223" s="32" t="inlineStr"/>
      <c r="H223" s="32" t="inlineStr"/>
      <c r="I223" s="30" t="inlineStr"/>
      <c r="J223" s="38" t="inlineStr"/>
      <c r="K223" s="31" t="inlineStr"/>
      <c r="L223" s="15">
        <f>IF(A223="","",F223*(1+G223)*(1+H223))</f>
        <v/>
      </c>
      <c r="M223" s="13">
        <f>IF(A223="","",IF(I223="angenommen","Auftrag",IF(AND(I223="offen",TODAY()&gt;B223+K223),"Bindefrist!","")))</f>
        <v/>
      </c>
    </row>
    <row r="224">
      <c r="A224" s="30" t="inlineStr"/>
      <c r="B224" s="38" t="inlineStr"/>
      <c r="C224" s="30" t="inlineStr"/>
      <c r="D224" s="30" t="inlineStr"/>
      <c r="E224" s="30" t="inlineStr"/>
      <c r="F224" s="34" t="inlineStr"/>
      <c r="G224" s="32" t="inlineStr"/>
      <c r="H224" s="32" t="inlineStr"/>
      <c r="I224" s="30" t="inlineStr"/>
      <c r="J224" s="38" t="inlineStr"/>
      <c r="K224" s="31" t="inlineStr"/>
      <c r="L224" s="15">
        <f>IF(A224="","",F224*(1+G224)*(1+H224))</f>
        <v/>
      </c>
      <c r="M224" s="13">
        <f>IF(A224="","",IF(I224="angenommen","Auftrag",IF(AND(I224="offen",TODAY()&gt;B224+K224),"Bindefrist!","")))</f>
        <v/>
      </c>
    </row>
    <row r="225">
      <c r="A225" s="30" t="inlineStr"/>
      <c r="B225" s="38" t="inlineStr"/>
      <c r="C225" s="30" t="inlineStr"/>
      <c r="D225" s="30" t="inlineStr"/>
      <c r="E225" s="30" t="inlineStr"/>
      <c r="F225" s="34" t="inlineStr"/>
      <c r="G225" s="32" t="inlineStr"/>
      <c r="H225" s="32" t="inlineStr"/>
      <c r="I225" s="30" t="inlineStr"/>
      <c r="J225" s="38" t="inlineStr"/>
      <c r="K225" s="31" t="inlineStr"/>
      <c r="L225" s="15">
        <f>IF(A225="","",F225*(1+G225)*(1+H225))</f>
        <v/>
      </c>
      <c r="M225" s="13">
        <f>IF(A225="","",IF(I225="angenommen","Auftrag",IF(AND(I225="offen",TODAY()&gt;B225+K225),"Bindefrist!","")))</f>
        <v/>
      </c>
    </row>
    <row r="226">
      <c r="A226" s="30" t="inlineStr"/>
      <c r="B226" s="38" t="inlineStr"/>
      <c r="C226" s="30" t="inlineStr"/>
      <c r="D226" s="30" t="inlineStr"/>
      <c r="E226" s="30" t="inlineStr"/>
      <c r="F226" s="34" t="inlineStr"/>
      <c r="G226" s="32" t="inlineStr"/>
      <c r="H226" s="32" t="inlineStr"/>
      <c r="I226" s="30" t="inlineStr"/>
      <c r="J226" s="38" t="inlineStr"/>
      <c r="K226" s="31" t="inlineStr"/>
      <c r="L226" s="15">
        <f>IF(A226="","",F226*(1+G226)*(1+H226))</f>
        <v/>
      </c>
      <c r="M226" s="13">
        <f>IF(A226="","",IF(I226="angenommen","Auftrag",IF(AND(I226="offen",TODAY()&gt;B226+K226),"Bindefrist!","")))</f>
        <v/>
      </c>
    </row>
    <row r="227">
      <c r="A227" s="30" t="inlineStr"/>
      <c r="B227" s="38" t="inlineStr"/>
      <c r="C227" s="30" t="inlineStr"/>
      <c r="D227" s="30" t="inlineStr"/>
      <c r="E227" s="30" t="inlineStr"/>
      <c r="F227" s="34" t="inlineStr"/>
      <c r="G227" s="32" t="inlineStr"/>
      <c r="H227" s="32" t="inlineStr"/>
      <c r="I227" s="30" t="inlineStr"/>
      <c r="J227" s="38" t="inlineStr"/>
      <c r="K227" s="31" t="inlineStr"/>
      <c r="L227" s="15">
        <f>IF(A227="","",F227*(1+G227)*(1+H227))</f>
        <v/>
      </c>
      <c r="M227" s="13">
        <f>IF(A227="","",IF(I227="angenommen","Auftrag",IF(AND(I227="offen",TODAY()&gt;B227+K227),"Bindefrist!","")))</f>
        <v/>
      </c>
    </row>
    <row r="228">
      <c r="A228" s="30" t="inlineStr"/>
      <c r="B228" s="38" t="inlineStr"/>
      <c r="C228" s="30" t="inlineStr"/>
      <c r="D228" s="30" t="inlineStr"/>
      <c r="E228" s="30" t="inlineStr"/>
      <c r="F228" s="34" t="inlineStr"/>
      <c r="G228" s="32" t="inlineStr"/>
      <c r="H228" s="32" t="inlineStr"/>
      <c r="I228" s="30" t="inlineStr"/>
      <c r="J228" s="38" t="inlineStr"/>
      <c r="K228" s="31" t="inlineStr"/>
      <c r="L228" s="15">
        <f>IF(A228="","",F228*(1+G228)*(1+H228))</f>
        <v/>
      </c>
      <c r="M228" s="13">
        <f>IF(A228="","",IF(I228="angenommen","Auftrag",IF(AND(I228="offen",TODAY()&gt;B228+K228),"Bindefrist!","")))</f>
        <v/>
      </c>
    </row>
    <row r="229">
      <c r="A229" s="30" t="inlineStr"/>
      <c r="B229" s="38" t="inlineStr"/>
      <c r="C229" s="30" t="inlineStr"/>
      <c r="D229" s="30" t="inlineStr"/>
      <c r="E229" s="30" t="inlineStr"/>
      <c r="F229" s="34" t="inlineStr"/>
      <c r="G229" s="32" t="inlineStr"/>
      <c r="H229" s="32" t="inlineStr"/>
      <c r="I229" s="30" t="inlineStr"/>
      <c r="J229" s="38" t="inlineStr"/>
      <c r="K229" s="31" t="inlineStr"/>
      <c r="L229" s="15">
        <f>IF(A229="","",F229*(1+G229)*(1+H229))</f>
        <v/>
      </c>
      <c r="M229" s="13">
        <f>IF(A229="","",IF(I229="angenommen","Auftrag",IF(AND(I229="offen",TODAY()&gt;B229+K229),"Bindefrist!","")))</f>
        <v/>
      </c>
    </row>
    <row r="230">
      <c r="A230" s="30" t="inlineStr"/>
      <c r="B230" s="38" t="inlineStr"/>
      <c r="C230" s="30" t="inlineStr"/>
      <c r="D230" s="30" t="inlineStr"/>
      <c r="E230" s="30" t="inlineStr"/>
      <c r="F230" s="34" t="inlineStr"/>
      <c r="G230" s="32" t="inlineStr"/>
      <c r="H230" s="32" t="inlineStr"/>
      <c r="I230" s="30" t="inlineStr"/>
      <c r="J230" s="38" t="inlineStr"/>
      <c r="K230" s="31" t="inlineStr"/>
      <c r="L230" s="15">
        <f>IF(A230="","",F230*(1+G230)*(1+H230))</f>
        <v/>
      </c>
      <c r="M230" s="13">
        <f>IF(A230="","",IF(I230="angenommen","Auftrag",IF(AND(I230="offen",TODAY()&gt;B230+K230),"Bindefrist!","")))</f>
        <v/>
      </c>
    </row>
    <row r="231">
      <c r="A231" s="30" t="inlineStr"/>
      <c r="B231" s="38" t="inlineStr"/>
      <c r="C231" s="30" t="inlineStr"/>
      <c r="D231" s="30" t="inlineStr"/>
      <c r="E231" s="30" t="inlineStr"/>
      <c r="F231" s="34" t="inlineStr"/>
      <c r="G231" s="32" t="inlineStr"/>
      <c r="H231" s="32" t="inlineStr"/>
      <c r="I231" s="30" t="inlineStr"/>
      <c r="J231" s="38" t="inlineStr"/>
      <c r="K231" s="31" t="inlineStr"/>
      <c r="L231" s="15">
        <f>IF(A231="","",F231*(1+G231)*(1+H231))</f>
        <v/>
      </c>
      <c r="M231" s="13">
        <f>IF(A231="","",IF(I231="angenommen","Auftrag",IF(AND(I231="offen",TODAY()&gt;B231+K231),"Bindefrist!","")))</f>
        <v/>
      </c>
    </row>
    <row r="232">
      <c r="A232" s="30" t="inlineStr"/>
      <c r="B232" s="38" t="inlineStr"/>
      <c r="C232" s="30" t="inlineStr"/>
      <c r="D232" s="30" t="inlineStr"/>
      <c r="E232" s="30" t="inlineStr"/>
      <c r="F232" s="34" t="inlineStr"/>
      <c r="G232" s="32" t="inlineStr"/>
      <c r="H232" s="32" t="inlineStr"/>
      <c r="I232" s="30" t="inlineStr"/>
      <c r="J232" s="38" t="inlineStr"/>
      <c r="K232" s="31" t="inlineStr"/>
      <c r="L232" s="15">
        <f>IF(A232="","",F232*(1+G232)*(1+H232))</f>
        <v/>
      </c>
      <c r="M232" s="13">
        <f>IF(A232="","",IF(I232="angenommen","Auftrag",IF(AND(I232="offen",TODAY()&gt;B232+K232),"Bindefrist!","")))</f>
        <v/>
      </c>
    </row>
    <row r="233">
      <c r="A233" s="30" t="inlineStr"/>
      <c r="B233" s="38" t="inlineStr"/>
      <c r="C233" s="30" t="inlineStr"/>
      <c r="D233" s="30" t="inlineStr"/>
      <c r="E233" s="30" t="inlineStr"/>
      <c r="F233" s="34" t="inlineStr"/>
      <c r="G233" s="32" t="inlineStr"/>
      <c r="H233" s="32" t="inlineStr"/>
      <c r="I233" s="30" t="inlineStr"/>
      <c r="J233" s="38" t="inlineStr"/>
      <c r="K233" s="31" t="inlineStr"/>
      <c r="L233" s="15">
        <f>IF(A233="","",F233*(1+G233)*(1+H233))</f>
        <v/>
      </c>
      <c r="M233" s="13">
        <f>IF(A233="","",IF(I233="angenommen","Auftrag",IF(AND(I233="offen",TODAY()&gt;B233+K233),"Bindefrist!","")))</f>
        <v/>
      </c>
    </row>
    <row r="234">
      <c r="A234" s="30" t="inlineStr"/>
      <c r="B234" s="38" t="inlineStr"/>
      <c r="C234" s="30" t="inlineStr"/>
      <c r="D234" s="30" t="inlineStr"/>
      <c r="E234" s="30" t="inlineStr"/>
      <c r="F234" s="34" t="inlineStr"/>
      <c r="G234" s="32" t="inlineStr"/>
      <c r="H234" s="32" t="inlineStr"/>
      <c r="I234" s="30" t="inlineStr"/>
      <c r="J234" s="38" t="inlineStr"/>
      <c r="K234" s="31" t="inlineStr"/>
      <c r="L234" s="15">
        <f>IF(A234="","",F234*(1+G234)*(1+H234))</f>
        <v/>
      </c>
      <c r="M234" s="13">
        <f>IF(A234="","",IF(I234="angenommen","Auftrag",IF(AND(I234="offen",TODAY()&gt;B234+K234),"Bindefrist!","")))</f>
        <v/>
      </c>
    </row>
    <row r="235">
      <c r="A235" s="30" t="inlineStr"/>
      <c r="B235" s="38" t="inlineStr"/>
      <c r="C235" s="30" t="inlineStr"/>
      <c r="D235" s="30" t="inlineStr"/>
      <c r="E235" s="30" t="inlineStr"/>
      <c r="F235" s="34" t="inlineStr"/>
      <c r="G235" s="32" t="inlineStr"/>
      <c r="H235" s="32" t="inlineStr"/>
      <c r="I235" s="30" t="inlineStr"/>
      <c r="J235" s="38" t="inlineStr"/>
      <c r="K235" s="31" t="inlineStr"/>
      <c r="L235" s="15">
        <f>IF(A235="","",F235*(1+G235)*(1+H235))</f>
        <v/>
      </c>
      <c r="M235" s="13">
        <f>IF(A235="","",IF(I235="angenommen","Auftrag",IF(AND(I235="offen",TODAY()&gt;B235+K235),"Bindefrist!","")))</f>
        <v/>
      </c>
    </row>
    <row r="236">
      <c r="A236" s="30" t="inlineStr"/>
      <c r="B236" s="38" t="inlineStr"/>
      <c r="C236" s="30" t="inlineStr"/>
      <c r="D236" s="30" t="inlineStr"/>
      <c r="E236" s="30" t="inlineStr"/>
      <c r="F236" s="34" t="inlineStr"/>
      <c r="G236" s="32" t="inlineStr"/>
      <c r="H236" s="32" t="inlineStr"/>
      <c r="I236" s="30" t="inlineStr"/>
      <c r="J236" s="38" t="inlineStr"/>
      <c r="K236" s="31" t="inlineStr"/>
      <c r="L236" s="15">
        <f>IF(A236="","",F236*(1+G236)*(1+H236))</f>
        <v/>
      </c>
      <c r="M236" s="13">
        <f>IF(A236="","",IF(I236="angenommen","Auftrag",IF(AND(I236="offen",TODAY()&gt;B236+K236),"Bindefrist!","")))</f>
        <v/>
      </c>
    </row>
    <row r="237">
      <c r="A237" s="30" t="inlineStr"/>
      <c r="B237" s="38" t="inlineStr"/>
      <c r="C237" s="30" t="inlineStr"/>
      <c r="D237" s="30" t="inlineStr"/>
      <c r="E237" s="30" t="inlineStr"/>
      <c r="F237" s="34" t="inlineStr"/>
      <c r="G237" s="32" t="inlineStr"/>
      <c r="H237" s="32" t="inlineStr"/>
      <c r="I237" s="30" t="inlineStr"/>
      <c r="J237" s="38" t="inlineStr"/>
      <c r="K237" s="31" t="inlineStr"/>
      <c r="L237" s="15">
        <f>IF(A237="","",F237*(1+G237)*(1+H237))</f>
        <v/>
      </c>
      <c r="M237" s="13">
        <f>IF(A237="","",IF(I237="angenommen","Auftrag",IF(AND(I237="offen",TODAY()&gt;B237+K237),"Bindefrist!","")))</f>
        <v/>
      </c>
    </row>
    <row r="238">
      <c r="A238" s="30" t="inlineStr"/>
      <c r="B238" s="38" t="inlineStr"/>
      <c r="C238" s="30" t="inlineStr"/>
      <c r="D238" s="30" t="inlineStr"/>
      <c r="E238" s="30" t="inlineStr"/>
      <c r="F238" s="34" t="inlineStr"/>
      <c r="G238" s="32" t="inlineStr"/>
      <c r="H238" s="32" t="inlineStr"/>
      <c r="I238" s="30" t="inlineStr"/>
      <c r="J238" s="38" t="inlineStr"/>
      <c r="K238" s="31" t="inlineStr"/>
      <c r="L238" s="15">
        <f>IF(A238="","",F238*(1+G238)*(1+H238))</f>
        <v/>
      </c>
      <c r="M238" s="13">
        <f>IF(A238="","",IF(I238="angenommen","Auftrag",IF(AND(I238="offen",TODAY()&gt;B238+K238),"Bindefrist!","")))</f>
        <v/>
      </c>
    </row>
    <row r="239">
      <c r="A239" s="30" t="inlineStr"/>
      <c r="B239" s="38" t="inlineStr"/>
      <c r="C239" s="30" t="inlineStr"/>
      <c r="D239" s="30" t="inlineStr"/>
      <c r="E239" s="30" t="inlineStr"/>
      <c r="F239" s="34" t="inlineStr"/>
      <c r="G239" s="32" t="inlineStr"/>
      <c r="H239" s="32" t="inlineStr"/>
      <c r="I239" s="30" t="inlineStr"/>
      <c r="J239" s="38" t="inlineStr"/>
      <c r="K239" s="31" t="inlineStr"/>
      <c r="L239" s="15">
        <f>IF(A239="","",F239*(1+G239)*(1+H239))</f>
        <v/>
      </c>
      <c r="M239" s="13">
        <f>IF(A239="","",IF(I239="angenommen","Auftrag",IF(AND(I239="offen",TODAY()&gt;B239+K239),"Bindefrist!","")))</f>
        <v/>
      </c>
    </row>
    <row r="240">
      <c r="A240" s="30" t="inlineStr"/>
      <c r="B240" s="38" t="inlineStr"/>
      <c r="C240" s="30" t="inlineStr"/>
      <c r="D240" s="30" t="inlineStr"/>
      <c r="E240" s="30" t="inlineStr"/>
      <c r="F240" s="34" t="inlineStr"/>
      <c r="G240" s="32" t="inlineStr"/>
      <c r="H240" s="32" t="inlineStr"/>
      <c r="I240" s="30" t="inlineStr"/>
      <c r="J240" s="38" t="inlineStr"/>
      <c r="K240" s="31" t="inlineStr"/>
      <c r="L240" s="15">
        <f>IF(A240="","",F240*(1+G240)*(1+H240))</f>
        <v/>
      </c>
      <c r="M240" s="13">
        <f>IF(A240="","",IF(I240="angenommen","Auftrag",IF(AND(I240="offen",TODAY()&gt;B240+K240),"Bindefrist!","")))</f>
        <v/>
      </c>
    </row>
    <row r="241">
      <c r="A241" s="30" t="inlineStr"/>
      <c r="B241" s="38" t="inlineStr"/>
      <c r="C241" s="30" t="inlineStr"/>
      <c r="D241" s="30" t="inlineStr"/>
      <c r="E241" s="30" t="inlineStr"/>
      <c r="F241" s="34" t="inlineStr"/>
      <c r="G241" s="32" t="inlineStr"/>
      <c r="H241" s="32" t="inlineStr"/>
      <c r="I241" s="30" t="inlineStr"/>
      <c r="J241" s="38" t="inlineStr"/>
      <c r="K241" s="31" t="inlineStr"/>
      <c r="L241" s="15">
        <f>IF(A241="","",F241*(1+G241)*(1+H241))</f>
        <v/>
      </c>
      <c r="M241" s="13">
        <f>IF(A241="","",IF(I241="angenommen","Auftrag",IF(AND(I241="offen",TODAY()&gt;B241+K241),"Bindefrist!","")))</f>
        <v/>
      </c>
    </row>
    <row r="242">
      <c r="A242" s="30" t="inlineStr"/>
      <c r="B242" s="38" t="inlineStr"/>
      <c r="C242" s="30" t="inlineStr"/>
      <c r="D242" s="30" t="inlineStr"/>
      <c r="E242" s="30" t="inlineStr"/>
      <c r="F242" s="34" t="inlineStr"/>
      <c r="G242" s="32" t="inlineStr"/>
      <c r="H242" s="32" t="inlineStr"/>
      <c r="I242" s="30" t="inlineStr"/>
      <c r="J242" s="38" t="inlineStr"/>
      <c r="K242" s="31" t="inlineStr"/>
      <c r="L242" s="15">
        <f>IF(A242="","",F242*(1+G242)*(1+H242))</f>
        <v/>
      </c>
      <c r="M242" s="13">
        <f>IF(A242="","",IF(I242="angenommen","Auftrag",IF(AND(I242="offen",TODAY()&gt;B242+K242),"Bindefrist!","")))</f>
        <v/>
      </c>
    </row>
    <row r="243">
      <c r="A243" s="30" t="inlineStr"/>
      <c r="B243" s="38" t="inlineStr"/>
      <c r="C243" s="30" t="inlineStr"/>
      <c r="D243" s="30" t="inlineStr"/>
      <c r="E243" s="30" t="inlineStr"/>
      <c r="F243" s="34" t="inlineStr"/>
      <c r="G243" s="32" t="inlineStr"/>
      <c r="H243" s="32" t="inlineStr"/>
      <c r="I243" s="30" t="inlineStr"/>
      <c r="J243" s="38" t="inlineStr"/>
      <c r="K243" s="31" t="inlineStr"/>
      <c r="L243" s="15">
        <f>IF(A243="","",F243*(1+G243)*(1+H243))</f>
        <v/>
      </c>
      <c r="M243" s="13">
        <f>IF(A243="","",IF(I243="angenommen","Auftrag",IF(AND(I243="offen",TODAY()&gt;B243+K243),"Bindefrist!","")))</f>
        <v/>
      </c>
    </row>
    <row r="244">
      <c r="A244" s="30" t="inlineStr"/>
      <c r="B244" s="38" t="inlineStr"/>
      <c r="C244" s="30" t="inlineStr"/>
      <c r="D244" s="30" t="inlineStr"/>
      <c r="E244" s="30" t="inlineStr"/>
      <c r="F244" s="34" t="inlineStr"/>
      <c r="G244" s="32" t="inlineStr"/>
      <c r="H244" s="32" t="inlineStr"/>
      <c r="I244" s="30" t="inlineStr"/>
      <c r="J244" s="38" t="inlineStr"/>
      <c r="K244" s="31" t="inlineStr"/>
      <c r="L244" s="15">
        <f>IF(A244="","",F244*(1+G244)*(1+H244))</f>
        <v/>
      </c>
      <c r="M244" s="13">
        <f>IF(A244="","",IF(I244="angenommen","Auftrag",IF(AND(I244="offen",TODAY()&gt;B244+K244),"Bindefrist!","")))</f>
        <v/>
      </c>
    </row>
    <row r="245">
      <c r="A245" s="30" t="inlineStr"/>
      <c r="B245" s="38" t="inlineStr"/>
      <c r="C245" s="30" t="inlineStr"/>
      <c r="D245" s="30" t="inlineStr"/>
      <c r="E245" s="30" t="inlineStr"/>
      <c r="F245" s="34" t="inlineStr"/>
      <c r="G245" s="32" t="inlineStr"/>
      <c r="H245" s="32" t="inlineStr"/>
      <c r="I245" s="30" t="inlineStr"/>
      <c r="J245" s="38" t="inlineStr"/>
      <c r="K245" s="31" t="inlineStr"/>
      <c r="L245" s="15">
        <f>IF(A245="","",F245*(1+G245)*(1+H245))</f>
        <v/>
      </c>
      <c r="M245" s="13">
        <f>IF(A245="","",IF(I245="angenommen","Auftrag",IF(AND(I245="offen",TODAY()&gt;B245+K245),"Bindefrist!","")))</f>
        <v/>
      </c>
    </row>
    <row r="246">
      <c r="A246" s="30" t="inlineStr"/>
      <c r="B246" s="38" t="inlineStr"/>
      <c r="C246" s="30" t="inlineStr"/>
      <c r="D246" s="30" t="inlineStr"/>
      <c r="E246" s="30" t="inlineStr"/>
      <c r="F246" s="34" t="inlineStr"/>
      <c r="G246" s="32" t="inlineStr"/>
      <c r="H246" s="32" t="inlineStr"/>
      <c r="I246" s="30" t="inlineStr"/>
      <c r="J246" s="38" t="inlineStr"/>
      <c r="K246" s="31" t="inlineStr"/>
      <c r="L246" s="15">
        <f>IF(A246="","",F246*(1+G246)*(1+H246))</f>
        <v/>
      </c>
      <c r="M246" s="13">
        <f>IF(A246="","",IF(I246="angenommen","Auftrag",IF(AND(I246="offen",TODAY()&gt;B246+K246),"Bindefrist!","")))</f>
        <v/>
      </c>
    </row>
    <row r="247">
      <c r="A247" s="30" t="inlineStr"/>
      <c r="B247" s="38" t="inlineStr"/>
      <c r="C247" s="30" t="inlineStr"/>
      <c r="D247" s="30" t="inlineStr"/>
      <c r="E247" s="30" t="inlineStr"/>
      <c r="F247" s="34" t="inlineStr"/>
      <c r="G247" s="32" t="inlineStr"/>
      <c r="H247" s="32" t="inlineStr"/>
      <c r="I247" s="30" t="inlineStr"/>
      <c r="J247" s="38" t="inlineStr"/>
      <c r="K247" s="31" t="inlineStr"/>
      <c r="L247" s="15">
        <f>IF(A247="","",F247*(1+G247)*(1+H247))</f>
        <v/>
      </c>
      <c r="M247" s="13">
        <f>IF(A247="","",IF(I247="angenommen","Auftrag",IF(AND(I247="offen",TODAY()&gt;B247+K247),"Bindefrist!","")))</f>
        <v/>
      </c>
    </row>
    <row r="248">
      <c r="A248" s="30" t="inlineStr"/>
      <c r="B248" s="38" t="inlineStr"/>
      <c r="C248" s="30" t="inlineStr"/>
      <c r="D248" s="30" t="inlineStr"/>
      <c r="E248" s="30" t="inlineStr"/>
      <c r="F248" s="34" t="inlineStr"/>
      <c r="G248" s="32" t="inlineStr"/>
      <c r="H248" s="32" t="inlineStr"/>
      <c r="I248" s="30" t="inlineStr"/>
      <c r="J248" s="38" t="inlineStr"/>
      <c r="K248" s="31" t="inlineStr"/>
      <c r="L248" s="15">
        <f>IF(A248="","",F248*(1+G248)*(1+H248))</f>
        <v/>
      </c>
      <c r="M248" s="13">
        <f>IF(A248="","",IF(I248="angenommen","Auftrag",IF(AND(I248="offen",TODAY()&gt;B248+K248),"Bindefrist!","")))</f>
        <v/>
      </c>
    </row>
    <row r="249">
      <c r="A249" s="30" t="inlineStr"/>
      <c r="B249" s="38" t="inlineStr"/>
      <c r="C249" s="30" t="inlineStr"/>
      <c r="D249" s="30" t="inlineStr"/>
      <c r="E249" s="30" t="inlineStr"/>
      <c r="F249" s="34" t="inlineStr"/>
      <c r="G249" s="32" t="inlineStr"/>
      <c r="H249" s="32" t="inlineStr"/>
      <c r="I249" s="30" t="inlineStr"/>
      <c r="J249" s="38" t="inlineStr"/>
      <c r="K249" s="31" t="inlineStr"/>
      <c r="L249" s="15">
        <f>IF(A249="","",F249*(1+G249)*(1+H249))</f>
        <v/>
      </c>
      <c r="M249" s="13">
        <f>IF(A249="","",IF(I249="angenommen","Auftrag",IF(AND(I249="offen",TODAY()&gt;B249+K249),"Bindefrist!","")))</f>
        <v/>
      </c>
    </row>
    <row r="250">
      <c r="A250" s="30" t="inlineStr"/>
      <c r="B250" s="38" t="inlineStr"/>
      <c r="C250" s="30" t="inlineStr"/>
      <c r="D250" s="30" t="inlineStr"/>
      <c r="E250" s="30" t="inlineStr"/>
      <c r="F250" s="34" t="inlineStr"/>
      <c r="G250" s="32" t="inlineStr"/>
      <c r="H250" s="32" t="inlineStr"/>
      <c r="I250" s="30" t="inlineStr"/>
      <c r="J250" s="38" t="inlineStr"/>
      <c r="K250" s="31" t="inlineStr"/>
      <c r="L250" s="15">
        <f>IF(A250="","",F250*(1+G250)*(1+H250))</f>
        <v/>
      </c>
      <c r="M250" s="13">
        <f>IF(A250="","",IF(I250="angenommen","Auftrag",IF(AND(I250="offen",TODAY()&gt;B250+K250),"Bindefrist!","")))</f>
        <v/>
      </c>
    </row>
    <row r="251">
      <c r="A251" s="30" t="inlineStr"/>
      <c r="B251" s="38" t="inlineStr"/>
      <c r="C251" s="30" t="inlineStr"/>
      <c r="D251" s="30" t="inlineStr"/>
      <c r="E251" s="30" t="inlineStr"/>
      <c r="F251" s="34" t="inlineStr"/>
      <c r="G251" s="32" t="inlineStr"/>
      <c r="H251" s="32" t="inlineStr"/>
      <c r="I251" s="30" t="inlineStr"/>
      <c r="J251" s="38" t="inlineStr"/>
      <c r="K251" s="31" t="inlineStr"/>
      <c r="L251" s="15">
        <f>IF(A251="","",F251*(1+G251)*(1+H251))</f>
        <v/>
      </c>
      <c r="M251" s="13">
        <f>IF(A251="","",IF(I251="angenommen","Auftrag",IF(AND(I251="offen",TODAY()&gt;B251+K251),"Bindefrist!","")))</f>
        <v/>
      </c>
    </row>
    <row r="252">
      <c r="A252" s="30" t="inlineStr"/>
      <c r="B252" s="38" t="inlineStr"/>
      <c r="C252" s="30" t="inlineStr"/>
      <c r="D252" s="30" t="inlineStr"/>
      <c r="E252" s="30" t="inlineStr"/>
      <c r="F252" s="34" t="inlineStr"/>
      <c r="G252" s="32" t="inlineStr"/>
      <c r="H252" s="32" t="inlineStr"/>
      <c r="I252" s="30" t="inlineStr"/>
      <c r="J252" s="38" t="inlineStr"/>
      <c r="K252" s="31" t="inlineStr"/>
      <c r="L252" s="15">
        <f>IF(A252="","",F252*(1+G252)*(1+H252))</f>
        <v/>
      </c>
      <c r="M252" s="13">
        <f>IF(A252="","",IF(I252="angenommen","Auftrag",IF(AND(I252="offen",TODAY()&gt;B252+K252),"Bindefrist!","")))</f>
        <v/>
      </c>
    </row>
    <row r="253">
      <c r="A253" s="30" t="inlineStr"/>
      <c r="B253" s="38" t="inlineStr"/>
      <c r="C253" s="30" t="inlineStr"/>
      <c r="D253" s="30" t="inlineStr"/>
      <c r="E253" s="30" t="inlineStr"/>
      <c r="F253" s="34" t="inlineStr"/>
      <c r="G253" s="32" t="inlineStr"/>
      <c r="H253" s="32" t="inlineStr"/>
      <c r="I253" s="30" t="inlineStr"/>
      <c r="J253" s="38" t="inlineStr"/>
      <c r="K253" s="31" t="inlineStr"/>
      <c r="L253" s="15">
        <f>IF(A253="","",F253*(1+G253)*(1+H253))</f>
        <v/>
      </c>
      <c r="M253" s="13">
        <f>IF(A253="","",IF(I253="angenommen","Auftrag",IF(AND(I253="offen",TODAY()&gt;B253+K253),"Bindefrist!","")))</f>
        <v/>
      </c>
    </row>
    <row r="254">
      <c r="A254" s="30" t="inlineStr"/>
      <c r="B254" s="38" t="inlineStr"/>
      <c r="C254" s="30" t="inlineStr"/>
      <c r="D254" s="30" t="inlineStr"/>
      <c r="E254" s="30" t="inlineStr"/>
      <c r="F254" s="34" t="inlineStr"/>
      <c r="G254" s="32" t="inlineStr"/>
      <c r="H254" s="32" t="inlineStr"/>
      <c r="I254" s="30" t="inlineStr"/>
      <c r="J254" s="38" t="inlineStr"/>
      <c r="K254" s="31" t="inlineStr"/>
      <c r="L254" s="15">
        <f>IF(A254="","",F254*(1+G254)*(1+H254))</f>
        <v/>
      </c>
      <c r="M254" s="13">
        <f>IF(A254="","",IF(I254="angenommen","Auftrag",IF(AND(I254="offen",TODAY()&gt;B254+K254),"Bindefrist!","")))</f>
        <v/>
      </c>
    </row>
    <row r="255">
      <c r="A255" s="30" t="inlineStr"/>
      <c r="B255" s="38" t="inlineStr"/>
      <c r="C255" s="30" t="inlineStr"/>
      <c r="D255" s="30" t="inlineStr"/>
      <c r="E255" s="30" t="inlineStr"/>
      <c r="F255" s="34" t="inlineStr"/>
      <c r="G255" s="32" t="inlineStr"/>
      <c r="H255" s="32" t="inlineStr"/>
      <c r="I255" s="30" t="inlineStr"/>
      <c r="J255" s="38" t="inlineStr"/>
      <c r="K255" s="31" t="inlineStr"/>
      <c r="L255" s="15">
        <f>IF(A255="","",F255*(1+G255)*(1+H255))</f>
        <v/>
      </c>
      <c r="M255" s="13">
        <f>IF(A255="","",IF(I255="angenommen","Auftrag",IF(AND(I255="offen",TODAY()&gt;B255+K255),"Bindefrist!","")))</f>
        <v/>
      </c>
    </row>
    <row r="256">
      <c r="A256" s="30" t="inlineStr"/>
      <c r="B256" s="38" t="inlineStr"/>
      <c r="C256" s="30" t="inlineStr"/>
      <c r="D256" s="30" t="inlineStr"/>
      <c r="E256" s="30" t="inlineStr"/>
      <c r="F256" s="34" t="inlineStr"/>
      <c r="G256" s="32" t="inlineStr"/>
      <c r="H256" s="32" t="inlineStr"/>
      <c r="I256" s="30" t="inlineStr"/>
      <c r="J256" s="38" t="inlineStr"/>
      <c r="K256" s="31" t="inlineStr"/>
      <c r="L256" s="15">
        <f>IF(A256="","",F256*(1+G256)*(1+H256))</f>
        <v/>
      </c>
      <c r="M256" s="13">
        <f>IF(A256="","",IF(I256="angenommen","Auftrag",IF(AND(I256="offen",TODAY()&gt;B256+K256),"Bindefrist!","")))</f>
        <v/>
      </c>
    </row>
    <row r="257">
      <c r="A257" s="30" t="inlineStr"/>
      <c r="B257" s="38" t="inlineStr"/>
      <c r="C257" s="30" t="inlineStr"/>
      <c r="D257" s="30" t="inlineStr"/>
      <c r="E257" s="30" t="inlineStr"/>
      <c r="F257" s="34" t="inlineStr"/>
      <c r="G257" s="32" t="inlineStr"/>
      <c r="H257" s="32" t="inlineStr"/>
      <c r="I257" s="30" t="inlineStr"/>
      <c r="J257" s="38" t="inlineStr"/>
      <c r="K257" s="31" t="inlineStr"/>
      <c r="L257" s="15">
        <f>IF(A257="","",F257*(1+G257)*(1+H257))</f>
        <v/>
      </c>
      <c r="M257" s="13">
        <f>IF(A257="","",IF(I257="angenommen","Auftrag",IF(AND(I257="offen",TODAY()&gt;B257+K257),"Bindefrist!","")))</f>
        <v/>
      </c>
    </row>
    <row r="258">
      <c r="A258" s="30" t="inlineStr"/>
      <c r="B258" s="38" t="inlineStr"/>
      <c r="C258" s="30" t="inlineStr"/>
      <c r="D258" s="30" t="inlineStr"/>
      <c r="E258" s="30" t="inlineStr"/>
      <c r="F258" s="34" t="inlineStr"/>
      <c r="G258" s="32" t="inlineStr"/>
      <c r="H258" s="32" t="inlineStr"/>
      <c r="I258" s="30" t="inlineStr"/>
      <c r="J258" s="38" t="inlineStr"/>
      <c r="K258" s="31" t="inlineStr"/>
      <c r="L258" s="15">
        <f>IF(A258="","",F258*(1+G258)*(1+H258))</f>
        <v/>
      </c>
      <c r="M258" s="13">
        <f>IF(A258="","",IF(I258="angenommen","Auftrag",IF(AND(I258="offen",TODAY()&gt;B258+K258),"Bindefrist!","")))</f>
        <v/>
      </c>
    </row>
    <row r="259">
      <c r="A259" s="30" t="inlineStr"/>
      <c r="B259" s="38" t="inlineStr"/>
      <c r="C259" s="30" t="inlineStr"/>
      <c r="D259" s="30" t="inlineStr"/>
      <c r="E259" s="30" t="inlineStr"/>
      <c r="F259" s="34" t="inlineStr"/>
      <c r="G259" s="32" t="inlineStr"/>
      <c r="H259" s="32" t="inlineStr"/>
      <c r="I259" s="30" t="inlineStr"/>
      <c r="J259" s="38" t="inlineStr"/>
      <c r="K259" s="31" t="inlineStr"/>
      <c r="L259" s="15">
        <f>IF(A259="","",F259*(1+G259)*(1+H259))</f>
        <v/>
      </c>
      <c r="M259" s="13">
        <f>IF(A259="","",IF(I259="angenommen","Auftrag",IF(AND(I259="offen",TODAY()&gt;B259+K259),"Bindefrist!","")))</f>
        <v/>
      </c>
    </row>
    <row r="260">
      <c r="A260" s="30" t="inlineStr"/>
      <c r="B260" s="38" t="inlineStr"/>
      <c r="C260" s="30" t="inlineStr"/>
      <c r="D260" s="30" t="inlineStr"/>
      <c r="E260" s="30" t="inlineStr"/>
      <c r="F260" s="34" t="inlineStr"/>
      <c r="G260" s="32" t="inlineStr"/>
      <c r="H260" s="32" t="inlineStr"/>
      <c r="I260" s="30" t="inlineStr"/>
      <c r="J260" s="38" t="inlineStr"/>
      <c r="K260" s="31" t="inlineStr"/>
      <c r="L260" s="15">
        <f>IF(A260="","",F260*(1+G260)*(1+H260))</f>
        <v/>
      </c>
      <c r="M260" s="13">
        <f>IF(A260="","",IF(I260="angenommen","Auftrag",IF(AND(I260="offen",TODAY()&gt;B260+K260),"Bindefrist!","")))</f>
        <v/>
      </c>
    </row>
    <row r="261">
      <c r="A261" s="30" t="inlineStr"/>
      <c r="B261" s="38" t="inlineStr"/>
      <c r="C261" s="30" t="inlineStr"/>
      <c r="D261" s="30" t="inlineStr"/>
      <c r="E261" s="30" t="inlineStr"/>
      <c r="F261" s="34" t="inlineStr"/>
      <c r="G261" s="32" t="inlineStr"/>
      <c r="H261" s="32" t="inlineStr"/>
      <c r="I261" s="30" t="inlineStr"/>
      <c r="J261" s="38" t="inlineStr"/>
      <c r="K261" s="31" t="inlineStr"/>
      <c r="L261" s="15">
        <f>IF(A261="","",F261*(1+G261)*(1+H261))</f>
        <v/>
      </c>
      <c r="M261" s="13">
        <f>IF(A261="","",IF(I261="angenommen","Auftrag",IF(AND(I261="offen",TODAY()&gt;B261+K261),"Bindefrist!","")))</f>
        <v/>
      </c>
    </row>
    <row r="262">
      <c r="A262" s="30" t="inlineStr"/>
      <c r="B262" s="38" t="inlineStr"/>
      <c r="C262" s="30" t="inlineStr"/>
      <c r="D262" s="30" t="inlineStr"/>
      <c r="E262" s="30" t="inlineStr"/>
      <c r="F262" s="34" t="inlineStr"/>
      <c r="G262" s="32" t="inlineStr"/>
      <c r="H262" s="32" t="inlineStr"/>
      <c r="I262" s="30" t="inlineStr"/>
      <c r="J262" s="38" t="inlineStr"/>
      <c r="K262" s="31" t="inlineStr"/>
      <c r="L262" s="15">
        <f>IF(A262="","",F262*(1+G262)*(1+H262))</f>
        <v/>
      </c>
      <c r="M262" s="13">
        <f>IF(A262="","",IF(I262="angenommen","Auftrag",IF(AND(I262="offen",TODAY()&gt;B262+K262),"Bindefrist!","")))</f>
        <v/>
      </c>
    </row>
    <row r="263">
      <c r="A263" s="30" t="inlineStr"/>
      <c r="B263" s="38" t="inlineStr"/>
      <c r="C263" s="30" t="inlineStr"/>
      <c r="D263" s="30" t="inlineStr"/>
      <c r="E263" s="30" t="inlineStr"/>
      <c r="F263" s="34" t="inlineStr"/>
      <c r="G263" s="32" t="inlineStr"/>
      <c r="H263" s="32" t="inlineStr"/>
      <c r="I263" s="30" t="inlineStr"/>
      <c r="J263" s="38" t="inlineStr"/>
      <c r="K263" s="31" t="inlineStr"/>
      <c r="L263" s="15">
        <f>IF(A263="","",F263*(1+G263)*(1+H263))</f>
        <v/>
      </c>
      <c r="M263" s="13">
        <f>IF(A263="","",IF(I263="angenommen","Auftrag",IF(AND(I263="offen",TODAY()&gt;B263+K263),"Bindefrist!","")))</f>
        <v/>
      </c>
    </row>
    <row r="264">
      <c r="A264" s="30" t="inlineStr"/>
      <c r="B264" s="38" t="inlineStr"/>
      <c r="C264" s="30" t="inlineStr"/>
      <c r="D264" s="30" t="inlineStr"/>
      <c r="E264" s="30" t="inlineStr"/>
      <c r="F264" s="34" t="inlineStr"/>
      <c r="G264" s="32" t="inlineStr"/>
      <c r="H264" s="32" t="inlineStr"/>
      <c r="I264" s="30" t="inlineStr"/>
      <c r="J264" s="38" t="inlineStr"/>
      <c r="K264" s="31" t="inlineStr"/>
      <c r="L264" s="15">
        <f>IF(A264="","",F264*(1+G264)*(1+H264))</f>
        <v/>
      </c>
      <c r="M264" s="13">
        <f>IF(A264="","",IF(I264="angenommen","Auftrag",IF(AND(I264="offen",TODAY()&gt;B264+K264),"Bindefrist!","")))</f>
        <v/>
      </c>
    </row>
    <row r="265">
      <c r="A265" s="30" t="inlineStr"/>
      <c r="B265" s="38" t="inlineStr"/>
      <c r="C265" s="30" t="inlineStr"/>
      <c r="D265" s="30" t="inlineStr"/>
      <c r="E265" s="30" t="inlineStr"/>
      <c r="F265" s="34" t="inlineStr"/>
      <c r="G265" s="32" t="inlineStr"/>
      <c r="H265" s="32" t="inlineStr"/>
      <c r="I265" s="30" t="inlineStr"/>
      <c r="J265" s="38" t="inlineStr"/>
      <c r="K265" s="31" t="inlineStr"/>
      <c r="L265" s="15">
        <f>IF(A265="","",F265*(1+G265)*(1+H265))</f>
        <v/>
      </c>
      <c r="M265" s="13">
        <f>IF(A265="","",IF(I265="angenommen","Auftrag",IF(AND(I265="offen",TODAY()&gt;B265+K265),"Bindefrist!","")))</f>
        <v/>
      </c>
    </row>
    <row r="266">
      <c r="A266" s="30" t="inlineStr"/>
      <c r="B266" s="38" t="inlineStr"/>
      <c r="C266" s="30" t="inlineStr"/>
      <c r="D266" s="30" t="inlineStr"/>
      <c r="E266" s="30" t="inlineStr"/>
      <c r="F266" s="34" t="inlineStr"/>
      <c r="G266" s="32" t="inlineStr"/>
      <c r="H266" s="32" t="inlineStr"/>
      <c r="I266" s="30" t="inlineStr"/>
      <c r="J266" s="38" t="inlineStr"/>
      <c r="K266" s="31" t="inlineStr"/>
      <c r="L266" s="15">
        <f>IF(A266="","",F266*(1+G266)*(1+H266))</f>
        <v/>
      </c>
      <c r="M266" s="13">
        <f>IF(A266="","",IF(I266="angenommen","Auftrag",IF(AND(I266="offen",TODAY()&gt;B266+K266),"Bindefrist!","")))</f>
        <v/>
      </c>
    </row>
    <row r="267">
      <c r="A267" s="30" t="inlineStr"/>
      <c r="B267" s="38" t="inlineStr"/>
      <c r="C267" s="30" t="inlineStr"/>
      <c r="D267" s="30" t="inlineStr"/>
      <c r="E267" s="30" t="inlineStr"/>
      <c r="F267" s="34" t="inlineStr"/>
      <c r="G267" s="32" t="inlineStr"/>
      <c r="H267" s="32" t="inlineStr"/>
      <c r="I267" s="30" t="inlineStr"/>
      <c r="J267" s="38" t="inlineStr"/>
      <c r="K267" s="31" t="inlineStr"/>
      <c r="L267" s="15">
        <f>IF(A267="","",F267*(1+G267)*(1+H267))</f>
        <v/>
      </c>
      <c r="M267" s="13">
        <f>IF(A267="","",IF(I267="angenommen","Auftrag",IF(AND(I267="offen",TODAY()&gt;B267+K267),"Bindefrist!","")))</f>
        <v/>
      </c>
    </row>
    <row r="268">
      <c r="A268" s="30" t="inlineStr"/>
      <c r="B268" s="38" t="inlineStr"/>
      <c r="C268" s="30" t="inlineStr"/>
      <c r="D268" s="30" t="inlineStr"/>
      <c r="E268" s="30" t="inlineStr"/>
      <c r="F268" s="34" t="inlineStr"/>
      <c r="G268" s="32" t="inlineStr"/>
      <c r="H268" s="32" t="inlineStr"/>
      <c r="I268" s="30" t="inlineStr"/>
      <c r="J268" s="38" t="inlineStr"/>
      <c r="K268" s="31" t="inlineStr"/>
      <c r="L268" s="15">
        <f>IF(A268="","",F268*(1+G268)*(1+H268))</f>
        <v/>
      </c>
      <c r="M268" s="13">
        <f>IF(A268="","",IF(I268="angenommen","Auftrag",IF(AND(I268="offen",TODAY()&gt;B268+K268),"Bindefrist!","")))</f>
        <v/>
      </c>
    </row>
    <row r="269">
      <c r="A269" s="30" t="inlineStr"/>
      <c r="B269" s="38" t="inlineStr"/>
      <c r="C269" s="30" t="inlineStr"/>
      <c r="D269" s="30" t="inlineStr"/>
      <c r="E269" s="30" t="inlineStr"/>
      <c r="F269" s="34" t="inlineStr"/>
      <c r="G269" s="32" t="inlineStr"/>
      <c r="H269" s="32" t="inlineStr"/>
      <c r="I269" s="30" t="inlineStr"/>
      <c r="J269" s="38" t="inlineStr"/>
      <c r="K269" s="31" t="inlineStr"/>
      <c r="L269" s="15">
        <f>IF(A269="","",F269*(1+G269)*(1+H269))</f>
        <v/>
      </c>
      <c r="M269" s="13">
        <f>IF(A269="","",IF(I269="angenommen","Auftrag",IF(AND(I269="offen",TODAY()&gt;B269+K269),"Bindefrist!","")))</f>
        <v/>
      </c>
    </row>
    <row r="270">
      <c r="A270" s="30" t="inlineStr"/>
      <c r="B270" s="38" t="inlineStr"/>
      <c r="C270" s="30" t="inlineStr"/>
      <c r="D270" s="30" t="inlineStr"/>
      <c r="E270" s="30" t="inlineStr"/>
      <c r="F270" s="34" t="inlineStr"/>
      <c r="G270" s="32" t="inlineStr"/>
      <c r="H270" s="32" t="inlineStr"/>
      <c r="I270" s="30" t="inlineStr"/>
      <c r="J270" s="38" t="inlineStr"/>
      <c r="K270" s="31" t="inlineStr"/>
      <c r="L270" s="15">
        <f>IF(A270="","",F270*(1+G270)*(1+H270))</f>
        <v/>
      </c>
      <c r="M270" s="13">
        <f>IF(A270="","",IF(I270="angenommen","Auftrag",IF(AND(I270="offen",TODAY()&gt;B270+K270),"Bindefrist!","")))</f>
        <v/>
      </c>
    </row>
    <row r="271">
      <c r="A271" s="30" t="inlineStr"/>
      <c r="B271" s="38" t="inlineStr"/>
      <c r="C271" s="30" t="inlineStr"/>
      <c r="D271" s="30" t="inlineStr"/>
      <c r="E271" s="30" t="inlineStr"/>
      <c r="F271" s="34" t="inlineStr"/>
      <c r="G271" s="32" t="inlineStr"/>
      <c r="H271" s="32" t="inlineStr"/>
      <c r="I271" s="30" t="inlineStr"/>
      <c r="J271" s="38" t="inlineStr"/>
      <c r="K271" s="31" t="inlineStr"/>
      <c r="L271" s="15">
        <f>IF(A271="","",F271*(1+G271)*(1+H271))</f>
        <v/>
      </c>
      <c r="M271" s="13">
        <f>IF(A271="","",IF(I271="angenommen","Auftrag",IF(AND(I271="offen",TODAY()&gt;B271+K271),"Bindefrist!","")))</f>
        <v/>
      </c>
    </row>
    <row r="272">
      <c r="A272" s="30" t="inlineStr"/>
      <c r="B272" s="38" t="inlineStr"/>
      <c r="C272" s="30" t="inlineStr"/>
      <c r="D272" s="30" t="inlineStr"/>
      <c r="E272" s="30" t="inlineStr"/>
      <c r="F272" s="34" t="inlineStr"/>
      <c r="G272" s="32" t="inlineStr"/>
      <c r="H272" s="32" t="inlineStr"/>
      <c r="I272" s="30" t="inlineStr"/>
      <c r="J272" s="38" t="inlineStr"/>
      <c r="K272" s="31" t="inlineStr"/>
      <c r="L272" s="15">
        <f>IF(A272="","",F272*(1+G272)*(1+H272))</f>
        <v/>
      </c>
      <c r="M272" s="13">
        <f>IF(A272="","",IF(I272="angenommen","Auftrag",IF(AND(I272="offen",TODAY()&gt;B272+K272),"Bindefrist!","")))</f>
        <v/>
      </c>
    </row>
    <row r="273">
      <c r="A273" s="30" t="inlineStr"/>
      <c r="B273" s="38" t="inlineStr"/>
      <c r="C273" s="30" t="inlineStr"/>
      <c r="D273" s="30" t="inlineStr"/>
      <c r="E273" s="30" t="inlineStr"/>
      <c r="F273" s="34" t="inlineStr"/>
      <c r="G273" s="32" t="inlineStr"/>
      <c r="H273" s="32" t="inlineStr"/>
      <c r="I273" s="30" t="inlineStr"/>
      <c r="J273" s="38" t="inlineStr"/>
      <c r="K273" s="31" t="inlineStr"/>
      <c r="L273" s="15">
        <f>IF(A273="","",F273*(1+G273)*(1+H273))</f>
        <v/>
      </c>
      <c r="M273" s="13">
        <f>IF(A273="","",IF(I273="angenommen","Auftrag",IF(AND(I273="offen",TODAY()&gt;B273+K273),"Bindefrist!","")))</f>
        <v/>
      </c>
    </row>
    <row r="274">
      <c r="A274" s="30" t="inlineStr"/>
      <c r="B274" s="38" t="inlineStr"/>
      <c r="C274" s="30" t="inlineStr"/>
      <c r="D274" s="30" t="inlineStr"/>
      <c r="E274" s="30" t="inlineStr"/>
      <c r="F274" s="34" t="inlineStr"/>
      <c r="G274" s="32" t="inlineStr"/>
      <c r="H274" s="32" t="inlineStr"/>
      <c r="I274" s="30" t="inlineStr"/>
      <c r="J274" s="38" t="inlineStr"/>
      <c r="K274" s="31" t="inlineStr"/>
      <c r="L274" s="15">
        <f>IF(A274="","",F274*(1+G274)*(1+H274))</f>
        <v/>
      </c>
      <c r="M274" s="13">
        <f>IF(A274="","",IF(I274="angenommen","Auftrag",IF(AND(I274="offen",TODAY()&gt;B274+K274),"Bindefrist!","")))</f>
        <v/>
      </c>
    </row>
    <row r="275">
      <c r="A275" s="30" t="inlineStr"/>
      <c r="B275" s="38" t="inlineStr"/>
      <c r="C275" s="30" t="inlineStr"/>
      <c r="D275" s="30" t="inlineStr"/>
      <c r="E275" s="30" t="inlineStr"/>
      <c r="F275" s="34" t="inlineStr"/>
      <c r="G275" s="32" t="inlineStr"/>
      <c r="H275" s="32" t="inlineStr"/>
      <c r="I275" s="30" t="inlineStr"/>
      <c r="J275" s="38" t="inlineStr"/>
      <c r="K275" s="31" t="inlineStr"/>
      <c r="L275" s="15">
        <f>IF(A275="","",F275*(1+G275)*(1+H275))</f>
        <v/>
      </c>
      <c r="M275" s="13">
        <f>IF(A275="","",IF(I275="angenommen","Auftrag",IF(AND(I275="offen",TODAY()&gt;B275+K275),"Bindefrist!","")))</f>
        <v/>
      </c>
    </row>
    <row r="276">
      <c r="A276" s="30" t="inlineStr"/>
      <c r="B276" s="38" t="inlineStr"/>
      <c r="C276" s="30" t="inlineStr"/>
      <c r="D276" s="30" t="inlineStr"/>
      <c r="E276" s="30" t="inlineStr"/>
      <c r="F276" s="34" t="inlineStr"/>
      <c r="G276" s="32" t="inlineStr"/>
      <c r="H276" s="32" t="inlineStr"/>
      <c r="I276" s="30" t="inlineStr"/>
      <c r="J276" s="38" t="inlineStr"/>
      <c r="K276" s="31" t="inlineStr"/>
      <c r="L276" s="15">
        <f>IF(A276="","",F276*(1+G276)*(1+H276))</f>
        <v/>
      </c>
      <c r="M276" s="13">
        <f>IF(A276="","",IF(I276="angenommen","Auftrag",IF(AND(I276="offen",TODAY()&gt;B276+K276),"Bindefrist!","")))</f>
        <v/>
      </c>
    </row>
    <row r="277">
      <c r="A277" s="30" t="inlineStr"/>
      <c r="B277" s="38" t="inlineStr"/>
      <c r="C277" s="30" t="inlineStr"/>
      <c r="D277" s="30" t="inlineStr"/>
      <c r="E277" s="30" t="inlineStr"/>
      <c r="F277" s="34" t="inlineStr"/>
      <c r="G277" s="32" t="inlineStr"/>
      <c r="H277" s="32" t="inlineStr"/>
      <c r="I277" s="30" t="inlineStr"/>
      <c r="J277" s="38" t="inlineStr"/>
      <c r="K277" s="31" t="inlineStr"/>
      <c r="L277" s="15">
        <f>IF(A277="","",F277*(1+G277)*(1+H277))</f>
        <v/>
      </c>
      <c r="M277" s="13">
        <f>IF(A277="","",IF(I277="angenommen","Auftrag",IF(AND(I277="offen",TODAY()&gt;B277+K277),"Bindefrist!","")))</f>
        <v/>
      </c>
    </row>
    <row r="278">
      <c r="A278" s="30" t="inlineStr"/>
      <c r="B278" s="38" t="inlineStr"/>
      <c r="C278" s="30" t="inlineStr"/>
      <c r="D278" s="30" t="inlineStr"/>
      <c r="E278" s="30" t="inlineStr"/>
      <c r="F278" s="34" t="inlineStr"/>
      <c r="G278" s="32" t="inlineStr"/>
      <c r="H278" s="32" t="inlineStr"/>
      <c r="I278" s="30" t="inlineStr"/>
      <c r="J278" s="38" t="inlineStr"/>
      <c r="K278" s="31" t="inlineStr"/>
      <c r="L278" s="15">
        <f>IF(A278="","",F278*(1+G278)*(1+H278))</f>
        <v/>
      </c>
      <c r="M278" s="13">
        <f>IF(A278="","",IF(I278="angenommen","Auftrag",IF(AND(I278="offen",TODAY()&gt;B278+K278),"Bindefrist!","")))</f>
        <v/>
      </c>
    </row>
    <row r="279">
      <c r="A279" s="30" t="inlineStr"/>
      <c r="B279" s="38" t="inlineStr"/>
      <c r="C279" s="30" t="inlineStr"/>
      <c r="D279" s="30" t="inlineStr"/>
      <c r="E279" s="30" t="inlineStr"/>
      <c r="F279" s="34" t="inlineStr"/>
      <c r="G279" s="32" t="inlineStr"/>
      <c r="H279" s="32" t="inlineStr"/>
      <c r="I279" s="30" t="inlineStr"/>
      <c r="J279" s="38" t="inlineStr"/>
      <c r="K279" s="31" t="inlineStr"/>
      <c r="L279" s="15">
        <f>IF(A279="","",F279*(1+G279)*(1+H279))</f>
        <v/>
      </c>
      <c r="M279" s="13">
        <f>IF(A279="","",IF(I279="angenommen","Auftrag",IF(AND(I279="offen",TODAY()&gt;B279+K279),"Bindefrist!","")))</f>
        <v/>
      </c>
    </row>
    <row r="280">
      <c r="A280" s="30" t="inlineStr"/>
      <c r="B280" s="38" t="inlineStr"/>
      <c r="C280" s="30" t="inlineStr"/>
      <c r="D280" s="30" t="inlineStr"/>
      <c r="E280" s="30" t="inlineStr"/>
      <c r="F280" s="34" t="inlineStr"/>
      <c r="G280" s="32" t="inlineStr"/>
      <c r="H280" s="32" t="inlineStr"/>
      <c r="I280" s="30" t="inlineStr"/>
      <c r="J280" s="38" t="inlineStr"/>
      <c r="K280" s="31" t="inlineStr"/>
      <c r="L280" s="15">
        <f>IF(A280="","",F280*(1+G280)*(1+H280))</f>
        <v/>
      </c>
      <c r="M280" s="13">
        <f>IF(A280="","",IF(I280="angenommen","Auftrag",IF(AND(I280="offen",TODAY()&gt;B280+K280),"Bindefrist!","")))</f>
        <v/>
      </c>
    </row>
    <row r="281">
      <c r="A281" s="30" t="inlineStr"/>
      <c r="B281" s="38" t="inlineStr"/>
      <c r="C281" s="30" t="inlineStr"/>
      <c r="D281" s="30" t="inlineStr"/>
      <c r="E281" s="30" t="inlineStr"/>
      <c r="F281" s="34" t="inlineStr"/>
      <c r="G281" s="32" t="inlineStr"/>
      <c r="H281" s="32" t="inlineStr"/>
      <c r="I281" s="30" t="inlineStr"/>
      <c r="J281" s="38" t="inlineStr"/>
      <c r="K281" s="31" t="inlineStr"/>
      <c r="L281" s="15">
        <f>IF(A281="","",F281*(1+G281)*(1+H281))</f>
        <v/>
      </c>
      <c r="M281" s="13">
        <f>IF(A281="","",IF(I281="angenommen","Auftrag",IF(AND(I281="offen",TODAY()&gt;B281+K281),"Bindefrist!","")))</f>
        <v/>
      </c>
    </row>
    <row r="282">
      <c r="A282" s="30" t="inlineStr"/>
      <c r="B282" s="38" t="inlineStr"/>
      <c r="C282" s="30" t="inlineStr"/>
      <c r="D282" s="30" t="inlineStr"/>
      <c r="E282" s="30" t="inlineStr"/>
      <c r="F282" s="34" t="inlineStr"/>
      <c r="G282" s="32" t="inlineStr"/>
      <c r="H282" s="32" t="inlineStr"/>
      <c r="I282" s="30" t="inlineStr"/>
      <c r="J282" s="38" t="inlineStr"/>
      <c r="K282" s="31" t="inlineStr"/>
      <c r="L282" s="15">
        <f>IF(A282="","",F282*(1+G282)*(1+H282))</f>
        <v/>
      </c>
      <c r="M282" s="13">
        <f>IF(A282="","",IF(I282="angenommen","Auftrag",IF(AND(I282="offen",TODAY()&gt;B282+K282),"Bindefrist!","")))</f>
        <v/>
      </c>
    </row>
    <row r="283">
      <c r="A283" s="30" t="inlineStr"/>
      <c r="B283" s="38" t="inlineStr"/>
      <c r="C283" s="30" t="inlineStr"/>
      <c r="D283" s="30" t="inlineStr"/>
      <c r="E283" s="30" t="inlineStr"/>
      <c r="F283" s="34" t="inlineStr"/>
      <c r="G283" s="32" t="inlineStr"/>
      <c r="H283" s="32" t="inlineStr"/>
      <c r="I283" s="30" t="inlineStr"/>
      <c r="J283" s="38" t="inlineStr"/>
      <c r="K283" s="31" t="inlineStr"/>
      <c r="L283" s="15">
        <f>IF(A283="","",F283*(1+G283)*(1+H283))</f>
        <v/>
      </c>
      <c r="M283" s="13">
        <f>IF(A283="","",IF(I283="angenommen","Auftrag",IF(AND(I283="offen",TODAY()&gt;B283+K283),"Bindefrist!","")))</f>
        <v/>
      </c>
    </row>
    <row r="284">
      <c r="A284" s="30" t="inlineStr"/>
      <c r="B284" s="38" t="inlineStr"/>
      <c r="C284" s="30" t="inlineStr"/>
      <c r="D284" s="30" t="inlineStr"/>
      <c r="E284" s="30" t="inlineStr"/>
      <c r="F284" s="34" t="inlineStr"/>
      <c r="G284" s="32" t="inlineStr"/>
      <c r="H284" s="32" t="inlineStr"/>
      <c r="I284" s="30" t="inlineStr"/>
      <c r="J284" s="38" t="inlineStr"/>
      <c r="K284" s="31" t="inlineStr"/>
      <c r="L284" s="15">
        <f>IF(A284="","",F284*(1+G284)*(1+H284))</f>
        <v/>
      </c>
      <c r="M284" s="13">
        <f>IF(A284="","",IF(I284="angenommen","Auftrag",IF(AND(I284="offen",TODAY()&gt;B284+K284),"Bindefrist!","")))</f>
        <v/>
      </c>
    </row>
    <row r="285">
      <c r="A285" s="30" t="inlineStr"/>
      <c r="B285" s="38" t="inlineStr"/>
      <c r="C285" s="30" t="inlineStr"/>
      <c r="D285" s="30" t="inlineStr"/>
      <c r="E285" s="30" t="inlineStr"/>
      <c r="F285" s="34" t="inlineStr"/>
      <c r="G285" s="32" t="inlineStr"/>
      <c r="H285" s="32" t="inlineStr"/>
      <c r="I285" s="30" t="inlineStr"/>
      <c r="J285" s="38" t="inlineStr"/>
      <c r="K285" s="31" t="inlineStr"/>
      <c r="L285" s="15">
        <f>IF(A285="","",F285*(1+G285)*(1+H285))</f>
        <v/>
      </c>
      <c r="M285" s="13">
        <f>IF(A285="","",IF(I285="angenommen","Auftrag",IF(AND(I285="offen",TODAY()&gt;B285+K285),"Bindefrist!","")))</f>
        <v/>
      </c>
    </row>
    <row r="286">
      <c r="A286" s="30" t="inlineStr"/>
      <c r="B286" s="38" t="inlineStr"/>
      <c r="C286" s="30" t="inlineStr"/>
      <c r="D286" s="30" t="inlineStr"/>
      <c r="E286" s="30" t="inlineStr"/>
      <c r="F286" s="34" t="inlineStr"/>
      <c r="G286" s="32" t="inlineStr"/>
      <c r="H286" s="32" t="inlineStr"/>
      <c r="I286" s="30" t="inlineStr"/>
      <c r="J286" s="38" t="inlineStr"/>
      <c r="K286" s="31" t="inlineStr"/>
      <c r="L286" s="15">
        <f>IF(A286="","",F286*(1+G286)*(1+H286))</f>
        <v/>
      </c>
      <c r="M286" s="13">
        <f>IF(A286="","",IF(I286="angenommen","Auftrag",IF(AND(I286="offen",TODAY()&gt;B286+K286),"Bindefrist!","")))</f>
        <v/>
      </c>
    </row>
    <row r="287">
      <c r="A287" s="30" t="inlineStr"/>
      <c r="B287" s="38" t="inlineStr"/>
      <c r="C287" s="30" t="inlineStr"/>
      <c r="D287" s="30" t="inlineStr"/>
      <c r="E287" s="30" t="inlineStr"/>
      <c r="F287" s="34" t="inlineStr"/>
      <c r="G287" s="32" t="inlineStr"/>
      <c r="H287" s="32" t="inlineStr"/>
      <c r="I287" s="30" t="inlineStr"/>
      <c r="J287" s="38" t="inlineStr"/>
      <c r="K287" s="31" t="inlineStr"/>
      <c r="L287" s="15">
        <f>IF(A287="","",F287*(1+G287)*(1+H287))</f>
        <v/>
      </c>
      <c r="M287" s="13">
        <f>IF(A287="","",IF(I287="angenommen","Auftrag",IF(AND(I287="offen",TODAY()&gt;B287+K287),"Bindefrist!","")))</f>
        <v/>
      </c>
    </row>
    <row r="288">
      <c r="A288" s="30" t="inlineStr"/>
      <c r="B288" s="38" t="inlineStr"/>
      <c r="C288" s="30" t="inlineStr"/>
      <c r="D288" s="30" t="inlineStr"/>
      <c r="E288" s="30" t="inlineStr"/>
      <c r="F288" s="34" t="inlineStr"/>
      <c r="G288" s="32" t="inlineStr"/>
      <c r="H288" s="32" t="inlineStr"/>
      <c r="I288" s="30" t="inlineStr"/>
      <c r="J288" s="38" t="inlineStr"/>
      <c r="K288" s="31" t="inlineStr"/>
      <c r="L288" s="15">
        <f>IF(A288="","",F288*(1+G288)*(1+H288))</f>
        <v/>
      </c>
      <c r="M288" s="13">
        <f>IF(A288="","",IF(I288="angenommen","Auftrag",IF(AND(I288="offen",TODAY()&gt;B288+K288),"Bindefrist!","")))</f>
        <v/>
      </c>
    </row>
    <row r="289">
      <c r="A289" s="30" t="inlineStr"/>
      <c r="B289" s="38" t="inlineStr"/>
      <c r="C289" s="30" t="inlineStr"/>
      <c r="D289" s="30" t="inlineStr"/>
      <c r="E289" s="30" t="inlineStr"/>
      <c r="F289" s="34" t="inlineStr"/>
      <c r="G289" s="32" t="inlineStr"/>
      <c r="H289" s="32" t="inlineStr"/>
      <c r="I289" s="30" t="inlineStr"/>
      <c r="J289" s="38" t="inlineStr"/>
      <c r="K289" s="31" t="inlineStr"/>
      <c r="L289" s="15">
        <f>IF(A289="","",F289*(1+G289)*(1+H289))</f>
        <v/>
      </c>
      <c r="M289" s="13">
        <f>IF(A289="","",IF(I289="angenommen","Auftrag",IF(AND(I289="offen",TODAY()&gt;B289+K289),"Bindefrist!","")))</f>
        <v/>
      </c>
    </row>
    <row r="290">
      <c r="A290" s="30" t="inlineStr"/>
      <c r="B290" s="38" t="inlineStr"/>
      <c r="C290" s="30" t="inlineStr"/>
      <c r="D290" s="30" t="inlineStr"/>
      <c r="E290" s="30" t="inlineStr"/>
      <c r="F290" s="34" t="inlineStr"/>
      <c r="G290" s="32" t="inlineStr"/>
      <c r="H290" s="32" t="inlineStr"/>
      <c r="I290" s="30" t="inlineStr"/>
      <c r="J290" s="38" t="inlineStr"/>
      <c r="K290" s="31" t="inlineStr"/>
      <c r="L290" s="15">
        <f>IF(A290="","",F290*(1+G290)*(1+H290))</f>
        <v/>
      </c>
      <c r="M290" s="13">
        <f>IF(A290="","",IF(I290="angenommen","Auftrag",IF(AND(I290="offen",TODAY()&gt;B290+K290),"Bindefrist!","")))</f>
        <v/>
      </c>
    </row>
    <row r="291">
      <c r="A291" s="30" t="inlineStr"/>
      <c r="B291" s="38" t="inlineStr"/>
      <c r="C291" s="30" t="inlineStr"/>
      <c r="D291" s="30" t="inlineStr"/>
      <c r="E291" s="30" t="inlineStr"/>
      <c r="F291" s="34" t="inlineStr"/>
      <c r="G291" s="32" t="inlineStr"/>
      <c r="H291" s="32" t="inlineStr"/>
      <c r="I291" s="30" t="inlineStr"/>
      <c r="J291" s="38" t="inlineStr"/>
      <c r="K291" s="31" t="inlineStr"/>
      <c r="L291" s="15">
        <f>IF(A291="","",F291*(1+G291)*(1+H291))</f>
        <v/>
      </c>
      <c r="M291" s="13">
        <f>IF(A291="","",IF(I291="angenommen","Auftrag",IF(AND(I291="offen",TODAY()&gt;B291+K291),"Bindefrist!","")))</f>
        <v/>
      </c>
    </row>
    <row r="292">
      <c r="A292" s="30" t="inlineStr"/>
      <c r="B292" s="38" t="inlineStr"/>
      <c r="C292" s="30" t="inlineStr"/>
      <c r="D292" s="30" t="inlineStr"/>
      <c r="E292" s="30" t="inlineStr"/>
      <c r="F292" s="34" t="inlineStr"/>
      <c r="G292" s="32" t="inlineStr"/>
      <c r="H292" s="32" t="inlineStr"/>
      <c r="I292" s="30" t="inlineStr"/>
      <c r="J292" s="38" t="inlineStr"/>
      <c r="K292" s="31" t="inlineStr"/>
      <c r="L292" s="15">
        <f>IF(A292="","",F292*(1+G292)*(1+H292))</f>
        <v/>
      </c>
      <c r="M292" s="13">
        <f>IF(A292="","",IF(I292="angenommen","Auftrag",IF(AND(I292="offen",TODAY()&gt;B292+K292),"Bindefrist!","")))</f>
        <v/>
      </c>
    </row>
    <row r="293">
      <c r="A293" s="30" t="inlineStr"/>
      <c r="B293" s="38" t="inlineStr"/>
      <c r="C293" s="30" t="inlineStr"/>
      <c r="D293" s="30" t="inlineStr"/>
      <c r="E293" s="30" t="inlineStr"/>
      <c r="F293" s="34" t="inlineStr"/>
      <c r="G293" s="32" t="inlineStr"/>
      <c r="H293" s="32" t="inlineStr"/>
      <c r="I293" s="30" t="inlineStr"/>
      <c r="J293" s="38" t="inlineStr"/>
      <c r="K293" s="31" t="inlineStr"/>
      <c r="L293" s="15">
        <f>IF(A293="","",F293*(1+G293)*(1+H293))</f>
        <v/>
      </c>
      <c r="M293" s="13">
        <f>IF(A293="","",IF(I293="angenommen","Auftrag",IF(AND(I293="offen",TODAY()&gt;B293+K293),"Bindefrist!","")))</f>
        <v/>
      </c>
    </row>
    <row r="294">
      <c r="A294" s="30" t="inlineStr"/>
      <c r="B294" s="38" t="inlineStr"/>
      <c r="C294" s="30" t="inlineStr"/>
      <c r="D294" s="30" t="inlineStr"/>
      <c r="E294" s="30" t="inlineStr"/>
      <c r="F294" s="34" t="inlineStr"/>
      <c r="G294" s="32" t="inlineStr"/>
      <c r="H294" s="32" t="inlineStr"/>
      <c r="I294" s="30" t="inlineStr"/>
      <c r="J294" s="38" t="inlineStr"/>
      <c r="K294" s="31" t="inlineStr"/>
      <c r="L294" s="15">
        <f>IF(A294="","",F294*(1+G294)*(1+H294))</f>
        <v/>
      </c>
      <c r="M294" s="13">
        <f>IF(A294="","",IF(I294="angenommen","Auftrag",IF(AND(I294="offen",TODAY()&gt;B294+K294),"Bindefrist!","")))</f>
        <v/>
      </c>
    </row>
    <row r="295">
      <c r="A295" s="30" t="inlineStr"/>
      <c r="B295" s="38" t="inlineStr"/>
      <c r="C295" s="30" t="inlineStr"/>
      <c r="D295" s="30" t="inlineStr"/>
      <c r="E295" s="30" t="inlineStr"/>
      <c r="F295" s="34" t="inlineStr"/>
      <c r="G295" s="32" t="inlineStr"/>
      <c r="H295" s="32" t="inlineStr"/>
      <c r="I295" s="30" t="inlineStr"/>
      <c r="J295" s="38" t="inlineStr"/>
      <c r="K295" s="31" t="inlineStr"/>
      <c r="L295" s="15">
        <f>IF(A295="","",F295*(1+G295)*(1+H295))</f>
        <v/>
      </c>
      <c r="M295" s="13">
        <f>IF(A295="","",IF(I295="angenommen","Auftrag",IF(AND(I295="offen",TODAY()&gt;B295+K295),"Bindefrist!","")))</f>
        <v/>
      </c>
    </row>
    <row r="296">
      <c r="A296" s="30" t="inlineStr"/>
      <c r="B296" s="38" t="inlineStr"/>
      <c r="C296" s="30" t="inlineStr"/>
      <c r="D296" s="30" t="inlineStr"/>
      <c r="E296" s="30" t="inlineStr"/>
      <c r="F296" s="34" t="inlineStr"/>
      <c r="G296" s="32" t="inlineStr"/>
      <c r="H296" s="32" t="inlineStr"/>
      <c r="I296" s="30" t="inlineStr"/>
      <c r="J296" s="38" t="inlineStr"/>
      <c r="K296" s="31" t="inlineStr"/>
      <c r="L296" s="15">
        <f>IF(A296="","",F296*(1+G296)*(1+H296))</f>
        <v/>
      </c>
      <c r="M296" s="13">
        <f>IF(A296="","",IF(I296="angenommen","Auftrag",IF(AND(I296="offen",TODAY()&gt;B296+K296),"Bindefrist!","")))</f>
        <v/>
      </c>
    </row>
    <row r="297">
      <c r="A297" s="30" t="inlineStr"/>
      <c r="B297" s="38" t="inlineStr"/>
      <c r="C297" s="30" t="inlineStr"/>
      <c r="D297" s="30" t="inlineStr"/>
      <c r="E297" s="30" t="inlineStr"/>
      <c r="F297" s="34" t="inlineStr"/>
      <c r="G297" s="32" t="inlineStr"/>
      <c r="H297" s="32" t="inlineStr"/>
      <c r="I297" s="30" t="inlineStr"/>
      <c r="J297" s="38" t="inlineStr"/>
      <c r="K297" s="31" t="inlineStr"/>
      <c r="L297" s="15">
        <f>IF(A297="","",F297*(1+G297)*(1+H297))</f>
        <v/>
      </c>
      <c r="M297" s="13">
        <f>IF(A297="","",IF(I297="angenommen","Auftrag",IF(AND(I297="offen",TODAY()&gt;B297+K297),"Bindefrist!","")))</f>
        <v/>
      </c>
    </row>
    <row r="298">
      <c r="A298" s="30" t="inlineStr"/>
      <c r="B298" s="38" t="inlineStr"/>
      <c r="C298" s="30" t="inlineStr"/>
      <c r="D298" s="30" t="inlineStr"/>
      <c r="E298" s="30" t="inlineStr"/>
      <c r="F298" s="34" t="inlineStr"/>
      <c r="G298" s="32" t="inlineStr"/>
      <c r="H298" s="32" t="inlineStr"/>
      <c r="I298" s="30" t="inlineStr"/>
      <c r="J298" s="38" t="inlineStr"/>
      <c r="K298" s="31" t="inlineStr"/>
      <c r="L298" s="15">
        <f>IF(A298="","",F298*(1+G298)*(1+H298))</f>
        <v/>
      </c>
      <c r="M298" s="13">
        <f>IF(A298="","",IF(I298="angenommen","Auftrag",IF(AND(I298="offen",TODAY()&gt;B298+K298),"Bindefrist!","")))</f>
        <v/>
      </c>
    </row>
    <row r="299">
      <c r="A299" s="30" t="inlineStr"/>
      <c r="B299" s="38" t="inlineStr"/>
      <c r="C299" s="30" t="inlineStr"/>
      <c r="D299" s="30" t="inlineStr"/>
      <c r="E299" s="30" t="inlineStr"/>
      <c r="F299" s="34" t="inlineStr"/>
      <c r="G299" s="32" t="inlineStr"/>
      <c r="H299" s="32" t="inlineStr"/>
      <c r="I299" s="30" t="inlineStr"/>
      <c r="J299" s="38" t="inlineStr"/>
      <c r="K299" s="31" t="inlineStr"/>
      <c r="L299" s="15">
        <f>IF(A299="","",F299*(1+G299)*(1+H299))</f>
        <v/>
      </c>
      <c r="M299" s="13">
        <f>IF(A299="","",IF(I299="angenommen","Auftrag",IF(AND(I299="offen",TODAY()&gt;B299+K299),"Bindefrist!","")))</f>
        <v/>
      </c>
    </row>
    <row r="300">
      <c r="A300" s="30" t="inlineStr"/>
      <c r="B300" s="38" t="inlineStr"/>
      <c r="C300" s="30" t="inlineStr"/>
      <c r="D300" s="30" t="inlineStr"/>
      <c r="E300" s="30" t="inlineStr"/>
      <c r="F300" s="34" t="inlineStr"/>
      <c r="G300" s="32" t="inlineStr"/>
      <c r="H300" s="32" t="inlineStr"/>
      <c r="I300" s="30" t="inlineStr"/>
      <c r="J300" s="38" t="inlineStr"/>
      <c r="K300" s="31" t="inlineStr"/>
      <c r="L300" s="15">
        <f>IF(A300="","",F300*(1+G300)*(1+H300))</f>
        <v/>
      </c>
      <c r="M300" s="13">
        <f>IF(A300="","",IF(I300="angenommen","Auftrag",IF(AND(I300="offen",TODAY()&gt;B300+K300),"Bindefrist!","")))</f>
        <v/>
      </c>
    </row>
    <row r="301">
      <c r="A301" s="30" t="inlineStr"/>
      <c r="B301" s="38" t="inlineStr"/>
      <c r="C301" s="30" t="inlineStr"/>
      <c r="D301" s="30" t="inlineStr"/>
      <c r="E301" s="30" t="inlineStr"/>
      <c r="F301" s="34" t="inlineStr"/>
      <c r="G301" s="32" t="inlineStr"/>
      <c r="H301" s="32" t="inlineStr"/>
      <c r="I301" s="30" t="inlineStr"/>
      <c r="J301" s="38" t="inlineStr"/>
      <c r="K301" s="31" t="inlineStr"/>
      <c r="L301" s="15">
        <f>IF(A301="","",F301*(1+G301)*(1+H301))</f>
        <v/>
      </c>
      <c r="M301" s="13">
        <f>IF(A301="","",IF(I301="angenommen","Auftrag",IF(AND(I301="offen",TODAY()&gt;B301+K301),"Bindefrist!","")))</f>
        <v/>
      </c>
    </row>
    <row r="302">
      <c r="A302" s="30" t="inlineStr"/>
      <c r="B302" s="38" t="inlineStr"/>
      <c r="C302" s="30" t="inlineStr"/>
      <c r="D302" s="30" t="inlineStr"/>
      <c r="E302" s="30" t="inlineStr"/>
      <c r="F302" s="34" t="inlineStr"/>
      <c r="G302" s="32" t="inlineStr"/>
      <c r="H302" s="32" t="inlineStr"/>
      <c r="I302" s="30" t="inlineStr"/>
      <c r="J302" s="38" t="inlineStr"/>
      <c r="K302" s="31" t="inlineStr"/>
      <c r="L302" s="15">
        <f>IF(A302="","",F302*(1+G302)*(1+H302))</f>
        <v/>
      </c>
      <c r="M302" s="13">
        <f>IF(A302="","",IF(I302="angenommen","Auftrag",IF(AND(I302="offen",TODAY()&gt;B302+K302),"Bindefrist!","")))</f>
        <v/>
      </c>
    </row>
    <row r="303">
      <c r="A303" s="30" t="inlineStr"/>
      <c r="B303" s="38" t="inlineStr"/>
      <c r="C303" s="30" t="inlineStr"/>
      <c r="D303" s="30" t="inlineStr"/>
      <c r="E303" s="30" t="inlineStr"/>
      <c r="F303" s="34" t="inlineStr"/>
      <c r="G303" s="32" t="inlineStr"/>
      <c r="H303" s="32" t="inlineStr"/>
      <c r="I303" s="30" t="inlineStr"/>
      <c r="J303" s="38" t="inlineStr"/>
      <c r="K303" s="31" t="inlineStr"/>
      <c r="L303" s="15">
        <f>IF(A303="","",F303*(1+G303)*(1+H303))</f>
        <v/>
      </c>
      <c r="M303" s="13">
        <f>IF(A303="","",IF(I303="angenommen","Auftrag",IF(AND(I303="offen",TODAY()&gt;B303+K303),"Bindefrist!","")))</f>
        <v/>
      </c>
    </row>
    <row r="304">
      <c r="A304" s="30" t="inlineStr"/>
      <c r="B304" s="38" t="inlineStr"/>
      <c r="C304" s="30" t="inlineStr"/>
      <c r="D304" s="30" t="inlineStr"/>
      <c r="E304" s="30" t="inlineStr"/>
      <c r="F304" s="34" t="inlineStr"/>
      <c r="G304" s="32" t="inlineStr"/>
      <c r="H304" s="32" t="inlineStr"/>
      <c r="I304" s="30" t="inlineStr"/>
      <c r="J304" s="38" t="inlineStr"/>
      <c r="K304" s="31" t="inlineStr"/>
      <c r="L304" s="15">
        <f>IF(A304="","",F304*(1+G304)*(1+H304))</f>
        <v/>
      </c>
      <c r="M304" s="13">
        <f>IF(A304="","",IF(I304="angenommen","Auftrag",IF(AND(I304="offen",TODAY()&gt;B304+K304),"Bindefrist!","")))</f>
        <v/>
      </c>
    </row>
    <row r="305">
      <c r="A305" s="30" t="inlineStr"/>
      <c r="B305" s="38" t="inlineStr"/>
      <c r="C305" s="30" t="inlineStr"/>
      <c r="D305" s="30" t="inlineStr"/>
      <c r="E305" s="30" t="inlineStr"/>
      <c r="F305" s="34" t="inlineStr"/>
      <c r="G305" s="32" t="inlineStr"/>
      <c r="H305" s="32" t="inlineStr"/>
      <c r="I305" s="30" t="inlineStr"/>
      <c r="J305" s="38" t="inlineStr"/>
      <c r="K305" s="31" t="inlineStr"/>
      <c r="L305" s="15">
        <f>IF(A305="","",F305*(1+G305)*(1+H305))</f>
        <v/>
      </c>
      <c r="M305" s="13">
        <f>IF(A305="","",IF(I305="angenommen","Auftrag",IF(AND(I305="offen",TODAY()&gt;B305+K305),"Bindefrist!","")))</f>
        <v/>
      </c>
    </row>
    <row r="306">
      <c r="A306" s="30" t="inlineStr"/>
      <c r="B306" s="38" t="inlineStr"/>
      <c r="C306" s="30" t="inlineStr"/>
      <c r="D306" s="30" t="inlineStr"/>
      <c r="E306" s="30" t="inlineStr"/>
      <c r="F306" s="34" t="inlineStr"/>
      <c r="G306" s="32" t="inlineStr"/>
      <c r="H306" s="32" t="inlineStr"/>
      <c r="I306" s="30" t="inlineStr"/>
      <c r="J306" s="38" t="inlineStr"/>
      <c r="K306" s="31" t="inlineStr"/>
      <c r="L306" s="15">
        <f>IF(A306="","",F306*(1+G306)*(1+H306))</f>
        <v/>
      </c>
      <c r="M306" s="13">
        <f>IF(A306="","",IF(I306="angenommen","Auftrag",IF(AND(I306="offen",TODAY()&gt;B306+K306),"Bindefrist!","")))</f>
        <v/>
      </c>
    </row>
    <row r="307">
      <c r="A307" s="30" t="inlineStr"/>
      <c r="B307" s="38" t="inlineStr"/>
      <c r="C307" s="30" t="inlineStr"/>
      <c r="D307" s="30" t="inlineStr"/>
      <c r="E307" s="30" t="inlineStr"/>
      <c r="F307" s="34" t="inlineStr"/>
      <c r="G307" s="32" t="inlineStr"/>
      <c r="H307" s="32" t="inlineStr"/>
      <c r="I307" s="30" t="inlineStr"/>
      <c r="J307" s="38" t="inlineStr"/>
      <c r="K307" s="31" t="inlineStr"/>
      <c r="L307" s="15">
        <f>IF(A307="","",F307*(1+G307)*(1+H307))</f>
        <v/>
      </c>
      <c r="M307" s="13">
        <f>IF(A307="","",IF(I307="angenommen","Auftrag",IF(AND(I307="offen",TODAY()&gt;B307+K307),"Bindefrist!","")))</f>
        <v/>
      </c>
    </row>
    <row r="308">
      <c r="A308" s="30" t="inlineStr"/>
      <c r="B308" s="38" t="inlineStr"/>
      <c r="C308" s="30" t="inlineStr"/>
      <c r="D308" s="30" t="inlineStr"/>
      <c r="E308" s="30" t="inlineStr"/>
      <c r="F308" s="34" t="inlineStr"/>
      <c r="G308" s="32" t="inlineStr"/>
      <c r="H308" s="32" t="inlineStr"/>
      <c r="I308" s="30" t="inlineStr"/>
      <c r="J308" s="38" t="inlineStr"/>
      <c r="K308" s="31" t="inlineStr"/>
      <c r="L308" s="15">
        <f>IF(A308="","",F308*(1+G308)*(1+H308))</f>
        <v/>
      </c>
      <c r="M308" s="13">
        <f>IF(A308="","",IF(I308="angenommen","Auftrag",IF(AND(I308="offen",TODAY()&gt;B308+K308),"Bindefrist!","")))</f>
        <v/>
      </c>
    </row>
    <row r="309">
      <c r="A309" s="30" t="inlineStr"/>
      <c r="B309" s="38" t="inlineStr"/>
      <c r="C309" s="30" t="inlineStr"/>
      <c r="D309" s="30" t="inlineStr"/>
      <c r="E309" s="30" t="inlineStr"/>
      <c r="F309" s="34" t="inlineStr"/>
      <c r="G309" s="32" t="inlineStr"/>
      <c r="H309" s="32" t="inlineStr"/>
      <c r="I309" s="30" t="inlineStr"/>
      <c r="J309" s="38" t="inlineStr"/>
      <c r="K309" s="31" t="inlineStr"/>
      <c r="L309" s="15">
        <f>IF(A309="","",F309*(1+G309)*(1+H309))</f>
        <v/>
      </c>
      <c r="M309" s="13">
        <f>IF(A309="","",IF(I309="angenommen","Auftrag",IF(AND(I309="offen",TODAY()&gt;B309+K309),"Bindefrist!","")))</f>
        <v/>
      </c>
    </row>
    <row r="310">
      <c r="A310" s="30" t="inlineStr"/>
      <c r="B310" s="38" t="inlineStr"/>
      <c r="C310" s="30" t="inlineStr"/>
      <c r="D310" s="30" t="inlineStr"/>
      <c r="E310" s="30" t="inlineStr"/>
      <c r="F310" s="34" t="inlineStr"/>
      <c r="G310" s="32" t="inlineStr"/>
      <c r="H310" s="32" t="inlineStr"/>
      <c r="I310" s="30" t="inlineStr"/>
      <c r="J310" s="38" t="inlineStr"/>
      <c r="K310" s="31" t="inlineStr"/>
      <c r="L310" s="15">
        <f>IF(A310="","",F310*(1+G310)*(1+H310))</f>
        <v/>
      </c>
      <c r="M310" s="13">
        <f>IF(A310="","",IF(I310="angenommen","Auftrag",IF(AND(I310="offen",TODAY()&gt;B310+K310),"Bindefrist!","")))</f>
        <v/>
      </c>
    </row>
    <row r="311">
      <c r="A311" s="30" t="inlineStr"/>
      <c r="B311" s="38" t="inlineStr"/>
      <c r="C311" s="30" t="inlineStr"/>
      <c r="D311" s="30" t="inlineStr"/>
      <c r="E311" s="30" t="inlineStr"/>
      <c r="F311" s="34" t="inlineStr"/>
      <c r="G311" s="32" t="inlineStr"/>
      <c r="H311" s="32" t="inlineStr"/>
      <c r="I311" s="30" t="inlineStr"/>
      <c r="J311" s="38" t="inlineStr"/>
      <c r="K311" s="31" t="inlineStr"/>
      <c r="L311" s="15">
        <f>IF(A311="","",F311*(1+G311)*(1+H311))</f>
        <v/>
      </c>
      <c r="M311" s="13">
        <f>IF(A311="","",IF(I311="angenommen","Auftrag",IF(AND(I311="offen",TODAY()&gt;B311+K311),"Bindefrist!","")))</f>
        <v/>
      </c>
    </row>
    <row r="312">
      <c r="A312" s="30" t="inlineStr"/>
      <c r="B312" s="38" t="inlineStr"/>
      <c r="C312" s="30" t="inlineStr"/>
      <c r="D312" s="30" t="inlineStr"/>
      <c r="E312" s="30" t="inlineStr"/>
      <c r="F312" s="34" t="inlineStr"/>
      <c r="G312" s="32" t="inlineStr"/>
      <c r="H312" s="32" t="inlineStr"/>
      <c r="I312" s="30" t="inlineStr"/>
      <c r="J312" s="38" t="inlineStr"/>
      <c r="K312" s="31" t="inlineStr"/>
      <c r="L312" s="15">
        <f>IF(A312="","",F312*(1+G312)*(1+H312))</f>
        <v/>
      </c>
      <c r="M312" s="13">
        <f>IF(A312="","",IF(I312="angenommen","Auftrag",IF(AND(I312="offen",TODAY()&gt;B312+K312),"Bindefrist!","")))</f>
        <v/>
      </c>
    </row>
    <row r="313">
      <c r="A313" s="30" t="inlineStr"/>
      <c r="B313" s="38" t="inlineStr"/>
      <c r="C313" s="30" t="inlineStr"/>
      <c r="D313" s="30" t="inlineStr"/>
      <c r="E313" s="30" t="inlineStr"/>
      <c r="F313" s="34" t="inlineStr"/>
      <c r="G313" s="32" t="inlineStr"/>
      <c r="H313" s="32" t="inlineStr"/>
      <c r="I313" s="30" t="inlineStr"/>
      <c r="J313" s="38" t="inlineStr"/>
      <c r="K313" s="31" t="inlineStr"/>
      <c r="L313" s="15">
        <f>IF(A313="","",F313*(1+G313)*(1+H313))</f>
        <v/>
      </c>
      <c r="M313" s="13">
        <f>IF(A313="","",IF(I313="angenommen","Auftrag",IF(AND(I313="offen",TODAY()&gt;B313+K313),"Bindefrist!","")))</f>
        <v/>
      </c>
    </row>
    <row r="314">
      <c r="A314" s="30" t="inlineStr"/>
      <c r="B314" s="38" t="inlineStr"/>
      <c r="C314" s="30" t="inlineStr"/>
      <c r="D314" s="30" t="inlineStr"/>
      <c r="E314" s="30" t="inlineStr"/>
      <c r="F314" s="34" t="inlineStr"/>
      <c r="G314" s="32" t="inlineStr"/>
      <c r="H314" s="32" t="inlineStr"/>
      <c r="I314" s="30" t="inlineStr"/>
      <c r="J314" s="38" t="inlineStr"/>
      <c r="K314" s="31" t="inlineStr"/>
      <c r="L314" s="15">
        <f>IF(A314="","",F314*(1+G314)*(1+H314))</f>
        <v/>
      </c>
      <c r="M314" s="13">
        <f>IF(A314="","",IF(I314="angenommen","Auftrag",IF(AND(I314="offen",TODAY()&gt;B314+K314),"Bindefrist!","")))</f>
        <v/>
      </c>
    </row>
    <row r="315">
      <c r="A315" s="30" t="inlineStr"/>
      <c r="B315" s="38" t="inlineStr"/>
      <c r="C315" s="30" t="inlineStr"/>
      <c r="D315" s="30" t="inlineStr"/>
      <c r="E315" s="30" t="inlineStr"/>
      <c r="F315" s="34" t="inlineStr"/>
      <c r="G315" s="32" t="inlineStr"/>
      <c r="H315" s="32" t="inlineStr"/>
      <c r="I315" s="30" t="inlineStr"/>
      <c r="J315" s="38" t="inlineStr"/>
      <c r="K315" s="31" t="inlineStr"/>
      <c r="L315" s="15">
        <f>IF(A315="","",F315*(1+G315)*(1+H315))</f>
        <v/>
      </c>
      <c r="M315" s="13">
        <f>IF(A315="","",IF(I315="angenommen","Auftrag",IF(AND(I315="offen",TODAY()&gt;B315+K315),"Bindefrist!","")))</f>
        <v/>
      </c>
    </row>
    <row r="316">
      <c r="A316" s="30" t="inlineStr"/>
      <c r="B316" s="38" t="inlineStr"/>
      <c r="C316" s="30" t="inlineStr"/>
      <c r="D316" s="30" t="inlineStr"/>
      <c r="E316" s="30" t="inlineStr"/>
      <c r="F316" s="34" t="inlineStr"/>
      <c r="G316" s="32" t="inlineStr"/>
      <c r="H316" s="32" t="inlineStr"/>
      <c r="I316" s="30" t="inlineStr"/>
      <c r="J316" s="38" t="inlineStr"/>
      <c r="K316" s="31" t="inlineStr"/>
      <c r="L316" s="15">
        <f>IF(A316="","",F316*(1+G316)*(1+H316))</f>
        <v/>
      </c>
      <c r="M316" s="13">
        <f>IF(A316="","",IF(I316="angenommen","Auftrag",IF(AND(I316="offen",TODAY()&gt;B316+K316),"Bindefrist!","")))</f>
        <v/>
      </c>
    </row>
    <row r="317">
      <c r="A317" s="30" t="inlineStr"/>
      <c r="B317" s="38" t="inlineStr"/>
      <c r="C317" s="30" t="inlineStr"/>
      <c r="D317" s="30" t="inlineStr"/>
      <c r="E317" s="30" t="inlineStr"/>
      <c r="F317" s="34" t="inlineStr"/>
      <c r="G317" s="32" t="inlineStr"/>
      <c r="H317" s="32" t="inlineStr"/>
      <c r="I317" s="30" t="inlineStr"/>
      <c r="J317" s="38" t="inlineStr"/>
      <c r="K317" s="31" t="inlineStr"/>
      <c r="L317" s="15">
        <f>IF(A317="","",F317*(1+G317)*(1+H317))</f>
        <v/>
      </c>
      <c r="M317" s="13">
        <f>IF(A317="","",IF(I317="angenommen","Auftrag",IF(AND(I317="offen",TODAY()&gt;B317+K317),"Bindefrist!","")))</f>
        <v/>
      </c>
    </row>
    <row r="318">
      <c r="A318" s="30" t="inlineStr"/>
      <c r="B318" s="38" t="inlineStr"/>
      <c r="C318" s="30" t="inlineStr"/>
      <c r="D318" s="30" t="inlineStr"/>
      <c r="E318" s="30" t="inlineStr"/>
      <c r="F318" s="34" t="inlineStr"/>
      <c r="G318" s="32" t="inlineStr"/>
      <c r="H318" s="32" t="inlineStr"/>
      <c r="I318" s="30" t="inlineStr"/>
      <c r="J318" s="38" t="inlineStr"/>
      <c r="K318" s="31" t="inlineStr"/>
      <c r="L318" s="15">
        <f>IF(A318="","",F318*(1+G318)*(1+H318))</f>
        <v/>
      </c>
      <c r="M318" s="13">
        <f>IF(A318="","",IF(I318="angenommen","Auftrag",IF(AND(I318="offen",TODAY()&gt;B318+K318),"Bindefrist!","")))</f>
        <v/>
      </c>
    </row>
    <row r="319">
      <c r="A319" s="30" t="inlineStr"/>
      <c r="B319" s="38" t="inlineStr"/>
      <c r="C319" s="30" t="inlineStr"/>
      <c r="D319" s="30" t="inlineStr"/>
      <c r="E319" s="30" t="inlineStr"/>
      <c r="F319" s="34" t="inlineStr"/>
      <c r="G319" s="32" t="inlineStr"/>
      <c r="H319" s="32" t="inlineStr"/>
      <c r="I319" s="30" t="inlineStr"/>
      <c r="J319" s="38" t="inlineStr"/>
      <c r="K319" s="31" t="inlineStr"/>
      <c r="L319" s="15">
        <f>IF(A319="","",F319*(1+G319)*(1+H319))</f>
        <v/>
      </c>
      <c r="M319" s="13">
        <f>IF(A319="","",IF(I319="angenommen","Auftrag",IF(AND(I319="offen",TODAY()&gt;B319+K319),"Bindefrist!","")))</f>
        <v/>
      </c>
    </row>
    <row r="320">
      <c r="A320" s="30" t="inlineStr"/>
      <c r="B320" s="38" t="inlineStr"/>
      <c r="C320" s="30" t="inlineStr"/>
      <c r="D320" s="30" t="inlineStr"/>
      <c r="E320" s="30" t="inlineStr"/>
      <c r="F320" s="34" t="inlineStr"/>
      <c r="G320" s="32" t="inlineStr"/>
      <c r="H320" s="32" t="inlineStr"/>
      <c r="I320" s="30" t="inlineStr"/>
      <c r="J320" s="38" t="inlineStr"/>
      <c r="K320" s="31" t="inlineStr"/>
      <c r="L320" s="15">
        <f>IF(A320="","",F320*(1+G320)*(1+H320))</f>
        <v/>
      </c>
      <c r="M320" s="13">
        <f>IF(A320="","",IF(I320="angenommen","Auftrag",IF(AND(I320="offen",TODAY()&gt;B320+K320),"Bindefrist!","")))</f>
        <v/>
      </c>
    </row>
    <row r="321">
      <c r="A321" s="30" t="inlineStr"/>
      <c r="B321" s="38" t="inlineStr"/>
      <c r="C321" s="30" t="inlineStr"/>
      <c r="D321" s="30" t="inlineStr"/>
      <c r="E321" s="30" t="inlineStr"/>
      <c r="F321" s="34" t="inlineStr"/>
      <c r="G321" s="32" t="inlineStr"/>
      <c r="H321" s="32" t="inlineStr"/>
      <c r="I321" s="30" t="inlineStr"/>
      <c r="J321" s="38" t="inlineStr"/>
      <c r="K321" s="31" t="inlineStr"/>
      <c r="L321" s="15">
        <f>IF(A321="","",F321*(1+G321)*(1+H321))</f>
        <v/>
      </c>
      <c r="M321" s="13">
        <f>IF(A321="","",IF(I321="angenommen","Auftrag",IF(AND(I321="offen",TODAY()&gt;B321+K321),"Bindefrist!","")))</f>
        <v/>
      </c>
    </row>
    <row r="322">
      <c r="A322" s="30" t="inlineStr"/>
      <c r="B322" s="38" t="inlineStr"/>
      <c r="C322" s="30" t="inlineStr"/>
      <c r="D322" s="30" t="inlineStr"/>
      <c r="E322" s="30" t="inlineStr"/>
      <c r="F322" s="34" t="inlineStr"/>
      <c r="G322" s="32" t="inlineStr"/>
      <c r="H322" s="32" t="inlineStr"/>
      <c r="I322" s="30" t="inlineStr"/>
      <c r="J322" s="38" t="inlineStr"/>
      <c r="K322" s="31" t="inlineStr"/>
      <c r="L322" s="15">
        <f>IF(A322="","",F322*(1+G322)*(1+H322))</f>
        <v/>
      </c>
      <c r="M322" s="13">
        <f>IF(A322="","",IF(I322="angenommen","Auftrag",IF(AND(I322="offen",TODAY()&gt;B322+K322),"Bindefrist!","")))</f>
        <v/>
      </c>
    </row>
    <row r="323">
      <c r="A323" s="30" t="inlineStr"/>
      <c r="B323" s="38" t="inlineStr"/>
      <c r="C323" s="30" t="inlineStr"/>
      <c r="D323" s="30" t="inlineStr"/>
      <c r="E323" s="30" t="inlineStr"/>
      <c r="F323" s="34" t="inlineStr"/>
      <c r="G323" s="32" t="inlineStr"/>
      <c r="H323" s="32" t="inlineStr"/>
      <c r="I323" s="30" t="inlineStr"/>
      <c r="J323" s="38" t="inlineStr"/>
      <c r="K323" s="31" t="inlineStr"/>
      <c r="L323" s="15">
        <f>IF(A323="","",F323*(1+G323)*(1+H323))</f>
        <v/>
      </c>
      <c r="M323" s="13">
        <f>IF(A323="","",IF(I323="angenommen","Auftrag",IF(AND(I323="offen",TODAY()&gt;B323+K323),"Bindefrist!","")))</f>
        <v/>
      </c>
    </row>
    <row r="324">
      <c r="A324" s="30" t="inlineStr"/>
      <c r="B324" s="38" t="inlineStr"/>
      <c r="C324" s="30" t="inlineStr"/>
      <c r="D324" s="30" t="inlineStr"/>
      <c r="E324" s="30" t="inlineStr"/>
      <c r="F324" s="34" t="inlineStr"/>
      <c r="G324" s="32" t="inlineStr"/>
      <c r="H324" s="32" t="inlineStr"/>
      <c r="I324" s="30" t="inlineStr"/>
      <c r="J324" s="38" t="inlineStr"/>
      <c r="K324" s="31" t="inlineStr"/>
      <c r="L324" s="15">
        <f>IF(A324="","",F324*(1+G324)*(1+H324))</f>
        <v/>
      </c>
      <c r="M324" s="13">
        <f>IF(A324="","",IF(I324="angenommen","Auftrag",IF(AND(I324="offen",TODAY()&gt;B324+K324),"Bindefrist!","")))</f>
        <v/>
      </c>
    </row>
    <row r="325">
      <c r="A325" s="30" t="inlineStr"/>
      <c r="B325" s="38" t="inlineStr"/>
      <c r="C325" s="30" t="inlineStr"/>
      <c r="D325" s="30" t="inlineStr"/>
      <c r="E325" s="30" t="inlineStr"/>
      <c r="F325" s="34" t="inlineStr"/>
      <c r="G325" s="32" t="inlineStr"/>
      <c r="H325" s="32" t="inlineStr"/>
      <c r="I325" s="30" t="inlineStr"/>
      <c r="J325" s="38" t="inlineStr"/>
      <c r="K325" s="31" t="inlineStr"/>
      <c r="L325" s="15">
        <f>IF(A325="","",F325*(1+G325)*(1+H325))</f>
        <v/>
      </c>
      <c r="M325" s="13">
        <f>IF(A325="","",IF(I325="angenommen","Auftrag",IF(AND(I325="offen",TODAY()&gt;B325+K325),"Bindefrist!","")))</f>
        <v/>
      </c>
    </row>
    <row r="326">
      <c r="A326" s="30" t="inlineStr"/>
      <c r="B326" s="38" t="inlineStr"/>
      <c r="C326" s="30" t="inlineStr"/>
      <c r="D326" s="30" t="inlineStr"/>
      <c r="E326" s="30" t="inlineStr"/>
      <c r="F326" s="34" t="inlineStr"/>
      <c r="G326" s="32" t="inlineStr"/>
      <c r="H326" s="32" t="inlineStr"/>
      <c r="I326" s="30" t="inlineStr"/>
      <c r="J326" s="38" t="inlineStr"/>
      <c r="K326" s="31" t="inlineStr"/>
      <c r="L326" s="15">
        <f>IF(A326="","",F326*(1+G326)*(1+H326))</f>
        <v/>
      </c>
      <c r="M326" s="13">
        <f>IF(A326="","",IF(I326="angenommen","Auftrag",IF(AND(I326="offen",TODAY()&gt;B326+K326),"Bindefrist!","")))</f>
        <v/>
      </c>
    </row>
    <row r="327">
      <c r="A327" s="30" t="inlineStr"/>
      <c r="B327" s="38" t="inlineStr"/>
      <c r="C327" s="30" t="inlineStr"/>
      <c r="D327" s="30" t="inlineStr"/>
      <c r="E327" s="30" t="inlineStr"/>
      <c r="F327" s="34" t="inlineStr"/>
      <c r="G327" s="32" t="inlineStr"/>
      <c r="H327" s="32" t="inlineStr"/>
      <c r="I327" s="30" t="inlineStr"/>
      <c r="J327" s="38" t="inlineStr"/>
      <c r="K327" s="31" t="inlineStr"/>
      <c r="L327" s="15">
        <f>IF(A327="","",F327*(1+G327)*(1+H327))</f>
        <v/>
      </c>
      <c r="M327" s="13">
        <f>IF(A327="","",IF(I327="angenommen","Auftrag",IF(AND(I327="offen",TODAY()&gt;B327+K327),"Bindefrist!","")))</f>
        <v/>
      </c>
    </row>
    <row r="328">
      <c r="A328" s="30" t="inlineStr"/>
      <c r="B328" s="38" t="inlineStr"/>
      <c r="C328" s="30" t="inlineStr"/>
      <c r="D328" s="30" t="inlineStr"/>
      <c r="E328" s="30" t="inlineStr"/>
      <c r="F328" s="34" t="inlineStr"/>
      <c r="G328" s="32" t="inlineStr"/>
      <c r="H328" s="32" t="inlineStr"/>
      <c r="I328" s="30" t="inlineStr"/>
      <c r="J328" s="38" t="inlineStr"/>
      <c r="K328" s="31" t="inlineStr"/>
      <c r="L328" s="15">
        <f>IF(A328="","",F328*(1+G328)*(1+H328))</f>
        <v/>
      </c>
      <c r="M328" s="13">
        <f>IF(A328="","",IF(I328="angenommen","Auftrag",IF(AND(I328="offen",TODAY()&gt;B328+K328),"Bindefrist!","")))</f>
        <v/>
      </c>
    </row>
    <row r="329">
      <c r="A329" s="30" t="inlineStr"/>
      <c r="B329" s="38" t="inlineStr"/>
      <c r="C329" s="30" t="inlineStr"/>
      <c r="D329" s="30" t="inlineStr"/>
      <c r="E329" s="30" t="inlineStr"/>
      <c r="F329" s="34" t="inlineStr"/>
      <c r="G329" s="32" t="inlineStr"/>
      <c r="H329" s="32" t="inlineStr"/>
      <c r="I329" s="30" t="inlineStr"/>
      <c r="J329" s="38" t="inlineStr"/>
      <c r="K329" s="31" t="inlineStr"/>
      <c r="L329" s="15">
        <f>IF(A329="","",F329*(1+G329)*(1+H329))</f>
        <v/>
      </c>
      <c r="M329" s="13">
        <f>IF(A329="","",IF(I329="angenommen","Auftrag",IF(AND(I329="offen",TODAY()&gt;B329+K329),"Bindefrist!","")))</f>
        <v/>
      </c>
    </row>
    <row r="330">
      <c r="A330" s="30" t="inlineStr"/>
      <c r="B330" s="38" t="inlineStr"/>
      <c r="C330" s="30" t="inlineStr"/>
      <c r="D330" s="30" t="inlineStr"/>
      <c r="E330" s="30" t="inlineStr"/>
      <c r="F330" s="34" t="inlineStr"/>
      <c r="G330" s="32" t="inlineStr"/>
      <c r="H330" s="32" t="inlineStr"/>
      <c r="I330" s="30" t="inlineStr"/>
      <c r="J330" s="38" t="inlineStr"/>
      <c r="K330" s="31" t="inlineStr"/>
      <c r="L330" s="15">
        <f>IF(A330="","",F330*(1+G330)*(1+H330))</f>
        <v/>
      </c>
      <c r="M330" s="13">
        <f>IF(A330="","",IF(I330="angenommen","Auftrag",IF(AND(I330="offen",TODAY()&gt;B330+K330),"Bindefrist!","")))</f>
        <v/>
      </c>
    </row>
    <row r="331">
      <c r="A331" s="30" t="inlineStr"/>
      <c r="B331" s="38" t="inlineStr"/>
      <c r="C331" s="30" t="inlineStr"/>
      <c r="D331" s="30" t="inlineStr"/>
      <c r="E331" s="30" t="inlineStr"/>
      <c r="F331" s="34" t="inlineStr"/>
      <c r="G331" s="32" t="inlineStr"/>
      <c r="H331" s="32" t="inlineStr"/>
      <c r="I331" s="30" t="inlineStr"/>
      <c r="J331" s="38" t="inlineStr"/>
      <c r="K331" s="31" t="inlineStr"/>
      <c r="L331" s="15">
        <f>IF(A331="","",F331*(1+G331)*(1+H331))</f>
        <v/>
      </c>
      <c r="M331" s="13">
        <f>IF(A331="","",IF(I331="angenommen","Auftrag",IF(AND(I331="offen",TODAY()&gt;B331+K331),"Bindefrist!","")))</f>
        <v/>
      </c>
    </row>
    <row r="332">
      <c r="A332" s="30" t="inlineStr"/>
      <c r="B332" s="38" t="inlineStr"/>
      <c r="C332" s="30" t="inlineStr"/>
      <c r="D332" s="30" t="inlineStr"/>
      <c r="E332" s="30" t="inlineStr"/>
      <c r="F332" s="34" t="inlineStr"/>
      <c r="G332" s="32" t="inlineStr"/>
      <c r="H332" s="32" t="inlineStr"/>
      <c r="I332" s="30" t="inlineStr"/>
      <c r="J332" s="38" t="inlineStr"/>
      <c r="K332" s="31" t="inlineStr"/>
      <c r="L332" s="15">
        <f>IF(A332="","",F332*(1+G332)*(1+H332))</f>
        <v/>
      </c>
      <c r="M332" s="13">
        <f>IF(A332="","",IF(I332="angenommen","Auftrag",IF(AND(I332="offen",TODAY()&gt;B332+K332),"Bindefrist!","")))</f>
        <v/>
      </c>
    </row>
    <row r="333">
      <c r="A333" s="30" t="inlineStr"/>
      <c r="B333" s="38" t="inlineStr"/>
      <c r="C333" s="30" t="inlineStr"/>
      <c r="D333" s="30" t="inlineStr"/>
      <c r="E333" s="30" t="inlineStr"/>
      <c r="F333" s="34" t="inlineStr"/>
      <c r="G333" s="32" t="inlineStr"/>
      <c r="H333" s="32" t="inlineStr"/>
      <c r="I333" s="30" t="inlineStr"/>
      <c r="J333" s="38" t="inlineStr"/>
      <c r="K333" s="31" t="inlineStr"/>
      <c r="L333" s="15">
        <f>IF(A333="","",F333*(1+G333)*(1+H333))</f>
        <v/>
      </c>
      <c r="M333" s="13">
        <f>IF(A333="","",IF(I333="angenommen","Auftrag",IF(AND(I333="offen",TODAY()&gt;B333+K333),"Bindefrist!","")))</f>
        <v/>
      </c>
    </row>
    <row r="334">
      <c r="A334" s="30" t="inlineStr"/>
      <c r="B334" s="38" t="inlineStr"/>
      <c r="C334" s="30" t="inlineStr"/>
      <c r="D334" s="30" t="inlineStr"/>
      <c r="E334" s="30" t="inlineStr"/>
      <c r="F334" s="34" t="inlineStr"/>
      <c r="G334" s="32" t="inlineStr"/>
      <c r="H334" s="32" t="inlineStr"/>
      <c r="I334" s="30" t="inlineStr"/>
      <c r="J334" s="38" t="inlineStr"/>
      <c r="K334" s="31" t="inlineStr"/>
      <c r="L334" s="15">
        <f>IF(A334="","",F334*(1+G334)*(1+H334))</f>
        <v/>
      </c>
      <c r="M334" s="13">
        <f>IF(A334="","",IF(I334="angenommen","Auftrag",IF(AND(I334="offen",TODAY()&gt;B334+K334),"Bindefrist!","")))</f>
        <v/>
      </c>
    </row>
    <row r="335">
      <c r="A335" s="30" t="inlineStr"/>
      <c r="B335" s="38" t="inlineStr"/>
      <c r="C335" s="30" t="inlineStr"/>
      <c r="D335" s="30" t="inlineStr"/>
      <c r="E335" s="30" t="inlineStr"/>
      <c r="F335" s="34" t="inlineStr"/>
      <c r="G335" s="32" t="inlineStr"/>
      <c r="H335" s="32" t="inlineStr"/>
      <c r="I335" s="30" t="inlineStr"/>
      <c r="J335" s="38" t="inlineStr"/>
      <c r="K335" s="31" t="inlineStr"/>
      <c r="L335" s="15">
        <f>IF(A335="","",F335*(1+G335)*(1+H335))</f>
        <v/>
      </c>
      <c r="M335" s="13">
        <f>IF(A335="","",IF(I335="angenommen","Auftrag",IF(AND(I335="offen",TODAY()&gt;B335+K335),"Bindefrist!","")))</f>
        <v/>
      </c>
    </row>
    <row r="336">
      <c r="A336" s="30" t="inlineStr"/>
      <c r="B336" s="38" t="inlineStr"/>
      <c r="C336" s="30" t="inlineStr"/>
      <c r="D336" s="30" t="inlineStr"/>
      <c r="E336" s="30" t="inlineStr"/>
      <c r="F336" s="34" t="inlineStr"/>
      <c r="G336" s="32" t="inlineStr"/>
      <c r="H336" s="32" t="inlineStr"/>
      <c r="I336" s="30" t="inlineStr"/>
      <c r="J336" s="38" t="inlineStr"/>
      <c r="K336" s="31" t="inlineStr"/>
      <c r="L336" s="15">
        <f>IF(A336="","",F336*(1+G336)*(1+H336))</f>
        <v/>
      </c>
      <c r="M336" s="13">
        <f>IF(A336="","",IF(I336="angenommen","Auftrag",IF(AND(I336="offen",TODAY()&gt;B336+K336),"Bindefrist!","")))</f>
        <v/>
      </c>
    </row>
    <row r="337">
      <c r="A337" s="30" t="inlineStr"/>
      <c r="B337" s="38" t="inlineStr"/>
      <c r="C337" s="30" t="inlineStr"/>
      <c r="D337" s="30" t="inlineStr"/>
      <c r="E337" s="30" t="inlineStr"/>
      <c r="F337" s="34" t="inlineStr"/>
      <c r="G337" s="32" t="inlineStr"/>
      <c r="H337" s="32" t="inlineStr"/>
      <c r="I337" s="30" t="inlineStr"/>
      <c r="J337" s="38" t="inlineStr"/>
      <c r="K337" s="31" t="inlineStr"/>
      <c r="L337" s="15">
        <f>IF(A337="","",F337*(1+G337)*(1+H337))</f>
        <v/>
      </c>
      <c r="M337" s="13">
        <f>IF(A337="","",IF(I337="angenommen","Auftrag",IF(AND(I337="offen",TODAY()&gt;B337+K337),"Bindefrist!","")))</f>
        <v/>
      </c>
    </row>
    <row r="338">
      <c r="A338" s="30" t="inlineStr"/>
      <c r="B338" s="38" t="inlineStr"/>
      <c r="C338" s="30" t="inlineStr"/>
      <c r="D338" s="30" t="inlineStr"/>
      <c r="E338" s="30" t="inlineStr"/>
      <c r="F338" s="34" t="inlineStr"/>
      <c r="G338" s="32" t="inlineStr"/>
      <c r="H338" s="32" t="inlineStr"/>
      <c r="I338" s="30" t="inlineStr"/>
      <c r="J338" s="38" t="inlineStr"/>
      <c r="K338" s="31" t="inlineStr"/>
      <c r="L338" s="15">
        <f>IF(A338="","",F338*(1+G338)*(1+H338))</f>
        <v/>
      </c>
      <c r="M338" s="13">
        <f>IF(A338="","",IF(I338="angenommen","Auftrag",IF(AND(I338="offen",TODAY()&gt;B338+K338),"Bindefrist!","")))</f>
        <v/>
      </c>
    </row>
    <row r="339">
      <c r="A339" s="30" t="inlineStr"/>
      <c r="B339" s="38" t="inlineStr"/>
      <c r="C339" s="30" t="inlineStr"/>
      <c r="D339" s="30" t="inlineStr"/>
      <c r="E339" s="30" t="inlineStr"/>
      <c r="F339" s="34" t="inlineStr"/>
      <c r="G339" s="32" t="inlineStr"/>
      <c r="H339" s="32" t="inlineStr"/>
      <c r="I339" s="30" t="inlineStr"/>
      <c r="J339" s="38" t="inlineStr"/>
      <c r="K339" s="31" t="inlineStr"/>
      <c r="L339" s="15">
        <f>IF(A339="","",F339*(1+G339)*(1+H339))</f>
        <v/>
      </c>
      <c r="M339" s="13">
        <f>IF(A339="","",IF(I339="angenommen","Auftrag",IF(AND(I339="offen",TODAY()&gt;B339+K339),"Bindefrist!","")))</f>
        <v/>
      </c>
    </row>
    <row r="340">
      <c r="A340" s="30" t="inlineStr"/>
      <c r="B340" s="38" t="inlineStr"/>
      <c r="C340" s="30" t="inlineStr"/>
      <c r="D340" s="30" t="inlineStr"/>
      <c r="E340" s="30" t="inlineStr"/>
      <c r="F340" s="34" t="inlineStr"/>
      <c r="G340" s="32" t="inlineStr"/>
      <c r="H340" s="32" t="inlineStr"/>
      <c r="I340" s="30" t="inlineStr"/>
      <c r="J340" s="38" t="inlineStr"/>
      <c r="K340" s="31" t="inlineStr"/>
      <c r="L340" s="15">
        <f>IF(A340="","",F340*(1+G340)*(1+H340))</f>
        <v/>
      </c>
      <c r="M340" s="13">
        <f>IF(A340="","",IF(I340="angenommen","Auftrag",IF(AND(I340="offen",TODAY()&gt;B340+K340),"Bindefrist!","")))</f>
        <v/>
      </c>
    </row>
    <row r="341">
      <c r="A341" s="30" t="inlineStr"/>
      <c r="B341" s="38" t="inlineStr"/>
      <c r="C341" s="30" t="inlineStr"/>
      <c r="D341" s="30" t="inlineStr"/>
      <c r="E341" s="30" t="inlineStr"/>
      <c r="F341" s="34" t="inlineStr"/>
      <c r="G341" s="32" t="inlineStr"/>
      <c r="H341" s="32" t="inlineStr"/>
      <c r="I341" s="30" t="inlineStr"/>
      <c r="J341" s="38" t="inlineStr"/>
      <c r="K341" s="31" t="inlineStr"/>
      <c r="L341" s="15">
        <f>IF(A341="","",F341*(1+G341)*(1+H341))</f>
        <v/>
      </c>
      <c r="M341" s="13">
        <f>IF(A341="","",IF(I341="angenommen","Auftrag",IF(AND(I341="offen",TODAY()&gt;B341+K341),"Bindefrist!","")))</f>
        <v/>
      </c>
    </row>
    <row r="342">
      <c r="A342" s="30" t="inlineStr"/>
      <c r="B342" s="38" t="inlineStr"/>
      <c r="C342" s="30" t="inlineStr"/>
      <c r="D342" s="30" t="inlineStr"/>
      <c r="E342" s="30" t="inlineStr"/>
      <c r="F342" s="34" t="inlineStr"/>
      <c r="G342" s="32" t="inlineStr"/>
      <c r="H342" s="32" t="inlineStr"/>
      <c r="I342" s="30" t="inlineStr"/>
      <c r="J342" s="38" t="inlineStr"/>
      <c r="K342" s="31" t="inlineStr"/>
      <c r="L342" s="15">
        <f>IF(A342="","",F342*(1+G342)*(1+H342))</f>
        <v/>
      </c>
      <c r="M342" s="13">
        <f>IF(A342="","",IF(I342="angenommen","Auftrag",IF(AND(I342="offen",TODAY()&gt;B342+K342),"Bindefrist!","")))</f>
        <v/>
      </c>
    </row>
    <row r="343">
      <c r="A343" s="30" t="inlineStr"/>
      <c r="B343" s="38" t="inlineStr"/>
      <c r="C343" s="30" t="inlineStr"/>
      <c r="D343" s="30" t="inlineStr"/>
      <c r="E343" s="30" t="inlineStr"/>
      <c r="F343" s="34" t="inlineStr"/>
      <c r="G343" s="32" t="inlineStr"/>
      <c r="H343" s="32" t="inlineStr"/>
      <c r="I343" s="30" t="inlineStr"/>
      <c r="J343" s="38" t="inlineStr"/>
      <c r="K343" s="31" t="inlineStr"/>
      <c r="L343" s="15">
        <f>IF(A343="","",F343*(1+G343)*(1+H343))</f>
        <v/>
      </c>
      <c r="M343" s="13">
        <f>IF(A343="","",IF(I343="angenommen","Auftrag",IF(AND(I343="offen",TODAY()&gt;B343+K343),"Bindefrist!","")))</f>
        <v/>
      </c>
    </row>
    <row r="344">
      <c r="A344" s="30" t="inlineStr"/>
      <c r="B344" s="38" t="inlineStr"/>
      <c r="C344" s="30" t="inlineStr"/>
      <c r="D344" s="30" t="inlineStr"/>
      <c r="E344" s="30" t="inlineStr"/>
      <c r="F344" s="34" t="inlineStr"/>
      <c r="G344" s="32" t="inlineStr"/>
      <c r="H344" s="32" t="inlineStr"/>
      <c r="I344" s="30" t="inlineStr"/>
      <c r="J344" s="38" t="inlineStr"/>
      <c r="K344" s="31" t="inlineStr"/>
      <c r="L344" s="15">
        <f>IF(A344="","",F344*(1+G344)*(1+H344))</f>
        <v/>
      </c>
      <c r="M344" s="13">
        <f>IF(A344="","",IF(I344="angenommen","Auftrag",IF(AND(I344="offen",TODAY()&gt;B344+K344),"Bindefrist!","")))</f>
        <v/>
      </c>
    </row>
    <row r="345">
      <c r="A345" s="30" t="inlineStr"/>
      <c r="B345" s="38" t="inlineStr"/>
      <c r="C345" s="30" t="inlineStr"/>
      <c r="D345" s="30" t="inlineStr"/>
      <c r="E345" s="30" t="inlineStr"/>
      <c r="F345" s="34" t="inlineStr"/>
      <c r="G345" s="32" t="inlineStr"/>
      <c r="H345" s="32" t="inlineStr"/>
      <c r="I345" s="30" t="inlineStr"/>
      <c r="J345" s="38" t="inlineStr"/>
      <c r="K345" s="31" t="inlineStr"/>
      <c r="L345" s="15">
        <f>IF(A345="","",F345*(1+G345)*(1+H345))</f>
        <v/>
      </c>
      <c r="M345" s="13">
        <f>IF(A345="","",IF(I345="angenommen","Auftrag",IF(AND(I345="offen",TODAY()&gt;B345+K345),"Bindefrist!","")))</f>
        <v/>
      </c>
    </row>
    <row r="346">
      <c r="A346" s="30" t="inlineStr"/>
      <c r="B346" s="38" t="inlineStr"/>
      <c r="C346" s="30" t="inlineStr"/>
      <c r="D346" s="30" t="inlineStr"/>
      <c r="E346" s="30" t="inlineStr"/>
      <c r="F346" s="34" t="inlineStr"/>
      <c r="G346" s="32" t="inlineStr"/>
      <c r="H346" s="32" t="inlineStr"/>
      <c r="I346" s="30" t="inlineStr"/>
      <c r="J346" s="38" t="inlineStr"/>
      <c r="K346" s="31" t="inlineStr"/>
      <c r="L346" s="15">
        <f>IF(A346="","",F346*(1+G346)*(1+H346))</f>
        <v/>
      </c>
      <c r="M346" s="13">
        <f>IF(A346="","",IF(I346="angenommen","Auftrag",IF(AND(I346="offen",TODAY()&gt;B346+K346),"Bindefrist!","")))</f>
        <v/>
      </c>
    </row>
    <row r="347">
      <c r="A347" s="30" t="inlineStr"/>
      <c r="B347" s="38" t="inlineStr"/>
      <c r="C347" s="30" t="inlineStr"/>
      <c r="D347" s="30" t="inlineStr"/>
      <c r="E347" s="30" t="inlineStr"/>
      <c r="F347" s="34" t="inlineStr"/>
      <c r="G347" s="32" t="inlineStr"/>
      <c r="H347" s="32" t="inlineStr"/>
      <c r="I347" s="30" t="inlineStr"/>
      <c r="J347" s="38" t="inlineStr"/>
      <c r="K347" s="31" t="inlineStr"/>
      <c r="L347" s="15">
        <f>IF(A347="","",F347*(1+G347)*(1+H347))</f>
        <v/>
      </c>
      <c r="M347" s="13">
        <f>IF(A347="","",IF(I347="angenommen","Auftrag",IF(AND(I347="offen",TODAY()&gt;B347+K347),"Bindefrist!","")))</f>
        <v/>
      </c>
    </row>
    <row r="348">
      <c r="A348" s="30" t="inlineStr"/>
      <c r="B348" s="38" t="inlineStr"/>
      <c r="C348" s="30" t="inlineStr"/>
      <c r="D348" s="30" t="inlineStr"/>
      <c r="E348" s="30" t="inlineStr"/>
      <c r="F348" s="34" t="inlineStr"/>
      <c r="G348" s="32" t="inlineStr"/>
      <c r="H348" s="32" t="inlineStr"/>
      <c r="I348" s="30" t="inlineStr"/>
      <c r="J348" s="38" t="inlineStr"/>
      <c r="K348" s="31" t="inlineStr"/>
      <c r="L348" s="15">
        <f>IF(A348="","",F348*(1+G348)*(1+H348))</f>
        <v/>
      </c>
      <c r="M348" s="13">
        <f>IF(A348="","",IF(I348="angenommen","Auftrag",IF(AND(I348="offen",TODAY()&gt;B348+K348),"Bindefrist!","")))</f>
        <v/>
      </c>
    </row>
    <row r="349">
      <c r="A349" s="30" t="inlineStr"/>
      <c r="B349" s="38" t="inlineStr"/>
      <c r="C349" s="30" t="inlineStr"/>
      <c r="D349" s="30" t="inlineStr"/>
      <c r="E349" s="30" t="inlineStr"/>
      <c r="F349" s="34" t="inlineStr"/>
      <c r="G349" s="32" t="inlineStr"/>
      <c r="H349" s="32" t="inlineStr"/>
      <c r="I349" s="30" t="inlineStr"/>
      <c r="J349" s="38" t="inlineStr"/>
      <c r="K349" s="31" t="inlineStr"/>
      <c r="L349" s="15">
        <f>IF(A349="","",F349*(1+G349)*(1+H349))</f>
        <v/>
      </c>
      <c r="M349" s="13">
        <f>IF(A349="","",IF(I349="angenommen","Auftrag",IF(AND(I349="offen",TODAY()&gt;B349+K349),"Bindefrist!","")))</f>
        <v/>
      </c>
    </row>
    <row r="350">
      <c r="A350" s="30" t="inlineStr"/>
      <c r="B350" s="38" t="inlineStr"/>
      <c r="C350" s="30" t="inlineStr"/>
      <c r="D350" s="30" t="inlineStr"/>
      <c r="E350" s="30" t="inlineStr"/>
      <c r="F350" s="34" t="inlineStr"/>
      <c r="G350" s="32" t="inlineStr"/>
      <c r="H350" s="32" t="inlineStr"/>
      <c r="I350" s="30" t="inlineStr"/>
      <c r="J350" s="38" t="inlineStr"/>
      <c r="K350" s="31" t="inlineStr"/>
      <c r="L350" s="15">
        <f>IF(A350="","",F350*(1+G350)*(1+H350))</f>
        <v/>
      </c>
      <c r="M350" s="13">
        <f>IF(A350="","",IF(I350="angenommen","Auftrag",IF(AND(I350="offen",TODAY()&gt;B350+K350),"Bindefrist!","")))</f>
        <v/>
      </c>
    </row>
    <row r="351">
      <c r="A351" s="30" t="inlineStr"/>
      <c r="B351" s="38" t="inlineStr"/>
      <c r="C351" s="30" t="inlineStr"/>
      <c r="D351" s="30" t="inlineStr"/>
      <c r="E351" s="30" t="inlineStr"/>
      <c r="F351" s="34" t="inlineStr"/>
      <c r="G351" s="32" t="inlineStr"/>
      <c r="H351" s="32" t="inlineStr"/>
      <c r="I351" s="30" t="inlineStr"/>
      <c r="J351" s="38" t="inlineStr"/>
      <c r="K351" s="31" t="inlineStr"/>
      <c r="L351" s="15">
        <f>IF(A351="","",F351*(1+G351)*(1+H351))</f>
        <v/>
      </c>
      <c r="M351" s="13">
        <f>IF(A351="","",IF(I351="angenommen","Auftrag",IF(AND(I351="offen",TODAY()&gt;B351+K351),"Bindefrist!","")))</f>
        <v/>
      </c>
    </row>
    <row r="352">
      <c r="A352" s="30" t="inlineStr"/>
      <c r="B352" s="38" t="inlineStr"/>
      <c r="C352" s="30" t="inlineStr"/>
      <c r="D352" s="30" t="inlineStr"/>
      <c r="E352" s="30" t="inlineStr"/>
      <c r="F352" s="34" t="inlineStr"/>
      <c r="G352" s="32" t="inlineStr"/>
      <c r="H352" s="32" t="inlineStr"/>
      <c r="I352" s="30" t="inlineStr"/>
      <c r="J352" s="38" t="inlineStr"/>
      <c r="K352" s="31" t="inlineStr"/>
      <c r="L352" s="15">
        <f>IF(A352="","",F352*(1+G352)*(1+H352))</f>
        <v/>
      </c>
      <c r="M352" s="13">
        <f>IF(A352="","",IF(I352="angenommen","Auftrag",IF(AND(I352="offen",TODAY()&gt;B352+K352),"Bindefrist!","")))</f>
        <v/>
      </c>
    </row>
    <row r="353">
      <c r="A353" s="30" t="inlineStr"/>
      <c r="B353" s="38" t="inlineStr"/>
      <c r="C353" s="30" t="inlineStr"/>
      <c r="D353" s="30" t="inlineStr"/>
      <c r="E353" s="30" t="inlineStr"/>
      <c r="F353" s="34" t="inlineStr"/>
      <c r="G353" s="32" t="inlineStr"/>
      <c r="H353" s="32" t="inlineStr"/>
      <c r="I353" s="30" t="inlineStr"/>
      <c r="J353" s="38" t="inlineStr"/>
      <c r="K353" s="31" t="inlineStr"/>
      <c r="L353" s="15">
        <f>IF(A353="","",F353*(1+G353)*(1+H353))</f>
        <v/>
      </c>
      <c r="M353" s="13">
        <f>IF(A353="","",IF(I353="angenommen","Auftrag",IF(AND(I353="offen",TODAY()&gt;B353+K353),"Bindefrist!","")))</f>
        <v/>
      </c>
    </row>
    <row r="354">
      <c r="A354" s="30" t="inlineStr"/>
      <c r="B354" s="38" t="inlineStr"/>
      <c r="C354" s="30" t="inlineStr"/>
      <c r="D354" s="30" t="inlineStr"/>
      <c r="E354" s="30" t="inlineStr"/>
      <c r="F354" s="34" t="inlineStr"/>
      <c r="G354" s="32" t="inlineStr"/>
      <c r="H354" s="32" t="inlineStr"/>
      <c r="I354" s="30" t="inlineStr"/>
      <c r="J354" s="38" t="inlineStr"/>
      <c r="K354" s="31" t="inlineStr"/>
      <c r="L354" s="15">
        <f>IF(A354="","",F354*(1+G354)*(1+H354))</f>
        <v/>
      </c>
      <c r="M354" s="13">
        <f>IF(A354="","",IF(I354="angenommen","Auftrag",IF(AND(I354="offen",TODAY()&gt;B354+K354),"Bindefrist!","")))</f>
        <v/>
      </c>
    </row>
    <row r="355">
      <c r="A355" s="30" t="inlineStr"/>
      <c r="B355" s="38" t="inlineStr"/>
      <c r="C355" s="30" t="inlineStr"/>
      <c r="D355" s="30" t="inlineStr"/>
      <c r="E355" s="30" t="inlineStr"/>
      <c r="F355" s="34" t="inlineStr"/>
      <c r="G355" s="32" t="inlineStr"/>
      <c r="H355" s="32" t="inlineStr"/>
      <c r="I355" s="30" t="inlineStr"/>
      <c r="J355" s="38" t="inlineStr"/>
      <c r="K355" s="31" t="inlineStr"/>
      <c r="L355" s="15">
        <f>IF(A355="","",F355*(1+G355)*(1+H355))</f>
        <v/>
      </c>
      <c r="M355" s="13">
        <f>IF(A355="","",IF(I355="angenommen","Auftrag",IF(AND(I355="offen",TODAY()&gt;B355+K355),"Bindefrist!","")))</f>
        <v/>
      </c>
    </row>
    <row r="356">
      <c r="A356" s="30" t="inlineStr"/>
      <c r="B356" s="38" t="inlineStr"/>
      <c r="C356" s="30" t="inlineStr"/>
      <c r="D356" s="30" t="inlineStr"/>
      <c r="E356" s="30" t="inlineStr"/>
      <c r="F356" s="34" t="inlineStr"/>
      <c r="G356" s="32" t="inlineStr"/>
      <c r="H356" s="32" t="inlineStr"/>
      <c r="I356" s="30" t="inlineStr"/>
      <c r="J356" s="38" t="inlineStr"/>
      <c r="K356" s="31" t="inlineStr"/>
      <c r="L356" s="15">
        <f>IF(A356="","",F356*(1+G356)*(1+H356))</f>
        <v/>
      </c>
      <c r="M356" s="13">
        <f>IF(A356="","",IF(I356="angenommen","Auftrag",IF(AND(I356="offen",TODAY()&gt;B356+K356),"Bindefrist!","")))</f>
        <v/>
      </c>
    </row>
    <row r="357">
      <c r="A357" s="30" t="inlineStr"/>
      <c r="B357" s="38" t="inlineStr"/>
      <c r="C357" s="30" t="inlineStr"/>
      <c r="D357" s="30" t="inlineStr"/>
      <c r="E357" s="30" t="inlineStr"/>
      <c r="F357" s="34" t="inlineStr"/>
      <c r="G357" s="32" t="inlineStr"/>
      <c r="H357" s="32" t="inlineStr"/>
      <c r="I357" s="30" t="inlineStr"/>
      <c r="J357" s="38" t="inlineStr"/>
      <c r="K357" s="31" t="inlineStr"/>
      <c r="L357" s="15">
        <f>IF(A357="","",F357*(1+G357)*(1+H357))</f>
        <v/>
      </c>
      <c r="M357" s="13">
        <f>IF(A357="","",IF(I357="angenommen","Auftrag",IF(AND(I357="offen",TODAY()&gt;B357+K357),"Bindefrist!","")))</f>
        <v/>
      </c>
    </row>
    <row r="358">
      <c r="A358" s="30" t="inlineStr"/>
      <c r="B358" s="38" t="inlineStr"/>
      <c r="C358" s="30" t="inlineStr"/>
      <c r="D358" s="30" t="inlineStr"/>
      <c r="E358" s="30" t="inlineStr"/>
      <c r="F358" s="34" t="inlineStr"/>
      <c r="G358" s="32" t="inlineStr"/>
      <c r="H358" s="32" t="inlineStr"/>
      <c r="I358" s="30" t="inlineStr"/>
      <c r="J358" s="38" t="inlineStr"/>
      <c r="K358" s="31" t="inlineStr"/>
      <c r="L358" s="15">
        <f>IF(A358="","",F358*(1+G358)*(1+H358))</f>
        <v/>
      </c>
      <c r="M358" s="13">
        <f>IF(A358="","",IF(I358="angenommen","Auftrag",IF(AND(I358="offen",TODAY()&gt;B358+K358),"Bindefrist!","")))</f>
        <v/>
      </c>
    </row>
    <row r="359">
      <c r="A359" s="30" t="inlineStr"/>
      <c r="B359" s="38" t="inlineStr"/>
      <c r="C359" s="30" t="inlineStr"/>
      <c r="D359" s="30" t="inlineStr"/>
      <c r="E359" s="30" t="inlineStr"/>
      <c r="F359" s="34" t="inlineStr"/>
      <c r="G359" s="32" t="inlineStr"/>
      <c r="H359" s="32" t="inlineStr"/>
      <c r="I359" s="30" t="inlineStr"/>
      <c r="J359" s="38" t="inlineStr"/>
      <c r="K359" s="31" t="inlineStr"/>
      <c r="L359" s="15">
        <f>IF(A359="","",F359*(1+G359)*(1+H359))</f>
        <v/>
      </c>
      <c r="M359" s="13">
        <f>IF(A359="","",IF(I359="angenommen","Auftrag",IF(AND(I359="offen",TODAY()&gt;B359+K359),"Bindefrist!","")))</f>
        <v/>
      </c>
    </row>
    <row r="360">
      <c r="A360" s="30" t="inlineStr"/>
      <c r="B360" s="38" t="inlineStr"/>
      <c r="C360" s="30" t="inlineStr"/>
      <c r="D360" s="30" t="inlineStr"/>
      <c r="E360" s="30" t="inlineStr"/>
      <c r="F360" s="34" t="inlineStr"/>
      <c r="G360" s="32" t="inlineStr"/>
      <c r="H360" s="32" t="inlineStr"/>
      <c r="I360" s="30" t="inlineStr"/>
      <c r="J360" s="38" t="inlineStr"/>
      <c r="K360" s="31" t="inlineStr"/>
      <c r="L360" s="15">
        <f>IF(A360="","",F360*(1+G360)*(1+H360))</f>
        <v/>
      </c>
      <c r="M360" s="13">
        <f>IF(A360="","",IF(I360="angenommen","Auftrag",IF(AND(I360="offen",TODAY()&gt;B360+K360),"Bindefrist!","")))</f>
        <v/>
      </c>
    </row>
    <row r="361">
      <c r="A361" s="30" t="inlineStr"/>
      <c r="B361" s="38" t="inlineStr"/>
      <c r="C361" s="30" t="inlineStr"/>
      <c r="D361" s="30" t="inlineStr"/>
      <c r="E361" s="30" t="inlineStr"/>
      <c r="F361" s="34" t="inlineStr"/>
      <c r="G361" s="32" t="inlineStr"/>
      <c r="H361" s="32" t="inlineStr"/>
      <c r="I361" s="30" t="inlineStr"/>
      <c r="J361" s="38" t="inlineStr"/>
      <c r="K361" s="31" t="inlineStr"/>
      <c r="L361" s="15">
        <f>IF(A361="","",F361*(1+G361)*(1+H361))</f>
        <v/>
      </c>
      <c r="M361" s="13">
        <f>IF(A361="","",IF(I361="angenommen","Auftrag",IF(AND(I361="offen",TODAY()&gt;B361+K361),"Bindefrist!","")))</f>
        <v/>
      </c>
    </row>
    <row r="362">
      <c r="A362" s="30" t="inlineStr"/>
      <c r="B362" s="38" t="inlineStr"/>
      <c r="C362" s="30" t="inlineStr"/>
      <c r="D362" s="30" t="inlineStr"/>
      <c r="E362" s="30" t="inlineStr"/>
      <c r="F362" s="34" t="inlineStr"/>
      <c r="G362" s="32" t="inlineStr"/>
      <c r="H362" s="32" t="inlineStr"/>
      <c r="I362" s="30" t="inlineStr"/>
      <c r="J362" s="38" t="inlineStr"/>
      <c r="K362" s="31" t="inlineStr"/>
      <c r="L362" s="15">
        <f>IF(A362="","",F362*(1+G362)*(1+H362))</f>
        <v/>
      </c>
      <c r="M362" s="13">
        <f>IF(A362="","",IF(I362="angenommen","Auftrag",IF(AND(I362="offen",TODAY()&gt;B362+K362),"Bindefrist!","")))</f>
        <v/>
      </c>
    </row>
    <row r="363">
      <c r="A363" s="30" t="inlineStr"/>
      <c r="B363" s="38" t="inlineStr"/>
      <c r="C363" s="30" t="inlineStr"/>
      <c r="D363" s="30" t="inlineStr"/>
      <c r="E363" s="30" t="inlineStr"/>
      <c r="F363" s="34" t="inlineStr"/>
      <c r="G363" s="32" t="inlineStr"/>
      <c r="H363" s="32" t="inlineStr"/>
      <c r="I363" s="30" t="inlineStr"/>
      <c r="J363" s="38" t="inlineStr"/>
      <c r="K363" s="31" t="inlineStr"/>
      <c r="L363" s="15">
        <f>IF(A363="","",F363*(1+G363)*(1+H363))</f>
        <v/>
      </c>
      <c r="M363" s="13">
        <f>IF(A363="","",IF(I363="angenommen","Auftrag",IF(AND(I363="offen",TODAY()&gt;B363+K363),"Bindefrist!","")))</f>
        <v/>
      </c>
    </row>
    <row r="364">
      <c r="A364" s="30" t="inlineStr"/>
      <c r="B364" s="38" t="inlineStr"/>
      <c r="C364" s="30" t="inlineStr"/>
      <c r="D364" s="30" t="inlineStr"/>
      <c r="E364" s="30" t="inlineStr"/>
      <c r="F364" s="34" t="inlineStr"/>
      <c r="G364" s="32" t="inlineStr"/>
      <c r="H364" s="32" t="inlineStr"/>
      <c r="I364" s="30" t="inlineStr"/>
      <c r="J364" s="38" t="inlineStr"/>
      <c r="K364" s="31" t="inlineStr"/>
      <c r="L364" s="15">
        <f>IF(A364="","",F364*(1+G364)*(1+H364))</f>
        <v/>
      </c>
      <c r="M364" s="13">
        <f>IF(A364="","",IF(I364="angenommen","Auftrag",IF(AND(I364="offen",TODAY()&gt;B364+K364),"Bindefrist!","")))</f>
        <v/>
      </c>
    </row>
    <row r="365">
      <c r="A365" s="30" t="inlineStr"/>
      <c r="B365" s="38" t="inlineStr"/>
      <c r="C365" s="30" t="inlineStr"/>
      <c r="D365" s="30" t="inlineStr"/>
      <c r="E365" s="30" t="inlineStr"/>
      <c r="F365" s="34" t="inlineStr"/>
      <c r="G365" s="32" t="inlineStr"/>
      <c r="H365" s="32" t="inlineStr"/>
      <c r="I365" s="30" t="inlineStr"/>
      <c r="J365" s="38" t="inlineStr"/>
      <c r="K365" s="31" t="inlineStr"/>
      <c r="L365" s="15">
        <f>IF(A365="","",F365*(1+G365)*(1+H365))</f>
        <v/>
      </c>
      <c r="M365" s="13">
        <f>IF(A365="","",IF(I365="angenommen","Auftrag",IF(AND(I365="offen",TODAY()&gt;B365+K365),"Bindefrist!","")))</f>
        <v/>
      </c>
    </row>
    <row r="366">
      <c r="A366" s="30" t="inlineStr"/>
      <c r="B366" s="38" t="inlineStr"/>
      <c r="C366" s="30" t="inlineStr"/>
      <c r="D366" s="30" t="inlineStr"/>
      <c r="E366" s="30" t="inlineStr"/>
      <c r="F366" s="34" t="inlineStr"/>
      <c r="G366" s="32" t="inlineStr"/>
      <c r="H366" s="32" t="inlineStr"/>
      <c r="I366" s="30" t="inlineStr"/>
      <c r="J366" s="38" t="inlineStr"/>
      <c r="K366" s="31" t="inlineStr"/>
      <c r="L366" s="15">
        <f>IF(A366="","",F366*(1+G366)*(1+H366))</f>
        <v/>
      </c>
      <c r="M366" s="13">
        <f>IF(A366="","",IF(I366="angenommen","Auftrag",IF(AND(I366="offen",TODAY()&gt;B366+K366),"Bindefrist!","")))</f>
        <v/>
      </c>
    </row>
    <row r="367">
      <c r="A367" s="30" t="inlineStr"/>
      <c r="B367" s="38" t="inlineStr"/>
      <c r="C367" s="30" t="inlineStr"/>
      <c r="D367" s="30" t="inlineStr"/>
      <c r="E367" s="30" t="inlineStr"/>
      <c r="F367" s="34" t="inlineStr"/>
      <c r="G367" s="32" t="inlineStr"/>
      <c r="H367" s="32" t="inlineStr"/>
      <c r="I367" s="30" t="inlineStr"/>
      <c r="J367" s="38" t="inlineStr"/>
      <c r="K367" s="31" t="inlineStr"/>
      <c r="L367" s="15">
        <f>IF(A367="","",F367*(1+G367)*(1+H367))</f>
        <v/>
      </c>
      <c r="M367" s="13">
        <f>IF(A367="","",IF(I367="angenommen","Auftrag",IF(AND(I367="offen",TODAY()&gt;B367+K367),"Bindefrist!","")))</f>
        <v/>
      </c>
    </row>
    <row r="368">
      <c r="A368" s="30" t="inlineStr"/>
      <c r="B368" s="38" t="inlineStr"/>
      <c r="C368" s="30" t="inlineStr"/>
      <c r="D368" s="30" t="inlineStr"/>
      <c r="E368" s="30" t="inlineStr"/>
      <c r="F368" s="34" t="inlineStr"/>
      <c r="G368" s="32" t="inlineStr"/>
      <c r="H368" s="32" t="inlineStr"/>
      <c r="I368" s="30" t="inlineStr"/>
      <c r="J368" s="38" t="inlineStr"/>
      <c r="K368" s="31" t="inlineStr"/>
      <c r="L368" s="15">
        <f>IF(A368="","",F368*(1+G368)*(1+H368))</f>
        <v/>
      </c>
      <c r="M368" s="13">
        <f>IF(A368="","",IF(I368="angenommen","Auftrag",IF(AND(I368="offen",TODAY()&gt;B368+K368),"Bindefrist!","")))</f>
        <v/>
      </c>
    </row>
    <row r="369">
      <c r="A369" s="30" t="inlineStr"/>
      <c r="B369" s="38" t="inlineStr"/>
      <c r="C369" s="30" t="inlineStr"/>
      <c r="D369" s="30" t="inlineStr"/>
      <c r="E369" s="30" t="inlineStr"/>
      <c r="F369" s="34" t="inlineStr"/>
      <c r="G369" s="32" t="inlineStr"/>
      <c r="H369" s="32" t="inlineStr"/>
      <c r="I369" s="30" t="inlineStr"/>
      <c r="J369" s="38" t="inlineStr"/>
      <c r="K369" s="31" t="inlineStr"/>
      <c r="L369" s="15">
        <f>IF(A369="","",F369*(1+G369)*(1+H369))</f>
        <v/>
      </c>
      <c r="M369" s="13">
        <f>IF(A369="","",IF(I369="angenommen","Auftrag",IF(AND(I369="offen",TODAY()&gt;B369+K369),"Bindefrist!","")))</f>
        <v/>
      </c>
    </row>
    <row r="370">
      <c r="A370" s="30" t="inlineStr"/>
      <c r="B370" s="38" t="inlineStr"/>
      <c r="C370" s="30" t="inlineStr"/>
      <c r="D370" s="30" t="inlineStr"/>
      <c r="E370" s="30" t="inlineStr"/>
      <c r="F370" s="34" t="inlineStr"/>
      <c r="G370" s="32" t="inlineStr"/>
      <c r="H370" s="32" t="inlineStr"/>
      <c r="I370" s="30" t="inlineStr"/>
      <c r="J370" s="38" t="inlineStr"/>
      <c r="K370" s="31" t="inlineStr"/>
      <c r="L370" s="15">
        <f>IF(A370="","",F370*(1+G370)*(1+H370))</f>
        <v/>
      </c>
      <c r="M370" s="13">
        <f>IF(A370="","",IF(I370="angenommen","Auftrag",IF(AND(I370="offen",TODAY()&gt;B370+K370),"Bindefrist!","")))</f>
        <v/>
      </c>
    </row>
    <row r="371">
      <c r="A371" s="30" t="inlineStr"/>
      <c r="B371" s="38" t="inlineStr"/>
      <c r="C371" s="30" t="inlineStr"/>
      <c r="D371" s="30" t="inlineStr"/>
      <c r="E371" s="30" t="inlineStr"/>
      <c r="F371" s="34" t="inlineStr"/>
      <c r="G371" s="32" t="inlineStr"/>
      <c r="H371" s="32" t="inlineStr"/>
      <c r="I371" s="30" t="inlineStr"/>
      <c r="J371" s="38" t="inlineStr"/>
      <c r="K371" s="31" t="inlineStr"/>
      <c r="L371" s="15">
        <f>IF(A371="","",F371*(1+G371)*(1+H371))</f>
        <v/>
      </c>
      <c r="M371" s="13">
        <f>IF(A371="","",IF(I371="angenommen","Auftrag",IF(AND(I371="offen",TODAY()&gt;B371+K371),"Bindefrist!","")))</f>
        <v/>
      </c>
    </row>
    <row r="372">
      <c r="A372" s="30" t="inlineStr"/>
      <c r="B372" s="38" t="inlineStr"/>
      <c r="C372" s="30" t="inlineStr"/>
      <c r="D372" s="30" t="inlineStr"/>
      <c r="E372" s="30" t="inlineStr"/>
      <c r="F372" s="34" t="inlineStr"/>
      <c r="G372" s="32" t="inlineStr"/>
      <c r="H372" s="32" t="inlineStr"/>
      <c r="I372" s="30" t="inlineStr"/>
      <c r="J372" s="38" t="inlineStr"/>
      <c r="K372" s="31" t="inlineStr"/>
      <c r="L372" s="15">
        <f>IF(A372="","",F372*(1+G372)*(1+H372))</f>
        <v/>
      </c>
      <c r="M372" s="13">
        <f>IF(A372="","",IF(I372="angenommen","Auftrag",IF(AND(I372="offen",TODAY()&gt;B372+K372),"Bindefrist!","")))</f>
        <v/>
      </c>
    </row>
    <row r="373">
      <c r="A373" s="30" t="inlineStr"/>
      <c r="B373" s="38" t="inlineStr"/>
      <c r="C373" s="30" t="inlineStr"/>
      <c r="D373" s="30" t="inlineStr"/>
      <c r="E373" s="30" t="inlineStr"/>
      <c r="F373" s="34" t="inlineStr"/>
      <c r="G373" s="32" t="inlineStr"/>
      <c r="H373" s="32" t="inlineStr"/>
      <c r="I373" s="30" t="inlineStr"/>
      <c r="J373" s="38" t="inlineStr"/>
      <c r="K373" s="31" t="inlineStr"/>
      <c r="L373" s="15">
        <f>IF(A373="","",F373*(1+G373)*(1+H373))</f>
        <v/>
      </c>
      <c r="M373" s="13">
        <f>IF(A373="","",IF(I373="angenommen","Auftrag",IF(AND(I373="offen",TODAY()&gt;B373+K373),"Bindefrist!","")))</f>
        <v/>
      </c>
    </row>
    <row r="374">
      <c r="A374" s="30" t="inlineStr"/>
      <c r="B374" s="38" t="inlineStr"/>
      <c r="C374" s="30" t="inlineStr"/>
      <c r="D374" s="30" t="inlineStr"/>
      <c r="E374" s="30" t="inlineStr"/>
      <c r="F374" s="34" t="inlineStr"/>
      <c r="G374" s="32" t="inlineStr"/>
      <c r="H374" s="32" t="inlineStr"/>
      <c r="I374" s="30" t="inlineStr"/>
      <c r="J374" s="38" t="inlineStr"/>
      <c r="K374" s="31" t="inlineStr"/>
      <c r="L374" s="15">
        <f>IF(A374="","",F374*(1+G374)*(1+H374))</f>
        <v/>
      </c>
      <c r="M374" s="13">
        <f>IF(A374="","",IF(I374="angenommen","Auftrag",IF(AND(I374="offen",TODAY()&gt;B374+K374),"Bindefrist!","")))</f>
        <v/>
      </c>
    </row>
    <row r="375">
      <c r="A375" s="30" t="inlineStr"/>
      <c r="B375" s="38" t="inlineStr"/>
      <c r="C375" s="30" t="inlineStr"/>
      <c r="D375" s="30" t="inlineStr"/>
      <c r="E375" s="30" t="inlineStr"/>
      <c r="F375" s="34" t="inlineStr"/>
      <c r="G375" s="32" t="inlineStr"/>
      <c r="H375" s="32" t="inlineStr"/>
      <c r="I375" s="30" t="inlineStr"/>
      <c r="J375" s="38" t="inlineStr"/>
      <c r="K375" s="31" t="inlineStr"/>
      <c r="L375" s="15">
        <f>IF(A375="","",F375*(1+G375)*(1+H375))</f>
        <v/>
      </c>
      <c r="M375" s="13">
        <f>IF(A375="","",IF(I375="angenommen","Auftrag",IF(AND(I375="offen",TODAY()&gt;B375+K375),"Bindefrist!","")))</f>
        <v/>
      </c>
    </row>
    <row r="376">
      <c r="A376" s="30" t="inlineStr"/>
      <c r="B376" s="38" t="inlineStr"/>
      <c r="C376" s="30" t="inlineStr"/>
      <c r="D376" s="30" t="inlineStr"/>
      <c r="E376" s="30" t="inlineStr"/>
      <c r="F376" s="34" t="inlineStr"/>
      <c r="G376" s="32" t="inlineStr"/>
      <c r="H376" s="32" t="inlineStr"/>
      <c r="I376" s="30" t="inlineStr"/>
      <c r="J376" s="38" t="inlineStr"/>
      <c r="K376" s="31" t="inlineStr"/>
      <c r="L376" s="15">
        <f>IF(A376="","",F376*(1+G376)*(1+H376))</f>
        <v/>
      </c>
      <c r="M376" s="13">
        <f>IF(A376="","",IF(I376="angenommen","Auftrag",IF(AND(I376="offen",TODAY()&gt;B376+K376),"Bindefrist!","")))</f>
        <v/>
      </c>
    </row>
    <row r="377">
      <c r="A377" s="30" t="inlineStr"/>
      <c r="B377" s="38" t="inlineStr"/>
      <c r="C377" s="30" t="inlineStr"/>
      <c r="D377" s="30" t="inlineStr"/>
      <c r="E377" s="30" t="inlineStr"/>
      <c r="F377" s="34" t="inlineStr"/>
      <c r="G377" s="32" t="inlineStr"/>
      <c r="H377" s="32" t="inlineStr"/>
      <c r="I377" s="30" t="inlineStr"/>
      <c r="J377" s="38" t="inlineStr"/>
      <c r="K377" s="31" t="inlineStr"/>
      <c r="L377" s="15">
        <f>IF(A377="","",F377*(1+G377)*(1+H377))</f>
        <v/>
      </c>
      <c r="M377" s="13">
        <f>IF(A377="","",IF(I377="angenommen","Auftrag",IF(AND(I377="offen",TODAY()&gt;B377+K377),"Bindefrist!","")))</f>
        <v/>
      </c>
    </row>
    <row r="378">
      <c r="A378" s="30" t="inlineStr"/>
      <c r="B378" s="38" t="inlineStr"/>
      <c r="C378" s="30" t="inlineStr"/>
      <c r="D378" s="30" t="inlineStr"/>
      <c r="E378" s="30" t="inlineStr"/>
      <c r="F378" s="34" t="inlineStr"/>
      <c r="G378" s="32" t="inlineStr"/>
      <c r="H378" s="32" t="inlineStr"/>
      <c r="I378" s="30" t="inlineStr"/>
      <c r="J378" s="38" t="inlineStr"/>
      <c r="K378" s="31" t="inlineStr"/>
      <c r="L378" s="15">
        <f>IF(A378="","",F378*(1+G378)*(1+H378))</f>
        <v/>
      </c>
      <c r="M378" s="13">
        <f>IF(A378="","",IF(I378="angenommen","Auftrag",IF(AND(I378="offen",TODAY()&gt;B378+K378),"Bindefrist!","")))</f>
        <v/>
      </c>
    </row>
    <row r="379">
      <c r="A379" s="30" t="inlineStr"/>
      <c r="B379" s="38" t="inlineStr"/>
      <c r="C379" s="30" t="inlineStr"/>
      <c r="D379" s="30" t="inlineStr"/>
      <c r="E379" s="30" t="inlineStr"/>
      <c r="F379" s="34" t="inlineStr"/>
      <c r="G379" s="32" t="inlineStr"/>
      <c r="H379" s="32" t="inlineStr"/>
      <c r="I379" s="30" t="inlineStr"/>
      <c r="J379" s="38" t="inlineStr"/>
      <c r="K379" s="31" t="inlineStr"/>
      <c r="L379" s="15">
        <f>IF(A379="","",F379*(1+G379)*(1+H379))</f>
        <v/>
      </c>
      <c r="M379" s="13">
        <f>IF(A379="","",IF(I379="angenommen","Auftrag",IF(AND(I379="offen",TODAY()&gt;B379+K379),"Bindefrist!","")))</f>
        <v/>
      </c>
    </row>
    <row r="380">
      <c r="A380" s="30" t="inlineStr"/>
      <c r="B380" s="38" t="inlineStr"/>
      <c r="C380" s="30" t="inlineStr"/>
      <c r="D380" s="30" t="inlineStr"/>
      <c r="E380" s="30" t="inlineStr"/>
      <c r="F380" s="34" t="inlineStr"/>
      <c r="G380" s="32" t="inlineStr"/>
      <c r="H380" s="32" t="inlineStr"/>
      <c r="I380" s="30" t="inlineStr"/>
      <c r="J380" s="38" t="inlineStr"/>
      <c r="K380" s="31" t="inlineStr"/>
      <c r="L380" s="15">
        <f>IF(A380="","",F380*(1+G380)*(1+H380))</f>
        <v/>
      </c>
      <c r="M380" s="13">
        <f>IF(A380="","",IF(I380="angenommen","Auftrag",IF(AND(I380="offen",TODAY()&gt;B380+K380),"Bindefrist!","")))</f>
        <v/>
      </c>
    </row>
    <row r="381">
      <c r="A381" s="30" t="inlineStr"/>
      <c r="B381" s="38" t="inlineStr"/>
      <c r="C381" s="30" t="inlineStr"/>
      <c r="D381" s="30" t="inlineStr"/>
      <c r="E381" s="30" t="inlineStr"/>
      <c r="F381" s="34" t="inlineStr"/>
      <c r="G381" s="32" t="inlineStr"/>
      <c r="H381" s="32" t="inlineStr"/>
      <c r="I381" s="30" t="inlineStr"/>
      <c r="J381" s="38" t="inlineStr"/>
      <c r="K381" s="31" t="inlineStr"/>
      <c r="L381" s="15">
        <f>IF(A381="","",F381*(1+G381)*(1+H381))</f>
        <v/>
      </c>
      <c r="M381" s="13">
        <f>IF(A381="","",IF(I381="angenommen","Auftrag",IF(AND(I381="offen",TODAY()&gt;B381+K381),"Bindefrist!","")))</f>
        <v/>
      </c>
    </row>
    <row r="382">
      <c r="A382" s="30" t="inlineStr"/>
      <c r="B382" s="38" t="inlineStr"/>
      <c r="C382" s="30" t="inlineStr"/>
      <c r="D382" s="30" t="inlineStr"/>
      <c r="E382" s="30" t="inlineStr"/>
      <c r="F382" s="34" t="inlineStr"/>
      <c r="G382" s="32" t="inlineStr"/>
      <c r="H382" s="32" t="inlineStr"/>
      <c r="I382" s="30" t="inlineStr"/>
      <c r="J382" s="38" t="inlineStr"/>
      <c r="K382" s="31" t="inlineStr"/>
      <c r="L382" s="15">
        <f>IF(A382="","",F382*(1+G382)*(1+H382))</f>
        <v/>
      </c>
      <c r="M382" s="13">
        <f>IF(A382="","",IF(I382="angenommen","Auftrag",IF(AND(I382="offen",TODAY()&gt;B382+K382),"Bindefrist!","")))</f>
        <v/>
      </c>
    </row>
    <row r="383">
      <c r="A383" s="30" t="inlineStr"/>
      <c r="B383" s="38" t="inlineStr"/>
      <c r="C383" s="30" t="inlineStr"/>
      <c r="D383" s="30" t="inlineStr"/>
      <c r="E383" s="30" t="inlineStr"/>
      <c r="F383" s="34" t="inlineStr"/>
      <c r="G383" s="32" t="inlineStr"/>
      <c r="H383" s="32" t="inlineStr"/>
      <c r="I383" s="30" t="inlineStr"/>
      <c r="J383" s="38" t="inlineStr"/>
      <c r="K383" s="31" t="inlineStr"/>
      <c r="L383" s="15">
        <f>IF(A383="","",F383*(1+G383)*(1+H383))</f>
        <v/>
      </c>
      <c r="M383" s="13">
        <f>IF(A383="","",IF(I383="angenommen","Auftrag",IF(AND(I383="offen",TODAY()&gt;B383+K383),"Bindefrist!","")))</f>
        <v/>
      </c>
    </row>
    <row r="384">
      <c r="A384" s="30" t="inlineStr"/>
      <c r="B384" s="38" t="inlineStr"/>
      <c r="C384" s="30" t="inlineStr"/>
      <c r="D384" s="30" t="inlineStr"/>
      <c r="E384" s="30" t="inlineStr"/>
      <c r="F384" s="34" t="inlineStr"/>
      <c r="G384" s="32" t="inlineStr"/>
      <c r="H384" s="32" t="inlineStr"/>
      <c r="I384" s="30" t="inlineStr"/>
      <c r="J384" s="38" t="inlineStr"/>
      <c r="K384" s="31" t="inlineStr"/>
      <c r="L384" s="15">
        <f>IF(A384="","",F384*(1+G384)*(1+H384))</f>
        <v/>
      </c>
      <c r="M384" s="13">
        <f>IF(A384="","",IF(I384="angenommen","Auftrag",IF(AND(I384="offen",TODAY()&gt;B384+K384),"Bindefrist!","")))</f>
        <v/>
      </c>
    </row>
    <row r="385">
      <c r="A385" s="30" t="inlineStr"/>
      <c r="B385" s="38" t="inlineStr"/>
      <c r="C385" s="30" t="inlineStr"/>
      <c r="D385" s="30" t="inlineStr"/>
      <c r="E385" s="30" t="inlineStr"/>
      <c r="F385" s="34" t="inlineStr"/>
      <c r="G385" s="32" t="inlineStr"/>
      <c r="H385" s="32" t="inlineStr"/>
      <c r="I385" s="30" t="inlineStr"/>
      <c r="J385" s="38" t="inlineStr"/>
      <c r="K385" s="31" t="inlineStr"/>
      <c r="L385" s="15">
        <f>IF(A385="","",F385*(1+G385)*(1+H385))</f>
        <v/>
      </c>
      <c r="M385" s="13">
        <f>IF(A385="","",IF(I385="angenommen","Auftrag",IF(AND(I385="offen",TODAY()&gt;B385+K385),"Bindefrist!","")))</f>
        <v/>
      </c>
    </row>
    <row r="386">
      <c r="A386" s="30" t="inlineStr"/>
      <c r="B386" s="38" t="inlineStr"/>
      <c r="C386" s="30" t="inlineStr"/>
      <c r="D386" s="30" t="inlineStr"/>
      <c r="E386" s="30" t="inlineStr"/>
      <c r="F386" s="34" t="inlineStr"/>
      <c r="G386" s="32" t="inlineStr"/>
      <c r="H386" s="32" t="inlineStr"/>
      <c r="I386" s="30" t="inlineStr"/>
      <c r="J386" s="38" t="inlineStr"/>
      <c r="K386" s="31" t="inlineStr"/>
      <c r="L386" s="15">
        <f>IF(A386="","",F386*(1+G386)*(1+H386))</f>
        <v/>
      </c>
      <c r="M386" s="13">
        <f>IF(A386="","",IF(I386="angenommen","Auftrag",IF(AND(I386="offen",TODAY()&gt;B386+K386),"Bindefrist!","")))</f>
        <v/>
      </c>
    </row>
    <row r="387">
      <c r="A387" s="30" t="inlineStr"/>
      <c r="B387" s="38" t="inlineStr"/>
      <c r="C387" s="30" t="inlineStr"/>
      <c r="D387" s="30" t="inlineStr"/>
      <c r="E387" s="30" t="inlineStr"/>
      <c r="F387" s="34" t="inlineStr"/>
      <c r="G387" s="32" t="inlineStr"/>
      <c r="H387" s="32" t="inlineStr"/>
      <c r="I387" s="30" t="inlineStr"/>
      <c r="J387" s="38" t="inlineStr"/>
      <c r="K387" s="31" t="inlineStr"/>
      <c r="L387" s="15">
        <f>IF(A387="","",F387*(1+G387)*(1+H387))</f>
        <v/>
      </c>
      <c r="M387" s="13">
        <f>IF(A387="","",IF(I387="angenommen","Auftrag",IF(AND(I387="offen",TODAY()&gt;B387+K387),"Bindefrist!","")))</f>
        <v/>
      </c>
    </row>
    <row r="388">
      <c r="A388" s="30" t="inlineStr"/>
      <c r="B388" s="38" t="inlineStr"/>
      <c r="C388" s="30" t="inlineStr"/>
      <c r="D388" s="30" t="inlineStr"/>
      <c r="E388" s="30" t="inlineStr"/>
      <c r="F388" s="34" t="inlineStr"/>
      <c r="G388" s="32" t="inlineStr"/>
      <c r="H388" s="32" t="inlineStr"/>
      <c r="I388" s="30" t="inlineStr"/>
      <c r="J388" s="38" t="inlineStr"/>
      <c r="K388" s="31" t="inlineStr"/>
      <c r="L388" s="15">
        <f>IF(A388="","",F388*(1+G388)*(1+H388))</f>
        <v/>
      </c>
      <c r="M388" s="13">
        <f>IF(A388="","",IF(I388="angenommen","Auftrag",IF(AND(I388="offen",TODAY()&gt;B388+K388),"Bindefrist!","")))</f>
        <v/>
      </c>
    </row>
    <row r="389">
      <c r="A389" s="30" t="inlineStr"/>
      <c r="B389" s="38" t="inlineStr"/>
      <c r="C389" s="30" t="inlineStr"/>
      <c r="D389" s="30" t="inlineStr"/>
      <c r="E389" s="30" t="inlineStr"/>
      <c r="F389" s="34" t="inlineStr"/>
      <c r="G389" s="32" t="inlineStr"/>
      <c r="H389" s="32" t="inlineStr"/>
      <c r="I389" s="30" t="inlineStr"/>
      <c r="J389" s="38" t="inlineStr"/>
      <c r="K389" s="31" t="inlineStr"/>
      <c r="L389" s="15">
        <f>IF(A389="","",F389*(1+G389)*(1+H389))</f>
        <v/>
      </c>
      <c r="M389" s="13">
        <f>IF(A389="","",IF(I389="angenommen","Auftrag",IF(AND(I389="offen",TODAY()&gt;B389+K389),"Bindefrist!","")))</f>
        <v/>
      </c>
    </row>
    <row r="390">
      <c r="A390" s="30" t="inlineStr"/>
      <c r="B390" s="38" t="inlineStr"/>
      <c r="C390" s="30" t="inlineStr"/>
      <c r="D390" s="30" t="inlineStr"/>
      <c r="E390" s="30" t="inlineStr"/>
      <c r="F390" s="34" t="inlineStr"/>
      <c r="G390" s="32" t="inlineStr"/>
      <c r="H390" s="32" t="inlineStr"/>
      <c r="I390" s="30" t="inlineStr"/>
      <c r="J390" s="38" t="inlineStr"/>
      <c r="K390" s="31" t="inlineStr"/>
      <c r="L390" s="15">
        <f>IF(A390="","",F390*(1+G390)*(1+H390))</f>
        <v/>
      </c>
      <c r="M390" s="13">
        <f>IF(A390="","",IF(I390="angenommen","Auftrag",IF(AND(I390="offen",TODAY()&gt;B390+K390),"Bindefrist!","")))</f>
        <v/>
      </c>
    </row>
    <row r="391">
      <c r="A391" s="30" t="inlineStr"/>
      <c r="B391" s="38" t="inlineStr"/>
      <c r="C391" s="30" t="inlineStr"/>
      <c r="D391" s="30" t="inlineStr"/>
      <c r="E391" s="30" t="inlineStr"/>
      <c r="F391" s="34" t="inlineStr"/>
      <c r="G391" s="32" t="inlineStr"/>
      <c r="H391" s="32" t="inlineStr"/>
      <c r="I391" s="30" t="inlineStr"/>
      <c r="J391" s="38" t="inlineStr"/>
      <c r="K391" s="31" t="inlineStr"/>
      <c r="L391" s="15">
        <f>IF(A391="","",F391*(1+G391)*(1+H391))</f>
        <v/>
      </c>
      <c r="M391" s="13">
        <f>IF(A391="","",IF(I391="angenommen","Auftrag",IF(AND(I391="offen",TODAY()&gt;B391+K391),"Bindefrist!","")))</f>
        <v/>
      </c>
    </row>
    <row r="392">
      <c r="A392" s="30" t="inlineStr"/>
      <c r="B392" s="38" t="inlineStr"/>
      <c r="C392" s="30" t="inlineStr"/>
      <c r="D392" s="30" t="inlineStr"/>
      <c r="E392" s="30" t="inlineStr"/>
      <c r="F392" s="34" t="inlineStr"/>
      <c r="G392" s="32" t="inlineStr"/>
      <c r="H392" s="32" t="inlineStr"/>
      <c r="I392" s="30" t="inlineStr"/>
      <c r="J392" s="38" t="inlineStr"/>
      <c r="K392" s="31" t="inlineStr"/>
      <c r="L392" s="15">
        <f>IF(A392="","",F392*(1+G392)*(1+H392))</f>
        <v/>
      </c>
      <c r="M392" s="13">
        <f>IF(A392="","",IF(I392="angenommen","Auftrag",IF(AND(I392="offen",TODAY()&gt;B392+K392),"Bindefrist!","")))</f>
        <v/>
      </c>
    </row>
    <row r="393">
      <c r="A393" s="30" t="inlineStr"/>
      <c r="B393" s="38" t="inlineStr"/>
      <c r="C393" s="30" t="inlineStr"/>
      <c r="D393" s="30" t="inlineStr"/>
      <c r="E393" s="30" t="inlineStr"/>
      <c r="F393" s="34" t="inlineStr"/>
      <c r="G393" s="32" t="inlineStr"/>
      <c r="H393" s="32" t="inlineStr"/>
      <c r="I393" s="30" t="inlineStr"/>
      <c r="J393" s="38" t="inlineStr"/>
      <c r="K393" s="31" t="inlineStr"/>
      <c r="L393" s="15">
        <f>IF(A393="","",F393*(1+G393)*(1+H393))</f>
        <v/>
      </c>
      <c r="M393" s="13">
        <f>IF(A393="","",IF(I393="angenommen","Auftrag",IF(AND(I393="offen",TODAY()&gt;B393+K393),"Bindefrist!","")))</f>
        <v/>
      </c>
    </row>
    <row r="394">
      <c r="A394" s="30" t="inlineStr"/>
      <c r="B394" s="38" t="inlineStr"/>
      <c r="C394" s="30" t="inlineStr"/>
      <c r="D394" s="30" t="inlineStr"/>
      <c r="E394" s="30" t="inlineStr"/>
      <c r="F394" s="34" t="inlineStr"/>
      <c r="G394" s="32" t="inlineStr"/>
      <c r="H394" s="32" t="inlineStr"/>
      <c r="I394" s="30" t="inlineStr"/>
      <c r="J394" s="38" t="inlineStr"/>
      <c r="K394" s="31" t="inlineStr"/>
      <c r="L394" s="15">
        <f>IF(A394="","",F394*(1+G394)*(1+H394))</f>
        <v/>
      </c>
      <c r="M394" s="13">
        <f>IF(A394="","",IF(I394="angenommen","Auftrag",IF(AND(I394="offen",TODAY()&gt;B394+K394),"Bindefrist!","")))</f>
        <v/>
      </c>
    </row>
    <row r="395">
      <c r="A395" s="30" t="inlineStr"/>
      <c r="B395" s="38" t="inlineStr"/>
      <c r="C395" s="30" t="inlineStr"/>
      <c r="D395" s="30" t="inlineStr"/>
      <c r="E395" s="30" t="inlineStr"/>
      <c r="F395" s="34" t="inlineStr"/>
      <c r="G395" s="32" t="inlineStr"/>
      <c r="H395" s="32" t="inlineStr"/>
      <c r="I395" s="30" t="inlineStr"/>
      <c r="J395" s="38" t="inlineStr"/>
      <c r="K395" s="31" t="inlineStr"/>
      <c r="L395" s="15">
        <f>IF(A395="","",F395*(1+G395)*(1+H395))</f>
        <v/>
      </c>
      <c r="M395" s="13">
        <f>IF(A395="","",IF(I395="angenommen","Auftrag",IF(AND(I395="offen",TODAY()&gt;B395+K395),"Bindefrist!","")))</f>
        <v/>
      </c>
    </row>
    <row r="396">
      <c r="A396" s="30" t="inlineStr"/>
      <c r="B396" s="38" t="inlineStr"/>
      <c r="C396" s="30" t="inlineStr"/>
      <c r="D396" s="30" t="inlineStr"/>
      <c r="E396" s="30" t="inlineStr"/>
      <c r="F396" s="34" t="inlineStr"/>
      <c r="G396" s="32" t="inlineStr"/>
      <c r="H396" s="32" t="inlineStr"/>
      <c r="I396" s="30" t="inlineStr"/>
      <c r="J396" s="38" t="inlineStr"/>
      <c r="K396" s="31" t="inlineStr"/>
      <c r="L396" s="15">
        <f>IF(A396="","",F396*(1+G396)*(1+H396))</f>
        <v/>
      </c>
      <c r="M396" s="13">
        <f>IF(A396="","",IF(I396="angenommen","Auftrag",IF(AND(I396="offen",TODAY()&gt;B396+K396),"Bindefrist!","")))</f>
        <v/>
      </c>
    </row>
    <row r="397">
      <c r="A397" s="30" t="inlineStr"/>
      <c r="B397" s="38" t="inlineStr"/>
      <c r="C397" s="30" t="inlineStr"/>
      <c r="D397" s="30" t="inlineStr"/>
      <c r="E397" s="30" t="inlineStr"/>
      <c r="F397" s="34" t="inlineStr"/>
      <c r="G397" s="32" t="inlineStr"/>
      <c r="H397" s="32" t="inlineStr"/>
      <c r="I397" s="30" t="inlineStr"/>
      <c r="J397" s="38" t="inlineStr"/>
      <c r="K397" s="31" t="inlineStr"/>
      <c r="L397" s="15">
        <f>IF(A397="","",F397*(1+G397)*(1+H397))</f>
        <v/>
      </c>
      <c r="M397" s="13">
        <f>IF(A397="","",IF(I397="angenommen","Auftrag",IF(AND(I397="offen",TODAY()&gt;B397+K397),"Bindefrist!","")))</f>
        <v/>
      </c>
    </row>
    <row r="398">
      <c r="A398" s="30" t="inlineStr"/>
      <c r="B398" s="38" t="inlineStr"/>
      <c r="C398" s="30" t="inlineStr"/>
      <c r="D398" s="30" t="inlineStr"/>
      <c r="E398" s="30" t="inlineStr"/>
      <c r="F398" s="34" t="inlineStr"/>
      <c r="G398" s="32" t="inlineStr"/>
      <c r="H398" s="32" t="inlineStr"/>
      <c r="I398" s="30" t="inlineStr"/>
      <c r="J398" s="38" t="inlineStr"/>
      <c r="K398" s="31" t="inlineStr"/>
      <c r="L398" s="15">
        <f>IF(A398="","",F398*(1+G398)*(1+H398))</f>
        <v/>
      </c>
      <c r="M398" s="13">
        <f>IF(A398="","",IF(I398="angenommen","Auftrag",IF(AND(I398="offen",TODAY()&gt;B398+K398),"Bindefrist!","")))</f>
        <v/>
      </c>
    </row>
    <row r="399">
      <c r="A399" s="30" t="inlineStr"/>
      <c r="B399" s="38" t="inlineStr"/>
      <c r="C399" s="30" t="inlineStr"/>
      <c r="D399" s="30" t="inlineStr"/>
      <c r="E399" s="30" t="inlineStr"/>
      <c r="F399" s="34" t="inlineStr"/>
      <c r="G399" s="32" t="inlineStr"/>
      <c r="H399" s="32" t="inlineStr"/>
      <c r="I399" s="30" t="inlineStr"/>
      <c r="J399" s="38" t="inlineStr"/>
      <c r="K399" s="31" t="inlineStr"/>
      <c r="L399" s="15">
        <f>IF(A399="","",F399*(1+G399)*(1+H399))</f>
        <v/>
      </c>
      <c r="M399" s="13">
        <f>IF(A399="","",IF(I399="angenommen","Auftrag",IF(AND(I399="offen",TODAY()&gt;B399+K399),"Bindefrist!","")))</f>
        <v/>
      </c>
    </row>
    <row r="400">
      <c r="A400" s="30" t="inlineStr"/>
      <c r="B400" s="38" t="inlineStr"/>
      <c r="C400" s="30" t="inlineStr"/>
      <c r="D400" s="30" t="inlineStr"/>
      <c r="E400" s="30" t="inlineStr"/>
      <c r="F400" s="34" t="inlineStr"/>
      <c r="G400" s="32" t="inlineStr"/>
      <c r="H400" s="32" t="inlineStr"/>
      <c r="I400" s="30" t="inlineStr"/>
      <c r="J400" s="38" t="inlineStr"/>
      <c r="K400" s="31" t="inlineStr"/>
      <c r="L400" s="15">
        <f>IF(A400="","",F400*(1+G400)*(1+H400))</f>
        <v/>
      </c>
      <c r="M400" s="13">
        <f>IF(A400="","",IF(I400="angenommen","Auftrag",IF(AND(I400="offen",TODAY()&gt;B400+K400),"Bindefrist!","")))</f>
        <v/>
      </c>
    </row>
  </sheetData>
  <mergeCells count="2">
    <mergeCell ref="A2:M2"/>
    <mergeCell ref="A1:M1"/>
  </mergeCells>
  <dataValidations count="3">
    <dataValidation sqref="C4:C400" showDropDown="0" showInputMessage="0" showErrorMessage="0" allowBlank="1" errorTitle="Ungültige Auswahl" error="Bitte einen Wert aus der Liste wählen." promptTitle="Liste" prompt="Auswahl" type="list">
      <formula1>=KundenNr</formula1>
    </dataValidation>
    <dataValidation sqref="D4:D400" showDropDown="0" showInputMessage="0" showErrorMessage="0" allowBlank="1" errorTitle="Ungültige Auswahl" error="Bitte einen Wert aus der Liste wählen." promptTitle="Liste" prompt="Auswahl" type="list">
      <formula1>=ProjektNr</formula1>
    </dataValidation>
    <dataValidation sqref="I4:I400" showDropDown="0" showInputMessage="0" showErrorMessage="0" allowBlank="1" errorTitle="Ungültige Auswahl" error="Bitte einen Wert aus der Liste wählen." promptTitle="Liste" prompt="Auswahl" type="list">
      <formula1>=lstAngebotStatus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B8860B"/>
    <outlinePr summaryBelow="1" summaryRight="1"/>
    <pageSetUpPr/>
  </sheetPr>
  <dimension ref="A1:P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4" customWidth="1" min="9" max="9"/>
    <col width="28" customWidth="1" min="10" max="10"/>
    <col width="14" customWidth="1" min="11" max="11"/>
    <col width="16" customWidth="1" min="12" max="12"/>
  </cols>
  <sheetData>
    <row r="1" ht="28" customHeight="1">
      <c r="A1" s="1" t="inlineStr">
        <is>
          <t>Auftragsbestand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3" t="n"/>
      <c r="O1" s="3" t="n"/>
      <c r="P1" s="3" t="n"/>
    </row>
    <row r="2" ht="18" customHeight="1">
      <c r="A2" s="4" t="inlineStr">
        <is>
          <t>Vertragsdaten und aktueller Auftragswert inkl. beauftragter Nachträge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3" t="n"/>
      <c r="N2" s="3" t="n"/>
      <c r="O2" s="3" t="n"/>
      <c r="P2" s="3" t="n"/>
    </row>
    <row r="3" ht="28" customHeight="1">
      <c r="A3" s="17" t="inlineStr">
        <is>
          <t>Nr</t>
        </is>
      </c>
      <c r="B3" s="17" t="inlineStr">
        <is>
          <t>Angebot</t>
        </is>
      </c>
      <c r="C3" s="17" t="inlineStr">
        <is>
          <t>Projekt</t>
        </is>
      </c>
      <c r="D3" s="17" t="inlineStr">
        <is>
          <t>Kunde</t>
        </is>
      </c>
      <c r="E3" s="17" t="inlineStr">
        <is>
          <t>Datum</t>
        </is>
      </c>
      <c r="F3" s="17" t="inlineStr">
        <is>
          <t>Auftrag netto</t>
        </is>
      </c>
      <c r="G3" s="17" t="inlineStr">
        <is>
          <t>Vertragsart</t>
        </is>
      </c>
      <c r="H3" s="17" t="inlineStr">
        <is>
          <t>Einbehalt %</t>
        </is>
      </c>
      <c r="I3" s="17" t="inlineStr">
        <is>
          <t>Status</t>
        </is>
      </c>
      <c r="J3" s="17" t="inlineStr">
        <is>
          <t>Notiz</t>
        </is>
      </c>
      <c r="K3" s="17" t="inlineStr">
        <is>
          <t>Nachträge</t>
        </is>
      </c>
      <c r="L3" s="17" t="inlineStr">
        <is>
          <t>Auftrag aktuell</t>
        </is>
      </c>
      <c r="M3" s="3" t="n"/>
      <c r="N3" s="3" t="n"/>
      <c r="O3" s="3" t="n"/>
      <c r="P3" s="3" t="n"/>
    </row>
    <row r="4">
      <c r="A4" s="30" t="inlineStr">
        <is>
          <t>AU-26001</t>
        </is>
      </c>
      <c r="B4" s="30" t="inlineStr">
        <is>
          <t>AN-26001</t>
        </is>
      </c>
      <c r="C4" s="30" t="inlineStr">
        <is>
          <t>P-2026-001</t>
        </is>
      </c>
      <c r="D4" s="30" t="inlineStr">
        <is>
          <t>K-1001</t>
        </is>
      </c>
      <c r="E4" s="38" t="n">
        <v>46000</v>
      </c>
      <c r="F4" s="34" t="n">
        <v>2400000</v>
      </c>
      <c r="G4" s="30" t="inlineStr">
        <is>
          <t>VOB/B</t>
        </is>
      </c>
      <c r="H4" s="32" t="n">
        <v>0.05</v>
      </c>
      <c r="I4" s="30" t="inlineStr">
        <is>
          <t>laufend</t>
        </is>
      </c>
      <c r="J4" s="30" t="inlineStr">
        <is>
          <t>Einbehalt 5 % bis Abnahme</t>
        </is>
      </c>
      <c r="K4" s="15">
        <f>IF(A4="","",SUMIFS('07_Nachtraege'!$E:$E,'07_Nachtraege'!$B:$B,C4,'07_Nachtraege'!$F:$F,"beauftragt"))</f>
        <v/>
      </c>
      <c r="L4" s="15">
        <f>IF(A4="","",F4+K4)</f>
        <v/>
      </c>
      <c r="M4" s="3" t="n"/>
      <c r="N4" s="3" t="n"/>
      <c r="O4" s="3" t="n"/>
      <c r="P4" s="3" t="n"/>
    </row>
    <row r="5">
      <c r="A5" s="30" t="inlineStr">
        <is>
          <t>AU-26002</t>
        </is>
      </c>
      <c r="B5" s="30" t="inlineStr">
        <is>
          <t>AN-26002</t>
        </is>
      </c>
      <c r="C5" s="30" t="inlineStr">
        <is>
          <t>P-2026-002</t>
        </is>
      </c>
      <c r="D5" s="30" t="inlineStr">
        <is>
          <t>K-1003</t>
        </is>
      </c>
      <c r="E5" s="38" t="n">
        <v>46063</v>
      </c>
      <c r="F5" s="34" t="n">
        <v>890000</v>
      </c>
      <c r="G5" s="30" t="inlineStr">
        <is>
          <t>VOB/B</t>
        </is>
      </c>
      <c r="H5" s="32" t="n">
        <v>0.05</v>
      </c>
      <c r="I5" s="30" t="inlineStr">
        <is>
          <t>laufend</t>
        </is>
      </c>
      <c r="J5" s="30" t="inlineStr"/>
      <c r="K5" s="15">
        <f>IF(A5="","",SUMIFS('07_Nachtraege'!$E:$E,'07_Nachtraege'!$B:$B,C5,'07_Nachtraege'!$F:$F,"beauftragt"))</f>
        <v/>
      </c>
      <c r="L5" s="15">
        <f>IF(A5="","",F5+K5)</f>
        <v/>
      </c>
      <c r="M5" s="3" t="n"/>
      <c r="N5" s="3" t="n"/>
      <c r="O5" s="3" t="n"/>
      <c r="P5" s="3" t="n"/>
    </row>
    <row r="6">
      <c r="A6" s="30" t="inlineStr">
        <is>
          <t>AU-26003</t>
        </is>
      </c>
      <c r="B6" s="30" t="inlineStr">
        <is>
          <t>AN-26003</t>
        </is>
      </c>
      <c r="C6" s="30" t="inlineStr">
        <is>
          <t>P-2026-003</t>
        </is>
      </c>
      <c r="D6" s="30" t="inlineStr">
        <is>
          <t>K-1002</t>
        </is>
      </c>
      <c r="E6" s="38" t="n">
        <v>46055</v>
      </c>
      <c r="F6" s="34" t="n">
        <v>1100000</v>
      </c>
      <c r="G6" s="30" t="inlineStr">
        <is>
          <t>VOB/B</t>
        </is>
      </c>
      <c r="H6" s="32" t="n">
        <v>0.05</v>
      </c>
      <c r="I6" s="30" t="inlineStr">
        <is>
          <t>laufend</t>
        </is>
      </c>
      <c r="J6" s="30" t="inlineStr">
        <is>
          <t>Sicherheit durch Bürgschaft möglich</t>
        </is>
      </c>
      <c r="K6" s="15">
        <f>IF(A6="","",SUMIFS('07_Nachtraege'!$E:$E,'07_Nachtraege'!$B:$B,C6,'07_Nachtraege'!$F:$F,"beauftragt"))</f>
        <v/>
      </c>
      <c r="L6" s="15">
        <f>IF(A6="","",F6+K6)</f>
        <v/>
      </c>
      <c r="M6" s="3" t="n"/>
      <c r="N6" s="3" t="n"/>
      <c r="O6" s="3" t="n"/>
      <c r="P6" s="3" t="n"/>
    </row>
    <row r="7">
      <c r="A7" s="30" t="inlineStr">
        <is>
          <t>AU-26004</t>
        </is>
      </c>
      <c r="B7" s="30" t="inlineStr">
        <is>
          <t>AN-26004</t>
        </is>
      </c>
      <c r="C7" s="30" t="inlineStr">
        <is>
          <t>P-2026-004</t>
        </is>
      </c>
      <c r="D7" s="30" t="inlineStr">
        <is>
          <t>K-1004</t>
        </is>
      </c>
      <c r="E7" s="38" t="n">
        <v>46099</v>
      </c>
      <c r="F7" s="34" t="n">
        <v>3200000</v>
      </c>
      <c r="G7" s="30" t="inlineStr">
        <is>
          <t>BGB</t>
        </is>
      </c>
      <c r="H7" s="32" t="n">
        <v>0.05</v>
      </c>
      <c r="I7" s="30" t="inlineStr">
        <is>
          <t>laufend</t>
        </is>
      </c>
      <c r="J7" s="30" t="inlineStr"/>
      <c r="K7" s="15">
        <f>IF(A7="","",SUMIFS('07_Nachtraege'!$E:$E,'07_Nachtraege'!$B:$B,C7,'07_Nachtraege'!$F:$F,"beauftragt"))</f>
        <v/>
      </c>
      <c r="L7" s="15">
        <f>IF(A7="","",F7+K7)</f>
        <v/>
      </c>
    </row>
    <row r="8">
      <c r="A8" s="30" t="inlineStr">
        <is>
          <t>AU-26005</t>
        </is>
      </c>
      <c r="B8" s="30" t="inlineStr">
        <is>
          <t>AN-26005</t>
        </is>
      </c>
      <c r="C8" s="30" t="inlineStr">
        <is>
          <t>P-2026-005</t>
        </is>
      </c>
      <c r="D8" s="30" t="inlineStr">
        <is>
          <t>K-1005</t>
        </is>
      </c>
      <c r="E8" s="38" t="n">
        <v>45860</v>
      </c>
      <c r="F8" s="34" t="n">
        <v>420000</v>
      </c>
      <c r="G8" s="30" t="inlineStr">
        <is>
          <t>BGB</t>
        </is>
      </c>
      <c r="H8" s="32" t="n">
        <v>0.05</v>
      </c>
      <c r="I8" s="30" t="inlineStr">
        <is>
          <t>abgenommen</t>
        </is>
      </c>
      <c r="J8" s="30" t="inlineStr">
        <is>
          <t>Abnahme 22.04.2026</t>
        </is>
      </c>
      <c r="K8" s="15">
        <f>IF(A8="","",SUMIFS('07_Nachtraege'!$E:$E,'07_Nachtraege'!$B:$B,C8,'07_Nachtraege'!$F:$F,"beauftragt"))</f>
        <v/>
      </c>
      <c r="L8" s="15">
        <f>IF(A8="","",F8+K8)</f>
        <v/>
      </c>
    </row>
    <row r="9">
      <c r="A9" s="30" t="inlineStr">
        <is>
          <t>AU-26006</t>
        </is>
      </c>
      <c r="B9" s="30" t="inlineStr">
        <is>
          <t>AN-26006</t>
        </is>
      </c>
      <c r="C9" s="30" t="inlineStr">
        <is>
          <t>P-2026-006</t>
        </is>
      </c>
      <c r="D9" s="30" t="inlineStr">
        <is>
          <t>K-1006</t>
        </is>
      </c>
      <c r="E9" s="38" t="n">
        <v>46246</v>
      </c>
      <c r="F9" s="34" t="n">
        <v>1800000</v>
      </c>
      <c r="G9" s="30" t="inlineStr">
        <is>
          <t>VOB/B</t>
        </is>
      </c>
      <c r="H9" s="32" t="n">
        <v>0.05</v>
      </c>
      <c r="I9" s="30" t="inlineStr">
        <is>
          <t>beauftragt</t>
        </is>
      </c>
      <c r="J9" s="30" t="inlineStr">
        <is>
          <t>Baubeginn 01.09.2026</t>
        </is>
      </c>
      <c r="K9" s="15">
        <f>IF(A9="","",SUMIFS('07_Nachtraege'!$E:$E,'07_Nachtraege'!$B:$B,C9,'07_Nachtraege'!$F:$F,"beauftragt"))</f>
        <v/>
      </c>
      <c r="L9" s="15">
        <f>IF(A9="","",F9+K9)</f>
        <v/>
      </c>
    </row>
    <row r="10">
      <c r="A10" s="30" t="inlineStr"/>
      <c r="B10" s="30" t="inlineStr"/>
      <c r="C10" s="30" t="inlineStr"/>
      <c r="D10" s="30" t="inlineStr"/>
      <c r="E10" s="38" t="inlineStr"/>
      <c r="F10" s="34" t="inlineStr"/>
      <c r="G10" s="30" t="inlineStr"/>
      <c r="H10" s="32" t="inlineStr"/>
      <c r="I10" s="30" t="inlineStr"/>
      <c r="J10" s="30" t="inlineStr"/>
      <c r="K10" s="15">
        <f>IF(A10="","",SUMIFS('07_Nachtraege'!$E:$E,'07_Nachtraege'!$B:$B,C10,'07_Nachtraege'!$F:$F,"beauftragt"))</f>
        <v/>
      </c>
      <c r="L10" s="15">
        <f>IF(A10="","",F10+K10)</f>
        <v/>
      </c>
    </row>
    <row r="11">
      <c r="A11" s="30" t="inlineStr"/>
      <c r="B11" s="30" t="inlineStr"/>
      <c r="C11" s="30" t="inlineStr"/>
      <c r="D11" s="30" t="inlineStr"/>
      <c r="E11" s="38" t="inlineStr"/>
      <c r="F11" s="34" t="inlineStr"/>
      <c r="G11" s="30" t="inlineStr"/>
      <c r="H11" s="32" t="inlineStr"/>
      <c r="I11" s="30" t="inlineStr"/>
      <c r="J11" s="30" t="inlineStr"/>
      <c r="K11" s="15">
        <f>IF(A11="","",SUMIFS('07_Nachtraege'!$E:$E,'07_Nachtraege'!$B:$B,C11,'07_Nachtraege'!$F:$F,"beauftragt"))</f>
        <v/>
      </c>
      <c r="L11" s="15">
        <f>IF(A11="","",F11+K11)</f>
        <v/>
      </c>
    </row>
    <row r="12">
      <c r="A12" s="30" t="inlineStr"/>
      <c r="B12" s="30" t="inlineStr"/>
      <c r="C12" s="30" t="inlineStr"/>
      <c r="D12" s="30" t="inlineStr"/>
      <c r="E12" s="38" t="inlineStr"/>
      <c r="F12" s="34" t="inlineStr"/>
      <c r="G12" s="30" t="inlineStr"/>
      <c r="H12" s="32" t="inlineStr"/>
      <c r="I12" s="30" t="inlineStr"/>
      <c r="J12" s="30" t="inlineStr"/>
      <c r="K12" s="15">
        <f>IF(A12="","",SUMIFS('07_Nachtraege'!$E:$E,'07_Nachtraege'!$B:$B,C12,'07_Nachtraege'!$F:$F,"beauftragt"))</f>
        <v/>
      </c>
      <c r="L12" s="15">
        <f>IF(A12="","",F12+K12)</f>
        <v/>
      </c>
    </row>
    <row r="13">
      <c r="A13" s="30" t="inlineStr"/>
      <c r="B13" s="30" t="inlineStr"/>
      <c r="C13" s="30" t="inlineStr"/>
      <c r="D13" s="30" t="inlineStr"/>
      <c r="E13" s="38" t="inlineStr"/>
      <c r="F13" s="34" t="inlineStr"/>
      <c r="G13" s="30" t="inlineStr"/>
      <c r="H13" s="32" t="inlineStr"/>
      <c r="I13" s="30" t="inlineStr"/>
      <c r="J13" s="30" t="inlineStr"/>
      <c r="K13" s="15">
        <f>IF(A13="","",SUMIFS('07_Nachtraege'!$E:$E,'07_Nachtraege'!$B:$B,C13,'07_Nachtraege'!$F:$F,"beauftragt"))</f>
        <v/>
      </c>
      <c r="L13" s="15">
        <f>IF(A13="","",F13+K13)</f>
        <v/>
      </c>
    </row>
    <row r="14">
      <c r="A14" s="30" t="inlineStr"/>
      <c r="B14" s="30" t="inlineStr"/>
      <c r="C14" s="30" t="inlineStr"/>
      <c r="D14" s="30" t="inlineStr"/>
      <c r="E14" s="38" t="inlineStr"/>
      <c r="F14" s="34" t="inlineStr"/>
      <c r="G14" s="30" t="inlineStr"/>
      <c r="H14" s="32" t="inlineStr"/>
      <c r="I14" s="30" t="inlineStr"/>
      <c r="J14" s="30" t="inlineStr"/>
      <c r="K14" s="15">
        <f>IF(A14="","",SUMIFS('07_Nachtraege'!$E:$E,'07_Nachtraege'!$B:$B,C14,'07_Nachtraege'!$F:$F,"beauftragt"))</f>
        <v/>
      </c>
      <c r="L14" s="15">
        <f>IF(A14="","",F14+K14)</f>
        <v/>
      </c>
    </row>
    <row r="15">
      <c r="A15" s="30" t="inlineStr"/>
      <c r="B15" s="30" t="inlineStr"/>
      <c r="C15" s="30" t="inlineStr"/>
      <c r="D15" s="30" t="inlineStr"/>
      <c r="E15" s="38" t="inlineStr"/>
      <c r="F15" s="34" t="inlineStr"/>
      <c r="G15" s="30" t="inlineStr"/>
      <c r="H15" s="32" t="inlineStr"/>
      <c r="I15" s="30" t="inlineStr"/>
      <c r="J15" s="30" t="inlineStr"/>
      <c r="K15" s="15">
        <f>IF(A15="","",SUMIFS('07_Nachtraege'!$E:$E,'07_Nachtraege'!$B:$B,C15,'07_Nachtraege'!$F:$F,"beauftragt"))</f>
        <v/>
      </c>
      <c r="L15" s="15">
        <f>IF(A15="","",F15+K15)</f>
        <v/>
      </c>
    </row>
    <row r="16">
      <c r="A16" s="30" t="inlineStr"/>
      <c r="B16" s="30" t="inlineStr"/>
      <c r="C16" s="30" t="inlineStr"/>
      <c r="D16" s="30" t="inlineStr"/>
      <c r="E16" s="38" t="inlineStr"/>
      <c r="F16" s="34" t="inlineStr"/>
      <c r="G16" s="30" t="inlineStr"/>
      <c r="H16" s="32" t="inlineStr"/>
      <c r="I16" s="30" t="inlineStr"/>
      <c r="J16" s="30" t="inlineStr"/>
      <c r="K16" s="15">
        <f>IF(A16="","",SUMIFS('07_Nachtraege'!$E:$E,'07_Nachtraege'!$B:$B,C16,'07_Nachtraege'!$F:$F,"beauftragt"))</f>
        <v/>
      </c>
      <c r="L16" s="15">
        <f>IF(A16="","",F16+K16)</f>
        <v/>
      </c>
    </row>
    <row r="17">
      <c r="A17" s="30" t="inlineStr"/>
      <c r="B17" s="30" t="inlineStr"/>
      <c r="C17" s="30" t="inlineStr"/>
      <c r="D17" s="30" t="inlineStr"/>
      <c r="E17" s="38" t="inlineStr"/>
      <c r="F17" s="34" t="inlineStr"/>
      <c r="G17" s="30" t="inlineStr"/>
      <c r="H17" s="32" t="inlineStr"/>
      <c r="I17" s="30" t="inlineStr"/>
      <c r="J17" s="30" t="inlineStr"/>
      <c r="K17" s="15">
        <f>IF(A17="","",SUMIFS('07_Nachtraege'!$E:$E,'07_Nachtraege'!$B:$B,C17,'07_Nachtraege'!$F:$F,"beauftragt"))</f>
        <v/>
      </c>
      <c r="L17" s="15">
        <f>IF(A17="","",F17+K17)</f>
        <v/>
      </c>
    </row>
    <row r="18">
      <c r="A18" s="30" t="inlineStr"/>
      <c r="B18" s="30" t="inlineStr"/>
      <c r="C18" s="30" t="inlineStr"/>
      <c r="D18" s="30" t="inlineStr"/>
      <c r="E18" s="38" t="inlineStr"/>
      <c r="F18" s="34" t="inlineStr"/>
      <c r="G18" s="30" t="inlineStr"/>
      <c r="H18" s="32" t="inlineStr"/>
      <c r="I18" s="30" t="inlineStr"/>
      <c r="J18" s="30" t="inlineStr"/>
      <c r="K18" s="15">
        <f>IF(A18="","",SUMIFS('07_Nachtraege'!$E:$E,'07_Nachtraege'!$B:$B,C18,'07_Nachtraege'!$F:$F,"beauftragt"))</f>
        <v/>
      </c>
      <c r="L18" s="15">
        <f>IF(A18="","",F18+K18)</f>
        <v/>
      </c>
    </row>
    <row r="19">
      <c r="A19" s="30" t="inlineStr"/>
      <c r="B19" s="30" t="inlineStr"/>
      <c r="C19" s="30" t="inlineStr"/>
      <c r="D19" s="30" t="inlineStr"/>
      <c r="E19" s="38" t="inlineStr"/>
      <c r="F19" s="34" t="inlineStr"/>
      <c r="G19" s="30" t="inlineStr"/>
      <c r="H19" s="32" t="inlineStr"/>
      <c r="I19" s="30" t="inlineStr"/>
      <c r="J19" s="30" t="inlineStr"/>
      <c r="K19" s="15">
        <f>IF(A19="","",SUMIFS('07_Nachtraege'!$E:$E,'07_Nachtraege'!$B:$B,C19,'07_Nachtraege'!$F:$F,"beauftragt"))</f>
        <v/>
      </c>
      <c r="L19" s="15">
        <f>IF(A19="","",F19+K19)</f>
        <v/>
      </c>
    </row>
    <row r="20">
      <c r="A20" s="30" t="inlineStr"/>
      <c r="B20" s="30" t="inlineStr"/>
      <c r="C20" s="30" t="inlineStr"/>
      <c r="D20" s="30" t="inlineStr"/>
      <c r="E20" s="38" t="inlineStr"/>
      <c r="F20" s="34" t="inlineStr"/>
      <c r="G20" s="30" t="inlineStr"/>
      <c r="H20" s="32" t="inlineStr"/>
      <c r="I20" s="30" t="inlineStr"/>
      <c r="J20" s="30" t="inlineStr"/>
      <c r="K20" s="15">
        <f>IF(A20="","",SUMIFS('07_Nachtraege'!$E:$E,'07_Nachtraege'!$B:$B,C20,'07_Nachtraege'!$F:$F,"beauftragt"))</f>
        <v/>
      </c>
      <c r="L20" s="15">
        <f>IF(A20="","",F20+K20)</f>
        <v/>
      </c>
    </row>
    <row r="21">
      <c r="A21" s="30" t="inlineStr"/>
      <c r="B21" s="30" t="inlineStr"/>
      <c r="C21" s="30" t="inlineStr"/>
      <c r="D21" s="30" t="inlineStr"/>
      <c r="E21" s="38" t="inlineStr"/>
      <c r="F21" s="34" t="inlineStr"/>
      <c r="G21" s="30" t="inlineStr"/>
      <c r="H21" s="32" t="inlineStr"/>
      <c r="I21" s="30" t="inlineStr"/>
      <c r="J21" s="30" t="inlineStr"/>
      <c r="K21" s="15">
        <f>IF(A21="","",SUMIFS('07_Nachtraege'!$E:$E,'07_Nachtraege'!$B:$B,C21,'07_Nachtraege'!$F:$F,"beauftragt"))</f>
        <v/>
      </c>
      <c r="L21" s="15">
        <f>IF(A21="","",F21+K21)</f>
        <v/>
      </c>
    </row>
    <row r="22">
      <c r="A22" s="30" t="inlineStr"/>
      <c r="B22" s="30" t="inlineStr"/>
      <c r="C22" s="30" t="inlineStr"/>
      <c r="D22" s="30" t="inlineStr"/>
      <c r="E22" s="38" t="inlineStr"/>
      <c r="F22" s="34" t="inlineStr"/>
      <c r="G22" s="30" t="inlineStr"/>
      <c r="H22" s="32" t="inlineStr"/>
      <c r="I22" s="30" t="inlineStr"/>
      <c r="J22" s="30" t="inlineStr"/>
      <c r="K22" s="15">
        <f>IF(A22="","",SUMIFS('07_Nachtraege'!$E:$E,'07_Nachtraege'!$B:$B,C22,'07_Nachtraege'!$F:$F,"beauftragt"))</f>
        <v/>
      </c>
      <c r="L22" s="15">
        <f>IF(A22="","",F22+K22)</f>
        <v/>
      </c>
    </row>
    <row r="23">
      <c r="A23" s="30" t="inlineStr"/>
      <c r="B23" s="30" t="inlineStr"/>
      <c r="C23" s="30" t="inlineStr"/>
      <c r="D23" s="30" t="inlineStr"/>
      <c r="E23" s="38" t="inlineStr"/>
      <c r="F23" s="34" t="inlineStr"/>
      <c r="G23" s="30" t="inlineStr"/>
      <c r="H23" s="32" t="inlineStr"/>
      <c r="I23" s="30" t="inlineStr"/>
      <c r="J23" s="30" t="inlineStr"/>
      <c r="K23" s="15">
        <f>IF(A23="","",SUMIFS('07_Nachtraege'!$E:$E,'07_Nachtraege'!$B:$B,C23,'07_Nachtraege'!$F:$F,"beauftragt"))</f>
        <v/>
      </c>
      <c r="L23" s="15">
        <f>IF(A23="","",F23+K23)</f>
        <v/>
      </c>
    </row>
    <row r="24">
      <c r="A24" s="30" t="inlineStr"/>
      <c r="B24" s="30" t="inlineStr"/>
      <c r="C24" s="30" t="inlineStr"/>
      <c r="D24" s="30" t="inlineStr"/>
      <c r="E24" s="38" t="inlineStr"/>
      <c r="F24" s="34" t="inlineStr"/>
      <c r="G24" s="30" t="inlineStr"/>
      <c r="H24" s="32" t="inlineStr"/>
      <c r="I24" s="30" t="inlineStr"/>
      <c r="J24" s="30" t="inlineStr"/>
      <c r="K24" s="15">
        <f>IF(A24="","",SUMIFS('07_Nachtraege'!$E:$E,'07_Nachtraege'!$B:$B,C24,'07_Nachtraege'!$F:$F,"beauftragt"))</f>
        <v/>
      </c>
      <c r="L24" s="15">
        <f>IF(A24="","",F24+K24)</f>
        <v/>
      </c>
    </row>
    <row r="25">
      <c r="A25" s="30" t="inlineStr"/>
      <c r="B25" s="30" t="inlineStr"/>
      <c r="C25" s="30" t="inlineStr"/>
      <c r="D25" s="30" t="inlineStr"/>
      <c r="E25" s="38" t="inlineStr"/>
      <c r="F25" s="34" t="inlineStr"/>
      <c r="G25" s="30" t="inlineStr"/>
      <c r="H25" s="32" t="inlineStr"/>
      <c r="I25" s="30" t="inlineStr"/>
      <c r="J25" s="30" t="inlineStr"/>
      <c r="K25" s="15">
        <f>IF(A25="","",SUMIFS('07_Nachtraege'!$E:$E,'07_Nachtraege'!$B:$B,C25,'07_Nachtraege'!$F:$F,"beauftragt"))</f>
        <v/>
      </c>
      <c r="L25" s="15">
        <f>IF(A25="","",F25+K25)</f>
        <v/>
      </c>
    </row>
    <row r="26">
      <c r="A26" s="30" t="inlineStr"/>
      <c r="B26" s="30" t="inlineStr"/>
      <c r="C26" s="30" t="inlineStr"/>
      <c r="D26" s="30" t="inlineStr"/>
      <c r="E26" s="38" t="inlineStr"/>
      <c r="F26" s="34" t="inlineStr"/>
      <c r="G26" s="30" t="inlineStr"/>
      <c r="H26" s="32" t="inlineStr"/>
      <c r="I26" s="30" t="inlineStr"/>
      <c r="J26" s="30" t="inlineStr"/>
      <c r="K26" s="15">
        <f>IF(A26="","",SUMIFS('07_Nachtraege'!$E:$E,'07_Nachtraege'!$B:$B,C26,'07_Nachtraege'!$F:$F,"beauftragt"))</f>
        <v/>
      </c>
      <c r="L26" s="15">
        <f>IF(A26="","",F26+K26)</f>
        <v/>
      </c>
    </row>
    <row r="27">
      <c r="A27" s="30" t="inlineStr"/>
      <c r="B27" s="30" t="inlineStr"/>
      <c r="C27" s="30" t="inlineStr"/>
      <c r="D27" s="30" t="inlineStr"/>
      <c r="E27" s="38" t="inlineStr"/>
      <c r="F27" s="34" t="inlineStr"/>
      <c r="G27" s="30" t="inlineStr"/>
      <c r="H27" s="32" t="inlineStr"/>
      <c r="I27" s="30" t="inlineStr"/>
      <c r="J27" s="30" t="inlineStr"/>
      <c r="K27" s="15">
        <f>IF(A27="","",SUMIFS('07_Nachtraege'!$E:$E,'07_Nachtraege'!$B:$B,C27,'07_Nachtraege'!$F:$F,"beauftragt"))</f>
        <v/>
      </c>
      <c r="L27" s="15">
        <f>IF(A27="","",F27+K27)</f>
        <v/>
      </c>
    </row>
    <row r="28">
      <c r="A28" s="30" t="inlineStr"/>
      <c r="B28" s="30" t="inlineStr"/>
      <c r="C28" s="30" t="inlineStr"/>
      <c r="D28" s="30" t="inlineStr"/>
      <c r="E28" s="38" t="inlineStr"/>
      <c r="F28" s="34" t="inlineStr"/>
      <c r="G28" s="30" t="inlineStr"/>
      <c r="H28" s="32" t="inlineStr"/>
      <c r="I28" s="30" t="inlineStr"/>
      <c r="J28" s="30" t="inlineStr"/>
      <c r="K28" s="15">
        <f>IF(A28="","",SUMIFS('07_Nachtraege'!$E:$E,'07_Nachtraege'!$B:$B,C28,'07_Nachtraege'!$F:$F,"beauftragt"))</f>
        <v/>
      </c>
      <c r="L28" s="15">
        <f>IF(A28="","",F28+K28)</f>
        <v/>
      </c>
    </row>
    <row r="29">
      <c r="A29" s="30" t="inlineStr"/>
      <c r="B29" s="30" t="inlineStr"/>
      <c r="C29" s="30" t="inlineStr"/>
      <c r="D29" s="30" t="inlineStr"/>
      <c r="E29" s="38" t="inlineStr"/>
      <c r="F29" s="34" t="inlineStr"/>
      <c r="G29" s="30" t="inlineStr"/>
      <c r="H29" s="32" t="inlineStr"/>
      <c r="I29" s="30" t="inlineStr"/>
      <c r="J29" s="30" t="inlineStr"/>
      <c r="K29" s="15">
        <f>IF(A29="","",SUMIFS('07_Nachtraege'!$E:$E,'07_Nachtraege'!$B:$B,C29,'07_Nachtraege'!$F:$F,"beauftragt"))</f>
        <v/>
      </c>
      <c r="L29" s="15">
        <f>IF(A29="","",F29+K29)</f>
        <v/>
      </c>
    </row>
    <row r="30">
      <c r="A30" s="30" t="inlineStr"/>
      <c r="B30" s="30" t="inlineStr"/>
      <c r="C30" s="30" t="inlineStr"/>
      <c r="D30" s="30" t="inlineStr"/>
      <c r="E30" s="38" t="inlineStr"/>
      <c r="F30" s="34" t="inlineStr"/>
      <c r="G30" s="30" t="inlineStr"/>
      <c r="H30" s="32" t="inlineStr"/>
      <c r="I30" s="30" t="inlineStr"/>
      <c r="J30" s="30" t="inlineStr"/>
      <c r="K30" s="15">
        <f>IF(A30="","",SUMIFS('07_Nachtraege'!$E:$E,'07_Nachtraege'!$B:$B,C30,'07_Nachtraege'!$F:$F,"beauftragt"))</f>
        <v/>
      </c>
      <c r="L30" s="15">
        <f>IF(A30="","",F30+K30)</f>
        <v/>
      </c>
    </row>
    <row r="31">
      <c r="A31" s="30" t="inlineStr"/>
      <c r="B31" s="30" t="inlineStr"/>
      <c r="C31" s="30" t="inlineStr"/>
      <c r="D31" s="30" t="inlineStr"/>
      <c r="E31" s="38" t="inlineStr"/>
      <c r="F31" s="34" t="inlineStr"/>
      <c r="G31" s="30" t="inlineStr"/>
      <c r="H31" s="32" t="inlineStr"/>
      <c r="I31" s="30" t="inlineStr"/>
      <c r="J31" s="30" t="inlineStr"/>
      <c r="K31" s="15">
        <f>IF(A31="","",SUMIFS('07_Nachtraege'!$E:$E,'07_Nachtraege'!$B:$B,C31,'07_Nachtraege'!$F:$F,"beauftragt"))</f>
        <v/>
      </c>
      <c r="L31" s="15">
        <f>IF(A31="","",F31+K31)</f>
        <v/>
      </c>
    </row>
    <row r="32">
      <c r="A32" s="30" t="inlineStr"/>
      <c r="B32" s="30" t="inlineStr"/>
      <c r="C32" s="30" t="inlineStr"/>
      <c r="D32" s="30" t="inlineStr"/>
      <c r="E32" s="38" t="inlineStr"/>
      <c r="F32" s="34" t="inlineStr"/>
      <c r="G32" s="30" t="inlineStr"/>
      <c r="H32" s="32" t="inlineStr"/>
      <c r="I32" s="30" t="inlineStr"/>
      <c r="J32" s="30" t="inlineStr"/>
      <c r="K32" s="15">
        <f>IF(A32="","",SUMIFS('07_Nachtraege'!$E:$E,'07_Nachtraege'!$B:$B,C32,'07_Nachtraege'!$F:$F,"beauftragt"))</f>
        <v/>
      </c>
      <c r="L32" s="15">
        <f>IF(A32="","",F32+K32)</f>
        <v/>
      </c>
    </row>
    <row r="33">
      <c r="A33" s="30" t="inlineStr"/>
      <c r="B33" s="30" t="inlineStr"/>
      <c r="C33" s="30" t="inlineStr"/>
      <c r="D33" s="30" t="inlineStr"/>
      <c r="E33" s="38" t="inlineStr"/>
      <c r="F33" s="34" t="inlineStr"/>
      <c r="G33" s="30" t="inlineStr"/>
      <c r="H33" s="32" t="inlineStr"/>
      <c r="I33" s="30" t="inlineStr"/>
      <c r="J33" s="30" t="inlineStr"/>
      <c r="K33" s="15">
        <f>IF(A33="","",SUMIFS('07_Nachtraege'!$E:$E,'07_Nachtraege'!$B:$B,C33,'07_Nachtraege'!$F:$F,"beauftragt"))</f>
        <v/>
      </c>
      <c r="L33" s="15">
        <f>IF(A33="","",F33+K33)</f>
        <v/>
      </c>
    </row>
    <row r="34">
      <c r="A34" s="30" t="inlineStr"/>
      <c r="B34" s="30" t="inlineStr"/>
      <c r="C34" s="30" t="inlineStr"/>
      <c r="D34" s="30" t="inlineStr"/>
      <c r="E34" s="38" t="inlineStr"/>
      <c r="F34" s="34" t="inlineStr"/>
      <c r="G34" s="30" t="inlineStr"/>
      <c r="H34" s="32" t="inlineStr"/>
      <c r="I34" s="30" t="inlineStr"/>
      <c r="J34" s="30" t="inlineStr"/>
      <c r="K34" s="15">
        <f>IF(A34="","",SUMIFS('07_Nachtraege'!$E:$E,'07_Nachtraege'!$B:$B,C34,'07_Nachtraege'!$F:$F,"beauftragt"))</f>
        <v/>
      </c>
      <c r="L34" s="15">
        <f>IF(A34="","",F34+K34)</f>
        <v/>
      </c>
    </row>
    <row r="35">
      <c r="A35" s="30" t="inlineStr"/>
      <c r="B35" s="30" t="inlineStr"/>
      <c r="C35" s="30" t="inlineStr"/>
      <c r="D35" s="30" t="inlineStr"/>
      <c r="E35" s="38" t="inlineStr"/>
      <c r="F35" s="34" t="inlineStr"/>
      <c r="G35" s="30" t="inlineStr"/>
      <c r="H35" s="32" t="inlineStr"/>
      <c r="I35" s="30" t="inlineStr"/>
      <c r="J35" s="30" t="inlineStr"/>
      <c r="K35" s="15">
        <f>IF(A35="","",SUMIFS('07_Nachtraege'!$E:$E,'07_Nachtraege'!$B:$B,C35,'07_Nachtraege'!$F:$F,"beauftragt"))</f>
        <v/>
      </c>
      <c r="L35" s="15">
        <f>IF(A35="","",F35+K35)</f>
        <v/>
      </c>
    </row>
    <row r="36">
      <c r="A36" s="30" t="inlineStr"/>
      <c r="B36" s="30" t="inlineStr"/>
      <c r="C36" s="30" t="inlineStr"/>
      <c r="D36" s="30" t="inlineStr"/>
      <c r="E36" s="38" t="inlineStr"/>
      <c r="F36" s="34" t="inlineStr"/>
      <c r="G36" s="30" t="inlineStr"/>
      <c r="H36" s="32" t="inlineStr"/>
      <c r="I36" s="30" t="inlineStr"/>
      <c r="J36" s="30" t="inlineStr"/>
      <c r="K36" s="15">
        <f>IF(A36="","",SUMIFS('07_Nachtraege'!$E:$E,'07_Nachtraege'!$B:$B,C36,'07_Nachtraege'!$F:$F,"beauftragt"))</f>
        <v/>
      </c>
      <c r="L36" s="15">
        <f>IF(A36="","",F36+K36)</f>
        <v/>
      </c>
    </row>
    <row r="37">
      <c r="A37" s="30" t="inlineStr"/>
      <c r="B37" s="30" t="inlineStr"/>
      <c r="C37" s="30" t="inlineStr"/>
      <c r="D37" s="30" t="inlineStr"/>
      <c r="E37" s="38" t="inlineStr"/>
      <c r="F37" s="34" t="inlineStr"/>
      <c r="G37" s="30" t="inlineStr"/>
      <c r="H37" s="32" t="inlineStr"/>
      <c r="I37" s="30" t="inlineStr"/>
      <c r="J37" s="30" t="inlineStr"/>
      <c r="K37" s="15">
        <f>IF(A37="","",SUMIFS('07_Nachtraege'!$E:$E,'07_Nachtraege'!$B:$B,C37,'07_Nachtraege'!$F:$F,"beauftragt"))</f>
        <v/>
      </c>
      <c r="L37" s="15">
        <f>IF(A37="","",F37+K37)</f>
        <v/>
      </c>
    </row>
    <row r="38">
      <c r="A38" s="30" t="inlineStr"/>
      <c r="B38" s="30" t="inlineStr"/>
      <c r="C38" s="30" t="inlineStr"/>
      <c r="D38" s="30" t="inlineStr"/>
      <c r="E38" s="38" t="inlineStr"/>
      <c r="F38" s="34" t="inlineStr"/>
      <c r="G38" s="30" t="inlineStr"/>
      <c r="H38" s="32" t="inlineStr"/>
      <c r="I38" s="30" t="inlineStr"/>
      <c r="J38" s="30" t="inlineStr"/>
      <c r="K38" s="15">
        <f>IF(A38="","",SUMIFS('07_Nachtraege'!$E:$E,'07_Nachtraege'!$B:$B,C38,'07_Nachtraege'!$F:$F,"beauftragt"))</f>
        <v/>
      </c>
      <c r="L38" s="15">
        <f>IF(A38="","",F38+K38)</f>
        <v/>
      </c>
    </row>
    <row r="39">
      <c r="A39" s="30" t="inlineStr"/>
      <c r="B39" s="30" t="inlineStr"/>
      <c r="C39" s="30" t="inlineStr"/>
      <c r="D39" s="30" t="inlineStr"/>
      <c r="E39" s="38" t="inlineStr"/>
      <c r="F39" s="34" t="inlineStr"/>
      <c r="G39" s="30" t="inlineStr"/>
      <c r="H39" s="32" t="inlineStr"/>
      <c r="I39" s="30" t="inlineStr"/>
      <c r="J39" s="30" t="inlineStr"/>
      <c r="K39" s="15">
        <f>IF(A39="","",SUMIFS('07_Nachtraege'!$E:$E,'07_Nachtraege'!$B:$B,C39,'07_Nachtraege'!$F:$F,"beauftragt"))</f>
        <v/>
      </c>
      <c r="L39" s="15">
        <f>IF(A39="","",F39+K39)</f>
        <v/>
      </c>
    </row>
    <row r="40">
      <c r="A40" s="30" t="inlineStr"/>
      <c r="B40" s="30" t="inlineStr"/>
      <c r="C40" s="30" t="inlineStr"/>
      <c r="D40" s="30" t="inlineStr"/>
      <c r="E40" s="38" t="inlineStr"/>
      <c r="F40" s="34" t="inlineStr"/>
      <c r="G40" s="30" t="inlineStr"/>
      <c r="H40" s="32" t="inlineStr"/>
      <c r="I40" s="30" t="inlineStr"/>
      <c r="J40" s="30" t="inlineStr"/>
      <c r="K40" s="15">
        <f>IF(A40="","",SUMIFS('07_Nachtraege'!$E:$E,'07_Nachtraege'!$B:$B,C40,'07_Nachtraege'!$F:$F,"beauftragt"))</f>
        <v/>
      </c>
      <c r="L40" s="15">
        <f>IF(A40="","",F40+K40)</f>
        <v/>
      </c>
    </row>
    <row r="41">
      <c r="A41" s="30" t="inlineStr"/>
      <c r="B41" s="30" t="inlineStr"/>
      <c r="C41" s="30" t="inlineStr"/>
      <c r="D41" s="30" t="inlineStr"/>
      <c r="E41" s="38" t="inlineStr"/>
      <c r="F41" s="34" t="inlineStr"/>
      <c r="G41" s="30" t="inlineStr"/>
      <c r="H41" s="32" t="inlineStr"/>
      <c r="I41" s="30" t="inlineStr"/>
      <c r="J41" s="30" t="inlineStr"/>
      <c r="K41" s="15">
        <f>IF(A41="","",SUMIFS('07_Nachtraege'!$E:$E,'07_Nachtraege'!$B:$B,C41,'07_Nachtraege'!$F:$F,"beauftragt"))</f>
        <v/>
      </c>
      <c r="L41" s="15">
        <f>IF(A41="","",F41+K41)</f>
        <v/>
      </c>
    </row>
    <row r="42">
      <c r="A42" s="30" t="inlineStr"/>
      <c r="B42" s="30" t="inlineStr"/>
      <c r="C42" s="30" t="inlineStr"/>
      <c r="D42" s="30" t="inlineStr"/>
      <c r="E42" s="38" t="inlineStr"/>
      <c r="F42" s="34" t="inlineStr"/>
      <c r="G42" s="30" t="inlineStr"/>
      <c r="H42" s="32" t="inlineStr"/>
      <c r="I42" s="30" t="inlineStr"/>
      <c r="J42" s="30" t="inlineStr"/>
      <c r="K42" s="15">
        <f>IF(A42="","",SUMIFS('07_Nachtraege'!$E:$E,'07_Nachtraege'!$B:$B,C42,'07_Nachtraege'!$F:$F,"beauftragt"))</f>
        <v/>
      </c>
      <c r="L42" s="15">
        <f>IF(A42="","",F42+K42)</f>
        <v/>
      </c>
    </row>
    <row r="43">
      <c r="A43" s="30" t="inlineStr"/>
      <c r="B43" s="30" t="inlineStr"/>
      <c r="C43" s="30" t="inlineStr"/>
      <c r="D43" s="30" t="inlineStr"/>
      <c r="E43" s="38" t="inlineStr"/>
      <c r="F43" s="34" t="inlineStr"/>
      <c r="G43" s="30" t="inlineStr"/>
      <c r="H43" s="32" t="inlineStr"/>
      <c r="I43" s="30" t="inlineStr"/>
      <c r="J43" s="30" t="inlineStr"/>
      <c r="K43" s="15">
        <f>IF(A43="","",SUMIFS('07_Nachtraege'!$E:$E,'07_Nachtraege'!$B:$B,C43,'07_Nachtraege'!$F:$F,"beauftragt"))</f>
        <v/>
      </c>
      <c r="L43" s="15">
        <f>IF(A43="","",F43+K43)</f>
        <v/>
      </c>
    </row>
    <row r="44">
      <c r="A44" s="30" t="inlineStr"/>
      <c r="B44" s="30" t="inlineStr"/>
      <c r="C44" s="30" t="inlineStr"/>
      <c r="D44" s="30" t="inlineStr"/>
      <c r="E44" s="38" t="inlineStr"/>
      <c r="F44" s="34" t="inlineStr"/>
      <c r="G44" s="30" t="inlineStr"/>
      <c r="H44" s="32" t="inlineStr"/>
      <c r="I44" s="30" t="inlineStr"/>
      <c r="J44" s="30" t="inlineStr"/>
      <c r="K44" s="15">
        <f>IF(A44="","",SUMIFS('07_Nachtraege'!$E:$E,'07_Nachtraege'!$B:$B,C44,'07_Nachtraege'!$F:$F,"beauftragt"))</f>
        <v/>
      </c>
      <c r="L44" s="15">
        <f>IF(A44="","",F44+K44)</f>
        <v/>
      </c>
    </row>
    <row r="45">
      <c r="A45" s="30" t="inlineStr"/>
      <c r="B45" s="30" t="inlineStr"/>
      <c r="C45" s="30" t="inlineStr"/>
      <c r="D45" s="30" t="inlineStr"/>
      <c r="E45" s="38" t="inlineStr"/>
      <c r="F45" s="34" t="inlineStr"/>
      <c r="G45" s="30" t="inlineStr"/>
      <c r="H45" s="32" t="inlineStr"/>
      <c r="I45" s="30" t="inlineStr"/>
      <c r="J45" s="30" t="inlineStr"/>
      <c r="K45" s="15">
        <f>IF(A45="","",SUMIFS('07_Nachtraege'!$E:$E,'07_Nachtraege'!$B:$B,C45,'07_Nachtraege'!$F:$F,"beauftragt"))</f>
        <v/>
      </c>
      <c r="L45" s="15">
        <f>IF(A45="","",F45+K45)</f>
        <v/>
      </c>
    </row>
    <row r="46">
      <c r="A46" s="30" t="inlineStr"/>
      <c r="B46" s="30" t="inlineStr"/>
      <c r="C46" s="30" t="inlineStr"/>
      <c r="D46" s="30" t="inlineStr"/>
      <c r="E46" s="38" t="inlineStr"/>
      <c r="F46" s="34" t="inlineStr"/>
      <c r="G46" s="30" t="inlineStr"/>
      <c r="H46" s="32" t="inlineStr"/>
      <c r="I46" s="30" t="inlineStr"/>
      <c r="J46" s="30" t="inlineStr"/>
      <c r="K46" s="15">
        <f>IF(A46="","",SUMIFS('07_Nachtraege'!$E:$E,'07_Nachtraege'!$B:$B,C46,'07_Nachtraege'!$F:$F,"beauftragt"))</f>
        <v/>
      </c>
      <c r="L46" s="15">
        <f>IF(A46="","",F46+K46)</f>
        <v/>
      </c>
    </row>
    <row r="47">
      <c r="A47" s="30" t="inlineStr"/>
      <c r="B47" s="30" t="inlineStr"/>
      <c r="C47" s="30" t="inlineStr"/>
      <c r="D47" s="30" t="inlineStr"/>
      <c r="E47" s="38" t="inlineStr"/>
      <c r="F47" s="34" t="inlineStr"/>
      <c r="G47" s="30" t="inlineStr"/>
      <c r="H47" s="32" t="inlineStr"/>
      <c r="I47" s="30" t="inlineStr"/>
      <c r="J47" s="30" t="inlineStr"/>
      <c r="K47" s="15">
        <f>IF(A47="","",SUMIFS('07_Nachtraege'!$E:$E,'07_Nachtraege'!$B:$B,C47,'07_Nachtraege'!$F:$F,"beauftragt"))</f>
        <v/>
      </c>
      <c r="L47" s="15">
        <f>IF(A47="","",F47+K47)</f>
        <v/>
      </c>
    </row>
    <row r="48">
      <c r="A48" s="30" t="inlineStr"/>
      <c r="B48" s="30" t="inlineStr"/>
      <c r="C48" s="30" t="inlineStr"/>
      <c r="D48" s="30" t="inlineStr"/>
      <c r="E48" s="38" t="inlineStr"/>
      <c r="F48" s="34" t="inlineStr"/>
      <c r="G48" s="30" t="inlineStr"/>
      <c r="H48" s="32" t="inlineStr"/>
      <c r="I48" s="30" t="inlineStr"/>
      <c r="J48" s="30" t="inlineStr"/>
      <c r="K48" s="15">
        <f>IF(A48="","",SUMIFS('07_Nachtraege'!$E:$E,'07_Nachtraege'!$B:$B,C48,'07_Nachtraege'!$F:$F,"beauftragt"))</f>
        <v/>
      </c>
      <c r="L48" s="15">
        <f>IF(A48="","",F48+K48)</f>
        <v/>
      </c>
    </row>
    <row r="49">
      <c r="A49" s="30" t="inlineStr"/>
      <c r="B49" s="30" t="inlineStr"/>
      <c r="C49" s="30" t="inlineStr"/>
      <c r="D49" s="30" t="inlineStr"/>
      <c r="E49" s="38" t="inlineStr"/>
      <c r="F49" s="34" t="inlineStr"/>
      <c r="G49" s="30" t="inlineStr"/>
      <c r="H49" s="32" t="inlineStr"/>
      <c r="I49" s="30" t="inlineStr"/>
      <c r="J49" s="30" t="inlineStr"/>
      <c r="K49" s="15">
        <f>IF(A49="","",SUMIFS('07_Nachtraege'!$E:$E,'07_Nachtraege'!$B:$B,C49,'07_Nachtraege'!$F:$F,"beauftragt"))</f>
        <v/>
      </c>
      <c r="L49" s="15">
        <f>IF(A49="","",F49+K49)</f>
        <v/>
      </c>
    </row>
    <row r="50">
      <c r="A50" s="30" t="inlineStr"/>
      <c r="B50" s="30" t="inlineStr"/>
      <c r="C50" s="30" t="inlineStr"/>
      <c r="D50" s="30" t="inlineStr"/>
      <c r="E50" s="38" t="inlineStr"/>
      <c r="F50" s="34" t="inlineStr"/>
      <c r="G50" s="30" t="inlineStr"/>
      <c r="H50" s="32" t="inlineStr"/>
      <c r="I50" s="30" t="inlineStr"/>
      <c r="J50" s="30" t="inlineStr"/>
      <c r="K50" s="15">
        <f>IF(A50="","",SUMIFS('07_Nachtraege'!$E:$E,'07_Nachtraege'!$B:$B,C50,'07_Nachtraege'!$F:$F,"beauftragt"))</f>
        <v/>
      </c>
      <c r="L50" s="15">
        <f>IF(A50="","",F50+K50)</f>
        <v/>
      </c>
    </row>
    <row r="51">
      <c r="A51" s="30" t="inlineStr"/>
      <c r="B51" s="30" t="inlineStr"/>
      <c r="C51" s="30" t="inlineStr"/>
      <c r="D51" s="30" t="inlineStr"/>
      <c r="E51" s="38" t="inlineStr"/>
      <c r="F51" s="34" t="inlineStr"/>
      <c r="G51" s="30" t="inlineStr"/>
      <c r="H51" s="32" t="inlineStr"/>
      <c r="I51" s="30" t="inlineStr"/>
      <c r="J51" s="30" t="inlineStr"/>
      <c r="K51" s="15">
        <f>IF(A51="","",SUMIFS('07_Nachtraege'!$E:$E,'07_Nachtraege'!$B:$B,C51,'07_Nachtraege'!$F:$F,"beauftragt"))</f>
        <v/>
      </c>
      <c r="L51" s="15">
        <f>IF(A51="","",F51+K51)</f>
        <v/>
      </c>
    </row>
    <row r="52">
      <c r="A52" s="30" t="inlineStr"/>
      <c r="B52" s="30" t="inlineStr"/>
      <c r="C52" s="30" t="inlineStr"/>
      <c r="D52" s="30" t="inlineStr"/>
      <c r="E52" s="38" t="inlineStr"/>
      <c r="F52" s="34" t="inlineStr"/>
      <c r="G52" s="30" t="inlineStr"/>
      <c r="H52" s="32" t="inlineStr"/>
      <c r="I52" s="30" t="inlineStr"/>
      <c r="J52" s="30" t="inlineStr"/>
      <c r="K52" s="15">
        <f>IF(A52="","",SUMIFS('07_Nachtraege'!$E:$E,'07_Nachtraege'!$B:$B,C52,'07_Nachtraege'!$F:$F,"beauftragt"))</f>
        <v/>
      </c>
      <c r="L52" s="15">
        <f>IF(A52="","",F52+K52)</f>
        <v/>
      </c>
    </row>
    <row r="53">
      <c r="A53" s="30" t="inlineStr"/>
      <c r="B53" s="30" t="inlineStr"/>
      <c r="C53" s="30" t="inlineStr"/>
      <c r="D53" s="30" t="inlineStr"/>
      <c r="E53" s="38" t="inlineStr"/>
      <c r="F53" s="34" t="inlineStr"/>
      <c r="G53" s="30" t="inlineStr"/>
      <c r="H53" s="32" t="inlineStr"/>
      <c r="I53" s="30" t="inlineStr"/>
      <c r="J53" s="30" t="inlineStr"/>
      <c r="K53" s="15">
        <f>IF(A53="","",SUMIFS('07_Nachtraege'!$E:$E,'07_Nachtraege'!$B:$B,C53,'07_Nachtraege'!$F:$F,"beauftragt"))</f>
        <v/>
      </c>
      <c r="L53" s="15">
        <f>IF(A53="","",F53+K53)</f>
        <v/>
      </c>
    </row>
    <row r="54">
      <c r="A54" s="30" t="inlineStr"/>
      <c r="B54" s="30" t="inlineStr"/>
      <c r="C54" s="30" t="inlineStr"/>
      <c r="D54" s="30" t="inlineStr"/>
      <c r="E54" s="38" t="inlineStr"/>
      <c r="F54" s="34" t="inlineStr"/>
      <c r="G54" s="30" t="inlineStr"/>
      <c r="H54" s="32" t="inlineStr"/>
      <c r="I54" s="30" t="inlineStr"/>
      <c r="J54" s="30" t="inlineStr"/>
      <c r="K54" s="15">
        <f>IF(A54="","",SUMIFS('07_Nachtraege'!$E:$E,'07_Nachtraege'!$B:$B,C54,'07_Nachtraege'!$F:$F,"beauftragt"))</f>
        <v/>
      </c>
      <c r="L54" s="15">
        <f>IF(A54="","",F54+K54)</f>
        <v/>
      </c>
    </row>
    <row r="55">
      <c r="A55" s="30" t="inlineStr"/>
      <c r="B55" s="30" t="inlineStr"/>
      <c r="C55" s="30" t="inlineStr"/>
      <c r="D55" s="30" t="inlineStr"/>
      <c r="E55" s="38" t="inlineStr"/>
      <c r="F55" s="34" t="inlineStr"/>
      <c r="G55" s="30" t="inlineStr"/>
      <c r="H55" s="32" t="inlineStr"/>
      <c r="I55" s="30" t="inlineStr"/>
      <c r="J55" s="30" t="inlineStr"/>
      <c r="K55" s="15">
        <f>IF(A55="","",SUMIFS('07_Nachtraege'!$E:$E,'07_Nachtraege'!$B:$B,C55,'07_Nachtraege'!$F:$F,"beauftragt"))</f>
        <v/>
      </c>
      <c r="L55" s="15">
        <f>IF(A55="","",F55+K55)</f>
        <v/>
      </c>
    </row>
    <row r="56">
      <c r="A56" s="30" t="inlineStr"/>
      <c r="B56" s="30" t="inlineStr"/>
      <c r="C56" s="30" t="inlineStr"/>
      <c r="D56" s="30" t="inlineStr"/>
      <c r="E56" s="38" t="inlineStr"/>
      <c r="F56" s="34" t="inlineStr"/>
      <c r="G56" s="30" t="inlineStr"/>
      <c r="H56" s="32" t="inlineStr"/>
      <c r="I56" s="30" t="inlineStr"/>
      <c r="J56" s="30" t="inlineStr"/>
      <c r="K56" s="15">
        <f>IF(A56="","",SUMIFS('07_Nachtraege'!$E:$E,'07_Nachtraege'!$B:$B,C56,'07_Nachtraege'!$F:$F,"beauftragt"))</f>
        <v/>
      </c>
      <c r="L56" s="15">
        <f>IF(A56="","",F56+K56)</f>
        <v/>
      </c>
    </row>
    <row r="57">
      <c r="A57" s="30" t="inlineStr"/>
      <c r="B57" s="30" t="inlineStr"/>
      <c r="C57" s="30" t="inlineStr"/>
      <c r="D57" s="30" t="inlineStr"/>
      <c r="E57" s="38" t="inlineStr"/>
      <c r="F57" s="34" t="inlineStr"/>
      <c r="G57" s="30" t="inlineStr"/>
      <c r="H57" s="32" t="inlineStr"/>
      <c r="I57" s="30" t="inlineStr"/>
      <c r="J57" s="30" t="inlineStr"/>
      <c r="K57" s="15">
        <f>IF(A57="","",SUMIFS('07_Nachtraege'!$E:$E,'07_Nachtraege'!$B:$B,C57,'07_Nachtraege'!$F:$F,"beauftragt"))</f>
        <v/>
      </c>
      <c r="L57" s="15">
        <f>IF(A57="","",F57+K57)</f>
        <v/>
      </c>
    </row>
    <row r="58">
      <c r="A58" s="30" t="inlineStr"/>
      <c r="B58" s="30" t="inlineStr"/>
      <c r="C58" s="30" t="inlineStr"/>
      <c r="D58" s="30" t="inlineStr"/>
      <c r="E58" s="38" t="inlineStr"/>
      <c r="F58" s="34" t="inlineStr"/>
      <c r="G58" s="30" t="inlineStr"/>
      <c r="H58" s="32" t="inlineStr"/>
      <c r="I58" s="30" t="inlineStr"/>
      <c r="J58" s="30" t="inlineStr"/>
      <c r="K58" s="15">
        <f>IF(A58="","",SUMIFS('07_Nachtraege'!$E:$E,'07_Nachtraege'!$B:$B,C58,'07_Nachtraege'!$F:$F,"beauftragt"))</f>
        <v/>
      </c>
      <c r="L58" s="15">
        <f>IF(A58="","",F58+K58)</f>
        <v/>
      </c>
    </row>
    <row r="59">
      <c r="A59" s="30" t="inlineStr"/>
      <c r="B59" s="30" t="inlineStr"/>
      <c r="C59" s="30" t="inlineStr"/>
      <c r="D59" s="30" t="inlineStr"/>
      <c r="E59" s="38" t="inlineStr"/>
      <c r="F59" s="34" t="inlineStr"/>
      <c r="G59" s="30" t="inlineStr"/>
      <c r="H59" s="32" t="inlineStr"/>
      <c r="I59" s="30" t="inlineStr"/>
      <c r="J59" s="30" t="inlineStr"/>
      <c r="K59" s="15">
        <f>IF(A59="","",SUMIFS('07_Nachtraege'!$E:$E,'07_Nachtraege'!$B:$B,C59,'07_Nachtraege'!$F:$F,"beauftragt"))</f>
        <v/>
      </c>
      <c r="L59" s="15">
        <f>IF(A59="","",F59+K59)</f>
        <v/>
      </c>
    </row>
    <row r="60">
      <c r="A60" s="30" t="inlineStr"/>
      <c r="B60" s="30" t="inlineStr"/>
      <c r="C60" s="30" t="inlineStr"/>
      <c r="D60" s="30" t="inlineStr"/>
      <c r="E60" s="38" t="inlineStr"/>
      <c r="F60" s="34" t="inlineStr"/>
      <c r="G60" s="30" t="inlineStr"/>
      <c r="H60" s="32" t="inlineStr"/>
      <c r="I60" s="30" t="inlineStr"/>
      <c r="J60" s="30" t="inlineStr"/>
      <c r="K60" s="15">
        <f>IF(A60="","",SUMIFS('07_Nachtraege'!$E:$E,'07_Nachtraege'!$B:$B,C60,'07_Nachtraege'!$F:$F,"beauftragt"))</f>
        <v/>
      </c>
      <c r="L60" s="15">
        <f>IF(A60="","",F60+K60)</f>
        <v/>
      </c>
    </row>
    <row r="61">
      <c r="A61" s="30" t="inlineStr"/>
      <c r="B61" s="30" t="inlineStr"/>
      <c r="C61" s="30" t="inlineStr"/>
      <c r="D61" s="30" t="inlineStr"/>
      <c r="E61" s="38" t="inlineStr"/>
      <c r="F61" s="34" t="inlineStr"/>
      <c r="G61" s="30" t="inlineStr"/>
      <c r="H61" s="32" t="inlineStr"/>
      <c r="I61" s="30" t="inlineStr"/>
      <c r="J61" s="30" t="inlineStr"/>
      <c r="K61" s="15">
        <f>IF(A61="","",SUMIFS('07_Nachtraege'!$E:$E,'07_Nachtraege'!$B:$B,C61,'07_Nachtraege'!$F:$F,"beauftragt"))</f>
        <v/>
      </c>
      <c r="L61" s="15">
        <f>IF(A61="","",F61+K61)</f>
        <v/>
      </c>
    </row>
    <row r="62">
      <c r="A62" s="30" t="inlineStr"/>
      <c r="B62" s="30" t="inlineStr"/>
      <c r="C62" s="30" t="inlineStr"/>
      <c r="D62" s="30" t="inlineStr"/>
      <c r="E62" s="38" t="inlineStr"/>
      <c r="F62" s="34" t="inlineStr"/>
      <c r="G62" s="30" t="inlineStr"/>
      <c r="H62" s="32" t="inlineStr"/>
      <c r="I62" s="30" t="inlineStr"/>
      <c r="J62" s="30" t="inlineStr"/>
      <c r="K62" s="15">
        <f>IF(A62="","",SUMIFS('07_Nachtraege'!$E:$E,'07_Nachtraege'!$B:$B,C62,'07_Nachtraege'!$F:$F,"beauftragt"))</f>
        <v/>
      </c>
      <c r="L62" s="15">
        <f>IF(A62="","",F62+K62)</f>
        <v/>
      </c>
    </row>
    <row r="63">
      <c r="A63" s="30" t="inlineStr"/>
      <c r="B63" s="30" t="inlineStr"/>
      <c r="C63" s="30" t="inlineStr"/>
      <c r="D63" s="30" t="inlineStr"/>
      <c r="E63" s="38" t="inlineStr"/>
      <c r="F63" s="34" t="inlineStr"/>
      <c r="G63" s="30" t="inlineStr"/>
      <c r="H63" s="32" t="inlineStr"/>
      <c r="I63" s="30" t="inlineStr"/>
      <c r="J63" s="30" t="inlineStr"/>
      <c r="K63" s="15">
        <f>IF(A63="","",SUMIFS('07_Nachtraege'!$E:$E,'07_Nachtraege'!$B:$B,C63,'07_Nachtraege'!$F:$F,"beauftragt"))</f>
        <v/>
      </c>
      <c r="L63" s="15">
        <f>IF(A63="","",F63+K63)</f>
        <v/>
      </c>
    </row>
    <row r="64">
      <c r="A64" s="30" t="inlineStr"/>
      <c r="B64" s="30" t="inlineStr"/>
      <c r="C64" s="30" t="inlineStr"/>
      <c r="D64" s="30" t="inlineStr"/>
      <c r="E64" s="38" t="inlineStr"/>
      <c r="F64" s="34" t="inlineStr"/>
      <c r="G64" s="30" t="inlineStr"/>
      <c r="H64" s="32" t="inlineStr"/>
      <c r="I64" s="30" t="inlineStr"/>
      <c r="J64" s="30" t="inlineStr"/>
      <c r="K64" s="15">
        <f>IF(A64="","",SUMIFS('07_Nachtraege'!$E:$E,'07_Nachtraege'!$B:$B,C64,'07_Nachtraege'!$F:$F,"beauftragt"))</f>
        <v/>
      </c>
      <c r="L64" s="15">
        <f>IF(A64="","",F64+K64)</f>
        <v/>
      </c>
    </row>
    <row r="65">
      <c r="A65" s="30" t="inlineStr"/>
      <c r="B65" s="30" t="inlineStr"/>
      <c r="C65" s="30" t="inlineStr"/>
      <c r="D65" s="30" t="inlineStr"/>
      <c r="E65" s="38" t="inlineStr"/>
      <c r="F65" s="34" t="inlineStr"/>
      <c r="G65" s="30" t="inlineStr"/>
      <c r="H65" s="32" t="inlineStr"/>
      <c r="I65" s="30" t="inlineStr"/>
      <c r="J65" s="30" t="inlineStr"/>
      <c r="K65" s="15">
        <f>IF(A65="","",SUMIFS('07_Nachtraege'!$E:$E,'07_Nachtraege'!$B:$B,C65,'07_Nachtraege'!$F:$F,"beauftragt"))</f>
        <v/>
      </c>
      <c r="L65" s="15">
        <f>IF(A65="","",F65+K65)</f>
        <v/>
      </c>
    </row>
    <row r="66">
      <c r="A66" s="30" t="inlineStr"/>
      <c r="B66" s="30" t="inlineStr"/>
      <c r="C66" s="30" t="inlineStr"/>
      <c r="D66" s="30" t="inlineStr"/>
      <c r="E66" s="38" t="inlineStr"/>
      <c r="F66" s="34" t="inlineStr"/>
      <c r="G66" s="30" t="inlineStr"/>
      <c r="H66" s="32" t="inlineStr"/>
      <c r="I66" s="30" t="inlineStr"/>
      <c r="J66" s="30" t="inlineStr"/>
      <c r="K66" s="15">
        <f>IF(A66="","",SUMIFS('07_Nachtraege'!$E:$E,'07_Nachtraege'!$B:$B,C66,'07_Nachtraege'!$F:$F,"beauftragt"))</f>
        <v/>
      </c>
      <c r="L66" s="15">
        <f>IF(A66="","",F66+K66)</f>
        <v/>
      </c>
    </row>
    <row r="67">
      <c r="A67" s="30" t="inlineStr"/>
      <c r="B67" s="30" t="inlineStr"/>
      <c r="C67" s="30" t="inlineStr"/>
      <c r="D67" s="30" t="inlineStr"/>
      <c r="E67" s="38" t="inlineStr"/>
      <c r="F67" s="34" t="inlineStr"/>
      <c r="G67" s="30" t="inlineStr"/>
      <c r="H67" s="32" t="inlineStr"/>
      <c r="I67" s="30" t="inlineStr"/>
      <c r="J67" s="30" t="inlineStr"/>
      <c r="K67" s="15">
        <f>IF(A67="","",SUMIFS('07_Nachtraege'!$E:$E,'07_Nachtraege'!$B:$B,C67,'07_Nachtraege'!$F:$F,"beauftragt"))</f>
        <v/>
      </c>
      <c r="L67" s="15">
        <f>IF(A67="","",F67+K67)</f>
        <v/>
      </c>
    </row>
    <row r="68">
      <c r="A68" s="30" t="inlineStr"/>
      <c r="B68" s="30" t="inlineStr"/>
      <c r="C68" s="30" t="inlineStr"/>
      <c r="D68" s="30" t="inlineStr"/>
      <c r="E68" s="38" t="inlineStr"/>
      <c r="F68" s="34" t="inlineStr"/>
      <c r="G68" s="30" t="inlineStr"/>
      <c r="H68" s="32" t="inlineStr"/>
      <c r="I68" s="30" t="inlineStr"/>
      <c r="J68" s="30" t="inlineStr"/>
      <c r="K68" s="15">
        <f>IF(A68="","",SUMIFS('07_Nachtraege'!$E:$E,'07_Nachtraege'!$B:$B,C68,'07_Nachtraege'!$F:$F,"beauftragt"))</f>
        <v/>
      </c>
      <c r="L68" s="15">
        <f>IF(A68="","",F68+K68)</f>
        <v/>
      </c>
    </row>
    <row r="69">
      <c r="A69" s="30" t="inlineStr"/>
      <c r="B69" s="30" t="inlineStr"/>
      <c r="C69" s="30" t="inlineStr"/>
      <c r="D69" s="30" t="inlineStr"/>
      <c r="E69" s="38" t="inlineStr"/>
      <c r="F69" s="34" t="inlineStr"/>
      <c r="G69" s="30" t="inlineStr"/>
      <c r="H69" s="32" t="inlineStr"/>
      <c r="I69" s="30" t="inlineStr"/>
      <c r="J69" s="30" t="inlineStr"/>
      <c r="K69" s="15">
        <f>IF(A69="","",SUMIFS('07_Nachtraege'!$E:$E,'07_Nachtraege'!$B:$B,C69,'07_Nachtraege'!$F:$F,"beauftragt"))</f>
        <v/>
      </c>
      <c r="L69" s="15">
        <f>IF(A69="","",F69+K69)</f>
        <v/>
      </c>
    </row>
    <row r="70">
      <c r="A70" s="30" t="inlineStr"/>
      <c r="B70" s="30" t="inlineStr"/>
      <c r="C70" s="30" t="inlineStr"/>
      <c r="D70" s="30" t="inlineStr"/>
      <c r="E70" s="38" t="inlineStr"/>
      <c r="F70" s="34" t="inlineStr"/>
      <c r="G70" s="30" t="inlineStr"/>
      <c r="H70" s="32" t="inlineStr"/>
      <c r="I70" s="30" t="inlineStr"/>
      <c r="J70" s="30" t="inlineStr"/>
      <c r="K70" s="15">
        <f>IF(A70="","",SUMIFS('07_Nachtraege'!$E:$E,'07_Nachtraege'!$B:$B,C70,'07_Nachtraege'!$F:$F,"beauftragt"))</f>
        <v/>
      </c>
      <c r="L70" s="15">
        <f>IF(A70="","",F70+K70)</f>
        <v/>
      </c>
    </row>
    <row r="71">
      <c r="A71" s="30" t="inlineStr"/>
      <c r="B71" s="30" t="inlineStr"/>
      <c r="C71" s="30" t="inlineStr"/>
      <c r="D71" s="30" t="inlineStr"/>
      <c r="E71" s="38" t="inlineStr"/>
      <c r="F71" s="34" t="inlineStr"/>
      <c r="G71" s="30" t="inlineStr"/>
      <c r="H71" s="32" t="inlineStr"/>
      <c r="I71" s="30" t="inlineStr"/>
      <c r="J71" s="30" t="inlineStr"/>
      <c r="K71" s="15">
        <f>IF(A71="","",SUMIFS('07_Nachtraege'!$E:$E,'07_Nachtraege'!$B:$B,C71,'07_Nachtraege'!$F:$F,"beauftragt"))</f>
        <v/>
      </c>
      <c r="L71" s="15">
        <f>IF(A71="","",F71+K71)</f>
        <v/>
      </c>
    </row>
    <row r="72">
      <c r="A72" s="30" t="inlineStr"/>
      <c r="B72" s="30" t="inlineStr"/>
      <c r="C72" s="30" t="inlineStr"/>
      <c r="D72" s="30" t="inlineStr"/>
      <c r="E72" s="38" t="inlineStr"/>
      <c r="F72" s="34" t="inlineStr"/>
      <c r="G72" s="30" t="inlineStr"/>
      <c r="H72" s="32" t="inlineStr"/>
      <c r="I72" s="30" t="inlineStr"/>
      <c r="J72" s="30" t="inlineStr"/>
      <c r="K72" s="15">
        <f>IF(A72="","",SUMIFS('07_Nachtraege'!$E:$E,'07_Nachtraege'!$B:$B,C72,'07_Nachtraege'!$F:$F,"beauftragt"))</f>
        <v/>
      </c>
      <c r="L72" s="15">
        <f>IF(A72="","",F72+K72)</f>
        <v/>
      </c>
    </row>
    <row r="73">
      <c r="A73" s="30" t="inlineStr"/>
      <c r="B73" s="30" t="inlineStr"/>
      <c r="C73" s="30" t="inlineStr"/>
      <c r="D73" s="30" t="inlineStr"/>
      <c r="E73" s="38" t="inlineStr"/>
      <c r="F73" s="34" t="inlineStr"/>
      <c r="G73" s="30" t="inlineStr"/>
      <c r="H73" s="32" t="inlineStr"/>
      <c r="I73" s="30" t="inlineStr"/>
      <c r="J73" s="30" t="inlineStr"/>
      <c r="K73" s="15">
        <f>IF(A73="","",SUMIFS('07_Nachtraege'!$E:$E,'07_Nachtraege'!$B:$B,C73,'07_Nachtraege'!$F:$F,"beauftragt"))</f>
        <v/>
      </c>
      <c r="L73" s="15">
        <f>IF(A73="","",F73+K73)</f>
        <v/>
      </c>
    </row>
    <row r="74">
      <c r="A74" s="30" t="inlineStr"/>
      <c r="B74" s="30" t="inlineStr"/>
      <c r="C74" s="30" t="inlineStr"/>
      <c r="D74" s="30" t="inlineStr"/>
      <c r="E74" s="38" t="inlineStr"/>
      <c r="F74" s="34" t="inlineStr"/>
      <c r="G74" s="30" t="inlineStr"/>
      <c r="H74" s="32" t="inlineStr"/>
      <c r="I74" s="30" t="inlineStr"/>
      <c r="J74" s="30" t="inlineStr"/>
      <c r="K74" s="15">
        <f>IF(A74="","",SUMIFS('07_Nachtraege'!$E:$E,'07_Nachtraege'!$B:$B,C74,'07_Nachtraege'!$F:$F,"beauftragt"))</f>
        <v/>
      </c>
      <c r="L74" s="15">
        <f>IF(A74="","",F74+K74)</f>
        <v/>
      </c>
    </row>
    <row r="75">
      <c r="A75" s="30" t="inlineStr"/>
      <c r="B75" s="30" t="inlineStr"/>
      <c r="C75" s="30" t="inlineStr"/>
      <c r="D75" s="30" t="inlineStr"/>
      <c r="E75" s="38" t="inlineStr"/>
      <c r="F75" s="34" t="inlineStr"/>
      <c r="G75" s="30" t="inlineStr"/>
      <c r="H75" s="32" t="inlineStr"/>
      <c r="I75" s="30" t="inlineStr"/>
      <c r="J75" s="30" t="inlineStr"/>
      <c r="K75" s="15">
        <f>IF(A75="","",SUMIFS('07_Nachtraege'!$E:$E,'07_Nachtraege'!$B:$B,C75,'07_Nachtraege'!$F:$F,"beauftragt"))</f>
        <v/>
      </c>
      <c r="L75" s="15">
        <f>IF(A75="","",F75+K75)</f>
        <v/>
      </c>
    </row>
    <row r="76">
      <c r="A76" s="30" t="inlineStr"/>
      <c r="B76" s="30" t="inlineStr"/>
      <c r="C76" s="30" t="inlineStr"/>
      <c r="D76" s="30" t="inlineStr"/>
      <c r="E76" s="38" t="inlineStr"/>
      <c r="F76" s="34" t="inlineStr"/>
      <c r="G76" s="30" t="inlineStr"/>
      <c r="H76" s="32" t="inlineStr"/>
      <c r="I76" s="30" t="inlineStr"/>
      <c r="J76" s="30" t="inlineStr"/>
      <c r="K76" s="15">
        <f>IF(A76="","",SUMIFS('07_Nachtraege'!$E:$E,'07_Nachtraege'!$B:$B,C76,'07_Nachtraege'!$F:$F,"beauftragt"))</f>
        <v/>
      </c>
      <c r="L76" s="15">
        <f>IF(A76="","",F76+K76)</f>
        <v/>
      </c>
    </row>
    <row r="77">
      <c r="A77" s="30" t="inlineStr"/>
      <c r="B77" s="30" t="inlineStr"/>
      <c r="C77" s="30" t="inlineStr"/>
      <c r="D77" s="30" t="inlineStr"/>
      <c r="E77" s="38" t="inlineStr"/>
      <c r="F77" s="34" t="inlineStr"/>
      <c r="G77" s="30" t="inlineStr"/>
      <c r="H77" s="32" t="inlineStr"/>
      <c r="I77" s="30" t="inlineStr"/>
      <c r="J77" s="30" t="inlineStr"/>
      <c r="K77" s="15">
        <f>IF(A77="","",SUMIFS('07_Nachtraege'!$E:$E,'07_Nachtraege'!$B:$B,C77,'07_Nachtraege'!$F:$F,"beauftragt"))</f>
        <v/>
      </c>
      <c r="L77" s="15">
        <f>IF(A77="","",F77+K77)</f>
        <v/>
      </c>
    </row>
    <row r="78">
      <c r="A78" s="30" t="inlineStr"/>
      <c r="B78" s="30" t="inlineStr"/>
      <c r="C78" s="30" t="inlineStr"/>
      <c r="D78" s="30" t="inlineStr"/>
      <c r="E78" s="38" t="inlineStr"/>
      <c r="F78" s="34" t="inlineStr"/>
      <c r="G78" s="30" t="inlineStr"/>
      <c r="H78" s="32" t="inlineStr"/>
      <c r="I78" s="30" t="inlineStr"/>
      <c r="J78" s="30" t="inlineStr"/>
      <c r="K78" s="15">
        <f>IF(A78="","",SUMIFS('07_Nachtraege'!$E:$E,'07_Nachtraege'!$B:$B,C78,'07_Nachtraege'!$F:$F,"beauftragt"))</f>
        <v/>
      </c>
      <c r="L78" s="15">
        <f>IF(A78="","",F78+K78)</f>
        <v/>
      </c>
    </row>
    <row r="79">
      <c r="A79" s="30" t="inlineStr"/>
      <c r="B79" s="30" t="inlineStr"/>
      <c r="C79" s="30" t="inlineStr"/>
      <c r="D79" s="30" t="inlineStr"/>
      <c r="E79" s="38" t="inlineStr"/>
      <c r="F79" s="34" t="inlineStr"/>
      <c r="G79" s="30" t="inlineStr"/>
      <c r="H79" s="32" t="inlineStr"/>
      <c r="I79" s="30" t="inlineStr"/>
      <c r="J79" s="30" t="inlineStr"/>
      <c r="K79" s="15">
        <f>IF(A79="","",SUMIFS('07_Nachtraege'!$E:$E,'07_Nachtraege'!$B:$B,C79,'07_Nachtraege'!$F:$F,"beauftragt"))</f>
        <v/>
      </c>
      <c r="L79" s="15">
        <f>IF(A79="","",F79+K79)</f>
        <v/>
      </c>
    </row>
    <row r="80">
      <c r="A80" s="30" t="inlineStr"/>
      <c r="B80" s="30" t="inlineStr"/>
      <c r="C80" s="30" t="inlineStr"/>
      <c r="D80" s="30" t="inlineStr"/>
      <c r="E80" s="38" t="inlineStr"/>
      <c r="F80" s="34" t="inlineStr"/>
      <c r="G80" s="30" t="inlineStr"/>
      <c r="H80" s="32" t="inlineStr"/>
      <c r="I80" s="30" t="inlineStr"/>
      <c r="J80" s="30" t="inlineStr"/>
      <c r="K80" s="15">
        <f>IF(A80="","",SUMIFS('07_Nachtraege'!$E:$E,'07_Nachtraege'!$B:$B,C80,'07_Nachtraege'!$F:$F,"beauftragt"))</f>
        <v/>
      </c>
      <c r="L80" s="15">
        <f>IF(A80="","",F80+K80)</f>
        <v/>
      </c>
    </row>
    <row r="81">
      <c r="A81" s="30" t="inlineStr"/>
      <c r="B81" s="30" t="inlineStr"/>
      <c r="C81" s="30" t="inlineStr"/>
      <c r="D81" s="30" t="inlineStr"/>
      <c r="E81" s="38" t="inlineStr"/>
      <c r="F81" s="34" t="inlineStr"/>
      <c r="G81" s="30" t="inlineStr"/>
      <c r="H81" s="32" t="inlineStr"/>
      <c r="I81" s="30" t="inlineStr"/>
      <c r="J81" s="30" t="inlineStr"/>
      <c r="K81" s="15">
        <f>IF(A81="","",SUMIFS('07_Nachtraege'!$E:$E,'07_Nachtraege'!$B:$B,C81,'07_Nachtraege'!$F:$F,"beauftragt"))</f>
        <v/>
      </c>
      <c r="L81" s="15">
        <f>IF(A81="","",F81+K81)</f>
        <v/>
      </c>
    </row>
    <row r="82">
      <c r="A82" s="30" t="inlineStr"/>
      <c r="B82" s="30" t="inlineStr"/>
      <c r="C82" s="30" t="inlineStr"/>
      <c r="D82" s="30" t="inlineStr"/>
      <c r="E82" s="38" t="inlineStr"/>
      <c r="F82" s="34" t="inlineStr"/>
      <c r="G82" s="30" t="inlineStr"/>
      <c r="H82" s="32" t="inlineStr"/>
      <c r="I82" s="30" t="inlineStr"/>
      <c r="J82" s="30" t="inlineStr"/>
      <c r="K82" s="15">
        <f>IF(A82="","",SUMIFS('07_Nachtraege'!$E:$E,'07_Nachtraege'!$B:$B,C82,'07_Nachtraege'!$F:$F,"beauftragt"))</f>
        <v/>
      </c>
      <c r="L82" s="15">
        <f>IF(A82="","",F82+K82)</f>
        <v/>
      </c>
    </row>
    <row r="83">
      <c r="A83" s="30" t="inlineStr"/>
      <c r="B83" s="30" t="inlineStr"/>
      <c r="C83" s="30" t="inlineStr"/>
      <c r="D83" s="30" t="inlineStr"/>
      <c r="E83" s="38" t="inlineStr"/>
      <c r="F83" s="34" t="inlineStr"/>
      <c r="G83" s="30" t="inlineStr"/>
      <c r="H83" s="32" t="inlineStr"/>
      <c r="I83" s="30" t="inlineStr"/>
      <c r="J83" s="30" t="inlineStr"/>
      <c r="K83" s="15">
        <f>IF(A83="","",SUMIFS('07_Nachtraege'!$E:$E,'07_Nachtraege'!$B:$B,C83,'07_Nachtraege'!$F:$F,"beauftragt"))</f>
        <v/>
      </c>
      <c r="L83" s="15">
        <f>IF(A83="","",F83+K83)</f>
        <v/>
      </c>
    </row>
    <row r="84">
      <c r="A84" s="30" t="inlineStr"/>
      <c r="B84" s="30" t="inlineStr"/>
      <c r="C84" s="30" t="inlineStr"/>
      <c r="D84" s="30" t="inlineStr"/>
      <c r="E84" s="38" t="inlineStr"/>
      <c r="F84" s="34" t="inlineStr"/>
      <c r="G84" s="30" t="inlineStr"/>
      <c r="H84" s="32" t="inlineStr"/>
      <c r="I84" s="30" t="inlineStr"/>
      <c r="J84" s="30" t="inlineStr"/>
      <c r="K84" s="15">
        <f>IF(A84="","",SUMIFS('07_Nachtraege'!$E:$E,'07_Nachtraege'!$B:$B,C84,'07_Nachtraege'!$F:$F,"beauftragt"))</f>
        <v/>
      </c>
      <c r="L84" s="15">
        <f>IF(A84="","",F84+K84)</f>
        <v/>
      </c>
    </row>
    <row r="85">
      <c r="A85" s="30" t="inlineStr"/>
      <c r="B85" s="30" t="inlineStr"/>
      <c r="C85" s="30" t="inlineStr"/>
      <c r="D85" s="30" t="inlineStr"/>
      <c r="E85" s="38" t="inlineStr"/>
      <c r="F85" s="34" t="inlineStr"/>
      <c r="G85" s="30" t="inlineStr"/>
      <c r="H85" s="32" t="inlineStr"/>
      <c r="I85" s="30" t="inlineStr"/>
      <c r="J85" s="30" t="inlineStr"/>
      <c r="K85" s="15">
        <f>IF(A85="","",SUMIFS('07_Nachtraege'!$E:$E,'07_Nachtraege'!$B:$B,C85,'07_Nachtraege'!$F:$F,"beauftragt"))</f>
        <v/>
      </c>
      <c r="L85" s="15">
        <f>IF(A85="","",F85+K85)</f>
        <v/>
      </c>
    </row>
    <row r="86">
      <c r="A86" s="30" t="inlineStr"/>
      <c r="B86" s="30" t="inlineStr"/>
      <c r="C86" s="30" t="inlineStr"/>
      <c r="D86" s="30" t="inlineStr"/>
      <c r="E86" s="38" t="inlineStr"/>
      <c r="F86" s="34" t="inlineStr"/>
      <c r="G86" s="30" t="inlineStr"/>
      <c r="H86" s="32" t="inlineStr"/>
      <c r="I86" s="30" t="inlineStr"/>
      <c r="J86" s="30" t="inlineStr"/>
      <c r="K86" s="15">
        <f>IF(A86="","",SUMIFS('07_Nachtraege'!$E:$E,'07_Nachtraege'!$B:$B,C86,'07_Nachtraege'!$F:$F,"beauftragt"))</f>
        <v/>
      </c>
      <c r="L86" s="15">
        <f>IF(A86="","",F86+K86)</f>
        <v/>
      </c>
    </row>
    <row r="87">
      <c r="A87" s="30" t="inlineStr"/>
      <c r="B87" s="30" t="inlineStr"/>
      <c r="C87" s="30" t="inlineStr"/>
      <c r="D87" s="30" t="inlineStr"/>
      <c r="E87" s="38" t="inlineStr"/>
      <c r="F87" s="34" t="inlineStr"/>
      <c r="G87" s="30" t="inlineStr"/>
      <c r="H87" s="32" t="inlineStr"/>
      <c r="I87" s="30" t="inlineStr"/>
      <c r="J87" s="30" t="inlineStr"/>
      <c r="K87" s="15">
        <f>IF(A87="","",SUMIFS('07_Nachtraege'!$E:$E,'07_Nachtraege'!$B:$B,C87,'07_Nachtraege'!$F:$F,"beauftragt"))</f>
        <v/>
      </c>
      <c r="L87" s="15">
        <f>IF(A87="","",F87+K87)</f>
        <v/>
      </c>
    </row>
    <row r="88">
      <c r="A88" s="30" t="inlineStr"/>
      <c r="B88" s="30" t="inlineStr"/>
      <c r="C88" s="30" t="inlineStr"/>
      <c r="D88" s="30" t="inlineStr"/>
      <c r="E88" s="38" t="inlineStr"/>
      <c r="F88" s="34" t="inlineStr"/>
      <c r="G88" s="30" t="inlineStr"/>
      <c r="H88" s="32" t="inlineStr"/>
      <c r="I88" s="30" t="inlineStr"/>
      <c r="J88" s="30" t="inlineStr"/>
      <c r="K88" s="15">
        <f>IF(A88="","",SUMIFS('07_Nachtraege'!$E:$E,'07_Nachtraege'!$B:$B,C88,'07_Nachtraege'!$F:$F,"beauftragt"))</f>
        <v/>
      </c>
      <c r="L88" s="15">
        <f>IF(A88="","",F88+K88)</f>
        <v/>
      </c>
    </row>
    <row r="89">
      <c r="A89" s="30" t="inlineStr"/>
      <c r="B89" s="30" t="inlineStr"/>
      <c r="C89" s="30" t="inlineStr"/>
      <c r="D89" s="30" t="inlineStr"/>
      <c r="E89" s="38" t="inlineStr"/>
      <c r="F89" s="34" t="inlineStr"/>
      <c r="G89" s="30" t="inlineStr"/>
      <c r="H89" s="32" t="inlineStr"/>
      <c r="I89" s="30" t="inlineStr"/>
      <c r="J89" s="30" t="inlineStr"/>
      <c r="K89" s="15">
        <f>IF(A89="","",SUMIFS('07_Nachtraege'!$E:$E,'07_Nachtraege'!$B:$B,C89,'07_Nachtraege'!$F:$F,"beauftragt"))</f>
        <v/>
      </c>
      <c r="L89" s="15">
        <f>IF(A89="","",F89+K89)</f>
        <v/>
      </c>
    </row>
    <row r="90">
      <c r="A90" s="30" t="inlineStr"/>
      <c r="B90" s="30" t="inlineStr"/>
      <c r="C90" s="30" t="inlineStr"/>
      <c r="D90" s="30" t="inlineStr"/>
      <c r="E90" s="38" t="inlineStr"/>
      <c r="F90" s="34" t="inlineStr"/>
      <c r="G90" s="30" t="inlineStr"/>
      <c r="H90" s="32" t="inlineStr"/>
      <c r="I90" s="30" t="inlineStr"/>
      <c r="J90" s="30" t="inlineStr"/>
      <c r="K90" s="15">
        <f>IF(A90="","",SUMIFS('07_Nachtraege'!$E:$E,'07_Nachtraege'!$B:$B,C90,'07_Nachtraege'!$F:$F,"beauftragt"))</f>
        <v/>
      </c>
      <c r="L90" s="15">
        <f>IF(A90="","",F90+K90)</f>
        <v/>
      </c>
    </row>
    <row r="91">
      <c r="A91" s="30" t="inlineStr"/>
      <c r="B91" s="30" t="inlineStr"/>
      <c r="C91" s="30" t="inlineStr"/>
      <c r="D91" s="30" t="inlineStr"/>
      <c r="E91" s="38" t="inlineStr"/>
      <c r="F91" s="34" t="inlineStr"/>
      <c r="G91" s="30" t="inlineStr"/>
      <c r="H91" s="32" t="inlineStr"/>
      <c r="I91" s="30" t="inlineStr"/>
      <c r="J91" s="30" t="inlineStr"/>
      <c r="K91" s="15">
        <f>IF(A91="","",SUMIFS('07_Nachtraege'!$E:$E,'07_Nachtraege'!$B:$B,C91,'07_Nachtraege'!$F:$F,"beauftragt"))</f>
        <v/>
      </c>
      <c r="L91" s="15">
        <f>IF(A91="","",F91+K91)</f>
        <v/>
      </c>
    </row>
    <row r="92">
      <c r="A92" s="30" t="inlineStr"/>
      <c r="B92" s="30" t="inlineStr"/>
      <c r="C92" s="30" t="inlineStr"/>
      <c r="D92" s="30" t="inlineStr"/>
      <c r="E92" s="38" t="inlineStr"/>
      <c r="F92" s="34" t="inlineStr"/>
      <c r="G92" s="30" t="inlineStr"/>
      <c r="H92" s="32" t="inlineStr"/>
      <c r="I92" s="30" t="inlineStr"/>
      <c r="J92" s="30" t="inlineStr"/>
      <c r="K92" s="15">
        <f>IF(A92="","",SUMIFS('07_Nachtraege'!$E:$E,'07_Nachtraege'!$B:$B,C92,'07_Nachtraege'!$F:$F,"beauftragt"))</f>
        <v/>
      </c>
      <c r="L92" s="15">
        <f>IF(A92="","",F92+K92)</f>
        <v/>
      </c>
    </row>
    <row r="93">
      <c r="A93" s="30" t="inlineStr"/>
      <c r="B93" s="30" t="inlineStr"/>
      <c r="C93" s="30" t="inlineStr"/>
      <c r="D93" s="30" t="inlineStr"/>
      <c r="E93" s="38" t="inlineStr"/>
      <c r="F93" s="34" t="inlineStr"/>
      <c r="G93" s="30" t="inlineStr"/>
      <c r="H93" s="32" t="inlineStr"/>
      <c r="I93" s="30" t="inlineStr"/>
      <c r="J93" s="30" t="inlineStr"/>
      <c r="K93" s="15">
        <f>IF(A93="","",SUMIFS('07_Nachtraege'!$E:$E,'07_Nachtraege'!$B:$B,C93,'07_Nachtraege'!$F:$F,"beauftragt"))</f>
        <v/>
      </c>
      <c r="L93" s="15">
        <f>IF(A93="","",F93+K93)</f>
        <v/>
      </c>
    </row>
    <row r="94">
      <c r="A94" s="30" t="inlineStr"/>
      <c r="B94" s="30" t="inlineStr"/>
      <c r="C94" s="30" t="inlineStr"/>
      <c r="D94" s="30" t="inlineStr"/>
      <c r="E94" s="38" t="inlineStr"/>
      <c r="F94" s="34" t="inlineStr"/>
      <c r="G94" s="30" t="inlineStr"/>
      <c r="H94" s="32" t="inlineStr"/>
      <c r="I94" s="30" t="inlineStr"/>
      <c r="J94" s="30" t="inlineStr"/>
      <c r="K94" s="15">
        <f>IF(A94="","",SUMIFS('07_Nachtraege'!$E:$E,'07_Nachtraege'!$B:$B,C94,'07_Nachtraege'!$F:$F,"beauftragt"))</f>
        <v/>
      </c>
      <c r="L94" s="15">
        <f>IF(A94="","",F94+K94)</f>
        <v/>
      </c>
    </row>
    <row r="95">
      <c r="A95" s="30" t="inlineStr"/>
      <c r="B95" s="30" t="inlineStr"/>
      <c r="C95" s="30" t="inlineStr"/>
      <c r="D95" s="30" t="inlineStr"/>
      <c r="E95" s="38" t="inlineStr"/>
      <c r="F95" s="34" t="inlineStr"/>
      <c r="G95" s="30" t="inlineStr"/>
      <c r="H95" s="32" t="inlineStr"/>
      <c r="I95" s="30" t="inlineStr"/>
      <c r="J95" s="30" t="inlineStr"/>
      <c r="K95" s="15">
        <f>IF(A95="","",SUMIFS('07_Nachtraege'!$E:$E,'07_Nachtraege'!$B:$B,C95,'07_Nachtraege'!$F:$F,"beauftragt"))</f>
        <v/>
      </c>
      <c r="L95" s="15">
        <f>IF(A95="","",F95+K95)</f>
        <v/>
      </c>
    </row>
    <row r="96">
      <c r="A96" s="30" t="inlineStr"/>
      <c r="B96" s="30" t="inlineStr"/>
      <c r="C96" s="30" t="inlineStr"/>
      <c r="D96" s="30" t="inlineStr"/>
      <c r="E96" s="38" t="inlineStr"/>
      <c r="F96" s="34" t="inlineStr"/>
      <c r="G96" s="30" t="inlineStr"/>
      <c r="H96" s="32" t="inlineStr"/>
      <c r="I96" s="30" t="inlineStr"/>
      <c r="J96" s="30" t="inlineStr"/>
      <c r="K96" s="15">
        <f>IF(A96="","",SUMIFS('07_Nachtraege'!$E:$E,'07_Nachtraege'!$B:$B,C96,'07_Nachtraege'!$F:$F,"beauftragt"))</f>
        <v/>
      </c>
      <c r="L96" s="15">
        <f>IF(A96="","",F96+K96)</f>
        <v/>
      </c>
    </row>
    <row r="97">
      <c r="A97" s="30" t="inlineStr"/>
      <c r="B97" s="30" t="inlineStr"/>
      <c r="C97" s="30" t="inlineStr"/>
      <c r="D97" s="30" t="inlineStr"/>
      <c r="E97" s="38" t="inlineStr"/>
      <c r="F97" s="34" t="inlineStr"/>
      <c r="G97" s="30" t="inlineStr"/>
      <c r="H97" s="32" t="inlineStr"/>
      <c r="I97" s="30" t="inlineStr"/>
      <c r="J97" s="30" t="inlineStr"/>
      <c r="K97" s="15">
        <f>IF(A97="","",SUMIFS('07_Nachtraege'!$E:$E,'07_Nachtraege'!$B:$B,C97,'07_Nachtraege'!$F:$F,"beauftragt"))</f>
        <v/>
      </c>
      <c r="L97" s="15">
        <f>IF(A97="","",F97+K97)</f>
        <v/>
      </c>
    </row>
    <row r="98">
      <c r="A98" s="30" t="inlineStr"/>
      <c r="B98" s="30" t="inlineStr"/>
      <c r="C98" s="30" t="inlineStr"/>
      <c r="D98" s="30" t="inlineStr"/>
      <c r="E98" s="38" t="inlineStr"/>
      <c r="F98" s="34" t="inlineStr"/>
      <c r="G98" s="30" t="inlineStr"/>
      <c r="H98" s="32" t="inlineStr"/>
      <c r="I98" s="30" t="inlineStr"/>
      <c r="J98" s="30" t="inlineStr"/>
      <c r="K98" s="15">
        <f>IF(A98="","",SUMIFS('07_Nachtraege'!$E:$E,'07_Nachtraege'!$B:$B,C98,'07_Nachtraege'!$F:$F,"beauftragt"))</f>
        <v/>
      </c>
      <c r="L98" s="15">
        <f>IF(A98="","",F98+K98)</f>
        <v/>
      </c>
    </row>
    <row r="99">
      <c r="A99" s="30" t="inlineStr"/>
      <c r="B99" s="30" t="inlineStr"/>
      <c r="C99" s="30" t="inlineStr"/>
      <c r="D99" s="30" t="inlineStr"/>
      <c r="E99" s="38" t="inlineStr"/>
      <c r="F99" s="34" t="inlineStr"/>
      <c r="G99" s="30" t="inlineStr"/>
      <c r="H99" s="32" t="inlineStr"/>
      <c r="I99" s="30" t="inlineStr"/>
      <c r="J99" s="30" t="inlineStr"/>
      <c r="K99" s="15">
        <f>IF(A99="","",SUMIFS('07_Nachtraege'!$E:$E,'07_Nachtraege'!$B:$B,C99,'07_Nachtraege'!$F:$F,"beauftragt"))</f>
        <v/>
      </c>
      <c r="L99" s="15">
        <f>IF(A99="","",F99+K99)</f>
        <v/>
      </c>
    </row>
    <row r="100">
      <c r="A100" s="30" t="inlineStr"/>
      <c r="B100" s="30" t="inlineStr"/>
      <c r="C100" s="30" t="inlineStr"/>
      <c r="D100" s="30" t="inlineStr"/>
      <c r="E100" s="38" t="inlineStr"/>
      <c r="F100" s="34" t="inlineStr"/>
      <c r="G100" s="30" t="inlineStr"/>
      <c r="H100" s="32" t="inlineStr"/>
      <c r="I100" s="30" t="inlineStr"/>
      <c r="J100" s="30" t="inlineStr"/>
      <c r="K100" s="15">
        <f>IF(A100="","",SUMIFS('07_Nachtraege'!$E:$E,'07_Nachtraege'!$B:$B,C100,'07_Nachtraege'!$F:$F,"beauftragt"))</f>
        <v/>
      </c>
      <c r="L100" s="15">
        <f>IF(A100="","",F100+K100)</f>
        <v/>
      </c>
    </row>
    <row r="101">
      <c r="A101" s="30" t="inlineStr"/>
      <c r="B101" s="30" t="inlineStr"/>
      <c r="C101" s="30" t="inlineStr"/>
      <c r="D101" s="30" t="inlineStr"/>
      <c r="E101" s="38" t="inlineStr"/>
      <c r="F101" s="34" t="inlineStr"/>
      <c r="G101" s="30" t="inlineStr"/>
      <c r="H101" s="32" t="inlineStr"/>
      <c r="I101" s="30" t="inlineStr"/>
      <c r="J101" s="30" t="inlineStr"/>
      <c r="K101" s="15">
        <f>IF(A101="","",SUMIFS('07_Nachtraege'!$E:$E,'07_Nachtraege'!$B:$B,C101,'07_Nachtraege'!$F:$F,"beauftragt"))</f>
        <v/>
      </c>
      <c r="L101" s="15">
        <f>IF(A101="","",F101+K101)</f>
        <v/>
      </c>
    </row>
    <row r="102">
      <c r="A102" s="30" t="inlineStr"/>
      <c r="B102" s="30" t="inlineStr"/>
      <c r="C102" s="30" t="inlineStr"/>
      <c r="D102" s="30" t="inlineStr"/>
      <c r="E102" s="38" t="inlineStr"/>
      <c r="F102" s="34" t="inlineStr"/>
      <c r="G102" s="30" t="inlineStr"/>
      <c r="H102" s="32" t="inlineStr"/>
      <c r="I102" s="30" t="inlineStr"/>
      <c r="J102" s="30" t="inlineStr"/>
      <c r="K102" s="15">
        <f>IF(A102="","",SUMIFS('07_Nachtraege'!$E:$E,'07_Nachtraege'!$B:$B,C102,'07_Nachtraege'!$F:$F,"beauftragt"))</f>
        <v/>
      </c>
      <c r="L102" s="15">
        <f>IF(A102="","",F102+K102)</f>
        <v/>
      </c>
    </row>
    <row r="103">
      <c r="A103" s="30" t="inlineStr"/>
      <c r="B103" s="30" t="inlineStr"/>
      <c r="C103" s="30" t="inlineStr"/>
      <c r="D103" s="30" t="inlineStr"/>
      <c r="E103" s="38" t="inlineStr"/>
      <c r="F103" s="34" t="inlineStr"/>
      <c r="G103" s="30" t="inlineStr"/>
      <c r="H103" s="32" t="inlineStr"/>
      <c r="I103" s="30" t="inlineStr"/>
      <c r="J103" s="30" t="inlineStr"/>
      <c r="K103" s="15">
        <f>IF(A103="","",SUMIFS('07_Nachtraege'!$E:$E,'07_Nachtraege'!$B:$B,C103,'07_Nachtraege'!$F:$F,"beauftragt"))</f>
        <v/>
      </c>
      <c r="L103" s="15">
        <f>IF(A103="","",F103+K103)</f>
        <v/>
      </c>
    </row>
    <row r="104">
      <c r="A104" s="30" t="inlineStr"/>
      <c r="B104" s="30" t="inlineStr"/>
      <c r="C104" s="30" t="inlineStr"/>
      <c r="D104" s="30" t="inlineStr"/>
      <c r="E104" s="38" t="inlineStr"/>
      <c r="F104" s="34" t="inlineStr"/>
      <c r="G104" s="30" t="inlineStr"/>
      <c r="H104" s="32" t="inlineStr"/>
      <c r="I104" s="30" t="inlineStr"/>
      <c r="J104" s="30" t="inlineStr"/>
      <c r="K104" s="15">
        <f>IF(A104="","",SUMIFS('07_Nachtraege'!$E:$E,'07_Nachtraege'!$B:$B,C104,'07_Nachtraege'!$F:$F,"beauftragt"))</f>
        <v/>
      </c>
      <c r="L104" s="15">
        <f>IF(A104="","",F104+K104)</f>
        <v/>
      </c>
    </row>
    <row r="105">
      <c r="A105" s="30" t="inlineStr"/>
      <c r="B105" s="30" t="inlineStr"/>
      <c r="C105" s="30" t="inlineStr"/>
      <c r="D105" s="30" t="inlineStr"/>
      <c r="E105" s="38" t="inlineStr"/>
      <c r="F105" s="34" t="inlineStr"/>
      <c r="G105" s="30" t="inlineStr"/>
      <c r="H105" s="32" t="inlineStr"/>
      <c r="I105" s="30" t="inlineStr"/>
      <c r="J105" s="30" t="inlineStr"/>
      <c r="K105" s="15">
        <f>IF(A105="","",SUMIFS('07_Nachtraege'!$E:$E,'07_Nachtraege'!$B:$B,C105,'07_Nachtraege'!$F:$F,"beauftragt"))</f>
        <v/>
      </c>
      <c r="L105" s="15">
        <f>IF(A105="","",F105+K105)</f>
        <v/>
      </c>
    </row>
    <row r="106">
      <c r="A106" s="30" t="inlineStr"/>
      <c r="B106" s="30" t="inlineStr"/>
      <c r="C106" s="30" t="inlineStr"/>
      <c r="D106" s="30" t="inlineStr"/>
      <c r="E106" s="38" t="inlineStr"/>
      <c r="F106" s="34" t="inlineStr"/>
      <c r="G106" s="30" t="inlineStr"/>
      <c r="H106" s="32" t="inlineStr"/>
      <c r="I106" s="30" t="inlineStr"/>
      <c r="J106" s="30" t="inlineStr"/>
      <c r="K106" s="15">
        <f>IF(A106="","",SUMIFS('07_Nachtraege'!$E:$E,'07_Nachtraege'!$B:$B,C106,'07_Nachtraege'!$F:$F,"beauftragt"))</f>
        <v/>
      </c>
      <c r="L106" s="15">
        <f>IF(A106="","",F106+K106)</f>
        <v/>
      </c>
    </row>
    <row r="107">
      <c r="A107" s="30" t="inlineStr"/>
      <c r="B107" s="30" t="inlineStr"/>
      <c r="C107" s="30" t="inlineStr"/>
      <c r="D107" s="30" t="inlineStr"/>
      <c r="E107" s="38" t="inlineStr"/>
      <c r="F107" s="34" t="inlineStr"/>
      <c r="G107" s="30" t="inlineStr"/>
      <c r="H107" s="32" t="inlineStr"/>
      <c r="I107" s="30" t="inlineStr"/>
      <c r="J107" s="30" t="inlineStr"/>
      <c r="K107" s="15">
        <f>IF(A107="","",SUMIFS('07_Nachtraege'!$E:$E,'07_Nachtraege'!$B:$B,C107,'07_Nachtraege'!$F:$F,"beauftragt"))</f>
        <v/>
      </c>
      <c r="L107" s="15">
        <f>IF(A107="","",F107+K107)</f>
        <v/>
      </c>
    </row>
    <row r="108">
      <c r="A108" s="30" t="inlineStr"/>
      <c r="B108" s="30" t="inlineStr"/>
      <c r="C108" s="30" t="inlineStr"/>
      <c r="D108" s="30" t="inlineStr"/>
      <c r="E108" s="38" t="inlineStr"/>
      <c r="F108" s="34" t="inlineStr"/>
      <c r="G108" s="30" t="inlineStr"/>
      <c r="H108" s="32" t="inlineStr"/>
      <c r="I108" s="30" t="inlineStr"/>
      <c r="J108" s="30" t="inlineStr"/>
      <c r="K108" s="15">
        <f>IF(A108="","",SUMIFS('07_Nachtraege'!$E:$E,'07_Nachtraege'!$B:$B,C108,'07_Nachtraege'!$F:$F,"beauftragt"))</f>
        <v/>
      </c>
      <c r="L108" s="15">
        <f>IF(A108="","",F108+K108)</f>
        <v/>
      </c>
    </row>
    <row r="109">
      <c r="A109" s="30" t="inlineStr"/>
      <c r="B109" s="30" t="inlineStr"/>
      <c r="C109" s="30" t="inlineStr"/>
      <c r="D109" s="30" t="inlineStr"/>
      <c r="E109" s="38" t="inlineStr"/>
      <c r="F109" s="34" t="inlineStr"/>
      <c r="G109" s="30" t="inlineStr"/>
      <c r="H109" s="32" t="inlineStr"/>
      <c r="I109" s="30" t="inlineStr"/>
      <c r="J109" s="30" t="inlineStr"/>
      <c r="K109" s="15">
        <f>IF(A109="","",SUMIFS('07_Nachtraege'!$E:$E,'07_Nachtraege'!$B:$B,C109,'07_Nachtraege'!$F:$F,"beauftragt"))</f>
        <v/>
      </c>
      <c r="L109" s="15">
        <f>IF(A109="","",F109+K109)</f>
        <v/>
      </c>
    </row>
    <row r="110">
      <c r="A110" s="30" t="inlineStr"/>
      <c r="B110" s="30" t="inlineStr"/>
      <c r="C110" s="30" t="inlineStr"/>
      <c r="D110" s="30" t="inlineStr"/>
      <c r="E110" s="38" t="inlineStr"/>
      <c r="F110" s="34" t="inlineStr"/>
      <c r="G110" s="30" t="inlineStr"/>
      <c r="H110" s="32" t="inlineStr"/>
      <c r="I110" s="30" t="inlineStr"/>
      <c r="J110" s="30" t="inlineStr"/>
      <c r="K110" s="15">
        <f>IF(A110="","",SUMIFS('07_Nachtraege'!$E:$E,'07_Nachtraege'!$B:$B,C110,'07_Nachtraege'!$F:$F,"beauftragt"))</f>
        <v/>
      </c>
      <c r="L110" s="15">
        <f>IF(A110="","",F110+K110)</f>
        <v/>
      </c>
    </row>
    <row r="111">
      <c r="A111" s="30" t="inlineStr"/>
      <c r="B111" s="30" t="inlineStr"/>
      <c r="C111" s="30" t="inlineStr"/>
      <c r="D111" s="30" t="inlineStr"/>
      <c r="E111" s="38" t="inlineStr"/>
      <c r="F111" s="34" t="inlineStr"/>
      <c r="G111" s="30" t="inlineStr"/>
      <c r="H111" s="32" t="inlineStr"/>
      <c r="I111" s="30" t="inlineStr"/>
      <c r="J111" s="30" t="inlineStr"/>
      <c r="K111" s="15">
        <f>IF(A111="","",SUMIFS('07_Nachtraege'!$E:$E,'07_Nachtraege'!$B:$B,C111,'07_Nachtraege'!$F:$F,"beauftragt"))</f>
        <v/>
      </c>
      <c r="L111" s="15">
        <f>IF(A111="","",F111+K111)</f>
        <v/>
      </c>
    </row>
    <row r="112">
      <c r="A112" s="30" t="inlineStr"/>
      <c r="B112" s="30" t="inlineStr"/>
      <c r="C112" s="30" t="inlineStr"/>
      <c r="D112" s="30" t="inlineStr"/>
      <c r="E112" s="38" t="inlineStr"/>
      <c r="F112" s="34" t="inlineStr"/>
      <c r="G112" s="30" t="inlineStr"/>
      <c r="H112" s="32" t="inlineStr"/>
      <c r="I112" s="30" t="inlineStr"/>
      <c r="J112" s="30" t="inlineStr"/>
      <c r="K112" s="15">
        <f>IF(A112="","",SUMIFS('07_Nachtraege'!$E:$E,'07_Nachtraege'!$B:$B,C112,'07_Nachtraege'!$F:$F,"beauftragt"))</f>
        <v/>
      </c>
      <c r="L112" s="15">
        <f>IF(A112="","",F112+K112)</f>
        <v/>
      </c>
    </row>
    <row r="113">
      <c r="A113" s="30" t="inlineStr"/>
      <c r="B113" s="30" t="inlineStr"/>
      <c r="C113" s="30" t="inlineStr"/>
      <c r="D113" s="30" t="inlineStr"/>
      <c r="E113" s="38" t="inlineStr"/>
      <c r="F113" s="34" t="inlineStr"/>
      <c r="G113" s="30" t="inlineStr"/>
      <c r="H113" s="32" t="inlineStr"/>
      <c r="I113" s="30" t="inlineStr"/>
      <c r="J113" s="30" t="inlineStr"/>
      <c r="K113" s="15">
        <f>IF(A113="","",SUMIFS('07_Nachtraege'!$E:$E,'07_Nachtraege'!$B:$B,C113,'07_Nachtraege'!$F:$F,"beauftragt"))</f>
        <v/>
      </c>
      <c r="L113" s="15">
        <f>IF(A113="","",F113+K113)</f>
        <v/>
      </c>
    </row>
    <row r="114">
      <c r="A114" s="30" t="inlineStr"/>
      <c r="B114" s="30" t="inlineStr"/>
      <c r="C114" s="30" t="inlineStr"/>
      <c r="D114" s="30" t="inlineStr"/>
      <c r="E114" s="38" t="inlineStr"/>
      <c r="F114" s="34" t="inlineStr"/>
      <c r="G114" s="30" t="inlineStr"/>
      <c r="H114" s="32" t="inlineStr"/>
      <c r="I114" s="30" t="inlineStr"/>
      <c r="J114" s="30" t="inlineStr"/>
      <c r="K114" s="15">
        <f>IF(A114="","",SUMIFS('07_Nachtraege'!$E:$E,'07_Nachtraege'!$B:$B,C114,'07_Nachtraege'!$F:$F,"beauftragt"))</f>
        <v/>
      </c>
      <c r="L114" s="15">
        <f>IF(A114="","",F114+K114)</f>
        <v/>
      </c>
    </row>
    <row r="115">
      <c r="A115" s="30" t="inlineStr"/>
      <c r="B115" s="30" t="inlineStr"/>
      <c r="C115" s="30" t="inlineStr"/>
      <c r="D115" s="30" t="inlineStr"/>
      <c r="E115" s="38" t="inlineStr"/>
      <c r="F115" s="34" t="inlineStr"/>
      <c r="G115" s="30" t="inlineStr"/>
      <c r="H115" s="32" t="inlineStr"/>
      <c r="I115" s="30" t="inlineStr"/>
      <c r="J115" s="30" t="inlineStr"/>
      <c r="K115" s="15">
        <f>IF(A115="","",SUMIFS('07_Nachtraege'!$E:$E,'07_Nachtraege'!$B:$B,C115,'07_Nachtraege'!$F:$F,"beauftragt"))</f>
        <v/>
      </c>
      <c r="L115" s="15">
        <f>IF(A115="","",F115+K115)</f>
        <v/>
      </c>
    </row>
    <row r="116">
      <c r="A116" s="30" t="inlineStr"/>
      <c r="B116" s="30" t="inlineStr"/>
      <c r="C116" s="30" t="inlineStr"/>
      <c r="D116" s="30" t="inlineStr"/>
      <c r="E116" s="38" t="inlineStr"/>
      <c r="F116" s="34" t="inlineStr"/>
      <c r="G116" s="30" t="inlineStr"/>
      <c r="H116" s="32" t="inlineStr"/>
      <c r="I116" s="30" t="inlineStr"/>
      <c r="J116" s="30" t="inlineStr"/>
      <c r="K116" s="15">
        <f>IF(A116="","",SUMIFS('07_Nachtraege'!$E:$E,'07_Nachtraege'!$B:$B,C116,'07_Nachtraege'!$F:$F,"beauftragt"))</f>
        <v/>
      </c>
      <c r="L116" s="15">
        <f>IF(A116="","",F116+K116)</f>
        <v/>
      </c>
    </row>
    <row r="117">
      <c r="A117" s="30" t="inlineStr"/>
      <c r="B117" s="30" t="inlineStr"/>
      <c r="C117" s="30" t="inlineStr"/>
      <c r="D117" s="30" t="inlineStr"/>
      <c r="E117" s="38" t="inlineStr"/>
      <c r="F117" s="34" t="inlineStr"/>
      <c r="G117" s="30" t="inlineStr"/>
      <c r="H117" s="32" t="inlineStr"/>
      <c r="I117" s="30" t="inlineStr"/>
      <c r="J117" s="30" t="inlineStr"/>
      <c r="K117" s="15">
        <f>IF(A117="","",SUMIFS('07_Nachtraege'!$E:$E,'07_Nachtraege'!$B:$B,C117,'07_Nachtraege'!$F:$F,"beauftragt"))</f>
        <v/>
      </c>
      <c r="L117" s="15">
        <f>IF(A117="","",F117+K117)</f>
        <v/>
      </c>
    </row>
    <row r="118">
      <c r="A118" s="30" t="inlineStr"/>
      <c r="B118" s="30" t="inlineStr"/>
      <c r="C118" s="30" t="inlineStr"/>
      <c r="D118" s="30" t="inlineStr"/>
      <c r="E118" s="38" t="inlineStr"/>
      <c r="F118" s="34" t="inlineStr"/>
      <c r="G118" s="30" t="inlineStr"/>
      <c r="H118" s="32" t="inlineStr"/>
      <c r="I118" s="30" t="inlineStr"/>
      <c r="J118" s="30" t="inlineStr"/>
      <c r="K118" s="15">
        <f>IF(A118="","",SUMIFS('07_Nachtraege'!$E:$E,'07_Nachtraege'!$B:$B,C118,'07_Nachtraege'!$F:$F,"beauftragt"))</f>
        <v/>
      </c>
      <c r="L118" s="15">
        <f>IF(A118="","",F118+K118)</f>
        <v/>
      </c>
    </row>
    <row r="119">
      <c r="A119" s="30" t="inlineStr"/>
      <c r="B119" s="30" t="inlineStr"/>
      <c r="C119" s="30" t="inlineStr"/>
      <c r="D119" s="30" t="inlineStr"/>
      <c r="E119" s="38" t="inlineStr"/>
      <c r="F119" s="34" t="inlineStr"/>
      <c r="G119" s="30" t="inlineStr"/>
      <c r="H119" s="32" t="inlineStr"/>
      <c r="I119" s="30" t="inlineStr"/>
      <c r="J119" s="30" t="inlineStr"/>
      <c r="K119" s="15">
        <f>IF(A119="","",SUMIFS('07_Nachtraege'!$E:$E,'07_Nachtraege'!$B:$B,C119,'07_Nachtraege'!$F:$F,"beauftragt"))</f>
        <v/>
      </c>
      <c r="L119" s="15">
        <f>IF(A119="","",F119+K119)</f>
        <v/>
      </c>
    </row>
    <row r="120">
      <c r="A120" s="30" t="inlineStr"/>
      <c r="B120" s="30" t="inlineStr"/>
      <c r="C120" s="30" t="inlineStr"/>
      <c r="D120" s="30" t="inlineStr"/>
      <c r="E120" s="38" t="inlineStr"/>
      <c r="F120" s="34" t="inlineStr"/>
      <c r="G120" s="30" t="inlineStr"/>
      <c r="H120" s="32" t="inlineStr"/>
      <c r="I120" s="30" t="inlineStr"/>
      <c r="J120" s="30" t="inlineStr"/>
      <c r="K120" s="15">
        <f>IF(A120="","",SUMIFS('07_Nachtraege'!$E:$E,'07_Nachtraege'!$B:$B,C120,'07_Nachtraege'!$F:$F,"beauftragt"))</f>
        <v/>
      </c>
      <c r="L120" s="15">
        <f>IF(A120="","",F120+K120)</f>
        <v/>
      </c>
    </row>
    <row r="121">
      <c r="A121" s="30" t="inlineStr"/>
      <c r="B121" s="30" t="inlineStr"/>
      <c r="C121" s="30" t="inlineStr"/>
      <c r="D121" s="30" t="inlineStr"/>
      <c r="E121" s="38" t="inlineStr"/>
      <c r="F121" s="34" t="inlineStr"/>
      <c r="G121" s="30" t="inlineStr"/>
      <c r="H121" s="32" t="inlineStr"/>
      <c r="I121" s="30" t="inlineStr"/>
      <c r="J121" s="30" t="inlineStr"/>
      <c r="K121" s="15">
        <f>IF(A121="","",SUMIFS('07_Nachtraege'!$E:$E,'07_Nachtraege'!$B:$B,C121,'07_Nachtraege'!$F:$F,"beauftragt"))</f>
        <v/>
      </c>
      <c r="L121" s="15">
        <f>IF(A121="","",F121+K121)</f>
        <v/>
      </c>
    </row>
    <row r="122">
      <c r="A122" s="30" t="inlineStr"/>
      <c r="B122" s="30" t="inlineStr"/>
      <c r="C122" s="30" t="inlineStr"/>
      <c r="D122" s="30" t="inlineStr"/>
      <c r="E122" s="38" t="inlineStr"/>
      <c r="F122" s="34" t="inlineStr"/>
      <c r="G122" s="30" t="inlineStr"/>
      <c r="H122" s="32" t="inlineStr"/>
      <c r="I122" s="30" t="inlineStr"/>
      <c r="J122" s="30" t="inlineStr"/>
      <c r="K122" s="15">
        <f>IF(A122="","",SUMIFS('07_Nachtraege'!$E:$E,'07_Nachtraege'!$B:$B,C122,'07_Nachtraege'!$F:$F,"beauftragt"))</f>
        <v/>
      </c>
      <c r="L122" s="15">
        <f>IF(A122="","",F122+K122)</f>
        <v/>
      </c>
    </row>
    <row r="123">
      <c r="A123" s="30" t="inlineStr"/>
      <c r="B123" s="30" t="inlineStr"/>
      <c r="C123" s="30" t="inlineStr"/>
      <c r="D123" s="30" t="inlineStr"/>
      <c r="E123" s="38" t="inlineStr"/>
      <c r="F123" s="34" t="inlineStr"/>
      <c r="G123" s="30" t="inlineStr"/>
      <c r="H123" s="32" t="inlineStr"/>
      <c r="I123" s="30" t="inlineStr"/>
      <c r="J123" s="30" t="inlineStr"/>
      <c r="K123" s="15">
        <f>IF(A123="","",SUMIFS('07_Nachtraege'!$E:$E,'07_Nachtraege'!$B:$B,C123,'07_Nachtraege'!$F:$F,"beauftragt"))</f>
        <v/>
      </c>
      <c r="L123" s="15">
        <f>IF(A123="","",F123+K123)</f>
        <v/>
      </c>
    </row>
    <row r="124">
      <c r="A124" s="30" t="inlineStr"/>
      <c r="B124" s="30" t="inlineStr"/>
      <c r="C124" s="30" t="inlineStr"/>
      <c r="D124" s="30" t="inlineStr"/>
      <c r="E124" s="38" t="inlineStr"/>
      <c r="F124" s="34" t="inlineStr"/>
      <c r="G124" s="30" t="inlineStr"/>
      <c r="H124" s="32" t="inlineStr"/>
      <c r="I124" s="30" t="inlineStr"/>
      <c r="J124" s="30" t="inlineStr"/>
      <c r="K124" s="15">
        <f>IF(A124="","",SUMIFS('07_Nachtraege'!$E:$E,'07_Nachtraege'!$B:$B,C124,'07_Nachtraege'!$F:$F,"beauftragt"))</f>
        <v/>
      </c>
      <c r="L124" s="15">
        <f>IF(A124="","",F124+K124)</f>
        <v/>
      </c>
    </row>
    <row r="125">
      <c r="A125" s="30" t="inlineStr"/>
      <c r="B125" s="30" t="inlineStr"/>
      <c r="C125" s="30" t="inlineStr"/>
      <c r="D125" s="30" t="inlineStr"/>
      <c r="E125" s="38" t="inlineStr"/>
      <c r="F125" s="34" t="inlineStr"/>
      <c r="G125" s="30" t="inlineStr"/>
      <c r="H125" s="32" t="inlineStr"/>
      <c r="I125" s="30" t="inlineStr"/>
      <c r="J125" s="30" t="inlineStr"/>
      <c r="K125" s="15">
        <f>IF(A125="","",SUMIFS('07_Nachtraege'!$E:$E,'07_Nachtraege'!$B:$B,C125,'07_Nachtraege'!$F:$F,"beauftragt"))</f>
        <v/>
      </c>
      <c r="L125" s="15">
        <f>IF(A125="","",F125+K125)</f>
        <v/>
      </c>
    </row>
    <row r="126">
      <c r="A126" s="30" t="inlineStr"/>
      <c r="B126" s="30" t="inlineStr"/>
      <c r="C126" s="30" t="inlineStr"/>
      <c r="D126" s="30" t="inlineStr"/>
      <c r="E126" s="38" t="inlineStr"/>
      <c r="F126" s="34" t="inlineStr"/>
      <c r="G126" s="30" t="inlineStr"/>
      <c r="H126" s="32" t="inlineStr"/>
      <c r="I126" s="30" t="inlineStr"/>
      <c r="J126" s="30" t="inlineStr"/>
      <c r="K126" s="15">
        <f>IF(A126="","",SUMIFS('07_Nachtraege'!$E:$E,'07_Nachtraege'!$B:$B,C126,'07_Nachtraege'!$F:$F,"beauftragt"))</f>
        <v/>
      </c>
      <c r="L126" s="15">
        <f>IF(A126="","",F126+K126)</f>
        <v/>
      </c>
    </row>
    <row r="127">
      <c r="A127" s="30" t="inlineStr"/>
      <c r="B127" s="30" t="inlineStr"/>
      <c r="C127" s="30" t="inlineStr"/>
      <c r="D127" s="30" t="inlineStr"/>
      <c r="E127" s="38" t="inlineStr"/>
      <c r="F127" s="34" t="inlineStr"/>
      <c r="G127" s="30" t="inlineStr"/>
      <c r="H127" s="32" t="inlineStr"/>
      <c r="I127" s="30" t="inlineStr"/>
      <c r="J127" s="30" t="inlineStr"/>
      <c r="K127" s="15">
        <f>IF(A127="","",SUMIFS('07_Nachtraege'!$E:$E,'07_Nachtraege'!$B:$B,C127,'07_Nachtraege'!$F:$F,"beauftragt"))</f>
        <v/>
      </c>
      <c r="L127" s="15">
        <f>IF(A127="","",F127+K127)</f>
        <v/>
      </c>
    </row>
    <row r="128">
      <c r="A128" s="30" t="inlineStr"/>
      <c r="B128" s="30" t="inlineStr"/>
      <c r="C128" s="30" t="inlineStr"/>
      <c r="D128" s="30" t="inlineStr"/>
      <c r="E128" s="38" t="inlineStr"/>
      <c r="F128" s="34" t="inlineStr"/>
      <c r="G128" s="30" t="inlineStr"/>
      <c r="H128" s="32" t="inlineStr"/>
      <c r="I128" s="30" t="inlineStr"/>
      <c r="J128" s="30" t="inlineStr"/>
      <c r="K128" s="15">
        <f>IF(A128="","",SUMIFS('07_Nachtraege'!$E:$E,'07_Nachtraege'!$B:$B,C128,'07_Nachtraege'!$F:$F,"beauftragt"))</f>
        <v/>
      </c>
      <c r="L128" s="15">
        <f>IF(A128="","",F128+K128)</f>
        <v/>
      </c>
    </row>
    <row r="129">
      <c r="A129" s="30" t="inlineStr"/>
      <c r="B129" s="30" t="inlineStr"/>
      <c r="C129" s="30" t="inlineStr"/>
      <c r="D129" s="30" t="inlineStr"/>
      <c r="E129" s="38" t="inlineStr"/>
      <c r="F129" s="34" t="inlineStr"/>
      <c r="G129" s="30" t="inlineStr"/>
      <c r="H129" s="32" t="inlineStr"/>
      <c r="I129" s="30" t="inlineStr"/>
      <c r="J129" s="30" t="inlineStr"/>
      <c r="K129" s="15">
        <f>IF(A129="","",SUMIFS('07_Nachtraege'!$E:$E,'07_Nachtraege'!$B:$B,C129,'07_Nachtraege'!$F:$F,"beauftragt"))</f>
        <v/>
      </c>
      <c r="L129" s="15">
        <f>IF(A129="","",F129+K129)</f>
        <v/>
      </c>
    </row>
    <row r="130">
      <c r="A130" s="30" t="inlineStr"/>
      <c r="B130" s="30" t="inlineStr"/>
      <c r="C130" s="30" t="inlineStr"/>
      <c r="D130" s="30" t="inlineStr"/>
      <c r="E130" s="38" t="inlineStr"/>
      <c r="F130" s="34" t="inlineStr"/>
      <c r="G130" s="30" t="inlineStr"/>
      <c r="H130" s="32" t="inlineStr"/>
      <c r="I130" s="30" t="inlineStr"/>
      <c r="J130" s="30" t="inlineStr"/>
      <c r="K130" s="15">
        <f>IF(A130="","",SUMIFS('07_Nachtraege'!$E:$E,'07_Nachtraege'!$B:$B,C130,'07_Nachtraege'!$F:$F,"beauftragt"))</f>
        <v/>
      </c>
      <c r="L130" s="15">
        <f>IF(A130="","",F130+K130)</f>
        <v/>
      </c>
    </row>
    <row r="131">
      <c r="A131" s="30" t="inlineStr"/>
      <c r="B131" s="30" t="inlineStr"/>
      <c r="C131" s="30" t="inlineStr"/>
      <c r="D131" s="30" t="inlineStr"/>
      <c r="E131" s="38" t="inlineStr"/>
      <c r="F131" s="34" t="inlineStr"/>
      <c r="G131" s="30" t="inlineStr"/>
      <c r="H131" s="32" t="inlineStr"/>
      <c r="I131" s="30" t="inlineStr"/>
      <c r="J131" s="30" t="inlineStr"/>
      <c r="K131" s="15">
        <f>IF(A131="","",SUMIFS('07_Nachtraege'!$E:$E,'07_Nachtraege'!$B:$B,C131,'07_Nachtraege'!$F:$F,"beauftragt"))</f>
        <v/>
      </c>
      <c r="L131" s="15">
        <f>IF(A131="","",F131+K131)</f>
        <v/>
      </c>
    </row>
    <row r="132">
      <c r="A132" s="30" t="inlineStr"/>
      <c r="B132" s="30" t="inlineStr"/>
      <c r="C132" s="30" t="inlineStr"/>
      <c r="D132" s="30" t="inlineStr"/>
      <c r="E132" s="38" t="inlineStr"/>
      <c r="F132" s="34" t="inlineStr"/>
      <c r="G132" s="30" t="inlineStr"/>
      <c r="H132" s="32" t="inlineStr"/>
      <c r="I132" s="30" t="inlineStr"/>
      <c r="J132" s="30" t="inlineStr"/>
      <c r="K132" s="15">
        <f>IF(A132="","",SUMIFS('07_Nachtraege'!$E:$E,'07_Nachtraege'!$B:$B,C132,'07_Nachtraege'!$F:$F,"beauftragt"))</f>
        <v/>
      </c>
      <c r="L132" s="15">
        <f>IF(A132="","",F132+K132)</f>
        <v/>
      </c>
    </row>
    <row r="133">
      <c r="A133" s="30" t="inlineStr"/>
      <c r="B133" s="30" t="inlineStr"/>
      <c r="C133" s="30" t="inlineStr"/>
      <c r="D133" s="30" t="inlineStr"/>
      <c r="E133" s="38" t="inlineStr"/>
      <c r="F133" s="34" t="inlineStr"/>
      <c r="G133" s="30" t="inlineStr"/>
      <c r="H133" s="32" t="inlineStr"/>
      <c r="I133" s="30" t="inlineStr"/>
      <c r="J133" s="30" t="inlineStr"/>
      <c r="K133" s="15">
        <f>IF(A133="","",SUMIFS('07_Nachtraege'!$E:$E,'07_Nachtraege'!$B:$B,C133,'07_Nachtraege'!$F:$F,"beauftragt"))</f>
        <v/>
      </c>
      <c r="L133" s="15">
        <f>IF(A133="","",F133+K133)</f>
        <v/>
      </c>
    </row>
    <row r="134">
      <c r="A134" s="30" t="inlineStr"/>
      <c r="B134" s="30" t="inlineStr"/>
      <c r="C134" s="30" t="inlineStr"/>
      <c r="D134" s="30" t="inlineStr"/>
      <c r="E134" s="38" t="inlineStr"/>
      <c r="F134" s="34" t="inlineStr"/>
      <c r="G134" s="30" t="inlineStr"/>
      <c r="H134" s="32" t="inlineStr"/>
      <c r="I134" s="30" t="inlineStr"/>
      <c r="J134" s="30" t="inlineStr"/>
      <c r="K134" s="15">
        <f>IF(A134="","",SUMIFS('07_Nachtraege'!$E:$E,'07_Nachtraege'!$B:$B,C134,'07_Nachtraege'!$F:$F,"beauftragt"))</f>
        <v/>
      </c>
      <c r="L134" s="15">
        <f>IF(A134="","",F134+K134)</f>
        <v/>
      </c>
    </row>
    <row r="135">
      <c r="A135" s="30" t="inlineStr"/>
      <c r="B135" s="30" t="inlineStr"/>
      <c r="C135" s="30" t="inlineStr"/>
      <c r="D135" s="30" t="inlineStr"/>
      <c r="E135" s="38" t="inlineStr"/>
      <c r="F135" s="34" t="inlineStr"/>
      <c r="G135" s="30" t="inlineStr"/>
      <c r="H135" s="32" t="inlineStr"/>
      <c r="I135" s="30" t="inlineStr"/>
      <c r="J135" s="30" t="inlineStr"/>
      <c r="K135" s="15">
        <f>IF(A135="","",SUMIFS('07_Nachtraege'!$E:$E,'07_Nachtraege'!$B:$B,C135,'07_Nachtraege'!$F:$F,"beauftragt"))</f>
        <v/>
      </c>
      <c r="L135" s="15">
        <f>IF(A135="","",F135+K135)</f>
        <v/>
      </c>
    </row>
    <row r="136">
      <c r="A136" s="30" t="inlineStr"/>
      <c r="B136" s="30" t="inlineStr"/>
      <c r="C136" s="30" t="inlineStr"/>
      <c r="D136" s="30" t="inlineStr"/>
      <c r="E136" s="38" t="inlineStr"/>
      <c r="F136" s="34" t="inlineStr"/>
      <c r="G136" s="30" t="inlineStr"/>
      <c r="H136" s="32" t="inlineStr"/>
      <c r="I136" s="30" t="inlineStr"/>
      <c r="J136" s="30" t="inlineStr"/>
      <c r="K136" s="15">
        <f>IF(A136="","",SUMIFS('07_Nachtraege'!$E:$E,'07_Nachtraege'!$B:$B,C136,'07_Nachtraege'!$F:$F,"beauftragt"))</f>
        <v/>
      </c>
      <c r="L136" s="15">
        <f>IF(A136="","",F136+K136)</f>
        <v/>
      </c>
    </row>
    <row r="137">
      <c r="A137" s="30" t="inlineStr"/>
      <c r="B137" s="30" t="inlineStr"/>
      <c r="C137" s="30" t="inlineStr"/>
      <c r="D137" s="30" t="inlineStr"/>
      <c r="E137" s="38" t="inlineStr"/>
      <c r="F137" s="34" t="inlineStr"/>
      <c r="G137" s="30" t="inlineStr"/>
      <c r="H137" s="32" t="inlineStr"/>
      <c r="I137" s="30" t="inlineStr"/>
      <c r="J137" s="30" t="inlineStr"/>
      <c r="K137" s="15">
        <f>IF(A137="","",SUMIFS('07_Nachtraege'!$E:$E,'07_Nachtraege'!$B:$B,C137,'07_Nachtraege'!$F:$F,"beauftragt"))</f>
        <v/>
      </c>
      <c r="L137" s="15">
        <f>IF(A137="","",F137+K137)</f>
        <v/>
      </c>
    </row>
    <row r="138">
      <c r="A138" s="30" t="inlineStr"/>
      <c r="B138" s="30" t="inlineStr"/>
      <c r="C138" s="30" t="inlineStr"/>
      <c r="D138" s="30" t="inlineStr"/>
      <c r="E138" s="38" t="inlineStr"/>
      <c r="F138" s="34" t="inlineStr"/>
      <c r="G138" s="30" t="inlineStr"/>
      <c r="H138" s="32" t="inlineStr"/>
      <c r="I138" s="30" t="inlineStr"/>
      <c r="J138" s="30" t="inlineStr"/>
      <c r="K138" s="15">
        <f>IF(A138="","",SUMIFS('07_Nachtraege'!$E:$E,'07_Nachtraege'!$B:$B,C138,'07_Nachtraege'!$F:$F,"beauftragt"))</f>
        <v/>
      </c>
      <c r="L138" s="15">
        <f>IF(A138="","",F138+K138)</f>
        <v/>
      </c>
    </row>
    <row r="139">
      <c r="A139" s="30" t="inlineStr"/>
      <c r="B139" s="30" t="inlineStr"/>
      <c r="C139" s="30" t="inlineStr"/>
      <c r="D139" s="30" t="inlineStr"/>
      <c r="E139" s="38" t="inlineStr"/>
      <c r="F139" s="34" t="inlineStr"/>
      <c r="G139" s="30" t="inlineStr"/>
      <c r="H139" s="32" t="inlineStr"/>
      <c r="I139" s="30" t="inlineStr"/>
      <c r="J139" s="30" t="inlineStr"/>
      <c r="K139" s="15">
        <f>IF(A139="","",SUMIFS('07_Nachtraege'!$E:$E,'07_Nachtraege'!$B:$B,C139,'07_Nachtraege'!$F:$F,"beauftragt"))</f>
        <v/>
      </c>
      <c r="L139" s="15">
        <f>IF(A139="","",F139+K139)</f>
        <v/>
      </c>
    </row>
    <row r="140">
      <c r="A140" s="30" t="inlineStr"/>
      <c r="B140" s="30" t="inlineStr"/>
      <c r="C140" s="30" t="inlineStr"/>
      <c r="D140" s="30" t="inlineStr"/>
      <c r="E140" s="38" t="inlineStr"/>
      <c r="F140" s="34" t="inlineStr"/>
      <c r="G140" s="30" t="inlineStr"/>
      <c r="H140" s="32" t="inlineStr"/>
      <c r="I140" s="30" t="inlineStr"/>
      <c r="J140" s="30" t="inlineStr"/>
      <c r="K140" s="15">
        <f>IF(A140="","",SUMIFS('07_Nachtraege'!$E:$E,'07_Nachtraege'!$B:$B,C140,'07_Nachtraege'!$F:$F,"beauftragt"))</f>
        <v/>
      </c>
      <c r="L140" s="15">
        <f>IF(A140="","",F140+K140)</f>
        <v/>
      </c>
    </row>
    <row r="141">
      <c r="A141" s="30" t="inlineStr"/>
      <c r="B141" s="30" t="inlineStr"/>
      <c r="C141" s="30" t="inlineStr"/>
      <c r="D141" s="30" t="inlineStr"/>
      <c r="E141" s="38" t="inlineStr"/>
      <c r="F141" s="34" t="inlineStr"/>
      <c r="G141" s="30" t="inlineStr"/>
      <c r="H141" s="32" t="inlineStr"/>
      <c r="I141" s="30" t="inlineStr"/>
      <c r="J141" s="30" t="inlineStr"/>
      <c r="K141" s="15">
        <f>IF(A141="","",SUMIFS('07_Nachtraege'!$E:$E,'07_Nachtraege'!$B:$B,C141,'07_Nachtraege'!$F:$F,"beauftragt"))</f>
        <v/>
      </c>
      <c r="L141" s="15">
        <f>IF(A141="","",F141+K141)</f>
        <v/>
      </c>
    </row>
    <row r="142">
      <c r="A142" s="30" t="inlineStr"/>
      <c r="B142" s="30" t="inlineStr"/>
      <c r="C142" s="30" t="inlineStr"/>
      <c r="D142" s="30" t="inlineStr"/>
      <c r="E142" s="38" t="inlineStr"/>
      <c r="F142" s="34" t="inlineStr"/>
      <c r="G142" s="30" t="inlineStr"/>
      <c r="H142" s="32" t="inlineStr"/>
      <c r="I142" s="30" t="inlineStr"/>
      <c r="J142" s="30" t="inlineStr"/>
      <c r="K142" s="15">
        <f>IF(A142="","",SUMIFS('07_Nachtraege'!$E:$E,'07_Nachtraege'!$B:$B,C142,'07_Nachtraege'!$F:$F,"beauftragt"))</f>
        <v/>
      </c>
      <c r="L142" s="15">
        <f>IF(A142="","",F142+K142)</f>
        <v/>
      </c>
    </row>
    <row r="143">
      <c r="A143" s="30" t="inlineStr"/>
      <c r="B143" s="30" t="inlineStr"/>
      <c r="C143" s="30" t="inlineStr"/>
      <c r="D143" s="30" t="inlineStr"/>
      <c r="E143" s="38" t="inlineStr"/>
      <c r="F143" s="34" t="inlineStr"/>
      <c r="G143" s="30" t="inlineStr"/>
      <c r="H143" s="32" t="inlineStr"/>
      <c r="I143" s="30" t="inlineStr"/>
      <c r="J143" s="30" t="inlineStr"/>
      <c r="K143" s="15">
        <f>IF(A143="","",SUMIFS('07_Nachtraege'!$E:$E,'07_Nachtraege'!$B:$B,C143,'07_Nachtraege'!$F:$F,"beauftragt"))</f>
        <v/>
      </c>
      <c r="L143" s="15">
        <f>IF(A143="","",F143+K143)</f>
        <v/>
      </c>
    </row>
    <row r="144">
      <c r="A144" s="30" t="inlineStr"/>
      <c r="B144" s="30" t="inlineStr"/>
      <c r="C144" s="30" t="inlineStr"/>
      <c r="D144" s="30" t="inlineStr"/>
      <c r="E144" s="38" t="inlineStr"/>
      <c r="F144" s="34" t="inlineStr"/>
      <c r="G144" s="30" t="inlineStr"/>
      <c r="H144" s="32" t="inlineStr"/>
      <c r="I144" s="30" t="inlineStr"/>
      <c r="J144" s="30" t="inlineStr"/>
      <c r="K144" s="15">
        <f>IF(A144="","",SUMIFS('07_Nachtraege'!$E:$E,'07_Nachtraege'!$B:$B,C144,'07_Nachtraege'!$F:$F,"beauftragt"))</f>
        <v/>
      </c>
      <c r="L144" s="15">
        <f>IF(A144="","",F144+K144)</f>
        <v/>
      </c>
    </row>
    <row r="145">
      <c r="A145" s="30" t="inlineStr"/>
      <c r="B145" s="30" t="inlineStr"/>
      <c r="C145" s="30" t="inlineStr"/>
      <c r="D145" s="30" t="inlineStr"/>
      <c r="E145" s="38" t="inlineStr"/>
      <c r="F145" s="34" t="inlineStr"/>
      <c r="G145" s="30" t="inlineStr"/>
      <c r="H145" s="32" t="inlineStr"/>
      <c r="I145" s="30" t="inlineStr"/>
      <c r="J145" s="30" t="inlineStr"/>
      <c r="K145" s="15">
        <f>IF(A145="","",SUMIFS('07_Nachtraege'!$E:$E,'07_Nachtraege'!$B:$B,C145,'07_Nachtraege'!$F:$F,"beauftragt"))</f>
        <v/>
      </c>
      <c r="L145" s="15">
        <f>IF(A145="","",F145+K145)</f>
        <v/>
      </c>
    </row>
    <row r="146">
      <c r="A146" s="30" t="inlineStr"/>
      <c r="B146" s="30" t="inlineStr"/>
      <c r="C146" s="30" t="inlineStr"/>
      <c r="D146" s="30" t="inlineStr"/>
      <c r="E146" s="38" t="inlineStr"/>
      <c r="F146" s="34" t="inlineStr"/>
      <c r="G146" s="30" t="inlineStr"/>
      <c r="H146" s="32" t="inlineStr"/>
      <c r="I146" s="30" t="inlineStr"/>
      <c r="J146" s="30" t="inlineStr"/>
      <c r="K146" s="15">
        <f>IF(A146="","",SUMIFS('07_Nachtraege'!$E:$E,'07_Nachtraege'!$B:$B,C146,'07_Nachtraege'!$F:$F,"beauftragt"))</f>
        <v/>
      </c>
      <c r="L146" s="15">
        <f>IF(A146="","",F146+K146)</f>
        <v/>
      </c>
    </row>
    <row r="147">
      <c r="A147" s="30" t="inlineStr"/>
      <c r="B147" s="30" t="inlineStr"/>
      <c r="C147" s="30" t="inlineStr"/>
      <c r="D147" s="30" t="inlineStr"/>
      <c r="E147" s="38" t="inlineStr"/>
      <c r="F147" s="34" t="inlineStr"/>
      <c r="G147" s="30" t="inlineStr"/>
      <c r="H147" s="32" t="inlineStr"/>
      <c r="I147" s="30" t="inlineStr"/>
      <c r="J147" s="30" t="inlineStr"/>
      <c r="K147" s="15">
        <f>IF(A147="","",SUMIFS('07_Nachtraege'!$E:$E,'07_Nachtraege'!$B:$B,C147,'07_Nachtraege'!$F:$F,"beauftragt"))</f>
        <v/>
      </c>
      <c r="L147" s="15">
        <f>IF(A147="","",F147+K147)</f>
        <v/>
      </c>
    </row>
    <row r="148">
      <c r="A148" s="30" t="inlineStr"/>
      <c r="B148" s="30" t="inlineStr"/>
      <c r="C148" s="30" t="inlineStr"/>
      <c r="D148" s="30" t="inlineStr"/>
      <c r="E148" s="38" t="inlineStr"/>
      <c r="F148" s="34" t="inlineStr"/>
      <c r="G148" s="30" t="inlineStr"/>
      <c r="H148" s="32" t="inlineStr"/>
      <c r="I148" s="30" t="inlineStr"/>
      <c r="J148" s="30" t="inlineStr"/>
      <c r="K148" s="15">
        <f>IF(A148="","",SUMIFS('07_Nachtraege'!$E:$E,'07_Nachtraege'!$B:$B,C148,'07_Nachtraege'!$F:$F,"beauftragt"))</f>
        <v/>
      </c>
      <c r="L148" s="15">
        <f>IF(A148="","",F148+K148)</f>
        <v/>
      </c>
    </row>
    <row r="149">
      <c r="A149" s="30" t="inlineStr"/>
      <c r="B149" s="30" t="inlineStr"/>
      <c r="C149" s="30" t="inlineStr"/>
      <c r="D149" s="30" t="inlineStr"/>
      <c r="E149" s="38" t="inlineStr"/>
      <c r="F149" s="34" t="inlineStr"/>
      <c r="G149" s="30" t="inlineStr"/>
      <c r="H149" s="32" t="inlineStr"/>
      <c r="I149" s="30" t="inlineStr"/>
      <c r="J149" s="30" t="inlineStr"/>
      <c r="K149" s="15">
        <f>IF(A149="","",SUMIFS('07_Nachtraege'!$E:$E,'07_Nachtraege'!$B:$B,C149,'07_Nachtraege'!$F:$F,"beauftragt"))</f>
        <v/>
      </c>
      <c r="L149" s="15">
        <f>IF(A149="","",F149+K149)</f>
        <v/>
      </c>
    </row>
    <row r="150">
      <c r="A150" s="30" t="inlineStr"/>
      <c r="B150" s="30" t="inlineStr"/>
      <c r="C150" s="30" t="inlineStr"/>
      <c r="D150" s="30" t="inlineStr"/>
      <c r="E150" s="38" t="inlineStr"/>
      <c r="F150" s="34" t="inlineStr"/>
      <c r="G150" s="30" t="inlineStr"/>
      <c r="H150" s="32" t="inlineStr"/>
      <c r="I150" s="30" t="inlineStr"/>
      <c r="J150" s="30" t="inlineStr"/>
      <c r="K150" s="15">
        <f>IF(A150="","",SUMIFS('07_Nachtraege'!$E:$E,'07_Nachtraege'!$B:$B,C150,'07_Nachtraege'!$F:$F,"beauftragt"))</f>
        <v/>
      </c>
      <c r="L150" s="15">
        <f>IF(A150="","",F150+K150)</f>
        <v/>
      </c>
    </row>
    <row r="151">
      <c r="A151" s="30" t="inlineStr"/>
      <c r="B151" s="30" t="inlineStr"/>
      <c r="C151" s="30" t="inlineStr"/>
      <c r="D151" s="30" t="inlineStr"/>
      <c r="E151" s="38" t="inlineStr"/>
      <c r="F151" s="34" t="inlineStr"/>
      <c r="G151" s="30" t="inlineStr"/>
      <c r="H151" s="32" t="inlineStr"/>
      <c r="I151" s="30" t="inlineStr"/>
      <c r="J151" s="30" t="inlineStr"/>
      <c r="K151" s="15">
        <f>IF(A151="","",SUMIFS('07_Nachtraege'!$E:$E,'07_Nachtraege'!$B:$B,C151,'07_Nachtraege'!$F:$F,"beauftragt"))</f>
        <v/>
      </c>
      <c r="L151" s="15">
        <f>IF(A151="","",F151+K151)</f>
        <v/>
      </c>
    </row>
    <row r="152">
      <c r="A152" s="30" t="inlineStr"/>
      <c r="B152" s="30" t="inlineStr"/>
      <c r="C152" s="30" t="inlineStr"/>
      <c r="D152" s="30" t="inlineStr"/>
      <c r="E152" s="38" t="inlineStr"/>
      <c r="F152" s="34" t="inlineStr"/>
      <c r="G152" s="30" t="inlineStr"/>
      <c r="H152" s="32" t="inlineStr"/>
      <c r="I152" s="30" t="inlineStr"/>
      <c r="J152" s="30" t="inlineStr"/>
      <c r="K152" s="15">
        <f>IF(A152="","",SUMIFS('07_Nachtraege'!$E:$E,'07_Nachtraege'!$B:$B,C152,'07_Nachtraege'!$F:$F,"beauftragt"))</f>
        <v/>
      </c>
      <c r="L152" s="15">
        <f>IF(A152="","",F152+K152)</f>
        <v/>
      </c>
    </row>
    <row r="153">
      <c r="A153" s="30" t="inlineStr"/>
      <c r="B153" s="30" t="inlineStr"/>
      <c r="C153" s="30" t="inlineStr"/>
      <c r="D153" s="30" t="inlineStr"/>
      <c r="E153" s="38" t="inlineStr"/>
      <c r="F153" s="34" t="inlineStr"/>
      <c r="G153" s="30" t="inlineStr"/>
      <c r="H153" s="32" t="inlineStr"/>
      <c r="I153" s="30" t="inlineStr"/>
      <c r="J153" s="30" t="inlineStr"/>
      <c r="K153" s="15">
        <f>IF(A153="","",SUMIFS('07_Nachtraege'!$E:$E,'07_Nachtraege'!$B:$B,C153,'07_Nachtraege'!$F:$F,"beauftragt"))</f>
        <v/>
      </c>
      <c r="L153" s="15">
        <f>IF(A153="","",F153+K153)</f>
        <v/>
      </c>
    </row>
    <row r="154">
      <c r="A154" s="30" t="inlineStr"/>
      <c r="B154" s="30" t="inlineStr"/>
      <c r="C154" s="30" t="inlineStr"/>
      <c r="D154" s="30" t="inlineStr"/>
      <c r="E154" s="38" t="inlineStr"/>
      <c r="F154" s="34" t="inlineStr"/>
      <c r="G154" s="30" t="inlineStr"/>
      <c r="H154" s="32" t="inlineStr"/>
      <c r="I154" s="30" t="inlineStr"/>
      <c r="J154" s="30" t="inlineStr"/>
      <c r="K154" s="15">
        <f>IF(A154="","",SUMIFS('07_Nachtraege'!$E:$E,'07_Nachtraege'!$B:$B,C154,'07_Nachtraege'!$F:$F,"beauftragt"))</f>
        <v/>
      </c>
      <c r="L154" s="15">
        <f>IF(A154="","",F154+K154)</f>
        <v/>
      </c>
    </row>
    <row r="155">
      <c r="A155" s="30" t="inlineStr"/>
      <c r="B155" s="30" t="inlineStr"/>
      <c r="C155" s="30" t="inlineStr"/>
      <c r="D155" s="30" t="inlineStr"/>
      <c r="E155" s="38" t="inlineStr"/>
      <c r="F155" s="34" t="inlineStr"/>
      <c r="G155" s="30" t="inlineStr"/>
      <c r="H155" s="32" t="inlineStr"/>
      <c r="I155" s="30" t="inlineStr"/>
      <c r="J155" s="30" t="inlineStr"/>
      <c r="K155" s="15">
        <f>IF(A155="","",SUMIFS('07_Nachtraege'!$E:$E,'07_Nachtraege'!$B:$B,C155,'07_Nachtraege'!$F:$F,"beauftragt"))</f>
        <v/>
      </c>
      <c r="L155" s="15">
        <f>IF(A155="","",F155+K155)</f>
        <v/>
      </c>
    </row>
    <row r="156">
      <c r="A156" s="30" t="inlineStr"/>
      <c r="B156" s="30" t="inlineStr"/>
      <c r="C156" s="30" t="inlineStr"/>
      <c r="D156" s="30" t="inlineStr"/>
      <c r="E156" s="38" t="inlineStr"/>
      <c r="F156" s="34" t="inlineStr"/>
      <c r="G156" s="30" t="inlineStr"/>
      <c r="H156" s="32" t="inlineStr"/>
      <c r="I156" s="30" t="inlineStr"/>
      <c r="J156" s="30" t="inlineStr"/>
      <c r="K156" s="15">
        <f>IF(A156="","",SUMIFS('07_Nachtraege'!$E:$E,'07_Nachtraege'!$B:$B,C156,'07_Nachtraege'!$F:$F,"beauftragt"))</f>
        <v/>
      </c>
      <c r="L156" s="15">
        <f>IF(A156="","",F156+K156)</f>
        <v/>
      </c>
    </row>
    <row r="157">
      <c r="A157" s="30" t="inlineStr"/>
      <c r="B157" s="30" t="inlineStr"/>
      <c r="C157" s="30" t="inlineStr"/>
      <c r="D157" s="30" t="inlineStr"/>
      <c r="E157" s="38" t="inlineStr"/>
      <c r="F157" s="34" t="inlineStr"/>
      <c r="G157" s="30" t="inlineStr"/>
      <c r="H157" s="32" t="inlineStr"/>
      <c r="I157" s="30" t="inlineStr"/>
      <c r="J157" s="30" t="inlineStr"/>
      <c r="K157" s="15">
        <f>IF(A157="","",SUMIFS('07_Nachtraege'!$E:$E,'07_Nachtraege'!$B:$B,C157,'07_Nachtraege'!$F:$F,"beauftragt"))</f>
        <v/>
      </c>
      <c r="L157" s="15">
        <f>IF(A157="","",F157+K157)</f>
        <v/>
      </c>
    </row>
    <row r="158">
      <c r="A158" s="30" t="inlineStr"/>
      <c r="B158" s="30" t="inlineStr"/>
      <c r="C158" s="30" t="inlineStr"/>
      <c r="D158" s="30" t="inlineStr"/>
      <c r="E158" s="38" t="inlineStr"/>
      <c r="F158" s="34" t="inlineStr"/>
      <c r="G158" s="30" t="inlineStr"/>
      <c r="H158" s="32" t="inlineStr"/>
      <c r="I158" s="30" t="inlineStr"/>
      <c r="J158" s="30" t="inlineStr"/>
      <c r="K158" s="15">
        <f>IF(A158="","",SUMIFS('07_Nachtraege'!$E:$E,'07_Nachtraege'!$B:$B,C158,'07_Nachtraege'!$F:$F,"beauftragt"))</f>
        <v/>
      </c>
      <c r="L158" s="15">
        <f>IF(A158="","",F158+K158)</f>
        <v/>
      </c>
    </row>
    <row r="159">
      <c r="A159" s="30" t="inlineStr"/>
      <c r="B159" s="30" t="inlineStr"/>
      <c r="C159" s="30" t="inlineStr"/>
      <c r="D159" s="30" t="inlineStr"/>
      <c r="E159" s="38" t="inlineStr"/>
      <c r="F159" s="34" t="inlineStr"/>
      <c r="G159" s="30" t="inlineStr"/>
      <c r="H159" s="32" t="inlineStr"/>
      <c r="I159" s="30" t="inlineStr"/>
      <c r="J159" s="30" t="inlineStr"/>
      <c r="K159" s="15">
        <f>IF(A159="","",SUMIFS('07_Nachtraege'!$E:$E,'07_Nachtraege'!$B:$B,C159,'07_Nachtraege'!$F:$F,"beauftragt"))</f>
        <v/>
      </c>
      <c r="L159" s="15">
        <f>IF(A159="","",F159+K159)</f>
        <v/>
      </c>
    </row>
    <row r="160">
      <c r="A160" s="30" t="inlineStr"/>
      <c r="B160" s="30" t="inlineStr"/>
      <c r="C160" s="30" t="inlineStr"/>
      <c r="D160" s="30" t="inlineStr"/>
      <c r="E160" s="38" t="inlineStr"/>
      <c r="F160" s="34" t="inlineStr"/>
      <c r="G160" s="30" t="inlineStr"/>
      <c r="H160" s="32" t="inlineStr"/>
      <c r="I160" s="30" t="inlineStr"/>
      <c r="J160" s="30" t="inlineStr"/>
      <c r="K160" s="15">
        <f>IF(A160="","",SUMIFS('07_Nachtraege'!$E:$E,'07_Nachtraege'!$B:$B,C160,'07_Nachtraege'!$F:$F,"beauftragt"))</f>
        <v/>
      </c>
      <c r="L160" s="15">
        <f>IF(A160="","",F160+K160)</f>
        <v/>
      </c>
    </row>
    <row r="161">
      <c r="A161" s="30" t="inlineStr"/>
      <c r="B161" s="30" t="inlineStr"/>
      <c r="C161" s="30" t="inlineStr"/>
      <c r="D161" s="30" t="inlineStr"/>
      <c r="E161" s="38" t="inlineStr"/>
      <c r="F161" s="34" t="inlineStr"/>
      <c r="G161" s="30" t="inlineStr"/>
      <c r="H161" s="32" t="inlineStr"/>
      <c r="I161" s="30" t="inlineStr"/>
      <c r="J161" s="30" t="inlineStr"/>
      <c r="K161" s="15">
        <f>IF(A161="","",SUMIFS('07_Nachtraege'!$E:$E,'07_Nachtraege'!$B:$B,C161,'07_Nachtraege'!$F:$F,"beauftragt"))</f>
        <v/>
      </c>
      <c r="L161" s="15">
        <f>IF(A161="","",F161+K161)</f>
        <v/>
      </c>
    </row>
    <row r="162">
      <c r="A162" s="30" t="inlineStr"/>
      <c r="B162" s="30" t="inlineStr"/>
      <c r="C162" s="30" t="inlineStr"/>
      <c r="D162" s="30" t="inlineStr"/>
      <c r="E162" s="38" t="inlineStr"/>
      <c r="F162" s="34" t="inlineStr"/>
      <c r="G162" s="30" t="inlineStr"/>
      <c r="H162" s="32" t="inlineStr"/>
      <c r="I162" s="30" t="inlineStr"/>
      <c r="J162" s="30" t="inlineStr"/>
      <c r="K162" s="15">
        <f>IF(A162="","",SUMIFS('07_Nachtraege'!$E:$E,'07_Nachtraege'!$B:$B,C162,'07_Nachtraege'!$F:$F,"beauftragt"))</f>
        <v/>
      </c>
      <c r="L162" s="15">
        <f>IF(A162="","",F162+K162)</f>
        <v/>
      </c>
    </row>
    <row r="163">
      <c r="A163" s="30" t="inlineStr"/>
      <c r="B163" s="30" t="inlineStr"/>
      <c r="C163" s="30" t="inlineStr"/>
      <c r="D163" s="30" t="inlineStr"/>
      <c r="E163" s="38" t="inlineStr"/>
      <c r="F163" s="34" t="inlineStr"/>
      <c r="G163" s="30" t="inlineStr"/>
      <c r="H163" s="32" t="inlineStr"/>
      <c r="I163" s="30" t="inlineStr"/>
      <c r="J163" s="30" t="inlineStr"/>
      <c r="K163" s="15">
        <f>IF(A163="","",SUMIFS('07_Nachtraege'!$E:$E,'07_Nachtraege'!$B:$B,C163,'07_Nachtraege'!$F:$F,"beauftragt"))</f>
        <v/>
      </c>
      <c r="L163" s="15">
        <f>IF(A163="","",F163+K163)</f>
        <v/>
      </c>
    </row>
    <row r="164">
      <c r="A164" s="30" t="inlineStr"/>
      <c r="B164" s="30" t="inlineStr"/>
      <c r="C164" s="30" t="inlineStr"/>
      <c r="D164" s="30" t="inlineStr"/>
      <c r="E164" s="38" t="inlineStr"/>
      <c r="F164" s="34" t="inlineStr"/>
      <c r="G164" s="30" t="inlineStr"/>
      <c r="H164" s="32" t="inlineStr"/>
      <c r="I164" s="30" t="inlineStr"/>
      <c r="J164" s="30" t="inlineStr"/>
      <c r="K164" s="15">
        <f>IF(A164="","",SUMIFS('07_Nachtraege'!$E:$E,'07_Nachtraege'!$B:$B,C164,'07_Nachtraege'!$F:$F,"beauftragt"))</f>
        <v/>
      </c>
      <c r="L164" s="15">
        <f>IF(A164="","",F164+K164)</f>
        <v/>
      </c>
    </row>
    <row r="165">
      <c r="A165" s="30" t="inlineStr"/>
      <c r="B165" s="30" t="inlineStr"/>
      <c r="C165" s="30" t="inlineStr"/>
      <c r="D165" s="30" t="inlineStr"/>
      <c r="E165" s="38" t="inlineStr"/>
      <c r="F165" s="34" t="inlineStr"/>
      <c r="G165" s="30" t="inlineStr"/>
      <c r="H165" s="32" t="inlineStr"/>
      <c r="I165" s="30" t="inlineStr"/>
      <c r="J165" s="30" t="inlineStr"/>
      <c r="K165" s="15">
        <f>IF(A165="","",SUMIFS('07_Nachtraege'!$E:$E,'07_Nachtraege'!$B:$B,C165,'07_Nachtraege'!$F:$F,"beauftragt"))</f>
        <v/>
      </c>
      <c r="L165" s="15">
        <f>IF(A165="","",F165+K165)</f>
        <v/>
      </c>
    </row>
    <row r="166">
      <c r="A166" s="30" t="inlineStr"/>
      <c r="B166" s="30" t="inlineStr"/>
      <c r="C166" s="30" t="inlineStr"/>
      <c r="D166" s="30" t="inlineStr"/>
      <c r="E166" s="38" t="inlineStr"/>
      <c r="F166" s="34" t="inlineStr"/>
      <c r="G166" s="30" t="inlineStr"/>
      <c r="H166" s="32" t="inlineStr"/>
      <c r="I166" s="30" t="inlineStr"/>
      <c r="J166" s="30" t="inlineStr"/>
      <c r="K166" s="15">
        <f>IF(A166="","",SUMIFS('07_Nachtraege'!$E:$E,'07_Nachtraege'!$B:$B,C166,'07_Nachtraege'!$F:$F,"beauftragt"))</f>
        <v/>
      </c>
      <c r="L166" s="15">
        <f>IF(A166="","",F166+K166)</f>
        <v/>
      </c>
    </row>
    <row r="167">
      <c r="A167" s="30" t="inlineStr"/>
      <c r="B167" s="30" t="inlineStr"/>
      <c r="C167" s="30" t="inlineStr"/>
      <c r="D167" s="30" t="inlineStr"/>
      <c r="E167" s="38" t="inlineStr"/>
      <c r="F167" s="34" t="inlineStr"/>
      <c r="G167" s="30" t="inlineStr"/>
      <c r="H167" s="32" t="inlineStr"/>
      <c r="I167" s="30" t="inlineStr"/>
      <c r="J167" s="30" t="inlineStr"/>
      <c r="K167" s="15">
        <f>IF(A167="","",SUMIFS('07_Nachtraege'!$E:$E,'07_Nachtraege'!$B:$B,C167,'07_Nachtraege'!$F:$F,"beauftragt"))</f>
        <v/>
      </c>
      <c r="L167" s="15">
        <f>IF(A167="","",F167+K167)</f>
        <v/>
      </c>
    </row>
    <row r="168">
      <c r="A168" s="30" t="inlineStr"/>
      <c r="B168" s="30" t="inlineStr"/>
      <c r="C168" s="30" t="inlineStr"/>
      <c r="D168" s="30" t="inlineStr"/>
      <c r="E168" s="38" t="inlineStr"/>
      <c r="F168" s="34" t="inlineStr"/>
      <c r="G168" s="30" t="inlineStr"/>
      <c r="H168" s="32" t="inlineStr"/>
      <c r="I168" s="30" t="inlineStr"/>
      <c r="J168" s="30" t="inlineStr"/>
      <c r="K168" s="15">
        <f>IF(A168="","",SUMIFS('07_Nachtraege'!$E:$E,'07_Nachtraege'!$B:$B,C168,'07_Nachtraege'!$F:$F,"beauftragt"))</f>
        <v/>
      </c>
      <c r="L168" s="15">
        <f>IF(A168="","",F168+K168)</f>
        <v/>
      </c>
    </row>
    <row r="169">
      <c r="A169" s="30" t="inlineStr"/>
      <c r="B169" s="30" t="inlineStr"/>
      <c r="C169" s="30" t="inlineStr"/>
      <c r="D169" s="30" t="inlineStr"/>
      <c r="E169" s="38" t="inlineStr"/>
      <c r="F169" s="34" t="inlineStr"/>
      <c r="G169" s="30" t="inlineStr"/>
      <c r="H169" s="32" t="inlineStr"/>
      <c r="I169" s="30" t="inlineStr"/>
      <c r="J169" s="30" t="inlineStr"/>
      <c r="K169" s="15">
        <f>IF(A169="","",SUMIFS('07_Nachtraege'!$E:$E,'07_Nachtraege'!$B:$B,C169,'07_Nachtraege'!$F:$F,"beauftragt"))</f>
        <v/>
      </c>
      <c r="L169" s="15">
        <f>IF(A169="","",F169+K169)</f>
        <v/>
      </c>
    </row>
    <row r="170">
      <c r="A170" s="30" t="inlineStr"/>
      <c r="B170" s="30" t="inlineStr"/>
      <c r="C170" s="30" t="inlineStr"/>
      <c r="D170" s="30" t="inlineStr"/>
      <c r="E170" s="38" t="inlineStr"/>
      <c r="F170" s="34" t="inlineStr"/>
      <c r="G170" s="30" t="inlineStr"/>
      <c r="H170" s="32" t="inlineStr"/>
      <c r="I170" s="30" t="inlineStr"/>
      <c r="J170" s="30" t="inlineStr"/>
      <c r="K170" s="15">
        <f>IF(A170="","",SUMIFS('07_Nachtraege'!$E:$E,'07_Nachtraege'!$B:$B,C170,'07_Nachtraege'!$F:$F,"beauftragt"))</f>
        <v/>
      </c>
      <c r="L170" s="15">
        <f>IF(A170="","",F170+K170)</f>
        <v/>
      </c>
    </row>
    <row r="171">
      <c r="A171" s="30" t="inlineStr"/>
      <c r="B171" s="30" t="inlineStr"/>
      <c r="C171" s="30" t="inlineStr"/>
      <c r="D171" s="30" t="inlineStr"/>
      <c r="E171" s="38" t="inlineStr"/>
      <c r="F171" s="34" t="inlineStr"/>
      <c r="G171" s="30" t="inlineStr"/>
      <c r="H171" s="32" t="inlineStr"/>
      <c r="I171" s="30" t="inlineStr"/>
      <c r="J171" s="30" t="inlineStr"/>
      <c r="K171" s="15">
        <f>IF(A171="","",SUMIFS('07_Nachtraege'!$E:$E,'07_Nachtraege'!$B:$B,C171,'07_Nachtraege'!$F:$F,"beauftragt"))</f>
        <v/>
      </c>
      <c r="L171" s="15">
        <f>IF(A171="","",F171+K171)</f>
        <v/>
      </c>
    </row>
    <row r="172">
      <c r="A172" s="30" t="inlineStr"/>
      <c r="B172" s="30" t="inlineStr"/>
      <c r="C172" s="30" t="inlineStr"/>
      <c r="D172" s="30" t="inlineStr"/>
      <c r="E172" s="38" t="inlineStr"/>
      <c r="F172" s="34" t="inlineStr"/>
      <c r="G172" s="30" t="inlineStr"/>
      <c r="H172" s="32" t="inlineStr"/>
      <c r="I172" s="30" t="inlineStr"/>
      <c r="J172" s="30" t="inlineStr"/>
      <c r="K172" s="15">
        <f>IF(A172="","",SUMIFS('07_Nachtraege'!$E:$E,'07_Nachtraege'!$B:$B,C172,'07_Nachtraege'!$F:$F,"beauftragt"))</f>
        <v/>
      </c>
      <c r="L172" s="15">
        <f>IF(A172="","",F172+K172)</f>
        <v/>
      </c>
    </row>
    <row r="173">
      <c r="A173" s="30" t="inlineStr"/>
      <c r="B173" s="30" t="inlineStr"/>
      <c r="C173" s="30" t="inlineStr"/>
      <c r="D173" s="30" t="inlineStr"/>
      <c r="E173" s="38" t="inlineStr"/>
      <c r="F173" s="34" t="inlineStr"/>
      <c r="G173" s="30" t="inlineStr"/>
      <c r="H173" s="32" t="inlineStr"/>
      <c r="I173" s="30" t="inlineStr"/>
      <c r="J173" s="30" t="inlineStr"/>
      <c r="K173" s="15">
        <f>IF(A173="","",SUMIFS('07_Nachtraege'!$E:$E,'07_Nachtraege'!$B:$B,C173,'07_Nachtraege'!$F:$F,"beauftragt"))</f>
        <v/>
      </c>
      <c r="L173" s="15">
        <f>IF(A173="","",F173+K173)</f>
        <v/>
      </c>
    </row>
    <row r="174">
      <c r="A174" s="30" t="inlineStr"/>
      <c r="B174" s="30" t="inlineStr"/>
      <c r="C174" s="30" t="inlineStr"/>
      <c r="D174" s="30" t="inlineStr"/>
      <c r="E174" s="38" t="inlineStr"/>
      <c r="F174" s="34" t="inlineStr"/>
      <c r="G174" s="30" t="inlineStr"/>
      <c r="H174" s="32" t="inlineStr"/>
      <c r="I174" s="30" t="inlineStr"/>
      <c r="J174" s="30" t="inlineStr"/>
      <c r="K174" s="15">
        <f>IF(A174="","",SUMIFS('07_Nachtraege'!$E:$E,'07_Nachtraege'!$B:$B,C174,'07_Nachtraege'!$F:$F,"beauftragt"))</f>
        <v/>
      </c>
      <c r="L174" s="15">
        <f>IF(A174="","",F174+K174)</f>
        <v/>
      </c>
    </row>
    <row r="175">
      <c r="A175" s="30" t="inlineStr"/>
      <c r="B175" s="30" t="inlineStr"/>
      <c r="C175" s="30" t="inlineStr"/>
      <c r="D175" s="30" t="inlineStr"/>
      <c r="E175" s="38" t="inlineStr"/>
      <c r="F175" s="34" t="inlineStr"/>
      <c r="G175" s="30" t="inlineStr"/>
      <c r="H175" s="32" t="inlineStr"/>
      <c r="I175" s="30" t="inlineStr"/>
      <c r="J175" s="30" t="inlineStr"/>
      <c r="K175" s="15">
        <f>IF(A175="","",SUMIFS('07_Nachtraege'!$E:$E,'07_Nachtraege'!$B:$B,C175,'07_Nachtraege'!$F:$F,"beauftragt"))</f>
        <v/>
      </c>
      <c r="L175" s="15">
        <f>IF(A175="","",F175+K175)</f>
        <v/>
      </c>
    </row>
    <row r="176">
      <c r="A176" s="30" t="inlineStr"/>
      <c r="B176" s="30" t="inlineStr"/>
      <c r="C176" s="30" t="inlineStr"/>
      <c r="D176" s="30" t="inlineStr"/>
      <c r="E176" s="38" t="inlineStr"/>
      <c r="F176" s="34" t="inlineStr"/>
      <c r="G176" s="30" t="inlineStr"/>
      <c r="H176" s="32" t="inlineStr"/>
      <c r="I176" s="30" t="inlineStr"/>
      <c r="J176" s="30" t="inlineStr"/>
      <c r="K176" s="15">
        <f>IF(A176="","",SUMIFS('07_Nachtraege'!$E:$E,'07_Nachtraege'!$B:$B,C176,'07_Nachtraege'!$F:$F,"beauftragt"))</f>
        <v/>
      </c>
      <c r="L176" s="15">
        <f>IF(A176="","",F176+K176)</f>
        <v/>
      </c>
    </row>
    <row r="177">
      <c r="A177" s="30" t="inlineStr"/>
      <c r="B177" s="30" t="inlineStr"/>
      <c r="C177" s="30" t="inlineStr"/>
      <c r="D177" s="30" t="inlineStr"/>
      <c r="E177" s="38" t="inlineStr"/>
      <c r="F177" s="34" t="inlineStr"/>
      <c r="G177" s="30" t="inlineStr"/>
      <c r="H177" s="32" t="inlineStr"/>
      <c r="I177" s="30" t="inlineStr"/>
      <c r="J177" s="30" t="inlineStr"/>
      <c r="K177" s="15">
        <f>IF(A177="","",SUMIFS('07_Nachtraege'!$E:$E,'07_Nachtraege'!$B:$B,C177,'07_Nachtraege'!$F:$F,"beauftragt"))</f>
        <v/>
      </c>
      <c r="L177" s="15">
        <f>IF(A177="","",F177+K177)</f>
        <v/>
      </c>
    </row>
    <row r="178">
      <c r="A178" s="30" t="inlineStr"/>
      <c r="B178" s="30" t="inlineStr"/>
      <c r="C178" s="30" t="inlineStr"/>
      <c r="D178" s="30" t="inlineStr"/>
      <c r="E178" s="38" t="inlineStr"/>
      <c r="F178" s="34" t="inlineStr"/>
      <c r="G178" s="30" t="inlineStr"/>
      <c r="H178" s="32" t="inlineStr"/>
      <c r="I178" s="30" t="inlineStr"/>
      <c r="J178" s="30" t="inlineStr"/>
      <c r="K178" s="15">
        <f>IF(A178="","",SUMIFS('07_Nachtraege'!$E:$E,'07_Nachtraege'!$B:$B,C178,'07_Nachtraege'!$F:$F,"beauftragt"))</f>
        <v/>
      </c>
      <c r="L178" s="15">
        <f>IF(A178="","",F178+K178)</f>
        <v/>
      </c>
    </row>
    <row r="179">
      <c r="A179" s="30" t="inlineStr"/>
      <c r="B179" s="30" t="inlineStr"/>
      <c r="C179" s="30" t="inlineStr"/>
      <c r="D179" s="30" t="inlineStr"/>
      <c r="E179" s="38" t="inlineStr"/>
      <c r="F179" s="34" t="inlineStr"/>
      <c r="G179" s="30" t="inlineStr"/>
      <c r="H179" s="32" t="inlineStr"/>
      <c r="I179" s="30" t="inlineStr"/>
      <c r="J179" s="30" t="inlineStr"/>
      <c r="K179" s="15">
        <f>IF(A179="","",SUMIFS('07_Nachtraege'!$E:$E,'07_Nachtraege'!$B:$B,C179,'07_Nachtraege'!$F:$F,"beauftragt"))</f>
        <v/>
      </c>
      <c r="L179" s="15">
        <f>IF(A179="","",F179+K179)</f>
        <v/>
      </c>
    </row>
    <row r="180">
      <c r="A180" s="30" t="inlineStr"/>
      <c r="B180" s="30" t="inlineStr"/>
      <c r="C180" s="30" t="inlineStr"/>
      <c r="D180" s="30" t="inlineStr"/>
      <c r="E180" s="38" t="inlineStr"/>
      <c r="F180" s="34" t="inlineStr"/>
      <c r="G180" s="30" t="inlineStr"/>
      <c r="H180" s="32" t="inlineStr"/>
      <c r="I180" s="30" t="inlineStr"/>
      <c r="J180" s="30" t="inlineStr"/>
      <c r="K180" s="15">
        <f>IF(A180="","",SUMIFS('07_Nachtraege'!$E:$E,'07_Nachtraege'!$B:$B,C180,'07_Nachtraege'!$F:$F,"beauftragt"))</f>
        <v/>
      </c>
      <c r="L180" s="15">
        <f>IF(A180="","",F180+K180)</f>
        <v/>
      </c>
    </row>
    <row r="181">
      <c r="A181" s="30" t="inlineStr"/>
      <c r="B181" s="30" t="inlineStr"/>
      <c r="C181" s="30" t="inlineStr"/>
      <c r="D181" s="30" t="inlineStr"/>
      <c r="E181" s="38" t="inlineStr"/>
      <c r="F181" s="34" t="inlineStr"/>
      <c r="G181" s="30" t="inlineStr"/>
      <c r="H181" s="32" t="inlineStr"/>
      <c r="I181" s="30" t="inlineStr"/>
      <c r="J181" s="30" t="inlineStr"/>
      <c r="K181" s="15">
        <f>IF(A181="","",SUMIFS('07_Nachtraege'!$E:$E,'07_Nachtraege'!$B:$B,C181,'07_Nachtraege'!$F:$F,"beauftragt"))</f>
        <v/>
      </c>
      <c r="L181" s="15">
        <f>IF(A181="","",F181+K181)</f>
        <v/>
      </c>
    </row>
    <row r="182">
      <c r="A182" s="30" t="inlineStr"/>
      <c r="B182" s="30" t="inlineStr"/>
      <c r="C182" s="30" t="inlineStr"/>
      <c r="D182" s="30" t="inlineStr"/>
      <c r="E182" s="38" t="inlineStr"/>
      <c r="F182" s="34" t="inlineStr"/>
      <c r="G182" s="30" t="inlineStr"/>
      <c r="H182" s="32" t="inlineStr"/>
      <c r="I182" s="30" t="inlineStr"/>
      <c r="J182" s="30" t="inlineStr"/>
      <c r="K182" s="15">
        <f>IF(A182="","",SUMIFS('07_Nachtraege'!$E:$E,'07_Nachtraege'!$B:$B,C182,'07_Nachtraege'!$F:$F,"beauftragt"))</f>
        <v/>
      </c>
      <c r="L182" s="15">
        <f>IF(A182="","",F182+K182)</f>
        <v/>
      </c>
    </row>
    <row r="183">
      <c r="A183" s="30" t="inlineStr"/>
      <c r="B183" s="30" t="inlineStr"/>
      <c r="C183" s="30" t="inlineStr"/>
      <c r="D183" s="30" t="inlineStr"/>
      <c r="E183" s="38" t="inlineStr"/>
      <c r="F183" s="34" t="inlineStr"/>
      <c r="G183" s="30" t="inlineStr"/>
      <c r="H183" s="32" t="inlineStr"/>
      <c r="I183" s="30" t="inlineStr"/>
      <c r="J183" s="30" t="inlineStr"/>
      <c r="K183" s="15">
        <f>IF(A183="","",SUMIFS('07_Nachtraege'!$E:$E,'07_Nachtraege'!$B:$B,C183,'07_Nachtraege'!$F:$F,"beauftragt"))</f>
        <v/>
      </c>
      <c r="L183" s="15">
        <f>IF(A183="","",F183+K183)</f>
        <v/>
      </c>
    </row>
    <row r="184">
      <c r="A184" s="30" t="inlineStr"/>
      <c r="B184" s="30" t="inlineStr"/>
      <c r="C184" s="30" t="inlineStr"/>
      <c r="D184" s="30" t="inlineStr"/>
      <c r="E184" s="38" t="inlineStr"/>
      <c r="F184" s="34" t="inlineStr"/>
      <c r="G184" s="30" t="inlineStr"/>
      <c r="H184" s="32" t="inlineStr"/>
      <c r="I184" s="30" t="inlineStr"/>
      <c r="J184" s="30" t="inlineStr"/>
      <c r="K184" s="15">
        <f>IF(A184="","",SUMIFS('07_Nachtraege'!$E:$E,'07_Nachtraege'!$B:$B,C184,'07_Nachtraege'!$F:$F,"beauftragt"))</f>
        <v/>
      </c>
      <c r="L184" s="15">
        <f>IF(A184="","",F184+K184)</f>
        <v/>
      </c>
    </row>
    <row r="185">
      <c r="A185" s="30" t="inlineStr"/>
      <c r="B185" s="30" t="inlineStr"/>
      <c r="C185" s="30" t="inlineStr"/>
      <c r="D185" s="30" t="inlineStr"/>
      <c r="E185" s="38" t="inlineStr"/>
      <c r="F185" s="34" t="inlineStr"/>
      <c r="G185" s="30" t="inlineStr"/>
      <c r="H185" s="32" t="inlineStr"/>
      <c r="I185" s="30" t="inlineStr"/>
      <c r="J185" s="30" t="inlineStr"/>
      <c r="K185" s="15">
        <f>IF(A185="","",SUMIFS('07_Nachtraege'!$E:$E,'07_Nachtraege'!$B:$B,C185,'07_Nachtraege'!$F:$F,"beauftragt"))</f>
        <v/>
      </c>
      <c r="L185" s="15">
        <f>IF(A185="","",F185+K185)</f>
        <v/>
      </c>
    </row>
    <row r="186">
      <c r="A186" s="30" t="inlineStr"/>
      <c r="B186" s="30" t="inlineStr"/>
      <c r="C186" s="30" t="inlineStr"/>
      <c r="D186" s="30" t="inlineStr"/>
      <c r="E186" s="38" t="inlineStr"/>
      <c r="F186" s="34" t="inlineStr"/>
      <c r="G186" s="30" t="inlineStr"/>
      <c r="H186" s="32" t="inlineStr"/>
      <c r="I186" s="30" t="inlineStr"/>
      <c r="J186" s="30" t="inlineStr"/>
      <c r="K186" s="15">
        <f>IF(A186="","",SUMIFS('07_Nachtraege'!$E:$E,'07_Nachtraege'!$B:$B,C186,'07_Nachtraege'!$F:$F,"beauftragt"))</f>
        <v/>
      </c>
      <c r="L186" s="15">
        <f>IF(A186="","",F186+K186)</f>
        <v/>
      </c>
    </row>
    <row r="187">
      <c r="A187" s="30" t="inlineStr"/>
      <c r="B187" s="30" t="inlineStr"/>
      <c r="C187" s="30" t="inlineStr"/>
      <c r="D187" s="30" t="inlineStr"/>
      <c r="E187" s="38" t="inlineStr"/>
      <c r="F187" s="34" t="inlineStr"/>
      <c r="G187" s="30" t="inlineStr"/>
      <c r="H187" s="32" t="inlineStr"/>
      <c r="I187" s="30" t="inlineStr"/>
      <c r="J187" s="30" t="inlineStr"/>
      <c r="K187" s="15">
        <f>IF(A187="","",SUMIFS('07_Nachtraege'!$E:$E,'07_Nachtraege'!$B:$B,C187,'07_Nachtraege'!$F:$F,"beauftragt"))</f>
        <v/>
      </c>
      <c r="L187" s="15">
        <f>IF(A187="","",F187+K187)</f>
        <v/>
      </c>
    </row>
    <row r="188">
      <c r="A188" s="30" t="inlineStr"/>
      <c r="B188" s="30" t="inlineStr"/>
      <c r="C188" s="30" t="inlineStr"/>
      <c r="D188" s="30" t="inlineStr"/>
      <c r="E188" s="38" t="inlineStr"/>
      <c r="F188" s="34" t="inlineStr"/>
      <c r="G188" s="30" t="inlineStr"/>
      <c r="H188" s="32" t="inlineStr"/>
      <c r="I188" s="30" t="inlineStr"/>
      <c r="J188" s="30" t="inlineStr"/>
      <c r="K188" s="15">
        <f>IF(A188="","",SUMIFS('07_Nachtraege'!$E:$E,'07_Nachtraege'!$B:$B,C188,'07_Nachtraege'!$F:$F,"beauftragt"))</f>
        <v/>
      </c>
      <c r="L188" s="15">
        <f>IF(A188="","",F188+K188)</f>
        <v/>
      </c>
    </row>
    <row r="189">
      <c r="A189" s="30" t="inlineStr"/>
      <c r="B189" s="30" t="inlineStr"/>
      <c r="C189" s="30" t="inlineStr"/>
      <c r="D189" s="30" t="inlineStr"/>
      <c r="E189" s="38" t="inlineStr"/>
      <c r="F189" s="34" t="inlineStr"/>
      <c r="G189" s="30" t="inlineStr"/>
      <c r="H189" s="32" t="inlineStr"/>
      <c r="I189" s="30" t="inlineStr"/>
      <c r="J189" s="30" t="inlineStr"/>
      <c r="K189" s="15">
        <f>IF(A189="","",SUMIFS('07_Nachtraege'!$E:$E,'07_Nachtraege'!$B:$B,C189,'07_Nachtraege'!$F:$F,"beauftragt"))</f>
        <v/>
      </c>
      <c r="L189" s="15">
        <f>IF(A189="","",F189+K189)</f>
        <v/>
      </c>
    </row>
    <row r="190">
      <c r="A190" s="30" t="inlineStr"/>
      <c r="B190" s="30" t="inlineStr"/>
      <c r="C190" s="30" t="inlineStr"/>
      <c r="D190" s="30" t="inlineStr"/>
      <c r="E190" s="38" t="inlineStr"/>
      <c r="F190" s="34" t="inlineStr"/>
      <c r="G190" s="30" t="inlineStr"/>
      <c r="H190" s="32" t="inlineStr"/>
      <c r="I190" s="30" t="inlineStr"/>
      <c r="J190" s="30" t="inlineStr"/>
      <c r="K190" s="15">
        <f>IF(A190="","",SUMIFS('07_Nachtraege'!$E:$E,'07_Nachtraege'!$B:$B,C190,'07_Nachtraege'!$F:$F,"beauftragt"))</f>
        <v/>
      </c>
      <c r="L190" s="15">
        <f>IF(A190="","",F190+K190)</f>
        <v/>
      </c>
    </row>
    <row r="191">
      <c r="A191" s="30" t="inlineStr"/>
      <c r="B191" s="30" t="inlineStr"/>
      <c r="C191" s="30" t="inlineStr"/>
      <c r="D191" s="30" t="inlineStr"/>
      <c r="E191" s="38" t="inlineStr"/>
      <c r="F191" s="34" t="inlineStr"/>
      <c r="G191" s="30" t="inlineStr"/>
      <c r="H191" s="32" t="inlineStr"/>
      <c r="I191" s="30" t="inlineStr"/>
      <c r="J191" s="30" t="inlineStr"/>
      <c r="K191" s="15">
        <f>IF(A191="","",SUMIFS('07_Nachtraege'!$E:$E,'07_Nachtraege'!$B:$B,C191,'07_Nachtraege'!$F:$F,"beauftragt"))</f>
        <v/>
      </c>
      <c r="L191" s="15">
        <f>IF(A191="","",F191+K191)</f>
        <v/>
      </c>
    </row>
    <row r="192">
      <c r="A192" s="30" t="inlineStr"/>
      <c r="B192" s="30" t="inlineStr"/>
      <c r="C192" s="30" t="inlineStr"/>
      <c r="D192" s="30" t="inlineStr"/>
      <c r="E192" s="38" t="inlineStr"/>
      <c r="F192" s="34" t="inlineStr"/>
      <c r="G192" s="30" t="inlineStr"/>
      <c r="H192" s="32" t="inlineStr"/>
      <c r="I192" s="30" t="inlineStr"/>
      <c r="J192" s="30" t="inlineStr"/>
      <c r="K192" s="15">
        <f>IF(A192="","",SUMIFS('07_Nachtraege'!$E:$E,'07_Nachtraege'!$B:$B,C192,'07_Nachtraege'!$F:$F,"beauftragt"))</f>
        <v/>
      </c>
      <c r="L192" s="15">
        <f>IF(A192="","",F192+K192)</f>
        <v/>
      </c>
    </row>
    <row r="193">
      <c r="A193" s="30" t="inlineStr"/>
      <c r="B193" s="30" t="inlineStr"/>
      <c r="C193" s="30" t="inlineStr"/>
      <c r="D193" s="30" t="inlineStr"/>
      <c r="E193" s="38" t="inlineStr"/>
      <c r="F193" s="34" t="inlineStr"/>
      <c r="G193" s="30" t="inlineStr"/>
      <c r="H193" s="32" t="inlineStr"/>
      <c r="I193" s="30" t="inlineStr"/>
      <c r="J193" s="30" t="inlineStr"/>
      <c r="K193" s="15">
        <f>IF(A193="","",SUMIFS('07_Nachtraege'!$E:$E,'07_Nachtraege'!$B:$B,C193,'07_Nachtraege'!$F:$F,"beauftragt"))</f>
        <v/>
      </c>
      <c r="L193" s="15">
        <f>IF(A193="","",F193+K193)</f>
        <v/>
      </c>
    </row>
    <row r="194">
      <c r="A194" s="30" t="inlineStr"/>
      <c r="B194" s="30" t="inlineStr"/>
      <c r="C194" s="30" t="inlineStr"/>
      <c r="D194" s="30" t="inlineStr"/>
      <c r="E194" s="38" t="inlineStr"/>
      <c r="F194" s="34" t="inlineStr"/>
      <c r="G194" s="30" t="inlineStr"/>
      <c r="H194" s="32" t="inlineStr"/>
      <c r="I194" s="30" t="inlineStr"/>
      <c r="J194" s="30" t="inlineStr"/>
      <c r="K194" s="15">
        <f>IF(A194="","",SUMIFS('07_Nachtraege'!$E:$E,'07_Nachtraege'!$B:$B,C194,'07_Nachtraege'!$F:$F,"beauftragt"))</f>
        <v/>
      </c>
      <c r="L194" s="15">
        <f>IF(A194="","",F194+K194)</f>
        <v/>
      </c>
    </row>
    <row r="195">
      <c r="A195" s="30" t="inlineStr"/>
      <c r="B195" s="30" t="inlineStr"/>
      <c r="C195" s="30" t="inlineStr"/>
      <c r="D195" s="30" t="inlineStr"/>
      <c r="E195" s="38" t="inlineStr"/>
      <c r="F195" s="34" t="inlineStr"/>
      <c r="G195" s="30" t="inlineStr"/>
      <c r="H195" s="32" t="inlineStr"/>
      <c r="I195" s="30" t="inlineStr"/>
      <c r="J195" s="30" t="inlineStr"/>
      <c r="K195" s="15">
        <f>IF(A195="","",SUMIFS('07_Nachtraege'!$E:$E,'07_Nachtraege'!$B:$B,C195,'07_Nachtraege'!$F:$F,"beauftragt"))</f>
        <v/>
      </c>
      <c r="L195" s="15">
        <f>IF(A195="","",F195+K195)</f>
        <v/>
      </c>
    </row>
    <row r="196">
      <c r="A196" s="30" t="inlineStr"/>
      <c r="B196" s="30" t="inlineStr"/>
      <c r="C196" s="30" t="inlineStr"/>
      <c r="D196" s="30" t="inlineStr"/>
      <c r="E196" s="38" t="inlineStr"/>
      <c r="F196" s="34" t="inlineStr"/>
      <c r="G196" s="30" t="inlineStr"/>
      <c r="H196" s="32" t="inlineStr"/>
      <c r="I196" s="30" t="inlineStr"/>
      <c r="J196" s="30" t="inlineStr"/>
      <c r="K196" s="15">
        <f>IF(A196="","",SUMIFS('07_Nachtraege'!$E:$E,'07_Nachtraege'!$B:$B,C196,'07_Nachtraege'!$F:$F,"beauftragt"))</f>
        <v/>
      </c>
      <c r="L196" s="15">
        <f>IF(A196="","",F196+K196)</f>
        <v/>
      </c>
    </row>
    <row r="197">
      <c r="A197" s="30" t="inlineStr"/>
      <c r="B197" s="30" t="inlineStr"/>
      <c r="C197" s="30" t="inlineStr"/>
      <c r="D197" s="30" t="inlineStr"/>
      <c r="E197" s="38" t="inlineStr"/>
      <c r="F197" s="34" t="inlineStr"/>
      <c r="G197" s="30" t="inlineStr"/>
      <c r="H197" s="32" t="inlineStr"/>
      <c r="I197" s="30" t="inlineStr"/>
      <c r="J197" s="30" t="inlineStr"/>
      <c r="K197" s="15">
        <f>IF(A197="","",SUMIFS('07_Nachtraege'!$E:$E,'07_Nachtraege'!$B:$B,C197,'07_Nachtraege'!$F:$F,"beauftragt"))</f>
        <v/>
      </c>
      <c r="L197" s="15">
        <f>IF(A197="","",F197+K197)</f>
        <v/>
      </c>
    </row>
    <row r="198">
      <c r="A198" s="30" t="inlineStr"/>
      <c r="B198" s="30" t="inlineStr"/>
      <c r="C198" s="30" t="inlineStr"/>
      <c r="D198" s="30" t="inlineStr"/>
      <c r="E198" s="38" t="inlineStr"/>
      <c r="F198" s="34" t="inlineStr"/>
      <c r="G198" s="30" t="inlineStr"/>
      <c r="H198" s="32" t="inlineStr"/>
      <c r="I198" s="30" t="inlineStr"/>
      <c r="J198" s="30" t="inlineStr"/>
      <c r="K198" s="15">
        <f>IF(A198="","",SUMIFS('07_Nachtraege'!$E:$E,'07_Nachtraege'!$B:$B,C198,'07_Nachtraege'!$F:$F,"beauftragt"))</f>
        <v/>
      </c>
      <c r="L198" s="15">
        <f>IF(A198="","",F198+K198)</f>
        <v/>
      </c>
    </row>
    <row r="199">
      <c r="A199" s="30" t="inlineStr"/>
      <c r="B199" s="30" t="inlineStr"/>
      <c r="C199" s="30" t="inlineStr"/>
      <c r="D199" s="30" t="inlineStr"/>
      <c r="E199" s="38" t="inlineStr"/>
      <c r="F199" s="34" t="inlineStr"/>
      <c r="G199" s="30" t="inlineStr"/>
      <c r="H199" s="32" t="inlineStr"/>
      <c r="I199" s="30" t="inlineStr"/>
      <c r="J199" s="30" t="inlineStr"/>
      <c r="K199" s="15">
        <f>IF(A199="","",SUMIFS('07_Nachtraege'!$E:$E,'07_Nachtraege'!$B:$B,C199,'07_Nachtraege'!$F:$F,"beauftragt"))</f>
        <v/>
      </c>
      <c r="L199" s="15">
        <f>IF(A199="","",F199+K199)</f>
        <v/>
      </c>
    </row>
    <row r="200">
      <c r="A200" s="30" t="inlineStr"/>
      <c r="B200" s="30" t="inlineStr"/>
      <c r="C200" s="30" t="inlineStr"/>
      <c r="D200" s="30" t="inlineStr"/>
      <c r="E200" s="38" t="inlineStr"/>
      <c r="F200" s="34" t="inlineStr"/>
      <c r="G200" s="30" t="inlineStr"/>
      <c r="H200" s="32" t="inlineStr"/>
      <c r="I200" s="30" t="inlineStr"/>
      <c r="J200" s="30" t="inlineStr"/>
      <c r="K200" s="15">
        <f>IF(A200="","",SUMIFS('07_Nachtraege'!$E:$E,'07_Nachtraege'!$B:$B,C200,'07_Nachtraege'!$F:$F,"beauftragt"))</f>
        <v/>
      </c>
      <c r="L200" s="15">
        <f>IF(A200="","",F200+K200)</f>
        <v/>
      </c>
    </row>
    <row r="201">
      <c r="A201" s="30" t="inlineStr"/>
      <c r="B201" s="30" t="inlineStr"/>
      <c r="C201" s="30" t="inlineStr"/>
      <c r="D201" s="30" t="inlineStr"/>
      <c r="E201" s="38" t="inlineStr"/>
      <c r="F201" s="34" t="inlineStr"/>
      <c r="G201" s="30" t="inlineStr"/>
      <c r="H201" s="32" t="inlineStr"/>
      <c r="I201" s="30" t="inlineStr"/>
      <c r="J201" s="30" t="inlineStr"/>
      <c r="K201" s="15">
        <f>IF(A201="","",SUMIFS('07_Nachtraege'!$E:$E,'07_Nachtraege'!$B:$B,C201,'07_Nachtraege'!$F:$F,"beauftragt"))</f>
        <v/>
      </c>
      <c r="L201" s="15">
        <f>IF(A201="","",F201+K201)</f>
        <v/>
      </c>
    </row>
    <row r="202">
      <c r="A202" s="30" t="inlineStr"/>
      <c r="B202" s="30" t="inlineStr"/>
      <c r="C202" s="30" t="inlineStr"/>
      <c r="D202" s="30" t="inlineStr"/>
      <c r="E202" s="38" t="inlineStr"/>
      <c r="F202" s="34" t="inlineStr"/>
      <c r="G202" s="30" t="inlineStr"/>
      <c r="H202" s="32" t="inlineStr"/>
      <c r="I202" s="30" t="inlineStr"/>
      <c r="J202" s="30" t="inlineStr"/>
      <c r="K202" s="15">
        <f>IF(A202="","",SUMIFS('07_Nachtraege'!$E:$E,'07_Nachtraege'!$B:$B,C202,'07_Nachtraege'!$F:$F,"beauftragt"))</f>
        <v/>
      </c>
      <c r="L202" s="15">
        <f>IF(A202="","",F202+K202)</f>
        <v/>
      </c>
    </row>
    <row r="203">
      <c r="A203" s="30" t="inlineStr"/>
      <c r="B203" s="30" t="inlineStr"/>
      <c r="C203" s="30" t="inlineStr"/>
      <c r="D203" s="30" t="inlineStr"/>
      <c r="E203" s="38" t="inlineStr"/>
      <c r="F203" s="34" t="inlineStr"/>
      <c r="G203" s="30" t="inlineStr"/>
      <c r="H203" s="32" t="inlineStr"/>
      <c r="I203" s="30" t="inlineStr"/>
      <c r="J203" s="30" t="inlineStr"/>
      <c r="K203" s="15">
        <f>IF(A203="","",SUMIFS('07_Nachtraege'!$E:$E,'07_Nachtraege'!$B:$B,C203,'07_Nachtraege'!$F:$F,"beauftragt"))</f>
        <v/>
      </c>
      <c r="L203" s="15">
        <f>IF(A203="","",F203+K203)</f>
        <v/>
      </c>
    </row>
    <row r="204">
      <c r="A204" s="30" t="inlineStr"/>
      <c r="B204" s="30" t="inlineStr"/>
      <c r="C204" s="30" t="inlineStr"/>
      <c r="D204" s="30" t="inlineStr"/>
      <c r="E204" s="38" t="inlineStr"/>
      <c r="F204" s="34" t="inlineStr"/>
      <c r="G204" s="30" t="inlineStr"/>
      <c r="H204" s="32" t="inlineStr"/>
      <c r="I204" s="30" t="inlineStr"/>
      <c r="J204" s="30" t="inlineStr"/>
      <c r="K204" s="15">
        <f>IF(A204="","",SUMIFS('07_Nachtraege'!$E:$E,'07_Nachtraege'!$B:$B,C204,'07_Nachtraege'!$F:$F,"beauftragt"))</f>
        <v/>
      </c>
      <c r="L204" s="15">
        <f>IF(A204="","",F204+K204)</f>
        <v/>
      </c>
    </row>
    <row r="205">
      <c r="A205" s="30" t="inlineStr"/>
      <c r="B205" s="30" t="inlineStr"/>
      <c r="C205" s="30" t="inlineStr"/>
      <c r="D205" s="30" t="inlineStr"/>
      <c r="E205" s="38" t="inlineStr"/>
      <c r="F205" s="34" t="inlineStr"/>
      <c r="G205" s="30" t="inlineStr"/>
      <c r="H205" s="32" t="inlineStr"/>
      <c r="I205" s="30" t="inlineStr"/>
      <c r="J205" s="30" t="inlineStr"/>
      <c r="K205" s="15">
        <f>IF(A205="","",SUMIFS('07_Nachtraege'!$E:$E,'07_Nachtraege'!$B:$B,C205,'07_Nachtraege'!$F:$F,"beauftragt"))</f>
        <v/>
      </c>
      <c r="L205" s="15">
        <f>IF(A205="","",F205+K205)</f>
        <v/>
      </c>
    </row>
    <row r="206">
      <c r="A206" s="30" t="inlineStr"/>
      <c r="B206" s="30" t="inlineStr"/>
      <c r="C206" s="30" t="inlineStr"/>
      <c r="D206" s="30" t="inlineStr"/>
      <c r="E206" s="38" t="inlineStr"/>
      <c r="F206" s="34" t="inlineStr"/>
      <c r="G206" s="30" t="inlineStr"/>
      <c r="H206" s="32" t="inlineStr"/>
      <c r="I206" s="30" t="inlineStr"/>
      <c r="J206" s="30" t="inlineStr"/>
      <c r="K206" s="15">
        <f>IF(A206="","",SUMIFS('07_Nachtraege'!$E:$E,'07_Nachtraege'!$B:$B,C206,'07_Nachtraege'!$F:$F,"beauftragt"))</f>
        <v/>
      </c>
      <c r="L206" s="15">
        <f>IF(A206="","",F206+K206)</f>
        <v/>
      </c>
    </row>
    <row r="207">
      <c r="A207" s="30" t="inlineStr"/>
      <c r="B207" s="30" t="inlineStr"/>
      <c r="C207" s="30" t="inlineStr"/>
      <c r="D207" s="30" t="inlineStr"/>
      <c r="E207" s="38" t="inlineStr"/>
      <c r="F207" s="34" t="inlineStr"/>
      <c r="G207" s="30" t="inlineStr"/>
      <c r="H207" s="32" t="inlineStr"/>
      <c r="I207" s="30" t="inlineStr"/>
      <c r="J207" s="30" t="inlineStr"/>
      <c r="K207" s="15">
        <f>IF(A207="","",SUMIFS('07_Nachtraege'!$E:$E,'07_Nachtraege'!$B:$B,C207,'07_Nachtraege'!$F:$F,"beauftragt"))</f>
        <v/>
      </c>
      <c r="L207" s="15">
        <f>IF(A207="","",F207+K207)</f>
        <v/>
      </c>
    </row>
    <row r="208">
      <c r="A208" s="30" t="inlineStr"/>
      <c r="B208" s="30" t="inlineStr"/>
      <c r="C208" s="30" t="inlineStr"/>
      <c r="D208" s="30" t="inlineStr"/>
      <c r="E208" s="38" t="inlineStr"/>
      <c r="F208" s="34" t="inlineStr"/>
      <c r="G208" s="30" t="inlineStr"/>
      <c r="H208" s="32" t="inlineStr"/>
      <c r="I208" s="30" t="inlineStr"/>
      <c r="J208" s="30" t="inlineStr"/>
      <c r="K208" s="15">
        <f>IF(A208="","",SUMIFS('07_Nachtraege'!$E:$E,'07_Nachtraege'!$B:$B,C208,'07_Nachtraege'!$F:$F,"beauftragt"))</f>
        <v/>
      </c>
      <c r="L208" s="15">
        <f>IF(A208="","",F208+K208)</f>
        <v/>
      </c>
    </row>
    <row r="209">
      <c r="A209" s="30" t="inlineStr"/>
      <c r="B209" s="30" t="inlineStr"/>
      <c r="C209" s="30" t="inlineStr"/>
      <c r="D209" s="30" t="inlineStr"/>
      <c r="E209" s="38" t="inlineStr"/>
      <c r="F209" s="34" t="inlineStr"/>
      <c r="G209" s="30" t="inlineStr"/>
      <c r="H209" s="32" t="inlineStr"/>
      <c r="I209" s="30" t="inlineStr"/>
      <c r="J209" s="30" t="inlineStr"/>
      <c r="K209" s="15">
        <f>IF(A209="","",SUMIFS('07_Nachtraege'!$E:$E,'07_Nachtraege'!$B:$B,C209,'07_Nachtraege'!$F:$F,"beauftragt"))</f>
        <v/>
      </c>
      <c r="L209" s="15">
        <f>IF(A209="","",F209+K209)</f>
        <v/>
      </c>
    </row>
    <row r="210">
      <c r="A210" s="30" t="inlineStr"/>
      <c r="B210" s="30" t="inlineStr"/>
      <c r="C210" s="30" t="inlineStr"/>
      <c r="D210" s="30" t="inlineStr"/>
      <c r="E210" s="38" t="inlineStr"/>
      <c r="F210" s="34" t="inlineStr"/>
      <c r="G210" s="30" t="inlineStr"/>
      <c r="H210" s="32" t="inlineStr"/>
      <c r="I210" s="30" t="inlineStr"/>
      <c r="J210" s="30" t="inlineStr"/>
      <c r="K210" s="15">
        <f>IF(A210="","",SUMIFS('07_Nachtraege'!$E:$E,'07_Nachtraege'!$B:$B,C210,'07_Nachtraege'!$F:$F,"beauftragt"))</f>
        <v/>
      </c>
      <c r="L210" s="15">
        <f>IF(A210="","",F210+K210)</f>
        <v/>
      </c>
    </row>
    <row r="211">
      <c r="A211" s="30" t="inlineStr"/>
      <c r="B211" s="30" t="inlineStr"/>
      <c r="C211" s="30" t="inlineStr"/>
      <c r="D211" s="30" t="inlineStr"/>
      <c r="E211" s="38" t="inlineStr"/>
      <c r="F211" s="34" t="inlineStr"/>
      <c r="G211" s="30" t="inlineStr"/>
      <c r="H211" s="32" t="inlineStr"/>
      <c r="I211" s="30" t="inlineStr"/>
      <c r="J211" s="30" t="inlineStr"/>
      <c r="K211" s="15">
        <f>IF(A211="","",SUMIFS('07_Nachtraege'!$E:$E,'07_Nachtraege'!$B:$B,C211,'07_Nachtraege'!$F:$F,"beauftragt"))</f>
        <v/>
      </c>
      <c r="L211" s="15">
        <f>IF(A211="","",F211+K211)</f>
        <v/>
      </c>
    </row>
    <row r="212">
      <c r="A212" s="30" t="inlineStr"/>
      <c r="B212" s="30" t="inlineStr"/>
      <c r="C212" s="30" t="inlineStr"/>
      <c r="D212" s="30" t="inlineStr"/>
      <c r="E212" s="38" t="inlineStr"/>
      <c r="F212" s="34" t="inlineStr"/>
      <c r="G212" s="30" t="inlineStr"/>
      <c r="H212" s="32" t="inlineStr"/>
      <c r="I212" s="30" t="inlineStr"/>
      <c r="J212" s="30" t="inlineStr"/>
      <c r="K212" s="15">
        <f>IF(A212="","",SUMIFS('07_Nachtraege'!$E:$E,'07_Nachtraege'!$B:$B,C212,'07_Nachtraege'!$F:$F,"beauftragt"))</f>
        <v/>
      </c>
      <c r="L212" s="15">
        <f>IF(A212="","",F212+K212)</f>
        <v/>
      </c>
    </row>
    <row r="213">
      <c r="A213" s="30" t="inlineStr"/>
      <c r="B213" s="30" t="inlineStr"/>
      <c r="C213" s="30" t="inlineStr"/>
      <c r="D213" s="30" t="inlineStr"/>
      <c r="E213" s="38" t="inlineStr"/>
      <c r="F213" s="34" t="inlineStr"/>
      <c r="G213" s="30" t="inlineStr"/>
      <c r="H213" s="32" t="inlineStr"/>
      <c r="I213" s="30" t="inlineStr"/>
      <c r="J213" s="30" t="inlineStr"/>
      <c r="K213" s="15">
        <f>IF(A213="","",SUMIFS('07_Nachtraege'!$E:$E,'07_Nachtraege'!$B:$B,C213,'07_Nachtraege'!$F:$F,"beauftragt"))</f>
        <v/>
      </c>
      <c r="L213" s="15">
        <f>IF(A213="","",F213+K213)</f>
        <v/>
      </c>
    </row>
    <row r="214">
      <c r="A214" s="30" t="inlineStr"/>
      <c r="B214" s="30" t="inlineStr"/>
      <c r="C214" s="30" t="inlineStr"/>
      <c r="D214" s="30" t="inlineStr"/>
      <c r="E214" s="38" t="inlineStr"/>
      <c r="F214" s="34" t="inlineStr"/>
      <c r="G214" s="30" t="inlineStr"/>
      <c r="H214" s="32" t="inlineStr"/>
      <c r="I214" s="30" t="inlineStr"/>
      <c r="J214" s="30" t="inlineStr"/>
      <c r="K214" s="15">
        <f>IF(A214="","",SUMIFS('07_Nachtraege'!$E:$E,'07_Nachtraege'!$B:$B,C214,'07_Nachtraege'!$F:$F,"beauftragt"))</f>
        <v/>
      </c>
      <c r="L214" s="15">
        <f>IF(A214="","",F214+K214)</f>
        <v/>
      </c>
    </row>
    <row r="215">
      <c r="A215" s="30" t="inlineStr"/>
      <c r="B215" s="30" t="inlineStr"/>
      <c r="C215" s="30" t="inlineStr"/>
      <c r="D215" s="30" t="inlineStr"/>
      <c r="E215" s="38" t="inlineStr"/>
      <c r="F215" s="34" t="inlineStr"/>
      <c r="G215" s="30" t="inlineStr"/>
      <c r="H215" s="32" t="inlineStr"/>
      <c r="I215" s="30" t="inlineStr"/>
      <c r="J215" s="30" t="inlineStr"/>
      <c r="K215" s="15">
        <f>IF(A215="","",SUMIFS('07_Nachtraege'!$E:$E,'07_Nachtraege'!$B:$B,C215,'07_Nachtraege'!$F:$F,"beauftragt"))</f>
        <v/>
      </c>
      <c r="L215" s="15">
        <f>IF(A215="","",F215+K215)</f>
        <v/>
      </c>
    </row>
    <row r="216">
      <c r="A216" s="30" t="inlineStr"/>
      <c r="B216" s="30" t="inlineStr"/>
      <c r="C216" s="30" t="inlineStr"/>
      <c r="D216" s="30" t="inlineStr"/>
      <c r="E216" s="38" t="inlineStr"/>
      <c r="F216" s="34" t="inlineStr"/>
      <c r="G216" s="30" t="inlineStr"/>
      <c r="H216" s="32" t="inlineStr"/>
      <c r="I216" s="30" t="inlineStr"/>
      <c r="J216" s="30" t="inlineStr"/>
      <c r="K216" s="15">
        <f>IF(A216="","",SUMIFS('07_Nachtraege'!$E:$E,'07_Nachtraege'!$B:$B,C216,'07_Nachtraege'!$F:$F,"beauftragt"))</f>
        <v/>
      </c>
      <c r="L216" s="15">
        <f>IF(A216="","",F216+K216)</f>
        <v/>
      </c>
    </row>
    <row r="217">
      <c r="A217" s="30" t="inlineStr"/>
      <c r="B217" s="30" t="inlineStr"/>
      <c r="C217" s="30" t="inlineStr"/>
      <c r="D217" s="30" t="inlineStr"/>
      <c r="E217" s="38" t="inlineStr"/>
      <c r="F217" s="34" t="inlineStr"/>
      <c r="G217" s="30" t="inlineStr"/>
      <c r="H217" s="32" t="inlineStr"/>
      <c r="I217" s="30" t="inlineStr"/>
      <c r="J217" s="30" t="inlineStr"/>
      <c r="K217" s="15">
        <f>IF(A217="","",SUMIFS('07_Nachtraege'!$E:$E,'07_Nachtraege'!$B:$B,C217,'07_Nachtraege'!$F:$F,"beauftragt"))</f>
        <v/>
      </c>
      <c r="L217" s="15">
        <f>IF(A217="","",F217+K217)</f>
        <v/>
      </c>
    </row>
    <row r="218">
      <c r="A218" s="30" t="inlineStr"/>
      <c r="B218" s="30" t="inlineStr"/>
      <c r="C218" s="30" t="inlineStr"/>
      <c r="D218" s="30" t="inlineStr"/>
      <c r="E218" s="38" t="inlineStr"/>
      <c r="F218" s="34" t="inlineStr"/>
      <c r="G218" s="30" t="inlineStr"/>
      <c r="H218" s="32" t="inlineStr"/>
      <c r="I218" s="30" t="inlineStr"/>
      <c r="J218" s="30" t="inlineStr"/>
      <c r="K218" s="15">
        <f>IF(A218="","",SUMIFS('07_Nachtraege'!$E:$E,'07_Nachtraege'!$B:$B,C218,'07_Nachtraege'!$F:$F,"beauftragt"))</f>
        <v/>
      </c>
      <c r="L218" s="15">
        <f>IF(A218="","",F218+K218)</f>
        <v/>
      </c>
    </row>
    <row r="219">
      <c r="A219" s="30" t="inlineStr"/>
      <c r="B219" s="30" t="inlineStr"/>
      <c r="C219" s="30" t="inlineStr"/>
      <c r="D219" s="30" t="inlineStr"/>
      <c r="E219" s="38" t="inlineStr"/>
      <c r="F219" s="34" t="inlineStr"/>
      <c r="G219" s="30" t="inlineStr"/>
      <c r="H219" s="32" t="inlineStr"/>
      <c r="I219" s="30" t="inlineStr"/>
      <c r="J219" s="30" t="inlineStr"/>
      <c r="K219" s="15">
        <f>IF(A219="","",SUMIFS('07_Nachtraege'!$E:$E,'07_Nachtraege'!$B:$B,C219,'07_Nachtraege'!$F:$F,"beauftragt"))</f>
        <v/>
      </c>
      <c r="L219" s="15">
        <f>IF(A219="","",F219+K219)</f>
        <v/>
      </c>
    </row>
    <row r="220">
      <c r="A220" s="30" t="inlineStr"/>
      <c r="B220" s="30" t="inlineStr"/>
      <c r="C220" s="30" t="inlineStr"/>
      <c r="D220" s="30" t="inlineStr"/>
      <c r="E220" s="38" t="inlineStr"/>
      <c r="F220" s="34" t="inlineStr"/>
      <c r="G220" s="30" t="inlineStr"/>
      <c r="H220" s="32" t="inlineStr"/>
      <c r="I220" s="30" t="inlineStr"/>
      <c r="J220" s="30" t="inlineStr"/>
      <c r="K220" s="15">
        <f>IF(A220="","",SUMIFS('07_Nachtraege'!$E:$E,'07_Nachtraege'!$B:$B,C220,'07_Nachtraege'!$F:$F,"beauftragt"))</f>
        <v/>
      </c>
      <c r="L220" s="15">
        <f>IF(A220="","",F220+K220)</f>
        <v/>
      </c>
    </row>
    <row r="221">
      <c r="A221" s="30" t="inlineStr"/>
      <c r="B221" s="30" t="inlineStr"/>
      <c r="C221" s="30" t="inlineStr"/>
      <c r="D221" s="30" t="inlineStr"/>
      <c r="E221" s="38" t="inlineStr"/>
      <c r="F221" s="34" t="inlineStr"/>
      <c r="G221" s="30" t="inlineStr"/>
      <c r="H221" s="32" t="inlineStr"/>
      <c r="I221" s="30" t="inlineStr"/>
      <c r="J221" s="30" t="inlineStr"/>
      <c r="K221" s="15">
        <f>IF(A221="","",SUMIFS('07_Nachtraege'!$E:$E,'07_Nachtraege'!$B:$B,C221,'07_Nachtraege'!$F:$F,"beauftragt"))</f>
        <v/>
      </c>
      <c r="L221" s="15">
        <f>IF(A221="","",F221+K221)</f>
        <v/>
      </c>
    </row>
    <row r="222">
      <c r="A222" s="30" t="inlineStr"/>
      <c r="B222" s="30" t="inlineStr"/>
      <c r="C222" s="30" t="inlineStr"/>
      <c r="D222" s="30" t="inlineStr"/>
      <c r="E222" s="38" t="inlineStr"/>
      <c r="F222" s="34" t="inlineStr"/>
      <c r="G222" s="30" t="inlineStr"/>
      <c r="H222" s="32" t="inlineStr"/>
      <c r="I222" s="30" t="inlineStr"/>
      <c r="J222" s="30" t="inlineStr"/>
      <c r="K222" s="15">
        <f>IF(A222="","",SUMIFS('07_Nachtraege'!$E:$E,'07_Nachtraege'!$B:$B,C222,'07_Nachtraege'!$F:$F,"beauftragt"))</f>
        <v/>
      </c>
      <c r="L222" s="15">
        <f>IF(A222="","",F222+K222)</f>
        <v/>
      </c>
    </row>
    <row r="223">
      <c r="A223" s="30" t="inlineStr"/>
      <c r="B223" s="30" t="inlineStr"/>
      <c r="C223" s="30" t="inlineStr"/>
      <c r="D223" s="30" t="inlineStr"/>
      <c r="E223" s="38" t="inlineStr"/>
      <c r="F223" s="34" t="inlineStr"/>
      <c r="G223" s="30" t="inlineStr"/>
      <c r="H223" s="32" t="inlineStr"/>
      <c r="I223" s="30" t="inlineStr"/>
      <c r="J223" s="30" t="inlineStr"/>
      <c r="K223" s="15">
        <f>IF(A223="","",SUMIFS('07_Nachtraege'!$E:$E,'07_Nachtraege'!$B:$B,C223,'07_Nachtraege'!$F:$F,"beauftragt"))</f>
        <v/>
      </c>
      <c r="L223" s="15">
        <f>IF(A223="","",F223+K223)</f>
        <v/>
      </c>
    </row>
    <row r="224">
      <c r="A224" s="30" t="inlineStr"/>
      <c r="B224" s="30" t="inlineStr"/>
      <c r="C224" s="30" t="inlineStr"/>
      <c r="D224" s="30" t="inlineStr"/>
      <c r="E224" s="38" t="inlineStr"/>
      <c r="F224" s="34" t="inlineStr"/>
      <c r="G224" s="30" t="inlineStr"/>
      <c r="H224" s="32" t="inlineStr"/>
      <c r="I224" s="30" t="inlineStr"/>
      <c r="J224" s="30" t="inlineStr"/>
      <c r="K224" s="15">
        <f>IF(A224="","",SUMIFS('07_Nachtraege'!$E:$E,'07_Nachtraege'!$B:$B,C224,'07_Nachtraege'!$F:$F,"beauftragt"))</f>
        <v/>
      </c>
      <c r="L224" s="15">
        <f>IF(A224="","",F224+K224)</f>
        <v/>
      </c>
    </row>
    <row r="225">
      <c r="A225" s="30" t="inlineStr"/>
      <c r="B225" s="30" t="inlineStr"/>
      <c r="C225" s="30" t="inlineStr"/>
      <c r="D225" s="30" t="inlineStr"/>
      <c r="E225" s="38" t="inlineStr"/>
      <c r="F225" s="34" t="inlineStr"/>
      <c r="G225" s="30" t="inlineStr"/>
      <c r="H225" s="32" t="inlineStr"/>
      <c r="I225" s="30" t="inlineStr"/>
      <c r="J225" s="30" t="inlineStr"/>
      <c r="K225" s="15">
        <f>IF(A225="","",SUMIFS('07_Nachtraege'!$E:$E,'07_Nachtraege'!$B:$B,C225,'07_Nachtraege'!$F:$F,"beauftragt"))</f>
        <v/>
      </c>
      <c r="L225" s="15">
        <f>IF(A225="","",F225+K225)</f>
        <v/>
      </c>
    </row>
    <row r="226">
      <c r="A226" s="30" t="inlineStr"/>
      <c r="B226" s="30" t="inlineStr"/>
      <c r="C226" s="30" t="inlineStr"/>
      <c r="D226" s="30" t="inlineStr"/>
      <c r="E226" s="38" t="inlineStr"/>
      <c r="F226" s="34" t="inlineStr"/>
      <c r="G226" s="30" t="inlineStr"/>
      <c r="H226" s="32" t="inlineStr"/>
      <c r="I226" s="30" t="inlineStr"/>
      <c r="J226" s="30" t="inlineStr"/>
      <c r="K226" s="15">
        <f>IF(A226="","",SUMIFS('07_Nachtraege'!$E:$E,'07_Nachtraege'!$B:$B,C226,'07_Nachtraege'!$F:$F,"beauftragt"))</f>
        <v/>
      </c>
      <c r="L226" s="15">
        <f>IF(A226="","",F226+K226)</f>
        <v/>
      </c>
    </row>
    <row r="227">
      <c r="A227" s="30" t="inlineStr"/>
      <c r="B227" s="30" t="inlineStr"/>
      <c r="C227" s="30" t="inlineStr"/>
      <c r="D227" s="30" t="inlineStr"/>
      <c r="E227" s="38" t="inlineStr"/>
      <c r="F227" s="34" t="inlineStr"/>
      <c r="G227" s="30" t="inlineStr"/>
      <c r="H227" s="32" t="inlineStr"/>
      <c r="I227" s="30" t="inlineStr"/>
      <c r="J227" s="30" t="inlineStr"/>
      <c r="K227" s="15">
        <f>IF(A227="","",SUMIFS('07_Nachtraege'!$E:$E,'07_Nachtraege'!$B:$B,C227,'07_Nachtraege'!$F:$F,"beauftragt"))</f>
        <v/>
      </c>
      <c r="L227" s="15">
        <f>IF(A227="","",F227+K227)</f>
        <v/>
      </c>
    </row>
    <row r="228">
      <c r="A228" s="30" t="inlineStr"/>
      <c r="B228" s="30" t="inlineStr"/>
      <c r="C228" s="30" t="inlineStr"/>
      <c r="D228" s="30" t="inlineStr"/>
      <c r="E228" s="38" t="inlineStr"/>
      <c r="F228" s="34" t="inlineStr"/>
      <c r="G228" s="30" t="inlineStr"/>
      <c r="H228" s="32" t="inlineStr"/>
      <c r="I228" s="30" t="inlineStr"/>
      <c r="J228" s="30" t="inlineStr"/>
      <c r="K228" s="15">
        <f>IF(A228="","",SUMIFS('07_Nachtraege'!$E:$E,'07_Nachtraege'!$B:$B,C228,'07_Nachtraege'!$F:$F,"beauftragt"))</f>
        <v/>
      </c>
      <c r="L228" s="15">
        <f>IF(A228="","",F228+K228)</f>
        <v/>
      </c>
    </row>
    <row r="229">
      <c r="A229" s="30" t="inlineStr"/>
      <c r="B229" s="30" t="inlineStr"/>
      <c r="C229" s="30" t="inlineStr"/>
      <c r="D229" s="30" t="inlineStr"/>
      <c r="E229" s="38" t="inlineStr"/>
      <c r="F229" s="34" t="inlineStr"/>
      <c r="G229" s="30" t="inlineStr"/>
      <c r="H229" s="32" t="inlineStr"/>
      <c r="I229" s="30" t="inlineStr"/>
      <c r="J229" s="30" t="inlineStr"/>
      <c r="K229" s="15">
        <f>IF(A229="","",SUMIFS('07_Nachtraege'!$E:$E,'07_Nachtraege'!$B:$B,C229,'07_Nachtraege'!$F:$F,"beauftragt"))</f>
        <v/>
      </c>
      <c r="L229" s="15">
        <f>IF(A229="","",F229+K229)</f>
        <v/>
      </c>
    </row>
    <row r="230">
      <c r="A230" s="30" t="inlineStr"/>
      <c r="B230" s="30" t="inlineStr"/>
      <c r="C230" s="30" t="inlineStr"/>
      <c r="D230" s="30" t="inlineStr"/>
      <c r="E230" s="38" t="inlineStr"/>
      <c r="F230" s="34" t="inlineStr"/>
      <c r="G230" s="30" t="inlineStr"/>
      <c r="H230" s="32" t="inlineStr"/>
      <c r="I230" s="30" t="inlineStr"/>
      <c r="J230" s="30" t="inlineStr"/>
      <c r="K230" s="15">
        <f>IF(A230="","",SUMIFS('07_Nachtraege'!$E:$E,'07_Nachtraege'!$B:$B,C230,'07_Nachtraege'!$F:$F,"beauftragt"))</f>
        <v/>
      </c>
      <c r="L230" s="15">
        <f>IF(A230="","",F230+K230)</f>
        <v/>
      </c>
    </row>
    <row r="231">
      <c r="A231" s="30" t="inlineStr"/>
      <c r="B231" s="30" t="inlineStr"/>
      <c r="C231" s="30" t="inlineStr"/>
      <c r="D231" s="30" t="inlineStr"/>
      <c r="E231" s="38" t="inlineStr"/>
      <c r="F231" s="34" t="inlineStr"/>
      <c r="G231" s="30" t="inlineStr"/>
      <c r="H231" s="32" t="inlineStr"/>
      <c r="I231" s="30" t="inlineStr"/>
      <c r="J231" s="30" t="inlineStr"/>
      <c r="K231" s="15">
        <f>IF(A231="","",SUMIFS('07_Nachtraege'!$E:$E,'07_Nachtraege'!$B:$B,C231,'07_Nachtraege'!$F:$F,"beauftragt"))</f>
        <v/>
      </c>
      <c r="L231" s="15">
        <f>IF(A231="","",F231+K231)</f>
        <v/>
      </c>
    </row>
    <row r="232">
      <c r="A232" s="30" t="inlineStr"/>
      <c r="B232" s="30" t="inlineStr"/>
      <c r="C232" s="30" t="inlineStr"/>
      <c r="D232" s="30" t="inlineStr"/>
      <c r="E232" s="38" t="inlineStr"/>
      <c r="F232" s="34" t="inlineStr"/>
      <c r="G232" s="30" t="inlineStr"/>
      <c r="H232" s="32" t="inlineStr"/>
      <c r="I232" s="30" t="inlineStr"/>
      <c r="J232" s="30" t="inlineStr"/>
      <c r="K232" s="15">
        <f>IF(A232="","",SUMIFS('07_Nachtraege'!$E:$E,'07_Nachtraege'!$B:$B,C232,'07_Nachtraege'!$F:$F,"beauftragt"))</f>
        <v/>
      </c>
      <c r="L232" s="15">
        <f>IF(A232="","",F232+K232)</f>
        <v/>
      </c>
    </row>
    <row r="233">
      <c r="A233" s="30" t="inlineStr"/>
      <c r="B233" s="30" t="inlineStr"/>
      <c r="C233" s="30" t="inlineStr"/>
      <c r="D233" s="30" t="inlineStr"/>
      <c r="E233" s="38" t="inlineStr"/>
      <c r="F233" s="34" t="inlineStr"/>
      <c r="G233" s="30" t="inlineStr"/>
      <c r="H233" s="32" t="inlineStr"/>
      <c r="I233" s="30" t="inlineStr"/>
      <c r="J233" s="30" t="inlineStr"/>
      <c r="K233" s="15">
        <f>IF(A233="","",SUMIFS('07_Nachtraege'!$E:$E,'07_Nachtraege'!$B:$B,C233,'07_Nachtraege'!$F:$F,"beauftragt"))</f>
        <v/>
      </c>
      <c r="L233" s="15">
        <f>IF(A233="","",F233+K233)</f>
        <v/>
      </c>
    </row>
    <row r="234">
      <c r="A234" s="30" t="inlineStr"/>
      <c r="B234" s="30" t="inlineStr"/>
      <c r="C234" s="30" t="inlineStr"/>
      <c r="D234" s="30" t="inlineStr"/>
      <c r="E234" s="38" t="inlineStr"/>
      <c r="F234" s="34" t="inlineStr"/>
      <c r="G234" s="30" t="inlineStr"/>
      <c r="H234" s="32" t="inlineStr"/>
      <c r="I234" s="30" t="inlineStr"/>
      <c r="J234" s="30" t="inlineStr"/>
      <c r="K234" s="15">
        <f>IF(A234="","",SUMIFS('07_Nachtraege'!$E:$E,'07_Nachtraege'!$B:$B,C234,'07_Nachtraege'!$F:$F,"beauftragt"))</f>
        <v/>
      </c>
      <c r="L234" s="15">
        <f>IF(A234="","",F234+K234)</f>
        <v/>
      </c>
    </row>
    <row r="235">
      <c r="A235" s="30" t="inlineStr"/>
      <c r="B235" s="30" t="inlineStr"/>
      <c r="C235" s="30" t="inlineStr"/>
      <c r="D235" s="30" t="inlineStr"/>
      <c r="E235" s="38" t="inlineStr"/>
      <c r="F235" s="34" t="inlineStr"/>
      <c r="G235" s="30" t="inlineStr"/>
      <c r="H235" s="32" t="inlineStr"/>
      <c r="I235" s="30" t="inlineStr"/>
      <c r="J235" s="30" t="inlineStr"/>
      <c r="K235" s="15">
        <f>IF(A235="","",SUMIFS('07_Nachtraege'!$E:$E,'07_Nachtraege'!$B:$B,C235,'07_Nachtraege'!$F:$F,"beauftragt"))</f>
        <v/>
      </c>
      <c r="L235" s="15">
        <f>IF(A235="","",F235+K235)</f>
        <v/>
      </c>
    </row>
    <row r="236">
      <c r="A236" s="30" t="inlineStr"/>
      <c r="B236" s="30" t="inlineStr"/>
      <c r="C236" s="30" t="inlineStr"/>
      <c r="D236" s="30" t="inlineStr"/>
      <c r="E236" s="38" t="inlineStr"/>
      <c r="F236" s="34" t="inlineStr"/>
      <c r="G236" s="30" t="inlineStr"/>
      <c r="H236" s="32" t="inlineStr"/>
      <c r="I236" s="30" t="inlineStr"/>
      <c r="J236" s="30" t="inlineStr"/>
      <c r="K236" s="15">
        <f>IF(A236="","",SUMIFS('07_Nachtraege'!$E:$E,'07_Nachtraege'!$B:$B,C236,'07_Nachtraege'!$F:$F,"beauftragt"))</f>
        <v/>
      </c>
      <c r="L236" s="15">
        <f>IF(A236="","",F236+K236)</f>
        <v/>
      </c>
    </row>
    <row r="237">
      <c r="A237" s="30" t="inlineStr"/>
      <c r="B237" s="30" t="inlineStr"/>
      <c r="C237" s="30" t="inlineStr"/>
      <c r="D237" s="30" t="inlineStr"/>
      <c r="E237" s="38" t="inlineStr"/>
      <c r="F237" s="34" t="inlineStr"/>
      <c r="G237" s="30" t="inlineStr"/>
      <c r="H237" s="32" t="inlineStr"/>
      <c r="I237" s="30" t="inlineStr"/>
      <c r="J237" s="30" t="inlineStr"/>
      <c r="K237" s="15">
        <f>IF(A237="","",SUMIFS('07_Nachtraege'!$E:$E,'07_Nachtraege'!$B:$B,C237,'07_Nachtraege'!$F:$F,"beauftragt"))</f>
        <v/>
      </c>
      <c r="L237" s="15">
        <f>IF(A237="","",F237+K237)</f>
        <v/>
      </c>
    </row>
    <row r="238">
      <c r="A238" s="30" t="inlineStr"/>
      <c r="B238" s="30" t="inlineStr"/>
      <c r="C238" s="30" t="inlineStr"/>
      <c r="D238" s="30" t="inlineStr"/>
      <c r="E238" s="38" t="inlineStr"/>
      <c r="F238" s="34" t="inlineStr"/>
      <c r="G238" s="30" t="inlineStr"/>
      <c r="H238" s="32" t="inlineStr"/>
      <c r="I238" s="30" t="inlineStr"/>
      <c r="J238" s="30" t="inlineStr"/>
      <c r="K238" s="15">
        <f>IF(A238="","",SUMIFS('07_Nachtraege'!$E:$E,'07_Nachtraege'!$B:$B,C238,'07_Nachtraege'!$F:$F,"beauftragt"))</f>
        <v/>
      </c>
      <c r="L238" s="15">
        <f>IF(A238="","",F238+K238)</f>
        <v/>
      </c>
    </row>
    <row r="239">
      <c r="A239" s="30" t="inlineStr"/>
      <c r="B239" s="30" t="inlineStr"/>
      <c r="C239" s="30" t="inlineStr"/>
      <c r="D239" s="30" t="inlineStr"/>
      <c r="E239" s="38" t="inlineStr"/>
      <c r="F239" s="34" t="inlineStr"/>
      <c r="G239" s="30" t="inlineStr"/>
      <c r="H239" s="32" t="inlineStr"/>
      <c r="I239" s="30" t="inlineStr"/>
      <c r="J239" s="30" t="inlineStr"/>
      <c r="K239" s="15">
        <f>IF(A239="","",SUMIFS('07_Nachtraege'!$E:$E,'07_Nachtraege'!$B:$B,C239,'07_Nachtraege'!$F:$F,"beauftragt"))</f>
        <v/>
      </c>
      <c r="L239" s="15">
        <f>IF(A239="","",F239+K239)</f>
        <v/>
      </c>
    </row>
    <row r="240">
      <c r="A240" s="30" t="inlineStr"/>
      <c r="B240" s="30" t="inlineStr"/>
      <c r="C240" s="30" t="inlineStr"/>
      <c r="D240" s="30" t="inlineStr"/>
      <c r="E240" s="38" t="inlineStr"/>
      <c r="F240" s="34" t="inlineStr"/>
      <c r="G240" s="30" t="inlineStr"/>
      <c r="H240" s="32" t="inlineStr"/>
      <c r="I240" s="30" t="inlineStr"/>
      <c r="J240" s="30" t="inlineStr"/>
      <c r="K240" s="15">
        <f>IF(A240="","",SUMIFS('07_Nachtraege'!$E:$E,'07_Nachtraege'!$B:$B,C240,'07_Nachtraege'!$F:$F,"beauftragt"))</f>
        <v/>
      </c>
      <c r="L240" s="15">
        <f>IF(A240="","",F240+K240)</f>
        <v/>
      </c>
    </row>
    <row r="241">
      <c r="A241" s="30" t="inlineStr"/>
      <c r="B241" s="30" t="inlineStr"/>
      <c r="C241" s="30" t="inlineStr"/>
      <c r="D241" s="30" t="inlineStr"/>
      <c r="E241" s="38" t="inlineStr"/>
      <c r="F241" s="34" t="inlineStr"/>
      <c r="G241" s="30" t="inlineStr"/>
      <c r="H241" s="32" t="inlineStr"/>
      <c r="I241" s="30" t="inlineStr"/>
      <c r="J241" s="30" t="inlineStr"/>
      <c r="K241" s="15">
        <f>IF(A241="","",SUMIFS('07_Nachtraege'!$E:$E,'07_Nachtraege'!$B:$B,C241,'07_Nachtraege'!$F:$F,"beauftragt"))</f>
        <v/>
      </c>
      <c r="L241" s="15">
        <f>IF(A241="","",F241+K241)</f>
        <v/>
      </c>
    </row>
    <row r="242">
      <c r="A242" s="30" t="inlineStr"/>
      <c r="B242" s="30" t="inlineStr"/>
      <c r="C242" s="30" t="inlineStr"/>
      <c r="D242" s="30" t="inlineStr"/>
      <c r="E242" s="38" t="inlineStr"/>
      <c r="F242" s="34" t="inlineStr"/>
      <c r="G242" s="30" t="inlineStr"/>
      <c r="H242" s="32" t="inlineStr"/>
      <c r="I242" s="30" t="inlineStr"/>
      <c r="J242" s="30" t="inlineStr"/>
      <c r="K242" s="15">
        <f>IF(A242="","",SUMIFS('07_Nachtraege'!$E:$E,'07_Nachtraege'!$B:$B,C242,'07_Nachtraege'!$F:$F,"beauftragt"))</f>
        <v/>
      </c>
      <c r="L242" s="15">
        <f>IF(A242="","",F242+K242)</f>
        <v/>
      </c>
    </row>
    <row r="243">
      <c r="A243" s="30" t="inlineStr"/>
      <c r="B243" s="30" t="inlineStr"/>
      <c r="C243" s="30" t="inlineStr"/>
      <c r="D243" s="30" t="inlineStr"/>
      <c r="E243" s="38" t="inlineStr"/>
      <c r="F243" s="34" t="inlineStr"/>
      <c r="G243" s="30" t="inlineStr"/>
      <c r="H243" s="32" t="inlineStr"/>
      <c r="I243" s="30" t="inlineStr"/>
      <c r="J243" s="30" t="inlineStr"/>
      <c r="K243" s="15">
        <f>IF(A243="","",SUMIFS('07_Nachtraege'!$E:$E,'07_Nachtraege'!$B:$B,C243,'07_Nachtraege'!$F:$F,"beauftragt"))</f>
        <v/>
      </c>
      <c r="L243" s="15">
        <f>IF(A243="","",F243+K243)</f>
        <v/>
      </c>
    </row>
    <row r="244">
      <c r="A244" s="30" t="inlineStr"/>
      <c r="B244" s="30" t="inlineStr"/>
      <c r="C244" s="30" t="inlineStr"/>
      <c r="D244" s="30" t="inlineStr"/>
      <c r="E244" s="38" t="inlineStr"/>
      <c r="F244" s="34" t="inlineStr"/>
      <c r="G244" s="30" t="inlineStr"/>
      <c r="H244" s="32" t="inlineStr"/>
      <c r="I244" s="30" t="inlineStr"/>
      <c r="J244" s="30" t="inlineStr"/>
      <c r="K244" s="15">
        <f>IF(A244="","",SUMIFS('07_Nachtraege'!$E:$E,'07_Nachtraege'!$B:$B,C244,'07_Nachtraege'!$F:$F,"beauftragt"))</f>
        <v/>
      </c>
      <c r="L244" s="15">
        <f>IF(A244="","",F244+K244)</f>
        <v/>
      </c>
    </row>
    <row r="245">
      <c r="A245" s="30" t="inlineStr"/>
      <c r="B245" s="30" t="inlineStr"/>
      <c r="C245" s="30" t="inlineStr"/>
      <c r="D245" s="30" t="inlineStr"/>
      <c r="E245" s="38" t="inlineStr"/>
      <c r="F245" s="34" t="inlineStr"/>
      <c r="G245" s="30" t="inlineStr"/>
      <c r="H245" s="32" t="inlineStr"/>
      <c r="I245" s="30" t="inlineStr"/>
      <c r="J245" s="30" t="inlineStr"/>
      <c r="K245" s="15">
        <f>IF(A245="","",SUMIFS('07_Nachtraege'!$E:$E,'07_Nachtraege'!$B:$B,C245,'07_Nachtraege'!$F:$F,"beauftragt"))</f>
        <v/>
      </c>
      <c r="L245" s="15">
        <f>IF(A245="","",F245+K245)</f>
        <v/>
      </c>
    </row>
    <row r="246">
      <c r="A246" s="30" t="inlineStr"/>
      <c r="B246" s="30" t="inlineStr"/>
      <c r="C246" s="30" t="inlineStr"/>
      <c r="D246" s="30" t="inlineStr"/>
      <c r="E246" s="38" t="inlineStr"/>
      <c r="F246" s="34" t="inlineStr"/>
      <c r="G246" s="30" t="inlineStr"/>
      <c r="H246" s="32" t="inlineStr"/>
      <c r="I246" s="30" t="inlineStr"/>
      <c r="J246" s="30" t="inlineStr"/>
      <c r="K246" s="15">
        <f>IF(A246="","",SUMIFS('07_Nachtraege'!$E:$E,'07_Nachtraege'!$B:$B,C246,'07_Nachtraege'!$F:$F,"beauftragt"))</f>
        <v/>
      </c>
      <c r="L246" s="15">
        <f>IF(A246="","",F246+K246)</f>
        <v/>
      </c>
    </row>
    <row r="247">
      <c r="A247" s="30" t="inlineStr"/>
      <c r="B247" s="30" t="inlineStr"/>
      <c r="C247" s="30" t="inlineStr"/>
      <c r="D247" s="30" t="inlineStr"/>
      <c r="E247" s="38" t="inlineStr"/>
      <c r="F247" s="34" t="inlineStr"/>
      <c r="G247" s="30" t="inlineStr"/>
      <c r="H247" s="32" t="inlineStr"/>
      <c r="I247" s="30" t="inlineStr"/>
      <c r="J247" s="30" t="inlineStr"/>
      <c r="K247" s="15">
        <f>IF(A247="","",SUMIFS('07_Nachtraege'!$E:$E,'07_Nachtraege'!$B:$B,C247,'07_Nachtraege'!$F:$F,"beauftragt"))</f>
        <v/>
      </c>
      <c r="L247" s="15">
        <f>IF(A247="","",F247+K247)</f>
        <v/>
      </c>
    </row>
    <row r="248">
      <c r="A248" s="30" t="inlineStr"/>
      <c r="B248" s="30" t="inlineStr"/>
      <c r="C248" s="30" t="inlineStr"/>
      <c r="D248" s="30" t="inlineStr"/>
      <c r="E248" s="38" t="inlineStr"/>
      <c r="F248" s="34" t="inlineStr"/>
      <c r="G248" s="30" t="inlineStr"/>
      <c r="H248" s="32" t="inlineStr"/>
      <c r="I248" s="30" t="inlineStr"/>
      <c r="J248" s="30" t="inlineStr"/>
      <c r="K248" s="15">
        <f>IF(A248="","",SUMIFS('07_Nachtraege'!$E:$E,'07_Nachtraege'!$B:$B,C248,'07_Nachtraege'!$F:$F,"beauftragt"))</f>
        <v/>
      </c>
      <c r="L248" s="15">
        <f>IF(A248="","",F248+K248)</f>
        <v/>
      </c>
    </row>
    <row r="249">
      <c r="A249" s="30" t="inlineStr"/>
      <c r="B249" s="30" t="inlineStr"/>
      <c r="C249" s="30" t="inlineStr"/>
      <c r="D249" s="30" t="inlineStr"/>
      <c r="E249" s="38" t="inlineStr"/>
      <c r="F249" s="34" t="inlineStr"/>
      <c r="G249" s="30" t="inlineStr"/>
      <c r="H249" s="32" t="inlineStr"/>
      <c r="I249" s="30" t="inlineStr"/>
      <c r="J249" s="30" t="inlineStr"/>
      <c r="K249" s="15">
        <f>IF(A249="","",SUMIFS('07_Nachtraege'!$E:$E,'07_Nachtraege'!$B:$B,C249,'07_Nachtraege'!$F:$F,"beauftragt"))</f>
        <v/>
      </c>
      <c r="L249" s="15">
        <f>IF(A249="","",F249+K249)</f>
        <v/>
      </c>
    </row>
    <row r="250">
      <c r="A250" s="30" t="inlineStr"/>
      <c r="B250" s="30" t="inlineStr"/>
      <c r="C250" s="30" t="inlineStr"/>
      <c r="D250" s="30" t="inlineStr"/>
      <c r="E250" s="38" t="inlineStr"/>
      <c r="F250" s="34" t="inlineStr"/>
      <c r="G250" s="30" t="inlineStr"/>
      <c r="H250" s="32" t="inlineStr"/>
      <c r="I250" s="30" t="inlineStr"/>
      <c r="J250" s="30" t="inlineStr"/>
      <c r="K250" s="15">
        <f>IF(A250="","",SUMIFS('07_Nachtraege'!$E:$E,'07_Nachtraege'!$B:$B,C250,'07_Nachtraege'!$F:$F,"beauftragt"))</f>
        <v/>
      </c>
      <c r="L250" s="15">
        <f>IF(A250="","",F250+K250)</f>
        <v/>
      </c>
    </row>
    <row r="251">
      <c r="A251" s="30" t="inlineStr"/>
      <c r="B251" s="30" t="inlineStr"/>
      <c r="C251" s="30" t="inlineStr"/>
      <c r="D251" s="30" t="inlineStr"/>
      <c r="E251" s="38" t="inlineStr"/>
      <c r="F251" s="34" t="inlineStr"/>
      <c r="G251" s="30" t="inlineStr"/>
      <c r="H251" s="32" t="inlineStr"/>
      <c r="I251" s="30" t="inlineStr"/>
      <c r="J251" s="30" t="inlineStr"/>
      <c r="K251" s="15">
        <f>IF(A251="","",SUMIFS('07_Nachtraege'!$E:$E,'07_Nachtraege'!$B:$B,C251,'07_Nachtraege'!$F:$F,"beauftragt"))</f>
        <v/>
      </c>
      <c r="L251" s="15">
        <f>IF(A251="","",F251+K251)</f>
        <v/>
      </c>
    </row>
    <row r="252">
      <c r="A252" s="30" t="inlineStr"/>
      <c r="B252" s="30" t="inlineStr"/>
      <c r="C252" s="30" t="inlineStr"/>
      <c r="D252" s="30" t="inlineStr"/>
      <c r="E252" s="38" t="inlineStr"/>
      <c r="F252" s="34" t="inlineStr"/>
      <c r="G252" s="30" t="inlineStr"/>
      <c r="H252" s="32" t="inlineStr"/>
      <c r="I252" s="30" t="inlineStr"/>
      <c r="J252" s="30" t="inlineStr"/>
      <c r="K252" s="15">
        <f>IF(A252="","",SUMIFS('07_Nachtraege'!$E:$E,'07_Nachtraege'!$B:$B,C252,'07_Nachtraege'!$F:$F,"beauftragt"))</f>
        <v/>
      </c>
      <c r="L252" s="15">
        <f>IF(A252="","",F252+K252)</f>
        <v/>
      </c>
    </row>
    <row r="253">
      <c r="A253" s="30" t="inlineStr"/>
      <c r="B253" s="30" t="inlineStr"/>
      <c r="C253" s="30" t="inlineStr"/>
      <c r="D253" s="30" t="inlineStr"/>
      <c r="E253" s="38" t="inlineStr"/>
      <c r="F253" s="34" t="inlineStr"/>
      <c r="G253" s="30" t="inlineStr"/>
      <c r="H253" s="32" t="inlineStr"/>
      <c r="I253" s="30" t="inlineStr"/>
      <c r="J253" s="30" t="inlineStr"/>
      <c r="K253" s="15">
        <f>IF(A253="","",SUMIFS('07_Nachtraege'!$E:$E,'07_Nachtraege'!$B:$B,C253,'07_Nachtraege'!$F:$F,"beauftragt"))</f>
        <v/>
      </c>
      <c r="L253" s="15">
        <f>IF(A253="","",F253+K253)</f>
        <v/>
      </c>
    </row>
    <row r="254">
      <c r="A254" s="30" t="inlineStr"/>
      <c r="B254" s="30" t="inlineStr"/>
      <c r="C254" s="30" t="inlineStr"/>
      <c r="D254" s="30" t="inlineStr"/>
      <c r="E254" s="38" t="inlineStr"/>
      <c r="F254" s="34" t="inlineStr"/>
      <c r="G254" s="30" t="inlineStr"/>
      <c r="H254" s="32" t="inlineStr"/>
      <c r="I254" s="30" t="inlineStr"/>
      <c r="J254" s="30" t="inlineStr"/>
      <c r="K254" s="15">
        <f>IF(A254="","",SUMIFS('07_Nachtraege'!$E:$E,'07_Nachtraege'!$B:$B,C254,'07_Nachtraege'!$F:$F,"beauftragt"))</f>
        <v/>
      </c>
      <c r="L254" s="15">
        <f>IF(A254="","",F254+K254)</f>
        <v/>
      </c>
    </row>
    <row r="255">
      <c r="A255" s="30" t="inlineStr"/>
      <c r="B255" s="30" t="inlineStr"/>
      <c r="C255" s="30" t="inlineStr"/>
      <c r="D255" s="30" t="inlineStr"/>
      <c r="E255" s="38" t="inlineStr"/>
      <c r="F255" s="34" t="inlineStr"/>
      <c r="G255" s="30" t="inlineStr"/>
      <c r="H255" s="32" t="inlineStr"/>
      <c r="I255" s="30" t="inlineStr"/>
      <c r="J255" s="30" t="inlineStr"/>
      <c r="K255" s="15">
        <f>IF(A255="","",SUMIFS('07_Nachtraege'!$E:$E,'07_Nachtraege'!$B:$B,C255,'07_Nachtraege'!$F:$F,"beauftragt"))</f>
        <v/>
      </c>
      <c r="L255" s="15">
        <f>IF(A255="","",F255+K255)</f>
        <v/>
      </c>
    </row>
    <row r="256">
      <c r="A256" s="30" t="inlineStr"/>
      <c r="B256" s="30" t="inlineStr"/>
      <c r="C256" s="30" t="inlineStr"/>
      <c r="D256" s="30" t="inlineStr"/>
      <c r="E256" s="38" t="inlineStr"/>
      <c r="F256" s="34" t="inlineStr"/>
      <c r="G256" s="30" t="inlineStr"/>
      <c r="H256" s="32" t="inlineStr"/>
      <c r="I256" s="30" t="inlineStr"/>
      <c r="J256" s="30" t="inlineStr"/>
      <c r="K256" s="15">
        <f>IF(A256="","",SUMIFS('07_Nachtraege'!$E:$E,'07_Nachtraege'!$B:$B,C256,'07_Nachtraege'!$F:$F,"beauftragt"))</f>
        <v/>
      </c>
      <c r="L256" s="15">
        <f>IF(A256="","",F256+K256)</f>
        <v/>
      </c>
    </row>
    <row r="257">
      <c r="A257" s="30" t="inlineStr"/>
      <c r="B257" s="30" t="inlineStr"/>
      <c r="C257" s="30" t="inlineStr"/>
      <c r="D257" s="30" t="inlineStr"/>
      <c r="E257" s="38" t="inlineStr"/>
      <c r="F257" s="34" t="inlineStr"/>
      <c r="G257" s="30" t="inlineStr"/>
      <c r="H257" s="32" t="inlineStr"/>
      <c r="I257" s="30" t="inlineStr"/>
      <c r="J257" s="30" t="inlineStr"/>
      <c r="K257" s="15">
        <f>IF(A257="","",SUMIFS('07_Nachtraege'!$E:$E,'07_Nachtraege'!$B:$B,C257,'07_Nachtraege'!$F:$F,"beauftragt"))</f>
        <v/>
      </c>
      <c r="L257" s="15">
        <f>IF(A257="","",F257+K257)</f>
        <v/>
      </c>
    </row>
    <row r="258">
      <c r="A258" s="30" t="inlineStr"/>
      <c r="B258" s="30" t="inlineStr"/>
      <c r="C258" s="30" t="inlineStr"/>
      <c r="D258" s="30" t="inlineStr"/>
      <c r="E258" s="38" t="inlineStr"/>
      <c r="F258" s="34" t="inlineStr"/>
      <c r="G258" s="30" t="inlineStr"/>
      <c r="H258" s="32" t="inlineStr"/>
      <c r="I258" s="30" t="inlineStr"/>
      <c r="J258" s="30" t="inlineStr"/>
      <c r="K258" s="15">
        <f>IF(A258="","",SUMIFS('07_Nachtraege'!$E:$E,'07_Nachtraege'!$B:$B,C258,'07_Nachtraege'!$F:$F,"beauftragt"))</f>
        <v/>
      </c>
      <c r="L258" s="15">
        <f>IF(A258="","",F258+K258)</f>
        <v/>
      </c>
    </row>
    <row r="259">
      <c r="A259" s="30" t="inlineStr"/>
      <c r="B259" s="30" t="inlineStr"/>
      <c r="C259" s="30" t="inlineStr"/>
      <c r="D259" s="30" t="inlineStr"/>
      <c r="E259" s="38" t="inlineStr"/>
      <c r="F259" s="34" t="inlineStr"/>
      <c r="G259" s="30" t="inlineStr"/>
      <c r="H259" s="32" t="inlineStr"/>
      <c r="I259" s="30" t="inlineStr"/>
      <c r="J259" s="30" t="inlineStr"/>
      <c r="K259" s="15">
        <f>IF(A259="","",SUMIFS('07_Nachtraege'!$E:$E,'07_Nachtraege'!$B:$B,C259,'07_Nachtraege'!$F:$F,"beauftragt"))</f>
        <v/>
      </c>
      <c r="L259" s="15">
        <f>IF(A259="","",F259+K259)</f>
        <v/>
      </c>
    </row>
    <row r="260">
      <c r="A260" s="30" t="inlineStr"/>
      <c r="B260" s="30" t="inlineStr"/>
      <c r="C260" s="30" t="inlineStr"/>
      <c r="D260" s="30" t="inlineStr"/>
      <c r="E260" s="38" t="inlineStr"/>
      <c r="F260" s="34" t="inlineStr"/>
      <c r="G260" s="30" t="inlineStr"/>
      <c r="H260" s="32" t="inlineStr"/>
      <c r="I260" s="30" t="inlineStr"/>
      <c r="J260" s="30" t="inlineStr"/>
      <c r="K260" s="15">
        <f>IF(A260="","",SUMIFS('07_Nachtraege'!$E:$E,'07_Nachtraege'!$B:$B,C260,'07_Nachtraege'!$F:$F,"beauftragt"))</f>
        <v/>
      </c>
      <c r="L260" s="15">
        <f>IF(A260="","",F260+K260)</f>
        <v/>
      </c>
    </row>
    <row r="261">
      <c r="A261" s="30" t="inlineStr"/>
      <c r="B261" s="30" t="inlineStr"/>
      <c r="C261" s="30" t="inlineStr"/>
      <c r="D261" s="30" t="inlineStr"/>
      <c r="E261" s="38" t="inlineStr"/>
      <c r="F261" s="34" t="inlineStr"/>
      <c r="G261" s="30" t="inlineStr"/>
      <c r="H261" s="32" t="inlineStr"/>
      <c r="I261" s="30" t="inlineStr"/>
      <c r="J261" s="30" t="inlineStr"/>
      <c r="K261" s="15">
        <f>IF(A261="","",SUMIFS('07_Nachtraege'!$E:$E,'07_Nachtraege'!$B:$B,C261,'07_Nachtraege'!$F:$F,"beauftragt"))</f>
        <v/>
      </c>
      <c r="L261" s="15">
        <f>IF(A261="","",F261+K261)</f>
        <v/>
      </c>
    </row>
    <row r="262">
      <c r="A262" s="30" t="inlineStr"/>
      <c r="B262" s="30" t="inlineStr"/>
      <c r="C262" s="30" t="inlineStr"/>
      <c r="D262" s="30" t="inlineStr"/>
      <c r="E262" s="38" t="inlineStr"/>
      <c r="F262" s="34" t="inlineStr"/>
      <c r="G262" s="30" t="inlineStr"/>
      <c r="H262" s="32" t="inlineStr"/>
      <c r="I262" s="30" t="inlineStr"/>
      <c r="J262" s="30" t="inlineStr"/>
      <c r="K262" s="15">
        <f>IF(A262="","",SUMIFS('07_Nachtraege'!$E:$E,'07_Nachtraege'!$B:$B,C262,'07_Nachtraege'!$F:$F,"beauftragt"))</f>
        <v/>
      </c>
      <c r="L262" s="15">
        <f>IF(A262="","",F262+K262)</f>
        <v/>
      </c>
    </row>
    <row r="263">
      <c r="A263" s="30" t="inlineStr"/>
      <c r="B263" s="30" t="inlineStr"/>
      <c r="C263" s="30" t="inlineStr"/>
      <c r="D263" s="30" t="inlineStr"/>
      <c r="E263" s="38" t="inlineStr"/>
      <c r="F263" s="34" t="inlineStr"/>
      <c r="G263" s="30" t="inlineStr"/>
      <c r="H263" s="32" t="inlineStr"/>
      <c r="I263" s="30" t="inlineStr"/>
      <c r="J263" s="30" t="inlineStr"/>
      <c r="K263" s="15">
        <f>IF(A263="","",SUMIFS('07_Nachtraege'!$E:$E,'07_Nachtraege'!$B:$B,C263,'07_Nachtraege'!$F:$F,"beauftragt"))</f>
        <v/>
      </c>
      <c r="L263" s="15">
        <f>IF(A263="","",F263+K263)</f>
        <v/>
      </c>
    </row>
    <row r="264">
      <c r="A264" s="30" t="inlineStr"/>
      <c r="B264" s="30" t="inlineStr"/>
      <c r="C264" s="30" t="inlineStr"/>
      <c r="D264" s="30" t="inlineStr"/>
      <c r="E264" s="38" t="inlineStr"/>
      <c r="F264" s="34" t="inlineStr"/>
      <c r="G264" s="30" t="inlineStr"/>
      <c r="H264" s="32" t="inlineStr"/>
      <c r="I264" s="30" t="inlineStr"/>
      <c r="J264" s="30" t="inlineStr"/>
      <c r="K264" s="15">
        <f>IF(A264="","",SUMIFS('07_Nachtraege'!$E:$E,'07_Nachtraege'!$B:$B,C264,'07_Nachtraege'!$F:$F,"beauftragt"))</f>
        <v/>
      </c>
      <c r="L264" s="15">
        <f>IF(A264="","",F264+K264)</f>
        <v/>
      </c>
    </row>
    <row r="265">
      <c r="A265" s="30" t="inlineStr"/>
      <c r="B265" s="30" t="inlineStr"/>
      <c r="C265" s="30" t="inlineStr"/>
      <c r="D265" s="30" t="inlineStr"/>
      <c r="E265" s="38" t="inlineStr"/>
      <c r="F265" s="34" t="inlineStr"/>
      <c r="G265" s="30" t="inlineStr"/>
      <c r="H265" s="32" t="inlineStr"/>
      <c r="I265" s="30" t="inlineStr"/>
      <c r="J265" s="30" t="inlineStr"/>
      <c r="K265" s="15">
        <f>IF(A265="","",SUMIFS('07_Nachtraege'!$E:$E,'07_Nachtraege'!$B:$B,C265,'07_Nachtraege'!$F:$F,"beauftragt"))</f>
        <v/>
      </c>
      <c r="L265" s="15">
        <f>IF(A265="","",F265+K265)</f>
        <v/>
      </c>
    </row>
    <row r="266">
      <c r="A266" s="30" t="inlineStr"/>
      <c r="B266" s="30" t="inlineStr"/>
      <c r="C266" s="30" t="inlineStr"/>
      <c r="D266" s="30" t="inlineStr"/>
      <c r="E266" s="38" t="inlineStr"/>
      <c r="F266" s="34" t="inlineStr"/>
      <c r="G266" s="30" t="inlineStr"/>
      <c r="H266" s="32" t="inlineStr"/>
      <c r="I266" s="30" t="inlineStr"/>
      <c r="J266" s="30" t="inlineStr"/>
      <c r="K266" s="15">
        <f>IF(A266="","",SUMIFS('07_Nachtraege'!$E:$E,'07_Nachtraege'!$B:$B,C266,'07_Nachtraege'!$F:$F,"beauftragt"))</f>
        <v/>
      </c>
      <c r="L266" s="15">
        <f>IF(A266="","",F266+K266)</f>
        <v/>
      </c>
    </row>
    <row r="267">
      <c r="A267" s="30" t="inlineStr"/>
      <c r="B267" s="30" t="inlineStr"/>
      <c r="C267" s="30" t="inlineStr"/>
      <c r="D267" s="30" t="inlineStr"/>
      <c r="E267" s="38" t="inlineStr"/>
      <c r="F267" s="34" t="inlineStr"/>
      <c r="G267" s="30" t="inlineStr"/>
      <c r="H267" s="32" t="inlineStr"/>
      <c r="I267" s="30" t="inlineStr"/>
      <c r="J267" s="30" t="inlineStr"/>
      <c r="K267" s="15">
        <f>IF(A267="","",SUMIFS('07_Nachtraege'!$E:$E,'07_Nachtraege'!$B:$B,C267,'07_Nachtraege'!$F:$F,"beauftragt"))</f>
        <v/>
      </c>
      <c r="L267" s="15">
        <f>IF(A267="","",F267+K267)</f>
        <v/>
      </c>
    </row>
    <row r="268">
      <c r="A268" s="30" t="inlineStr"/>
      <c r="B268" s="30" t="inlineStr"/>
      <c r="C268" s="30" t="inlineStr"/>
      <c r="D268" s="30" t="inlineStr"/>
      <c r="E268" s="38" t="inlineStr"/>
      <c r="F268" s="34" t="inlineStr"/>
      <c r="G268" s="30" t="inlineStr"/>
      <c r="H268" s="32" t="inlineStr"/>
      <c r="I268" s="30" t="inlineStr"/>
      <c r="J268" s="30" t="inlineStr"/>
      <c r="K268" s="15">
        <f>IF(A268="","",SUMIFS('07_Nachtraege'!$E:$E,'07_Nachtraege'!$B:$B,C268,'07_Nachtraege'!$F:$F,"beauftragt"))</f>
        <v/>
      </c>
      <c r="L268" s="15">
        <f>IF(A268="","",F268+K268)</f>
        <v/>
      </c>
    </row>
    <row r="269">
      <c r="A269" s="30" t="inlineStr"/>
      <c r="B269" s="30" t="inlineStr"/>
      <c r="C269" s="30" t="inlineStr"/>
      <c r="D269" s="30" t="inlineStr"/>
      <c r="E269" s="38" t="inlineStr"/>
      <c r="F269" s="34" t="inlineStr"/>
      <c r="G269" s="30" t="inlineStr"/>
      <c r="H269" s="32" t="inlineStr"/>
      <c r="I269" s="30" t="inlineStr"/>
      <c r="J269" s="30" t="inlineStr"/>
      <c r="K269" s="15">
        <f>IF(A269="","",SUMIFS('07_Nachtraege'!$E:$E,'07_Nachtraege'!$B:$B,C269,'07_Nachtraege'!$F:$F,"beauftragt"))</f>
        <v/>
      </c>
      <c r="L269" s="15">
        <f>IF(A269="","",F269+K269)</f>
        <v/>
      </c>
    </row>
    <row r="270">
      <c r="A270" s="30" t="inlineStr"/>
      <c r="B270" s="30" t="inlineStr"/>
      <c r="C270" s="30" t="inlineStr"/>
      <c r="D270" s="30" t="inlineStr"/>
      <c r="E270" s="38" t="inlineStr"/>
      <c r="F270" s="34" t="inlineStr"/>
      <c r="G270" s="30" t="inlineStr"/>
      <c r="H270" s="32" t="inlineStr"/>
      <c r="I270" s="30" t="inlineStr"/>
      <c r="J270" s="30" t="inlineStr"/>
      <c r="K270" s="15">
        <f>IF(A270="","",SUMIFS('07_Nachtraege'!$E:$E,'07_Nachtraege'!$B:$B,C270,'07_Nachtraege'!$F:$F,"beauftragt"))</f>
        <v/>
      </c>
      <c r="L270" s="15">
        <f>IF(A270="","",F270+K270)</f>
        <v/>
      </c>
    </row>
    <row r="271">
      <c r="A271" s="30" t="inlineStr"/>
      <c r="B271" s="30" t="inlineStr"/>
      <c r="C271" s="30" t="inlineStr"/>
      <c r="D271" s="30" t="inlineStr"/>
      <c r="E271" s="38" t="inlineStr"/>
      <c r="F271" s="34" t="inlineStr"/>
      <c r="G271" s="30" t="inlineStr"/>
      <c r="H271" s="32" t="inlineStr"/>
      <c r="I271" s="30" t="inlineStr"/>
      <c r="J271" s="30" t="inlineStr"/>
      <c r="K271" s="15">
        <f>IF(A271="","",SUMIFS('07_Nachtraege'!$E:$E,'07_Nachtraege'!$B:$B,C271,'07_Nachtraege'!$F:$F,"beauftragt"))</f>
        <v/>
      </c>
      <c r="L271" s="15">
        <f>IF(A271="","",F271+K271)</f>
        <v/>
      </c>
    </row>
    <row r="272">
      <c r="A272" s="30" t="inlineStr"/>
      <c r="B272" s="30" t="inlineStr"/>
      <c r="C272" s="30" t="inlineStr"/>
      <c r="D272" s="30" t="inlineStr"/>
      <c r="E272" s="38" t="inlineStr"/>
      <c r="F272" s="34" t="inlineStr"/>
      <c r="G272" s="30" t="inlineStr"/>
      <c r="H272" s="32" t="inlineStr"/>
      <c r="I272" s="30" t="inlineStr"/>
      <c r="J272" s="30" t="inlineStr"/>
      <c r="K272" s="15">
        <f>IF(A272="","",SUMIFS('07_Nachtraege'!$E:$E,'07_Nachtraege'!$B:$B,C272,'07_Nachtraege'!$F:$F,"beauftragt"))</f>
        <v/>
      </c>
      <c r="L272" s="15">
        <f>IF(A272="","",F272+K272)</f>
        <v/>
      </c>
    </row>
    <row r="273">
      <c r="A273" s="30" t="inlineStr"/>
      <c r="B273" s="30" t="inlineStr"/>
      <c r="C273" s="30" t="inlineStr"/>
      <c r="D273" s="30" t="inlineStr"/>
      <c r="E273" s="38" t="inlineStr"/>
      <c r="F273" s="34" t="inlineStr"/>
      <c r="G273" s="30" t="inlineStr"/>
      <c r="H273" s="32" t="inlineStr"/>
      <c r="I273" s="30" t="inlineStr"/>
      <c r="J273" s="30" t="inlineStr"/>
      <c r="K273" s="15">
        <f>IF(A273="","",SUMIFS('07_Nachtraege'!$E:$E,'07_Nachtraege'!$B:$B,C273,'07_Nachtraege'!$F:$F,"beauftragt"))</f>
        <v/>
      </c>
      <c r="L273" s="15">
        <f>IF(A273="","",F273+K273)</f>
        <v/>
      </c>
    </row>
    <row r="274">
      <c r="A274" s="30" t="inlineStr"/>
      <c r="B274" s="30" t="inlineStr"/>
      <c r="C274" s="30" t="inlineStr"/>
      <c r="D274" s="30" t="inlineStr"/>
      <c r="E274" s="38" t="inlineStr"/>
      <c r="F274" s="34" t="inlineStr"/>
      <c r="G274" s="30" t="inlineStr"/>
      <c r="H274" s="32" t="inlineStr"/>
      <c r="I274" s="30" t="inlineStr"/>
      <c r="J274" s="30" t="inlineStr"/>
      <c r="K274" s="15">
        <f>IF(A274="","",SUMIFS('07_Nachtraege'!$E:$E,'07_Nachtraege'!$B:$B,C274,'07_Nachtraege'!$F:$F,"beauftragt"))</f>
        <v/>
      </c>
      <c r="L274" s="15">
        <f>IF(A274="","",F274+K274)</f>
        <v/>
      </c>
    </row>
    <row r="275">
      <c r="A275" s="30" t="inlineStr"/>
      <c r="B275" s="30" t="inlineStr"/>
      <c r="C275" s="30" t="inlineStr"/>
      <c r="D275" s="30" t="inlineStr"/>
      <c r="E275" s="38" t="inlineStr"/>
      <c r="F275" s="34" t="inlineStr"/>
      <c r="G275" s="30" t="inlineStr"/>
      <c r="H275" s="32" t="inlineStr"/>
      <c r="I275" s="30" t="inlineStr"/>
      <c r="J275" s="30" t="inlineStr"/>
      <c r="K275" s="15">
        <f>IF(A275="","",SUMIFS('07_Nachtraege'!$E:$E,'07_Nachtraege'!$B:$B,C275,'07_Nachtraege'!$F:$F,"beauftragt"))</f>
        <v/>
      </c>
      <c r="L275" s="15">
        <f>IF(A275="","",F275+K275)</f>
        <v/>
      </c>
    </row>
    <row r="276">
      <c r="A276" s="30" t="inlineStr"/>
      <c r="B276" s="30" t="inlineStr"/>
      <c r="C276" s="30" t="inlineStr"/>
      <c r="D276" s="30" t="inlineStr"/>
      <c r="E276" s="38" t="inlineStr"/>
      <c r="F276" s="34" t="inlineStr"/>
      <c r="G276" s="30" t="inlineStr"/>
      <c r="H276" s="32" t="inlineStr"/>
      <c r="I276" s="30" t="inlineStr"/>
      <c r="J276" s="30" t="inlineStr"/>
      <c r="K276" s="15">
        <f>IF(A276="","",SUMIFS('07_Nachtraege'!$E:$E,'07_Nachtraege'!$B:$B,C276,'07_Nachtraege'!$F:$F,"beauftragt"))</f>
        <v/>
      </c>
      <c r="L276" s="15">
        <f>IF(A276="","",F276+K276)</f>
        <v/>
      </c>
    </row>
    <row r="277">
      <c r="A277" s="30" t="inlineStr"/>
      <c r="B277" s="30" t="inlineStr"/>
      <c r="C277" s="30" t="inlineStr"/>
      <c r="D277" s="30" t="inlineStr"/>
      <c r="E277" s="38" t="inlineStr"/>
      <c r="F277" s="34" t="inlineStr"/>
      <c r="G277" s="30" t="inlineStr"/>
      <c r="H277" s="32" t="inlineStr"/>
      <c r="I277" s="30" t="inlineStr"/>
      <c r="J277" s="30" t="inlineStr"/>
      <c r="K277" s="15">
        <f>IF(A277="","",SUMIFS('07_Nachtraege'!$E:$E,'07_Nachtraege'!$B:$B,C277,'07_Nachtraege'!$F:$F,"beauftragt"))</f>
        <v/>
      </c>
      <c r="L277" s="15">
        <f>IF(A277="","",F277+K277)</f>
        <v/>
      </c>
    </row>
    <row r="278">
      <c r="A278" s="30" t="inlineStr"/>
      <c r="B278" s="30" t="inlineStr"/>
      <c r="C278" s="30" t="inlineStr"/>
      <c r="D278" s="30" t="inlineStr"/>
      <c r="E278" s="38" t="inlineStr"/>
      <c r="F278" s="34" t="inlineStr"/>
      <c r="G278" s="30" t="inlineStr"/>
      <c r="H278" s="32" t="inlineStr"/>
      <c r="I278" s="30" t="inlineStr"/>
      <c r="J278" s="30" t="inlineStr"/>
      <c r="K278" s="15">
        <f>IF(A278="","",SUMIFS('07_Nachtraege'!$E:$E,'07_Nachtraege'!$B:$B,C278,'07_Nachtraege'!$F:$F,"beauftragt"))</f>
        <v/>
      </c>
      <c r="L278" s="15">
        <f>IF(A278="","",F278+K278)</f>
        <v/>
      </c>
    </row>
    <row r="279">
      <c r="A279" s="30" t="inlineStr"/>
      <c r="B279" s="30" t="inlineStr"/>
      <c r="C279" s="30" t="inlineStr"/>
      <c r="D279" s="30" t="inlineStr"/>
      <c r="E279" s="38" t="inlineStr"/>
      <c r="F279" s="34" t="inlineStr"/>
      <c r="G279" s="30" t="inlineStr"/>
      <c r="H279" s="32" t="inlineStr"/>
      <c r="I279" s="30" t="inlineStr"/>
      <c r="J279" s="30" t="inlineStr"/>
      <c r="K279" s="15">
        <f>IF(A279="","",SUMIFS('07_Nachtraege'!$E:$E,'07_Nachtraege'!$B:$B,C279,'07_Nachtraege'!$F:$F,"beauftragt"))</f>
        <v/>
      </c>
      <c r="L279" s="15">
        <f>IF(A279="","",F279+K279)</f>
        <v/>
      </c>
    </row>
    <row r="280">
      <c r="A280" s="30" t="inlineStr"/>
      <c r="B280" s="30" t="inlineStr"/>
      <c r="C280" s="30" t="inlineStr"/>
      <c r="D280" s="30" t="inlineStr"/>
      <c r="E280" s="38" t="inlineStr"/>
      <c r="F280" s="34" t="inlineStr"/>
      <c r="G280" s="30" t="inlineStr"/>
      <c r="H280" s="32" t="inlineStr"/>
      <c r="I280" s="30" t="inlineStr"/>
      <c r="J280" s="30" t="inlineStr"/>
      <c r="K280" s="15">
        <f>IF(A280="","",SUMIFS('07_Nachtraege'!$E:$E,'07_Nachtraege'!$B:$B,C280,'07_Nachtraege'!$F:$F,"beauftragt"))</f>
        <v/>
      </c>
      <c r="L280" s="15">
        <f>IF(A280="","",F280+K280)</f>
        <v/>
      </c>
    </row>
    <row r="281">
      <c r="A281" s="30" t="inlineStr"/>
      <c r="B281" s="30" t="inlineStr"/>
      <c r="C281" s="30" t="inlineStr"/>
      <c r="D281" s="30" t="inlineStr"/>
      <c r="E281" s="38" t="inlineStr"/>
      <c r="F281" s="34" t="inlineStr"/>
      <c r="G281" s="30" t="inlineStr"/>
      <c r="H281" s="32" t="inlineStr"/>
      <c r="I281" s="30" t="inlineStr"/>
      <c r="J281" s="30" t="inlineStr"/>
      <c r="K281" s="15">
        <f>IF(A281="","",SUMIFS('07_Nachtraege'!$E:$E,'07_Nachtraege'!$B:$B,C281,'07_Nachtraege'!$F:$F,"beauftragt"))</f>
        <v/>
      </c>
      <c r="L281" s="15">
        <f>IF(A281="","",F281+K281)</f>
        <v/>
      </c>
    </row>
    <row r="282">
      <c r="A282" s="30" t="inlineStr"/>
      <c r="B282" s="30" t="inlineStr"/>
      <c r="C282" s="30" t="inlineStr"/>
      <c r="D282" s="30" t="inlineStr"/>
      <c r="E282" s="38" t="inlineStr"/>
      <c r="F282" s="34" t="inlineStr"/>
      <c r="G282" s="30" t="inlineStr"/>
      <c r="H282" s="32" t="inlineStr"/>
      <c r="I282" s="30" t="inlineStr"/>
      <c r="J282" s="30" t="inlineStr"/>
      <c r="K282" s="15">
        <f>IF(A282="","",SUMIFS('07_Nachtraege'!$E:$E,'07_Nachtraege'!$B:$B,C282,'07_Nachtraege'!$F:$F,"beauftragt"))</f>
        <v/>
      </c>
      <c r="L282" s="15">
        <f>IF(A282="","",F282+K282)</f>
        <v/>
      </c>
    </row>
    <row r="283">
      <c r="A283" s="30" t="inlineStr"/>
      <c r="B283" s="30" t="inlineStr"/>
      <c r="C283" s="30" t="inlineStr"/>
      <c r="D283" s="30" t="inlineStr"/>
      <c r="E283" s="38" t="inlineStr"/>
      <c r="F283" s="34" t="inlineStr"/>
      <c r="G283" s="30" t="inlineStr"/>
      <c r="H283" s="32" t="inlineStr"/>
      <c r="I283" s="30" t="inlineStr"/>
      <c r="J283" s="30" t="inlineStr"/>
      <c r="K283" s="15">
        <f>IF(A283="","",SUMIFS('07_Nachtraege'!$E:$E,'07_Nachtraege'!$B:$B,C283,'07_Nachtraege'!$F:$F,"beauftragt"))</f>
        <v/>
      </c>
      <c r="L283" s="15">
        <f>IF(A283="","",F283+K283)</f>
        <v/>
      </c>
    </row>
    <row r="284">
      <c r="A284" s="30" t="inlineStr"/>
      <c r="B284" s="30" t="inlineStr"/>
      <c r="C284" s="30" t="inlineStr"/>
      <c r="D284" s="30" t="inlineStr"/>
      <c r="E284" s="38" t="inlineStr"/>
      <c r="F284" s="34" t="inlineStr"/>
      <c r="G284" s="30" t="inlineStr"/>
      <c r="H284" s="32" t="inlineStr"/>
      <c r="I284" s="30" t="inlineStr"/>
      <c r="J284" s="30" t="inlineStr"/>
      <c r="K284" s="15">
        <f>IF(A284="","",SUMIFS('07_Nachtraege'!$E:$E,'07_Nachtraege'!$B:$B,C284,'07_Nachtraege'!$F:$F,"beauftragt"))</f>
        <v/>
      </c>
      <c r="L284" s="15">
        <f>IF(A284="","",F284+K284)</f>
        <v/>
      </c>
    </row>
    <row r="285">
      <c r="A285" s="30" t="inlineStr"/>
      <c r="B285" s="30" t="inlineStr"/>
      <c r="C285" s="30" t="inlineStr"/>
      <c r="D285" s="30" t="inlineStr"/>
      <c r="E285" s="38" t="inlineStr"/>
      <c r="F285" s="34" t="inlineStr"/>
      <c r="G285" s="30" t="inlineStr"/>
      <c r="H285" s="32" t="inlineStr"/>
      <c r="I285" s="30" t="inlineStr"/>
      <c r="J285" s="30" t="inlineStr"/>
      <c r="K285" s="15">
        <f>IF(A285="","",SUMIFS('07_Nachtraege'!$E:$E,'07_Nachtraege'!$B:$B,C285,'07_Nachtraege'!$F:$F,"beauftragt"))</f>
        <v/>
      </c>
      <c r="L285" s="15">
        <f>IF(A285="","",F285+K285)</f>
        <v/>
      </c>
    </row>
    <row r="286">
      <c r="A286" s="30" t="inlineStr"/>
      <c r="B286" s="30" t="inlineStr"/>
      <c r="C286" s="30" t="inlineStr"/>
      <c r="D286" s="30" t="inlineStr"/>
      <c r="E286" s="38" t="inlineStr"/>
      <c r="F286" s="34" t="inlineStr"/>
      <c r="G286" s="30" t="inlineStr"/>
      <c r="H286" s="32" t="inlineStr"/>
      <c r="I286" s="30" t="inlineStr"/>
      <c r="J286" s="30" t="inlineStr"/>
      <c r="K286" s="15">
        <f>IF(A286="","",SUMIFS('07_Nachtraege'!$E:$E,'07_Nachtraege'!$B:$B,C286,'07_Nachtraege'!$F:$F,"beauftragt"))</f>
        <v/>
      </c>
      <c r="L286" s="15">
        <f>IF(A286="","",F286+K286)</f>
        <v/>
      </c>
    </row>
    <row r="287">
      <c r="A287" s="30" t="inlineStr"/>
      <c r="B287" s="30" t="inlineStr"/>
      <c r="C287" s="30" t="inlineStr"/>
      <c r="D287" s="30" t="inlineStr"/>
      <c r="E287" s="38" t="inlineStr"/>
      <c r="F287" s="34" t="inlineStr"/>
      <c r="G287" s="30" t="inlineStr"/>
      <c r="H287" s="32" t="inlineStr"/>
      <c r="I287" s="30" t="inlineStr"/>
      <c r="J287" s="30" t="inlineStr"/>
      <c r="K287" s="15">
        <f>IF(A287="","",SUMIFS('07_Nachtraege'!$E:$E,'07_Nachtraege'!$B:$B,C287,'07_Nachtraege'!$F:$F,"beauftragt"))</f>
        <v/>
      </c>
      <c r="L287" s="15">
        <f>IF(A287="","",F287+K287)</f>
        <v/>
      </c>
    </row>
    <row r="288">
      <c r="A288" s="30" t="inlineStr"/>
      <c r="B288" s="30" t="inlineStr"/>
      <c r="C288" s="30" t="inlineStr"/>
      <c r="D288" s="30" t="inlineStr"/>
      <c r="E288" s="38" t="inlineStr"/>
      <c r="F288" s="34" t="inlineStr"/>
      <c r="G288" s="30" t="inlineStr"/>
      <c r="H288" s="32" t="inlineStr"/>
      <c r="I288" s="30" t="inlineStr"/>
      <c r="J288" s="30" t="inlineStr"/>
      <c r="K288" s="15">
        <f>IF(A288="","",SUMIFS('07_Nachtraege'!$E:$E,'07_Nachtraege'!$B:$B,C288,'07_Nachtraege'!$F:$F,"beauftragt"))</f>
        <v/>
      </c>
      <c r="L288" s="15">
        <f>IF(A288="","",F288+K288)</f>
        <v/>
      </c>
    </row>
    <row r="289">
      <c r="A289" s="30" t="inlineStr"/>
      <c r="B289" s="30" t="inlineStr"/>
      <c r="C289" s="30" t="inlineStr"/>
      <c r="D289" s="30" t="inlineStr"/>
      <c r="E289" s="38" t="inlineStr"/>
      <c r="F289" s="34" t="inlineStr"/>
      <c r="G289" s="30" t="inlineStr"/>
      <c r="H289" s="32" t="inlineStr"/>
      <c r="I289" s="30" t="inlineStr"/>
      <c r="J289" s="30" t="inlineStr"/>
      <c r="K289" s="15">
        <f>IF(A289="","",SUMIFS('07_Nachtraege'!$E:$E,'07_Nachtraege'!$B:$B,C289,'07_Nachtraege'!$F:$F,"beauftragt"))</f>
        <v/>
      </c>
      <c r="L289" s="15">
        <f>IF(A289="","",F289+K289)</f>
        <v/>
      </c>
    </row>
    <row r="290">
      <c r="A290" s="30" t="inlineStr"/>
      <c r="B290" s="30" t="inlineStr"/>
      <c r="C290" s="30" t="inlineStr"/>
      <c r="D290" s="30" t="inlineStr"/>
      <c r="E290" s="38" t="inlineStr"/>
      <c r="F290" s="34" t="inlineStr"/>
      <c r="G290" s="30" t="inlineStr"/>
      <c r="H290" s="32" t="inlineStr"/>
      <c r="I290" s="30" t="inlineStr"/>
      <c r="J290" s="30" t="inlineStr"/>
      <c r="K290" s="15">
        <f>IF(A290="","",SUMIFS('07_Nachtraege'!$E:$E,'07_Nachtraege'!$B:$B,C290,'07_Nachtraege'!$F:$F,"beauftragt"))</f>
        <v/>
      </c>
      <c r="L290" s="15">
        <f>IF(A290="","",F290+K290)</f>
        <v/>
      </c>
    </row>
    <row r="291">
      <c r="A291" s="30" t="inlineStr"/>
      <c r="B291" s="30" t="inlineStr"/>
      <c r="C291" s="30" t="inlineStr"/>
      <c r="D291" s="30" t="inlineStr"/>
      <c r="E291" s="38" t="inlineStr"/>
      <c r="F291" s="34" t="inlineStr"/>
      <c r="G291" s="30" t="inlineStr"/>
      <c r="H291" s="32" t="inlineStr"/>
      <c r="I291" s="30" t="inlineStr"/>
      <c r="J291" s="30" t="inlineStr"/>
      <c r="K291" s="15">
        <f>IF(A291="","",SUMIFS('07_Nachtraege'!$E:$E,'07_Nachtraege'!$B:$B,C291,'07_Nachtraege'!$F:$F,"beauftragt"))</f>
        <v/>
      </c>
      <c r="L291" s="15">
        <f>IF(A291="","",F291+K291)</f>
        <v/>
      </c>
    </row>
    <row r="292">
      <c r="A292" s="30" t="inlineStr"/>
      <c r="B292" s="30" t="inlineStr"/>
      <c r="C292" s="30" t="inlineStr"/>
      <c r="D292" s="30" t="inlineStr"/>
      <c r="E292" s="38" t="inlineStr"/>
      <c r="F292" s="34" t="inlineStr"/>
      <c r="G292" s="30" t="inlineStr"/>
      <c r="H292" s="32" t="inlineStr"/>
      <c r="I292" s="30" t="inlineStr"/>
      <c r="J292" s="30" t="inlineStr"/>
      <c r="K292" s="15">
        <f>IF(A292="","",SUMIFS('07_Nachtraege'!$E:$E,'07_Nachtraege'!$B:$B,C292,'07_Nachtraege'!$F:$F,"beauftragt"))</f>
        <v/>
      </c>
      <c r="L292" s="15">
        <f>IF(A292="","",F292+K292)</f>
        <v/>
      </c>
    </row>
    <row r="293">
      <c r="A293" s="30" t="inlineStr"/>
      <c r="B293" s="30" t="inlineStr"/>
      <c r="C293" s="30" t="inlineStr"/>
      <c r="D293" s="30" t="inlineStr"/>
      <c r="E293" s="38" t="inlineStr"/>
      <c r="F293" s="34" t="inlineStr"/>
      <c r="G293" s="30" t="inlineStr"/>
      <c r="H293" s="32" t="inlineStr"/>
      <c r="I293" s="30" t="inlineStr"/>
      <c r="J293" s="30" t="inlineStr"/>
      <c r="K293" s="15">
        <f>IF(A293="","",SUMIFS('07_Nachtraege'!$E:$E,'07_Nachtraege'!$B:$B,C293,'07_Nachtraege'!$F:$F,"beauftragt"))</f>
        <v/>
      </c>
      <c r="L293" s="15">
        <f>IF(A293="","",F293+K293)</f>
        <v/>
      </c>
    </row>
    <row r="294">
      <c r="A294" s="30" t="inlineStr"/>
      <c r="B294" s="30" t="inlineStr"/>
      <c r="C294" s="30" t="inlineStr"/>
      <c r="D294" s="30" t="inlineStr"/>
      <c r="E294" s="38" t="inlineStr"/>
      <c r="F294" s="34" t="inlineStr"/>
      <c r="G294" s="30" t="inlineStr"/>
      <c r="H294" s="32" t="inlineStr"/>
      <c r="I294" s="30" t="inlineStr"/>
      <c r="J294" s="30" t="inlineStr"/>
      <c r="K294" s="15">
        <f>IF(A294="","",SUMIFS('07_Nachtraege'!$E:$E,'07_Nachtraege'!$B:$B,C294,'07_Nachtraege'!$F:$F,"beauftragt"))</f>
        <v/>
      </c>
      <c r="L294" s="15">
        <f>IF(A294="","",F294+K294)</f>
        <v/>
      </c>
    </row>
    <row r="295">
      <c r="A295" s="30" t="inlineStr"/>
      <c r="B295" s="30" t="inlineStr"/>
      <c r="C295" s="30" t="inlineStr"/>
      <c r="D295" s="30" t="inlineStr"/>
      <c r="E295" s="38" t="inlineStr"/>
      <c r="F295" s="34" t="inlineStr"/>
      <c r="G295" s="30" t="inlineStr"/>
      <c r="H295" s="32" t="inlineStr"/>
      <c r="I295" s="30" t="inlineStr"/>
      <c r="J295" s="30" t="inlineStr"/>
      <c r="K295" s="15">
        <f>IF(A295="","",SUMIFS('07_Nachtraege'!$E:$E,'07_Nachtraege'!$B:$B,C295,'07_Nachtraege'!$F:$F,"beauftragt"))</f>
        <v/>
      </c>
      <c r="L295" s="15">
        <f>IF(A295="","",F295+K295)</f>
        <v/>
      </c>
    </row>
    <row r="296">
      <c r="A296" s="30" t="inlineStr"/>
      <c r="B296" s="30" t="inlineStr"/>
      <c r="C296" s="30" t="inlineStr"/>
      <c r="D296" s="30" t="inlineStr"/>
      <c r="E296" s="38" t="inlineStr"/>
      <c r="F296" s="34" t="inlineStr"/>
      <c r="G296" s="30" t="inlineStr"/>
      <c r="H296" s="32" t="inlineStr"/>
      <c r="I296" s="30" t="inlineStr"/>
      <c r="J296" s="30" t="inlineStr"/>
      <c r="K296" s="15">
        <f>IF(A296="","",SUMIFS('07_Nachtraege'!$E:$E,'07_Nachtraege'!$B:$B,C296,'07_Nachtraege'!$F:$F,"beauftragt"))</f>
        <v/>
      </c>
      <c r="L296" s="15">
        <f>IF(A296="","",F296+K296)</f>
        <v/>
      </c>
    </row>
    <row r="297">
      <c r="A297" s="30" t="inlineStr"/>
      <c r="B297" s="30" t="inlineStr"/>
      <c r="C297" s="30" t="inlineStr"/>
      <c r="D297" s="30" t="inlineStr"/>
      <c r="E297" s="38" t="inlineStr"/>
      <c r="F297" s="34" t="inlineStr"/>
      <c r="G297" s="30" t="inlineStr"/>
      <c r="H297" s="32" t="inlineStr"/>
      <c r="I297" s="30" t="inlineStr"/>
      <c r="J297" s="30" t="inlineStr"/>
      <c r="K297" s="15">
        <f>IF(A297="","",SUMIFS('07_Nachtraege'!$E:$E,'07_Nachtraege'!$B:$B,C297,'07_Nachtraege'!$F:$F,"beauftragt"))</f>
        <v/>
      </c>
      <c r="L297" s="15">
        <f>IF(A297="","",F297+K297)</f>
        <v/>
      </c>
    </row>
    <row r="298">
      <c r="A298" s="30" t="inlineStr"/>
      <c r="B298" s="30" t="inlineStr"/>
      <c r="C298" s="30" t="inlineStr"/>
      <c r="D298" s="30" t="inlineStr"/>
      <c r="E298" s="38" t="inlineStr"/>
      <c r="F298" s="34" t="inlineStr"/>
      <c r="G298" s="30" t="inlineStr"/>
      <c r="H298" s="32" t="inlineStr"/>
      <c r="I298" s="30" t="inlineStr"/>
      <c r="J298" s="30" t="inlineStr"/>
      <c r="K298" s="15">
        <f>IF(A298="","",SUMIFS('07_Nachtraege'!$E:$E,'07_Nachtraege'!$B:$B,C298,'07_Nachtraege'!$F:$F,"beauftragt"))</f>
        <v/>
      </c>
      <c r="L298" s="15">
        <f>IF(A298="","",F298+K298)</f>
        <v/>
      </c>
    </row>
    <row r="299">
      <c r="A299" s="30" t="inlineStr"/>
      <c r="B299" s="30" t="inlineStr"/>
      <c r="C299" s="30" t="inlineStr"/>
      <c r="D299" s="30" t="inlineStr"/>
      <c r="E299" s="38" t="inlineStr"/>
      <c r="F299" s="34" t="inlineStr"/>
      <c r="G299" s="30" t="inlineStr"/>
      <c r="H299" s="32" t="inlineStr"/>
      <c r="I299" s="30" t="inlineStr"/>
      <c r="J299" s="30" t="inlineStr"/>
      <c r="K299" s="15">
        <f>IF(A299="","",SUMIFS('07_Nachtraege'!$E:$E,'07_Nachtraege'!$B:$B,C299,'07_Nachtraege'!$F:$F,"beauftragt"))</f>
        <v/>
      </c>
      <c r="L299" s="15">
        <f>IF(A299="","",F299+K299)</f>
        <v/>
      </c>
    </row>
    <row r="300">
      <c r="A300" s="30" t="inlineStr"/>
      <c r="B300" s="30" t="inlineStr"/>
      <c r="C300" s="30" t="inlineStr"/>
      <c r="D300" s="30" t="inlineStr"/>
      <c r="E300" s="38" t="inlineStr"/>
      <c r="F300" s="34" t="inlineStr"/>
      <c r="G300" s="30" t="inlineStr"/>
      <c r="H300" s="32" t="inlineStr"/>
      <c r="I300" s="30" t="inlineStr"/>
      <c r="J300" s="30" t="inlineStr"/>
      <c r="K300" s="15">
        <f>IF(A300="","",SUMIFS('07_Nachtraege'!$E:$E,'07_Nachtraege'!$B:$B,C300,'07_Nachtraege'!$F:$F,"beauftragt"))</f>
        <v/>
      </c>
      <c r="L300" s="15">
        <f>IF(A300="","",F300+K300)</f>
        <v/>
      </c>
    </row>
    <row r="301">
      <c r="A301" s="30" t="inlineStr"/>
      <c r="B301" s="30" t="inlineStr"/>
      <c r="C301" s="30" t="inlineStr"/>
      <c r="D301" s="30" t="inlineStr"/>
      <c r="E301" s="38" t="inlineStr"/>
      <c r="F301" s="34" t="inlineStr"/>
      <c r="G301" s="30" t="inlineStr"/>
      <c r="H301" s="32" t="inlineStr"/>
      <c r="I301" s="30" t="inlineStr"/>
      <c r="J301" s="30" t="inlineStr"/>
      <c r="K301" s="15">
        <f>IF(A301="","",SUMIFS('07_Nachtraege'!$E:$E,'07_Nachtraege'!$B:$B,C301,'07_Nachtraege'!$F:$F,"beauftragt"))</f>
        <v/>
      </c>
      <c r="L301" s="15">
        <f>IF(A301="","",F301+K301)</f>
        <v/>
      </c>
    </row>
    <row r="302">
      <c r="A302" s="30" t="inlineStr"/>
      <c r="B302" s="30" t="inlineStr"/>
      <c r="C302" s="30" t="inlineStr"/>
      <c r="D302" s="30" t="inlineStr"/>
      <c r="E302" s="38" t="inlineStr"/>
      <c r="F302" s="34" t="inlineStr"/>
      <c r="G302" s="30" t="inlineStr"/>
      <c r="H302" s="32" t="inlineStr"/>
      <c r="I302" s="30" t="inlineStr"/>
      <c r="J302" s="30" t="inlineStr"/>
      <c r="K302" s="15">
        <f>IF(A302="","",SUMIFS('07_Nachtraege'!$E:$E,'07_Nachtraege'!$B:$B,C302,'07_Nachtraege'!$F:$F,"beauftragt"))</f>
        <v/>
      </c>
      <c r="L302" s="15">
        <f>IF(A302="","",F302+K302)</f>
        <v/>
      </c>
    </row>
    <row r="303">
      <c r="A303" s="30" t="inlineStr"/>
      <c r="B303" s="30" t="inlineStr"/>
      <c r="C303" s="30" t="inlineStr"/>
      <c r="D303" s="30" t="inlineStr"/>
      <c r="E303" s="38" t="inlineStr"/>
      <c r="F303" s="34" t="inlineStr"/>
      <c r="G303" s="30" t="inlineStr"/>
      <c r="H303" s="32" t="inlineStr"/>
      <c r="I303" s="30" t="inlineStr"/>
      <c r="J303" s="30" t="inlineStr"/>
      <c r="K303" s="15">
        <f>IF(A303="","",SUMIFS('07_Nachtraege'!$E:$E,'07_Nachtraege'!$B:$B,C303,'07_Nachtraege'!$F:$F,"beauftragt"))</f>
        <v/>
      </c>
      <c r="L303" s="15">
        <f>IF(A303="","",F303+K303)</f>
        <v/>
      </c>
    </row>
    <row r="304">
      <c r="A304" s="30" t="inlineStr"/>
      <c r="B304" s="30" t="inlineStr"/>
      <c r="C304" s="30" t="inlineStr"/>
      <c r="D304" s="30" t="inlineStr"/>
      <c r="E304" s="38" t="inlineStr"/>
      <c r="F304" s="34" t="inlineStr"/>
      <c r="G304" s="30" t="inlineStr"/>
      <c r="H304" s="32" t="inlineStr"/>
      <c r="I304" s="30" t="inlineStr"/>
      <c r="J304" s="30" t="inlineStr"/>
      <c r="K304" s="15">
        <f>IF(A304="","",SUMIFS('07_Nachtraege'!$E:$E,'07_Nachtraege'!$B:$B,C304,'07_Nachtraege'!$F:$F,"beauftragt"))</f>
        <v/>
      </c>
      <c r="L304" s="15">
        <f>IF(A304="","",F304+K304)</f>
        <v/>
      </c>
    </row>
    <row r="305">
      <c r="A305" s="30" t="inlineStr"/>
      <c r="B305" s="30" t="inlineStr"/>
      <c r="C305" s="30" t="inlineStr"/>
      <c r="D305" s="30" t="inlineStr"/>
      <c r="E305" s="38" t="inlineStr"/>
      <c r="F305" s="34" t="inlineStr"/>
      <c r="G305" s="30" t="inlineStr"/>
      <c r="H305" s="32" t="inlineStr"/>
      <c r="I305" s="30" t="inlineStr"/>
      <c r="J305" s="30" t="inlineStr"/>
      <c r="K305" s="15">
        <f>IF(A305="","",SUMIFS('07_Nachtraege'!$E:$E,'07_Nachtraege'!$B:$B,C305,'07_Nachtraege'!$F:$F,"beauftragt"))</f>
        <v/>
      </c>
      <c r="L305" s="15">
        <f>IF(A305="","",F305+K305)</f>
        <v/>
      </c>
    </row>
    <row r="306">
      <c r="A306" s="30" t="inlineStr"/>
      <c r="B306" s="30" t="inlineStr"/>
      <c r="C306" s="30" t="inlineStr"/>
      <c r="D306" s="30" t="inlineStr"/>
      <c r="E306" s="38" t="inlineStr"/>
      <c r="F306" s="34" t="inlineStr"/>
      <c r="G306" s="30" t="inlineStr"/>
      <c r="H306" s="32" t="inlineStr"/>
      <c r="I306" s="30" t="inlineStr"/>
      <c r="J306" s="30" t="inlineStr"/>
      <c r="K306" s="15">
        <f>IF(A306="","",SUMIFS('07_Nachtraege'!$E:$E,'07_Nachtraege'!$B:$B,C306,'07_Nachtraege'!$F:$F,"beauftragt"))</f>
        <v/>
      </c>
      <c r="L306" s="15">
        <f>IF(A306="","",F306+K306)</f>
        <v/>
      </c>
    </row>
    <row r="307">
      <c r="A307" s="30" t="inlineStr"/>
      <c r="B307" s="30" t="inlineStr"/>
      <c r="C307" s="30" t="inlineStr"/>
      <c r="D307" s="30" t="inlineStr"/>
      <c r="E307" s="38" t="inlineStr"/>
      <c r="F307" s="34" t="inlineStr"/>
      <c r="G307" s="30" t="inlineStr"/>
      <c r="H307" s="32" t="inlineStr"/>
      <c r="I307" s="30" t="inlineStr"/>
      <c r="J307" s="30" t="inlineStr"/>
      <c r="K307" s="15">
        <f>IF(A307="","",SUMIFS('07_Nachtraege'!$E:$E,'07_Nachtraege'!$B:$B,C307,'07_Nachtraege'!$F:$F,"beauftragt"))</f>
        <v/>
      </c>
      <c r="L307" s="15">
        <f>IF(A307="","",F307+K307)</f>
        <v/>
      </c>
    </row>
    <row r="308">
      <c r="A308" s="30" t="inlineStr"/>
      <c r="B308" s="30" t="inlineStr"/>
      <c r="C308" s="30" t="inlineStr"/>
      <c r="D308" s="30" t="inlineStr"/>
      <c r="E308" s="38" t="inlineStr"/>
      <c r="F308" s="34" t="inlineStr"/>
      <c r="G308" s="30" t="inlineStr"/>
      <c r="H308" s="32" t="inlineStr"/>
      <c r="I308" s="30" t="inlineStr"/>
      <c r="J308" s="30" t="inlineStr"/>
      <c r="K308" s="15">
        <f>IF(A308="","",SUMIFS('07_Nachtraege'!$E:$E,'07_Nachtraege'!$B:$B,C308,'07_Nachtraege'!$F:$F,"beauftragt"))</f>
        <v/>
      </c>
      <c r="L308" s="15">
        <f>IF(A308="","",F308+K308)</f>
        <v/>
      </c>
    </row>
    <row r="309">
      <c r="A309" s="30" t="inlineStr"/>
      <c r="B309" s="30" t="inlineStr"/>
      <c r="C309" s="30" t="inlineStr"/>
      <c r="D309" s="30" t="inlineStr"/>
      <c r="E309" s="38" t="inlineStr"/>
      <c r="F309" s="34" t="inlineStr"/>
      <c r="G309" s="30" t="inlineStr"/>
      <c r="H309" s="32" t="inlineStr"/>
      <c r="I309" s="30" t="inlineStr"/>
      <c r="J309" s="30" t="inlineStr"/>
      <c r="K309" s="15">
        <f>IF(A309="","",SUMIFS('07_Nachtraege'!$E:$E,'07_Nachtraege'!$B:$B,C309,'07_Nachtraege'!$F:$F,"beauftragt"))</f>
        <v/>
      </c>
      <c r="L309" s="15">
        <f>IF(A309="","",F309+K309)</f>
        <v/>
      </c>
    </row>
    <row r="310">
      <c r="A310" s="30" t="inlineStr"/>
      <c r="B310" s="30" t="inlineStr"/>
      <c r="C310" s="30" t="inlineStr"/>
      <c r="D310" s="30" t="inlineStr"/>
      <c r="E310" s="38" t="inlineStr"/>
      <c r="F310" s="34" t="inlineStr"/>
      <c r="G310" s="30" t="inlineStr"/>
      <c r="H310" s="32" t="inlineStr"/>
      <c r="I310" s="30" t="inlineStr"/>
      <c r="J310" s="30" t="inlineStr"/>
      <c r="K310" s="15">
        <f>IF(A310="","",SUMIFS('07_Nachtraege'!$E:$E,'07_Nachtraege'!$B:$B,C310,'07_Nachtraege'!$F:$F,"beauftragt"))</f>
        <v/>
      </c>
      <c r="L310" s="15">
        <f>IF(A310="","",F310+K310)</f>
        <v/>
      </c>
    </row>
    <row r="311">
      <c r="A311" s="30" t="inlineStr"/>
      <c r="B311" s="30" t="inlineStr"/>
      <c r="C311" s="30" t="inlineStr"/>
      <c r="D311" s="30" t="inlineStr"/>
      <c r="E311" s="38" t="inlineStr"/>
      <c r="F311" s="34" t="inlineStr"/>
      <c r="G311" s="30" t="inlineStr"/>
      <c r="H311" s="32" t="inlineStr"/>
      <c r="I311" s="30" t="inlineStr"/>
      <c r="J311" s="30" t="inlineStr"/>
      <c r="K311" s="15">
        <f>IF(A311="","",SUMIFS('07_Nachtraege'!$E:$E,'07_Nachtraege'!$B:$B,C311,'07_Nachtraege'!$F:$F,"beauftragt"))</f>
        <v/>
      </c>
      <c r="L311" s="15">
        <f>IF(A311="","",F311+K311)</f>
        <v/>
      </c>
    </row>
    <row r="312">
      <c r="A312" s="30" t="inlineStr"/>
      <c r="B312" s="30" t="inlineStr"/>
      <c r="C312" s="30" t="inlineStr"/>
      <c r="D312" s="30" t="inlineStr"/>
      <c r="E312" s="38" t="inlineStr"/>
      <c r="F312" s="34" t="inlineStr"/>
      <c r="G312" s="30" t="inlineStr"/>
      <c r="H312" s="32" t="inlineStr"/>
      <c r="I312" s="30" t="inlineStr"/>
      <c r="J312" s="30" t="inlineStr"/>
      <c r="K312" s="15">
        <f>IF(A312="","",SUMIFS('07_Nachtraege'!$E:$E,'07_Nachtraege'!$B:$B,C312,'07_Nachtraege'!$F:$F,"beauftragt"))</f>
        <v/>
      </c>
      <c r="L312" s="15">
        <f>IF(A312="","",F312+K312)</f>
        <v/>
      </c>
    </row>
    <row r="313">
      <c r="A313" s="30" t="inlineStr"/>
      <c r="B313" s="30" t="inlineStr"/>
      <c r="C313" s="30" t="inlineStr"/>
      <c r="D313" s="30" t="inlineStr"/>
      <c r="E313" s="38" t="inlineStr"/>
      <c r="F313" s="34" t="inlineStr"/>
      <c r="G313" s="30" t="inlineStr"/>
      <c r="H313" s="32" t="inlineStr"/>
      <c r="I313" s="30" t="inlineStr"/>
      <c r="J313" s="30" t="inlineStr"/>
      <c r="K313" s="15">
        <f>IF(A313="","",SUMIFS('07_Nachtraege'!$E:$E,'07_Nachtraege'!$B:$B,C313,'07_Nachtraege'!$F:$F,"beauftragt"))</f>
        <v/>
      </c>
      <c r="L313" s="15">
        <f>IF(A313="","",F313+K313)</f>
        <v/>
      </c>
    </row>
    <row r="314">
      <c r="A314" s="30" t="inlineStr"/>
      <c r="B314" s="30" t="inlineStr"/>
      <c r="C314" s="30" t="inlineStr"/>
      <c r="D314" s="30" t="inlineStr"/>
      <c r="E314" s="38" t="inlineStr"/>
      <c r="F314" s="34" t="inlineStr"/>
      <c r="G314" s="30" t="inlineStr"/>
      <c r="H314" s="32" t="inlineStr"/>
      <c r="I314" s="30" t="inlineStr"/>
      <c r="J314" s="30" t="inlineStr"/>
      <c r="K314" s="15">
        <f>IF(A314="","",SUMIFS('07_Nachtraege'!$E:$E,'07_Nachtraege'!$B:$B,C314,'07_Nachtraege'!$F:$F,"beauftragt"))</f>
        <v/>
      </c>
      <c r="L314" s="15">
        <f>IF(A314="","",F314+K314)</f>
        <v/>
      </c>
    </row>
    <row r="315">
      <c r="A315" s="30" t="inlineStr"/>
      <c r="B315" s="30" t="inlineStr"/>
      <c r="C315" s="30" t="inlineStr"/>
      <c r="D315" s="30" t="inlineStr"/>
      <c r="E315" s="38" t="inlineStr"/>
      <c r="F315" s="34" t="inlineStr"/>
      <c r="G315" s="30" t="inlineStr"/>
      <c r="H315" s="32" t="inlineStr"/>
      <c r="I315" s="30" t="inlineStr"/>
      <c r="J315" s="30" t="inlineStr"/>
      <c r="K315" s="15">
        <f>IF(A315="","",SUMIFS('07_Nachtraege'!$E:$E,'07_Nachtraege'!$B:$B,C315,'07_Nachtraege'!$F:$F,"beauftragt"))</f>
        <v/>
      </c>
      <c r="L315" s="15">
        <f>IF(A315="","",F315+K315)</f>
        <v/>
      </c>
    </row>
    <row r="316">
      <c r="A316" s="30" t="inlineStr"/>
      <c r="B316" s="30" t="inlineStr"/>
      <c r="C316" s="30" t="inlineStr"/>
      <c r="D316" s="30" t="inlineStr"/>
      <c r="E316" s="38" t="inlineStr"/>
      <c r="F316" s="34" t="inlineStr"/>
      <c r="G316" s="30" t="inlineStr"/>
      <c r="H316" s="32" t="inlineStr"/>
      <c r="I316" s="30" t="inlineStr"/>
      <c r="J316" s="30" t="inlineStr"/>
      <c r="K316" s="15">
        <f>IF(A316="","",SUMIFS('07_Nachtraege'!$E:$E,'07_Nachtraege'!$B:$B,C316,'07_Nachtraege'!$F:$F,"beauftragt"))</f>
        <v/>
      </c>
      <c r="L316" s="15">
        <f>IF(A316="","",F316+K316)</f>
        <v/>
      </c>
    </row>
    <row r="317">
      <c r="A317" s="30" t="inlineStr"/>
      <c r="B317" s="30" t="inlineStr"/>
      <c r="C317" s="30" t="inlineStr"/>
      <c r="D317" s="30" t="inlineStr"/>
      <c r="E317" s="38" t="inlineStr"/>
      <c r="F317" s="34" t="inlineStr"/>
      <c r="G317" s="30" t="inlineStr"/>
      <c r="H317" s="32" t="inlineStr"/>
      <c r="I317" s="30" t="inlineStr"/>
      <c r="J317" s="30" t="inlineStr"/>
      <c r="K317" s="15">
        <f>IF(A317="","",SUMIFS('07_Nachtraege'!$E:$E,'07_Nachtraege'!$B:$B,C317,'07_Nachtraege'!$F:$F,"beauftragt"))</f>
        <v/>
      </c>
      <c r="L317" s="15">
        <f>IF(A317="","",F317+K317)</f>
        <v/>
      </c>
    </row>
    <row r="318">
      <c r="A318" s="30" t="inlineStr"/>
      <c r="B318" s="30" t="inlineStr"/>
      <c r="C318" s="30" t="inlineStr"/>
      <c r="D318" s="30" t="inlineStr"/>
      <c r="E318" s="38" t="inlineStr"/>
      <c r="F318" s="34" t="inlineStr"/>
      <c r="G318" s="30" t="inlineStr"/>
      <c r="H318" s="32" t="inlineStr"/>
      <c r="I318" s="30" t="inlineStr"/>
      <c r="J318" s="30" t="inlineStr"/>
      <c r="K318" s="15">
        <f>IF(A318="","",SUMIFS('07_Nachtraege'!$E:$E,'07_Nachtraege'!$B:$B,C318,'07_Nachtraege'!$F:$F,"beauftragt"))</f>
        <v/>
      </c>
      <c r="L318" s="15">
        <f>IF(A318="","",F318+K318)</f>
        <v/>
      </c>
    </row>
    <row r="319">
      <c r="A319" s="30" t="inlineStr"/>
      <c r="B319" s="30" t="inlineStr"/>
      <c r="C319" s="30" t="inlineStr"/>
      <c r="D319" s="30" t="inlineStr"/>
      <c r="E319" s="38" t="inlineStr"/>
      <c r="F319" s="34" t="inlineStr"/>
      <c r="G319" s="30" t="inlineStr"/>
      <c r="H319" s="32" t="inlineStr"/>
      <c r="I319" s="30" t="inlineStr"/>
      <c r="J319" s="30" t="inlineStr"/>
      <c r="K319" s="15">
        <f>IF(A319="","",SUMIFS('07_Nachtraege'!$E:$E,'07_Nachtraege'!$B:$B,C319,'07_Nachtraege'!$F:$F,"beauftragt"))</f>
        <v/>
      </c>
      <c r="L319" s="15">
        <f>IF(A319="","",F319+K319)</f>
        <v/>
      </c>
    </row>
    <row r="320">
      <c r="A320" s="30" t="inlineStr"/>
      <c r="B320" s="30" t="inlineStr"/>
      <c r="C320" s="30" t="inlineStr"/>
      <c r="D320" s="30" t="inlineStr"/>
      <c r="E320" s="38" t="inlineStr"/>
      <c r="F320" s="34" t="inlineStr"/>
      <c r="G320" s="30" t="inlineStr"/>
      <c r="H320" s="32" t="inlineStr"/>
      <c r="I320" s="30" t="inlineStr"/>
      <c r="J320" s="30" t="inlineStr"/>
      <c r="K320" s="15">
        <f>IF(A320="","",SUMIFS('07_Nachtraege'!$E:$E,'07_Nachtraege'!$B:$B,C320,'07_Nachtraege'!$F:$F,"beauftragt"))</f>
        <v/>
      </c>
      <c r="L320" s="15">
        <f>IF(A320="","",F320+K320)</f>
        <v/>
      </c>
    </row>
    <row r="321">
      <c r="A321" s="30" t="inlineStr"/>
      <c r="B321" s="30" t="inlineStr"/>
      <c r="C321" s="30" t="inlineStr"/>
      <c r="D321" s="30" t="inlineStr"/>
      <c r="E321" s="38" t="inlineStr"/>
      <c r="F321" s="34" t="inlineStr"/>
      <c r="G321" s="30" t="inlineStr"/>
      <c r="H321" s="32" t="inlineStr"/>
      <c r="I321" s="30" t="inlineStr"/>
      <c r="J321" s="30" t="inlineStr"/>
      <c r="K321" s="15">
        <f>IF(A321="","",SUMIFS('07_Nachtraege'!$E:$E,'07_Nachtraege'!$B:$B,C321,'07_Nachtraege'!$F:$F,"beauftragt"))</f>
        <v/>
      </c>
      <c r="L321" s="15">
        <f>IF(A321="","",F321+K321)</f>
        <v/>
      </c>
    </row>
    <row r="322">
      <c r="A322" s="30" t="inlineStr"/>
      <c r="B322" s="30" t="inlineStr"/>
      <c r="C322" s="30" t="inlineStr"/>
      <c r="D322" s="30" t="inlineStr"/>
      <c r="E322" s="38" t="inlineStr"/>
      <c r="F322" s="34" t="inlineStr"/>
      <c r="G322" s="30" t="inlineStr"/>
      <c r="H322" s="32" t="inlineStr"/>
      <c r="I322" s="30" t="inlineStr"/>
      <c r="J322" s="30" t="inlineStr"/>
      <c r="K322" s="15">
        <f>IF(A322="","",SUMIFS('07_Nachtraege'!$E:$E,'07_Nachtraege'!$B:$B,C322,'07_Nachtraege'!$F:$F,"beauftragt"))</f>
        <v/>
      </c>
      <c r="L322" s="15">
        <f>IF(A322="","",F322+K322)</f>
        <v/>
      </c>
    </row>
    <row r="323">
      <c r="A323" s="30" t="inlineStr"/>
      <c r="B323" s="30" t="inlineStr"/>
      <c r="C323" s="30" t="inlineStr"/>
      <c r="D323" s="30" t="inlineStr"/>
      <c r="E323" s="38" t="inlineStr"/>
      <c r="F323" s="34" t="inlineStr"/>
      <c r="G323" s="30" t="inlineStr"/>
      <c r="H323" s="32" t="inlineStr"/>
      <c r="I323" s="30" t="inlineStr"/>
      <c r="J323" s="30" t="inlineStr"/>
      <c r="K323" s="15">
        <f>IF(A323="","",SUMIFS('07_Nachtraege'!$E:$E,'07_Nachtraege'!$B:$B,C323,'07_Nachtraege'!$F:$F,"beauftragt"))</f>
        <v/>
      </c>
      <c r="L323" s="15">
        <f>IF(A323="","",F323+K323)</f>
        <v/>
      </c>
    </row>
    <row r="324">
      <c r="A324" s="30" t="inlineStr"/>
      <c r="B324" s="30" t="inlineStr"/>
      <c r="C324" s="30" t="inlineStr"/>
      <c r="D324" s="30" t="inlineStr"/>
      <c r="E324" s="38" t="inlineStr"/>
      <c r="F324" s="34" t="inlineStr"/>
      <c r="G324" s="30" t="inlineStr"/>
      <c r="H324" s="32" t="inlineStr"/>
      <c r="I324" s="30" t="inlineStr"/>
      <c r="J324" s="30" t="inlineStr"/>
      <c r="K324" s="15">
        <f>IF(A324="","",SUMIFS('07_Nachtraege'!$E:$E,'07_Nachtraege'!$B:$B,C324,'07_Nachtraege'!$F:$F,"beauftragt"))</f>
        <v/>
      </c>
      <c r="L324" s="15">
        <f>IF(A324="","",F324+K324)</f>
        <v/>
      </c>
    </row>
    <row r="325">
      <c r="A325" s="30" t="inlineStr"/>
      <c r="B325" s="30" t="inlineStr"/>
      <c r="C325" s="30" t="inlineStr"/>
      <c r="D325" s="30" t="inlineStr"/>
      <c r="E325" s="38" t="inlineStr"/>
      <c r="F325" s="34" t="inlineStr"/>
      <c r="G325" s="30" t="inlineStr"/>
      <c r="H325" s="32" t="inlineStr"/>
      <c r="I325" s="30" t="inlineStr"/>
      <c r="J325" s="30" t="inlineStr"/>
      <c r="K325" s="15">
        <f>IF(A325="","",SUMIFS('07_Nachtraege'!$E:$E,'07_Nachtraege'!$B:$B,C325,'07_Nachtraege'!$F:$F,"beauftragt"))</f>
        <v/>
      </c>
      <c r="L325" s="15">
        <f>IF(A325="","",F325+K325)</f>
        <v/>
      </c>
    </row>
    <row r="326">
      <c r="A326" s="30" t="inlineStr"/>
      <c r="B326" s="30" t="inlineStr"/>
      <c r="C326" s="30" t="inlineStr"/>
      <c r="D326" s="30" t="inlineStr"/>
      <c r="E326" s="38" t="inlineStr"/>
      <c r="F326" s="34" t="inlineStr"/>
      <c r="G326" s="30" t="inlineStr"/>
      <c r="H326" s="32" t="inlineStr"/>
      <c r="I326" s="30" t="inlineStr"/>
      <c r="J326" s="30" t="inlineStr"/>
      <c r="K326" s="15">
        <f>IF(A326="","",SUMIFS('07_Nachtraege'!$E:$E,'07_Nachtraege'!$B:$B,C326,'07_Nachtraege'!$F:$F,"beauftragt"))</f>
        <v/>
      </c>
      <c r="L326" s="15">
        <f>IF(A326="","",F326+K326)</f>
        <v/>
      </c>
    </row>
    <row r="327">
      <c r="A327" s="30" t="inlineStr"/>
      <c r="B327" s="30" t="inlineStr"/>
      <c r="C327" s="30" t="inlineStr"/>
      <c r="D327" s="30" t="inlineStr"/>
      <c r="E327" s="38" t="inlineStr"/>
      <c r="F327" s="34" t="inlineStr"/>
      <c r="G327" s="30" t="inlineStr"/>
      <c r="H327" s="32" t="inlineStr"/>
      <c r="I327" s="30" t="inlineStr"/>
      <c r="J327" s="30" t="inlineStr"/>
      <c r="K327" s="15">
        <f>IF(A327="","",SUMIFS('07_Nachtraege'!$E:$E,'07_Nachtraege'!$B:$B,C327,'07_Nachtraege'!$F:$F,"beauftragt"))</f>
        <v/>
      </c>
      <c r="L327" s="15">
        <f>IF(A327="","",F327+K327)</f>
        <v/>
      </c>
    </row>
    <row r="328">
      <c r="A328" s="30" t="inlineStr"/>
      <c r="B328" s="30" t="inlineStr"/>
      <c r="C328" s="30" t="inlineStr"/>
      <c r="D328" s="30" t="inlineStr"/>
      <c r="E328" s="38" t="inlineStr"/>
      <c r="F328" s="34" t="inlineStr"/>
      <c r="G328" s="30" t="inlineStr"/>
      <c r="H328" s="32" t="inlineStr"/>
      <c r="I328" s="30" t="inlineStr"/>
      <c r="J328" s="30" t="inlineStr"/>
      <c r="K328" s="15">
        <f>IF(A328="","",SUMIFS('07_Nachtraege'!$E:$E,'07_Nachtraege'!$B:$B,C328,'07_Nachtraege'!$F:$F,"beauftragt"))</f>
        <v/>
      </c>
      <c r="L328" s="15">
        <f>IF(A328="","",F328+K328)</f>
        <v/>
      </c>
    </row>
    <row r="329">
      <c r="A329" s="30" t="inlineStr"/>
      <c r="B329" s="30" t="inlineStr"/>
      <c r="C329" s="30" t="inlineStr"/>
      <c r="D329" s="30" t="inlineStr"/>
      <c r="E329" s="38" t="inlineStr"/>
      <c r="F329" s="34" t="inlineStr"/>
      <c r="G329" s="30" t="inlineStr"/>
      <c r="H329" s="32" t="inlineStr"/>
      <c r="I329" s="30" t="inlineStr"/>
      <c r="J329" s="30" t="inlineStr"/>
      <c r="K329" s="15">
        <f>IF(A329="","",SUMIFS('07_Nachtraege'!$E:$E,'07_Nachtraege'!$B:$B,C329,'07_Nachtraege'!$F:$F,"beauftragt"))</f>
        <v/>
      </c>
      <c r="L329" s="15">
        <f>IF(A329="","",F329+K329)</f>
        <v/>
      </c>
    </row>
    <row r="330">
      <c r="A330" s="30" t="inlineStr"/>
      <c r="B330" s="30" t="inlineStr"/>
      <c r="C330" s="30" t="inlineStr"/>
      <c r="D330" s="30" t="inlineStr"/>
      <c r="E330" s="38" t="inlineStr"/>
      <c r="F330" s="34" t="inlineStr"/>
      <c r="G330" s="30" t="inlineStr"/>
      <c r="H330" s="32" t="inlineStr"/>
      <c r="I330" s="30" t="inlineStr"/>
      <c r="J330" s="30" t="inlineStr"/>
      <c r="K330" s="15">
        <f>IF(A330="","",SUMIFS('07_Nachtraege'!$E:$E,'07_Nachtraege'!$B:$B,C330,'07_Nachtraege'!$F:$F,"beauftragt"))</f>
        <v/>
      </c>
      <c r="L330" s="15">
        <f>IF(A330="","",F330+K330)</f>
        <v/>
      </c>
    </row>
    <row r="331">
      <c r="A331" s="30" t="inlineStr"/>
      <c r="B331" s="30" t="inlineStr"/>
      <c r="C331" s="30" t="inlineStr"/>
      <c r="D331" s="30" t="inlineStr"/>
      <c r="E331" s="38" t="inlineStr"/>
      <c r="F331" s="34" t="inlineStr"/>
      <c r="G331" s="30" t="inlineStr"/>
      <c r="H331" s="32" t="inlineStr"/>
      <c r="I331" s="30" t="inlineStr"/>
      <c r="J331" s="30" t="inlineStr"/>
      <c r="K331" s="15">
        <f>IF(A331="","",SUMIFS('07_Nachtraege'!$E:$E,'07_Nachtraege'!$B:$B,C331,'07_Nachtraege'!$F:$F,"beauftragt"))</f>
        <v/>
      </c>
      <c r="L331" s="15">
        <f>IF(A331="","",F331+K331)</f>
        <v/>
      </c>
    </row>
    <row r="332">
      <c r="A332" s="30" t="inlineStr"/>
      <c r="B332" s="30" t="inlineStr"/>
      <c r="C332" s="30" t="inlineStr"/>
      <c r="D332" s="30" t="inlineStr"/>
      <c r="E332" s="38" t="inlineStr"/>
      <c r="F332" s="34" t="inlineStr"/>
      <c r="G332" s="30" t="inlineStr"/>
      <c r="H332" s="32" t="inlineStr"/>
      <c r="I332" s="30" t="inlineStr"/>
      <c r="J332" s="30" t="inlineStr"/>
      <c r="K332" s="15">
        <f>IF(A332="","",SUMIFS('07_Nachtraege'!$E:$E,'07_Nachtraege'!$B:$B,C332,'07_Nachtraege'!$F:$F,"beauftragt"))</f>
        <v/>
      </c>
      <c r="L332" s="15">
        <f>IF(A332="","",F332+K332)</f>
        <v/>
      </c>
    </row>
    <row r="333">
      <c r="A333" s="30" t="inlineStr"/>
      <c r="B333" s="30" t="inlineStr"/>
      <c r="C333" s="30" t="inlineStr"/>
      <c r="D333" s="30" t="inlineStr"/>
      <c r="E333" s="38" t="inlineStr"/>
      <c r="F333" s="34" t="inlineStr"/>
      <c r="G333" s="30" t="inlineStr"/>
      <c r="H333" s="32" t="inlineStr"/>
      <c r="I333" s="30" t="inlineStr"/>
      <c r="J333" s="30" t="inlineStr"/>
      <c r="K333" s="15">
        <f>IF(A333="","",SUMIFS('07_Nachtraege'!$E:$E,'07_Nachtraege'!$B:$B,C333,'07_Nachtraege'!$F:$F,"beauftragt"))</f>
        <v/>
      </c>
      <c r="L333" s="15">
        <f>IF(A333="","",F333+K333)</f>
        <v/>
      </c>
    </row>
    <row r="334">
      <c r="A334" s="30" t="inlineStr"/>
      <c r="B334" s="30" t="inlineStr"/>
      <c r="C334" s="30" t="inlineStr"/>
      <c r="D334" s="30" t="inlineStr"/>
      <c r="E334" s="38" t="inlineStr"/>
      <c r="F334" s="34" t="inlineStr"/>
      <c r="G334" s="30" t="inlineStr"/>
      <c r="H334" s="32" t="inlineStr"/>
      <c r="I334" s="30" t="inlineStr"/>
      <c r="J334" s="30" t="inlineStr"/>
      <c r="K334" s="15">
        <f>IF(A334="","",SUMIFS('07_Nachtraege'!$E:$E,'07_Nachtraege'!$B:$B,C334,'07_Nachtraege'!$F:$F,"beauftragt"))</f>
        <v/>
      </c>
      <c r="L334" s="15">
        <f>IF(A334="","",F334+K334)</f>
        <v/>
      </c>
    </row>
    <row r="335">
      <c r="A335" s="30" t="inlineStr"/>
      <c r="B335" s="30" t="inlineStr"/>
      <c r="C335" s="30" t="inlineStr"/>
      <c r="D335" s="30" t="inlineStr"/>
      <c r="E335" s="38" t="inlineStr"/>
      <c r="F335" s="34" t="inlineStr"/>
      <c r="G335" s="30" t="inlineStr"/>
      <c r="H335" s="32" t="inlineStr"/>
      <c r="I335" s="30" t="inlineStr"/>
      <c r="J335" s="30" t="inlineStr"/>
      <c r="K335" s="15">
        <f>IF(A335="","",SUMIFS('07_Nachtraege'!$E:$E,'07_Nachtraege'!$B:$B,C335,'07_Nachtraege'!$F:$F,"beauftragt"))</f>
        <v/>
      </c>
      <c r="L335" s="15">
        <f>IF(A335="","",F335+K335)</f>
        <v/>
      </c>
    </row>
    <row r="336">
      <c r="A336" s="30" t="inlineStr"/>
      <c r="B336" s="30" t="inlineStr"/>
      <c r="C336" s="30" t="inlineStr"/>
      <c r="D336" s="30" t="inlineStr"/>
      <c r="E336" s="38" t="inlineStr"/>
      <c r="F336" s="34" t="inlineStr"/>
      <c r="G336" s="30" t="inlineStr"/>
      <c r="H336" s="32" t="inlineStr"/>
      <c r="I336" s="30" t="inlineStr"/>
      <c r="J336" s="30" t="inlineStr"/>
      <c r="K336" s="15">
        <f>IF(A336="","",SUMIFS('07_Nachtraege'!$E:$E,'07_Nachtraege'!$B:$B,C336,'07_Nachtraege'!$F:$F,"beauftragt"))</f>
        <v/>
      </c>
      <c r="L336" s="15">
        <f>IF(A336="","",F336+K336)</f>
        <v/>
      </c>
    </row>
    <row r="337">
      <c r="A337" s="30" t="inlineStr"/>
      <c r="B337" s="30" t="inlineStr"/>
      <c r="C337" s="30" t="inlineStr"/>
      <c r="D337" s="30" t="inlineStr"/>
      <c r="E337" s="38" t="inlineStr"/>
      <c r="F337" s="34" t="inlineStr"/>
      <c r="G337" s="30" t="inlineStr"/>
      <c r="H337" s="32" t="inlineStr"/>
      <c r="I337" s="30" t="inlineStr"/>
      <c r="J337" s="30" t="inlineStr"/>
      <c r="K337" s="15">
        <f>IF(A337="","",SUMIFS('07_Nachtraege'!$E:$E,'07_Nachtraege'!$B:$B,C337,'07_Nachtraege'!$F:$F,"beauftragt"))</f>
        <v/>
      </c>
      <c r="L337" s="15">
        <f>IF(A337="","",F337+K337)</f>
        <v/>
      </c>
    </row>
    <row r="338">
      <c r="A338" s="30" t="inlineStr"/>
      <c r="B338" s="30" t="inlineStr"/>
      <c r="C338" s="30" t="inlineStr"/>
      <c r="D338" s="30" t="inlineStr"/>
      <c r="E338" s="38" t="inlineStr"/>
      <c r="F338" s="34" t="inlineStr"/>
      <c r="G338" s="30" t="inlineStr"/>
      <c r="H338" s="32" t="inlineStr"/>
      <c r="I338" s="30" t="inlineStr"/>
      <c r="J338" s="30" t="inlineStr"/>
      <c r="K338" s="15">
        <f>IF(A338="","",SUMIFS('07_Nachtraege'!$E:$E,'07_Nachtraege'!$B:$B,C338,'07_Nachtraege'!$F:$F,"beauftragt"))</f>
        <v/>
      </c>
      <c r="L338" s="15">
        <f>IF(A338="","",F338+K338)</f>
        <v/>
      </c>
    </row>
    <row r="339">
      <c r="A339" s="30" t="inlineStr"/>
      <c r="B339" s="30" t="inlineStr"/>
      <c r="C339" s="30" t="inlineStr"/>
      <c r="D339" s="30" t="inlineStr"/>
      <c r="E339" s="38" t="inlineStr"/>
      <c r="F339" s="34" t="inlineStr"/>
      <c r="G339" s="30" t="inlineStr"/>
      <c r="H339" s="32" t="inlineStr"/>
      <c r="I339" s="30" t="inlineStr"/>
      <c r="J339" s="30" t="inlineStr"/>
      <c r="K339" s="15">
        <f>IF(A339="","",SUMIFS('07_Nachtraege'!$E:$E,'07_Nachtraege'!$B:$B,C339,'07_Nachtraege'!$F:$F,"beauftragt"))</f>
        <v/>
      </c>
      <c r="L339" s="15">
        <f>IF(A339="","",F339+K339)</f>
        <v/>
      </c>
    </row>
    <row r="340">
      <c r="A340" s="30" t="inlineStr"/>
      <c r="B340" s="30" t="inlineStr"/>
      <c r="C340" s="30" t="inlineStr"/>
      <c r="D340" s="30" t="inlineStr"/>
      <c r="E340" s="38" t="inlineStr"/>
      <c r="F340" s="34" t="inlineStr"/>
      <c r="G340" s="30" t="inlineStr"/>
      <c r="H340" s="32" t="inlineStr"/>
      <c r="I340" s="30" t="inlineStr"/>
      <c r="J340" s="30" t="inlineStr"/>
      <c r="K340" s="15">
        <f>IF(A340="","",SUMIFS('07_Nachtraege'!$E:$E,'07_Nachtraege'!$B:$B,C340,'07_Nachtraege'!$F:$F,"beauftragt"))</f>
        <v/>
      </c>
      <c r="L340" s="15">
        <f>IF(A340="","",F340+K340)</f>
        <v/>
      </c>
    </row>
    <row r="341">
      <c r="A341" s="30" t="inlineStr"/>
      <c r="B341" s="30" t="inlineStr"/>
      <c r="C341" s="30" t="inlineStr"/>
      <c r="D341" s="30" t="inlineStr"/>
      <c r="E341" s="38" t="inlineStr"/>
      <c r="F341" s="34" t="inlineStr"/>
      <c r="G341" s="30" t="inlineStr"/>
      <c r="H341" s="32" t="inlineStr"/>
      <c r="I341" s="30" t="inlineStr"/>
      <c r="J341" s="30" t="inlineStr"/>
      <c r="K341" s="15">
        <f>IF(A341="","",SUMIFS('07_Nachtraege'!$E:$E,'07_Nachtraege'!$B:$B,C341,'07_Nachtraege'!$F:$F,"beauftragt"))</f>
        <v/>
      </c>
      <c r="L341" s="15">
        <f>IF(A341="","",F341+K341)</f>
        <v/>
      </c>
    </row>
    <row r="342">
      <c r="A342" s="30" t="inlineStr"/>
      <c r="B342" s="30" t="inlineStr"/>
      <c r="C342" s="30" t="inlineStr"/>
      <c r="D342" s="30" t="inlineStr"/>
      <c r="E342" s="38" t="inlineStr"/>
      <c r="F342" s="34" t="inlineStr"/>
      <c r="G342" s="30" t="inlineStr"/>
      <c r="H342" s="32" t="inlineStr"/>
      <c r="I342" s="30" t="inlineStr"/>
      <c r="J342" s="30" t="inlineStr"/>
      <c r="K342" s="15">
        <f>IF(A342="","",SUMIFS('07_Nachtraege'!$E:$E,'07_Nachtraege'!$B:$B,C342,'07_Nachtraege'!$F:$F,"beauftragt"))</f>
        <v/>
      </c>
      <c r="L342" s="15">
        <f>IF(A342="","",F342+K342)</f>
        <v/>
      </c>
    </row>
    <row r="343">
      <c r="A343" s="30" t="inlineStr"/>
      <c r="B343" s="30" t="inlineStr"/>
      <c r="C343" s="30" t="inlineStr"/>
      <c r="D343" s="30" t="inlineStr"/>
      <c r="E343" s="38" t="inlineStr"/>
      <c r="F343" s="34" t="inlineStr"/>
      <c r="G343" s="30" t="inlineStr"/>
      <c r="H343" s="32" t="inlineStr"/>
      <c r="I343" s="30" t="inlineStr"/>
      <c r="J343" s="30" t="inlineStr"/>
      <c r="K343" s="15">
        <f>IF(A343="","",SUMIFS('07_Nachtraege'!$E:$E,'07_Nachtraege'!$B:$B,C343,'07_Nachtraege'!$F:$F,"beauftragt"))</f>
        <v/>
      </c>
      <c r="L343" s="15">
        <f>IF(A343="","",F343+K343)</f>
        <v/>
      </c>
    </row>
    <row r="344">
      <c r="A344" s="30" t="inlineStr"/>
      <c r="B344" s="30" t="inlineStr"/>
      <c r="C344" s="30" t="inlineStr"/>
      <c r="D344" s="30" t="inlineStr"/>
      <c r="E344" s="38" t="inlineStr"/>
      <c r="F344" s="34" t="inlineStr"/>
      <c r="G344" s="30" t="inlineStr"/>
      <c r="H344" s="32" t="inlineStr"/>
      <c r="I344" s="30" t="inlineStr"/>
      <c r="J344" s="30" t="inlineStr"/>
      <c r="K344" s="15">
        <f>IF(A344="","",SUMIFS('07_Nachtraege'!$E:$E,'07_Nachtraege'!$B:$B,C344,'07_Nachtraege'!$F:$F,"beauftragt"))</f>
        <v/>
      </c>
      <c r="L344" s="15">
        <f>IF(A344="","",F344+K344)</f>
        <v/>
      </c>
    </row>
    <row r="345">
      <c r="A345" s="30" t="inlineStr"/>
      <c r="B345" s="30" t="inlineStr"/>
      <c r="C345" s="30" t="inlineStr"/>
      <c r="D345" s="30" t="inlineStr"/>
      <c r="E345" s="38" t="inlineStr"/>
      <c r="F345" s="34" t="inlineStr"/>
      <c r="G345" s="30" t="inlineStr"/>
      <c r="H345" s="32" t="inlineStr"/>
      <c r="I345" s="30" t="inlineStr"/>
      <c r="J345" s="30" t="inlineStr"/>
      <c r="K345" s="15">
        <f>IF(A345="","",SUMIFS('07_Nachtraege'!$E:$E,'07_Nachtraege'!$B:$B,C345,'07_Nachtraege'!$F:$F,"beauftragt"))</f>
        <v/>
      </c>
      <c r="L345" s="15">
        <f>IF(A345="","",F345+K345)</f>
        <v/>
      </c>
    </row>
    <row r="346">
      <c r="A346" s="30" t="inlineStr"/>
      <c r="B346" s="30" t="inlineStr"/>
      <c r="C346" s="30" t="inlineStr"/>
      <c r="D346" s="30" t="inlineStr"/>
      <c r="E346" s="38" t="inlineStr"/>
      <c r="F346" s="34" t="inlineStr"/>
      <c r="G346" s="30" t="inlineStr"/>
      <c r="H346" s="32" t="inlineStr"/>
      <c r="I346" s="30" t="inlineStr"/>
      <c r="J346" s="30" t="inlineStr"/>
      <c r="K346" s="15">
        <f>IF(A346="","",SUMIFS('07_Nachtraege'!$E:$E,'07_Nachtraege'!$B:$B,C346,'07_Nachtraege'!$F:$F,"beauftragt"))</f>
        <v/>
      </c>
      <c r="L346" s="15">
        <f>IF(A346="","",F346+K346)</f>
        <v/>
      </c>
    </row>
    <row r="347">
      <c r="A347" s="30" t="inlineStr"/>
      <c r="B347" s="30" t="inlineStr"/>
      <c r="C347" s="30" t="inlineStr"/>
      <c r="D347" s="30" t="inlineStr"/>
      <c r="E347" s="38" t="inlineStr"/>
      <c r="F347" s="34" t="inlineStr"/>
      <c r="G347" s="30" t="inlineStr"/>
      <c r="H347" s="32" t="inlineStr"/>
      <c r="I347" s="30" t="inlineStr"/>
      <c r="J347" s="30" t="inlineStr"/>
      <c r="K347" s="15">
        <f>IF(A347="","",SUMIFS('07_Nachtraege'!$E:$E,'07_Nachtraege'!$B:$B,C347,'07_Nachtraege'!$F:$F,"beauftragt"))</f>
        <v/>
      </c>
      <c r="L347" s="15">
        <f>IF(A347="","",F347+K347)</f>
        <v/>
      </c>
    </row>
    <row r="348">
      <c r="A348" s="30" t="inlineStr"/>
      <c r="B348" s="30" t="inlineStr"/>
      <c r="C348" s="30" t="inlineStr"/>
      <c r="D348" s="30" t="inlineStr"/>
      <c r="E348" s="38" t="inlineStr"/>
      <c r="F348" s="34" t="inlineStr"/>
      <c r="G348" s="30" t="inlineStr"/>
      <c r="H348" s="32" t="inlineStr"/>
      <c r="I348" s="30" t="inlineStr"/>
      <c r="J348" s="30" t="inlineStr"/>
      <c r="K348" s="15">
        <f>IF(A348="","",SUMIFS('07_Nachtraege'!$E:$E,'07_Nachtraege'!$B:$B,C348,'07_Nachtraege'!$F:$F,"beauftragt"))</f>
        <v/>
      </c>
      <c r="L348" s="15">
        <f>IF(A348="","",F348+K348)</f>
        <v/>
      </c>
    </row>
    <row r="349">
      <c r="A349" s="30" t="inlineStr"/>
      <c r="B349" s="30" t="inlineStr"/>
      <c r="C349" s="30" t="inlineStr"/>
      <c r="D349" s="30" t="inlineStr"/>
      <c r="E349" s="38" t="inlineStr"/>
      <c r="F349" s="34" t="inlineStr"/>
      <c r="G349" s="30" t="inlineStr"/>
      <c r="H349" s="32" t="inlineStr"/>
      <c r="I349" s="30" t="inlineStr"/>
      <c r="J349" s="30" t="inlineStr"/>
      <c r="K349" s="15">
        <f>IF(A349="","",SUMIFS('07_Nachtraege'!$E:$E,'07_Nachtraege'!$B:$B,C349,'07_Nachtraege'!$F:$F,"beauftragt"))</f>
        <v/>
      </c>
      <c r="L349" s="15">
        <f>IF(A349="","",F349+K349)</f>
        <v/>
      </c>
    </row>
    <row r="350">
      <c r="A350" s="30" t="inlineStr"/>
      <c r="B350" s="30" t="inlineStr"/>
      <c r="C350" s="30" t="inlineStr"/>
      <c r="D350" s="30" t="inlineStr"/>
      <c r="E350" s="38" t="inlineStr"/>
      <c r="F350" s="34" t="inlineStr"/>
      <c r="G350" s="30" t="inlineStr"/>
      <c r="H350" s="32" t="inlineStr"/>
      <c r="I350" s="30" t="inlineStr"/>
      <c r="J350" s="30" t="inlineStr"/>
      <c r="K350" s="15">
        <f>IF(A350="","",SUMIFS('07_Nachtraege'!$E:$E,'07_Nachtraege'!$B:$B,C350,'07_Nachtraege'!$F:$F,"beauftragt"))</f>
        <v/>
      </c>
      <c r="L350" s="15">
        <f>IF(A350="","",F350+K350)</f>
        <v/>
      </c>
    </row>
    <row r="351">
      <c r="A351" s="30" t="inlineStr"/>
      <c r="B351" s="30" t="inlineStr"/>
      <c r="C351" s="30" t="inlineStr"/>
      <c r="D351" s="30" t="inlineStr"/>
      <c r="E351" s="38" t="inlineStr"/>
      <c r="F351" s="34" t="inlineStr"/>
      <c r="G351" s="30" t="inlineStr"/>
      <c r="H351" s="32" t="inlineStr"/>
      <c r="I351" s="30" t="inlineStr"/>
      <c r="J351" s="30" t="inlineStr"/>
      <c r="K351" s="15">
        <f>IF(A351="","",SUMIFS('07_Nachtraege'!$E:$E,'07_Nachtraege'!$B:$B,C351,'07_Nachtraege'!$F:$F,"beauftragt"))</f>
        <v/>
      </c>
      <c r="L351" s="15">
        <f>IF(A351="","",F351+K351)</f>
        <v/>
      </c>
    </row>
    <row r="352">
      <c r="A352" s="30" t="inlineStr"/>
      <c r="B352" s="30" t="inlineStr"/>
      <c r="C352" s="30" t="inlineStr"/>
      <c r="D352" s="30" t="inlineStr"/>
      <c r="E352" s="38" t="inlineStr"/>
      <c r="F352" s="34" t="inlineStr"/>
      <c r="G352" s="30" t="inlineStr"/>
      <c r="H352" s="32" t="inlineStr"/>
      <c r="I352" s="30" t="inlineStr"/>
      <c r="J352" s="30" t="inlineStr"/>
      <c r="K352" s="15">
        <f>IF(A352="","",SUMIFS('07_Nachtraege'!$E:$E,'07_Nachtraege'!$B:$B,C352,'07_Nachtraege'!$F:$F,"beauftragt"))</f>
        <v/>
      </c>
      <c r="L352" s="15">
        <f>IF(A352="","",F352+K352)</f>
        <v/>
      </c>
    </row>
    <row r="353">
      <c r="A353" s="30" t="inlineStr"/>
      <c r="B353" s="30" t="inlineStr"/>
      <c r="C353" s="30" t="inlineStr"/>
      <c r="D353" s="30" t="inlineStr"/>
      <c r="E353" s="38" t="inlineStr"/>
      <c r="F353" s="34" t="inlineStr"/>
      <c r="G353" s="30" t="inlineStr"/>
      <c r="H353" s="32" t="inlineStr"/>
      <c r="I353" s="30" t="inlineStr"/>
      <c r="J353" s="30" t="inlineStr"/>
      <c r="K353" s="15">
        <f>IF(A353="","",SUMIFS('07_Nachtraege'!$E:$E,'07_Nachtraege'!$B:$B,C353,'07_Nachtraege'!$F:$F,"beauftragt"))</f>
        <v/>
      </c>
      <c r="L353" s="15">
        <f>IF(A353="","",F353+K353)</f>
        <v/>
      </c>
    </row>
    <row r="354">
      <c r="A354" s="30" t="inlineStr"/>
      <c r="B354" s="30" t="inlineStr"/>
      <c r="C354" s="30" t="inlineStr"/>
      <c r="D354" s="30" t="inlineStr"/>
      <c r="E354" s="38" t="inlineStr"/>
      <c r="F354" s="34" t="inlineStr"/>
      <c r="G354" s="30" t="inlineStr"/>
      <c r="H354" s="32" t="inlineStr"/>
      <c r="I354" s="30" t="inlineStr"/>
      <c r="J354" s="30" t="inlineStr"/>
      <c r="K354" s="15">
        <f>IF(A354="","",SUMIFS('07_Nachtraege'!$E:$E,'07_Nachtraege'!$B:$B,C354,'07_Nachtraege'!$F:$F,"beauftragt"))</f>
        <v/>
      </c>
      <c r="L354" s="15">
        <f>IF(A354="","",F354+K354)</f>
        <v/>
      </c>
    </row>
    <row r="355">
      <c r="A355" s="30" t="inlineStr"/>
      <c r="B355" s="30" t="inlineStr"/>
      <c r="C355" s="30" t="inlineStr"/>
      <c r="D355" s="30" t="inlineStr"/>
      <c r="E355" s="38" t="inlineStr"/>
      <c r="F355" s="34" t="inlineStr"/>
      <c r="G355" s="30" t="inlineStr"/>
      <c r="H355" s="32" t="inlineStr"/>
      <c r="I355" s="30" t="inlineStr"/>
      <c r="J355" s="30" t="inlineStr"/>
      <c r="K355" s="15">
        <f>IF(A355="","",SUMIFS('07_Nachtraege'!$E:$E,'07_Nachtraege'!$B:$B,C355,'07_Nachtraege'!$F:$F,"beauftragt"))</f>
        <v/>
      </c>
      <c r="L355" s="15">
        <f>IF(A355="","",F355+K355)</f>
        <v/>
      </c>
    </row>
    <row r="356">
      <c r="A356" s="30" t="inlineStr"/>
      <c r="B356" s="30" t="inlineStr"/>
      <c r="C356" s="30" t="inlineStr"/>
      <c r="D356" s="30" t="inlineStr"/>
      <c r="E356" s="38" t="inlineStr"/>
      <c r="F356" s="34" t="inlineStr"/>
      <c r="G356" s="30" t="inlineStr"/>
      <c r="H356" s="32" t="inlineStr"/>
      <c r="I356" s="30" t="inlineStr"/>
      <c r="J356" s="30" t="inlineStr"/>
      <c r="K356" s="15">
        <f>IF(A356="","",SUMIFS('07_Nachtraege'!$E:$E,'07_Nachtraege'!$B:$B,C356,'07_Nachtraege'!$F:$F,"beauftragt"))</f>
        <v/>
      </c>
      <c r="L356" s="15">
        <f>IF(A356="","",F356+K356)</f>
        <v/>
      </c>
    </row>
    <row r="357">
      <c r="A357" s="30" t="inlineStr"/>
      <c r="B357" s="30" t="inlineStr"/>
      <c r="C357" s="30" t="inlineStr"/>
      <c r="D357" s="30" t="inlineStr"/>
      <c r="E357" s="38" t="inlineStr"/>
      <c r="F357" s="34" t="inlineStr"/>
      <c r="G357" s="30" t="inlineStr"/>
      <c r="H357" s="32" t="inlineStr"/>
      <c r="I357" s="30" t="inlineStr"/>
      <c r="J357" s="30" t="inlineStr"/>
      <c r="K357" s="15">
        <f>IF(A357="","",SUMIFS('07_Nachtraege'!$E:$E,'07_Nachtraege'!$B:$B,C357,'07_Nachtraege'!$F:$F,"beauftragt"))</f>
        <v/>
      </c>
      <c r="L357" s="15">
        <f>IF(A357="","",F357+K357)</f>
        <v/>
      </c>
    </row>
    <row r="358">
      <c r="A358" s="30" t="inlineStr"/>
      <c r="B358" s="30" t="inlineStr"/>
      <c r="C358" s="30" t="inlineStr"/>
      <c r="D358" s="30" t="inlineStr"/>
      <c r="E358" s="38" t="inlineStr"/>
      <c r="F358" s="34" t="inlineStr"/>
      <c r="G358" s="30" t="inlineStr"/>
      <c r="H358" s="32" t="inlineStr"/>
      <c r="I358" s="30" t="inlineStr"/>
      <c r="J358" s="30" t="inlineStr"/>
      <c r="K358" s="15">
        <f>IF(A358="","",SUMIFS('07_Nachtraege'!$E:$E,'07_Nachtraege'!$B:$B,C358,'07_Nachtraege'!$F:$F,"beauftragt"))</f>
        <v/>
      </c>
      <c r="L358" s="15">
        <f>IF(A358="","",F358+K358)</f>
        <v/>
      </c>
    </row>
    <row r="359">
      <c r="A359" s="30" t="inlineStr"/>
      <c r="B359" s="30" t="inlineStr"/>
      <c r="C359" s="30" t="inlineStr"/>
      <c r="D359" s="30" t="inlineStr"/>
      <c r="E359" s="38" t="inlineStr"/>
      <c r="F359" s="34" t="inlineStr"/>
      <c r="G359" s="30" t="inlineStr"/>
      <c r="H359" s="32" t="inlineStr"/>
      <c r="I359" s="30" t="inlineStr"/>
      <c r="J359" s="30" t="inlineStr"/>
      <c r="K359" s="15">
        <f>IF(A359="","",SUMIFS('07_Nachtraege'!$E:$E,'07_Nachtraege'!$B:$B,C359,'07_Nachtraege'!$F:$F,"beauftragt"))</f>
        <v/>
      </c>
      <c r="L359" s="15">
        <f>IF(A359="","",F359+K359)</f>
        <v/>
      </c>
    </row>
    <row r="360">
      <c r="A360" s="30" t="inlineStr"/>
      <c r="B360" s="30" t="inlineStr"/>
      <c r="C360" s="30" t="inlineStr"/>
      <c r="D360" s="30" t="inlineStr"/>
      <c r="E360" s="38" t="inlineStr"/>
      <c r="F360" s="34" t="inlineStr"/>
      <c r="G360" s="30" t="inlineStr"/>
      <c r="H360" s="32" t="inlineStr"/>
      <c r="I360" s="30" t="inlineStr"/>
      <c r="J360" s="30" t="inlineStr"/>
      <c r="K360" s="15">
        <f>IF(A360="","",SUMIFS('07_Nachtraege'!$E:$E,'07_Nachtraege'!$B:$B,C360,'07_Nachtraege'!$F:$F,"beauftragt"))</f>
        <v/>
      </c>
      <c r="L360" s="15">
        <f>IF(A360="","",F360+K360)</f>
        <v/>
      </c>
    </row>
    <row r="361">
      <c r="A361" s="30" t="inlineStr"/>
      <c r="B361" s="30" t="inlineStr"/>
      <c r="C361" s="30" t="inlineStr"/>
      <c r="D361" s="30" t="inlineStr"/>
      <c r="E361" s="38" t="inlineStr"/>
      <c r="F361" s="34" t="inlineStr"/>
      <c r="G361" s="30" t="inlineStr"/>
      <c r="H361" s="32" t="inlineStr"/>
      <c r="I361" s="30" t="inlineStr"/>
      <c r="J361" s="30" t="inlineStr"/>
      <c r="K361" s="15">
        <f>IF(A361="","",SUMIFS('07_Nachtraege'!$E:$E,'07_Nachtraege'!$B:$B,C361,'07_Nachtraege'!$F:$F,"beauftragt"))</f>
        <v/>
      </c>
      <c r="L361" s="15">
        <f>IF(A361="","",F361+K361)</f>
        <v/>
      </c>
    </row>
    <row r="362">
      <c r="A362" s="30" t="inlineStr"/>
      <c r="B362" s="30" t="inlineStr"/>
      <c r="C362" s="30" t="inlineStr"/>
      <c r="D362" s="30" t="inlineStr"/>
      <c r="E362" s="38" t="inlineStr"/>
      <c r="F362" s="34" t="inlineStr"/>
      <c r="G362" s="30" t="inlineStr"/>
      <c r="H362" s="32" t="inlineStr"/>
      <c r="I362" s="30" t="inlineStr"/>
      <c r="J362" s="30" t="inlineStr"/>
      <c r="K362" s="15">
        <f>IF(A362="","",SUMIFS('07_Nachtraege'!$E:$E,'07_Nachtraege'!$B:$B,C362,'07_Nachtraege'!$F:$F,"beauftragt"))</f>
        <v/>
      </c>
      <c r="L362" s="15">
        <f>IF(A362="","",F362+K362)</f>
        <v/>
      </c>
    </row>
    <row r="363">
      <c r="A363" s="30" t="inlineStr"/>
      <c r="B363" s="30" t="inlineStr"/>
      <c r="C363" s="30" t="inlineStr"/>
      <c r="D363" s="30" t="inlineStr"/>
      <c r="E363" s="38" t="inlineStr"/>
      <c r="F363" s="34" t="inlineStr"/>
      <c r="G363" s="30" t="inlineStr"/>
      <c r="H363" s="32" t="inlineStr"/>
      <c r="I363" s="30" t="inlineStr"/>
      <c r="J363" s="30" t="inlineStr"/>
      <c r="K363" s="15">
        <f>IF(A363="","",SUMIFS('07_Nachtraege'!$E:$E,'07_Nachtraege'!$B:$B,C363,'07_Nachtraege'!$F:$F,"beauftragt"))</f>
        <v/>
      </c>
      <c r="L363" s="15">
        <f>IF(A363="","",F363+K363)</f>
        <v/>
      </c>
    </row>
    <row r="364">
      <c r="A364" s="30" t="inlineStr"/>
      <c r="B364" s="30" t="inlineStr"/>
      <c r="C364" s="30" t="inlineStr"/>
      <c r="D364" s="30" t="inlineStr"/>
      <c r="E364" s="38" t="inlineStr"/>
      <c r="F364" s="34" t="inlineStr"/>
      <c r="G364" s="30" t="inlineStr"/>
      <c r="H364" s="32" t="inlineStr"/>
      <c r="I364" s="30" t="inlineStr"/>
      <c r="J364" s="30" t="inlineStr"/>
      <c r="K364" s="15">
        <f>IF(A364="","",SUMIFS('07_Nachtraege'!$E:$E,'07_Nachtraege'!$B:$B,C364,'07_Nachtraege'!$F:$F,"beauftragt"))</f>
        <v/>
      </c>
      <c r="L364" s="15">
        <f>IF(A364="","",F364+K364)</f>
        <v/>
      </c>
    </row>
    <row r="365">
      <c r="A365" s="30" t="inlineStr"/>
      <c r="B365" s="30" t="inlineStr"/>
      <c r="C365" s="30" t="inlineStr"/>
      <c r="D365" s="30" t="inlineStr"/>
      <c r="E365" s="38" t="inlineStr"/>
      <c r="F365" s="34" t="inlineStr"/>
      <c r="G365" s="30" t="inlineStr"/>
      <c r="H365" s="32" t="inlineStr"/>
      <c r="I365" s="30" t="inlineStr"/>
      <c r="J365" s="30" t="inlineStr"/>
      <c r="K365" s="15">
        <f>IF(A365="","",SUMIFS('07_Nachtraege'!$E:$E,'07_Nachtraege'!$B:$B,C365,'07_Nachtraege'!$F:$F,"beauftragt"))</f>
        <v/>
      </c>
      <c r="L365" s="15">
        <f>IF(A365="","",F365+K365)</f>
        <v/>
      </c>
    </row>
    <row r="366">
      <c r="A366" s="30" t="inlineStr"/>
      <c r="B366" s="30" t="inlineStr"/>
      <c r="C366" s="30" t="inlineStr"/>
      <c r="D366" s="30" t="inlineStr"/>
      <c r="E366" s="38" t="inlineStr"/>
      <c r="F366" s="34" t="inlineStr"/>
      <c r="G366" s="30" t="inlineStr"/>
      <c r="H366" s="32" t="inlineStr"/>
      <c r="I366" s="30" t="inlineStr"/>
      <c r="J366" s="30" t="inlineStr"/>
      <c r="K366" s="15">
        <f>IF(A366="","",SUMIFS('07_Nachtraege'!$E:$E,'07_Nachtraege'!$B:$B,C366,'07_Nachtraege'!$F:$F,"beauftragt"))</f>
        <v/>
      </c>
      <c r="L366" s="15">
        <f>IF(A366="","",F366+K366)</f>
        <v/>
      </c>
    </row>
    <row r="367">
      <c r="A367" s="30" t="inlineStr"/>
      <c r="B367" s="30" t="inlineStr"/>
      <c r="C367" s="30" t="inlineStr"/>
      <c r="D367" s="30" t="inlineStr"/>
      <c r="E367" s="38" t="inlineStr"/>
      <c r="F367" s="34" t="inlineStr"/>
      <c r="G367" s="30" t="inlineStr"/>
      <c r="H367" s="32" t="inlineStr"/>
      <c r="I367" s="30" t="inlineStr"/>
      <c r="J367" s="30" t="inlineStr"/>
      <c r="K367" s="15">
        <f>IF(A367="","",SUMIFS('07_Nachtraege'!$E:$E,'07_Nachtraege'!$B:$B,C367,'07_Nachtraege'!$F:$F,"beauftragt"))</f>
        <v/>
      </c>
      <c r="L367" s="15">
        <f>IF(A367="","",F367+K367)</f>
        <v/>
      </c>
    </row>
    <row r="368">
      <c r="A368" s="30" t="inlineStr"/>
      <c r="B368" s="30" t="inlineStr"/>
      <c r="C368" s="30" t="inlineStr"/>
      <c r="D368" s="30" t="inlineStr"/>
      <c r="E368" s="38" t="inlineStr"/>
      <c r="F368" s="34" t="inlineStr"/>
      <c r="G368" s="30" t="inlineStr"/>
      <c r="H368" s="32" t="inlineStr"/>
      <c r="I368" s="30" t="inlineStr"/>
      <c r="J368" s="30" t="inlineStr"/>
      <c r="K368" s="15">
        <f>IF(A368="","",SUMIFS('07_Nachtraege'!$E:$E,'07_Nachtraege'!$B:$B,C368,'07_Nachtraege'!$F:$F,"beauftragt"))</f>
        <v/>
      </c>
      <c r="L368" s="15">
        <f>IF(A368="","",F368+K368)</f>
        <v/>
      </c>
    </row>
    <row r="369">
      <c r="A369" s="30" t="inlineStr"/>
      <c r="B369" s="30" t="inlineStr"/>
      <c r="C369" s="30" t="inlineStr"/>
      <c r="D369" s="30" t="inlineStr"/>
      <c r="E369" s="38" t="inlineStr"/>
      <c r="F369" s="34" t="inlineStr"/>
      <c r="G369" s="30" t="inlineStr"/>
      <c r="H369" s="32" t="inlineStr"/>
      <c r="I369" s="30" t="inlineStr"/>
      <c r="J369" s="30" t="inlineStr"/>
      <c r="K369" s="15">
        <f>IF(A369="","",SUMIFS('07_Nachtraege'!$E:$E,'07_Nachtraege'!$B:$B,C369,'07_Nachtraege'!$F:$F,"beauftragt"))</f>
        <v/>
      </c>
      <c r="L369" s="15">
        <f>IF(A369="","",F369+K369)</f>
        <v/>
      </c>
    </row>
    <row r="370">
      <c r="A370" s="30" t="inlineStr"/>
      <c r="B370" s="30" t="inlineStr"/>
      <c r="C370" s="30" t="inlineStr"/>
      <c r="D370" s="30" t="inlineStr"/>
      <c r="E370" s="38" t="inlineStr"/>
      <c r="F370" s="34" t="inlineStr"/>
      <c r="G370" s="30" t="inlineStr"/>
      <c r="H370" s="32" t="inlineStr"/>
      <c r="I370" s="30" t="inlineStr"/>
      <c r="J370" s="30" t="inlineStr"/>
      <c r="K370" s="15">
        <f>IF(A370="","",SUMIFS('07_Nachtraege'!$E:$E,'07_Nachtraege'!$B:$B,C370,'07_Nachtraege'!$F:$F,"beauftragt"))</f>
        <v/>
      </c>
      <c r="L370" s="15">
        <f>IF(A370="","",F370+K370)</f>
        <v/>
      </c>
    </row>
    <row r="371">
      <c r="A371" s="30" t="inlineStr"/>
      <c r="B371" s="30" t="inlineStr"/>
      <c r="C371" s="30" t="inlineStr"/>
      <c r="D371" s="30" t="inlineStr"/>
      <c r="E371" s="38" t="inlineStr"/>
      <c r="F371" s="34" t="inlineStr"/>
      <c r="G371" s="30" t="inlineStr"/>
      <c r="H371" s="32" t="inlineStr"/>
      <c r="I371" s="30" t="inlineStr"/>
      <c r="J371" s="30" t="inlineStr"/>
      <c r="K371" s="15">
        <f>IF(A371="","",SUMIFS('07_Nachtraege'!$E:$E,'07_Nachtraege'!$B:$B,C371,'07_Nachtraege'!$F:$F,"beauftragt"))</f>
        <v/>
      </c>
      <c r="L371" s="15">
        <f>IF(A371="","",F371+K371)</f>
        <v/>
      </c>
    </row>
    <row r="372">
      <c r="A372" s="30" t="inlineStr"/>
      <c r="B372" s="30" t="inlineStr"/>
      <c r="C372" s="30" t="inlineStr"/>
      <c r="D372" s="30" t="inlineStr"/>
      <c r="E372" s="38" t="inlineStr"/>
      <c r="F372" s="34" t="inlineStr"/>
      <c r="G372" s="30" t="inlineStr"/>
      <c r="H372" s="32" t="inlineStr"/>
      <c r="I372" s="30" t="inlineStr"/>
      <c r="J372" s="30" t="inlineStr"/>
      <c r="K372" s="15">
        <f>IF(A372="","",SUMIFS('07_Nachtraege'!$E:$E,'07_Nachtraege'!$B:$B,C372,'07_Nachtraege'!$F:$F,"beauftragt"))</f>
        <v/>
      </c>
      <c r="L372" s="15">
        <f>IF(A372="","",F372+K372)</f>
        <v/>
      </c>
    </row>
    <row r="373">
      <c r="A373" s="30" t="inlineStr"/>
      <c r="B373" s="30" t="inlineStr"/>
      <c r="C373" s="30" t="inlineStr"/>
      <c r="D373" s="30" t="inlineStr"/>
      <c r="E373" s="38" t="inlineStr"/>
      <c r="F373" s="34" t="inlineStr"/>
      <c r="G373" s="30" t="inlineStr"/>
      <c r="H373" s="32" t="inlineStr"/>
      <c r="I373" s="30" t="inlineStr"/>
      <c r="J373" s="30" t="inlineStr"/>
      <c r="K373" s="15">
        <f>IF(A373="","",SUMIFS('07_Nachtraege'!$E:$E,'07_Nachtraege'!$B:$B,C373,'07_Nachtraege'!$F:$F,"beauftragt"))</f>
        <v/>
      </c>
      <c r="L373" s="15">
        <f>IF(A373="","",F373+K373)</f>
        <v/>
      </c>
    </row>
    <row r="374">
      <c r="A374" s="30" t="inlineStr"/>
      <c r="B374" s="30" t="inlineStr"/>
      <c r="C374" s="30" t="inlineStr"/>
      <c r="D374" s="30" t="inlineStr"/>
      <c r="E374" s="38" t="inlineStr"/>
      <c r="F374" s="34" t="inlineStr"/>
      <c r="G374" s="30" t="inlineStr"/>
      <c r="H374" s="32" t="inlineStr"/>
      <c r="I374" s="30" t="inlineStr"/>
      <c r="J374" s="30" t="inlineStr"/>
      <c r="K374" s="15">
        <f>IF(A374="","",SUMIFS('07_Nachtraege'!$E:$E,'07_Nachtraege'!$B:$B,C374,'07_Nachtraege'!$F:$F,"beauftragt"))</f>
        <v/>
      </c>
      <c r="L374" s="15">
        <f>IF(A374="","",F374+K374)</f>
        <v/>
      </c>
    </row>
    <row r="375">
      <c r="A375" s="30" t="inlineStr"/>
      <c r="B375" s="30" t="inlineStr"/>
      <c r="C375" s="30" t="inlineStr"/>
      <c r="D375" s="30" t="inlineStr"/>
      <c r="E375" s="38" t="inlineStr"/>
      <c r="F375" s="34" t="inlineStr"/>
      <c r="G375" s="30" t="inlineStr"/>
      <c r="H375" s="32" t="inlineStr"/>
      <c r="I375" s="30" t="inlineStr"/>
      <c r="J375" s="30" t="inlineStr"/>
      <c r="K375" s="15">
        <f>IF(A375="","",SUMIFS('07_Nachtraege'!$E:$E,'07_Nachtraege'!$B:$B,C375,'07_Nachtraege'!$F:$F,"beauftragt"))</f>
        <v/>
      </c>
      <c r="L375" s="15">
        <f>IF(A375="","",F375+K375)</f>
        <v/>
      </c>
    </row>
    <row r="376">
      <c r="A376" s="30" t="inlineStr"/>
      <c r="B376" s="30" t="inlineStr"/>
      <c r="C376" s="30" t="inlineStr"/>
      <c r="D376" s="30" t="inlineStr"/>
      <c r="E376" s="38" t="inlineStr"/>
      <c r="F376" s="34" t="inlineStr"/>
      <c r="G376" s="30" t="inlineStr"/>
      <c r="H376" s="32" t="inlineStr"/>
      <c r="I376" s="30" t="inlineStr"/>
      <c r="J376" s="30" t="inlineStr"/>
      <c r="K376" s="15">
        <f>IF(A376="","",SUMIFS('07_Nachtraege'!$E:$E,'07_Nachtraege'!$B:$B,C376,'07_Nachtraege'!$F:$F,"beauftragt"))</f>
        <v/>
      </c>
      <c r="L376" s="15">
        <f>IF(A376="","",F376+K376)</f>
        <v/>
      </c>
    </row>
    <row r="377">
      <c r="A377" s="30" t="inlineStr"/>
      <c r="B377" s="30" t="inlineStr"/>
      <c r="C377" s="30" t="inlineStr"/>
      <c r="D377" s="30" t="inlineStr"/>
      <c r="E377" s="38" t="inlineStr"/>
      <c r="F377" s="34" t="inlineStr"/>
      <c r="G377" s="30" t="inlineStr"/>
      <c r="H377" s="32" t="inlineStr"/>
      <c r="I377" s="30" t="inlineStr"/>
      <c r="J377" s="30" t="inlineStr"/>
      <c r="K377" s="15">
        <f>IF(A377="","",SUMIFS('07_Nachtraege'!$E:$E,'07_Nachtraege'!$B:$B,C377,'07_Nachtraege'!$F:$F,"beauftragt"))</f>
        <v/>
      </c>
      <c r="L377" s="15">
        <f>IF(A377="","",F377+K377)</f>
        <v/>
      </c>
    </row>
    <row r="378">
      <c r="A378" s="30" t="inlineStr"/>
      <c r="B378" s="30" t="inlineStr"/>
      <c r="C378" s="30" t="inlineStr"/>
      <c r="D378" s="30" t="inlineStr"/>
      <c r="E378" s="38" t="inlineStr"/>
      <c r="F378" s="34" t="inlineStr"/>
      <c r="G378" s="30" t="inlineStr"/>
      <c r="H378" s="32" t="inlineStr"/>
      <c r="I378" s="30" t="inlineStr"/>
      <c r="J378" s="30" t="inlineStr"/>
      <c r="K378" s="15">
        <f>IF(A378="","",SUMIFS('07_Nachtraege'!$E:$E,'07_Nachtraege'!$B:$B,C378,'07_Nachtraege'!$F:$F,"beauftragt"))</f>
        <v/>
      </c>
      <c r="L378" s="15">
        <f>IF(A378="","",F378+K378)</f>
        <v/>
      </c>
    </row>
    <row r="379">
      <c r="A379" s="30" t="inlineStr"/>
      <c r="B379" s="30" t="inlineStr"/>
      <c r="C379" s="30" t="inlineStr"/>
      <c r="D379" s="30" t="inlineStr"/>
      <c r="E379" s="38" t="inlineStr"/>
      <c r="F379" s="34" t="inlineStr"/>
      <c r="G379" s="30" t="inlineStr"/>
      <c r="H379" s="32" t="inlineStr"/>
      <c r="I379" s="30" t="inlineStr"/>
      <c r="J379" s="30" t="inlineStr"/>
      <c r="K379" s="15">
        <f>IF(A379="","",SUMIFS('07_Nachtraege'!$E:$E,'07_Nachtraege'!$B:$B,C379,'07_Nachtraege'!$F:$F,"beauftragt"))</f>
        <v/>
      </c>
      <c r="L379" s="15">
        <f>IF(A379="","",F379+K379)</f>
        <v/>
      </c>
    </row>
    <row r="380">
      <c r="A380" s="30" t="inlineStr"/>
      <c r="B380" s="30" t="inlineStr"/>
      <c r="C380" s="30" t="inlineStr"/>
      <c r="D380" s="30" t="inlineStr"/>
      <c r="E380" s="38" t="inlineStr"/>
      <c r="F380" s="34" t="inlineStr"/>
      <c r="G380" s="30" t="inlineStr"/>
      <c r="H380" s="32" t="inlineStr"/>
      <c r="I380" s="30" t="inlineStr"/>
      <c r="J380" s="30" t="inlineStr"/>
      <c r="K380" s="15">
        <f>IF(A380="","",SUMIFS('07_Nachtraege'!$E:$E,'07_Nachtraege'!$B:$B,C380,'07_Nachtraege'!$F:$F,"beauftragt"))</f>
        <v/>
      </c>
      <c r="L380" s="15">
        <f>IF(A380="","",F380+K380)</f>
        <v/>
      </c>
    </row>
    <row r="381">
      <c r="A381" s="30" t="inlineStr"/>
      <c r="B381" s="30" t="inlineStr"/>
      <c r="C381" s="30" t="inlineStr"/>
      <c r="D381" s="30" t="inlineStr"/>
      <c r="E381" s="38" t="inlineStr"/>
      <c r="F381" s="34" t="inlineStr"/>
      <c r="G381" s="30" t="inlineStr"/>
      <c r="H381" s="32" t="inlineStr"/>
      <c r="I381" s="30" t="inlineStr"/>
      <c r="J381" s="30" t="inlineStr"/>
      <c r="K381" s="15">
        <f>IF(A381="","",SUMIFS('07_Nachtraege'!$E:$E,'07_Nachtraege'!$B:$B,C381,'07_Nachtraege'!$F:$F,"beauftragt"))</f>
        <v/>
      </c>
      <c r="L381" s="15">
        <f>IF(A381="","",F381+K381)</f>
        <v/>
      </c>
    </row>
    <row r="382">
      <c r="A382" s="30" t="inlineStr"/>
      <c r="B382" s="30" t="inlineStr"/>
      <c r="C382" s="30" t="inlineStr"/>
      <c r="D382" s="30" t="inlineStr"/>
      <c r="E382" s="38" t="inlineStr"/>
      <c r="F382" s="34" t="inlineStr"/>
      <c r="G382" s="30" t="inlineStr"/>
      <c r="H382" s="32" t="inlineStr"/>
      <c r="I382" s="30" t="inlineStr"/>
      <c r="J382" s="30" t="inlineStr"/>
      <c r="K382" s="15">
        <f>IF(A382="","",SUMIFS('07_Nachtraege'!$E:$E,'07_Nachtraege'!$B:$B,C382,'07_Nachtraege'!$F:$F,"beauftragt"))</f>
        <v/>
      </c>
      <c r="L382" s="15">
        <f>IF(A382="","",F382+K382)</f>
        <v/>
      </c>
    </row>
    <row r="383">
      <c r="A383" s="30" t="inlineStr"/>
      <c r="B383" s="30" t="inlineStr"/>
      <c r="C383" s="30" t="inlineStr"/>
      <c r="D383" s="30" t="inlineStr"/>
      <c r="E383" s="38" t="inlineStr"/>
      <c r="F383" s="34" t="inlineStr"/>
      <c r="G383" s="30" t="inlineStr"/>
      <c r="H383" s="32" t="inlineStr"/>
      <c r="I383" s="30" t="inlineStr"/>
      <c r="J383" s="30" t="inlineStr"/>
      <c r="K383" s="15">
        <f>IF(A383="","",SUMIFS('07_Nachtraege'!$E:$E,'07_Nachtraege'!$B:$B,C383,'07_Nachtraege'!$F:$F,"beauftragt"))</f>
        <v/>
      </c>
      <c r="L383" s="15">
        <f>IF(A383="","",F383+K383)</f>
        <v/>
      </c>
    </row>
    <row r="384">
      <c r="A384" s="30" t="inlineStr"/>
      <c r="B384" s="30" t="inlineStr"/>
      <c r="C384" s="30" t="inlineStr"/>
      <c r="D384" s="30" t="inlineStr"/>
      <c r="E384" s="38" t="inlineStr"/>
      <c r="F384" s="34" t="inlineStr"/>
      <c r="G384" s="30" t="inlineStr"/>
      <c r="H384" s="32" t="inlineStr"/>
      <c r="I384" s="30" t="inlineStr"/>
      <c r="J384" s="30" t="inlineStr"/>
      <c r="K384" s="15">
        <f>IF(A384="","",SUMIFS('07_Nachtraege'!$E:$E,'07_Nachtraege'!$B:$B,C384,'07_Nachtraege'!$F:$F,"beauftragt"))</f>
        <v/>
      </c>
      <c r="L384" s="15">
        <f>IF(A384="","",F384+K384)</f>
        <v/>
      </c>
    </row>
    <row r="385">
      <c r="A385" s="30" t="inlineStr"/>
      <c r="B385" s="30" t="inlineStr"/>
      <c r="C385" s="30" t="inlineStr"/>
      <c r="D385" s="30" t="inlineStr"/>
      <c r="E385" s="38" t="inlineStr"/>
      <c r="F385" s="34" t="inlineStr"/>
      <c r="G385" s="30" t="inlineStr"/>
      <c r="H385" s="32" t="inlineStr"/>
      <c r="I385" s="30" t="inlineStr"/>
      <c r="J385" s="30" t="inlineStr"/>
      <c r="K385" s="15">
        <f>IF(A385="","",SUMIFS('07_Nachtraege'!$E:$E,'07_Nachtraege'!$B:$B,C385,'07_Nachtraege'!$F:$F,"beauftragt"))</f>
        <v/>
      </c>
      <c r="L385" s="15">
        <f>IF(A385="","",F385+K385)</f>
        <v/>
      </c>
    </row>
    <row r="386">
      <c r="A386" s="30" t="inlineStr"/>
      <c r="B386" s="30" t="inlineStr"/>
      <c r="C386" s="30" t="inlineStr"/>
      <c r="D386" s="30" t="inlineStr"/>
      <c r="E386" s="38" t="inlineStr"/>
      <c r="F386" s="34" t="inlineStr"/>
      <c r="G386" s="30" t="inlineStr"/>
      <c r="H386" s="32" t="inlineStr"/>
      <c r="I386" s="30" t="inlineStr"/>
      <c r="J386" s="30" t="inlineStr"/>
      <c r="K386" s="15">
        <f>IF(A386="","",SUMIFS('07_Nachtraege'!$E:$E,'07_Nachtraege'!$B:$B,C386,'07_Nachtraege'!$F:$F,"beauftragt"))</f>
        <v/>
      </c>
      <c r="L386" s="15">
        <f>IF(A386="","",F386+K386)</f>
        <v/>
      </c>
    </row>
    <row r="387">
      <c r="A387" s="30" t="inlineStr"/>
      <c r="B387" s="30" t="inlineStr"/>
      <c r="C387" s="30" t="inlineStr"/>
      <c r="D387" s="30" t="inlineStr"/>
      <c r="E387" s="38" t="inlineStr"/>
      <c r="F387" s="34" t="inlineStr"/>
      <c r="G387" s="30" t="inlineStr"/>
      <c r="H387" s="32" t="inlineStr"/>
      <c r="I387" s="30" t="inlineStr"/>
      <c r="J387" s="30" t="inlineStr"/>
      <c r="K387" s="15">
        <f>IF(A387="","",SUMIFS('07_Nachtraege'!$E:$E,'07_Nachtraege'!$B:$B,C387,'07_Nachtraege'!$F:$F,"beauftragt"))</f>
        <v/>
      </c>
      <c r="L387" s="15">
        <f>IF(A387="","",F387+K387)</f>
        <v/>
      </c>
    </row>
    <row r="388">
      <c r="A388" s="30" t="inlineStr"/>
      <c r="B388" s="30" t="inlineStr"/>
      <c r="C388" s="30" t="inlineStr"/>
      <c r="D388" s="30" t="inlineStr"/>
      <c r="E388" s="38" t="inlineStr"/>
      <c r="F388" s="34" t="inlineStr"/>
      <c r="G388" s="30" t="inlineStr"/>
      <c r="H388" s="32" t="inlineStr"/>
      <c r="I388" s="30" t="inlineStr"/>
      <c r="J388" s="30" t="inlineStr"/>
      <c r="K388" s="15">
        <f>IF(A388="","",SUMIFS('07_Nachtraege'!$E:$E,'07_Nachtraege'!$B:$B,C388,'07_Nachtraege'!$F:$F,"beauftragt"))</f>
        <v/>
      </c>
      <c r="L388" s="15">
        <f>IF(A388="","",F388+K388)</f>
        <v/>
      </c>
    </row>
    <row r="389">
      <c r="A389" s="30" t="inlineStr"/>
      <c r="B389" s="30" t="inlineStr"/>
      <c r="C389" s="30" t="inlineStr"/>
      <c r="D389" s="30" t="inlineStr"/>
      <c r="E389" s="38" t="inlineStr"/>
      <c r="F389" s="34" t="inlineStr"/>
      <c r="G389" s="30" t="inlineStr"/>
      <c r="H389" s="32" t="inlineStr"/>
      <c r="I389" s="30" t="inlineStr"/>
      <c r="J389" s="30" t="inlineStr"/>
      <c r="K389" s="15">
        <f>IF(A389="","",SUMIFS('07_Nachtraege'!$E:$E,'07_Nachtraege'!$B:$B,C389,'07_Nachtraege'!$F:$F,"beauftragt"))</f>
        <v/>
      </c>
      <c r="L389" s="15">
        <f>IF(A389="","",F389+K389)</f>
        <v/>
      </c>
    </row>
    <row r="390">
      <c r="A390" s="30" t="inlineStr"/>
      <c r="B390" s="30" t="inlineStr"/>
      <c r="C390" s="30" t="inlineStr"/>
      <c r="D390" s="30" t="inlineStr"/>
      <c r="E390" s="38" t="inlineStr"/>
      <c r="F390" s="34" t="inlineStr"/>
      <c r="G390" s="30" t="inlineStr"/>
      <c r="H390" s="32" t="inlineStr"/>
      <c r="I390" s="30" t="inlineStr"/>
      <c r="J390" s="30" t="inlineStr"/>
      <c r="K390" s="15">
        <f>IF(A390="","",SUMIFS('07_Nachtraege'!$E:$E,'07_Nachtraege'!$B:$B,C390,'07_Nachtraege'!$F:$F,"beauftragt"))</f>
        <v/>
      </c>
      <c r="L390" s="15">
        <f>IF(A390="","",F390+K390)</f>
        <v/>
      </c>
    </row>
    <row r="391">
      <c r="A391" s="30" t="inlineStr"/>
      <c r="B391" s="30" t="inlineStr"/>
      <c r="C391" s="30" t="inlineStr"/>
      <c r="D391" s="30" t="inlineStr"/>
      <c r="E391" s="38" t="inlineStr"/>
      <c r="F391" s="34" t="inlineStr"/>
      <c r="G391" s="30" t="inlineStr"/>
      <c r="H391" s="32" t="inlineStr"/>
      <c r="I391" s="30" t="inlineStr"/>
      <c r="J391" s="30" t="inlineStr"/>
      <c r="K391" s="15">
        <f>IF(A391="","",SUMIFS('07_Nachtraege'!$E:$E,'07_Nachtraege'!$B:$B,C391,'07_Nachtraege'!$F:$F,"beauftragt"))</f>
        <v/>
      </c>
      <c r="L391" s="15">
        <f>IF(A391="","",F391+K391)</f>
        <v/>
      </c>
    </row>
    <row r="392">
      <c r="A392" s="30" t="inlineStr"/>
      <c r="B392" s="30" t="inlineStr"/>
      <c r="C392" s="30" t="inlineStr"/>
      <c r="D392" s="30" t="inlineStr"/>
      <c r="E392" s="38" t="inlineStr"/>
      <c r="F392" s="34" t="inlineStr"/>
      <c r="G392" s="30" t="inlineStr"/>
      <c r="H392" s="32" t="inlineStr"/>
      <c r="I392" s="30" t="inlineStr"/>
      <c r="J392" s="30" t="inlineStr"/>
      <c r="K392" s="15">
        <f>IF(A392="","",SUMIFS('07_Nachtraege'!$E:$E,'07_Nachtraege'!$B:$B,C392,'07_Nachtraege'!$F:$F,"beauftragt"))</f>
        <v/>
      </c>
      <c r="L392" s="15">
        <f>IF(A392="","",F392+K392)</f>
        <v/>
      </c>
    </row>
    <row r="393">
      <c r="A393" s="30" t="inlineStr"/>
      <c r="B393" s="30" t="inlineStr"/>
      <c r="C393" s="30" t="inlineStr"/>
      <c r="D393" s="30" t="inlineStr"/>
      <c r="E393" s="38" t="inlineStr"/>
      <c r="F393" s="34" t="inlineStr"/>
      <c r="G393" s="30" t="inlineStr"/>
      <c r="H393" s="32" t="inlineStr"/>
      <c r="I393" s="30" t="inlineStr"/>
      <c r="J393" s="30" t="inlineStr"/>
      <c r="K393" s="15">
        <f>IF(A393="","",SUMIFS('07_Nachtraege'!$E:$E,'07_Nachtraege'!$B:$B,C393,'07_Nachtraege'!$F:$F,"beauftragt"))</f>
        <v/>
      </c>
      <c r="L393" s="15">
        <f>IF(A393="","",F393+K393)</f>
        <v/>
      </c>
    </row>
    <row r="394">
      <c r="A394" s="30" t="inlineStr"/>
      <c r="B394" s="30" t="inlineStr"/>
      <c r="C394" s="30" t="inlineStr"/>
      <c r="D394" s="30" t="inlineStr"/>
      <c r="E394" s="38" t="inlineStr"/>
      <c r="F394" s="34" t="inlineStr"/>
      <c r="G394" s="30" t="inlineStr"/>
      <c r="H394" s="32" t="inlineStr"/>
      <c r="I394" s="30" t="inlineStr"/>
      <c r="J394" s="30" t="inlineStr"/>
      <c r="K394" s="15">
        <f>IF(A394="","",SUMIFS('07_Nachtraege'!$E:$E,'07_Nachtraege'!$B:$B,C394,'07_Nachtraege'!$F:$F,"beauftragt"))</f>
        <v/>
      </c>
      <c r="L394" s="15">
        <f>IF(A394="","",F394+K394)</f>
        <v/>
      </c>
    </row>
    <row r="395">
      <c r="A395" s="30" t="inlineStr"/>
      <c r="B395" s="30" t="inlineStr"/>
      <c r="C395" s="30" t="inlineStr"/>
      <c r="D395" s="30" t="inlineStr"/>
      <c r="E395" s="38" t="inlineStr"/>
      <c r="F395" s="34" t="inlineStr"/>
      <c r="G395" s="30" t="inlineStr"/>
      <c r="H395" s="32" t="inlineStr"/>
      <c r="I395" s="30" t="inlineStr"/>
      <c r="J395" s="30" t="inlineStr"/>
      <c r="K395" s="15">
        <f>IF(A395="","",SUMIFS('07_Nachtraege'!$E:$E,'07_Nachtraege'!$B:$B,C395,'07_Nachtraege'!$F:$F,"beauftragt"))</f>
        <v/>
      </c>
      <c r="L395" s="15">
        <f>IF(A395="","",F395+K395)</f>
        <v/>
      </c>
    </row>
    <row r="396">
      <c r="A396" s="30" t="inlineStr"/>
      <c r="B396" s="30" t="inlineStr"/>
      <c r="C396" s="30" t="inlineStr"/>
      <c r="D396" s="30" t="inlineStr"/>
      <c r="E396" s="38" t="inlineStr"/>
      <c r="F396" s="34" t="inlineStr"/>
      <c r="G396" s="30" t="inlineStr"/>
      <c r="H396" s="32" t="inlineStr"/>
      <c r="I396" s="30" t="inlineStr"/>
      <c r="J396" s="30" t="inlineStr"/>
      <c r="K396" s="15">
        <f>IF(A396="","",SUMIFS('07_Nachtraege'!$E:$E,'07_Nachtraege'!$B:$B,C396,'07_Nachtraege'!$F:$F,"beauftragt"))</f>
        <v/>
      </c>
      <c r="L396" s="15">
        <f>IF(A396="","",F396+K396)</f>
        <v/>
      </c>
    </row>
    <row r="397">
      <c r="A397" s="30" t="inlineStr"/>
      <c r="B397" s="30" t="inlineStr"/>
      <c r="C397" s="30" t="inlineStr"/>
      <c r="D397" s="30" t="inlineStr"/>
      <c r="E397" s="38" t="inlineStr"/>
      <c r="F397" s="34" t="inlineStr"/>
      <c r="G397" s="30" t="inlineStr"/>
      <c r="H397" s="32" t="inlineStr"/>
      <c r="I397" s="30" t="inlineStr"/>
      <c r="J397" s="30" t="inlineStr"/>
      <c r="K397" s="15">
        <f>IF(A397="","",SUMIFS('07_Nachtraege'!$E:$E,'07_Nachtraege'!$B:$B,C397,'07_Nachtraege'!$F:$F,"beauftragt"))</f>
        <v/>
      </c>
      <c r="L397" s="15">
        <f>IF(A397="","",F397+K397)</f>
        <v/>
      </c>
    </row>
    <row r="398">
      <c r="A398" s="30" t="inlineStr"/>
      <c r="B398" s="30" t="inlineStr"/>
      <c r="C398" s="30" t="inlineStr"/>
      <c r="D398" s="30" t="inlineStr"/>
      <c r="E398" s="38" t="inlineStr"/>
      <c r="F398" s="34" t="inlineStr"/>
      <c r="G398" s="30" t="inlineStr"/>
      <c r="H398" s="32" t="inlineStr"/>
      <c r="I398" s="30" t="inlineStr"/>
      <c r="J398" s="30" t="inlineStr"/>
      <c r="K398" s="15">
        <f>IF(A398="","",SUMIFS('07_Nachtraege'!$E:$E,'07_Nachtraege'!$B:$B,C398,'07_Nachtraege'!$F:$F,"beauftragt"))</f>
        <v/>
      </c>
      <c r="L398" s="15">
        <f>IF(A398="","",F398+K398)</f>
        <v/>
      </c>
    </row>
    <row r="399">
      <c r="A399" s="30" t="inlineStr"/>
      <c r="B399" s="30" t="inlineStr"/>
      <c r="C399" s="30" t="inlineStr"/>
      <c r="D399" s="30" t="inlineStr"/>
      <c r="E399" s="38" t="inlineStr"/>
      <c r="F399" s="34" t="inlineStr"/>
      <c r="G399" s="30" t="inlineStr"/>
      <c r="H399" s="32" t="inlineStr"/>
      <c r="I399" s="30" t="inlineStr"/>
      <c r="J399" s="30" t="inlineStr"/>
      <c r="K399" s="15">
        <f>IF(A399="","",SUMIFS('07_Nachtraege'!$E:$E,'07_Nachtraege'!$B:$B,C399,'07_Nachtraege'!$F:$F,"beauftragt"))</f>
        <v/>
      </c>
      <c r="L399" s="15">
        <f>IF(A399="","",F399+K399)</f>
        <v/>
      </c>
    </row>
    <row r="400">
      <c r="A400" s="30" t="inlineStr"/>
      <c r="B400" s="30" t="inlineStr"/>
      <c r="C400" s="30" t="inlineStr"/>
      <c r="D400" s="30" t="inlineStr"/>
      <c r="E400" s="38" t="inlineStr"/>
      <c r="F400" s="34" t="inlineStr"/>
      <c r="G400" s="30" t="inlineStr"/>
      <c r="H400" s="32" t="inlineStr"/>
      <c r="I400" s="30" t="inlineStr"/>
      <c r="J400" s="30" t="inlineStr"/>
      <c r="K400" s="15">
        <f>IF(A400="","",SUMIFS('07_Nachtraege'!$E:$E,'07_Nachtraege'!$B:$B,C400,'07_Nachtraege'!$F:$F,"beauftragt"))</f>
        <v/>
      </c>
      <c r="L400" s="15">
        <f>IF(A400="","",F400+K400)</f>
        <v/>
      </c>
    </row>
  </sheetData>
  <mergeCells count="2">
    <mergeCell ref="A2:L2"/>
    <mergeCell ref="A1:L1"/>
  </mergeCells>
  <dataValidations count="4">
    <dataValidation sqref="B4:B400" showDropDown="0" showInputMessage="0" showErrorMessage="0" allowBlank="1" errorTitle="Ungültige Auswahl" error="Bitte einen Wert aus der Liste wählen." promptTitle="Liste" prompt="Auswahl" type="list">
      <formula1>=AngebotNr</formula1>
    </dataValidation>
    <dataValidation sqref="C4:C400" showDropDown="0" showInputMessage="0" showErrorMessage="0" allowBlank="1" errorTitle="Ungültige Auswahl" error="Bitte einen Wert aus der Liste wählen." promptTitle="Liste" prompt="Auswahl" type="list">
      <formula1>=ProjektNr</formula1>
    </dataValidation>
    <dataValidation sqref="D4:D400" showDropDown="0" showInputMessage="0" showErrorMessage="0" allowBlank="1" errorTitle="Ungültige Auswahl" error="Bitte einen Wert aus der Liste wählen." promptTitle="Liste" prompt="Auswahl" type="list">
      <formula1>=KundenNr</formula1>
    </dataValidation>
    <dataValidation sqref="G4:G400" showDropDown="0" showInputMessage="0" showErrorMessage="0" allowBlank="1" errorTitle="Ungültige Auswahl" error="Bitte einen Wert aus der Liste wählen." promptTitle="Liste" prompt="Auswahl" type="list">
      <formula1>=lstVertrag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B8860B"/>
    <outlinePr summaryBelow="1" summaryRight="1"/>
    <pageSetUpPr/>
  </sheetPr>
  <dimension ref="A1:P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4" customWidth="1" min="4" max="4"/>
    <col width="14" customWidth="1" min="5" max="5"/>
    <col width="14" customWidth="1" min="6" max="6"/>
    <col width="12" customWidth="1" min="7" max="7"/>
    <col width="32" customWidth="1" min="8" max="8"/>
    <col width="16" customWidth="1" min="9" max="9"/>
  </cols>
  <sheetData>
    <row r="1" ht="28" customHeight="1">
      <c r="A1" s="1" t="inlineStr">
        <is>
          <t>Nachträge und Claims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K1" s="3" t="n"/>
      <c r="L1" s="3" t="n"/>
      <c r="M1" s="3" t="n"/>
      <c r="N1" s="3" t="n"/>
      <c r="O1" s="3" t="n"/>
      <c r="P1" s="3" t="n"/>
    </row>
    <row r="2" ht="18" customHeight="1">
      <c r="A2" s="4" t="inlineStr">
        <is>
          <t>Nur Status „beauftragt“ erhöht den aktuellen Auftragswert im Projektstamm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3" t="n"/>
      <c r="K2" s="3" t="n"/>
      <c r="L2" s="3" t="n"/>
      <c r="M2" s="3" t="n"/>
      <c r="N2" s="3" t="n"/>
      <c r="O2" s="3" t="n"/>
      <c r="P2" s="3" t="n"/>
    </row>
    <row r="3" ht="28" customHeight="1">
      <c r="A3" s="17" t="inlineStr">
        <is>
          <t>Nr</t>
        </is>
      </c>
      <c r="B3" s="17" t="inlineStr">
        <is>
          <t>Projekt</t>
        </is>
      </c>
      <c r="C3" s="17" t="inlineStr">
        <is>
          <t>Datum</t>
        </is>
      </c>
      <c r="D3" s="17" t="inlineStr">
        <is>
          <t>Bezeichnung</t>
        </is>
      </c>
      <c r="E3" s="17" t="inlineStr">
        <is>
          <t>Betrag netto</t>
        </is>
      </c>
      <c r="F3" s="17" t="inlineStr">
        <is>
          <t>Status</t>
        </is>
      </c>
      <c r="G3" s="17" t="inlineStr">
        <is>
          <t>Kunde</t>
        </is>
      </c>
      <c r="H3" s="17" t="inlineStr">
        <is>
          <t>Begründung</t>
        </is>
      </c>
      <c r="I3" s="17" t="inlineStr">
        <is>
          <t>Auftragswirksam</t>
        </is>
      </c>
      <c r="J3" s="3" t="n"/>
      <c r="K3" s="3" t="n"/>
      <c r="L3" s="3" t="n"/>
      <c r="M3" s="3" t="n"/>
      <c r="N3" s="3" t="n"/>
      <c r="O3" s="3" t="n"/>
      <c r="P3" s="3" t="n"/>
    </row>
    <row r="4">
      <c r="A4" s="30" t="inlineStr">
        <is>
          <t>N-001</t>
        </is>
      </c>
      <c r="B4" s="30" t="inlineStr">
        <is>
          <t>P-2026-001</t>
        </is>
      </c>
      <c r="C4" s="38" t="n">
        <v>46154</v>
      </c>
      <c r="D4" s="30" t="inlineStr">
        <is>
          <t>Zusätzliche Drainage Ost</t>
        </is>
      </c>
      <c r="E4" s="34" t="n">
        <v>28500</v>
      </c>
      <c r="F4" s="30" t="inlineStr">
        <is>
          <t>angeboten</t>
        </is>
      </c>
      <c r="G4" s="30" t="inlineStr">
        <is>
          <t>K-1001</t>
        </is>
      </c>
      <c r="H4" s="30" t="inlineStr">
        <is>
          <t>Baugrund weicher als Gutachten</t>
        </is>
      </c>
      <c r="I4" s="15">
        <f>IF(A4="","",IF(F4="beauftragt",E4,0))</f>
        <v/>
      </c>
      <c r="J4" s="3" t="n"/>
      <c r="K4" s="3" t="n"/>
      <c r="L4" s="3" t="n"/>
      <c r="M4" s="3" t="n"/>
      <c r="N4" s="3" t="n"/>
      <c r="O4" s="3" t="n"/>
      <c r="P4" s="3" t="n"/>
    </row>
    <row r="5">
      <c r="A5" s="30" t="inlineStr">
        <is>
          <t>N-002</t>
        </is>
      </c>
      <c r="B5" s="30" t="inlineStr">
        <is>
          <t>P-2026-001</t>
        </is>
      </c>
      <c r="C5" s="38" t="n">
        <v>46206</v>
      </c>
      <c r="D5" s="30" t="inlineStr">
        <is>
          <t>Aufzugsturm extra Schacht</t>
        </is>
      </c>
      <c r="E5" s="34" t="n">
        <v>64000</v>
      </c>
      <c r="F5" s="30" t="inlineStr">
        <is>
          <t>beauftragt</t>
        </is>
      </c>
      <c r="G5" s="30" t="inlineStr">
        <is>
          <t>K-1001</t>
        </is>
      </c>
      <c r="H5" s="30" t="inlineStr">
        <is>
          <t>Planungsänderung Architekt</t>
        </is>
      </c>
      <c r="I5" s="15">
        <f>IF(A5="","",IF(F5="beauftragt",E5,0))</f>
        <v/>
      </c>
      <c r="J5" s="3" t="n"/>
      <c r="K5" s="3" t="n"/>
      <c r="L5" s="3" t="n"/>
      <c r="M5" s="3" t="n"/>
      <c r="N5" s="3" t="n"/>
      <c r="O5" s="3" t="n"/>
      <c r="P5" s="3" t="n"/>
    </row>
    <row r="6">
      <c r="A6" s="30" t="inlineStr">
        <is>
          <t>N-003</t>
        </is>
      </c>
      <c r="B6" s="30" t="inlineStr">
        <is>
          <t>P-2026-003</t>
        </is>
      </c>
      <c r="C6" s="38" t="n">
        <v>46191</v>
      </c>
      <c r="D6" s="30" t="inlineStr">
        <is>
          <t>Zusätzlicher Holzschutz Dachstuhl</t>
        </is>
      </c>
      <c r="E6" s="34" t="n">
        <v>19200</v>
      </c>
      <c r="F6" s="30" t="inlineStr">
        <is>
          <t>beauftragt</t>
        </is>
      </c>
      <c r="G6" s="30" t="inlineStr">
        <is>
          <t>K-1002</t>
        </is>
      </c>
      <c r="H6" s="30" t="inlineStr">
        <is>
          <t>Befall nach Öffnung</t>
        </is>
      </c>
      <c r="I6" s="15">
        <f>IF(A6="","",IF(F6="beauftragt",E6,0))</f>
        <v/>
      </c>
      <c r="J6" s="3" t="n"/>
      <c r="K6" s="3" t="n"/>
      <c r="L6" s="3" t="n"/>
      <c r="M6" s="3" t="n"/>
      <c r="N6" s="3" t="n"/>
      <c r="O6" s="3" t="n"/>
      <c r="P6" s="3" t="n"/>
    </row>
    <row r="7">
      <c r="A7" s="30" t="inlineStr">
        <is>
          <t>N-004</t>
        </is>
      </c>
      <c r="B7" s="30" t="inlineStr">
        <is>
          <t>P-2026-003</t>
        </is>
      </c>
      <c r="C7" s="38" t="n">
        <v>46256</v>
      </c>
      <c r="D7" s="30" t="inlineStr">
        <is>
          <t>Statische Ertüchtigung Decke EG</t>
        </is>
      </c>
      <c r="E7" s="34" t="n">
        <v>47800</v>
      </c>
      <c r="F7" s="30" t="inlineStr">
        <is>
          <t>in Prüfung</t>
        </is>
      </c>
      <c r="G7" s="30" t="inlineStr">
        <is>
          <t>K-1002</t>
        </is>
      </c>
      <c r="H7" s="30" t="inlineStr">
        <is>
          <t>Auflage Statiker</t>
        </is>
      </c>
      <c r="I7" s="15">
        <f>IF(A7="","",IF(F7="beauftragt",E7,0))</f>
        <v/>
      </c>
    </row>
    <row r="8">
      <c r="A8" s="30" t="inlineStr">
        <is>
          <t>N-005</t>
        </is>
      </c>
      <c r="B8" s="30" t="inlineStr">
        <is>
          <t>P-2026-004</t>
        </is>
      </c>
      <c r="C8" s="38" t="n">
        <v>46238</v>
      </c>
      <c r="D8" s="30" t="inlineStr">
        <is>
          <t>Zusätzliche Toranlage Süd</t>
        </is>
      </c>
      <c r="E8" s="34" t="n">
        <v>33600</v>
      </c>
      <c r="F8" s="30" t="inlineStr">
        <is>
          <t>angeboten</t>
        </is>
      </c>
      <c r="G8" s="30" t="inlineStr">
        <is>
          <t>K-1004</t>
        </is>
      </c>
      <c r="H8" s="30" t="inlineStr">
        <is>
          <t>Nutzerwunsch</t>
        </is>
      </c>
      <c r="I8" s="15">
        <f>IF(A8="","",IF(F8="beauftragt",E8,0))</f>
        <v/>
      </c>
    </row>
    <row r="9">
      <c r="A9" s="30" t="inlineStr"/>
      <c r="B9" s="30" t="inlineStr"/>
      <c r="C9" s="38" t="inlineStr"/>
      <c r="D9" s="30" t="inlineStr"/>
      <c r="E9" s="34" t="inlineStr"/>
      <c r="F9" s="30" t="inlineStr"/>
      <c r="G9" s="30" t="inlineStr"/>
      <c r="H9" s="30" t="inlineStr"/>
      <c r="I9" s="15">
        <f>IF(A9="","",IF(F9="beauftragt",E9,0))</f>
        <v/>
      </c>
    </row>
    <row r="10">
      <c r="A10" s="30" t="inlineStr"/>
      <c r="B10" s="30" t="inlineStr"/>
      <c r="C10" s="38" t="inlineStr"/>
      <c r="D10" s="30" t="inlineStr"/>
      <c r="E10" s="34" t="inlineStr"/>
      <c r="F10" s="30" t="inlineStr"/>
      <c r="G10" s="30" t="inlineStr"/>
      <c r="H10" s="30" t="inlineStr"/>
      <c r="I10" s="15">
        <f>IF(A10="","",IF(F10="beauftragt",E10,0))</f>
        <v/>
      </c>
    </row>
    <row r="11">
      <c r="A11" s="30" t="inlineStr"/>
      <c r="B11" s="30" t="inlineStr"/>
      <c r="C11" s="38" t="inlineStr"/>
      <c r="D11" s="30" t="inlineStr"/>
      <c r="E11" s="34" t="inlineStr"/>
      <c r="F11" s="30" t="inlineStr"/>
      <c r="G11" s="30" t="inlineStr"/>
      <c r="H11" s="30" t="inlineStr"/>
      <c r="I11" s="15">
        <f>IF(A11="","",IF(F11="beauftragt",E11,0))</f>
        <v/>
      </c>
    </row>
    <row r="12">
      <c r="A12" s="30" t="inlineStr"/>
      <c r="B12" s="30" t="inlineStr"/>
      <c r="C12" s="38" t="inlineStr"/>
      <c r="D12" s="30" t="inlineStr"/>
      <c r="E12" s="34" t="inlineStr"/>
      <c r="F12" s="30" t="inlineStr"/>
      <c r="G12" s="30" t="inlineStr"/>
      <c r="H12" s="30" t="inlineStr"/>
      <c r="I12" s="15">
        <f>IF(A12="","",IF(F12="beauftragt",E12,0))</f>
        <v/>
      </c>
    </row>
    <row r="13">
      <c r="A13" s="30" t="inlineStr"/>
      <c r="B13" s="30" t="inlineStr"/>
      <c r="C13" s="38" t="inlineStr"/>
      <c r="D13" s="30" t="inlineStr"/>
      <c r="E13" s="34" t="inlineStr"/>
      <c r="F13" s="30" t="inlineStr"/>
      <c r="G13" s="30" t="inlineStr"/>
      <c r="H13" s="30" t="inlineStr"/>
      <c r="I13" s="15">
        <f>IF(A13="","",IF(F13="beauftragt",E13,0))</f>
        <v/>
      </c>
    </row>
    <row r="14">
      <c r="A14" s="30" t="inlineStr"/>
      <c r="B14" s="30" t="inlineStr"/>
      <c r="C14" s="38" t="inlineStr"/>
      <c r="D14" s="30" t="inlineStr"/>
      <c r="E14" s="34" t="inlineStr"/>
      <c r="F14" s="30" t="inlineStr"/>
      <c r="G14" s="30" t="inlineStr"/>
      <c r="H14" s="30" t="inlineStr"/>
      <c r="I14" s="15">
        <f>IF(A14="","",IF(F14="beauftragt",E14,0))</f>
        <v/>
      </c>
    </row>
    <row r="15">
      <c r="A15" s="30" t="inlineStr"/>
      <c r="B15" s="30" t="inlineStr"/>
      <c r="C15" s="38" t="inlineStr"/>
      <c r="D15" s="30" t="inlineStr"/>
      <c r="E15" s="34" t="inlineStr"/>
      <c r="F15" s="30" t="inlineStr"/>
      <c r="G15" s="30" t="inlineStr"/>
      <c r="H15" s="30" t="inlineStr"/>
      <c r="I15" s="15">
        <f>IF(A15="","",IF(F15="beauftragt",E15,0))</f>
        <v/>
      </c>
    </row>
    <row r="16">
      <c r="A16" s="30" t="inlineStr"/>
      <c r="B16" s="30" t="inlineStr"/>
      <c r="C16" s="38" t="inlineStr"/>
      <c r="D16" s="30" t="inlineStr"/>
      <c r="E16" s="34" t="inlineStr"/>
      <c r="F16" s="30" t="inlineStr"/>
      <c r="G16" s="30" t="inlineStr"/>
      <c r="H16" s="30" t="inlineStr"/>
      <c r="I16" s="15">
        <f>IF(A16="","",IF(F16="beauftragt",E16,0))</f>
        <v/>
      </c>
    </row>
    <row r="17">
      <c r="A17" s="30" t="inlineStr"/>
      <c r="B17" s="30" t="inlineStr"/>
      <c r="C17" s="38" t="inlineStr"/>
      <c r="D17" s="30" t="inlineStr"/>
      <c r="E17" s="34" t="inlineStr"/>
      <c r="F17" s="30" t="inlineStr"/>
      <c r="G17" s="30" t="inlineStr"/>
      <c r="H17" s="30" t="inlineStr"/>
      <c r="I17" s="15">
        <f>IF(A17="","",IF(F17="beauftragt",E17,0))</f>
        <v/>
      </c>
    </row>
    <row r="18">
      <c r="A18" s="30" t="inlineStr"/>
      <c r="B18" s="30" t="inlineStr"/>
      <c r="C18" s="38" t="inlineStr"/>
      <c r="D18" s="30" t="inlineStr"/>
      <c r="E18" s="34" t="inlineStr"/>
      <c r="F18" s="30" t="inlineStr"/>
      <c r="G18" s="30" t="inlineStr"/>
      <c r="H18" s="30" t="inlineStr"/>
      <c r="I18" s="15">
        <f>IF(A18="","",IF(F18="beauftragt",E18,0))</f>
        <v/>
      </c>
    </row>
    <row r="19">
      <c r="A19" s="30" t="inlineStr"/>
      <c r="B19" s="30" t="inlineStr"/>
      <c r="C19" s="38" t="inlineStr"/>
      <c r="D19" s="30" t="inlineStr"/>
      <c r="E19" s="34" t="inlineStr"/>
      <c r="F19" s="30" t="inlineStr"/>
      <c r="G19" s="30" t="inlineStr"/>
      <c r="H19" s="30" t="inlineStr"/>
      <c r="I19" s="15">
        <f>IF(A19="","",IF(F19="beauftragt",E19,0))</f>
        <v/>
      </c>
    </row>
    <row r="20">
      <c r="A20" s="30" t="inlineStr"/>
      <c r="B20" s="30" t="inlineStr"/>
      <c r="C20" s="38" t="inlineStr"/>
      <c r="D20" s="30" t="inlineStr"/>
      <c r="E20" s="34" t="inlineStr"/>
      <c r="F20" s="30" t="inlineStr"/>
      <c r="G20" s="30" t="inlineStr"/>
      <c r="H20" s="30" t="inlineStr"/>
      <c r="I20" s="15">
        <f>IF(A20="","",IF(F20="beauftragt",E20,0))</f>
        <v/>
      </c>
    </row>
    <row r="21">
      <c r="A21" s="30" t="inlineStr"/>
      <c r="B21" s="30" t="inlineStr"/>
      <c r="C21" s="38" t="inlineStr"/>
      <c r="D21" s="30" t="inlineStr"/>
      <c r="E21" s="34" t="inlineStr"/>
      <c r="F21" s="30" t="inlineStr"/>
      <c r="G21" s="30" t="inlineStr"/>
      <c r="H21" s="30" t="inlineStr"/>
      <c r="I21" s="15">
        <f>IF(A21="","",IF(F21="beauftragt",E21,0))</f>
        <v/>
      </c>
    </row>
    <row r="22">
      <c r="A22" s="30" t="inlineStr"/>
      <c r="B22" s="30" t="inlineStr"/>
      <c r="C22" s="38" t="inlineStr"/>
      <c r="D22" s="30" t="inlineStr"/>
      <c r="E22" s="34" t="inlineStr"/>
      <c r="F22" s="30" t="inlineStr"/>
      <c r="G22" s="30" t="inlineStr"/>
      <c r="H22" s="30" t="inlineStr"/>
      <c r="I22" s="15">
        <f>IF(A22="","",IF(F22="beauftragt",E22,0))</f>
        <v/>
      </c>
    </row>
    <row r="23">
      <c r="A23" s="30" t="inlineStr"/>
      <c r="B23" s="30" t="inlineStr"/>
      <c r="C23" s="38" t="inlineStr"/>
      <c r="D23" s="30" t="inlineStr"/>
      <c r="E23" s="34" t="inlineStr"/>
      <c r="F23" s="30" t="inlineStr"/>
      <c r="G23" s="30" t="inlineStr"/>
      <c r="H23" s="30" t="inlineStr"/>
      <c r="I23" s="15">
        <f>IF(A23="","",IF(F23="beauftragt",E23,0))</f>
        <v/>
      </c>
    </row>
    <row r="24">
      <c r="A24" s="30" t="inlineStr"/>
      <c r="B24" s="30" t="inlineStr"/>
      <c r="C24" s="38" t="inlineStr"/>
      <c r="D24" s="30" t="inlineStr"/>
      <c r="E24" s="34" t="inlineStr"/>
      <c r="F24" s="30" t="inlineStr"/>
      <c r="G24" s="30" t="inlineStr"/>
      <c r="H24" s="30" t="inlineStr"/>
      <c r="I24" s="15">
        <f>IF(A24="","",IF(F24="beauftragt",E24,0))</f>
        <v/>
      </c>
    </row>
    <row r="25">
      <c r="A25" s="30" t="inlineStr"/>
      <c r="B25" s="30" t="inlineStr"/>
      <c r="C25" s="38" t="inlineStr"/>
      <c r="D25" s="30" t="inlineStr"/>
      <c r="E25" s="34" t="inlineStr"/>
      <c r="F25" s="30" t="inlineStr"/>
      <c r="G25" s="30" t="inlineStr"/>
      <c r="H25" s="30" t="inlineStr"/>
      <c r="I25" s="15">
        <f>IF(A25="","",IF(F25="beauftragt",E25,0))</f>
        <v/>
      </c>
    </row>
    <row r="26">
      <c r="A26" s="30" t="inlineStr"/>
      <c r="B26" s="30" t="inlineStr"/>
      <c r="C26" s="38" t="inlineStr"/>
      <c r="D26" s="30" t="inlineStr"/>
      <c r="E26" s="34" t="inlineStr"/>
      <c r="F26" s="30" t="inlineStr"/>
      <c r="G26" s="30" t="inlineStr"/>
      <c r="H26" s="30" t="inlineStr"/>
      <c r="I26" s="15">
        <f>IF(A26="","",IF(F26="beauftragt",E26,0))</f>
        <v/>
      </c>
    </row>
    <row r="27">
      <c r="A27" s="30" t="inlineStr"/>
      <c r="B27" s="30" t="inlineStr"/>
      <c r="C27" s="38" t="inlineStr"/>
      <c r="D27" s="30" t="inlineStr"/>
      <c r="E27" s="34" t="inlineStr"/>
      <c r="F27" s="30" t="inlineStr"/>
      <c r="G27" s="30" t="inlineStr"/>
      <c r="H27" s="30" t="inlineStr"/>
      <c r="I27" s="15">
        <f>IF(A27="","",IF(F27="beauftragt",E27,0))</f>
        <v/>
      </c>
    </row>
    <row r="28">
      <c r="A28" s="30" t="inlineStr"/>
      <c r="B28" s="30" t="inlineStr"/>
      <c r="C28" s="38" t="inlineStr"/>
      <c r="D28" s="30" t="inlineStr"/>
      <c r="E28" s="34" t="inlineStr"/>
      <c r="F28" s="30" t="inlineStr"/>
      <c r="G28" s="30" t="inlineStr"/>
      <c r="H28" s="30" t="inlineStr"/>
      <c r="I28" s="15">
        <f>IF(A28="","",IF(F28="beauftragt",E28,0))</f>
        <v/>
      </c>
    </row>
    <row r="29">
      <c r="A29" s="30" t="inlineStr"/>
      <c r="B29" s="30" t="inlineStr"/>
      <c r="C29" s="38" t="inlineStr"/>
      <c r="D29" s="30" t="inlineStr"/>
      <c r="E29" s="34" t="inlineStr"/>
      <c r="F29" s="30" t="inlineStr"/>
      <c r="G29" s="30" t="inlineStr"/>
      <c r="H29" s="30" t="inlineStr"/>
      <c r="I29" s="15">
        <f>IF(A29="","",IF(F29="beauftragt",E29,0))</f>
        <v/>
      </c>
    </row>
    <row r="30">
      <c r="A30" s="30" t="inlineStr"/>
      <c r="B30" s="30" t="inlineStr"/>
      <c r="C30" s="38" t="inlineStr"/>
      <c r="D30" s="30" t="inlineStr"/>
      <c r="E30" s="34" t="inlineStr"/>
      <c r="F30" s="30" t="inlineStr"/>
      <c r="G30" s="30" t="inlineStr"/>
      <c r="H30" s="30" t="inlineStr"/>
      <c r="I30" s="15">
        <f>IF(A30="","",IF(F30="beauftragt",E30,0))</f>
        <v/>
      </c>
    </row>
    <row r="31">
      <c r="A31" s="30" t="inlineStr"/>
      <c r="B31" s="30" t="inlineStr"/>
      <c r="C31" s="38" t="inlineStr"/>
      <c r="D31" s="30" t="inlineStr"/>
      <c r="E31" s="34" t="inlineStr"/>
      <c r="F31" s="30" t="inlineStr"/>
      <c r="G31" s="30" t="inlineStr"/>
      <c r="H31" s="30" t="inlineStr"/>
      <c r="I31" s="15">
        <f>IF(A31="","",IF(F31="beauftragt",E31,0))</f>
        <v/>
      </c>
    </row>
    <row r="32">
      <c r="A32" s="30" t="inlineStr"/>
      <c r="B32" s="30" t="inlineStr"/>
      <c r="C32" s="38" t="inlineStr"/>
      <c r="D32" s="30" t="inlineStr"/>
      <c r="E32" s="34" t="inlineStr"/>
      <c r="F32" s="30" t="inlineStr"/>
      <c r="G32" s="30" t="inlineStr"/>
      <c r="H32" s="30" t="inlineStr"/>
      <c r="I32" s="15">
        <f>IF(A32="","",IF(F32="beauftragt",E32,0))</f>
        <v/>
      </c>
    </row>
    <row r="33">
      <c r="A33" s="30" t="inlineStr"/>
      <c r="B33" s="30" t="inlineStr"/>
      <c r="C33" s="38" t="inlineStr"/>
      <c r="D33" s="30" t="inlineStr"/>
      <c r="E33" s="34" t="inlineStr"/>
      <c r="F33" s="30" t="inlineStr"/>
      <c r="G33" s="30" t="inlineStr"/>
      <c r="H33" s="30" t="inlineStr"/>
      <c r="I33" s="15">
        <f>IF(A33="","",IF(F33="beauftragt",E33,0))</f>
        <v/>
      </c>
    </row>
    <row r="34">
      <c r="A34" s="30" t="inlineStr"/>
      <c r="B34" s="30" t="inlineStr"/>
      <c r="C34" s="38" t="inlineStr"/>
      <c r="D34" s="30" t="inlineStr"/>
      <c r="E34" s="34" t="inlineStr"/>
      <c r="F34" s="30" t="inlineStr"/>
      <c r="G34" s="30" t="inlineStr"/>
      <c r="H34" s="30" t="inlineStr"/>
      <c r="I34" s="15">
        <f>IF(A34="","",IF(F34="beauftragt",E34,0))</f>
        <v/>
      </c>
    </row>
    <row r="35">
      <c r="A35" s="30" t="inlineStr"/>
      <c r="B35" s="30" t="inlineStr"/>
      <c r="C35" s="38" t="inlineStr"/>
      <c r="D35" s="30" t="inlineStr"/>
      <c r="E35" s="34" t="inlineStr"/>
      <c r="F35" s="30" t="inlineStr"/>
      <c r="G35" s="30" t="inlineStr"/>
      <c r="H35" s="30" t="inlineStr"/>
      <c r="I35" s="15">
        <f>IF(A35="","",IF(F35="beauftragt",E35,0))</f>
        <v/>
      </c>
    </row>
    <row r="36">
      <c r="A36" s="30" t="inlineStr"/>
      <c r="B36" s="30" t="inlineStr"/>
      <c r="C36" s="38" t="inlineStr"/>
      <c r="D36" s="30" t="inlineStr"/>
      <c r="E36" s="34" t="inlineStr"/>
      <c r="F36" s="30" t="inlineStr"/>
      <c r="G36" s="30" t="inlineStr"/>
      <c r="H36" s="30" t="inlineStr"/>
      <c r="I36" s="15">
        <f>IF(A36="","",IF(F36="beauftragt",E36,0))</f>
        <v/>
      </c>
    </row>
    <row r="37">
      <c r="A37" s="30" t="inlineStr"/>
      <c r="B37" s="30" t="inlineStr"/>
      <c r="C37" s="38" t="inlineStr"/>
      <c r="D37" s="30" t="inlineStr"/>
      <c r="E37" s="34" t="inlineStr"/>
      <c r="F37" s="30" t="inlineStr"/>
      <c r="G37" s="30" t="inlineStr"/>
      <c r="H37" s="30" t="inlineStr"/>
      <c r="I37" s="15">
        <f>IF(A37="","",IF(F37="beauftragt",E37,0))</f>
        <v/>
      </c>
    </row>
    <row r="38">
      <c r="A38" s="30" t="inlineStr"/>
      <c r="B38" s="30" t="inlineStr"/>
      <c r="C38" s="38" t="inlineStr"/>
      <c r="D38" s="30" t="inlineStr"/>
      <c r="E38" s="34" t="inlineStr"/>
      <c r="F38" s="30" t="inlineStr"/>
      <c r="G38" s="30" t="inlineStr"/>
      <c r="H38" s="30" t="inlineStr"/>
      <c r="I38" s="15">
        <f>IF(A38="","",IF(F38="beauftragt",E38,0))</f>
        <v/>
      </c>
    </row>
    <row r="39">
      <c r="A39" s="30" t="inlineStr"/>
      <c r="B39" s="30" t="inlineStr"/>
      <c r="C39" s="38" t="inlineStr"/>
      <c r="D39" s="30" t="inlineStr"/>
      <c r="E39" s="34" t="inlineStr"/>
      <c r="F39" s="30" t="inlineStr"/>
      <c r="G39" s="30" t="inlineStr"/>
      <c r="H39" s="30" t="inlineStr"/>
      <c r="I39" s="15">
        <f>IF(A39="","",IF(F39="beauftragt",E39,0))</f>
        <v/>
      </c>
    </row>
    <row r="40">
      <c r="A40" s="30" t="inlineStr"/>
      <c r="B40" s="30" t="inlineStr"/>
      <c r="C40" s="38" t="inlineStr"/>
      <c r="D40" s="30" t="inlineStr"/>
      <c r="E40" s="34" t="inlineStr"/>
      <c r="F40" s="30" t="inlineStr"/>
      <c r="G40" s="30" t="inlineStr"/>
      <c r="H40" s="30" t="inlineStr"/>
      <c r="I40" s="15">
        <f>IF(A40="","",IF(F40="beauftragt",E40,0))</f>
        <v/>
      </c>
    </row>
    <row r="41">
      <c r="A41" s="30" t="inlineStr"/>
      <c r="B41" s="30" t="inlineStr"/>
      <c r="C41" s="38" t="inlineStr"/>
      <c r="D41" s="30" t="inlineStr"/>
      <c r="E41" s="34" t="inlineStr"/>
      <c r="F41" s="30" t="inlineStr"/>
      <c r="G41" s="30" t="inlineStr"/>
      <c r="H41" s="30" t="inlineStr"/>
      <c r="I41" s="15">
        <f>IF(A41="","",IF(F41="beauftragt",E41,0))</f>
        <v/>
      </c>
    </row>
    <row r="42">
      <c r="A42" s="30" t="inlineStr"/>
      <c r="B42" s="30" t="inlineStr"/>
      <c r="C42" s="38" t="inlineStr"/>
      <c r="D42" s="30" t="inlineStr"/>
      <c r="E42" s="34" t="inlineStr"/>
      <c r="F42" s="30" t="inlineStr"/>
      <c r="G42" s="30" t="inlineStr"/>
      <c r="H42" s="30" t="inlineStr"/>
      <c r="I42" s="15">
        <f>IF(A42="","",IF(F42="beauftragt",E42,0))</f>
        <v/>
      </c>
    </row>
    <row r="43">
      <c r="A43" s="30" t="inlineStr"/>
      <c r="B43" s="30" t="inlineStr"/>
      <c r="C43" s="38" t="inlineStr"/>
      <c r="D43" s="30" t="inlineStr"/>
      <c r="E43" s="34" t="inlineStr"/>
      <c r="F43" s="30" t="inlineStr"/>
      <c r="G43" s="30" t="inlineStr"/>
      <c r="H43" s="30" t="inlineStr"/>
      <c r="I43" s="15">
        <f>IF(A43="","",IF(F43="beauftragt",E43,0))</f>
        <v/>
      </c>
    </row>
    <row r="44">
      <c r="A44" s="30" t="inlineStr"/>
      <c r="B44" s="30" t="inlineStr"/>
      <c r="C44" s="38" t="inlineStr"/>
      <c r="D44" s="30" t="inlineStr"/>
      <c r="E44" s="34" t="inlineStr"/>
      <c r="F44" s="30" t="inlineStr"/>
      <c r="G44" s="30" t="inlineStr"/>
      <c r="H44" s="30" t="inlineStr"/>
      <c r="I44" s="15">
        <f>IF(A44="","",IF(F44="beauftragt",E44,0))</f>
        <v/>
      </c>
    </row>
    <row r="45">
      <c r="A45" s="30" t="inlineStr"/>
      <c r="B45" s="30" t="inlineStr"/>
      <c r="C45" s="38" t="inlineStr"/>
      <c r="D45" s="30" t="inlineStr"/>
      <c r="E45" s="34" t="inlineStr"/>
      <c r="F45" s="30" t="inlineStr"/>
      <c r="G45" s="30" t="inlineStr"/>
      <c r="H45" s="30" t="inlineStr"/>
      <c r="I45" s="15">
        <f>IF(A45="","",IF(F45="beauftragt",E45,0))</f>
        <v/>
      </c>
    </row>
    <row r="46">
      <c r="A46" s="30" t="inlineStr"/>
      <c r="B46" s="30" t="inlineStr"/>
      <c r="C46" s="38" t="inlineStr"/>
      <c r="D46" s="30" t="inlineStr"/>
      <c r="E46" s="34" t="inlineStr"/>
      <c r="F46" s="30" t="inlineStr"/>
      <c r="G46" s="30" t="inlineStr"/>
      <c r="H46" s="30" t="inlineStr"/>
      <c r="I46" s="15">
        <f>IF(A46="","",IF(F46="beauftragt",E46,0))</f>
        <v/>
      </c>
    </row>
    <row r="47">
      <c r="A47" s="30" t="inlineStr"/>
      <c r="B47" s="30" t="inlineStr"/>
      <c r="C47" s="38" t="inlineStr"/>
      <c r="D47" s="30" t="inlineStr"/>
      <c r="E47" s="34" t="inlineStr"/>
      <c r="F47" s="30" t="inlineStr"/>
      <c r="G47" s="30" t="inlineStr"/>
      <c r="H47" s="30" t="inlineStr"/>
      <c r="I47" s="15">
        <f>IF(A47="","",IF(F47="beauftragt",E47,0))</f>
        <v/>
      </c>
    </row>
    <row r="48">
      <c r="A48" s="30" t="inlineStr"/>
      <c r="B48" s="30" t="inlineStr"/>
      <c r="C48" s="38" t="inlineStr"/>
      <c r="D48" s="30" t="inlineStr"/>
      <c r="E48" s="34" t="inlineStr"/>
      <c r="F48" s="30" t="inlineStr"/>
      <c r="G48" s="30" t="inlineStr"/>
      <c r="H48" s="30" t="inlineStr"/>
      <c r="I48" s="15">
        <f>IF(A48="","",IF(F48="beauftragt",E48,0))</f>
        <v/>
      </c>
    </row>
    <row r="49">
      <c r="A49" s="30" t="inlineStr"/>
      <c r="B49" s="30" t="inlineStr"/>
      <c r="C49" s="38" t="inlineStr"/>
      <c r="D49" s="30" t="inlineStr"/>
      <c r="E49" s="34" t="inlineStr"/>
      <c r="F49" s="30" t="inlineStr"/>
      <c r="G49" s="30" t="inlineStr"/>
      <c r="H49" s="30" t="inlineStr"/>
      <c r="I49" s="15">
        <f>IF(A49="","",IF(F49="beauftragt",E49,0))</f>
        <v/>
      </c>
    </row>
    <row r="50">
      <c r="A50" s="30" t="inlineStr"/>
      <c r="B50" s="30" t="inlineStr"/>
      <c r="C50" s="38" t="inlineStr"/>
      <c r="D50" s="30" t="inlineStr"/>
      <c r="E50" s="34" t="inlineStr"/>
      <c r="F50" s="30" t="inlineStr"/>
      <c r="G50" s="30" t="inlineStr"/>
      <c r="H50" s="30" t="inlineStr"/>
      <c r="I50" s="15">
        <f>IF(A50="","",IF(F50="beauftragt",E50,0))</f>
        <v/>
      </c>
    </row>
    <row r="51">
      <c r="A51" s="30" t="inlineStr"/>
      <c r="B51" s="30" t="inlineStr"/>
      <c r="C51" s="38" t="inlineStr"/>
      <c r="D51" s="30" t="inlineStr"/>
      <c r="E51" s="34" t="inlineStr"/>
      <c r="F51" s="30" t="inlineStr"/>
      <c r="G51" s="30" t="inlineStr"/>
      <c r="H51" s="30" t="inlineStr"/>
      <c r="I51" s="15">
        <f>IF(A51="","",IF(F51="beauftragt",E51,0))</f>
        <v/>
      </c>
    </row>
    <row r="52">
      <c r="A52" s="30" t="inlineStr"/>
      <c r="B52" s="30" t="inlineStr"/>
      <c r="C52" s="38" t="inlineStr"/>
      <c r="D52" s="30" t="inlineStr"/>
      <c r="E52" s="34" t="inlineStr"/>
      <c r="F52" s="30" t="inlineStr"/>
      <c r="G52" s="30" t="inlineStr"/>
      <c r="H52" s="30" t="inlineStr"/>
      <c r="I52" s="15">
        <f>IF(A52="","",IF(F52="beauftragt",E52,0))</f>
        <v/>
      </c>
    </row>
    <row r="53">
      <c r="A53" s="30" t="inlineStr"/>
      <c r="B53" s="30" t="inlineStr"/>
      <c r="C53" s="38" t="inlineStr"/>
      <c r="D53" s="30" t="inlineStr"/>
      <c r="E53" s="34" t="inlineStr"/>
      <c r="F53" s="30" t="inlineStr"/>
      <c r="G53" s="30" t="inlineStr"/>
      <c r="H53" s="30" t="inlineStr"/>
      <c r="I53" s="15">
        <f>IF(A53="","",IF(F53="beauftragt",E53,0))</f>
        <v/>
      </c>
    </row>
    <row r="54">
      <c r="A54" s="30" t="inlineStr"/>
      <c r="B54" s="30" t="inlineStr"/>
      <c r="C54" s="38" t="inlineStr"/>
      <c r="D54" s="30" t="inlineStr"/>
      <c r="E54" s="34" t="inlineStr"/>
      <c r="F54" s="30" t="inlineStr"/>
      <c r="G54" s="30" t="inlineStr"/>
      <c r="H54" s="30" t="inlineStr"/>
      <c r="I54" s="15">
        <f>IF(A54="","",IF(F54="beauftragt",E54,0))</f>
        <v/>
      </c>
    </row>
    <row r="55">
      <c r="A55" s="30" t="inlineStr"/>
      <c r="B55" s="30" t="inlineStr"/>
      <c r="C55" s="38" t="inlineStr"/>
      <c r="D55" s="30" t="inlineStr"/>
      <c r="E55" s="34" t="inlineStr"/>
      <c r="F55" s="30" t="inlineStr"/>
      <c r="G55" s="30" t="inlineStr"/>
      <c r="H55" s="30" t="inlineStr"/>
      <c r="I55" s="15">
        <f>IF(A55="","",IF(F55="beauftragt",E55,0))</f>
        <v/>
      </c>
    </row>
    <row r="56">
      <c r="A56" s="30" t="inlineStr"/>
      <c r="B56" s="30" t="inlineStr"/>
      <c r="C56" s="38" t="inlineStr"/>
      <c r="D56" s="30" t="inlineStr"/>
      <c r="E56" s="34" t="inlineStr"/>
      <c r="F56" s="30" t="inlineStr"/>
      <c r="G56" s="30" t="inlineStr"/>
      <c r="H56" s="30" t="inlineStr"/>
      <c r="I56" s="15">
        <f>IF(A56="","",IF(F56="beauftragt",E56,0))</f>
        <v/>
      </c>
    </row>
    <row r="57">
      <c r="A57" s="30" t="inlineStr"/>
      <c r="B57" s="30" t="inlineStr"/>
      <c r="C57" s="38" t="inlineStr"/>
      <c r="D57" s="30" t="inlineStr"/>
      <c r="E57" s="34" t="inlineStr"/>
      <c r="F57" s="30" t="inlineStr"/>
      <c r="G57" s="30" t="inlineStr"/>
      <c r="H57" s="30" t="inlineStr"/>
      <c r="I57" s="15">
        <f>IF(A57="","",IF(F57="beauftragt",E57,0))</f>
        <v/>
      </c>
    </row>
    <row r="58">
      <c r="A58" s="30" t="inlineStr"/>
      <c r="B58" s="30" t="inlineStr"/>
      <c r="C58" s="38" t="inlineStr"/>
      <c r="D58" s="30" t="inlineStr"/>
      <c r="E58" s="34" t="inlineStr"/>
      <c r="F58" s="30" t="inlineStr"/>
      <c r="G58" s="30" t="inlineStr"/>
      <c r="H58" s="30" t="inlineStr"/>
      <c r="I58" s="15">
        <f>IF(A58="","",IF(F58="beauftragt",E58,0))</f>
        <v/>
      </c>
    </row>
    <row r="59">
      <c r="A59" s="30" t="inlineStr"/>
      <c r="B59" s="30" t="inlineStr"/>
      <c r="C59" s="38" t="inlineStr"/>
      <c r="D59" s="30" t="inlineStr"/>
      <c r="E59" s="34" t="inlineStr"/>
      <c r="F59" s="30" t="inlineStr"/>
      <c r="G59" s="30" t="inlineStr"/>
      <c r="H59" s="30" t="inlineStr"/>
      <c r="I59" s="15">
        <f>IF(A59="","",IF(F59="beauftragt",E59,0))</f>
        <v/>
      </c>
    </row>
    <row r="60">
      <c r="A60" s="30" t="inlineStr"/>
      <c r="B60" s="30" t="inlineStr"/>
      <c r="C60" s="38" t="inlineStr"/>
      <c r="D60" s="30" t="inlineStr"/>
      <c r="E60" s="34" t="inlineStr"/>
      <c r="F60" s="30" t="inlineStr"/>
      <c r="G60" s="30" t="inlineStr"/>
      <c r="H60" s="30" t="inlineStr"/>
      <c r="I60" s="15">
        <f>IF(A60="","",IF(F60="beauftragt",E60,0))</f>
        <v/>
      </c>
    </row>
    <row r="61">
      <c r="A61" s="30" t="inlineStr"/>
      <c r="B61" s="30" t="inlineStr"/>
      <c r="C61" s="38" t="inlineStr"/>
      <c r="D61" s="30" t="inlineStr"/>
      <c r="E61" s="34" t="inlineStr"/>
      <c r="F61" s="30" t="inlineStr"/>
      <c r="G61" s="30" t="inlineStr"/>
      <c r="H61" s="30" t="inlineStr"/>
      <c r="I61" s="15">
        <f>IF(A61="","",IF(F61="beauftragt",E61,0))</f>
        <v/>
      </c>
    </row>
    <row r="62">
      <c r="A62" s="30" t="inlineStr"/>
      <c r="B62" s="30" t="inlineStr"/>
      <c r="C62" s="38" t="inlineStr"/>
      <c r="D62" s="30" t="inlineStr"/>
      <c r="E62" s="34" t="inlineStr"/>
      <c r="F62" s="30" t="inlineStr"/>
      <c r="G62" s="30" t="inlineStr"/>
      <c r="H62" s="30" t="inlineStr"/>
      <c r="I62" s="15">
        <f>IF(A62="","",IF(F62="beauftragt",E62,0))</f>
        <v/>
      </c>
    </row>
    <row r="63">
      <c r="A63" s="30" t="inlineStr"/>
      <c r="B63" s="30" t="inlineStr"/>
      <c r="C63" s="38" t="inlineStr"/>
      <c r="D63" s="30" t="inlineStr"/>
      <c r="E63" s="34" t="inlineStr"/>
      <c r="F63" s="30" t="inlineStr"/>
      <c r="G63" s="30" t="inlineStr"/>
      <c r="H63" s="30" t="inlineStr"/>
      <c r="I63" s="15">
        <f>IF(A63="","",IF(F63="beauftragt",E63,0))</f>
        <v/>
      </c>
    </row>
    <row r="64">
      <c r="A64" s="30" t="inlineStr"/>
      <c r="B64" s="30" t="inlineStr"/>
      <c r="C64" s="38" t="inlineStr"/>
      <c r="D64" s="30" t="inlineStr"/>
      <c r="E64" s="34" t="inlineStr"/>
      <c r="F64" s="30" t="inlineStr"/>
      <c r="G64" s="30" t="inlineStr"/>
      <c r="H64" s="30" t="inlineStr"/>
      <c r="I64" s="15">
        <f>IF(A64="","",IF(F64="beauftragt",E64,0))</f>
        <v/>
      </c>
    </row>
    <row r="65">
      <c r="A65" s="30" t="inlineStr"/>
      <c r="B65" s="30" t="inlineStr"/>
      <c r="C65" s="38" t="inlineStr"/>
      <c r="D65" s="30" t="inlineStr"/>
      <c r="E65" s="34" t="inlineStr"/>
      <c r="F65" s="30" t="inlineStr"/>
      <c r="G65" s="30" t="inlineStr"/>
      <c r="H65" s="30" t="inlineStr"/>
      <c r="I65" s="15">
        <f>IF(A65="","",IF(F65="beauftragt",E65,0))</f>
        <v/>
      </c>
    </row>
    <row r="66">
      <c r="A66" s="30" t="inlineStr"/>
      <c r="B66" s="30" t="inlineStr"/>
      <c r="C66" s="38" t="inlineStr"/>
      <c r="D66" s="30" t="inlineStr"/>
      <c r="E66" s="34" t="inlineStr"/>
      <c r="F66" s="30" t="inlineStr"/>
      <c r="G66" s="30" t="inlineStr"/>
      <c r="H66" s="30" t="inlineStr"/>
      <c r="I66" s="15">
        <f>IF(A66="","",IF(F66="beauftragt",E66,0))</f>
        <v/>
      </c>
    </row>
    <row r="67">
      <c r="A67" s="30" t="inlineStr"/>
      <c r="B67" s="30" t="inlineStr"/>
      <c r="C67" s="38" t="inlineStr"/>
      <c r="D67" s="30" t="inlineStr"/>
      <c r="E67" s="34" t="inlineStr"/>
      <c r="F67" s="30" t="inlineStr"/>
      <c r="G67" s="30" t="inlineStr"/>
      <c r="H67" s="30" t="inlineStr"/>
      <c r="I67" s="15">
        <f>IF(A67="","",IF(F67="beauftragt",E67,0))</f>
        <v/>
      </c>
    </row>
    <row r="68">
      <c r="A68" s="30" t="inlineStr"/>
      <c r="B68" s="30" t="inlineStr"/>
      <c r="C68" s="38" t="inlineStr"/>
      <c r="D68" s="30" t="inlineStr"/>
      <c r="E68" s="34" t="inlineStr"/>
      <c r="F68" s="30" t="inlineStr"/>
      <c r="G68" s="30" t="inlineStr"/>
      <c r="H68" s="30" t="inlineStr"/>
      <c r="I68" s="15">
        <f>IF(A68="","",IF(F68="beauftragt",E68,0))</f>
        <v/>
      </c>
    </row>
    <row r="69">
      <c r="A69" s="30" t="inlineStr"/>
      <c r="B69" s="30" t="inlineStr"/>
      <c r="C69" s="38" t="inlineStr"/>
      <c r="D69" s="30" t="inlineStr"/>
      <c r="E69" s="34" t="inlineStr"/>
      <c r="F69" s="30" t="inlineStr"/>
      <c r="G69" s="30" t="inlineStr"/>
      <c r="H69" s="30" t="inlineStr"/>
      <c r="I69" s="15">
        <f>IF(A69="","",IF(F69="beauftragt",E69,0))</f>
        <v/>
      </c>
    </row>
    <row r="70">
      <c r="A70" s="30" t="inlineStr"/>
      <c r="B70" s="30" t="inlineStr"/>
      <c r="C70" s="38" t="inlineStr"/>
      <c r="D70" s="30" t="inlineStr"/>
      <c r="E70" s="34" t="inlineStr"/>
      <c r="F70" s="30" t="inlineStr"/>
      <c r="G70" s="30" t="inlineStr"/>
      <c r="H70" s="30" t="inlineStr"/>
      <c r="I70" s="15">
        <f>IF(A70="","",IF(F70="beauftragt",E70,0))</f>
        <v/>
      </c>
    </row>
    <row r="71">
      <c r="A71" s="30" t="inlineStr"/>
      <c r="B71" s="30" t="inlineStr"/>
      <c r="C71" s="38" t="inlineStr"/>
      <c r="D71" s="30" t="inlineStr"/>
      <c r="E71" s="34" t="inlineStr"/>
      <c r="F71" s="30" t="inlineStr"/>
      <c r="G71" s="30" t="inlineStr"/>
      <c r="H71" s="30" t="inlineStr"/>
      <c r="I71" s="15">
        <f>IF(A71="","",IF(F71="beauftragt",E71,0))</f>
        <v/>
      </c>
    </row>
    <row r="72">
      <c r="A72" s="30" t="inlineStr"/>
      <c r="B72" s="30" t="inlineStr"/>
      <c r="C72" s="38" t="inlineStr"/>
      <c r="D72" s="30" t="inlineStr"/>
      <c r="E72" s="34" t="inlineStr"/>
      <c r="F72" s="30" t="inlineStr"/>
      <c r="G72" s="30" t="inlineStr"/>
      <c r="H72" s="30" t="inlineStr"/>
      <c r="I72" s="15">
        <f>IF(A72="","",IF(F72="beauftragt",E72,0))</f>
        <v/>
      </c>
    </row>
    <row r="73">
      <c r="A73" s="30" t="inlineStr"/>
      <c r="B73" s="30" t="inlineStr"/>
      <c r="C73" s="38" t="inlineStr"/>
      <c r="D73" s="30" t="inlineStr"/>
      <c r="E73" s="34" t="inlineStr"/>
      <c r="F73" s="30" t="inlineStr"/>
      <c r="G73" s="30" t="inlineStr"/>
      <c r="H73" s="30" t="inlineStr"/>
      <c r="I73" s="15">
        <f>IF(A73="","",IF(F73="beauftragt",E73,0))</f>
        <v/>
      </c>
    </row>
    <row r="74">
      <c r="A74" s="30" t="inlineStr"/>
      <c r="B74" s="30" t="inlineStr"/>
      <c r="C74" s="38" t="inlineStr"/>
      <c r="D74" s="30" t="inlineStr"/>
      <c r="E74" s="34" t="inlineStr"/>
      <c r="F74" s="30" t="inlineStr"/>
      <c r="G74" s="30" t="inlineStr"/>
      <c r="H74" s="30" t="inlineStr"/>
      <c r="I74" s="15">
        <f>IF(A74="","",IF(F74="beauftragt",E74,0))</f>
        <v/>
      </c>
    </row>
    <row r="75">
      <c r="A75" s="30" t="inlineStr"/>
      <c r="B75" s="30" t="inlineStr"/>
      <c r="C75" s="38" t="inlineStr"/>
      <c r="D75" s="30" t="inlineStr"/>
      <c r="E75" s="34" t="inlineStr"/>
      <c r="F75" s="30" t="inlineStr"/>
      <c r="G75" s="30" t="inlineStr"/>
      <c r="H75" s="30" t="inlineStr"/>
      <c r="I75" s="15">
        <f>IF(A75="","",IF(F75="beauftragt",E75,0))</f>
        <v/>
      </c>
    </row>
    <row r="76">
      <c r="A76" s="30" t="inlineStr"/>
      <c r="B76" s="30" t="inlineStr"/>
      <c r="C76" s="38" t="inlineStr"/>
      <c r="D76" s="30" t="inlineStr"/>
      <c r="E76" s="34" t="inlineStr"/>
      <c r="F76" s="30" t="inlineStr"/>
      <c r="G76" s="30" t="inlineStr"/>
      <c r="H76" s="30" t="inlineStr"/>
      <c r="I76" s="15">
        <f>IF(A76="","",IF(F76="beauftragt",E76,0))</f>
        <v/>
      </c>
    </row>
    <row r="77">
      <c r="A77" s="30" t="inlineStr"/>
      <c r="B77" s="30" t="inlineStr"/>
      <c r="C77" s="38" t="inlineStr"/>
      <c r="D77" s="30" t="inlineStr"/>
      <c r="E77" s="34" t="inlineStr"/>
      <c r="F77" s="30" t="inlineStr"/>
      <c r="G77" s="30" t="inlineStr"/>
      <c r="H77" s="30" t="inlineStr"/>
      <c r="I77" s="15">
        <f>IF(A77="","",IF(F77="beauftragt",E77,0))</f>
        <v/>
      </c>
    </row>
    <row r="78">
      <c r="A78" s="30" t="inlineStr"/>
      <c r="B78" s="30" t="inlineStr"/>
      <c r="C78" s="38" t="inlineStr"/>
      <c r="D78" s="30" t="inlineStr"/>
      <c r="E78" s="34" t="inlineStr"/>
      <c r="F78" s="30" t="inlineStr"/>
      <c r="G78" s="30" t="inlineStr"/>
      <c r="H78" s="30" t="inlineStr"/>
      <c r="I78" s="15">
        <f>IF(A78="","",IF(F78="beauftragt",E78,0))</f>
        <v/>
      </c>
    </row>
    <row r="79">
      <c r="A79" s="30" t="inlineStr"/>
      <c r="B79" s="30" t="inlineStr"/>
      <c r="C79" s="38" t="inlineStr"/>
      <c r="D79" s="30" t="inlineStr"/>
      <c r="E79" s="34" t="inlineStr"/>
      <c r="F79" s="30" t="inlineStr"/>
      <c r="G79" s="30" t="inlineStr"/>
      <c r="H79" s="30" t="inlineStr"/>
      <c r="I79" s="15">
        <f>IF(A79="","",IF(F79="beauftragt",E79,0))</f>
        <v/>
      </c>
    </row>
    <row r="80">
      <c r="A80" s="30" t="inlineStr"/>
      <c r="B80" s="30" t="inlineStr"/>
      <c r="C80" s="38" t="inlineStr"/>
      <c r="D80" s="30" t="inlineStr"/>
      <c r="E80" s="34" t="inlineStr"/>
      <c r="F80" s="30" t="inlineStr"/>
      <c r="G80" s="30" t="inlineStr"/>
      <c r="H80" s="30" t="inlineStr"/>
      <c r="I80" s="15">
        <f>IF(A80="","",IF(F80="beauftragt",E80,0))</f>
        <v/>
      </c>
    </row>
    <row r="81">
      <c r="A81" s="30" t="inlineStr"/>
      <c r="B81" s="30" t="inlineStr"/>
      <c r="C81" s="38" t="inlineStr"/>
      <c r="D81" s="30" t="inlineStr"/>
      <c r="E81" s="34" t="inlineStr"/>
      <c r="F81" s="30" t="inlineStr"/>
      <c r="G81" s="30" t="inlineStr"/>
      <c r="H81" s="30" t="inlineStr"/>
      <c r="I81" s="15">
        <f>IF(A81="","",IF(F81="beauftragt",E81,0))</f>
        <v/>
      </c>
    </row>
    <row r="82">
      <c r="A82" s="30" t="inlineStr"/>
      <c r="B82" s="30" t="inlineStr"/>
      <c r="C82" s="38" t="inlineStr"/>
      <c r="D82" s="30" t="inlineStr"/>
      <c r="E82" s="34" t="inlineStr"/>
      <c r="F82" s="30" t="inlineStr"/>
      <c r="G82" s="30" t="inlineStr"/>
      <c r="H82" s="30" t="inlineStr"/>
      <c r="I82" s="15">
        <f>IF(A82="","",IF(F82="beauftragt",E82,0))</f>
        <v/>
      </c>
    </row>
    <row r="83">
      <c r="A83" s="30" t="inlineStr"/>
      <c r="B83" s="30" t="inlineStr"/>
      <c r="C83" s="38" t="inlineStr"/>
      <c r="D83" s="30" t="inlineStr"/>
      <c r="E83" s="34" t="inlineStr"/>
      <c r="F83" s="30" t="inlineStr"/>
      <c r="G83" s="30" t="inlineStr"/>
      <c r="H83" s="30" t="inlineStr"/>
      <c r="I83" s="15">
        <f>IF(A83="","",IF(F83="beauftragt",E83,0))</f>
        <v/>
      </c>
    </row>
    <row r="84">
      <c r="A84" s="30" t="inlineStr"/>
      <c r="B84" s="30" t="inlineStr"/>
      <c r="C84" s="38" t="inlineStr"/>
      <c r="D84" s="30" t="inlineStr"/>
      <c r="E84" s="34" t="inlineStr"/>
      <c r="F84" s="30" t="inlineStr"/>
      <c r="G84" s="30" t="inlineStr"/>
      <c r="H84" s="30" t="inlineStr"/>
      <c r="I84" s="15">
        <f>IF(A84="","",IF(F84="beauftragt",E84,0))</f>
        <v/>
      </c>
    </row>
    <row r="85">
      <c r="A85" s="30" t="inlineStr"/>
      <c r="B85" s="30" t="inlineStr"/>
      <c r="C85" s="38" t="inlineStr"/>
      <c r="D85" s="30" t="inlineStr"/>
      <c r="E85" s="34" t="inlineStr"/>
      <c r="F85" s="30" t="inlineStr"/>
      <c r="G85" s="30" t="inlineStr"/>
      <c r="H85" s="30" t="inlineStr"/>
      <c r="I85" s="15">
        <f>IF(A85="","",IF(F85="beauftragt",E85,0))</f>
        <v/>
      </c>
    </row>
    <row r="86">
      <c r="A86" s="30" t="inlineStr"/>
      <c r="B86" s="30" t="inlineStr"/>
      <c r="C86" s="38" t="inlineStr"/>
      <c r="D86" s="30" t="inlineStr"/>
      <c r="E86" s="34" t="inlineStr"/>
      <c r="F86" s="30" t="inlineStr"/>
      <c r="G86" s="30" t="inlineStr"/>
      <c r="H86" s="30" t="inlineStr"/>
      <c r="I86" s="15">
        <f>IF(A86="","",IF(F86="beauftragt",E86,0))</f>
        <v/>
      </c>
    </row>
    <row r="87">
      <c r="A87" s="30" t="inlineStr"/>
      <c r="B87" s="30" t="inlineStr"/>
      <c r="C87" s="38" t="inlineStr"/>
      <c r="D87" s="30" t="inlineStr"/>
      <c r="E87" s="34" t="inlineStr"/>
      <c r="F87" s="30" t="inlineStr"/>
      <c r="G87" s="30" t="inlineStr"/>
      <c r="H87" s="30" t="inlineStr"/>
      <c r="I87" s="15">
        <f>IF(A87="","",IF(F87="beauftragt",E87,0))</f>
        <v/>
      </c>
    </row>
    <row r="88">
      <c r="A88" s="30" t="inlineStr"/>
      <c r="B88" s="30" t="inlineStr"/>
      <c r="C88" s="38" t="inlineStr"/>
      <c r="D88" s="30" t="inlineStr"/>
      <c r="E88" s="34" t="inlineStr"/>
      <c r="F88" s="30" t="inlineStr"/>
      <c r="G88" s="30" t="inlineStr"/>
      <c r="H88" s="30" t="inlineStr"/>
      <c r="I88" s="15">
        <f>IF(A88="","",IF(F88="beauftragt",E88,0))</f>
        <v/>
      </c>
    </row>
    <row r="89">
      <c r="A89" s="30" t="inlineStr"/>
      <c r="B89" s="30" t="inlineStr"/>
      <c r="C89" s="38" t="inlineStr"/>
      <c r="D89" s="30" t="inlineStr"/>
      <c r="E89" s="34" t="inlineStr"/>
      <c r="F89" s="30" t="inlineStr"/>
      <c r="G89" s="30" t="inlineStr"/>
      <c r="H89" s="30" t="inlineStr"/>
      <c r="I89" s="15">
        <f>IF(A89="","",IF(F89="beauftragt",E89,0))</f>
        <v/>
      </c>
    </row>
    <row r="90">
      <c r="A90" s="30" t="inlineStr"/>
      <c r="B90" s="30" t="inlineStr"/>
      <c r="C90" s="38" t="inlineStr"/>
      <c r="D90" s="30" t="inlineStr"/>
      <c r="E90" s="34" t="inlineStr"/>
      <c r="F90" s="30" t="inlineStr"/>
      <c r="G90" s="30" t="inlineStr"/>
      <c r="H90" s="30" t="inlineStr"/>
      <c r="I90" s="15">
        <f>IF(A90="","",IF(F90="beauftragt",E90,0))</f>
        <v/>
      </c>
    </row>
    <row r="91">
      <c r="A91" s="30" t="inlineStr"/>
      <c r="B91" s="30" t="inlineStr"/>
      <c r="C91" s="38" t="inlineStr"/>
      <c r="D91" s="30" t="inlineStr"/>
      <c r="E91" s="34" t="inlineStr"/>
      <c r="F91" s="30" t="inlineStr"/>
      <c r="G91" s="30" t="inlineStr"/>
      <c r="H91" s="30" t="inlineStr"/>
      <c r="I91" s="15">
        <f>IF(A91="","",IF(F91="beauftragt",E91,0))</f>
        <v/>
      </c>
    </row>
    <row r="92">
      <c r="A92" s="30" t="inlineStr"/>
      <c r="B92" s="30" t="inlineStr"/>
      <c r="C92" s="38" t="inlineStr"/>
      <c r="D92" s="30" t="inlineStr"/>
      <c r="E92" s="34" t="inlineStr"/>
      <c r="F92" s="30" t="inlineStr"/>
      <c r="G92" s="30" t="inlineStr"/>
      <c r="H92" s="30" t="inlineStr"/>
      <c r="I92" s="15">
        <f>IF(A92="","",IF(F92="beauftragt",E92,0))</f>
        <v/>
      </c>
    </row>
    <row r="93">
      <c r="A93" s="30" t="inlineStr"/>
      <c r="B93" s="30" t="inlineStr"/>
      <c r="C93" s="38" t="inlineStr"/>
      <c r="D93" s="30" t="inlineStr"/>
      <c r="E93" s="34" t="inlineStr"/>
      <c r="F93" s="30" t="inlineStr"/>
      <c r="G93" s="30" t="inlineStr"/>
      <c r="H93" s="30" t="inlineStr"/>
      <c r="I93" s="15">
        <f>IF(A93="","",IF(F93="beauftragt",E93,0))</f>
        <v/>
      </c>
    </row>
    <row r="94">
      <c r="A94" s="30" t="inlineStr"/>
      <c r="B94" s="30" t="inlineStr"/>
      <c r="C94" s="38" t="inlineStr"/>
      <c r="D94" s="30" t="inlineStr"/>
      <c r="E94" s="34" t="inlineStr"/>
      <c r="F94" s="30" t="inlineStr"/>
      <c r="G94" s="30" t="inlineStr"/>
      <c r="H94" s="30" t="inlineStr"/>
      <c r="I94" s="15">
        <f>IF(A94="","",IF(F94="beauftragt",E94,0))</f>
        <v/>
      </c>
    </row>
    <row r="95">
      <c r="A95" s="30" t="inlineStr"/>
      <c r="B95" s="30" t="inlineStr"/>
      <c r="C95" s="38" t="inlineStr"/>
      <c r="D95" s="30" t="inlineStr"/>
      <c r="E95" s="34" t="inlineStr"/>
      <c r="F95" s="30" t="inlineStr"/>
      <c r="G95" s="30" t="inlineStr"/>
      <c r="H95" s="30" t="inlineStr"/>
      <c r="I95" s="15">
        <f>IF(A95="","",IF(F95="beauftragt",E95,0))</f>
        <v/>
      </c>
    </row>
    <row r="96">
      <c r="A96" s="30" t="inlineStr"/>
      <c r="B96" s="30" t="inlineStr"/>
      <c r="C96" s="38" t="inlineStr"/>
      <c r="D96" s="30" t="inlineStr"/>
      <c r="E96" s="34" t="inlineStr"/>
      <c r="F96" s="30" t="inlineStr"/>
      <c r="G96" s="30" t="inlineStr"/>
      <c r="H96" s="30" t="inlineStr"/>
      <c r="I96" s="15">
        <f>IF(A96="","",IF(F96="beauftragt",E96,0))</f>
        <v/>
      </c>
    </row>
    <row r="97">
      <c r="A97" s="30" t="inlineStr"/>
      <c r="B97" s="30" t="inlineStr"/>
      <c r="C97" s="38" t="inlineStr"/>
      <c r="D97" s="30" t="inlineStr"/>
      <c r="E97" s="34" t="inlineStr"/>
      <c r="F97" s="30" t="inlineStr"/>
      <c r="G97" s="30" t="inlineStr"/>
      <c r="H97" s="30" t="inlineStr"/>
      <c r="I97" s="15">
        <f>IF(A97="","",IF(F97="beauftragt",E97,0))</f>
        <v/>
      </c>
    </row>
    <row r="98">
      <c r="A98" s="30" t="inlineStr"/>
      <c r="B98" s="30" t="inlineStr"/>
      <c r="C98" s="38" t="inlineStr"/>
      <c r="D98" s="30" t="inlineStr"/>
      <c r="E98" s="34" t="inlineStr"/>
      <c r="F98" s="30" t="inlineStr"/>
      <c r="G98" s="30" t="inlineStr"/>
      <c r="H98" s="30" t="inlineStr"/>
      <c r="I98" s="15">
        <f>IF(A98="","",IF(F98="beauftragt",E98,0))</f>
        <v/>
      </c>
    </row>
    <row r="99">
      <c r="A99" s="30" t="inlineStr"/>
      <c r="B99" s="30" t="inlineStr"/>
      <c r="C99" s="38" t="inlineStr"/>
      <c r="D99" s="30" t="inlineStr"/>
      <c r="E99" s="34" t="inlineStr"/>
      <c r="F99" s="30" t="inlineStr"/>
      <c r="G99" s="30" t="inlineStr"/>
      <c r="H99" s="30" t="inlineStr"/>
      <c r="I99" s="15">
        <f>IF(A99="","",IF(F99="beauftragt",E99,0))</f>
        <v/>
      </c>
    </row>
    <row r="100">
      <c r="A100" s="30" t="inlineStr"/>
      <c r="B100" s="30" t="inlineStr"/>
      <c r="C100" s="38" t="inlineStr"/>
      <c r="D100" s="30" t="inlineStr"/>
      <c r="E100" s="34" t="inlineStr"/>
      <c r="F100" s="30" t="inlineStr"/>
      <c r="G100" s="30" t="inlineStr"/>
      <c r="H100" s="30" t="inlineStr"/>
      <c r="I100" s="15">
        <f>IF(A100="","",IF(F100="beauftragt",E100,0))</f>
        <v/>
      </c>
    </row>
    <row r="101">
      <c r="A101" s="30" t="inlineStr"/>
      <c r="B101" s="30" t="inlineStr"/>
      <c r="C101" s="38" t="inlineStr"/>
      <c r="D101" s="30" t="inlineStr"/>
      <c r="E101" s="34" t="inlineStr"/>
      <c r="F101" s="30" t="inlineStr"/>
      <c r="G101" s="30" t="inlineStr"/>
      <c r="H101" s="30" t="inlineStr"/>
      <c r="I101" s="15">
        <f>IF(A101="","",IF(F101="beauftragt",E101,0))</f>
        <v/>
      </c>
    </row>
    <row r="102">
      <c r="A102" s="30" t="inlineStr"/>
      <c r="B102" s="30" t="inlineStr"/>
      <c r="C102" s="38" t="inlineStr"/>
      <c r="D102" s="30" t="inlineStr"/>
      <c r="E102" s="34" t="inlineStr"/>
      <c r="F102" s="30" t="inlineStr"/>
      <c r="G102" s="30" t="inlineStr"/>
      <c r="H102" s="30" t="inlineStr"/>
      <c r="I102" s="15">
        <f>IF(A102="","",IF(F102="beauftragt",E102,0))</f>
        <v/>
      </c>
    </row>
    <row r="103">
      <c r="A103" s="30" t="inlineStr"/>
      <c r="B103" s="30" t="inlineStr"/>
      <c r="C103" s="38" t="inlineStr"/>
      <c r="D103" s="30" t="inlineStr"/>
      <c r="E103" s="34" t="inlineStr"/>
      <c r="F103" s="30" t="inlineStr"/>
      <c r="G103" s="30" t="inlineStr"/>
      <c r="H103" s="30" t="inlineStr"/>
      <c r="I103" s="15">
        <f>IF(A103="","",IF(F103="beauftragt",E103,0))</f>
        <v/>
      </c>
    </row>
    <row r="104">
      <c r="A104" s="30" t="inlineStr"/>
      <c r="B104" s="30" t="inlineStr"/>
      <c r="C104" s="38" t="inlineStr"/>
      <c r="D104" s="30" t="inlineStr"/>
      <c r="E104" s="34" t="inlineStr"/>
      <c r="F104" s="30" t="inlineStr"/>
      <c r="G104" s="30" t="inlineStr"/>
      <c r="H104" s="30" t="inlineStr"/>
      <c r="I104" s="15">
        <f>IF(A104="","",IF(F104="beauftragt",E104,0))</f>
        <v/>
      </c>
    </row>
    <row r="105">
      <c r="A105" s="30" t="inlineStr"/>
      <c r="B105" s="30" t="inlineStr"/>
      <c r="C105" s="38" t="inlineStr"/>
      <c r="D105" s="30" t="inlineStr"/>
      <c r="E105" s="34" t="inlineStr"/>
      <c r="F105" s="30" t="inlineStr"/>
      <c r="G105" s="30" t="inlineStr"/>
      <c r="H105" s="30" t="inlineStr"/>
      <c r="I105" s="15">
        <f>IF(A105="","",IF(F105="beauftragt",E105,0))</f>
        <v/>
      </c>
    </row>
    <row r="106">
      <c r="A106" s="30" t="inlineStr"/>
      <c r="B106" s="30" t="inlineStr"/>
      <c r="C106" s="38" t="inlineStr"/>
      <c r="D106" s="30" t="inlineStr"/>
      <c r="E106" s="34" t="inlineStr"/>
      <c r="F106" s="30" t="inlineStr"/>
      <c r="G106" s="30" t="inlineStr"/>
      <c r="H106" s="30" t="inlineStr"/>
      <c r="I106" s="15">
        <f>IF(A106="","",IF(F106="beauftragt",E106,0))</f>
        <v/>
      </c>
    </row>
    <row r="107">
      <c r="A107" s="30" t="inlineStr"/>
      <c r="B107" s="30" t="inlineStr"/>
      <c r="C107" s="38" t="inlineStr"/>
      <c r="D107" s="30" t="inlineStr"/>
      <c r="E107" s="34" t="inlineStr"/>
      <c r="F107" s="30" t="inlineStr"/>
      <c r="G107" s="30" t="inlineStr"/>
      <c r="H107" s="30" t="inlineStr"/>
      <c r="I107" s="15">
        <f>IF(A107="","",IF(F107="beauftragt",E107,0))</f>
        <v/>
      </c>
    </row>
    <row r="108">
      <c r="A108" s="30" t="inlineStr"/>
      <c r="B108" s="30" t="inlineStr"/>
      <c r="C108" s="38" t="inlineStr"/>
      <c r="D108" s="30" t="inlineStr"/>
      <c r="E108" s="34" t="inlineStr"/>
      <c r="F108" s="30" t="inlineStr"/>
      <c r="G108" s="30" t="inlineStr"/>
      <c r="H108" s="30" t="inlineStr"/>
      <c r="I108" s="15">
        <f>IF(A108="","",IF(F108="beauftragt",E108,0))</f>
        <v/>
      </c>
    </row>
    <row r="109">
      <c r="A109" s="30" t="inlineStr"/>
      <c r="B109" s="30" t="inlineStr"/>
      <c r="C109" s="38" t="inlineStr"/>
      <c r="D109" s="30" t="inlineStr"/>
      <c r="E109" s="34" t="inlineStr"/>
      <c r="F109" s="30" t="inlineStr"/>
      <c r="G109" s="30" t="inlineStr"/>
      <c r="H109" s="30" t="inlineStr"/>
      <c r="I109" s="15">
        <f>IF(A109="","",IF(F109="beauftragt",E109,0))</f>
        <v/>
      </c>
    </row>
    <row r="110">
      <c r="A110" s="30" t="inlineStr"/>
      <c r="B110" s="30" t="inlineStr"/>
      <c r="C110" s="38" t="inlineStr"/>
      <c r="D110" s="30" t="inlineStr"/>
      <c r="E110" s="34" t="inlineStr"/>
      <c r="F110" s="30" t="inlineStr"/>
      <c r="G110" s="30" t="inlineStr"/>
      <c r="H110" s="30" t="inlineStr"/>
      <c r="I110" s="15">
        <f>IF(A110="","",IF(F110="beauftragt",E110,0))</f>
        <v/>
      </c>
    </row>
    <row r="111">
      <c r="A111" s="30" t="inlineStr"/>
      <c r="B111" s="30" t="inlineStr"/>
      <c r="C111" s="38" t="inlineStr"/>
      <c r="D111" s="30" t="inlineStr"/>
      <c r="E111" s="34" t="inlineStr"/>
      <c r="F111" s="30" t="inlineStr"/>
      <c r="G111" s="30" t="inlineStr"/>
      <c r="H111" s="30" t="inlineStr"/>
      <c r="I111" s="15">
        <f>IF(A111="","",IF(F111="beauftragt",E111,0))</f>
        <v/>
      </c>
    </row>
    <row r="112">
      <c r="A112" s="30" t="inlineStr"/>
      <c r="B112" s="30" t="inlineStr"/>
      <c r="C112" s="38" t="inlineStr"/>
      <c r="D112" s="30" t="inlineStr"/>
      <c r="E112" s="34" t="inlineStr"/>
      <c r="F112" s="30" t="inlineStr"/>
      <c r="G112" s="30" t="inlineStr"/>
      <c r="H112" s="30" t="inlineStr"/>
      <c r="I112" s="15">
        <f>IF(A112="","",IF(F112="beauftragt",E112,0))</f>
        <v/>
      </c>
    </row>
    <row r="113">
      <c r="A113" s="30" t="inlineStr"/>
      <c r="B113" s="30" t="inlineStr"/>
      <c r="C113" s="38" t="inlineStr"/>
      <c r="D113" s="30" t="inlineStr"/>
      <c r="E113" s="34" t="inlineStr"/>
      <c r="F113" s="30" t="inlineStr"/>
      <c r="G113" s="30" t="inlineStr"/>
      <c r="H113" s="30" t="inlineStr"/>
      <c r="I113" s="15">
        <f>IF(A113="","",IF(F113="beauftragt",E113,0))</f>
        <v/>
      </c>
    </row>
    <row r="114">
      <c r="A114" s="30" t="inlineStr"/>
      <c r="B114" s="30" t="inlineStr"/>
      <c r="C114" s="38" t="inlineStr"/>
      <c r="D114" s="30" t="inlineStr"/>
      <c r="E114" s="34" t="inlineStr"/>
      <c r="F114" s="30" t="inlineStr"/>
      <c r="G114" s="30" t="inlineStr"/>
      <c r="H114" s="30" t="inlineStr"/>
      <c r="I114" s="15">
        <f>IF(A114="","",IF(F114="beauftragt",E114,0))</f>
        <v/>
      </c>
    </row>
    <row r="115">
      <c r="A115" s="30" t="inlineStr"/>
      <c r="B115" s="30" t="inlineStr"/>
      <c r="C115" s="38" t="inlineStr"/>
      <c r="D115" s="30" t="inlineStr"/>
      <c r="E115" s="34" t="inlineStr"/>
      <c r="F115" s="30" t="inlineStr"/>
      <c r="G115" s="30" t="inlineStr"/>
      <c r="H115" s="30" t="inlineStr"/>
      <c r="I115" s="15">
        <f>IF(A115="","",IF(F115="beauftragt",E115,0))</f>
        <v/>
      </c>
    </row>
    <row r="116">
      <c r="A116" s="30" t="inlineStr"/>
      <c r="B116" s="30" t="inlineStr"/>
      <c r="C116" s="38" t="inlineStr"/>
      <c r="D116" s="30" t="inlineStr"/>
      <c r="E116" s="34" t="inlineStr"/>
      <c r="F116" s="30" t="inlineStr"/>
      <c r="G116" s="30" t="inlineStr"/>
      <c r="H116" s="30" t="inlineStr"/>
      <c r="I116" s="15">
        <f>IF(A116="","",IF(F116="beauftragt",E116,0))</f>
        <v/>
      </c>
    </row>
    <row r="117">
      <c r="A117" s="30" t="inlineStr"/>
      <c r="B117" s="30" t="inlineStr"/>
      <c r="C117" s="38" t="inlineStr"/>
      <c r="D117" s="30" t="inlineStr"/>
      <c r="E117" s="34" t="inlineStr"/>
      <c r="F117" s="30" t="inlineStr"/>
      <c r="G117" s="30" t="inlineStr"/>
      <c r="H117" s="30" t="inlineStr"/>
      <c r="I117" s="15">
        <f>IF(A117="","",IF(F117="beauftragt",E117,0))</f>
        <v/>
      </c>
    </row>
    <row r="118">
      <c r="A118" s="30" t="inlineStr"/>
      <c r="B118" s="30" t="inlineStr"/>
      <c r="C118" s="38" t="inlineStr"/>
      <c r="D118" s="30" t="inlineStr"/>
      <c r="E118" s="34" t="inlineStr"/>
      <c r="F118" s="30" t="inlineStr"/>
      <c r="G118" s="30" t="inlineStr"/>
      <c r="H118" s="30" t="inlineStr"/>
      <c r="I118" s="15">
        <f>IF(A118="","",IF(F118="beauftragt",E118,0))</f>
        <v/>
      </c>
    </row>
    <row r="119">
      <c r="A119" s="30" t="inlineStr"/>
      <c r="B119" s="30" t="inlineStr"/>
      <c r="C119" s="38" t="inlineStr"/>
      <c r="D119" s="30" t="inlineStr"/>
      <c r="E119" s="34" t="inlineStr"/>
      <c r="F119" s="30" t="inlineStr"/>
      <c r="G119" s="30" t="inlineStr"/>
      <c r="H119" s="30" t="inlineStr"/>
      <c r="I119" s="15">
        <f>IF(A119="","",IF(F119="beauftragt",E119,0))</f>
        <v/>
      </c>
    </row>
    <row r="120">
      <c r="A120" s="30" t="inlineStr"/>
      <c r="B120" s="30" t="inlineStr"/>
      <c r="C120" s="38" t="inlineStr"/>
      <c r="D120" s="30" t="inlineStr"/>
      <c r="E120" s="34" t="inlineStr"/>
      <c r="F120" s="30" t="inlineStr"/>
      <c r="G120" s="30" t="inlineStr"/>
      <c r="H120" s="30" t="inlineStr"/>
      <c r="I120" s="15">
        <f>IF(A120="","",IF(F120="beauftragt",E120,0))</f>
        <v/>
      </c>
    </row>
    <row r="121">
      <c r="A121" s="30" t="inlineStr"/>
      <c r="B121" s="30" t="inlineStr"/>
      <c r="C121" s="38" t="inlineStr"/>
      <c r="D121" s="30" t="inlineStr"/>
      <c r="E121" s="34" t="inlineStr"/>
      <c r="F121" s="30" t="inlineStr"/>
      <c r="G121" s="30" t="inlineStr"/>
      <c r="H121" s="30" t="inlineStr"/>
      <c r="I121" s="15">
        <f>IF(A121="","",IF(F121="beauftragt",E121,0))</f>
        <v/>
      </c>
    </row>
    <row r="122">
      <c r="A122" s="30" t="inlineStr"/>
      <c r="B122" s="30" t="inlineStr"/>
      <c r="C122" s="38" t="inlineStr"/>
      <c r="D122" s="30" t="inlineStr"/>
      <c r="E122" s="34" t="inlineStr"/>
      <c r="F122" s="30" t="inlineStr"/>
      <c r="G122" s="30" t="inlineStr"/>
      <c r="H122" s="30" t="inlineStr"/>
      <c r="I122" s="15">
        <f>IF(A122="","",IF(F122="beauftragt",E122,0))</f>
        <v/>
      </c>
    </row>
    <row r="123">
      <c r="A123" s="30" t="inlineStr"/>
      <c r="B123" s="30" t="inlineStr"/>
      <c r="C123" s="38" t="inlineStr"/>
      <c r="D123" s="30" t="inlineStr"/>
      <c r="E123" s="34" t="inlineStr"/>
      <c r="F123" s="30" t="inlineStr"/>
      <c r="G123" s="30" t="inlineStr"/>
      <c r="H123" s="30" t="inlineStr"/>
      <c r="I123" s="15">
        <f>IF(A123="","",IF(F123="beauftragt",E123,0))</f>
        <v/>
      </c>
    </row>
    <row r="124">
      <c r="A124" s="30" t="inlineStr"/>
      <c r="B124" s="30" t="inlineStr"/>
      <c r="C124" s="38" t="inlineStr"/>
      <c r="D124" s="30" t="inlineStr"/>
      <c r="E124" s="34" t="inlineStr"/>
      <c r="F124" s="30" t="inlineStr"/>
      <c r="G124" s="30" t="inlineStr"/>
      <c r="H124" s="30" t="inlineStr"/>
      <c r="I124" s="15">
        <f>IF(A124="","",IF(F124="beauftragt",E124,0))</f>
        <v/>
      </c>
    </row>
    <row r="125">
      <c r="A125" s="30" t="inlineStr"/>
      <c r="B125" s="30" t="inlineStr"/>
      <c r="C125" s="38" t="inlineStr"/>
      <c r="D125" s="30" t="inlineStr"/>
      <c r="E125" s="34" t="inlineStr"/>
      <c r="F125" s="30" t="inlineStr"/>
      <c r="G125" s="30" t="inlineStr"/>
      <c r="H125" s="30" t="inlineStr"/>
      <c r="I125" s="15">
        <f>IF(A125="","",IF(F125="beauftragt",E125,0))</f>
        <v/>
      </c>
    </row>
    <row r="126">
      <c r="A126" s="30" t="inlineStr"/>
      <c r="B126" s="30" t="inlineStr"/>
      <c r="C126" s="38" t="inlineStr"/>
      <c r="D126" s="30" t="inlineStr"/>
      <c r="E126" s="34" t="inlineStr"/>
      <c r="F126" s="30" t="inlineStr"/>
      <c r="G126" s="30" t="inlineStr"/>
      <c r="H126" s="30" t="inlineStr"/>
      <c r="I126" s="15">
        <f>IF(A126="","",IF(F126="beauftragt",E126,0))</f>
        <v/>
      </c>
    </row>
    <row r="127">
      <c r="A127" s="30" t="inlineStr"/>
      <c r="B127" s="30" t="inlineStr"/>
      <c r="C127" s="38" t="inlineStr"/>
      <c r="D127" s="30" t="inlineStr"/>
      <c r="E127" s="34" t="inlineStr"/>
      <c r="F127" s="30" t="inlineStr"/>
      <c r="G127" s="30" t="inlineStr"/>
      <c r="H127" s="30" t="inlineStr"/>
      <c r="I127" s="15">
        <f>IF(A127="","",IF(F127="beauftragt",E127,0))</f>
        <v/>
      </c>
    </row>
    <row r="128">
      <c r="A128" s="30" t="inlineStr"/>
      <c r="B128" s="30" t="inlineStr"/>
      <c r="C128" s="38" t="inlineStr"/>
      <c r="D128" s="30" t="inlineStr"/>
      <c r="E128" s="34" t="inlineStr"/>
      <c r="F128" s="30" t="inlineStr"/>
      <c r="G128" s="30" t="inlineStr"/>
      <c r="H128" s="30" t="inlineStr"/>
      <c r="I128" s="15">
        <f>IF(A128="","",IF(F128="beauftragt",E128,0))</f>
        <v/>
      </c>
    </row>
    <row r="129">
      <c r="A129" s="30" t="inlineStr"/>
      <c r="B129" s="30" t="inlineStr"/>
      <c r="C129" s="38" t="inlineStr"/>
      <c r="D129" s="30" t="inlineStr"/>
      <c r="E129" s="34" t="inlineStr"/>
      <c r="F129" s="30" t="inlineStr"/>
      <c r="G129" s="30" t="inlineStr"/>
      <c r="H129" s="30" t="inlineStr"/>
      <c r="I129" s="15">
        <f>IF(A129="","",IF(F129="beauftragt",E129,0))</f>
        <v/>
      </c>
    </row>
    <row r="130">
      <c r="A130" s="30" t="inlineStr"/>
      <c r="B130" s="30" t="inlineStr"/>
      <c r="C130" s="38" t="inlineStr"/>
      <c r="D130" s="30" t="inlineStr"/>
      <c r="E130" s="34" t="inlineStr"/>
      <c r="F130" s="30" t="inlineStr"/>
      <c r="G130" s="30" t="inlineStr"/>
      <c r="H130" s="30" t="inlineStr"/>
      <c r="I130" s="15">
        <f>IF(A130="","",IF(F130="beauftragt",E130,0))</f>
        <v/>
      </c>
    </row>
    <row r="131">
      <c r="A131" s="30" t="inlineStr"/>
      <c r="B131" s="30" t="inlineStr"/>
      <c r="C131" s="38" t="inlineStr"/>
      <c r="D131" s="30" t="inlineStr"/>
      <c r="E131" s="34" t="inlineStr"/>
      <c r="F131" s="30" t="inlineStr"/>
      <c r="G131" s="30" t="inlineStr"/>
      <c r="H131" s="30" t="inlineStr"/>
      <c r="I131" s="15">
        <f>IF(A131="","",IF(F131="beauftragt",E131,0))</f>
        <v/>
      </c>
    </row>
    <row r="132">
      <c r="A132" s="30" t="inlineStr"/>
      <c r="B132" s="30" t="inlineStr"/>
      <c r="C132" s="38" t="inlineStr"/>
      <c r="D132" s="30" t="inlineStr"/>
      <c r="E132" s="34" t="inlineStr"/>
      <c r="F132" s="30" t="inlineStr"/>
      <c r="G132" s="30" t="inlineStr"/>
      <c r="H132" s="30" t="inlineStr"/>
      <c r="I132" s="15">
        <f>IF(A132="","",IF(F132="beauftragt",E132,0))</f>
        <v/>
      </c>
    </row>
    <row r="133">
      <c r="A133" s="30" t="inlineStr"/>
      <c r="B133" s="30" t="inlineStr"/>
      <c r="C133" s="38" t="inlineStr"/>
      <c r="D133" s="30" t="inlineStr"/>
      <c r="E133" s="34" t="inlineStr"/>
      <c r="F133" s="30" t="inlineStr"/>
      <c r="G133" s="30" t="inlineStr"/>
      <c r="H133" s="30" t="inlineStr"/>
      <c r="I133" s="15">
        <f>IF(A133="","",IF(F133="beauftragt",E133,0))</f>
        <v/>
      </c>
    </row>
    <row r="134">
      <c r="A134" s="30" t="inlineStr"/>
      <c r="B134" s="30" t="inlineStr"/>
      <c r="C134" s="38" t="inlineStr"/>
      <c r="D134" s="30" t="inlineStr"/>
      <c r="E134" s="34" t="inlineStr"/>
      <c r="F134" s="30" t="inlineStr"/>
      <c r="G134" s="30" t="inlineStr"/>
      <c r="H134" s="30" t="inlineStr"/>
      <c r="I134" s="15">
        <f>IF(A134="","",IF(F134="beauftragt",E134,0))</f>
        <v/>
      </c>
    </row>
    <row r="135">
      <c r="A135" s="30" t="inlineStr"/>
      <c r="B135" s="30" t="inlineStr"/>
      <c r="C135" s="38" t="inlineStr"/>
      <c r="D135" s="30" t="inlineStr"/>
      <c r="E135" s="34" t="inlineStr"/>
      <c r="F135" s="30" t="inlineStr"/>
      <c r="G135" s="30" t="inlineStr"/>
      <c r="H135" s="30" t="inlineStr"/>
      <c r="I135" s="15">
        <f>IF(A135="","",IF(F135="beauftragt",E135,0))</f>
        <v/>
      </c>
    </row>
    <row r="136">
      <c r="A136" s="30" t="inlineStr"/>
      <c r="B136" s="30" t="inlineStr"/>
      <c r="C136" s="38" t="inlineStr"/>
      <c r="D136" s="30" t="inlineStr"/>
      <c r="E136" s="34" t="inlineStr"/>
      <c r="F136" s="30" t="inlineStr"/>
      <c r="G136" s="30" t="inlineStr"/>
      <c r="H136" s="30" t="inlineStr"/>
      <c r="I136" s="15">
        <f>IF(A136="","",IF(F136="beauftragt",E136,0))</f>
        <v/>
      </c>
    </row>
    <row r="137">
      <c r="A137" s="30" t="inlineStr"/>
      <c r="B137" s="30" t="inlineStr"/>
      <c r="C137" s="38" t="inlineStr"/>
      <c r="D137" s="30" t="inlineStr"/>
      <c r="E137" s="34" t="inlineStr"/>
      <c r="F137" s="30" t="inlineStr"/>
      <c r="G137" s="30" t="inlineStr"/>
      <c r="H137" s="30" t="inlineStr"/>
      <c r="I137" s="15">
        <f>IF(A137="","",IF(F137="beauftragt",E137,0))</f>
        <v/>
      </c>
    </row>
    <row r="138">
      <c r="A138" s="30" t="inlineStr"/>
      <c r="B138" s="30" t="inlineStr"/>
      <c r="C138" s="38" t="inlineStr"/>
      <c r="D138" s="30" t="inlineStr"/>
      <c r="E138" s="34" t="inlineStr"/>
      <c r="F138" s="30" t="inlineStr"/>
      <c r="G138" s="30" t="inlineStr"/>
      <c r="H138" s="30" t="inlineStr"/>
      <c r="I138" s="15">
        <f>IF(A138="","",IF(F138="beauftragt",E138,0))</f>
        <v/>
      </c>
    </row>
    <row r="139">
      <c r="A139" s="30" t="inlineStr"/>
      <c r="B139" s="30" t="inlineStr"/>
      <c r="C139" s="38" t="inlineStr"/>
      <c r="D139" s="30" t="inlineStr"/>
      <c r="E139" s="34" t="inlineStr"/>
      <c r="F139" s="30" t="inlineStr"/>
      <c r="G139" s="30" t="inlineStr"/>
      <c r="H139" s="30" t="inlineStr"/>
      <c r="I139" s="15">
        <f>IF(A139="","",IF(F139="beauftragt",E139,0))</f>
        <v/>
      </c>
    </row>
    <row r="140">
      <c r="A140" s="30" t="inlineStr"/>
      <c r="B140" s="30" t="inlineStr"/>
      <c r="C140" s="38" t="inlineStr"/>
      <c r="D140" s="30" t="inlineStr"/>
      <c r="E140" s="34" t="inlineStr"/>
      <c r="F140" s="30" t="inlineStr"/>
      <c r="G140" s="30" t="inlineStr"/>
      <c r="H140" s="30" t="inlineStr"/>
      <c r="I140" s="15">
        <f>IF(A140="","",IF(F140="beauftragt",E140,0))</f>
        <v/>
      </c>
    </row>
    <row r="141">
      <c r="A141" s="30" t="inlineStr"/>
      <c r="B141" s="30" t="inlineStr"/>
      <c r="C141" s="38" t="inlineStr"/>
      <c r="D141" s="30" t="inlineStr"/>
      <c r="E141" s="34" t="inlineStr"/>
      <c r="F141" s="30" t="inlineStr"/>
      <c r="G141" s="30" t="inlineStr"/>
      <c r="H141" s="30" t="inlineStr"/>
      <c r="I141" s="15">
        <f>IF(A141="","",IF(F141="beauftragt",E141,0))</f>
        <v/>
      </c>
    </row>
    <row r="142">
      <c r="A142" s="30" t="inlineStr"/>
      <c r="B142" s="30" t="inlineStr"/>
      <c r="C142" s="38" t="inlineStr"/>
      <c r="D142" s="30" t="inlineStr"/>
      <c r="E142" s="34" t="inlineStr"/>
      <c r="F142" s="30" t="inlineStr"/>
      <c r="G142" s="30" t="inlineStr"/>
      <c r="H142" s="30" t="inlineStr"/>
      <c r="I142" s="15">
        <f>IF(A142="","",IF(F142="beauftragt",E142,0))</f>
        <v/>
      </c>
    </row>
    <row r="143">
      <c r="A143" s="30" t="inlineStr"/>
      <c r="B143" s="30" t="inlineStr"/>
      <c r="C143" s="38" t="inlineStr"/>
      <c r="D143" s="30" t="inlineStr"/>
      <c r="E143" s="34" t="inlineStr"/>
      <c r="F143" s="30" t="inlineStr"/>
      <c r="G143" s="30" t="inlineStr"/>
      <c r="H143" s="30" t="inlineStr"/>
      <c r="I143" s="15">
        <f>IF(A143="","",IF(F143="beauftragt",E143,0))</f>
        <v/>
      </c>
    </row>
    <row r="144">
      <c r="A144" s="30" t="inlineStr"/>
      <c r="B144" s="30" t="inlineStr"/>
      <c r="C144" s="38" t="inlineStr"/>
      <c r="D144" s="30" t="inlineStr"/>
      <c r="E144" s="34" t="inlineStr"/>
      <c r="F144" s="30" t="inlineStr"/>
      <c r="G144" s="30" t="inlineStr"/>
      <c r="H144" s="30" t="inlineStr"/>
      <c r="I144" s="15">
        <f>IF(A144="","",IF(F144="beauftragt",E144,0))</f>
        <v/>
      </c>
    </row>
    <row r="145">
      <c r="A145" s="30" t="inlineStr"/>
      <c r="B145" s="30" t="inlineStr"/>
      <c r="C145" s="38" t="inlineStr"/>
      <c r="D145" s="30" t="inlineStr"/>
      <c r="E145" s="34" t="inlineStr"/>
      <c r="F145" s="30" t="inlineStr"/>
      <c r="G145" s="30" t="inlineStr"/>
      <c r="H145" s="30" t="inlineStr"/>
      <c r="I145" s="15">
        <f>IF(A145="","",IF(F145="beauftragt",E145,0))</f>
        <v/>
      </c>
    </row>
    <row r="146">
      <c r="A146" s="30" t="inlineStr"/>
      <c r="B146" s="30" t="inlineStr"/>
      <c r="C146" s="38" t="inlineStr"/>
      <c r="D146" s="30" t="inlineStr"/>
      <c r="E146" s="34" t="inlineStr"/>
      <c r="F146" s="30" t="inlineStr"/>
      <c r="G146" s="30" t="inlineStr"/>
      <c r="H146" s="30" t="inlineStr"/>
      <c r="I146" s="15">
        <f>IF(A146="","",IF(F146="beauftragt",E146,0))</f>
        <v/>
      </c>
    </row>
    <row r="147">
      <c r="A147" s="30" t="inlineStr"/>
      <c r="B147" s="30" t="inlineStr"/>
      <c r="C147" s="38" t="inlineStr"/>
      <c r="D147" s="30" t="inlineStr"/>
      <c r="E147" s="34" t="inlineStr"/>
      <c r="F147" s="30" t="inlineStr"/>
      <c r="G147" s="30" t="inlineStr"/>
      <c r="H147" s="30" t="inlineStr"/>
      <c r="I147" s="15">
        <f>IF(A147="","",IF(F147="beauftragt",E147,0))</f>
        <v/>
      </c>
    </row>
    <row r="148">
      <c r="A148" s="30" t="inlineStr"/>
      <c r="B148" s="30" t="inlineStr"/>
      <c r="C148" s="38" t="inlineStr"/>
      <c r="D148" s="30" t="inlineStr"/>
      <c r="E148" s="34" t="inlineStr"/>
      <c r="F148" s="30" t="inlineStr"/>
      <c r="G148" s="30" t="inlineStr"/>
      <c r="H148" s="30" t="inlineStr"/>
      <c r="I148" s="15">
        <f>IF(A148="","",IF(F148="beauftragt",E148,0))</f>
        <v/>
      </c>
    </row>
    <row r="149">
      <c r="A149" s="30" t="inlineStr"/>
      <c r="B149" s="30" t="inlineStr"/>
      <c r="C149" s="38" t="inlineStr"/>
      <c r="D149" s="30" t="inlineStr"/>
      <c r="E149" s="34" t="inlineStr"/>
      <c r="F149" s="30" t="inlineStr"/>
      <c r="G149" s="30" t="inlineStr"/>
      <c r="H149" s="30" t="inlineStr"/>
      <c r="I149" s="15">
        <f>IF(A149="","",IF(F149="beauftragt",E149,0))</f>
        <v/>
      </c>
    </row>
    <row r="150">
      <c r="A150" s="30" t="inlineStr"/>
      <c r="B150" s="30" t="inlineStr"/>
      <c r="C150" s="38" t="inlineStr"/>
      <c r="D150" s="30" t="inlineStr"/>
      <c r="E150" s="34" t="inlineStr"/>
      <c r="F150" s="30" t="inlineStr"/>
      <c r="G150" s="30" t="inlineStr"/>
      <c r="H150" s="30" t="inlineStr"/>
      <c r="I150" s="15">
        <f>IF(A150="","",IF(F150="beauftragt",E150,0))</f>
        <v/>
      </c>
    </row>
    <row r="151">
      <c r="A151" s="30" t="inlineStr"/>
      <c r="B151" s="30" t="inlineStr"/>
      <c r="C151" s="38" t="inlineStr"/>
      <c r="D151" s="30" t="inlineStr"/>
      <c r="E151" s="34" t="inlineStr"/>
      <c r="F151" s="30" t="inlineStr"/>
      <c r="G151" s="30" t="inlineStr"/>
      <c r="H151" s="30" t="inlineStr"/>
      <c r="I151" s="15">
        <f>IF(A151="","",IF(F151="beauftragt",E151,0))</f>
        <v/>
      </c>
    </row>
    <row r="152">
      <c r="A152" s="30" t="inlineStr"/>
      <c r="B152" s="30" t="inlineStr"/>
      <c r="C152" s="38" t="inlineStr"/>
      <c r="D152" s="30" t="inlineStr"/>
      <c r="E152" s="34" t="inlineStr"/>
      <c r="F152" s="30" t="inlineStr"/>
      <c r="G152" s="30" t="inlineStr"/>
      <c r="H152" s="30" t="inlineStr"/>
      <c r="I152" s="15">
        <f>IF(A152="","",IF(F152="beauftragt",E152,0))</f>
        <v/>
      </c>
    </row>
    <row r="153">
      <c r="A153" s="30" t="inlineStr"/>
      <c r="B153" s="30" t="inlineStr"/>
      <c r="C153" s="38" t="inlineStr"/>
      <c r="D153" s="30" t="inlineStr"/>
      <c r="E153" s="34" t="inlineStr"/>
      <c r="F153" s="30" t="inlineStr"/>
      <c r="G153" s="30" t="inlineStr"/>
      <c r="H153" s="30" t="inlineStr"/>
      <c r="I153" s="15">
        <f>IF(A153="","",IF(F153="beauftragt",E153,0))</f>
        <v/>
      </c>
    </row>
    <row r="154">
      <c r="A154" s="30" t="inlineStr"/>
      <c r="B154" s="30" t="inlineStr"/>
      <c r="C154" s="38" t="inlineStr"/>
      <c r="D154" s="30" t="inlineStr"/>
      <c r="E154" s="34" t="inlineStr"/>
      <c r="F154" s="30" t="inlineStr"/>
      <c r="G154" s="30" t="inlineStr"/>
      <c r="H154" s="30" t="inlineStr"/>
      <c r="I154" s="15">
        <f>IF(A154="","",IF(F154="beauftragt",E154,0))</f>
        <v/>
      </c>
    </row>
    <row r="155">
      <c r="A155" s="30" t="inlineStr"/>
      <c r="B155" s="30" t="inlineStr"/>
      <c r="C155" s="38" t="inlineStr"/>
      <c r="D155" s="30" t="inlineStr"/>
      <c r="E155" s="34" t="inlineStr"/>
      <c r="F155" s="30" t="inlineStr"/>
      <c r="G155" s="30" t="inlineStr"/>
      <c r="H155" s="30" t="inlineStr"/>
      <c r="I155" s="15">
        <f>IF(A155="","",IF(F155="beauftragt",E155,0))</f>
        <v/>
      </c>
    </row>
    <row r="156">
      <c r="A156" s="30" t="inlineStr"/>
      <c r="B156" s="30" t="inlineStr"/>
      <c r="C156" s="38" t="inlineStr"/>
      <c r="D156" s="30" t="inlineStr"/>
      <c r="E156" s="34" t="inlineStr"/>
      <c r="F156" s="30" t="inlineStr"/>
      <c r="G156" s="30" t="inlineStr"/>
      <c r="H156" s="30" t="inlineStr"/>
      <c r="I156" s="15">
        <f>IF(A156="","",IF(F156="beauftragt",E156,0))</f>
        <v/>
      </c>
    </row>
    <row r="157">
      <c r="A157" s="30" t="inlineStr"/>
      <c r="B157" s="30" t="inlineStr"/>
      <c r="C157" s="38" t="inlineStr"/>
      <c r="D157" s="30" t="inlineStr"/>
      <c r="E157" s="34" t="inlineStr"/>
      <c r="F157" s="30" t="inlineStr"/>
      <c r="G157" s="30" t="inlineStr"/>
      <c r="H157" s="30" t="inlineStr"/>
      <c r="I157" s="15">
        <f>IF(A157="","",IF(F157="beauftragt",E157,0))</f>
        <v/>
      </c>
    </row>
    <row r="158">
      <c r="A158" s="30" t="inlineStr"/>
      <c r="B158" s="30" t="inlineStr"/>
      <c r="C158" s="38" t="inlineStr"/>
      <c r="D158" s="30" t="inlineStr"/>
      <c r="E158" s="34" t="inlineStr"/>
      <c r="F158" s="30" t="inlineStr"/>
      <c r="G158" s="30" t="inlineStr"/>
      <c r="H158" s="30" t="inlineStr"/>
      <c r="I158" s="15">
        <f>IF(A158="","",IF(F158="beauftragt",E158,0))</f>
        <v/>
      </c>
    </row>
    <row r="159">
      <c r="A159" s="30" t="inlineStr"/>
      <c r="B159" s="30" t="inlineStr"/>
      <c r="C159" s="38" t="inlineStr"/>
      <c r="D159" s="30" t="inlineStr"/>
      <c r="E159" s="34" t="inlineStr"/>
      <c r="F159" s="30" t="inlineStr"/>
      <c r="G159" s="30" t="inlineStr"/>
      <c r="H159" s="30" t="inlineStr"/>
      <c r="I159" s="15">
        <f>IF(A159="","",IF(F159="beauftragt",E159,0))</f>
        <v/>
      </c>
    </row>
    <row r="160">
      <c r="A160" s="30" t="inlineStr"/>
      <c r="B160" s="30" t="inlineStr"/>
      <c r="C160" s="38" t="inlineStr"/>
      <c r="D160" s="30" t="inlineStr"/>
      <c r="E160" s="34" t="inlineStr"/>
      <c r="F160" s="30" t="inlineStr"/>
      <c r="G160" s="30" t="inlineStr"/>
      <c r="H160" s="30" t="inlineStr"/>
      <c r="I160" s="15">
        <f>IF(A160="","",IF(F160="beauftragt",E160,0))</f>
        <v/>
      </c>
    </row>
    <row r="161">
      <c r="A161" s="30" t="inlineStr"/>
      <c r="B161" s="30" t="inlineStr"/>
      <c r="C161" s="38" t="inlineStr"/>
      <c r="D161" s="30" t="inlineStr"/>
      <c r="E161" s="34" t="inlineStr"/>
      <c r="F161" s="30" t="inlineStr"/>
      <c r="G161" s="30" t="inlineStr"/>
      <c r="H161" s="30" t="inlineStr"/>
      <c r="I161" s="15">
        <f>IF(A161="","",IF(F161="beauftragt",E161,0))</f>
        <v/>
      </c>
    </row>
    <row r="162">
      <c r="A162" s="30" t="inlineStr"/>
      <c r="B162" s="30" t="inlineStr"/>
      <c r="C162" s="38" t="inlineStr"/>
      <c r="D162" s="30" t="inlineStr"/>
      <c r="E162" s="34" t="inlineStr"/>
      <c r="F162" s="30" t="inlineStr"/>
      <c r="G162" s="30" t="inlineStr"/>
      <c r="H162" s="30" t="inlineStr"/>
      <c r="I162" s="15">
        <f>IF(A162="","",IF(F162="beauftragt",E162,0))</f>
        <v/>
      </c>
    </row>
    <row r="163">
      <c r="A163" s="30" t="inlineStr"/>
      <c r="B163" s="30" t="inlineStr"/>
      <c r="C163" s="38" t="inlineStr"/>
      <c r="D163" s="30" t="inlineStr"/>
      <c r="E163" s="34" t="inlineStr"/>
      <c r="F163" s="30" t="inlineStr"/>
      <c r="G163" s="30" t="inlineStr"/>
      <c r="H163" s="30" t="inlineStr"/>
      <c r="I163" s="15">
        <f>IF(A163="","",IF(F163="beauftragt",E163,0))</f>
        <v/>
      </c>
    </row>
    <row r="164">
      <c r="A164" s="30" t="inlineStr"/>
      <c r="B164" s="30" t="inlineStr"/>
      <c r="C164" s="38" t="inlineStr"/>
      <c r="D164" s="30" t="inlineStr"/>
      <c r="E164" s="34" t="inlineStr"/>
      <c r="F164" s="30" t="inlineStr"/>
      <c r="G164" s="30" t="inlineStr"/>
      <c r="H164" s="30" t="inlineStr"/>
      <c r="I164" s="15">
        <f>IF(A164="","",IF(F164="beauftragt",E164,0))</f>
        <v/>
      </c>
    </row>
    <row r="165">
      <c r="A165" s="30" t="inlineStr"/>
      <c r="B165" s="30" t="inlineStr"/>
      <c r="C165" s="38" t="inlineStr"/>
      <c r="D165" s="30" t="inlineStr"/>
      <c r="E165" s="34" t="inlineStr"/>
      <c r="F165" s="30" t="inlineStr"/>
      <c r="G165" s="30" t="inlineStr"/>
      <c r="H165" s="30" t="inlineStr"/>
      <c r="I165" s="15">
        <f>IF(A165="","",IF(F165="beauftragt",E165,0))</f>
        <v/>
      </c>
    </row>
    <row r="166">
      <c r="A166" s="30" t="inlineStr"/>
      <c r="B166" s="30" t="inlineStr"/>
      <c r="C166" s="38" t="inlineStr"/>
      <c r="D166" s="30" t="inlineStr"/>
      <c r="E166" s="34" t="inlineStr"/>
      <c r="F166" s="30" t="inlineStr"/>
      <c r="G166" s="30" t="inlineStr"/>
      <c r="H166" s="30" t="inlineStr"/>
      <c r="I166" s="15">
        <f>IF(A166="","",IF(F166="beauftragt",E166,0))</f>
        <v/>
      </c>
    </row>
    <row r="167">
      <c r="A167" s="30" t="inlineStr"/>
      <c r="B167" s="30" t="inlineStr"/>
      <c r="C167" s="38" t="inlineStr"/>
      <c r="D167" s="30" t="inlineStr"/>
      <c r="E167" s="34" t="inlineStr"/>
      <c r="F167" s="30" t="inlineStr"/>
      <c r="G167" s="30" t="inlineStr"/>
      <c r="H167" s="30" t="inlineStr"/>
      <c r="I167" s="15">
        <f>IF(A167="","",IF(F167="beauftragt",E167,0))</f>
        <v/>
      </c>
    </row>
    <row r="168">
      <c r="A168" s="30" t="inlineStr"/>
      <c r="B168" s="30" t="inlineStr"/>
      <c r="C168" s="38" t="inlineStr"/>
      <c r="D168" s="30" t="inlineStr"/>
      <c r="E168" s="34" t="inlineStr"/>
      <c r="F168" s="30" t="inlineStr"/>
      <c r="G168" s="30" t="inlineStr"/>
      <c r="H168" s="30" t="inlineStr"/>
      <c r="I168" s="15">
        <f>IF(A168="","",IF(F168="beauftragt",E168,0))</f>
        <v/>
      </c>
    </row>
    <row r="169">
      <c r="A169" s="30" t="inlineStr"/>
      <c r="B169" s="30" t="inlineStr"/>
      <c r="C169" s="38" t="inlineStr"/>
      <c r="D169" s="30" t="inlineStr"/>
      <c r="E169" s="34" t="inlineStr"/>
      <c r="F169" s="30" t="inlineStr"/>
      <c r="G169" s="30" t="inlineStr"/>
      <c r="H169" s="30" t="inlineStr"/>
      <c r="I169" s="15">
        <f>IF(A169="","",IF(F169="beauftragt",E169,0))</f>
        <v/>
      </c>
    </row>
    <row r="170">
      <c r="A170" s="30" t="inlineStr"/>
      <c r="B170" s="30" t="inlineStr"/>
      <c r="C170" s="38" t="inlineStr"/>
      <c r="D170" s="30" t="inlineStr"/>
      <c r="E170" s="34" t="inlineStr"/>
      <c r="F170" s="30" t="inlineStr"/>
      <c r="G170" s="30" t="inlineStr"/>
      <c r="H170" s="30" t="inlineStr"/>
      <c r="I170" s="15">
        <f>IF(A170="","",IF(F170="beauftragt",E170,0))</f>
        <v/>
      </c>
    </row>
    <row r="171">
      <c r="A171" s="30" t="inlineStr"/>
      <c r="B171" s="30" t="inlineStr"/>
      <c r="C171" s="38" t="inlineStr"/>
      <c r="D171" s="30" t="inlineStr"/>
      <c r="E171" s="34" t="inlineStr"/>
      <c r="F171" s="30" t="inlineStr"/>
      <c r="G171" s="30" t="inlineStr"/>
      <c r="H171" s="30" t="inlineStr"/>
      <c r="I171" s="15">
        <f>IF(A171="","",IF(F171="beauftragt",E171,0))</f>
        <v/>
      </c>
    </row>
    <row r="172">
      <c r="A172" s="30" t="inlineStr"/>
      <c r="B172" s="30" t="inlineStr"/>
      <c r="C172" s="38" t="inlineStr"/>
      <c r="D172" s="30" t="inlineStr"/>
      <c r="E172" s="34" t="inlineStr"/>
      <c r="F172" s="30" t="inlineStr"/>
      <c r="G172" s="30" t="inlineStr"/>
      <c r="H172" s="30" t="inlineStr"/>
      <c r="I172" s="15">
        <f>IF(A172="","",IF(F172="beauftragt",E172,0))</f>
        <v/>
      </c>
    </row>
    <row r="173">
      <c r="A173" s="30" t="inlineStr"/>
      <c r="B173" s="30" t="inlineStr"/>
      <c r="C173" s="38" t="inlineStr"/>
      <c r="D173" s="30" t="inlineStr"/>
      <c r="E173" s="34" t="inlineStr"/>
      <c r="F173" s="30" t="inlineStr"/>
      <c r="G173" s="30" t="inlineStr"/>
      <c r="H173" s="30" t="inlineStr"/>
      <c r="I173" s="15">
        <f>IF(A173="","",IF(F173="beauftragt",E173,0))</f>
        <v/>
      </c>
    </row>
    <row r="174">
      <c r="A174" s="30" t="inlineStr"/>
      <c r="B174" s="30" t="inlineStr"/>
      <c r="C174" s="38" t="inlineStr"/>
      <c r="D174" s="30" t="inlineStr"/>
      <c r="E174" s="34" t="inlineStr"/>
      <c r="F174" s="30" t="inlineStr"/>
      <c r="G174" s="30" t="inlineStr"/>
      <c r="H174" s="30" t="inlineStr"/>
      <c r="I174" s="15">
        <f>IF(A174="","",IF(F174="beauftragt",E174,0))</f>
        <v/>
      </c>
    </row>
    <row r="175">
      <c r="A175" s="30" t="inlineStr"/>
      <c r="B175" s="30" t="inlineStr"/>
      <c r="C175" s="38" t="inlineStr"/>
      <c r="D175" s="30" t="inlineStr"/>
      <c r="E175" s="34" t="inlineStr"/>
      <c r="F175" s="30" t="inlineStr"/>
      <c r="G175" s="30" t="inlineStr"/>
      <c r="H175" s="30" t="inlineStr"/>
      <c r="I175" s="15">
        <f>IF(A175="","",IF(F175="beauftragt",E175,0))</f>
        <v/>
      </c>
    </row>
    <row r="176">
      <c r="A176" s="30" t="inlineStr"/>
      <c r="B176" s="30" t="inlineStr"/>
      <c r="C176" s="38" t="inlineStr"/>
      <c r="D176" s="30" t="inlineStr"/>
      <c r="E176" s="34" t="inlineStr"/>
      <c r="F176" s="30" t="inlineStr"/>
      <c r="G176" s="30" t="inlineStr"/>
      <c r="H176" s="30" t="inlineStr"/>
      <c r="I176" s="15">
        <f>IF(A176="","",IF(F176="beauftragt",E176,0))</f>
        <v/>
      </c>
    </row>
    <row r="177">
      <c r="A177" s="30" t="inlineStr"/>
      <c r="B177" s="30" t="inlineStr"/>
      <c r="C177" s="38" t="inlineStr"/>
      <c r="D177" s="30" t="inlineStr"/>
      <c r="E177" s="34" t="inlineStr"/>
      <c r="F177" s="30" t="inlineStr"/>
      <c r="G177" s="30" t="inlineStr"/>
      <c r="H177" s="30" t="inlineStr"/>
      <c r="I177" s="15">
        <f>IF(A177="","",IF(F177="beauftragt",E177,0))</f>
        <v/>
      </c>
    </row>
    <row r="178">
      <c r="A178" s="30" t="inlineStr"/>
      <c r="B178" s="30" t="inlineStr"/>
      <c r="C178" s="38" t="inlineStr"/>
      <c r="D178" s="30" t="inlineStr"/>
      <c r="E178" s="34" t="inlineStr"/>
      <c r="F178" s="30" t="inlineStr"/>
      <c r="G178" s="30" t="inlineStr"/>
      <c r="H178" s="30" t="inlineStr"/>
      <c r="I178" s="15">
        <f>IF(A178="","",IF(F178="beauftragt",E178,0))</f>
        <v/>
      </c>
    </row>
    <row r="179">
      <c r="A179" s="30" t="inlineStr"/>
      <c r="B179" s="30" t="inlineStr"/>
      <c r="C179" s="38" t="inlineStr"/>
      <c r="D179" s="30" t="inlineStr"/>
      <c r="E179" s="34" t="inlineStr"/>
      <c r="F179" s="30" t="inlineStr"/>
      <c r="G179" s="30" t="inlineStr"/>
      <c r="H179" s="30" t="inlineStr"/>
      <c r="I179" s="15">
        <f>IF(A179="","",IF(F179="beauftragt",E179,0))</f>
        <v/>
      </c>
    </row>
    <row r="180">
      <c r="A180" s="30" t="inlineStr"/>
      <c r="B180" s="30" t="inlineStr"/>
      <c r="C180" s="38" t="inlineStr"/>
      <c r="D180" s="30" t="inlineStr"/>
      <c r="E180" s="34" t="inlineStr"/>
      <c r="F180" s="30" t="inlineStr"/>
      <c r="G180" s="30" t="inlineStr"/>
      <c r="H180" s="30" t="inlineStr"/>
      <c r="I180" s="15">
        <f>IF(A180="","",IF(F180="beauftragt",E180,0))</f>
        <v/>
      </c>
    </row>
    <row r="181">
      <c r="A181" s="30" t="inlineStr"/>
      <c r="B181" s="30" t="inlineStr"/>
      <c r="C181" s="38" t="inlineStr"/>
      <c r="D181" s="30" t="inlineStr"/>
      <c r="E181" s="34" t="inlineStr"/>
      <c r="F181" s="30" t="inlineStr"/>
      <c r="G181" s="30" t="inlineStr"/>
      <c r="H181" s="30" t="inlineStr"/>
      <c r="I181" s="15">
        <f>IF(A181="","",IF(F181="beauftragt",E181,0))</f>
        <v/>
      </c>
    </row>
    <row r="182">
      <c r="A182" s="30" t="inlineStr"/>
      <c r="B182" s="30" t="inlineStr"/>
      <c r="C182" s="38" t="inlineStr"/>
      <c r="D182" s="30" t="inlineStr"/>
      <c r="E182" s="34" t="inlineStr"/>
      <c r="F182" s="30" t="inlineStr"/>
      <c r="G182" s="30" t="inlineStr"/>
      <c r="H182" s="30" t="inlineStr"/>
      <c r="I182" s="15">
        <f>IF(A182="","",IF(F182="beauftragt",E182,0))</f>
        <v/>
      </c>
    </row>
    <row r="183">
      <c r="A183" s="30" t="inlineStr"/>
      <c r="B183" s="30" t="inlineStr"/>
      <c r="C183" s="38" t="inlineStr"/>
      <c r="D183" s="30" t="inlineStr"/>
      <c r="E183" s="34" t="inlineStr"/>
      <c r="F183" s="30" t="inlineStr"/>
      <c r="G183" s="30" t="inlineStr"/>
      <c r="H183" s="30" t="inlineStr"/>
      <c r="I183" s="15">
        <f>IF(A183="","",IF(F183="beauftragt",E183,0))</f>
        <v/>
      </c>
    </row>
    <row r="184">
      <c r="A184" s="30" t="inlineStr"/>
      <c r="B184" s="30" t="inlineStr"/>
      <c r="C184" s="38" t="inlineStr"/>
      <c r="D184" s="30" t="inlineStr"/>
      <c r="E184" s="34" t="inlineStr"/>
      <c r="F184" s="30" t="inlineStr"/>
      <c r="G184" s="30" t="inlineStr"/>
      <c r="H184" s="30" t="inlineStr"/>
      <c r="I184" s="15">
        <f>IF(A184="","",IF(F184="beauftragt",E184,0))</f>
        <v/>
      </c>
    </row>
    <row r="185">
      <c r="A185" s="30" t="inlineStr"/>
      <c r="B185" s="30" t="inlineStr"/>
      <c r="C185" s="38" t="inlineStr"/>
      <c r="D185" s="30" t="inlineStr"/>
      <c r="E185" s="34" t="inlineStr"/>
      <c r="F185" s="30" t="inlineStr"/>
      <c r="G185" s="30" t="inlineStr"/>
      <c r="H185" s="30" t="inlineStr"/>
      <c r="I185" s="15">
        <f>IF(A185="","",IF(F185="beauftragt",E185,0))</f>
        <v/>
      </c>
    </row>
    <row r="186">
      <c r="A186" s="30" t="inlineStr"/>
      <c r="B186" s="30" t="inlineStr"/>
      <c r="C186" s="38" t="inlineStr"/>
      <c r="D186" s="30" t="inlineStr"/>
      <c r="E186" s="34" t="inlineStr"/>
      <c r="F186" s="30" t="inlineStr"/>
      <c r="G186" s="30" t="inlineStr"/>
      <c r="H186" s="30" t="inlineStr"/>
      <c r="I186" s="15">
        <f>IF(A186="","",IF(F186="beauftragt",E186,0))</f>
        <v/>
      </c>
    </row>
    <row r="187">
      <c r="A187" s="30" t="inlineStr"/>
      <c r="B187" s="30" t="inlineStr"/>
      <c r="C187" s="38" t="inlineStr"/>
      <c r="D187" s="30" t="inlineStr"/>
      <c r="E187" s="34" t="inlineStr"/>
      <c r="F187" s="30" t="inlineStr"/>
      <c r="G187" s="30" t="inlineStr"/>
      <c r="H187" s="30" t="inlineStr"/>
      <c r="I187" s="15">
        <f>IF(A187="","",IF(F187="beauftragt",E187,0))</f>
        <v/>
      </c>
    </row>
    <row r="188">
      <c r="A188" s="30" t="inlineStr"/>
      <c r="B188" s="30" t="inlineStr"/>
      <c r="C188" s="38" t="inlineStr"/>
      <c r="D188" s="30" t="inlineStr"/>
      <c r="E188" s="34" t="inlineStr"/>
      <c r="F188" s="30" t="inlineStr"/>
      <c r="G188" s="30" t="inlineStr"/>
      <c r="H188" s="30" t="inlineStr"/>
      <c r="I188" s="15">
        <f>IF(A188="","",IF(F188="beauftragt",E188,0))</f>
        <v/>
      </c>
    </row>
    <row r="189">
      <c r="A189" s="30" t="inlineStr"/>
      <c r="B189" s="30" t="inlineStr"/>
      <c r="C189" s="38" t="inlineStr"/>
      <c r="D189" s="30" t="inlineStr"/>
      <c r="E189" s="34" t="inlineStr"/>
      <c r="F189" s="30" t="inlineStr"/>
      <c r="G189" s="30" t="inlineStr"/>
      <c r="H189" s="30" t="inlineStr"/>
      <c r="I189" s="15">
        <f>IF(A189="","",IF(F189="beauftragt",E189,0))</f>
        <v/>
      </c>
    </row>
    <row r="190">
      <c r="A190" s="30" t="inlineStr"/>
      <c r="B190" s="30" t="inlineStr"/>
      <c r="C190" s="38" t="inlineStr"/>
      <c r="D190" s="30" t="inlineStr"/>
      <c r="E190" s="34" t="inlineStr"/>
      <c r="F190" s="30" t="inlineStr"/>
      <c r="G190" s="30" t="inlineStr"/>
      <c r="H190" s="30" t="inlineStr"/>
      <c r="I190" s="15">
        <f>IF(A190="","",IF(F190="beauftragt",E190,0))</f>
        <v/>
      </c>
    </row>
    <row r="191">
      <c r="A191" s="30" t="inlineStr"/>
      <c r="B191" s="30" t="inlineStr"/>
      <c r="C191" s="38" t="inlineStr"/>
      <c r="D191" s="30" t="inlineStr"/>
      <c r="E191" s="34" t="inlineStr"/>
      <c r="F191" s="30" t="inlineStr"/>
      <c r="G191" s="30" t="inlineStr"/>
      <c r="H191" s="30" t="inlineStr"/>
      <c r="I191" s="15">
        <f>IF(A191="","",IF(F191="beauftragt",E191,0))</f>
        <v/>
      </c>
    </row>
    <row r="192">
      <c r="A192" s="30" t="inlineStr"/>
      <c r="B192" s="30" t="inlineStr"/>
      <c r="C192" s="38" t="inlineStr"/>
      <c r="D192" s="30" t="inlineStr"/>
      <c r="E192" s="34" t="inlineStr"/>
      <c r="F192" s="30" t="inlineStr"/>
      <c r="G192" s="30" t="inlineStr"/>
      <c r="H192" s="30" t="inlineStr"/>
      <c r="I192" s="15">
        <f>IF(A192="","",IF(F192="beauftragt",E192,0))</f>
        <v/>
      </c>
    </row>
    <row r="193">
      <c r="A193" s="30" t="inlineStr"/>
      <c r="B193" s="30" t="inlineStr"/>
      <c r="C193" s="38" t="inlineStr"/>
      <c r="D193" s="30" t="inlineStr"/>
      <c r="E193" s="34" t="inlineStr"/>
      <c r="F193" s="30" t="inlineStr"/>
      <c r="G193" s="30" t="inlineStr"/>
      <c r="H193" s="30" t="inlineStr"/>
      <c r="I193" s="15">
        <f>IF(A193="","",IF(F193="beauftragt",E193,0))</f>
        <v/>
      </c>
    </row>
    <row r="194">
      <c r="A194" s="30" t="inlineStr"/>
      <c r="B194" s="30" t="inlineStr"/>
      <c r="C194" s="38" t="inlineStr"/>
      <c r="D194" s="30" t="inlineStr"/>
      <c r="E194" s="34" t="inlineStr"/>
      <c r="F194" s="30" t="inlineStr"/>
      <c r="G194" s="30" t="inlineStr"/>
      <c r="H194" s="30" t="inlineStr"/>
      <c r="I194" s="15">
        <f>IF(A194="","",IF(F194="beauftragt",E194,0))</f>
        <v/>
      </c>
    </row>
    <row r="195">
      <c r="A195" s="30" t="inlineStr"/>
      <c r="B195" s="30" t="inlineStr"/>
      <c r="C195" s="38" t="inlineStr"/>
      <c r="D195" s="30" t="inlineStr"/>
      <c r="E195" s="34" t="inlineStr"/>
      <c r="F195" s="30" t="inlineStr"/>
      <c r="G195" s="30" t="inlineStr"/>
      <c r="H195" s="30" t="inlineStr"/>
      <c r="I195" s="15">
        <f>IF(A195="","",IF(F195="beauftragt",E195,0))</f>
        <v/>
      </c>
    </row>
    <row r="196">
      <c r="A196" s="30" t="inlineStr"/>
      <c r="B196" s="30" t="inlineStr"/>
      <c r="C196" s="38" t="inlineStr"/>
      <c r="D196" s="30" t="inlineStr"/>
      <c r="E196" s="34" t="inlineStr"/>
      <c r="F196" s="30" t="inlineStr"/>
      <c r="G196" s="30" t="inlineStr"/>
      <c r="H196" s="30" t="inlineStr"/>
      <c r="I196" s="15">
        <f>IF(A196="","",IF(F196="beauftragt",E196,0))</f>
        <v/>
      </c>
    </row>
    <row r="197">
      <c r="A197" s="30" t="inlineStr"/>
      <c r="B197" s="30" t="inlineStr"/>
      <c r="C197" s="38" t="inlineStr"/>
      <c r="D197" s="30" t="inlineStr"/>
      <c r="E197" s="34" t="inlineStr"/>
      <c r="F197" s="30" t="inlineStr"/>
      <c r="G197" s="30" t="inlineStr"/>
      <c r="H197" s="30" t="inlineStr"/>
      <c r="I197" s="15">
        <f>IF(A197="","",IF(F197="beauftragt",E197,0))</f>
        <v/>
      </c>
    </row>
    <row r="198">
      <c r="A198" s="30" t="inlineStr"/>
      <c r="B198" s="30" t="inlineStr"/>
      <c r="C198" s="38" t="inlineStr"/>
      <c r="D198" s="30" t="inlineStr"/>
      <c r="E198" s="34" t="inlineStr"/>
      <c r="F198" s="30" t="inlineStr"/>
      <c r="G198" s="30" t="inlineStr"/>
      <c r="H198" s="30" t="inlineStr"/>
      <c r="I198" s="15">
        <f>IF(A198="","",IF(F198="beauftragt",E198,0))</f>
        <v/>
      </c>
    </row>
    <row r="199">
      <c r="A199" s="30" t="inlineStr"/>
      <c r="B199" s="30" t="inlineStr"/>
      <c r="C199" s="38" t="inlineStr"/>
      <c r="D199" s="30" t="inlineStr"/>
      <c r="E199" s="34" t="inlineStr"/>
      <c r="F199" s="30" t="inlineStr"/>
      <c r="G199" s="30" t="inlineStr"/>
      <c r="H199" s="30" t="inlineStr"/>
      <c r="I199" s="15">
        <f>IF(A199="","",IF(F199="beauftragt",E199,0))</f>
        <v/>
      </c>
    </row>
    <row r="200">
      <c r="A200" s="30" t="inlineStr"/>
      <c r="B200" s="30" t="inlineStr"/>
      <c r="C200" s="38" t="inlineStr"/>
      <c r="D200" s="30" t="inlineStr"/>
      <c r="E200" s="34" t="inlineStr"/>
      <c r="F200" s="30" t="inlineStr"/>
      <c r="G200" s="30" t="inlineStr"/>
      <c r="H200" s="30" t="inlineStr"/>
      <c r="I200" s="15">
        <f>IF(A200="","",IF(F200="beauftragt",E200,0))</f>
        <v/>
      </c>
    </row>
    <row r="201">
      <c r="A201" s="30" t="inlineStr"/>
      <c r="B201" s="30" t="inlineStr"/>
      <c r="C201" s="38" t="inlineStr"/>
      <c r="D201" s="30" t="inlineStr"/>
      <c r="E201" s="34" t="inlineStr"/>
      <c r="F201" s="30" t="inlineStr"/>
      <c r="G201" s="30" t="inlineStr"/>
      <c r="H201" s="30" t="inlineStr"/>
      <c r="I201" s="15">
        <f>IF(A201="","",IF(F201="beauftragt",E201,0))</f>
        <v/>
      </c>
    </row>
    <row r="202">
      <c r="A202" s="30" t="inlineStr"/>
      <c r="B202" s="30" t="inlineStr"/>
      <c r="C202" s="38" t="inlineStr"/>
      <c r="D202" s="30" t="inlineStr"/>
      <c r="E202" s="34" t="inlineStr"/>
      <c r="F202" s="30" t="inlineStr"/>
      <c r="G202" s="30" t="inlineStr"/>
      <c r="H202" s="30" t="inlineStr"/>
      <c r="I202" s="15">
        <f>IF(A202="","",IF(F202="beauftragt",E202,0))</f>
        <v/>
      </c>
    </row>
    <row r="203">
      <c r="A203" s="30" t="inlineStr"/>
      <c r="B203" s="30" t="inlineStr"/>
      <c r="C203" s="38" t="inlineStr"/>
      <c r="D203" s="30" t="inlineStr"/>
      <c r="E203" s="34" t="inlineStr"/>
      <c r="F203" s="30" t="inlineStr"/>
      <c r="G203" s="30" t="inlineStr"/>
      <c r="H203" s="30" t="inlineStr"/>
      <c r="I203" s="15">
        <f>IF(A203="","",IF(F203="beauftragt",E203,0))</f>
        <v/>
      </c>
    </row>
    <row r="204">
      <c r="A204" s="30" t="inlineStr"/>
      <c r="B204" s="30" t="inlineStr"/>
      <c r="C204" s="38" t="inlineStr"/>
      <c r="D204" s="30" t="inlineStr"/>
      <c r="E204" s="34" t="inlineStr"/>
      <c r="F204" s="30" t="inlineStr"/>
      <c r="G204" s="30" t="inlineStr"/>
      <c r="H204" s="30" t="inlineStr"/>
      <c r="I204" s="15">
        <f>IF(A204="","",IF(F204="beauftragt",E204,0))</f>
        <v/>
      </c>
    </row>
    <row r="205">
      <c r="A205" s="30" t="inlineStr"/>
      <c r="B205" s="30" t="inlineStr"/>
      <c r="C205" s="38" t="inlineStr"/>
      <c r="D205" s="30" t="inlineStr"/>
      <c r="E205" s="34" t="inlineStr"/>
      <c r="F205" s="30" t="inlineStr"/>
      <c r="G205" s="30" t="inlineStr"/>
      <c r="H205" s="30" t="inlineStr"/>
      <c r="I205" s="15">
        <f>IF(A205="","",IF(F205="beauftragt",E205,0))</f>
        <v/>
      </c>
    </row>
    <row r="206">
      <c r="A206" s="30" t="inlineStr"/>
      <c r="B206" s="30" t="inlineStr"/>
      <c r="C206" s="38" t="inlineStr"/>
      <c r="D206" s="30" t="inlineStr"/>
      <c r="E206" s="34" t="inlineStr"/>
      <c r="F206" s="30" t="inlineStr"/>
      <c r="G206" s="30" t="inlineStr"/>
      <c r="H206" s="30" t="inlineStr"/>
      <c r="I206" s="15">
        <f>IF(A206="","",IF(F206="beauftragt",E206,0))</f>
        <v/>
      </c>
    </row>
    <row r="207">
      <c r="A207" s="30" t="inlineStr"/>
      <c r="B207" s="30" t="inlineStr"/>
      <c r="C207" s="38" t="inlineStr"/>
      <c r="D207" s="30" t="inlineStr"/>
      <c r="E207" s="34" t="inlineStr"/>
      <c r="F207" s="30" t="inlineStr"/>
      <c r="G207" s="30" t="inlineStr"/>
      <c r="H207" s="30" t="inlineStr"/>
      <c r="I207" s="15">
        <f>IF(A207="","",IF(F207="beauftragt",E207,0))</f>
        <v/>
      </c>
    </row>
    <row r="208">
      <c r="A208" s="30" t="inlineStr"/>
      <c r="B208" s="30" t="inlineStr"/>
      <c r="C208" s="38" t="inlineStr"/>
      <c r="D208" s="30" t="inlineStr"/>
      <c r="E208" s="34" t="inlineStr"/>
      <c r="F208" s="30" t="inlineStr"/>
      <c r="G208" s="30" t="inlineStr"/>
      <c r="H208" s="30" t="inlineStr"/>
      <c r="I208" s="15">
        <f>IF(A208="","",IF(F208="beauftragt",E208,0))</f>
        <v/>
      </c>
    </row>
    <row r="209">
      <c r="A209" s="30" t="inlineStr"/>
      <c r="B209" s="30" t="inlineStr"/>
      <c r="C209" s="38" t="inlineStr"/>
      <c r="D209" s="30" t="inlineStr"/>
      <c r="E209" s="34" t="inlineStr"/>
      <c r="F209" s="30" t="inlineStr"/>
      <c r="G209" s="30" t="inlineStr"/>
      <c r="H209" s="30" t="inlineStr"/>
      <c r="I209" s="15">
        <f>IF(A209="","",IF(F209="beauftragt",E209,0))</f>
        <v/>
      </c>
    </row>
    <row r="210">
      <c r="A210" s="30" t="inlineStr"/>
      <c r="B210" s="30" t="inlineStr"/>
      <c r="C210" s="38" t="inlineStr"/>
      <c r="D210" s="30" t="inlineStr"/>
      <c r="E210" s="34" t="inlineStr"/>
      <c r="F210" s="30" t="inlineStr"/>
      <c r="G210" s="30" t="inlineStr"/>
      <c r="H210" s="30" t="inlineStr"/>
      <c r="I210" s="15">
        <f>IF(A210="","",IF(F210="beauftragt",E210,0))</f>
        <v/>
      </c>
    </row>
    <row r="211">
      <c r="A211" s="30" t="inlineStr"/>
      <c r="B211" s="30" t="inlineStr"/>
      <c r="C211" s="38" t="inlineStr"/>
      <c r="D211" s="30" t="inlineStr"/>
      <c r="E211" s="34" t="inlineStr"/>
      <c r="F211" s="30" t="inlineStr"/>
      <c r="G211" s="30" t="inlineStr"/>
      <c r="H211" s="30" t="inlineStr"/>
      <c r="I211" s="15">
        <f>IF(A211="","",IF(F211="beauftragt",E211,0))</f>
        <v/>
      </c>
    </row>
    <row r="212">
      <c r="A212" s="30" t="inlineStr"/>
      <c r="B212" s="30" t="inlineStr"/>
      <c r="C212" s="38" t="inlineStr"/>
      <c r="D212" s="30" t="inlineStr"/>
      <c r="E212" s="34" t="inlineStr"/>
      <c r="F212" s="30" t="inlineStr"/>
      <c r="G212" s="30" t="inlineStr"/>
      <c r="H212" s="30" t="inlineStr"/>
      <c r="I212" s="15">
        <f>IF(A212="","",IF(F212="beauftragt",E212,0))</f>
        <v/>
      </c>
    </row>
    <row r="213">
      <c r="A213" s="30" t="inlineStr"/>
      <c r="B213" s="30" t="inlineStr"/>
      <c r="C213" s="38" t="inlineStr"/>
      <c r="D213" s="30" t="inlineStr"/>
      <c r="E213" s="34" t="inlineStr"/>
      <c r="F213" s="30" t="inlineStr"/>
      <c r="G213" s="30" t="inlineStr"/>
      <c r="H213" s="30" t="inlineStr"/>
      <c r="I213" s="15">
        <f>IF(A213="","",IF(F213="beauftragt",E213,0))</f>
        <v/>
      </c>
    </row>
    <row r="214">
      <c r="A214" s="30" t="inlineStr"/>
      <c r="B214" s="30" t="inlineStr"/>
      <c r="C214" s="38" t="inlineStr"/>
      <c r="D214" s="30" t="inlineStr"/>
      <c r="E214" s="34" t="inlineStr"/>
      <c r="F214" s="30" t="inlineStr"/>
      <c r="G214" s="30" t="inlineStr"/>
      <c r="H214" s="30" t="inlineStr"/>
      <c r="I214" s="15">
        <f>IF(A214="","",IF(F214="beauftragt",E214,0))</f>
        <v/>
      </c>
    </row>
    <row r="215">
      <c r="A215" s="30" t="inlineStr"/>
      <c r="B215" s="30" t="inlineStr"/>
      <c r="C215" s="38" t="inlineStr"/>
      <c r="D215" s="30" t="inlineStr"/>
      <c r="E215" s="34" t="inlineStr"/>
      <c r="F215" s="30" t="inlineStr"/>
      <c r="G215" s="30" t="inlineStr"/>
      <c r="H215" s="30" t="inlineStr"/>
      <c r="I215" s="15">
        <f>IF(A215="","",IF(F215="beauftragt",E215,0))</f>
        <v/>
      </c>
    </row>
    <row r="216">
      <c r="A216" s="30" t="inlineStr"/>
      <c r="B216" s="30" t="inlineStr"/>
      <c r="C216" s="38" t="inlineStr"/>
      <c r="D216" s="30" t="inlineStr"/>
      <c r="E216" s="34" t="inlineStr"/>
      <c r="F216" s="30" t="inlineStr"/>
      <c r="G216" s="30" t="inlineStr"/>
      <c r="H216" s="30" t="inlineStr"/>
      <c r="I216" s="15">
        <f>IF(A216="","",IF(F216="beauftragt",E216,0))</f>
        <v/>
      </c>
    </row>
    <row r="217">
      <c r="A217" s="30" t="inlineStr"/>
      <c r="B217" s="30" t="inlineStr"/>
      <c r="C217" s="38" t="inlineStr"/>
      <c r="D217" s="30" t="inlineStr"/>
      <c r="E217" s="34" t="inlineStr"/>
      <c r="F217" s="30" t="inlineStr"/>
      <c r="G217" s="30" t="inlineStr"/>
      <c r="H217" s="30" t="inlineStr"/>
      <c r="I217" s="15">
        <f>IF(A217="","",IF(F217="beauftragt",E217,0))</f>
        <v/>
      </c>
    </row>
    <row r="218">
      <c r="A218" s="30" t="inlineStr"/>
      <c r="B218" s="30" t="inlineStr"/>
      <c r="C218" s="38" t="inlineStr"/>
      <c r="D218" s="30" t="inlineStr"/>
      <c r="E218" s="34" t="inlineStr"/>
      <c r="F218" s="30" t="inlineStr"/>
      <c r="G218" s="30" t="inlineStr"/>
      <c r="H218" s="30" t="inlineStr"/>
      <c r="I218" s="15">
        <f>IF(A218="","",IF(F218="beauftragt",E218,0))</f>
        <v/>
      </c>
    </row>
    <row r="219">
      <c r="A219" s="30" t="inlineStr"/>
      <c r="B219" s="30" t="inlineStr"/>
      <c r="C219" s="38" t="inlineStr"/>
      <c r="D219" s="30" t="inlineStr"/>
      <c r="E219" s="34" t="inlineStr"/>
      <c r="F219" s="30" t="inlineStr"/>
      <c r="G219" s="30" t="inlineStr"/>
      <c r="H219" s="30" t="inlineStr"/>
      <c r="I219" s="15">
        <f>IF(A219="","",IF(F219="beauftragt",E219,0))</f>
        <v/>
      </c>
    </row>
    <row r="220">
      <c r="A220" s="30" t="inlineStr"/>
      <c r="B220" s="30" t="inlineStr"/>
      <c r="C220" s="38" t="inlineStr"/>
      <c r="D220" s="30" t="inlineStr"/>
      <c r="E220" s="34" t="inlineStr"/>
      <c r="F220" s="30" t="inlineStr"/>
      <c r="G220" s="30" t="inlineStr"/>
      <c r="H220" s="30" t="inlineStr"/>
      <c r="I220" s="15">
        <f>IF(A220="","",IF(F220="beauftragt",E220,0))</f>
        <v/>
      </c>
    </row>
    <row r="221">
      <c r="A221" s="30" t="inlineStr"/>
      <c r="B221" s="30" t="inlineStr"/>
      <c r="C221" s="38" t="inlineStr"/>
      <c r="D221" s="30" t="inlineStr"/>
      <c r="E221" s="34" t="inlineStr"/>
      <c r="F221" s="30" t="inlineStr"/>
      <c r="G221" s="30" t="inlineStr"/>
      <c r="H221" s="30" t="inlineStr"/>
      <c r="I221" s="15">
        <f>IF(A221="","",IF(F221="beauftragt",E221,0))</f>
        <v/>
      </c>
    </row>
    <row r="222">
      <c r="A222" s="30" t="inlineStr"/>
      <c r="B222" s="30" t="inlineStr"/>
      <c r="C222" s="38" t="inlineStr"/>
      <c r="D222" s="30" t="inlineStr"/>
      <c r="E222" s="34" t="inlineStr"/>
      <c r="F222" s="30" t="inlineStr"/>
      <c r="G222" s="30" t="inlineStr"/>
      <c r="H222" s="30" t="inlineStr"/>
      <c r="I222" s="15">
        <f>IF(A222="","",IF(F222="beauftragt",E222,0))</f>
        <v/>
      </c>
    </row>
    <row r="223">
      <c r="A223" s="30" t="inlineStr"/>
      <c r="B223" s="30" t="inlineStr"/>
      <c r="C223" s="38" t="inlineStr"/>
      <c r="D223" s="30" t="inlineStr"/>
      <c r="E223" s="34" t="inlineStr"/>
      <c r="F223" s="30" t="inlineStr"/>
      <c r="G223" s="30" t="inlineStr"/>
      <c r="H223" s="30" t="inlineStr"/>
      <c r="I223" s="15">
        <f>IF(A223="","",IF(F223="beauftragt",E223,0))</f>
        <v/>
      </c>
    </row>
    <row r="224">
      <c r="A224" s="30" t="inlineStr"/>
      <c r="B224" s="30" t="inlineStr"/>
      <c r="C224" s="38" t="inlineStr"/>
      <c r="D224" s="30" t="inlineStr"/>
      <c r="E224" s="34" t="inlineStr"/>
      <c r="F224" s="30" t="inlineStr"/>
      <c r="G224" s="30" t="inlineStr"/>
      <c r="H224" s="30" t="inlineStr"/>
      <c r="I224" s="15">
        <f>IF(A224="","",IF(F224="beauftragt",E224,0))</f>
        <v/>
      </c>
    </row>
    <row r="225">
      <c r="A225" s="30" t="inlineStr"/>
      <c r="B225" s="30" t="inlineStr"/>
      <c r="C225" s="38" t="inlineStr"/>
      <c r="D225" s="30" t="inlineStr"/>
      <c r="E225" s="34" t="inlineStr"/>
      <c r="F225" s="30" t="inlineStr"/>
      <c r="G225" s="30" t="inlineStr"/>
      <c r="H225" s="30" t="inlineStr"/>
      <c r="I225" s="15">
        <f>IF(A225="","",IF(F225="beauftragt",E225,0))</f>
        <v/>
      </c>
    </row>
    <row r="226">
      <c r="A226" s="30" t="inlineStr"/>
      <c r="B226" s="30" t="inlineStr"/>
      <c r="C226" s="38" t="inlineStr"/>
      <c r="D226" s="30" t="inlineStr"/>
      <c r="E226" s="34" t="inlineStr"/>
      <c r="F226" s="30" t="inlineStr"/>
      <c r="G226" s="30" t="inlineStr"/>
      <c r="H226" s="30" t="inlineStr"/>
      <c r="I226" s="15">
        <f>IF(A226="","",IF(F226="beauftragt",E226,0))</f>
        <v/>
      </c>
    </row>
    <row r="227">
      <c r="A227" s="30" t="inlineStr"/>
      <c r="B227" s="30" t="inlineStr"/>
      <c r="C227" s="38" t="inlineStr"/>
      <c r="D227" s="30" t="inlineStr"/>
      <c r="E227" s="34" t="inlineStr"/>
      <c r="F227" s="30" t="inlineStr"/>
      <c r="G227" s="30" t="inlineStr"/>
      <c r="H227" s="30" t="inlineStr"/>
      <c r="I227" s="15">
        <f>IF(A227="","",IF(F227="beauftragt",E227,0))</f>
        <v/>
      </c>
    </row>
    <row r="228">
      <c r="A228" s="30" t="inlineStr"/>
      <c r="B228" s="30" t="inlineStr"/>
      <c r="C228" s="38" t="inlineStr"/>
      <c r="D228" s="30" t="inlineStr"/>
      <c r="E228" s="34" t="inlineStr"/>
      <c r="F228" s="30" t="inlineStr"/>
      <c r="G228" s="30" t="inlineStr"/>
      <c r="H228" s="30" t="inlineStr"/>
      <c r="I228" s="15">
        <f>IF(A228="","",IF(F228="beauftragt",E228,0))</f>
        <v/>
      </c>
    </row>
    <row r="229">
      <c r="A229" s="30" t="inlineStr"/>
      <c r="B229" s="30" t="inlineStr"/>
      <c r="C229" s="38" t="inlineStr"/>
      <c r="D229" s="30" t="inlineStr"/>
      <c r="E229" s="34" t="inlineStr"/>
      <c r="F229" s="30" t="inlineStr"/>
      <c r="G229" s="30" t="inlineStr"/>
      <c r="H229" s="30" t="inlineStr"/>
      <c r="I229" s="15">
        <f>IF(A229="","",IF(F229="beauftragt",E229,0))</f>
        <v/>
      </c>
    </row>
    <row r="230">
      <c r="A230" s="30" t="inlineStr"/>
      <c r="B230" s="30" t="inlineStr"/>
      <c r="C230" s="38" t="inlineStr"/>
      <c r="D230" s="30" t="inlineStr"/>
      <c r="E230" s="34" t="inlineStr"/>
      <c r="F230" s="30" t="inlineStr"/>
      <c r="G230" s="30" t="inlineStr"/>
      <c r="H230" s="30" t="inlineStr"/>
      <c r="I230" s="15">
        <f>IF(A230="","",IF(F230="beauftragt",E230,0))</f>
        <v/>
      </c>
    </row>
    <row r="231">
      <c r="A231" s="30" t="inlineStr"/>
      <c r="B231" s="30" t="inlineStr"/>
      <c r="C231" s="38" t="inlineStr"/>
      <c r="D231" s="30" t="inlineStr"/>
      <c r="E231" s="34" t="inlineStr"/>
      <c r="F231" s="30" t="inlineStr"/>
      <c r="G231" s="30" t="inlineStr"/>
      <c r="H231" s="30" t="inlineStr"/>
      <c r="I231" s="15">
        <f>IF(A231="","",IF(F231="beauftragt",E231,0))</f>
        <v/>
      </c>
    </row>
    <row r="232">
      <c r="A232" s="30" t="inlineStr"/>
      <c r="B232" s="30" t="inlineStr"/>
      <c r="C232" s="38" t="inlineStr"/>
      <c r="D232" s="30" t="inlineStr"/>
      <c r="E232" s="34" t="inlineStr"/>
      <c r="F232" s="30" t="inlineStr"/>
      <c r="G232" s="30" t="inlineStr"/>
      <c r="H232" s="30" t="inlineStr"/>
      <c r="I232" s="15">
        <f>IF(A232="","",IF(F232="beauftragt",E232,0))</f>
        <v/>
      </c>
    </row>
    <row r="233">
      <c r="A233" s="30" t="inlineStr"/>
      <c r="B233" s="30" t="inlineStr"/>
      <c r="C233" s="38" t="inlineStr"/>
      <c r="D233" s="30" t="inlineStr"/>
      <c r="E233" s="34" t="inlineStr"/>
      <c r="F233" s="30" t="inlineStr"/>
      <c r="G233" s="30" t="inlineStr"/>
      <c r="H233" s="30" t="inlineStr"/>
      <c r="I233" s="15">
        <f>IF(A233="","",IF(F233="beauftragt",E233,0))</f>
        <v/>
      </c>
    </row>
    <row r="234">
      <c r="A234" s="30" t="inlineStr"/>
      <c r="B234" s="30" t="inlineStr"/>
      <c r="C234" s="38" t="inlineStr"/>
      <c r="D234" s="30" t="inlineStr"/>
      <c r="E234" s="34" t="inlineStr"/>
      <c r="F234" s="30" t="inlineStr"/>
      <c r="G234" s="30" t="inlineStr"/>
      <c r="H234" s="30" t="inlineStr"/>
      <c r="I234" s="15">
        <f>IF(A234="","",IF(F234="beauftragt",E234,0))</f>
        <v/>
      </c>
    </row>
    <row r="235">
      <c r="A235" s="30" t="inlineStr"/>
      <c r="B235" s="30" t="inlineStr"/>
      <c r="C235" s="38" t="inlineStr"/>
      <c r="D235" s="30" t="inlineStr"/>
      <c r="E235" s="34" t="inlineStr"/>
      <c r="F235" s="30" t="inlineStr"/>
      <c r="G235" s="30" t="inlineStr"/>
      <c r="H235" s="30" t="inlineStr"/>
      <c r="I235" s="15">
        <f>IF(A235="","",IF(F235="beauftragt",E235,0))</f>
        <v/>
      </c>
    </row>
    <row r="236">
      <c r="A236" s="30" t="inlineStr"/>
      <c r="B236" s="30" t="inlineStr"/>
      <c r="C236" s="38" t="inlineStr"/>
      <c r="D236" s="30" t="inlineStr"/>
      <c r="E236" s="34" t="inlineStr"/>
      <c r="F236" s="30" t="inlineStr"/>
      <c r="G236" s="30" t="inlineStr"/>
      <c r="H236" s="30" t="inlineStr"/>
      <c r="I236" s="15">
        <f>IF(A236="","",IF(F236="beauftragt",E236,0))</f>
        <v/>
      </c>
    </row>
    <row r="237">
      <c r="A237" s="30" t="inlineStr"/>
      <c r="B237" s="30" t="inlineStr"/>
      <c r="C237" s="38" t="inlineStr"/>
      <c r="D237" s="30" t="inlineStr"/>
      <c r="E237" s="34" t="inlineStr"/>
      <c r="F237" s="30" t="inlineStr"/>
      <c r="G237" s="30" t="inlineStr"/>
      <c r="H237" s="30" t="inlineStr"/>
      <c r="I237" s="15">
        <f>IF(A237="","",IF(F237="beauftragt",E237,0))</f>
        <v/>
      </c>
    </row>
    <row r="238">
      <c r="A238" s="30" t="inlineStr"/>
      <c r="B238" s="30" t="inlineStr"/>
      <c r="C238" s="38" t="inlineStr"/>
      <c r="D238" s="30" t="inlineStr"/>
      <c r="E238" s="34" t="inlineStr"/>
      <c r="F238" s="30" t="inlineStr"/>
      <c r="G238" s="30" t="inlineStr"/>
      <c r="H238" s="30" t="inlineStr"/>
      <c r="I238" s="15">
        <f>IF(A238="","",IF(F238="beauftragt",E238,0))</f>
        <v/>
      </c>
    </row>
    <row r="239">
      <c r="A239" s="30" t="inlineStr"/>
      <c r="B239" s="30" t="inlineStr"/>
      <c r="C239" s="38" t="inlineStr"/>
      <c r="D239" s="30" t="inlineStr"/>
      <c r="E239" s="34" t="inlineStr"/>
      <c r="F239" s="30" t="inlineStr"/>
      <c r="G239" s="30" t="inlineStr"/>
      <c r="H239" s="30" t="inlineStr"/>
      <c r="I239" s="15">
        <f>IF(A239="","",IF(F239="beauftragt",E239,0))</f>
        <v/>
      </c>
    </row>
    <row r="240">
      <c r="A240" s="30" t="inlineStr"/>
      <c r="B240" s="30" t="inlineStr"/>
      <c r="C240" s="38" t="inlineStr"/>
      <c r="D240" s="30" t="inlineStr"/>
      <c r="E240" s="34" t="inlineStr"/>
      <c r="F240" s="30" t="inlineStr"/>
      <c r="G240" s="30" t="inlineStr"/>
      <c r="H240" s="30" t="inlineStr"/>
      <c r="I240" s="15">
        <f>IF(A240="","",IF(F240="beauftragt",E240,0))</f>
        <v/>
      </c>
    </row>
    <row r="241">
      <c r="A241" s="30" t="inlineStr"/>
      <c r="B241" s="30" t="inlineStr"/>
      <c r="C241" s="38" t="inlineStr"/>
      <c r="D241" s="30" t="inlineStr"/>
      <c r="E241" s="34" t="inlineStr"/>
      <c r="F241" s="30" t="inlineStr"/>
      <c r="G241" s="30" t="inlineStr"/>
      <c r="H241" s="30" t="inlineStr"/>
      <c r="I241" s="15">
        <f>IF(A241="","",IF(F241="beauftragt",E241,0))</f>
        <v/>
      </c>
    </row>
    <row r="242">
      <c r="A242" s="30" t="inlineStr"/>
      <c r="B242" s="30" t="inlineStr"/>
      <c r="C242" s="38" t="inlineStr"/>
      <c r="D242" s="30" t="inlineStr"/>
      <c r="E242" s="34" t="inlineStr"/>
      <c r="F242" s="30" t="inlineStr"/>
      <c r="G242" s="30" t="inlineStr"/>
      <c r="H242" s="30" t="inlineStr"/>
      <c r="I242" s="15">
        <f>IF(A242="","",IF(F242="beauftragt",E242,0))</f>
        <v/>
      </c>
    </row>
    <row r="243">
      <c r="A243" s="30" t="inlineStr"/>
      <c r="B243" s="30" t="inlineStr"/>
      <c r="C243" s="38" t="inlineStr"/>
      <c r="D243" s="30" t="inlineStr"/>
      <c r="E243" s="34" t="inlineStr"/>
      <c r="F243" s="30" t="inlineStr"/>
      <c r="G243" s="30" t="inlineStr"/>
      <c r="H243" s="30" t="inlineStr"/>
      <c r="I243" s="15">
        <f>IF(A243="","",IF(F243="beauftragt",E243,0))</f>
        <v/>
      </c>
    </row>
    <row r="244">
      <c r="A244" s="30" t="inlineStr"/>
      <c r="B244" s="30" t="inlineStr"/>
      <c r="C244" s="38" t="inlineStr"/>
      <c r="D244" s="30" t="inlineStr"/>
      <c r="E244" s="34" t="inlineStr"/>
      <c r="F244" s="30" t="inlineStr"/>
      <c r="G244" s="30" t="inlineStr"/>
      <c r="H244" s="30" t="inlineStr"/>
      <c r="I244" s="15">
        <f>IF(A244="","",IF(F244="beauftragt",E244,0))</f>
        <v/>
      </c>
    </row>
    <row r="245">
      <c r="A245" s="30" t="inlineStr"/>
      <c r="B245" s="30" t="inlineStr"/>
      <c r="C245" s="38" t="inlineStr"/>
      <c r="D245" s="30" t="inlineStr"/>
      <c r="E245" s="34" t="inlineStr"/>
      <c r="F245" s="30" t="inlineStr"/>
      <c r="G245" s="30" t="inlineStr"/>
      <c r="H245" s="30" t="inlineStr"/>
      <c r="I245" s="15">
        <f>IF(A245="","",IF(F245="beauftragt",E245,0))</f>
        <v/>
      </c>
    </row>
    <row r="246">
      <c r="A246" s="30" t="inlineStr"/>
      <c r="B246" s="30" t="inlineStr"/>
      <c r="C246" s="38" t="inlineStr"/>
      <c r="D246" s="30" t="inlineStr"/>
      <c r="E246" s="34" t="inlineStr"/>
      <c r="F246" s="30" t="inlineStr"/>
      <c r="G246" s="30" t="inlineStr"/>
      <c r="H246" s="30" t="inlineStr"/>
      <c r="I246" s="15">
        <f>IF(A246="","",IF(F246="beauftragt",E246,0))</f>
        <v/>
      </c>
    </row>
    <row r="247">
      <c r="A247" s="30" t="inlineStr"/>
      <c r="B247" s="30" t="inlineStr"/>
      <c r="C247" s="38" t="inlineStr"/>
      <c r="D247" s="30" t="inlineStr"/>
      <c r="E247" s="34" t="inlineStr"/>
      <c r="F247" s="30" t="inlineStr"/>
      <c r="G247" s="30" t="inlineStr"/>
      <c r="H247" s="30" t="inlineStr"/>
      <c r="I247" s="15">
        <f>IF(A247="","",IF(F247="beauftragt",E247,0))</f>
        <v/>
      </c>
    </row>
    <row r="248">
      <c r="A248" s="30" t="inlineStr"/>
      <c r="B248" s="30" t="inlineStr"/>
      <c r="C248" s="38" t="inlineStr"/>
      <c r="D248" s="30" t="inlineStr"/>
      <c r="E248" s="34" t="inlineStr"/>
      <c r="F248" s="30" t="inlineStr"/>
      <c r="G248" s="30" t="inlineStr"/>
      <c r="H248" s="30" t="inlineStr"/>
      <c r="I248" s="15">
        <f>IF(A248="","",IF(F248="beauftragt",E248,0))</f>
        <v/>
      </c>
    </row>
    <row r="249">
      <c r="A249" s="30" t="inlineStr"/>
      <c r="B249" s="30" t="inlineStr"/>
      <c r="C249" s="38" t="inlineStr"/>
      <c r="D249" s="30" t="inlineStr"/>
      <c r="E249" s="34" t="inlineStr"/>
      <c r="F249" s="30" t="inlineStr"/>
      <c r="G249" s="30" t="inlineStr"/>
      <c r="H249" s="30" t="inlineStr"/>
      <c r="I249" s="15">
        <f>IF(A249="","",IF(F249="beauftragt",E249,0))</f>
        <v/>
      </c>
    </row>
    <row r="250">
      <c r="A250" s="30" t="inlineStr"/>
      <c r="B250" s="30" t="inlineStr"/>
      <c r="C250" s="38" t="inlineStr"/>
      <c r="D250" s="30" t="inlineStr"/>
      <c r="E250" s="34" t="inlineStr"/>
      <c r="F250" s="30" t="inlineStr"/>
      <c r="G250" s="30" t="inlineStr"/>
      <c r="H250" s="30" t="inlineStr"/>
      <c r="I250" s="15">
        <f>IF(A250="","",IF(F250="beauftragt",E250,0))</f>
        <v/>
      </c>
    </row>
    <row r="251">
      <c r="A251" s="30" t="inlineStr"/>
      <c r="B251" s="30" t="inlineStr"/>
      <c r="C251" s="38" t="inlineStr"/>
      <c r="D251" s="30" t="inlineStr"/>
      <c r="E251" s="34" t="inlineStr"/>
      <c r="F251" s="30" t="inlineStr"/>
      <c r="G251" s="30" t="inlineStr"/>
      <c r="H251" s="30" t="inlineStr"/>
      <c r="I251" s="15">
        <f>IF(A251="","",IF(F251="beauftragt",E251,0))</f>
        <v/>
      </c>
    </row>
    <row r="252">
      <c r="A252" s="30" t="inlineStr"/>
      <c r="B252" s="30" t="inlineStr"/>
      <c r="C252" s="38" t="inlineStr"/>
      <c r="D252" s="30" t="inlineStr"/>
      <c r="E252" s="34" t="inlineStr"/>
      <c r="F252" s="30" t="inlineStr"/>
      <c r="G252" s="30" t="inlineStr"/>
      <c r="H252" s="30" t="inlineStr"/>
      <c r="I252" s="15">
        <f>IF(A252="","",IF(F252="beauftragt",E252,0))</f>
        <v/>
      </c>
    </row>
    <row r="253">
      <c r="A253" s="30" t="inlineStr"/>
      <c r="B253" s="30" t="inlineStr"/>
      <c r="C253" s="38" t="inlineStr"/>
      <c r="D253" s="30" t="inlineStr"/>
      <c r="E253" s="34" t="inlineStr"/>
      <c r="F253" s="30" t="inlineStr"/>
      <c r="G253" s="30" t="inlineStr"/>
      <c r="H253" s="30" t="inlineStr"/>
      <c r="I253" s="15">
        <f>IF(A253="","",IF(F253="beauftragt",E253,0))</f>
        <v/>
      </c>
    </row>
    <row r="254">
      <c r="A254" s="30" t="inlineStr"/>
      <c r="B254" s="30" t="inlineStr"/>
      <c r="C254" s="38" t="inlineStr"/>
      <c r="D254" s="30" t="inlineStr"/>
      <c r="E254" s="34" t="inlineStr"/>
      <c r="F254" s="30" t="inlineStr"/>
      <c r="G254" s="30" t="inlineStr"/>
      <c r="H254" s="30" t="inlineStr"/>
      <c r="I254" s="15">
        <f>IF(A254="","",IF(F254="beauftragt",E254,0))</f>
        <v/>
      </c>
    </row>
    <row r="255">
      <c r="A255" s="30" t="inlineStr"/>
      <c r="B255" s="30" t="inlineStr"/>
      <c r="C255" s="38" t="inlineStr"/>
      <c r="D255" s="30" t="inlineStr"/>
      <c r="E255" s="34" t="inlineStr"/>
      <c r="F255" s="30" t="inlineStr"/>
      <c r="G255" s="30" t="inlineStr"/>
      <c r="H255" s="30" t="inlineStr"/>
      <c r="I255" s="15">
        <f>IF(A255="","",IF(F255="beauftragt",E255,0))</f>
        <v/>
      </c>
    </row>
    <row r="256">
      <c r="A256" s="30" t="inlineStr"/>
      <c r="B256" s="30" t="inlineStr"/>
      <c r="C256" s="38" t="inlineStr"/>
      <c r="D256" s="30" t="inlineStr"/>
      <c r="E256" s="34" t="inlineStr"/>
      <c r="F256" s="30" t="inlineStr"/>
      <c r="G256" s="30" t="inlineStr"/>
      <c r="H256" s="30" t="inlineStr"/>
      <c r="I256" s="15">
        <f>IF(A256="","",IF(F256="beauftragt",E256,0))</f>
        <v/>
      </c>
    </row>
    <row r="257">
      <c r="A257" s="30" t="inlineStr"/>
      <c r="B257" s="30" t="inlineStr"/>
      <c r="C257" s="38" t="inlineStr"/>
      <c r="D257" s="30" t="inlineStr"/>
      <c r="E257" s="34" t="inlineStr"/>
      <c r="F257" s="30" t="inlineStr"/>
      <c r="G257" s="30" t="inlineStr"/>
      <c r="H257" s="30" t="inlineStr"/>
      <c r="I257" s="15">
        <f>IF(A257="","",IF(F257="beauftragt",E257,0))</f>
        <v/>
      </c>
    </row>
    <row r="258">
      <c r="A258" s="30" t="inlineStr"/>
      <c r="B258" s="30" t="inlineStr"/>
      <c r="C258" s="38" t="inlineStr"/>
      <c r="D258" s="30" t="inlineStr"/>
      <c r="E258" s="34" t="inlineStr"/>
      <c r="F258" s="30" t="inlineStr"/>
      <c r="G258" s="30" t="inlineStr"/>
      <c r="H258" s="30" t="inlineStr"/>
      <c r="I258" s="15">
        <f>IF(A258="","",IF(F258="beauftragt",E258,0))</f>
        <v/>
      </c>
    </row>
    <row r="259">
      <c r="A259" s="30" t="inlineStr"/>
      <c r="B259" s="30" t="inlineStr"/>
      <c r="C259" s="38" t="inlineStr"/>
      <c r="D259" s="30" t="inlineStr"/>
      <c r="E259" s="34" t="inlineStr"/>
      <c r="F259" s="30" t="inlineStr"/>
      <c r="G259" s="30" t="inlineStr"/>
      <c r="H259" s="30" t="inlineStr"/>
      <c r="I259" s="15">
        <f>IF(A259="","",IF(F259="beauftragt",E259,0))</f>
        <v/>
      </c>
    </row>
    <row r="260">
      <c r="A260" s="30" t="inlineStr"/>
      <c r="B260" s="30" t="inlineStr"/>
      <c r="C260" s="38" t="inlineStr"/>
      <c r="D260" s="30" t="inlineStr"/>
      <c r="E260" s="34" t="inlineStr"/>
      <c r="F260" s="30" t="inlineStr"/>
      <c r="G260" s="30" t="inlineStr"/>
      <c r="H260" s="30" t="inlineStr"/>
      <c r="I260" s="15">
        <f>IF(A260="","",IF(F260="beauftragt",E260,0))</f>
        <v/>
      </c>
    </row>
    <row r="261">
      <c r="A261" s="30" t="inlineStr"/>
      <c r="B261" s="30" t="inlineStr"/>
      <c r="C261" s="38" t="inlineStr"/>
      <c r="D261" s="30" t="inlineStr"/>
      <c r="E261" s="34" t="inlineStr"/>
      <c r="F261" s="30" t="inlineStr"/>
      <c r="G261" s="30" t="inlineStr"/>
      <c r="H261" s="30" t="inlineStr"/>
      <c r="I261" s="15">
        <f>IF(A261="","",IF(F261="beauftragt",E261,0))</f>
        <v/>
      </c>
    </row>
    <row r="262">
      <c r="A262" s="30" t="inlineStr"/>
      <c r="B262" s="30" t="inlineStr"/>
      <c r="C262" s="38" t="inlineStr"/>
      <c r="D262" s="30" t="inlineStr"/>
      <c r="E262" s="34" t="inlineStr"/>
      <c r="F262" s="30" t="inlineStr"/>
      <c r="G262" s="30" t="inlineStr"/>
      <c r="H262" s="30" t="inlineStr"/>
      <c r="I262" s="15">
        <f>IF(A262="","",IF(F262="beauftragt",E262,0))</f>
        <v/>
      </c>
    </row>
    <row r="263">
      <c r="A263" s="30" t="inlineStr"/>
      <c r="B263" s="30" t="inlineStr"/>
      <c r="C263" s="38" t="inlineStr"/>
      <c r="D263" s="30" t="inlineStr"/>
      <c r="E263" s="34" t="inlineStr"/>
      <c r="F263" s="30" t="inlineStr"/>
      <c r="G263" s="30" t="inlineStr"/>
      <c r="H263" s="30" t="inlineStr"/>
      <c r="I263" s="15">
        <f>IF(A263="","",IF(F263="beauftragt",E263,0))</f>
        <v/>
      </c>
    </row>
    <row r="264">
      <c r="A264" s="30" t="inlineStr"/>
      <c r="B264" s="30" t="inlineStr"/>
      <c r="C264" s="38" t="inlineStr"/>
      <c r="D264" s="30" t="inlineStr"/>
      <c r="E264" s="34" t="inlineStr"/>
      <c r="F264" s="30" t="inlineStr"/>
      <c r="G264" s="30" t="inlineStr"/>
      <c r="H264" s="30" t="inlineStr"/>
      <c r="I264" s="15">
        <f>IF(A264="","",IF(F264="beauftragt",E264,0))</f>
        <v/>
      </c>
    </row>
    <row r="265">
      <c r="A265" s="30" t="inlineStr"/>
      <c r="B265" s="30" t="inlineStr"/>
      <c r="C265" s="38" t="inlineStr"/>
      <c r="D265" s="30" t="inlineStr"/>
      <c r="E265" s="34" t="inlineStr"/>
      <c r="F265" s="30" t="inlineStr"/>
      <c r="G265" s="30" t="inlineStr"/>
      <c r="H265" s="30" t="inlineStr"/>
      <c r="I265" s="15">
        <f>IF(A265="","",IF(F265="beauftragt",E265,0))</f>
        <v/>
      </c>
    </row>
    <row r="266">
      <c r="A266" s="30" t="inlineStr"/>
      <c r="B266" s="30" t="inlineStr"/>
      <c r="C266" s="38" t="inlineStr"/>
      <c r="D266" s="30" t="inlineStr"/>
      <c r="E266" s="34" t="inlineStr"/>
      <c r="F266" s="30" t="inlineStr"/>
      <c r="G266" s="30" t="inlineStr"/>
      <c r="H266" s="30" t="inlineStr"/>
      <c r="I266" s="15">
        <f>IF(A266="","",IF(F266="beauftragt",E266,0))</f>
        <v/>
      </c>
    </row>
    <row r="267">
      <c r="A267" s="30" t="inlineStr"/>
      <c r="B267" s="30" t="inlineStr"/>
      <c r="C267" s="38" t="inlineStr"/>
      <c r="D267" s="30" t="inlineStr"/>
      <c r="E267" s="34" t="inlineStr"/>
      <c r="F267" s="30" t="inlineStr"/>
      <c r="G267" s="30" t="inlineStr"/>
      <c r="H267" s="30" t="inlineStr"/>
      <c r="I267" s="15">
        <f>IF(A267="","",IF(F267="beauftragt",E267,0))</f>
        <v/>
      </c>
    </row>
    <row r="268">
      <c r="A268" s="30" t="inlineStr"/>
      <c r="B268" s="30" t="inlineStr"/>
      <c r="C268" s="38" t="inlineStr"/>
      <c r="D268" s="30" t="inlineStr"/>
      <c r="E268" s="34" t="inlineStr"/>
      <c r="F268" s="30" t="inlineStr"/>
      <c r="G268" s="30" t="inlineStr"/>
      <c r="H268" s="30" t="inlineStr"/>
      <c r="I268" s="15">
        <f>IF(A268="","",IF(F268="beauftragt",E268,0))</f>
        <v/>
      </c>
    </row>
    <row r="269">
      <c r="A269" s="30" t="inlineStr"/>
      <c r="B269" s="30" t="inlineStr"/>
      <c r="C269" s="38" t="inlineStr"/>
      <c r="D269" s="30" t="inlineStr"/>
      <c r="E269" s="34" t="inlineStr"/>
      <c r="F269" s="30" t="inlineStr"/>
      <c r="G269" s="30" t="inlineStr"/>
      <c r="H269" s="30" t="inlineStr"/>
      <c r="I269" s="15">
        <f>IF(A269="","",IF(F269="beauftragt",E269,0))</f>
        <v/>
      </c>
    </row>
    <row r="270">
      <c r="A270" s="30" t="inlineStr"/>
      <c r="B270" s="30" t="inlineStr"/>
      <c r="C270" s="38" t="inlineStr"/>
      <c r="D270" s="30" t="inlineStr"/>
      <c r="E270" s="34" t="inlineStr"/>
      <c r="F270" s="30" t="inlineStr"/>
      <c r="G270" s="30" t="inlineStr"/>
      <c r="H270" s="30" t="inlineStr"/>
      <c r="I270" s="15">
        <f>IF(A270="","",IF(F270="beauftragt",E270,0))</f>
        <v/>
      </c>
    </row>
    <row r="271">
      <c r="A271" s="30" t="inlineStr"/>
      <c r="B271" s="30" t="inlineStr"/>
      <c r="C271" s="38" t="inlineStr"/>
      <c r="D271" s="30" t="inlineStr"/>
      <c r="E271" s="34" t="inlineStr"/>
      <c r="F271" s="30" t="inlineStr"/>
      <c r="G271" s="30" t="inlineStr"/>
      <c r="H271" s="30" t="inlineStr"/>
      <c r="I271" s="15">
        <f>IF(A271="","",IF(F271="beauftragt",E271,0))</f>
        <v/>
      </c>
    </row>
    <row r="272">
      <c r="A272" s="30" t="inlineStr"/>
      <c r="B272" s="30" t="inlineStr"/>
      <c r="C272" s="38" t="inlineStr"/>
      <c r="D272" s="30" t="inlineStr"/>
      <c r="E272" s="34" t="inlineStr"/>
      <c r="F272" s="30" t="inlineStr"/>
      <c r="G272" s="30" t="inlineStr"/>
      <c r="H272" s="30" t="inlineStr"/>
      <c r="I272" s="15">
        <f>IF(A272="","",IF(F272="beauftragt",E272,0))</f>
        <v/>
      </c>
    </row>
    <row r="273">
      <c r="A273" s="30" t="inlineStr"/>
      <c r="B273" s="30" t="inlineStr"/>
      <c r="C273" s="38" t="inlineStr"/>
      <c r="D273" s="30" t="inlineStr"/>
      <c r="E273" s="34" t="inlineStr"/>
      <c r="F273" s="30" t="inlineStr"/>
      <c r="G273" s="30" t="inlineStr"/>
      <c r="H273" s="30" t="inlineStr"/>
      <c r="I273" s="15">
        <f>IF(A273="","",IF(F273="beauftragt",E273,0))</f>
        <v/>
      </c>
    </row>
    <row r="274">
      <c r="A274" s="30" t="inlineStr"/>
      <c r="B274" s="30" t="inlineStr"/>
      <c r="C274" s="38" t="inlineStr"/>
      <c r="D274" s="30" t="inlineStr"/>
      <c r="E274" s="34" t="inlineStr"/>
      <c r="F274" s="30" t="inlineStr"/>
      <c r="G274" s="30" t="inlineStr"/>
      <c r="H274" s="30" t="inlineStr"/>
      <c r="I274" s="15">
        <f>IF(A274="","",IF(F274="beauftragt",E274,0))</f>
        <v/>
      </c>
    </row>
    <row r="275">
      <c r="A275" s="30" t="inlineStr"/>
      <c r="B275" s="30" t="inlineStr"/>
      <c r="C275" s="38" t="inlineStr"/>
      <c r="D275" s="30" t="inlineStr"/>
      <c r="E275" s="34" t="inlineStr"/>
      <c r="F275" s="30" t="inlineStr"/>
      <c r="G275" s="30" t="inlineStr"/>
      <c r="H275" s="30" t="inlineStr"/>
      <c r="I275" s="15">
        <f>IF(A275="","",IF(F275="beauftragt",E275,0))</f>
        <v/>
      </c>
    </row>
    <row r="276">
      <c r="A276" s="30" t="inlineStr"/>
      <c r="B276" s="30" t="inlineStr"/>
      <c r="C276" s="38" t="inlineStr"/>
      <c r="D276" s="30" t="inlineStr"/>
      <c r="E276" s="34" t="inlineStr"/>
      <c r="F276" s="30" t="inlineStr"/>
      <c r="G276" s="30" t="inlineStr"/>
      <c r="H276" s="30" t="inlineStr"/>
      <c r="I276" s="15">
        <f>IF(A276="","",IF(F276="beauftragt",E276,0))</f>
        <v/>
      </c>
    </row>
    <row r="277">
      <c r="A277" s="30" t="inlineStr"/>
      <c r="B277" s="30" t="inlineStr"/>
      <c r="C277" s="38" t="inlineStr"/>
      <c r="D277" s="30" t="inlineStr"/>
      <c r="E277" s="34" t="inlineStr"/>
      <c r="F277" s="30" t="inlineStr"/>
      <c r="G277" s="30" t="inlineStr"/>
      <c r="H277" s="30" t="inlineStr"/>
      <c r="I277" s="15">
        <f>IF(A277="","",IF(F277="beauftragt",E277,0))</f>
        <v/>
      </c>
    </row>
    <row r="278">
      <c r="A278" s="30" t="inlineStr"/>
      <c r="B278" s="30" t="inlineStr"/>
      <c r="C278" s="38" t="inlineStr"/>
      <c r="D278" s="30" t="inlineStr"/>
      <c r="E278" s="34" t="inlineStr"/>
      <c r="F278" s="30" t="inlineStr"/>
      <c r="G278" s="30" t="inlineStr"/>
      <c r="H278" s="30" t="inlineStr"/>
      <c r="I278" s="15">
        <f>IF(A278="","",IF(F278="beauftragt",E278,0))</f>
        <v/>
      </c>
    </row>
    <row r="279">
      <c r="A279" s="30" t="inlineStr"/>
      <c r="B279" s="30" t="inlineStr"/>
      <c r="C279" s="38" t="inlineStr"/>
      <c r="D279" s="30" t="inlineStr"/>
      <c r="E279" s="34" t="inlineStr"/>
      <c r="F279" s="30" t="inlineStr"/>
      <c r="G279" s="30" t="inlineStr"/>
      <c r="H279" s="30" t="inlineStr"/>
      <c r="I279" s="15">
        <f>IF(A279="","",IF(F279="beauftragt",E279,0))</f>
        <v/>
      </c>
    </row>
    <row r="280">
      <c r="A280" s="30" t="inlineStr"/>
      <c r="B280" s="30" t="inlineStr"/>
      <c r="C280" s="38" t="inlineStr"/>
      <c r="D280" s="30" t="inlineStr"/>
      <c r="E280" s="34" t="inlineStr"/>
      <c r="F280" s="30" t="inlineStr"/>
      <c r="G280" s="30" t="inlineStr"/>
      <c r="H280" s="30" t="inlineStr"/>
      <c r="I280" s="15">
        <f>IF(A280="","",IF(F280="beauftragt",E280,0))</f>
        <v/>
      </c>
    </row>
    <row r="281">
      <c r="A281" s="30" t="inlineStr"/>
      <c r="B281" s="30" t="inlineStr"/>
      <c r="C281" s="38" t="inlineStr"/>
      <c r="D281" s="30" t="inlineStr"/>
      <c r="E281" s="34" t="inlineStr"/>
      <c r="F281" s="30" t="inlineStr"/>
      <c r="G281" s="30" t="inlineStr"/>
      <c r="H281" s="30" t="inlineStr"/>
      <c r="I281" s="15">
        <f>IF(A281="","",IF(F281="beauftragt",E281,0))</f>
        <v/>
      </c>
    </row>
    <row r="282">
      <c r="A282" s="30" t="inlineStr"/>
      <c r="B282" s="30" t="inlineStr"/>
      <c r="C282" s="38" t="inlineStr"/>
      <c r="D282" s="30" t="inlineStr"/>
      <c r="E282" s="34" t="inlineStr"/>
      <c r="F282" s="30" t="inlineStr"/>
      <c r="G282" s="30" t="inlineStr"/>
      <c r="H282" s="30" t="inlineStr"/>
      <c r="I282" s="15">
        <f>IF(A282="","",IF(F282="beauftragt",E282,0))</f>
        <v/>
      </c>
    </row>
    <row r="283">
      <c r="A283" s="30" t="inlineStr"/>
      <c r="B283" s="30" t="inlineStr"/>
      <c r="C283" s="38" t="inlineStr"/>
      <c r="D283" s="30" t="inlineStr"/>
      <c r="E283" s="34" t="inlineStr"/>
      <c r="F283" s="30" t="inlineStr"/>
      <c r="G283" s="30" t="inlineStr"/>
      <c r="H283" s="30" t="inlineStr"/>
      <c r="I283" s="15">
        <f>IF(A283="","",IF(F283="beauftragt",E283,0))</f>
        <v/>
      </c>
    </row>
    <row r="284">
      <c r="A284" s="30" t="inlineStr"/>
      <c r="B284" s="30" t="inlineStr"/>
      <c r="C284" s="38" t="inlineStr"/>
      <c r="D284" s="30" t="inlineStr"/>
      <c r="E284" s="34" t="inlineStr"/>
      <c r="F284" s="30" t="inlineStr"/>
      <c r="G284" s="30" t="inlineStr"/>
      <c r="H284" s="30" t="inlineStr"/>
      <c r="I284" s="15">
        <f>IF(A284="","",IF(F284="beauftragt",E284,0))</f>
        <v/>
      </c>
    </row>
    <row r="285">
      <c r="A285" s="30" t="inlineStr"/>
      <c r="B285" s="30" t="inlineStr"/>
      <c r="C285" s="38" t="inlineStr"/>
      <c r="D285" s="30" t="inlineStr"/>
      <c r="E285" s="34" t="inlineStr"/>
      <c r="F285" s="30" t="inlineStr"/>
      <c r="G285" s="30" t="inlineStr"/>
      <c r="H285" s="30" t="inlineStr"/>
      <c r="I285" s="15">
        <f>IF(A285="","",IF(F285="beauftragt",E285,0))</f>
        <v/>
      </c>
    </row>
    <row r="286">
      <c r="A286" s="30" t="inlineStr"/>
      <c r="B286" s="30" t="inlineStr"/>
      <c r="C286" s="38" t="inlineStr"/>
      <c r="D286" s="30" t="inlineStr"/>
      <c r="E286" s="34" t="inlineStr"/>
      <c r="F286" s="30" t="inlineStr"/>
      <c r="G286" s="30" t="inlineStr"/>
      <c r="H286" s="30" t="inlineStr"/>
      <c r="I286" s="15">
        <f>IF(A286="","",IF(F286="beauftragt",E286,0))</f>
        <v/>
      </c>
    </row>
    <row r="287">
      <c r="A287" s="30" t="inlineStr"/>
      <c r="B287" s="30" t="inlineStr"/>
      <c r="C287" s="38" t="inlineStr"/>
      <c r="D287" s="30" t="inlineStr"/>
      <c r="E287" s="34" t="inlineStr"/>
      <c r="F287" s="30" t="inlineStr"/>
      <c r="G287" s="30" t="inlineStr"/>
      <c r="H287" s="30" t="inlineStr"/>
      <c r="I287" s="15">
        <f>IF(A287="","",IF(F287="beauftragt",E287,0))</f>
        <v/>
      </c>
    </row>
    <row r="288">
      <c r="A288" s="30" t="inlineStr"/>
      <c r="B288" s="30" t="inlineStr"/>
      <c r="C288" s="38" t="inlineStr"/>
      <c r="D288" s="30" t="inlineStr"/>
      <c r="E288" s="34" t="inlineStr"/>
      <c r="F288" s="30" t="inlineStr"/>
      <c r="G288" s="30" t="inlineStr"/>
      <c r="H288" s="30" t="inlineStr"/>
      <c r="I288" s="15">
        <f>IF(A288="","",IF(F288="beauftragt",E288,0))</f>
        <v/>
      </c>
    </row>
    <row r="289">
      <c r="A289" s="30" t="inlineStr"/>
      <c r="B289" s="30" t="inlineStr"/>
      <c r="C289" s="38" t="inlineStr"/>
      <c r="D289" s="30" t="inlineStr"/>
      <c r="E289" s="34" t="inlineStr"/>
      <c r="F289" s="30" t="inlineStr"/>
      <c r="G289" s="30" t="inlineStr"/>
      <c r="H289" s="30" t="inlineStr"/>
      <c r="I289" s="15">
        <f>IF(A289="","",IF(F289="beauftragt",E289,0))</f>
        <v/>
      </c>
    </row>
    <row r="290">
      <c r="A290" s="30" t="inlineStr"/>
      <c r="B290" s="30" t="inlineStr"/>
      <c r="C290" s="38" t="inlineStr"/>
      <c r="D290" s="30" t="inlineStr"/>
      <c r="E290" s="34" t="inlineStr"/>
      <c r="F290" s="30" t="inlineStr"/>
      <c r="G290" s="30" t="inlineStr"/>
      <c r="H290" s="30" t="inlineStr"/>
      <c r="I290" s="15">
        <f>IF(A290="","",IF(F290="beauftragt",E290,0))</f>
        <v/>
      </c>
    </row>
    <row r="291">
      <c r="A291" s="30" t="inlineStr"/>
      <c r="B291" s="30" t="inlineStr"/>
      <c r="C291" s="38" t="inlineStr"/>
      <c r="D291" s="30" t="inlineStr"/>
      <c r="E291" s="34" t="inlineStr"/>
      <c r="F291" s="30" t="inlineStr"/>
      <c r="G291" s="30" t="inlineStr"/>
      <c r="H291" s="30" t="inlineStr"/>
      <c r="I291" s="15">
        <f>IF(A291="","",IF(F291="beauftragt",E291,0))</f>
        <v/>
      </c>
    </row>
    <row r="292">
      <c r="A292" s="30" t="inlineStr"/>
      <c r="B292" s="30" t="inlineStr"/>
      <c r="C292" s="38" t="inlineStr"/>
      <c r="D292" s="30" t="inlineStr"/>
      <c r="E292" s="34" t="inlineStr"/>
      <c r="F292" s="30" t="inlineStr"/>
      <c r="G292" s="30" t="inlineStr"/>
      <c r="H292" s="30" t="inlineStr"/>
      <c r="I292" s="15">
        <f>IF(A292="","",IF(F292="beauftragt",E292,0))</f>
        <v/>
      </c>
    </row>
    <row r="293">
      <c r="A293" s="30" t="inlineStr"/>
      <c r="B293" s="30" t="inlineStr"/>
      <c r="C293" s="38" t="inlineStr"/>
      <c r="D293" s="30" t="inlineStr"/>
      <c r="E293" s="34" t="inlineStr"/>
      <c r="F293" s="30" t="inlineStr"/>
      <c r="G293" s="30" t="inlineStr"/>
      <c r="H293" s="30" t="inlineStr"/>
      <c r="I293" s="15">
        <f>IF(A293="","",IF(F293="beauftragt",E293,0))</f>
        <v/>
      </c>
    </row>
    <row r="294">
      <c r="A294" s="30" t="inlineStr"/>
      <c r="B294" s="30" t="inlineStr"/>
      <c r="C294" s="38" t="inlineStr"/>
      <c r="D294" s="30" t="inlineStr"/>
      <c r="E294" s="34" t="inlineStr"/>
      <c r="F294" s="30" t="inlineStr"/>
      <c r="G294" s="30" t="inlineStr"/>
      <c r="H294" s="30" t="inlineStr"/>
      <c r="I294" s="15">
        <f>IF(A294="","",IF(F294="beauftragt",E294,0))</f>
        <v/>
      </c>
    </row>
    <row r="295">
      <c r="A295" s="30" t="inlineStr"/>
      <c r="B295" s="30" t="inlineStr"/>
      <c r="C295" s="38" t="inlineStr"/>
      <c r="D295" s="30" t="inlineStr"/>
      <c r="E295" s="34" t="inlineStr"/>
      <c r="F295" s="30" t="inlineStr"/>
      <c r="G295" s="30" t="inlineStr"/>
      <c r="H295" s="30" t="inlineStr"/>
      <c r="I295" s="15">
        <f>IF(A295="","",IF(F295="beauftragt",E295,0))</f>
        <v/>
      </c>
    </row>
    <row r="296">
      <c r="A296" s="30" t="inlineStr"/>
      <c r="B296" s="30" t="inlineStr"/>
      <c r="C296" s="38" t="inlineStr"/>
      <c r="D296" s="30" t="inlineStr"/>
      <c r="E296" s="34" t="inlineStr"/>
      <c r="F296" s="30" t="inlineStr"/>
      <c r="G296" s="30" t="inlineStr"/>
      <c r="H296" s="30" t="inlineStr"/>
      <c r="I296" s="15">
        <f>IF(A296="","",IF(F296="beauftragt",E296,0))</f>
        <v/>
      </c>
    </row>
    <row r="297">
      <c r="A297" s="30" t="inlineStr"/>
      <c r="B297" s="30" t="inlineStr"/>
      <c r="C297" s="38" t="inlineStr"/>
      <c r="D297" s="30" t="inlineStr"/>
      <c r="E297" s="34" t="inlineStr"/>
      <c r="F297" s="30" t="inlineStr"/>
      <c r="G297" s="30" t="inlineStr"/>
      <c r="H297" s="30" t="inlineStr"/>
      <c r="I297" s="15">
        <f>IF(A297="","",IF(F297="beauftragt",E297,0))</f>
        <v/>
      </c>
    </row>
    <row r="298">
      <c r="A298" s="30" t="inlineStr"/>
      <c r="B298" s="30" t="inlineStr"/>
      <c r="C298" s="38" t="inlineStr"/>
      <c r="D298" s="30" t="inlineStr"/>
      <c r="E298" s="34" t="inlineStr"/>
      <c r="F298" s="30" t="inlineStr"/>
      <c r="G298" s="30" t="inlineStr"/>
      <c r="H298" s="30" t="inlineStr"/>
      <c r="I298" s="15">
        <f>IF(A298="","",IF(F298="beauftragt",E298,0))</f>
        <v/>
      </c>
    </row>
    <row r="299">
      <c r="A299" s="30" t="inlineStr"/>
      <c r="B299" s="30" t="inlineStr"/>
      <c r="C299" s="38" t="inlineStr"/>
      <c r="D299" s="30" t="inlineStr"/>
      <c r="E299" s="34" t="inlineStr"/>
      <c r="F299" s="30" t="inlineStr"/>
      <c r="G299" s="30" t="inlineStr"/>
      <c r="H299" s="30" t="inlineStr"/>
      <c r="I299" s="15">
        <f>IF(A299="","",IF(F299="beauftragt",E299,0))</f>
        <v/>
      </c>
    </row>
    <row r="300">
      <c r="A300" s="30" t="inlineStr"/>
      <c r="B300" s="30" t="inlineStr"/>
      <c r="C300" s="38" t="inlineStr"/>
      <c r="D300" s="30" t="inlineStr"/>
      <c r="E300" s="34" t="inlineStr"/>
      <c r="F300" s="30" t="inlineStr"/>
      <c r="G300" s="30" t="inlineStr"/>
      <c r="H300" s="30" t="inlineStr"/>
      <c r="I300" s="15">
        <f>IF(A300="","",IF(F300="beauftragt",E300,0))</f>
        <v/>
      </c>
    </row>
    <row r="301">
      <c r="A301" s="30" t="inlineStr"/>
      <c r="B301" s="30" t="inlineStr"/>
      <c r="C301" s="38" t="inlineStr"/>
      <c r="D301" s="30" t="inlineStr"/>
      <c r="E301" s="34" t="inlineStr"/>
      <c r="F301" s="30" t="inlineStr"/>
      <c r="G301" s="30" t="inlineStr"/>
      <c r="H301" s="30" t="inlineStr"/>
      <c r="I301" s="15">
        <f>IF(A301="","",IF(F301="beauftragt",E301,0))</f>
        <v/>
      </c>
    </row>
    <row r="302">
      <c r="A302" s="30" t="inlineStr"/>
      <c r="B302" s="30" t="inlineStr"/>
      <c r="C302" s="38" t="inlineStr"/>
      <c r="D302" s="30" t="inlineStr"/>
      <c r="E302" s="34" t="inlineStr"/>
      <c r="F302" s="30" t="inlineStr"/>
      <c r="G302" s="30" t="inlineStr"/>
      <c r="H302" s="30" t="inlineStr"/>
      <c r="I302" s="15">
        <f>IF(A302="","",IF(F302="beauftragt",E302,0))</f>
        <v/>
      </c>
    </row>
    <row r="303">
      <c r="A303" s="30" t="inlineStr"/>
      <c r="B303" s="30" t="inlineStr"/>
      <c r="C303" s="38" t="inlineStr"/>
      <c r="D303" s="30" t="inlineStr"/>
      <c r="E303" s="34" t="inlineStr"/>
      <c r="F303" s="30" t="inlineStr"/>
      <c r="G303" s="30" t="inlineStr"/>
      <c r="H303" s="30" t="inlineStr"/>
      <c r="I303" s="15">
        <f>IF(A303="","",IF(F303="beauftragt",E303,0))</f>
        <v/>
      </c>
    </row>
    <row r="304">
      <c r="A304" s="30" t="inlineStr"/>
      <c r="B304" s="30" t="inlineStr"/>
      <c r="C304" s="38" t="inlineStr"/>
      <c r="D304" s="30" t="inlineStr"/>
      <c r="E304" s="34" t="inlineStr"/>
      <c r="F304" s="30" t="inlineStr"/>
      <c r="G304" s="30" t="inlineStr"/>
      <c r="H304" s="30" t="inlineStr"/>
      <c r="I304" s="15">
        <f>IF(A304="","",IF(F304="beauftragt",E304,0))</f>
        <v/>
      </c>
    </row>
    <row r="305">
      <c r="A305" s="30" t="inlineStr"/>
      <c r="B305" s="30" t="inlineStr"/>
      <c r="C305" s="38" t="inlineStr"/>
      <c r="D305" s="30" t="inlineStr"/>
      <c r="E305" s="34" t="inlineStr"/>
      <c r="F305" s="30" t="inlineStr"/>
      <c r="G305" s="30" t="inlineStr"/>
      <c r="H305" s="30" t="inlineStr"/>
      <c r="I305" s="15">
        <f>IF(A305="","",IF(F305="beauftragt",E305,0))</f>
        <v/>
      </c>
    </row>
    <row r="306">
      <c r="A306" s="30" t="inlineStr"/>
      <c r="B306" s="30" t="inlineStr"/>
      <c r="C306" s="38" t="inlineStr"/>
      <c r="D306" s="30" t="inlineStr"/>
      <c r="E306" s="34" t="inlineStr"/>
      <c r="F306" s="30" t="inlineStr"/>
      <c r="G306" s="30" t="inlineStr"/>
      <c r="H306" s="30" t="inlineStr"/>
      <c r="I306" s="15">
        <f>IF(A306="","",IF(F306="beauftragt",E306,0))</f>
        <v/>
      </c>
    </row>
    <row r="307">
      <c r="A307" s="30" t="inlineStr"/>
      <c r="B307" s="30" t="inlineStr"/>
      <c r="C307" s="38" t="inlineStr"/>
      <c r="D307" s="30" t="inlineStr"/>
      <c r="E307" s="34" t="inlineStr"/>
      <c r="F307" s="30" t="inlineStr"/>
      <c r="G307" s="30" t="inlineStr"/>
      <c r="H307" s="30" t="inlineStr"/>
      <c r="I307" s="15">
        <f>IF(A307="","",IF(F307="beauftragt",E307,0))</f>
        <v/>
      </c>
    </row>
    <row r="308">
      <c r="A308" s="30" t="inlineStr"/>
      <c r="B308" s="30" t="inlineStr"/>
      <c r="C308" s="38" t="inlineStr"/>
      <c r="D308" s="30" t="inlineStr"/>
      <c r="E308" s="34" t="inlineStr"/>
      <c r="F308" s="30" t="inlineStr"/>
      <c r="G308" s="30" t="inlineStr"/>
      <c r="H308" s="30" t="inlineStr"/>
      <c r="I308" s="15">
        <f>IF(A308="","",IF(F308="beauftragt",E308,0))</f>
        <v/>
      </c>
    </row>
    <row r="309">
      <c r="A309" s="30" t="inlineStr"/>
      <c r="B309" s="30" t="inlineStr"/>
      <c r="C309" s="38" t="inlineStr"/>
      <c r="D309" s="30" t="inlineStr"/>
      <c r="E309" s="34" t="inlineStr"/>
      <c r="F309" s="30" t="inlineStr"/>
      <c r="G309" s="30" t="inlineStr"/>
      <c r="H309" s="30" t="inlineStr"/>
      <c r="I309" s="15">
        <f>IF(A309="","",IF(F309="beauftragt",E309,0))</f>
        <v/>
      </c>
    </row>
    <row r="310">
      <c r="A310" s="30" t="inlineStr"/>
      <c r="B310" s="30" t="inlineStr"/>
      <c r="C310" s="38" t="inlineStr"/>
      <c r="D310" s="30" t="inlineStr"/>
      <c r="E310" s="34" t="inlineStr"/>
      <c r="F310" s="30" t="inlineStr"/>
      <c r="G310" s="30" t="inlineStr"/>
      <c r="H310" s="30" t="inlineStr"/>
      <c r="I310" s="15">
        <f>IF(A310="","",IF(F310="beauftragt",E310,0))</f>
        <v/>
      </c>
    </row>
    <row r="311">
      <c r="A311" s="30" t="inlineStr"/>
      <c r="B311" s="30" t="inlineStr"/>
      <c r="C311" s="38" t="inlineStr"/>
      <c r="D311" s="30" t="inlineStr"/>
      <c r="E311" s="34" t="inlineStr"/>
      <c r="F311" s="30" t="inlineStr"/>
      <c r="G311" s="30" t="inlineStr"/>
      <c r="H311" s="30" t="inlineStr"/>
      <c r="I311" s="15">
        <f>IF(A311="","",IF(F311="beauftragt",E311,0))</f>
        <v/>
      </c>
    </row>
    <row r="312">
      <c r="A312" s="30" t="inlineStr"/>
      <c r="B312" s="30" t="inlineStr"/>
      <c r="C312" s="38" t="inlineStr"/>
      <c r="D312" s="30" t="inlineStr"/>
      <c r="E312" s="34" t="inlineStr"/>
      <c r="F312" s="30" t="inlineStr"/>
      <c r="G312" s="30" t="inlineStr"/>
      <c r="H312" s="30" t="inlineStr"/>
      <c r="I312" s="15">
        <f>IF(A312="","",IF(F312="beauftragt",E312,0))</f>
        <v/>
      </c>
    </row>
    <row r="313">
      <c r="A313" s="30" t="inlineStr"/>
      <c r="B313" s="30" t="inlineStr"/>
      <c r="C313" s="38" t="inlineStr"/>
      <c r="D313" s="30" t="inlineStr"/>
      <c r="E313" s="34" t="inlineStr"/>
      <c r="F313" s="30" t="inlineStr"/>
      <c r="G313" s="30" t="inlineStr"/>
      <c r="H313" s="30" t="inlineStr"/>
      <c r="I313" s="15">
        <f>IF(A313="","",IF(F313="beauftragt",E313,0))</f>
        <v/>
      </c>
    </row>
    <row r="314">
      <c r="A314" s="30" t="inlineStr"/>
      <c r="B314" s="30" t="inlineStr"/>
      <c r="C314" s="38" t="inlineStr"/>
      <c r="D314" s="30" t="inlineStr"/>
      <c r="E314" s="34" t="inlineStr"/>
      <c r="F314" s="30" t="inlineStr"/>
      <c r="G314" s="30" t="inlineStr"/>
      <c r="H314" s="30" t="inlineStr"/>
      <c r="I314" s="15">
        <f>IF(A314="","",IF(F314="beauftragt",E314,0))</f>
        <v/>
      </c>
    </row>
    <row r="315">
      <c r="A315" s="30" t="inlineStr"/>
      <c r="B315" s="30" t="inlineStr"/>
      <c r="C315" s="38" t="inlineStr"/>
      <c r="D315" s="30" t="inlineStr"/>
      <c r="E315" s="34" t="inlineStr"/>
      <c r="F315" s="30" t="inlineStr"/>
      <c r="G315" s="30" t="inlineStr"/>
      <c r="H315" s="30" t="inlineStr"/>
      <c r="I315" s="15">
        <f>IF(A315="","",IF(F315="beauftragt",E315,0))</f>
        <v/>
      </c>
    </row>
    <row r="316">
      <c r="A316" s="30" t="inlineStr"/>
      <c r="B316" s="30" t="inlineStr"/>
      <c r="C316" s="38" t="inlineStr"/>
      <c r="D316" s="30" t="inlineStr"/>
      <c r="E316" s="34" t="inlineStr"/>
      <c r="F316" s="30" t="inlineStr"/>
      <c r="G316" s="30" t="inlineStr"/>
      <c r="H316" s="30" t="inlineStr"/>
      <c r="I316" s="15">
        <f>IF(A316="","",IF(F316="beauftragt",E316,0))</f>
        <v/>
      </c>
    </row>
    <row r="317">
      <c r="A317" s="30" t="inlineStr"/>
      <c r="B317" s="30" t="inlineStr"/>
      <c r="C317" s="38" t="inlineStr"/>
      <c r="D317" s="30" t="inlineStr"/>
      <c r="E317" s="34" t="inlineStr"/>
      <c r="F317" s="30" t="inlineStr"/>
      <c r="G317" s="30" t="inlineStr"/>
      <c r="H317" s="30" t="inlineStr"/>
      <c r="I317" s="15">
        <f>IF(A317="","",IF(F317="beauftragt",E317,0))</f>
        <v/>
      </c>
    </row>
    <row r="318">
      <c r="A318" s="30" t="inlineStr"/>
      <c r="B318" s="30" t="inlineStr"/>
      <c r="C318" s="38" t="inlineStr"/>
      <c r="D318" s="30" t="inlineStr"/>
      <c r="E318" s="34" t="inlineStr"/>
      <c r="F318" s="30" t="inlineStr"/>
      <c r="G318" s="30" t="inlineStr"/>
      <c r="H318" s="30" t="inlineStr"/>
      <c r="I318" s="15">
        <f>IF(A318="","",IF(F318="beauftragt",E318,0))</f>
        <v/>
      </c>
    </row>
    <row r="319">
      <c r="A319" s="30" t="inlineStr"/>
      <c r="B319" s="30" t="inlineStr"/>
      <c r="C319" s="38" t="inlineStr"/>
      <c r="D319" s="30" t="inlineStr"/>
      <c r="E319" s="34" t="inlineStr"/>
      <c r="F319" s="30" t="inlineStr"/>
      <c r="G319" s="30" t="inlineStr"/>
      <c r="H319" s="30" t="inlineStr"/>
      <c r="I319" s="15">
        <f>IF(A319="","",IF(F319="beauftragt",E319,0))</f>
        <v/>
      </c>
    </row>
    <row r="320">
      <c r="A320" s="30" t="inlineStr"/>
      <c r="B320" s="30" t="inlineStr"/>
      <c r="C320" s="38" t="inlineStr"/>
      <c r="D320" s="30" t="inlineStr"/>
      <c r="E320" s="34" t="inlineStr"/>
      <c r="F320" s="30" t="inlineStr"/>
      <c r="G320" s="30" t="inlineStr"/>
      <c r="H320" s="30" t="inlineStr"/>
      <c r="I320" s="15">
        <f>IF(A320="","",IF(F320="beauftragt",E320,0))</f>
        <v/>
      </c>
    </row>
    <row r="321">
      <c r="A321" s="30" t="inlineStr"/>
      <c r="B321" s="30" t="inlineStr"/>
      <c r="C321" s="38" t="inlineStr"/>
      <c r="D321" s="30" t="inlineStr"/>
      <c r="E321" s="34" t="inlineStr"/>
      <c r="F321" s="30" t="inlineStr"/>
      <c r="G321" s="30" t="inlineStr"/>
      <c r="H321" s="30" t="inlineStr"/>
      <c r="I321" s="15">
        <f>IF(A321="","",IF(F321="beauftragt",E321,0))</f>
        <v/>
      </c>
    </row>
    <row r="322">
      <c r="A322" s="30" t="inlineStr"/>
      <c r="B322" s="30" t="inlineStr"/>
      <c r="C322" s="38" t="inlineStr"/>
      <c r="D322" s="30" t="inlineStr"/>
      <c r="E322" s="34" t="inlineStr"/>
      <c r="F322" s="30" t="inlineStr"/>
      <c r="G322" s="30" t="inlineStr"/>
      <c r="H322" s="30" t="inlineStr"/>
      <c r="I322" s="15">
        <f>IF(A322="","",IF(F322="beauftragt",E322,0))</f>
        <v/>
      </c>
    </row>
    <row r="323">
      <c r="A323" s="30" t="inlineStr"/>
      <c r="B323" s="30" t="inlineStr"/>
      <c r="C323" s="38" t="inlineStr"/>
      <c r="D323" s="30" t="inlineStr"/>
      <c r="E323" s="34" t="inlineStr"/>
      <c r="F323" s="30" t="inlineStr"/>
      <c r="G323" s="30" t="inlineStr"/>
      <c r="H323" s="30" t="inlineStr"/>
      <c r="I323" s="15">
        <f>IF(A323="","",IF(F323="beauftragt",E323,0))</f>
        <v/>
      </c>
    </row>
    <row r="324">
      <c r="A324" s="30" t="inlineStr"/>
      <c r="B324" s="30" t="inlineStr"/>
      <c r="C324" s="38" t="inlineStr"/>
      <c r="D324" s="30" t="inlineStr"/>
      <c r="E324" s="34" t="inlineStr"/>
      <c r="F324" s="30" t="inlineStr"/>
      <c r="G324" s="30" t="inlineStr"/>
      <c r="H324" s="30" t="inlineStr"/>
      <c r="I324" s="15">
        <f>IF(A324="","",IF(F324="beauftragt",E324,0))</f>
        <v/>
      </c>
    </row>
    <row r="325">
      <c r="A325" s="30" t="inlineStr"/>
      <c r="B325" s="30" t="inlineStr"/>
      <c r="C325" s="38" t="inlineStr"/>
      <c r="D325" s="30" t="inlineStr"/>
      <c r="E325" s="34" t="inlineStr"/>
      <c r="F325" s="30" t="inlineStr"/>
      <c r="G325" s="30" t="inlineStr"/>
      <c r="H325" s="30" t="inlineStr"/>
      <c r="I325" s="15">
        <f>IF(A325="","",IF(F325="beauftragt",E325,0))</f>
        <v/>
      </c>
    </row>
    <row r="326">
      <c r="A326" s="30" t="inlineStr"/>
      <c r="B326" s="30" t="inlineStr"/>
      <c r="C326" s="38" t="inlineStr"/>
      <c r="D326" s="30" t="inlineStr"/>
      <c r="E326" s="34" t="inlineStr"/>
      <c r="F326" s="30" t="inlineStr"/>
      <c r="G326" s="30" t="inlineStr"/>
      <c r="H326" s="30" t="inlineStr"/>
      <c r="I326" s="15">
        <f>IF(A326="","",IF(F326="beauftragt",E326,0))</f>
        <v/>
      </c>
    </row>
    <row r="327">
      <c r="A327" s="30" t="inlineStr"/>
      <c r="B327" s="30" t="inlineStr"/>
      <c r="C327" s="38" t="inlineStr"/>
      <c r="D327" s="30" t="inlineStr"/>
      <c r="E327" s="34" t="inlineStr"/>
      <c r="F327" s="30" t="inlineStr"/>
      <c r="G327" s="30" t="inlineStr"/>
      <c r="H327" s="30" t="inlineStr"/>
      <c r="I327" s="15">
        <f>IF(A327="","",IF(F327="beauftragt",E327,0))</f>
        <v/>
      </c>
    </row>
    <row r="328">
      <c r="A328" s="30" t="inlineStr"/>
      <c r="B328" s="30" t="inlineStr"/>
      <c r="C328" s="38" t="inlineStr"/>
      <c r="D328" s="30" t="inlineStr"/>
      <c r="E328" s="34" t="inlineStr"/>
      <c r="F328" s="30" t="inlineStr"/>
      <c r="G328" s="30" t="inlineStr"/>
      <c r="H328" s="30" t="inlineStr"/>
      <c r="I328" s="15">
        <f>IF(A328="","",IF(F328="beauftragt",E328,0))</f>
        <v/>
      </c>
    </row>
    <row r="329">
      <c r="A329" s="30" t="inlineStr"/>
      <c r="B329" s="30" t="inlineStr"/>
      <c r="C329" s="38" t="inlineStr"/>
      <c r="D329" s="30" t="inlineStr"/>
      <c r="E329" s="34" t="inlineStr"/>
      <c r="F329" s="30" t="inlineStr"/>
      <c r="G329" s="30" t="inlineStr"/>
      <c r="H329" s="30" t="inlineStr"/>
      <c r="I329" s="15">
        <f>IF(A329="","",IF(F329="beauftragt",E329,0))</f>
        <v/>
      </c>
    </row>
    <row r="330">
      <c r="A330" s="30" t="inlineStr"/>
      <c r="B330" s="30" t="inlineStr"/>
      <c r="C330" s="38" t="inlineStr"/>
      <c r="D330" s="30" t="inlineStr"/>
      <c r="E330" s="34" t="inlineStr"/>
      <c r="F330" s="30" t="inlineStr"/>
      <c r="G330" s="30" t="inlineStr"/>
      <c r="H330" s="30" t="inlineStr"/>
      <c r="I330" s="15">
        <f>IF(A330="","",IF(F330="beauftragt",E330,0))</f>
        <v/>
      </c>
    </row>
    <row r="331">
      <c r="A331" s="30" t="inlineStr"/>
      <c r="B331" s="30" t="inlineStr"/>
      <c r="C331" s="38" t="inlineStr"/>
      <c r="D331" s="30" t="inlineStr"/>
      <c r="E331" s="34" t="inlineStr"/>
      <c r="F331" s="30" t="inlineStr"/>
      <c r="G331" s="30" t="inlineStr"/>
      <c r="H331" s="30" t="inlineStr"/>
      <c r="I331" s="15">
        <f>IF(A331="","",IF(F331="beauftragt",E331,0))</f>
        <v/>
      </c>
    </row>
    <row r="332">
      <c r="A332" s="30" t="inlineStr"/>
      <c r="B332" s="30" t="inlineStr"/>
      <c r="C332" s="38" t="inlineStr"/>
      <c r="D332" s="30" t="inlineStr"/>
      <c r="E332" s="34" t="inlineStr"/>
      <c r="F332" s="30" t="inlineStr"/>
      <c r="G332" s="30" t="inlineStr"/>
      <c r="H332" s="30" t="inlineStr"/>
      <c r="I332" s="15">
        <f>IF(A332="","",IF(F332="beauftragt",E332,0))</f>
        <v/>
      </c>
    </row>
    <row r="333">
      <c r="A333" s="30" t="inlineStr"/>
      <c r="B333" s="30" t="inlineStr"/>
      <c r="C333" s="38" t="inlineStr"/>
      <c r="D333" s="30" t="inlineStr"/>
      <c r="E333" s="34" t="inlineStr"/>
      <c r="F333" s="30" t="inlineStr"/>
      <c r="G333" s="30" t="inlineStr"/>
      <c r="H333" s="30" t="inlineStr"/>
      <c r="I333" s="15">
        <f>IF(A333="","",IF(F333="beauftragt",E333,0))</f>
        <v/>
      </c>
    </row>
    <row r="334">
      <c r="A334" s="30" t="inlineStr"/>
      <c r="B334" s="30" t="inlineStr"/>
      <c r="C334" s="38" t="inlineStr"/>
      <c r="D334" s="30" t="inlineStr"/>
      <c r="E334" s="34" t="inlineStr"/>
      <c r="F334" s="30" t="inlineStr"/>
      <c r="G334" s="30" t="inlineStr"/>
      <c r="H334" s="30" t="inlineStr"/>
      <c r="I334" s="15">
        <f>IF(A334="","",IF(F334="beauftragt",E334,0))</f>
        <v/>
      </c>
    </row>
    <row r="335">
      <c r="A335" s="30" t="inlineStr"/>
      <c r="B335" s="30" t="inlineStr"/>
      <c r="C335" s="38" t="inlineStr"/>
      <c r="D335" s="30" t="inlineStr"/>
      <c r="E335" s="34" t="inlineStr"/>
      <c r="F335" s="30" t="inlineStr"/>
      <c r="G335" s="30" t="inlineStr"/>
      <c r="H335" s="30" t="inlineStr"/>
      <c r="I335" s="15">
        <f>IF(A335="","",IF(F335="beauftragt",E335,0))</f>
        <v/>
      </c>
    </row>
    <row r="336">
      <c r="A336" s="30" t="inlineStr"/>
      <c r="B336" s="30" t="inlineStr"/>
      <c r="C336" s="38" t="inlineStr"/>
      <c r="D336" s="30" t="inlineStr"/>
      <c r="E336" s="34" t="inlineStr"/>
      <c r="F336" s="30" t="inlineStr"/>
      <c r="G336" s="30" t="inlineStr"/>
      <c r="H336" s="30" t="inlineStr"/>
      <c r="I336" s="15">
        <f>IF(A336="","",IF(F336="beauftragt",E336,0))</f>
        <v/>
      </c>
    </row>
    <row r="337">
      <c r="A337" s="30" t="inlineStr"/>
      <c r="B337" s="30" t="inlineStr"/>
      <c r="C337" s="38" t="inlineStr"/>
      <c r="D337" s="30" t="inlineStr"/>
      <c r="E337" s="34" t="inlineStr"/>
      <c r="F337" s="30" t="inlineStr"/>
      <c r="G337" s="30" t="inlineStr"/>
      <c r="H337" s="30" t="inlineStr"/>
      <c r="I337" s="15">
        <f>IF(A337="","",IF(F337="beauftragt",E337,0))</f>
        <v/>
      </c>
    </row>
    <row r="338">
      <c r="A338" s="30" t="inlineStr"/>
      <c r="B338" s="30" t="inlineStr"/>
      <c r="C338" s="38" t="inlineStr"/>
      <c r="D338" s="30" t="inlineStr"/>
      <c r="E338" s="34" t="inlineStr"/>
      <c r="F338" s="30" t="inlineStr"/>
      <c r="G338" s="30" t="inlineStr"/>
      <c r="H338" s="30" t="inlineStr"/>
      <c r="I338" s="15">
        <f>IF(A338="","",IF(F338="beauftragt",E338,0))</f>
        <v/>
      </c>
    </row>
    <row r="339">
      <c r="A339" s="30" t="inlineStr"/>
      <c r="B339" s="30" t="inlineStr"/>
      <c r="C339" s="38" t="inlineStr"/>
      <c r="D339" s="30" t="inlineStr"/>
      <c r="E339" s="34" t="inlineStr"/>
      <c r="F339" s="30" t="inlineStr"/>
      <c r="G339" s="30" t="inlineStr"/>
      <c r="H339" s="30" t="inlineStr"/>
      <c r="I339" s="15">
        <f>IF(A339="","",IF(F339="beauftragt",E339,0))</f>
        <v/>
      </c>
    </row>
    <row r="340">
      <c r="A340" s="30" t="inlineStr"/>
      <c r="B340" s="30" t="inlineStr"/>
      <c r="C340" s="38" t="inlineStr"/>
      <c r="D340" s="30" t="inlineStr"/>
      <c r="E340" s="34" t="inlineStr"/>
      <c r="F340" s="30" t="inlineStr"/>
      <c r="G340" s="30" t="inlineStr"/>
      <c r="H340" s="30" t="inlineStr"/>
      <c r="I340" s="15">
        <f>IF(A340="","",IF(F340="beauftragt",E340,0))</f>
        <v/>
      </c>
    </row>
    <row r="341">
      <c r="A341" s="30" t="inlineStr"/>
      <c r="B341" s="30" t="inlineStr"/>
      <c r="C341" s="38" t="inlineStr"/>
      <c r="D341" s="30" t="inlineStr"/>
      <c r="E341" s="34" t="inlineStr"/>
      <c r="F341" s="30" t="inlineStr"/>
      <c r="G341" s="30" t="inlineStr"/>
      <c r="H341" s="30" t="inlineStr"/>
      <c r="I341" s="15">
        <f>IF(A341="","",IF(F341="beauftragt",E341,0))</f>
        <v/>
      </c>
    </row>
    <row r="342">
      <c r="A342" s="30" t="inlineStr"/>
      <c r="B342" s="30" t="inlineStr"/>
      <c r="C342" s="38" t="inlineStr"/>
      <c r="D342" s="30" t="inlineStr"/>
      <c r="E342" s="34" t="inlineStr"/>
      <c r="F342" s="30" t="inlineStr"/>
      <c r="G342" s="30" t="inlineStr"/>
      <c r="H342" s="30" t="inlineStr"/>
      <c r="I342" s="15">
        <f>IF(A342="","",IF(F342="beauftragt",E342,0))</f>
        <v/>
      </c>
    </row>
    <row r="343">
      <c r="A343" s="30" t="inlineStr"/>
      <c r="B343" s="30" t="inlineStr"/>
      <c r="C343" s="38" t="inlineStr"/>
      <c r="D343" s="30" t="inlineStr"/>
      <c r="E343" s="34" t="inlineStr"/>
      <c r="F343" s="30" t="inlineStr"/>
      <c r="G343" s="30" t="inlineStr"/>
      <c r="H343" s="30" t="inlineStr"/>
      <c r="I343" s="15">
        <f>IF(A343="","",IF(F343="beauftragt",E343,0))</f>
        <v/>
      </c>
    </row>
    <row r="344">
      <c r="A344" s="30" t="inlineStr"/>
      <c r="B344" s="30" t="inlineStr"/>
      <c r="C344" s="38" t="inlineStr"/>
      <c r="D344" s="30" t="inlineStr"/>
      <c r="E344" s="34" t="inlineStr"/>
      <c r="F344" s="30" t="inlineStr"/>
      <c r="G344" s="30" t="inlineStr"/>
      <c r="H344" s="30" t="inlineStr"/>
      <c r="I344" s="15">
        <f>IF(A344="","",IF(F344="beauftragt",E344,0))</f>
        <v/>
      </c>
    </row>
    <row r="345">
      <c r="A345" s="30" t="inlineStr"/>
      <c r="B345" s="30" t="inlineStr"/>
      <c r="C345" s="38" t="inlineStr"/>
      <c r="D345" s="30" t="inlineStr"/>
      <c r="E345" s="34" t="inlineStr"/>
      <c r="F345" s="30" t="inlineStr"/>
      <c r="G345" s="30" t="inlineStr"/>
      <c r="H345" s="30" t="inlineStr"/>
      <c r="I345" s="15">
        <f>IF(A345="","",IF(F345="beauftragt",E345,0))</f>
        <v/>
      </c>
    </row>
    <row r="346">
      <c r="A346" s="30" t="inlineStr"/>
      <c r="B346" s="30" t="inlineStr"/>
      <c r="C346" s="38" t="inlineStr"/>
      <c r="D346" s="30" t="inlineStr"/>
      <c r="E346" s="34" t="inlineStr"/>
      <c r="F346" s="30" t="inlineStr"/>
      <c r="G346" s="30" t="inlineStr"/>
      <c r="H346" s="30" t="inlineStr"/>
      <c r="I346" s="15">
        <f>IF(A346="","",IF(F346="beauftragt",E346,0))</f>
        <v/>
      </c>
    </row>
    <row r="347">
      <c r="A347" s="30" t="inlineStr"/>
      <c r="B347" s="30" t="inlineStr"/>
      <c r="C347" s="38" t="inlineStr"/>
      <c r="D347" s="30" t="inlineStr"/>
      <c r="E347" s="34" t="inlineStr"/>
      <c r="F347" s="30" t="inlineStr"/>
      <c r="G347" s="30" t="inlineStr"/>
      <c r="H347" s="30" t="inlineStr"/>
      <c r="I347" s="15">
        <f>IF(A347="","",IF(F347="beauftragt",E347,0))</f>
        <v/>
      </c>
    </row>
    <row r="348">
      <c r="A348" s="30" t="inlineStr"/>
      <c r="B348" s="30" t="inlineStr"/>
      <c r="C348" s="38" t="inlineStr"/>
      <c r="D348" s="30" t="inlineStr"/>
      <c r="E348" s="34" t="inlineStr"/>
      <c r="F348" s="30" t="inlineStr"/>
      <c r="G348" s="30" t="inlineStr"/>
      <c r="H348" s="30" t="inlineStr"/>
      <c r="I348" s="15">
        <f>IF(A348="","",IF(F348="beauftragt",E348,0))</f>
        <v/>
      </c>
    </row>
    <row r="349">
      <c r="A349" s="30" t="inlineStr"/>
      <c r="B349" s="30" t="inlineStr"/>
      <c r="C349" s="38" t="inlineStr"/>
      <c r="D349" s="30" t="inlineStr"/>
      <c r="E349" s="34" t="inlineStr"/>
      <c r="F349" s="30" t="inlineStr"/>
      <c r="G349" s="30" t="inlineStr"/>
      <c r="H349" s="30" t="inlineStr"/>
      <c r="I349" s="15">
        <f>IF(A349="","",IF(F349="beauftragt",E349,0))</f>
        <v/>
      </c>
    </row>
    <row r="350">
      <c r="A350" s="30" t="inlineStr"/>
      <c r="B350" s="30" t="inlineStr"/>
      <c r="C350" s="38" t="inlineStr"/>
      <c r="D350" s="30" t="inlineStr"/>
      <c r="E350" s="34" t="inlineStr"/>
      <c r="F350" s="30" t="inlineStr"/>
      <c r="G350" s="30" t="inlineStr"/>
      <c r="H350" s="30" t="inlineStr"/>
      <c r="I350" s="15">
        <f>IF(A350="","",IF(F350="beauftragt",E350,0))</f>
        <v/>
      </c>
    </row>
    <row r="351">
      <c r="A351" s="30" t="inlineStr"/>
      <c r="B351" s="30" t="inlineStr"/>
      <c r="C351" s="38" t="inlineStr"/>
      <c r="D351" s="30" t="inlineStr"/>
      <c r="E351" s="34" t="inlineStr"/>
      <c r="F351" s="30" t="inlineStr"/>
      <c r="G351" s="30" t="inlineStr"/>
      <c r="H351" s="30" t="inlineStr"/>
      <c r="I351" s="15">
        <f>IF(A351="","",IF(F351="beauftragt",E351,0))</f>
        <v/>
      </c>
    </row>
    <row r="352">
      <c r="A352" s="30" t="inlineStr"/>
      <c r="B352" s="30" t="inlineStr"/>
      <c r="C352" s="38" t="inlineStr"/>
      <c r="D352" s="30" t="inlineStr"/>
      <c r="E352" s="34" t="inlineStr"/>
      <c r="F352" s="30" t="inlineStr"/>
      <c r="G352" s="30" t="inlineStr"/>
      <c r="H352" s="30" t="inlineStr"/>
      <c r="I352" s="15">
        <f>IF(A352="","",IF(F352="beauftragt",E352,0))</f>
        <v/>
      </c>
    </row>
    <row r="353">
      <c r="A353" s="30" t="inlineStr"/>
      <c r="B353" s="30" t="inlineStr"/>
      <c r="C353" s="38" t="inlineStr"/>
      <c r="D353" s="30" t="inlineStr"/>
      <c r="E353" s="34" t="inlineStr"/>
      <c r="F353" s="30" t="inlineStr"/>
      <c r="G353" s="30" t="inlineStr"/>
      <c r="H353" s="30" t="inlineStr"/>
      <c r="I353" s="15">
        <f>IF(A353="","",IF(F353="beauftragt",E353,0))</f>
        <v/>
      </c>
    </row>
    <row r="354">
      <c r="A354" s="30" t="inlineStr"/>
      <c r="B354" s="30" t="inlineStr"/>
      <c r="C354" s="38" t="inlineStr"/>
      <c r="D354" s="30" t="inlineStr"/>
      <c r="E354" s="34" t="inlineStr"/>
      <c r="F354" s="30" t="inlineStr"/>
      <c r="G354" s="30" t="inlineStr"/>
      <c r="H354" s="30" t="inlineStr"/>
      <c r="I354" s="15">
        <f>IF(A354="","",IF(F354="beauftragt",E354,0))</f>
        <v/>
      </c>
    </row>
    <row r="355">
      <c r="A355" s="30" t="inlineStr"/>
      <c r="B355" s="30" t="inlineStr"/>
      <c r="C355" s="38" t="inlineStr"/>
      <c r="D355" s="30" t="inlineStr"/>
      <c r="E355" s="34" t="inlineStr"/>
      <c r="F355" s="30" t="inlineStr"/>
      <c r="G355" s="30" t="inlineStr"/>
      <c r="H355" s="30" t="inlineStr"/>
      <c r="I355" s="15">
        <f>IF(A355="","",IF(F355="beauftragt",E355,0))</f>
        <v/>
      </c>
    </row>
    <row r="356">
      <c r="A356" s="30" t="inlineStr"/>
      <c r="B356" s="30" t="inlineStr"/>
      <c r="C356" s="38" t="inlineStr"/>
      <c r="D356" s="30" t="inlineStr"/>
      <c r="E356" s="34" t="inlineStr"/>
      <c r="F356" s="30" t="inlineStr"/>
      <c r="G356" s="30" t="inlineStr"/>
      <c r="H356" s="30" t="inlineStr"/>
      <c r="I356" s="15">
        <f>IF(A356="","",IF(F356="beauftragt",E356,0))</f>
        <v/>
      </c>
    </row>
    <row r="357">
      <c r="A357" s="30" t="inlineStr"/>
      <c r="B357" s="30" t="inlineStr"/>
      <c r="C357" s="38" t="inlineStr"/>
      <c r="D357" s="30" t="inlineStr"/>
      <c r="E357" s="34" t="inlineStr"/>
      <c r="F357" s="30" t="inlineStr"/>
      <c r="G357" s="30" t="inlineStr"/>
      <c r="H357" s="30" t="inlineStr"/>
      <c r="I357" s="15">
        <f>IF(A357="","",IF(F357="beauftragt",E357,0))</f>
        <v/>
      </c>
    </row>
    <row r="358">
      <c r="A358" s="30" t="inlineStr"/>
      <c r="B358" s="30" t="inlineStr"/>
      <c r="C358" s="38" t="inlineStr"/>
      <c r="D358" s="30" t="inlineStr"/>
      <c r="E358" s="34" t="inlineStr"/>
      <c r="F358" s="30" t="inlineStr"/>
      <c r="G358" s="30" t="inlineStr"/>
      <c r="H358" s="30" t="inlineStr"/>
      <c r="I358" s="15">
        <f>IF(A358="","",IF(F358="beauftragt",E358,0))</f>
        <v/>
      </c>
    </row>
    <row r="359">
      <c r="A359" s="30" t="inlineStr"/>
      <c r="B359" s="30" t="inlineStr"/>
      <c r="C359" s="38" t="inlineStr"/>
      <c r="D359" s="30" t="inlineStr"/>
      <c r="E359" s="34" t="inlineStr"/>
      <c r="F359" s="30" t="inlineStr"/>
      <c r="G359" s="30" t="inlineStr"/>
      <c r="H359" s="30" t="inlineStr"/>
      <c r="I359" s="15">
        <f>IF(A359="","",IF(F359="beauftragt",E359,0))</f>
        <v/>
      </c>
    </row>
    <row r="360">
      <c r="A360" s="30" t="inlineStr"/>
      <c r="B360" s="30" t="inlineStr"/>
      <c r="C360" s="38" t="inlineStr"/>
      <c r="D360" s="30" t="inlineStr"/>
      <c r="E360" s="34" t="inlineStr"/>
      <c r="F360" s="30" t="inlineStr"/>
      <c r="G360" s="30" t="inlineStr"/>
      <c r="H360" s="30" t="inlineStr"/>
      <c r="I360" s="15">
        <f>IF(A360="","",IF(F360="beauftragt",E360,0))</f>
        <v/>
      </c>
    </row>
    <row r="361">
      <c r="A361" s="30" t="inlineStr"/>
      <c r="B361" s="30" t="inlineStr"/>
      <c r="C361" s="38" t="inlineStr"/>
      <c r="D361" s="30" t="inlineStr"/>
      <c r="E361" s="34" t="inlineStr"/>
      <c r="F361" s="30" t="inlineStr"/>
      <c r="G361" s="30" t="inlineStr"/>
      <c r="H361" s="30" t="inlineStr"/>
      <c r="I361" s="15">
        <f>IF(A361="","",IF(F361="beauftragt",E361,0))</f>
        <v/>
      </c>
    </row>
    <row r="362">
      <c r="A362" s="30" t="inlineStr"/>
      <c r="B362" s="30" t="inlineStr"/>
      <c r="C362" s="38" t="inlineStr"/>
      <c r="D362" s="30" t="inlineStr"/>
      <c r="E362" s="34" t="inlineStr"/>
      <c r="F362" s="30" t="inlineStr"/>
      <c r="G362" s="30" t="inlineStr"/>
      <c r="H362" s="30" t="inlineStr"/>
      <c r="I362" s="15">
        <f>IF(A362="","",IF(F362="beauftragt",E362,0))</f>
        <v/>
      </c>
    </row>
    <row r="363">
      <c r="A363" s="30" t="inlineStr"/>
      <c r="B363" s="30" t="inlineStr"/>
      <c r="C363" s="38" t="inlineStr"/>
      <c r="D363" s="30" t="inlineStr"/>
      <c r="E363" s="34" t="inlineStr"/>
      <c r="F363" s="30" t="inlineStr"/>
      <c r="G363" s="30" t="inlineStr"/>
      <c r="H363" s="30" t="inlineStr"/>
      <c r="I363" s="15">
        <f>IF(A363="","",IF(F363="beauftragt",E363,0))</f>
        <v/>
      </c>
    </row>
    <row r="364">
      <c r="A364" s="30" t="inlineStr"/>
      <c r="B364" s="30" t="inlineStr"/>
      <c r="C364" s="38" t="inlineStr"/>
      <c r="D364" s="30" t="inlineStr"/>
      <c r="E364" s="34" t="inlineStr"/>
      <c r="F364" s="30" t="inlineStr"/>
      <c r="G364" s="30" t="inlineStr"/>
      <c r="H364" s="30" t="inlineStr"/>
      <c r="I364" s="15">
        <f>IF(A364="","",IF(F364="beauftragt",E364,0))</f>
        <v/>
      </c>
    </row>
    <row r="365">
      <c r="A365" s="30" t="inlineStr"/>
      <c r="B365" s="30" t="inlineStr"/>
      <c r="C365" s="38" t="inlineStr"/>
      <c r="D365" s="30" t="inlineStr"/>
      <c r="E365" s="34" t="inlineStr"/>
      <c r="F365" s="30" t="inlineStr"/>
      <c r="G365" s="30" t="inlineStr"/>
      <c r="H365" s="30" t="inlineStr"/>
      <c r="I365" s="15">
        <f>IF(A365="","",IF(F365="beauftragt",E365,0))</f>
        <v/>
      </c>
    </row>
    <row r="366">
      <c r="A366" s="30" t="inlineStr"/>
      <c r="B366" s="30" t="inlineStr"/>
      <c r="C366" s="38" t="inlineStr"/>
      <c r="D366" s="30" t="inlineStr"/>
      <c r="E366" s="34" t="inlineStr"/>
      <c r="F366" s="30" t="inlineStr"/>
      <c r="G366" s="30" t="inlineStr"/>
      <c r="H366" s="30" t="inlineStr"/>
      <c r="I366" s="15">
        <f>IF(A366="","",IF(F366="beauftragt",E366,0))</f>
        <v/>
      </c>
    </row>
    <row r="367">
      <c r="A367" s="30" t="inlineStr"/>
      <c r="B367" s="30" t="inlineStr"/>
      <c r="C367" s="38" t="inlineStr"/>
      <c r="D367" s="30" t="inlineStr"/>
      <c r="E367" s="34" t="inlineStr"/>
      <c r="F367" s="30" t="inlineStr"/>
      <c r="G367" s="30" t="inlineStr"/>
      <c r="H367" s="30" t="inlineStr"/>
      <c r="I367" s="15">
        <f>IF(A367="","",IF(F367="beauftragt",E367,0))</f>
        <v/>
      </c>
    </row>
    <row r="368">
      <c r="A368" s="30" t="inlineStr"/>
      <c r="B368" s="30" t="inlineStr"/>
      <c r="C368" s="38" t="inlineStr"/>
      <c r="D368" s="30" t="inlineStr"/>
      <c r="E368" s="34" t="inlineStr"/>
      <c r="F368" s="30" t="inlineStr"/>
      <c r="G368" s="30" t="inlineStr"/>
      <c r="H368" s="30" t="inlineStr"/>
      <c r="I368" s="15">
        <f>IF(A368="","",IF(F368="beauftragt",E368,0))</f>
        <v/>
      </c>
    </row>
    <row r="369">
      <c r="A369" s="30" t="inlineStr"/>
      <c r="B369" s="30" t="inlineStr"/>
      <c r="C369" s="38" t="inlineStr"/>
      <c r="D369" s="30" t="inlineStr"/>
      <c r="E369" s="34" t="inlineStr"/>
      <c r="F369" s="30" t="inlineStr"/>
      <c r="G369" s="30" t="inlineStr"/>
      <c r="H369" s="30" t="inlineStr"/>
      <c r="I369" s="15">
        <f>IF(A369="","",IF(F369="beauftragt",E369,0))</f>
        <v/>
      </c>
    </row>
    <row r="370">
      <c r="A370" s="30" t="inlineStr"/>
      <c r="B370" s="30" t="inlineStr"/>
      <c r="C370" s="38" t="inlineStr"/>
      <c r="D370" s="30" t="inlineStr"/>
      <c r="E370" s="34" t="inlineStr"/>
      <c r="F370" s="30" t="inlineStr"/>
      <c r="G370" s="30" t="inlineStr"/>
      <c r="H370" s="30" t="inlineStr"/>
      <c r="I370" s="15">
        <f>IF(A370="","",IF(F370="beauftragt",E370,0))</f>
        <v/>
      </c>
    </row>
    <row r="371">
      <c r="A371" s="30" t="inlineStr"/>
      <c r="B371" s="30" t="inlineStr"/>
      <c r="C371" s="38" t="inlineStr"/>
      <c r="D371" s="30" t="inlineStr"/>
      <c r="E371" s="34" t="inlineStr"/>
      <c r="F371" s="30" t="inlineStr"/>
      <c r="G371" s="30" t="inlineStr"/>
      <c r="H371" s="30" t="inlineStr"/>
      <c r="I371" s="15">
        <f>IF(A371="","",IF(F371="beauftragt",E371,0))</f>
        <v/>
      </c>
    </row>
    <row r="372">
      <c r="A372" s="30" t="inlineStr"/>
      <c r="B372" s="30" t="inlineStr"/>
      <c r="C372" s="38" t="inlineStr"/>
      <c r="D372" s="30" t="inlineStr"/>
      <c r="E372" s="34" t="inlineStr"/>
      <c r="F372" s="30" t="inlineStr"/>
      <c r="G372" s="30" t="inlineStr"/>
      <c r="H372" s="30" t="inlineStr"/>
      <c r="I372" s="15">
        <f>IF(A372="","",IF(F372="beauftragt",E372,0))</f>
        <v/>
      </c>
    </row>
    <row r="373">
      <c r="A373" s="30" t="inlineStr"/>
      <c r="B373" s="30" t="inlineStr"/>
      <c r="C373" s="38" t="inlineStr"/>
      <c r="D373" s="30" t="inlineStr"/>
      <c r="E373" s="34" t="inlineStr"/>
      <c r="F373" s="30" t="inlineStr"/>
      <c r="G373" s="30" t="inlineStr"/>
      <c r="H373" s="30" t="inlineStr"/>
      <c r="I373" s="15">
        <f>IF(A373="","",IF(F373="beauftragt",E373,0))</f>
        <v/>
      </c>
    </row>
    <row r="374">
      <c r="A374" s="30" t="inlineStr"/>
      <c r="B374" s="30" t="inlineStr"/>
      <c r="C374" s="38" t="inlineStr"/>
      <c r="D374" s="30" t="inlineStr"/>
      <c r="E374" s="34" t="inlineStr"/>
      <c r="F374" s="30" t="inlineStr"/>
      <c r="G374" s="30" t="inlineStr"/>
      <c r="H374" s="30" t="inlineStr"/>
      <c r="I374" s="15">
        <f>IF(A374="","",IF(F374="beauftragt",E374,0))</f>
        <v/>
      </c>
    </row>
    <row r="375">
      <c r="A375" s="30" t="inlineStr"/>
      <c r="B375" s="30" t="inlineStr"/>
      <c r="C375" s="38" t="inlineStr"/>
      <c r="D375" s="30" t="inlineStr"/>
      <c r="E375" s="34" t="inlineStr"/>
      <c r="F375" s="30" t="inlineStr"/>
      <c r="G375" s="30" t="inlineStr"/>
      <c r="H375" s="30" t="inlineStr"/>
      <c r="I375" s="15">
        <f>IF(A375="","",IF(F375="beauftragt",E375,0))</f>
        <v/>
      </c>
    </row>
    <row r="376">
      <c r="A376" s="30" t="inlineStr"/>
      <c r="B376" s="30" t="inlineStr"/>
      <c r="C376" s="38" t="inlineStr"/>
      <c r="D376" s="30" t="inlineStr"/>
      <c r="E376" s="34" t="inlineStr"/>
      <c r="F376" s="30" t="inlineStr"/>
      <c r="G376" s="30" t="inlineStr"/>
      <c r="H376" s="30" t="inlineStr"/>
      <c r="I376" s="15">
        <f>IF(A376="","",IF(F376="beauftragt",E376,0))</f>
        <v/>
      </c>
    </row>
    <row r="377">
      <c r="A377" s="30" t="inlineStr"/>
      <c r="B377" s="30" t="inlineStr"/>
      <c r="C377" s="38" t="inlineStr"/>
      <c r="D377" s="30" t="inlineStr"/>
      <c r="E377" s="34" t="inlineStr"/>
      <c r="F377" s="30" t="inlineStr"/>
      <c r="G377" s="30" t="inlineStr"/>
      <c r="H377" s="30" t="inlineStr"/>
      <c r="I377" s="15">
        <f>IF(A377="","",IF(F377="beauftragt",E377,0))</f>
        <v/>
      </c>
    </row>
    <row r="378">
      <c r="A378" s="30" t="inlineStr"/>
      <c r="B378" s="30" t="inlineStr"/>
      <c r="C378" s="38" t="inlineStr"/>
      <c r="D378" s="30" t="inlineStr"/>
      <c r="E378" s="34" t="inlineStr"/>
      <c r="F378" s="30" t="inlineStr"/>
      <c r="G378" s="30" t="inlineStr"/>
      <c r="H378" s="30" t="inlineStr"/>
      <c r="I378" s="15">
        <f>IF(A378="","",IF(F378="beauftragt",E378,0))</f>
        <v/>
      </c>
    </row>
    <row r="379">
      <c r="A379" s="30" t="inlineStr"/>
      <c r="B379" s="30" t="inlineStr"/>
      <c r="C379" s="38" t="inlineStr"/>
      <c r="D379" s="30" t="inlineStr"/>
      <c r="E379" s="34" t="inlineStr"/>
      <c r="F379" s="30" t="inlineStr"/>
      <c r="G379" s="30" t="inlineStr"/>
      <c r="H379" s="30" t="inlineStr"/>
      <c r="I379" s="15">
        <f>IF(A379="","",IF(F379="beauftragt",E379,0))</f>
        <v/>
      </c>
    </row>
    <row r="380">
      <c r="A380" s="30" t="inlineStr"/>
      <c r="B380" s="30" t="inlineStr"/>
      <c r="C380" s="38" t="inlineStr"/>
      <c r="D380" s="30" t="inlineStr"/>
      <c r="E380" s="34" t="inlineStr"/>
      <c r="F380" s="30" t="inlineStr"/>
      <c r="G380" s="30" t="inlineStr"/>
      <c r="H380" s="30" t="inlineStr"/>
      <c r="I380" s="15">
        <f>IF(A380="","",IF(F380="beauftragt",E380,0))</f>
        <v/>
      </c>
    </row>
    <row r="381">
      <c r="A381" s="30" t="inlineStr"/>
      <c r="B381" s="30" t="inlineStr"/>
      <c r="C381" s="38" t="inlineStr"/>
      <c r="D381" s="30" t="inlineStr"/>
      <c r="E381" s="34" t="inlineStr"/>
      <c r="F381" s="30" t="inlineStr"/>
      <c r="G381" s="30" t="inlineStr"/>
      <c r="H381" s="30" t="inlineStr"/>
      <c r="I381" s="15">
        <f>IF(A381="","",IF(F381="beauftragt",E381,0))</f>
        <v/>
      </c>
    </row>
    <row r="382">
      <c r="A382" s="30" t="inlineStr"/>
      <c r="B382" s="30" t="inlineStr"/>
      <c r="C382" s="38" t="inlineStr"/>
      <c r="D382" s="30" t="inlineStr"/>
      <c r="E382" s="34" t="inlineStr"/>
      <c r="F382" s="30" t="inlineStr"/>
      <c r="G382" s="30" t="inlineStr"/>
      <c r="H382" s="30" t="inlineStr"/>
      <c r="I382" s="15">
        <f>IF(A382="","",IF(F382="beauftragt",E382,0))</f>
        <v/>
      </c>
    </row>
    <row r="383">
      <c r="A383" s="30" t="inlineStr"/>
      <c r="B383" s="30" t="inlineStr"/>
      <c r="C383" s="38" t="inlineStr"/>
      <c r="D383" s="30" t="inlineStr"/>
      <c r="E383" s="34" t="inlineStr"/>
      <c r="F383" s="30" t="inlineStr"/>
      <c r="G383" s="30" t="inlineStr"/>
      <c r="H383" s="30" t="inlineStr"/>
      <c r="I383" s="15">
        <f>IF(A383="","",IF(F383="beauftragt",E383,0))</f>
        <v/>
      </c>
    </row>
    <row r="384">
      <c r="A384" s="30" t="inlineStr"/>
      <c r="B384" s="30" t="inlineStr"/>
      <c r="C384" s="38" t="inlineStr"/>
      <c r="D384" s="30" t="inlineStr"/>
      <c r="E384" s="34" t="inlineStr"/>
      <c r="F384" s="30" t="inlineStr"/>
      <c r="G384" s="30" t="inlineStr"/>
      <c r="H384" s="30" t="inlineStr"/>
      <c r="I384" s="15">
        <f>IF(A384="","",IF(F384="beauftragt",E384,0))</f>
        <v/>
      </c>
    </row>
    <row r="385">
      <c r="A385" s="30" t="inlineStr"/>
      <c r="B385" s="30" t="inlineStr"/>
      <c r="C385" s="38" t="inlineStr"/>
      <c r="D385" s="30" t="inlineStr"/>
      <c r="E385" s="34" t="inlineStr"/>
      <c r="F385" s="30" t="inlineStr"/>
      <c r="G385" s="30" t="inlineStr"/>
      <c r="H385" s="30" t="inlineStr"/>
      <c r="I385" s="15">
        <f>IF(A385="","",IF(F385="beauftragt",E385,0))</f>
        <v/>
      </c>
    </row>
    <row r="386">
      <c r="A386" s="30" t="inlineStr"/>
      <c r="B386" s="30" t="inlineStr"/>
      <c r="C386" s="38" t="inlineStr"/>
      <c r="D386" s="30" t="inlineStr"/>
      <c r="E386" s="34" t="inlineStr"/>
      <c r="F386" s="30" t="inlineStr"/>
      <c r="G386" s="30" t="inlineStr"/>
      <c r="H386" s="30" t="inlineStr"/>
      <c r="I386" s="15">
        <f>IF(A386="","",IF(F386="beauftragt",E386,0))</f>
        <v/>
      </c>
    </row>
    <row r="387">
      <c r="A387" s="30" t="inlineStr"/>
      <c r="B387" s="30" t="inlineStr"/>
      <c r="C387" s="38" t="inlineStr"/>
      <c r="D387" s="30" t="inlineStr"/>
      <c r="E387" s="34" t="inlineStr"/>
      <c r="F387" s="30" t="inlineStr"/>
      <c r="G387" s="30" t="inlineStr"/>
      <c r="H387" s="30" t="inlineStr"/>
      <c r="I387" s="15">
        <f>IF(A387="","",IF(F387="beauftragt",E387,0))</f>
        <v/>
      </c>
    </row>
    <row r="388">
      <c r="A388" s="30" t="inlineStr"/>
      <c r="B388" s="30" t="inlineStr"/>
      <c r="C388" s="38" t="inlineStr"/>
      <c r="D388" s="30" t="inlineStr"/>
      <c r="E388" s="34" t="inlineStr"/>
      <c r="F388" s="30" t="inlineStr"/>
      <c r="G388" s="30" t="inlineStr"/>
      <c r="H388" s="30" t="inlineStr"/>
      <c r="I388" s="15">
        <f>IF(A388="","",IF(F388="beauftragt",E388,0))</f>
        <v/>
      </c>
    </row>
    <row r="389">
      <c r="A389" s="30" t="inlineStr"/>
      <c r="B389" s="30" t="inlineStr"/>
      <c r="C389" s="38" t="inlineStr"/>
      <c r="D389" s="30" t="inlineStr"/>
      <c r="E389" s="34" t="inlineStr"/>
      <c r="F389" s="30" t="inlineStr"/>
      <c r="G389" s="30" t="inlineStr"/>
      <c r="H389" s="30" t="inlineStr"/>
      <c r="I389" s="15">
        <f>IF(A389="","",IF(F389="beauftragt",E389,0))</f>
        <v/>
      </c>
    </row>
    <row r="390">
      <c r="A390" s="30" t="inlineStr"/>
      <c r="B390" s="30" t="inlineStr"/>
      <c r="C390" s="38" t="inlineStr"/>
      <c r="D390" s="30" t="inlineStr"/>
      <c r="E390" s="34" t="inlineStr"/>
      <c r="F390" s="30" t="inlineStr"/>
      <c r="G390" s="30" t="inlineStr"/>
      <c r="H390" s="30" t="inlineStr"/>
      <c r="I390" s="15">
        <f>IF(A390="","",IF(F390="beauftragt",E390,0))</f>
        <v/>
      </c>
    </row>
    <row r="391">
      <c r="A391" s="30" t="inlineStr"/>
      <c r="B391" s="30" t="inlineStr"/>
      <c r="C391" s="38" t="inlineStr"/>
      <c r="D391" s="30" t="inlineStr"/>
      <c r="E391" s="34" t="inlineStr"/>
      <c r="F391" s="30" t="inlineStr"/>
      <c r="G391" s="30" t="inlineStr"/>
      <c r="H391" s="30" t="inlineStr"/>
      <c r="I391" s="15">
        <f>IF(A391="","",IF(F391="beauftragt",E391,0))</f>
        <v/>
      </c>
    </row>
    <row r="392">
      <c r="A392" s="30" t="inlineStr"/>
      <c r="B392" s="30" t="inlineStr"/>
      <c r="C392" s="38" t="inlineStr"/>
      <c r="D392" s="30" t="inlineStr"/>
      <c r="E392" s="34" t="inlineStr"/>
      <c r="F392" s="30" t="inlineStr"/>
      <c r="G392" s="30" t="inlineStr"/>
      <c r="H392" s="30" t="inlineStr"/>
      <c r="I392" s="15">
        <f>IF(A392="","",IF(F392="beauftragt",E392,0))</f>
        <v/>
      </c>
    </row>
    <row r="393">
      <c r="A393" s="30" t="inlineStr"/>
      <c r="B393" s="30" t="inlineStr"/>
      <c r="C393" s="38" t="inlineStr"/>
      <c r="D393" s="30" t="inlineStr"/>
      <c r="E393" s="34" t="inlineStr"/>
      <c r="F393" s="30" t="inlineStr"/>
      <c r="G393" s="30" t="inlineStr"/>
      <c r="H393" s="30" t="inlineStr"/>
      <c r="I393" s="15">
        <f>IF(A393="","",IF(F393="beauftragt",E393,0))</f>
        <v/>
      </c>
    </row>
    <row r="394">
      <c r="A394" s="30" t="inlineStr"/>
      <c r="B394" s="30" t="inlineStr"/>
      <c r="C394" s="38" t="inlineStr"/>
      <c r="D394" s="30" t="inlineStr"/>
      <c r="E394" s="34" t="inlineStr"/>
      <c r="F394" s="30" t="inlineStr"/>
      <c r="G394" s="30" t="inlineStr"/>
      <c r="H394" s="30" t="inlineStr"/>
      <c r="I394" s="15">
        <f>IF(A394="","",IF(F394="beauftragt",E394,0))</f>
        <v/>
      </c>
    </row>
    <row r="395">
      <c r="A395" s="30" t="inlineStr"/>
      <c r="B395" s="30" t="inlineStr"/>
      <c r="C395" s="38" t="inlineStr"/>
      <c r="D395" s="30" t="inlineStr"/>
      <c r="E395" s="34" t="inlineStr"/>
      <c r="F395" s="30" t="inlineStr"/>
      <c r="G395" s="30" t="inlineStr"/>
      <c r="H395" s="30" t="inlineStr"/>
      <c r="I395" s="15">
        <f>IF(A395="","",IF(F395="beauftragt",E395,0))</f>
        <v/>
      </c>
    </row>
    <row r="396">
      <c r="A396" s="30" t="inlineStr"/>
      <c r="B396" s="30" t="inlineStr"/>
      <c r="C396" s="38" t="inlineStr"/>
      <c r="D396" s="30" t="inlineStr"/>
      <c r="E396" s="34" t="inlineStr"/>
      <c r="F396" s="30" t="inlineStr"/>
      <c r="G396" s="30" t="inlineStr"/>
      <c r="H396" s="30" t="inlineStr"/>
      <c r="I396" s="15">
        <f>IF(A396="","",IF(F396="beauftragt",E396,0))</f>
        <v/>
      </c>
    </row>
    <row r="397">
      <c r="A397" s="30" t="inlineStr"/>
      <c r="B397" s="30" t="inlineStr"/>
      <c r="C397" s="38" t="inlineStr"/>
      <c r="D397" s="30" t="inlineStr"/>
      <c r="E397" s="34" t="inlineStr"/>
      <c r="F397" s="30" t="inlineStr"/>
      <c r="G397" s="30" t="inlineStr"/>
      <c r="H397" s="30" t="inlineStr"/>
      <c r="I397" s="15">
        <f>IF(A397="","",IF(F397="beauftragt",E397,0))</f>
        <v/>
      </c>
    </row>
    <row r="398">
      <c r="A398" s="30" t="inlineStr"/>
      <c r="B398" s="30" t="inlineStr"/>
      <c r="C398" s="38" t="inlineStr"/>
      <c r="D398" s="30" t="inlineStr"/>
      <c r="E398" s="34" t="inlineStr"/>
      <c r="F398" s="30" t="inlineStr"/>
      <c r="G398" s="30" t="inlineStr"/>
      <c r="H398" s="30" t="inlineStr"/>
      <c r="I398" s="15">
        <f>IF(A398="","",IF(F398="beauftragt",E398,0))</f>
        <v/>
      </c>
    </row>
    <row r="399">
      <c r="A399" s="30" t="inlineStr"/>
      <c r="B399" s="30" t="inlineStr"/>
      <c r="C399" s="38" t="inlineStr"/>
      <c r="D399" s="30" t="inlineStr"/>
      <c r="E399" s="34" t="inlineStr"/>
      <c r="F399" s="30" t="inlineStr"/>
      <c r="G399" s="30" t="inlineStr"/>
      <c r="H399" s="30" t="inlineStr"/>
      <c r="I399" s="15">
        <f>IF(A399="","",IF(F399="beauftragt",E399,0))</f>
        <v/>
      </c>
    </row>
    <row r="400">
      <c r="A400" s="30" t="inlineStr"/>
      <c r="B400" s="30" t="inlineStr"/>
      <c r="C400" s="38" t="inlineStr"/>
      <c r="D400" s="30" t="inlineStr"/>
      <c r="E400" s="34" t="inlineStr"/>
      <c r="F400" s="30" t="inlineStr"/>
      <c r="G400" s="30" t="inlineStr"/>
      <c r="H400" s="30" t="inlineStr"/>
      <c r="I400" s="15">
        <f>IF(A400="","",IF(F400="beauftragt",E400,0))</f>
        <v/>
      </c>
    </row>
  </sheetData>
  <mergeCells count="2">
    <mergeCell ref="A1:I1"/>
    <mergeCell ref="A2:I2"/>
  </mergeCells>
  <dataValidations count="2">
    <dataValidation sqref="B4:B400" showDropDown="0" showInputMessage="0" showErrorMessage="0" allowBlank="1" errorTitle="Ungültige Auswahl" error="Bitte einen Wert aus der Liste wählen." promptTitle="Liste" prompt="Auswahl" type="list">
      <formula1>=ProjektNr</formula1>
    </dataValidation>
    <dataValidation sqref="F4:F400" showDropDown="0" showInputMessage="0" showErrorMessage="0" allowBlank="1" errorTitle="Ungültige Auswahl" error="Bitte einen Wert aus der Liste wählen." promptTitle="Liste" prompt="Auswahl" type="list">
      <formula1>"angeboten,in Prüfung,beauftragt,abgelehnt,zurückgezogen"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B8860B"/>
    <outlinePr summaryBelow="1" summaryRight="1"/>
    <pageSetUpPr/>
  </sheetPr>
  <dimension ref="A1:P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2" customWidth="1" min="4" max="4"/>
    <col width="12" customWidth="1" min="5" max="5"/>
    <col width="12" customWidth="1" min="6" max="6"/>
    <col width="14" customWidth="1" min="7" max="7"/>
    <col width="10" customWidth="1" min="8" max="8"/>
    <col width="14" customWidth="1" min="9" max="9"/>
    <col width="12" customWidth="1" min="10" max="10"/>
    <col width="16" customWidth="1" min="11" max="11"/>
  </cols>
  <sheetData>
    <row r="1" ht="28" customHeight="1">
      <c r="A1" s="1" t="inlineStr">
        <is>
          <t>Leistungsverzeichnis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M1" s="3" t="n"/>
      <c r="N1" s="3" t="n"/>
      <c r="O1" s="3" t="n"/>
      <c r="P1" s="3" t="n"/>
    </row>
    <row r="2" ht="18" customHeight="1">
      <c r="A2" s="4" t="inlineStr">
        <is>
          <t>Einheitspreisvertrag: Menge × EP × Faktor = Positionssumme, verdichtet je Projekt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3" t="n"/>
      <c r="M2" s="3" t="n"/>
      <c r="N2" s="3" t="n"/>
      <c r="O2" s="3" t="n"/>
      <c r="P2" s="3" t="n"/>
    </row>
    <row r="3" ht="28" customHeight="1">
      <c r="A3" s="17" t="inlineStr">
        <is>
          <t>Pos-Nr</t>
        </is>
      </c>
      <c r="B3" s="17" t="inlineStr">
        <is>
          <t>Projekt</t>
        </is>
      </c>
      <c r="C3" s="17" t="inlineStr">
        <is>
          <t>OZ</t>
        </is>
      </c>
      <c r="D3" s="17" t="inlineStr">
        <is>
          <t>Bezeichnung</t>
        </is>
      </c>
      <c r="E3" s="17" t="inlineStr">
        <is>
          <t>ME</t>
        </is>
      </c>
      <c r="F3" s="17" t="inlineStr">
        <is>
          <t>Menge</t>
        </is>
      </c>
      <c r="G3" s="17" t="inlineStr">
        <is>
          <t>EP netto</t>
        </is>
      </c>
      <c r="H3" s="17" t="inlineStr">
        <is>
          <t>Faktor</t>
        </is>
      </c>
      <c r="I3" s="17" t="inlineStr">
        <is>
          <t>Gewerk</t>
        </is>
      </c>
      <c r="J3" s="17" t="inlineStr">
        <is>
          <t>Status</t>
        </is>
      </c>
      <c r="K3" s="17" t="inlineStr">
        <is>
          <t>Gesamt netto</t>
        </is>
      </c>
      <c r="L3" s="3" t="n"/>
      <c r="M3" s="3" t="n"/>
      <c r="N3" s="3" t="n"/>
      <c r="O3" s="3" t="n"/>
      <c r="P3" s="3" t="n"/>
    </row>
    <row r="4">
      <c r="A4" s="30" t="inlineStr">
        <is>
          <t>LV-001</t>
        </is>
      </c>
      <c r="B4" s="30" t="inlineStr">
        <is>
          <t>P-2026-001</t>
        </is>
      </c>
      <c r="C4" s="30" t="inlineStr">
        <is>
          <t>01.01</t>
        </is>
      </c>
      <c r="D4" s="30" t="inlineStr">
        <is>
          <t>Baugrube / Aushub</t>
        </is>
      </c>
      <c r="E4" s="30" t="inlineStr">
        <is>
          <t>m³</t>
        </is>
      </c>
      <c r="F4" s="35" t="n">
        <v>1850</v>
      </c>
      <c r="G4" s="34" t="n">
        <v>28.5</v>
      </c>
      <c r="H4" s="35" t="n">
        <v>1</v>
      </c>
      <c r="I4" s="30" t="inlineStr">
        <is>
          <t>Rohbau</t>
        </is>
      </c>
      <c r="J4" s="30" t="inlineStr">
        <is>
          <t>erledigt</t>
        </is>
      </c>
      <c r="K4" s="15">
        <f>IF(A4="","",F4*G4*H4)</f>
        <v/>
      </c>
      <c r="L4" s="3" t="n"/>
      <c r="M4" s="3" t="n"/>
      <c r="N4" s="3" t="n"/>
      <c r="O4" s="3" t="n"/>
      <c r="P4" s="3" t="n"/>
    </row>
    <row r="5">
      <c r="A5" s="30" t="inlineStr">
        <is>
          <t>LV-002</t>
        </is>
      </c>
      <c r="B5" s="30" t="inlineStr">
        <is>
          <t>P-2026-001</t>
        </is>
      </c>
      <c r="C5" s="30" t="inlineStr">
        <is>
          <t>02.10</t>
        </is>
      </c>
      <c r="D5" s="30" t="inlineStr">
        <is>
          <t>Ortbeton Fundamente</t>
        </is>
      </c>
      <c r="E5" s="30" t="inlineStr">
        <is>
          <t>m³</t>
        </is>
      </c>
      <c r="F5" s="35" t="n">
        <v>420</v>
      </c>
      <c r="G5" s="34" t="n">
        <v>285</v>
      </c>
      <c r="H5" s="35" t="n">
        <v>1</v>
      </c>
      <c r="I5" s="30" t="inlineStr">
        <is>
          <t>Rohbau</t>
        </is>
      </c>
      <c r="J5" s="30" t="inlineStr">
        <is>
          <t>erledigt</t>
        </is>
      </c>
      <c r="K5" s="15">
        <f>IF(A5="","",F5*G5*H5)</f>
        <v/>
      </c>
      <c r="L5" s="3" t="n"/>
      <c r="M5" s="3" t="n"/>
      <c r="N5" s="3" t="n"/>
      <c r="O5" s="3" t="n"/>
      <c r="P5" s="3" t="n"/>
    </row>
    <row r="6">
      <c r="A6" s="30" t="inlineStr">
        <is>
          <t>LV-003</t>
        </is>
      </c>
      <c r="B6" s="30" t="inlineStr">
        <is>
          <t>P-2026-001</t>
        </is>
      </c>
      <c r="C6" s="30" t="inlineStr">
        <is>
          <t>03.20</t>
        </is>
      </c>
      <c r="D6" s="30" t="inlineStr">
        <is>
          <t>Mauerwerk KG/EG</t>
        </is>
      </c>
      <c r="E6" s="30" t="inlineStr">
        <is>
          <t>m²</t>
        </is>
      </c>
      <c r="F6" s="35" t="n">
        <v>2100</v>
      </c>
      <c r="G6" s="34" t="n">
        <v>92</v>
      </c>
      <c r="H6" s="35" t="n">
        <v>1</v>
      </c>
      <c r="I6" s="30" t="inlineStr">
        <is>
          <t>Rohbau</t>
        </is>
      </c>
      <c r="J6" s="30" t="inlineStr">
        <is>
          <t>in Arbeit</t>
        </is>
      </c>
      <c r="K6" s="15">
        <f>IF(A6="","",F6*G6*H6)</f>
        <v/>
      </c>
      <c r="L6" s="3" t="n"/>
      <c r="M6" s="3" t="n"/>
      <c r="N6" s="3" t="n"/>
      <c r="O6" s="3" t="n"/>
      <c r="P6" s="3" t="n"/>
    </row>
    <row r="7">
      <c r="A7" s="30" t="inlineStr">
        <is>
          <t>LV-004</t>
        </is>
      </c>
      <c r="B7" s="30" t="inlineStr">
        <is>
          <t>P-2026-001</t>
        </is>
      </c>
      <c r="C7" s="30" t="inlineStr">
        <is>
          <t>04.10</t>
        </is>
      </c>
      <c r="D7" s="30" t="inlineStr">
        <is>
          <t>Stahlbeton Decken</t>
        </is>
      </c>
      <c r="E7" s="30" t="inlineStr">
        <is>
          <t>m²</t>
        </is>
      </c>
      <c r="F7" s="35" t="n">
        <v>1680</v>
      </c>
      <c r="G7" s="34" t="n">
        <v>145</v>
      </c>
      <c r="H7" s="35" t="n">
        <v>1</v>
      </c>
      <c r="I7" s="30" t="inlineStr">
        <is>
          <t>Rohbau</t>
        </is>
      </c>
      <c r="J7" s="30" t="inlineStr">
        <is>
          <t>in Arbeit</t>
        </is>
      </c>
      <c r="K7" s="15">
        <f>IF(A7="","",F7*G7*H7)</f>
        <v/>
      </c>
    </row>
    <row r="8">
      <c r="A8" s="30" t="inlineStr">
        <is>
          <t>LV-005</t>
        </is>
      </c>
      <c r="B8" s="30" t="inlineStr">
        <is>
          <t>P-2026-001</t>
        </is>
      </c>
      <c r="C8" s="30" t="inlineStr">
        <is>
          <t>07.00</t>
        </is>
      </c>
      <c r="D8" s="30" t="inlineStr">
        <is>
          <t>Dachkonstruktion</t>
        </is>
      </c>
      <c r="E8" s="30" t="inlineStr">
        <is>
          <t>m²</t>
        </is>
      </c>
      <c r="F8" s="35" t="n">
        <v>980</v>
      </c>
      <c r="G8" s="34" t="n">
        <v>168</v>
      </c>
      <c r="H8" s="35" t="n">
        <v>1</v>
      </c>
      <c r="I8" s="30" t="inlineStr">
        <is>
          <t>Ausbau</t>
        </is>
      </c>
      <c r="J8" s="30" t="inlineStr">
        <is>
          <t>offen</t>
        </is>
      </c>
      <c r="K8" s="15">
        <f>IF(A8="","",F8*G8*H8)</f>
        <v/>
      </c>
    </row>
    <row r="9">
      <c r="A9" s="30" t="inlineStr">
        <is>
          <t>LV-006</t>
        </is>
      </c>
      <c r="B9" s="30" t="inlineStr">
        <is>
          <t>P-2026-002</t>
        </is>
      </c>
      <c r="C9" s="30" t="inlineStr">
        <is>
          <t>01.00</t>
        </is>
      </c>
      <c r="D9" s="30" t="inlineStr">
        <is>
          <t>Erdbau / Fundament</t>
        </is>
      </c>
      <c r="E9" s="30" t="inlineStr">
        <is>
          <t>pauschal</t>
        </is>
      </c>
      <c r="F9" s="35" t="n">
        <v>1</v>
      </c>
      <c r="G9" s="34" t="n">
        <v>78000</v>
      </c>
      <c r="H9" s="35" t="n">
        <v>1</v>
      </c>
      <c r="I9" s="30" t="inlineStr">
        <is>
          <t>Rohbau</t>
        </is>
      </c>
      <c r="J9" s="30" t="inlineStr">
        <is>
          <t>erledigt</t>
        </is>
      </c>
      <c r="K9" s="15">
        <f>IF(A9="","",F9*G9*H9)</f>
        <v/>
      </c>
    </row>
    <row r="10">
      <c r="A10" s="30" t="inlineStr">
        <is>
          <t>LV-007</t>
        </is>
      </c>
      <c r="B10" s="30" t="inlineStr">
        <is>
          <t>P-2026-002</t>
        </is>
      </c>
      <c r="C10" s="30" t="inlineStr">
        <is>
          <t>02.00</t>
        </is>
      </c>
      <c r="D10" s="30" t="inlineStr">
        <is>
          <t>Rohbau Kita</t>
        </is>
      </c>
      <c r="E10" s="30" t="inlineStr">
        <is>
          <t>m²</t>
        </is>
      </c>
      <c r="F10" s="35" t="n">
        <v>640</v>
      </c>
      <c r="G10" s="34" t="n">
        <v>620</v>
      </c>
      <c r="H10" s="35" t="n">
        <v>1</v>
      </c>
      <c r="I10" s="30" t="inlineStr">
        <is>
          <t>Rohbau</t>
        </is>
      </c>
      <c r="J10" s="30" t="inlineStr">
        <is>
          <t>in Arbeit</t>
        </is>
      </c>
      <c r="K10" s="15">
        <f>IF(A10="","",F10*G10*H10)</f>
        <v/>
      </c>
    </row>
    <row r="11">
      <c r="A11" s="30" t="inlineStr">
        <is>
          <t>LV-008</t>
        </is>
      </c>
      <c r="B11" s="30" t="inlineStr">
        <is>
          <t>P-2026-002</t>
        </is>
      </c>
      <c r="C11" s="30" t="inlineStr">
        <is>
          <t>05.00</t>
        </is>
      </c>
      <c r="D11" s="30" t="inlineStr">
        <is>
          <t>Fassade WDVS</t>
        </is>
      </c>
      <c r="E11" s="30" t="inlineStr">
        <is>
          <t>m²</t>
        </is>
      </c>
      <c r="F11" s="35" t="n">
        <v>780</v>
      </c>
      <c r="G11" s="34" t="n">
        <v>118</v>
      </c>
      <c r="H11" s="35" t="n">
        <v>1</v>
      </c>
      <c r="I11" s="30" t="inlineStr">
        <is>
          <t>Ausbau</t>
        </is>
      </c>
      <c r="J11" s="30" t="inlineStr">
        <is>
          <t>offen</t>
        </is>
      </c>
      <c r="K11" s="15">
        <f>IF(A11="","",F11*G11*H11)</f>
        <v/>
      </c>
    </row>
    <row r="12">
      <c r="A12" s="30" t="inlineStr">
        <is>
          <t>LV-009</t>
        </is>
      </c>
      <c r="B12" s="30" t="inlineStr">
        <is>
          <t>P-2026-003</t>
        </is>
      </c>
      <c r="C12" s="30" t="inlineStr">
        <is>
          <t>10.00</t>
        </is>
      </c>
      <c r="D12" s="30" t="inlineStr">
        <is>
          <t>Fassadensanierung</t>
        </is>
      </c>
      <c r="E12" s="30" t="inlineStr">
        <is>
          <t>m²</t>
        </is>
      </c>
      <c r="F12" s="35" t="n">
        <v>920</v>
      </c>
      <c r="G12" s="34" t="n">
        <v>245</v>
      </c>
      <c r="H12" s="35" t="n">
        <v>1</v>
      </c>
      <c r="I12" s="30" t="inlineStr">
        <is>
          <t>Sanierung</t>
        </is>
      </c>
      <c r="J12" s="30" t="inlineStr">
        <is>
          <t>in Arbeit</t>
        </is>
      </c>
      <c r="K12" s="15">
        <f>IF(A12="","",F12*G12*H12)</f>
        <v/>
      </c>
    </row>
    <row r="13">
      <c r="A13" s="30" t="inlineStr">
        <is>
          <t>LV-010</t>
        </is>
      </c>
      <c r="B13" s="30" t="inlineStr">
        <is>
          <t>P-2026-003</t>
        </is>
      </c>
      <c r="C13" s="30" t="inlineStr">
        <is>
          <t>12.00</t>
        </is>
      </c>
      <c r="D13" s="30" t="inlineStr">
        <is>
          <t>Fenster Denkmalschutz</t>
        </is>
      </c>
      <c r="E13" s="30" t="inlineStr">
        <is>
          <t>Stk</t>
        </is>
      </c>
      <c r="F13" s="35" t="n">
        <v>64</v>
      </c>
      <c r="G13" s="34" t="n">
        <v>1850</v>
      </c>
      <c r="H13" s="35" t="n">
        <v>1</v>
      </c>
      <c r="I13" s="30" t="inlineStr">
        <is>
          <t>Ausbau</t>
        </is>
      </c>
      <c r="J13" s="30" t="inlineStr">
        <is>
          <t>offen</t>
        </is>
      </c>
      <c r="K13" s="15">
        <f>IF(A13="","",F13*G13*H13)</f>
        <v/>
      </c>
    </row>
    <row r="14">
      <c r="A14" s="30" t="inlineStr">
        <is>
          <t>LV-011</t>
        </is>
      </c>
      <c r="B14" s="30" t="inlineStr">
        <is>
          <t>P-2026-004</t>
        </is>
      </c>
      <c r="C14" s="30" t="inlineStr">
        <is>
          <t>01.00</t>
        </is>
      </c>
      <c r="D14" s="30" t="inlineStr">
        <is>
          <t>Bodenplatte Halle</t>
        </is>
      </c>
      <c r="E14" s="30" t="inlineStr">
        <is>
          <t>m²</t>
        </is>
      </c>
      <c r="F14" s="35" t="n">
        <v>4200</v>
      </c>
      <c r="G14" s="34" t="n">
        <v>95</v>
      </c>
      <c r="H14" s="35" t="n">
        <v>1</v>
      </c>
      <c r="I14" s="30" t="inlineStr">
        <is>
          <t>Rohbau</t>
        </is>
      </c>
      <c r="J14" s="30" t="inlineStr">
        <is>
          <t>in Arbeit</t>
        </is>
      </c>
      <c r="K14" s="15">
        <f>IF(A14="","",F14*G14*H14)</f>
        <v/>
      </c>
    </row>
    <row r="15">
      <c r="A15" s="30" t="inlineStr">
        <is>
          <t>LV-012</t>
        </is>
      </c>
      <c r="B15" s="30" t="inlineStr">
        <is>
          <t>P-2026-004</t>
        </is>
      </c>
      <c r="C15" s="30" t="inlineStr">
        <is>
          <t>03.00</t>
        </is>
      </c>
      <c r="D15" s="30" t="inlineStr">
        <is>
          <t>Stahltragwerk</t>
        </is>
      </c>
      <c r="E15" s="30" t="inlineStr">
        <is>
          <t>t</t>
        </is>
      </c>
      <c r="F15" s="35" t="n">
        <v>186</v>
      </c>
      <c r="G15" s="34" t="n">
        <v>2850</v>
      </c>
      <c r="H15" s="35" t="n">
        <v>1</v>
      </c>
      <c r="I15" s="30" t="inlineStr">
        <is>
          <t>Rohbau</t>
        </is>
      </c>
      <c r="J15" s="30" t="inlineStr">
        <is>
          <t>offen</t>
        </is>
      </c>
      <c r="K15" s="15">
        <f>IF(A15="","",F15*G15*H15)</f>
        <v/>
      </c>
    </row>
    <row r="16">
      <c r="A16" s="30" t="inlineStr">
        <is>
          <t>LV-013</t>
        </is>
      </c>
      <c r="B16" s="30" t="inlineStr">
        <is>
          <t>P-2026-005</t>
        </is>
      </c>
      <c r="C16" s="30" t="inlineStr">
        <is>
          <t>99.00</t>
        </is>
      </c>
      <c r="D16" s="30" t="inlineStr">
        <is>
          <t>Schlüsselfertig EFH</t>
        </is>
      </c>
      <c r="E16" s="30" t="inlineStr">
        <is>
          <t>pauschal</t>
        </is>
      </c>
      <c r="F16" s="35" t="n">
        <v>1</v>
      </c>
      <c r="G16" s="34" t="n">
        <v>420000</v>
      </c>
      <c r="H16" s="35" t="n">
        <v>1</v>
      </c>
      <c r="I16" s="30" t="inlineStr">
        <is>
          <t>Komplett</t>
        </is>
      </c>
      <c r="J16" s="30" t="inlineStr">
        <is>
          <t>erledigt</t>
        </is>
      </c>
      <c r="K16" s="15">
        <f>IF(A16="","",F16*G16*H16)</f>
        <v/>
      </c>
    </row>
    <row r="17">
      <c r="A17" s="30" t="inlineStr">
        <is>
          <t>LV-014</t>
        </is>
      </c>
      <c r="B17" s="30" t="inlineStr">
        <is>
          <t>P-2026-006</t>
        </is>
      </c>
      <c r="C17" s="30" t="inlineStr">
        <is>
          <t>20.00</t>
        </is>
      </c>
      <c r="D17" s="30" t="inlineStr">
        <is>
          <t>Fahrbahndecke Asphalt</t>
        </is>
      </c>
      <c r="E17" s="30" t="inlineStr">
        <is>
          <t>m²</t>
        </is>
      </c>
      <c r="F17" s="35" t="n">
        <v>12400</v>
      </c>
      <c r="G17" s="34" t="n">
        <v>42</v>
      </c>
      <c r="H17" s="35" t="n">
        <v>1</v>
      </c>
      <c r="I17" s="30" t="inlineStr">
        <is>
          <t>Tiefbau</t>
        </is>
      </c>
      <c r="J17" s="30" t="inlineStr">
        <is>
          <t>offen</t>
        </is>
      </c>
      <c r="K17" s="15">
        <f>IF(A17="","",F17*G17*H17)</f>
        <v/>
      </c>
    </row>
    <row r="18">
      <c r="A18" s="30" t="inlineStr">
        <is>
          <t>LV-015</t>
        </is>
      </c>
      <c r="B18" s="30" t="inlineStr">
        <is>
          <t>P-2026-006</t>
        </is>
      </c>
      <c r="C18" s="30" t="inlineStr">
        <is>
          <t>21.00</t>
        </is>
      </c>
      <c r="D18" s="30" t="inlineStr">
        <is>
          <t>Entwässerung</t>
        </is>
      </c>
      <c r="E18" s="30" t="inlineStr">
        <is>
          <t>m</t>
        </is>
      </c>
      <c r="F18" s="35" t="n">
        <v>1860</v>
      </c>
      <c r="G18" s="34" t="n">
        <v>185</v>
      </c>
      <c r="H18" s="35" t="n">
        <v>1</v>
      </c>
      <c r="I18" s="30" t="inlineStr">
        <is>
          <t>Tiefbau</t>
        </is>
      </c>
      <c r="J18" s="30" t="inlineStr">
        <is>
          <t>offen</t>
        </is>
      </c>
      <c r="K18" s="15">
        <f>IF(A18="","",F18*G18*H18)</f>
        <v/>
      </c>
    </row>
    <row r="19">
      <c r="A19" s="30" t="inlineStr"/>
      <c r="B19" s="30" t="inlineStr"/>
      <c r="C19" s="30" t="inlineStr"/>
      <c r="D19" s="30" t="inlineStr"/>
      <c r="E19" s="30" t="inlineStr"/>
      <c r="F19" s="35" t="inlineStr"/>
      <c r="G19" s="34" t="inlineStr"/>
      <c r="H19" s="35" t="inlineStr"/>
      <c r="I19" s="30" t="inlineStr"/>
      <c r="J19" s="30" t="inlineStr"/>
      <c r="K19" s="15">
        <f>IF(A19="","",F19*G19*H19)</f>
        <v/>
      </c>
    </row>
    <row r="20">
      <c r="A20" s="30" t="inlineStr"/>
      <c r="B20" s="30" t="inlineStr"/>
      <c r="C20" s="30" t="inlineStr"/>
      <c r="D20" s="30" t="inlineStr"/>
      <c r="E20" s="30" t="inlineStr"/>
      <c r="F20" s="35" t="inlineStr"/>
      <c r="G20" s="34" t="inlineStr"/>
      <c r="H20" s="35" t="inlineStr"/>
      <c r="I20" s="30" t="inlineStr"/>
      <c r="J20" s="30" t="inlineStr"/>
      <c r="K20" s="15">
        <f>IF(A20="","",F20*G20*H20)</f>
        <v/>
      </c>
    </row>
    <row r="21">
      <c r="A21" s="30" t="inlineStr"/>
      <c r="B21" s="30" t="inlineStr"/>
      <c r="C21" s="30" t="inlineStr"/>
      <c r="D21" s="30" t="inlineStr"/>
      <c r="E21" s="30" t="inlineStr"/>
      <c r="F21" s="35" t="inlineStr"/>
      <c r="G21" s="34" t="inlineStr"/>
      <c r="H21" s="35" t="inlineStr"/>
      <c r="I21" s="30" t="inlineStr"/>
      <c r="J21" s="30" t="inlineStr"/>
      <c r="K21" s="15">
        <f>IF(A21="","",F21*G21*H21)</f>
        <v/>
      </c>
    </row>
    <row r="22">
      <c r="A22" s="30" t="inlineStr"/>
      <c r="B22" s="30" t="inlineStr"/>
      <c r="C22" s="30" t="inlineStr"/>
      <c r="D22" s="30" t="inlineStr"/>
      <c r="E22" s="30" t="inlineStr"/>
      <c r="F22" s="35" t="inlineStr"/>
      <c r="G22" s="34" t="inlineStr"/>
      <c r="H22" s="35" t="inlineStr"/>
      <c r="I22" s="30" t="inlineStr"/>
      <c r="J22" s="30" t="inlineStr"/>
      <c r="K22" s="15">
        <f>IF(A22="","",F22*G22*H22)</f>
        <v/>
      </c>
    </row>
    <row r="23">
      <c r="A23" s="30" t="inlineStr"/>
      <c r="B23" s="30" t="inlineStr"/>
      <c r="C23" s="30" t="inlineStr"/>
      <c r="D23" s="30" t="inlineStr"/>
      <c r="E23" s="30" t="inlineStr"/>
      <c r="F23" s="35" t="inlineStr"/>
      <c r="G23" s="34" t="inlineStr"/>
      <c r="H23" s="35" t="inlineStr"/>
      <c r="I23" s="30" t="inlineStr"/>
      <c r="J23" s="30" t="inlineStr"/>
      <c r="K23" s="15">
        <f>IF(A23="","",F23*G23*H23)</f>
        <v/>
      </c>
    </row>
    <row r="24">
      <c r="A24" s="30" t="inlineStr"/>
      <c r="B24" s="30" t="inlineStr"/>
      <c r="C24" s="30" t="inlineStr"/>
      <c r="D24" s="30" t="inlineStr"/>
      <c r="E24" s="30" t="inlineStr"/>
      <c r="F24" s="35" t="inlineStr"/>
      <c r="G24" s="34" t="inlineStr"/>
      <c r="H24" s="35" t="inlineStr"/>
      <c r="I24" s="30" t="inlineStr"/>
      <c r="J24" s="30" t="inlineStr"/>
      <c r="K24" s="15">
        <f>IF(A24="","",F24*G24*H24)</f>
        <v/>
      </c>
    </row>
    <row r="25">
      <c r="A25" s="30" t="inlineStr"/>
      <c r="B25" s="30" t="inlineStr"/>
      <c r="C25" s="30" t="inlineStr"/>
      <c r="D25" s="30" t="inlineStr"/>
      <c r="E25" s="30" t="inlineStr"/>
      <c r="F25" s="35" t="inlineStr"/>
      <c r="G25" s="34" t="inlineStr"/>
      <c r="H25" s="35" t="inlineStr"/>
      <c r="I25" s="30" t="inlineStr"/>
      <c r="J25" s="30" t="inlineStr"/>
      <c r="K25" s="15">
        <f>IF(A25="","",F25*G25*H25)</f>
        <v/>
      </c>
    </row>
    <row r="26">
      <c r="A26" s="30" t="inlineStr"/>
      <c r="B26" s="30" t="inlineStr"/>
      <c r="C26" s="30" t="inlineStr"/>
      <c r="D26" s="30" t="inlineStr"/>
      <c r="E26" s="30" t="inlineStr"/>
      <c r="F26" s="35" t="inlineStr"/>
      <c r="G26" s="34" t="inlineStr"/>
      <c r="H26" s="35" t="inlineStr"/>
      <c r="I26" s="30" t="inlineStr"/>
      <c r="J26" s="30" t="inlineStr"/>
      <c r="K26" s="15">
        <f>IF(A26="","",F26*G26*H26)</f>
        <v/>
      </c>
    </row>
    <row r="27">
      <c r="A27" s="30" t="inlineStr"/>
      <c r="B27" s="30" t="inlineStr"/>
      <c r="C27" s="30" t="inlineStr"/>
      <c r="D27" s="30" t="inlineStr"/>
      <c r="E27" s="30" t="inlineStr"/>
      <c r="F27" s="35" t="inlineStr"/>
      <c r="G27" s="34" t="inlineStr"/>
      <c r="H27" s="35" t="inlineStr"/>
      <c r="I27" s="30" t="inlineStr"/>
      <c r="J27" s="30" t="inlineStr"/>
      <c r="K27" s="15">
        <f>IF(A27="","",F27*G27*H27)</f>
        <v/>
      </c>
    </row>
    <row r="28">
      <c r="A28" s="30" t="inlineStr"/>
      <c r="B28" s="30" t="inlineStr"/>
      <c r="C28" s="30" t="inlineStr"/>
      <c r="D28" s="30" t="inlineStr"/>
      <c r="E28" s="30" t="inlineStr"/>
      <c r="F28" s="35" t="inlineStr"/>
      <c r="G28" s="34" t="inlineStr"/>
      <c r="H28" s="35" t="inlineStr"/>
      <c r="I28" s="30" t="inlineStr"/>
      <c r="J28" s="30" t="inlineStr"/>
      <c r="K28" s="15">
        <f>IF(A28="","",F28*G28*H28)</f>
        <v/>
      </c>
    </row>
    <row r="29">
      <c r="A29" s="30" t="inlineStr"/>
      <c r="B29" s="30" t="inlineStr"/>
      <c r="C29" s="30" t="inlineStr"/>
      <c r="D29" s="30" t="inlineStr"/>
      <c r="E29" s="30" t="inlineStr"/>
      <c r="F29" s="35" t="inlineStr"/>
      <c r="G29" s="34" t="inlineStr"/>
      <c r="H29" s="35" t="inlineStr"/>
      <c r="I29" s="30" t="inlineStr"/>
      <c r="J29" s="30" t="inlineStr"/>
      <c r="K29" s="15">
        <f>IF(A29="","",F29*G29*H29)</f>
        <v/>
      </c>
    </row>
    <row r="30">
      <c r="A30" s="30" t="inlineStr"/>
      <c r="B30" s="30" t="inlineStr"/>
      <c r="C30" s="30" t="inlineStr"/>
      <c r="D30" s="30" t="inlineStr"/>
      <c r="E30" s="30" t="inlineStr"/>
      <c r="F30" s="35" t="inlineStr"/>
      <c r="G30" s="34" t="inlineStr"/>
      <c r="H30" s="35" t="inlineStr"/>
      <c r="I30" s="30" t="inlineStr"/>
      <c r="J30" s="30" t="inlineStr"/>
      <c r="K30" s="15">
        <f>IF(A30="","",F30*G30*H30)</f>
        <v/>
      </c>
    </row>
    <row r="31">
      <c r="A31" s="30" t="inlineStr"/>
      <c r="B31" s="30" t="inlineStr"/>
      <c r="C31" s="30" t="inlineStr"/>
      <c r="D31" s="30" t="inlineStr"/>
      <c r="E31" s="30" t="inlineStr"/>
      <c r="F31" s="35" t="inlineStr"/>
      <c r="G31" s="34" t="inlineStr"/>
      <c r="H31" s="35" t="inlineStr"/>
      <c r="I31" s="30" t="inlineStr"/>
      <c r="J31" s="30" t="inlineStr"/>
      <c r="K31" s="15">
        <f>IF(A31="","",F31*G31*H31)</f>
        <v/>
      </c>
    </row>
    <row r="32">
      <c r="A32" s="30" t="inlineStr"/>
      <c r="B32" s="30" t="inlineStr"/>
      <c r="C32" s="30" t="inlineStr"/>
      <c r="D32" s="30" t="inlineStr"/>
      <c r="E32" s="30" t="inlineStr"/>
      <c r="F32" s="35" t="inlineStr"/>
      <c r="G32" s="34" t="inlineStr"/>
      <c r="H32" s="35" t="inlineStr"/>
      <c r="I32" s="30" t="inlineStr"/>
      <c r="J32" s="30" t="inlineStr"/>
      <c r="K32" s="15">
        <f>IF(A32="","",F32*G32*H32)</f>
        <v/>
      </c>
    </row>
    <row r="33">
      <c r="A33" s="30" t="inlineStr"/>
      <c r="B33" s="30" t="inlineStr"/>
      <c r="C33" s="30" t="inlineStr"/>
      <c r="D33" s="30" t="inlineStr"/>
      <c r="E33" s="30" t="inlineStr"/>
      <c r="F33" s="35" t="inlineStr"/>
      <c r="G33" s="34" t="inlineStr"/>
      <c r="H33" s="35" t="inlineStr"/>
      <c r="I33" s="30" t="inlineStr"/>
      <c r="J33" s="30" t="inlineStr"/>
      <c r="K33" s="15">
        <f>IF(A33="","",F33*G33*H33)</f>
        <v/>
      </c>
    </row>
    <row r="34">
      <c r="A34" s="30" t="inlineStr"/>
      <c r="B34" s="30" t="inlineStr"/>
      <c r="C34" s="30" t="inlineStr"/>
      <c r="D34" s="30" t="inlineStr"/>
      <c r="E34" s="30" t="inlineStr"/>
      <c r="F34" s="35" t="inlineStr"/>
      <c r="G34" s="34" t="inlineStr"/>
      <c r="H34" s="35" t="inlineStr"/>
      <c r="I34" s="30" t="inlineStr"/>
      <c r="J34" s="30" t="inlineStr"/>
      <c r="K34" s="15">
        <f>IF(A34="","",F34*G34*H34)</f>
        <v/>
      </c>
    </row>
    <row r="35">
      <c r="A35" s="30" t="inlineStr"/>
      <c r="B35" s="30" t="inlineStr"/>
      <c r="C35" s="30" t="inlineStr"/>
      <c r="D35" s="30" t="inlineStr"/>
      <c r="E35" s="30" t="inlineStr"/>
      <c r="F35" s="35" t="inlineStr"/>
      <c r="G35" s="34" t="inlineStr"/>
      <c r="H35" s="35" t="inlineStr"/>
      <c r="I35" s="30" t="inlineStr"/>
      <c r="J35" s="30" t="inlineStr"/>
      <c r="K35" s="15">
        <f>IF(A35="","",F35*G35*H35)</f>
        <v/>
      </c>
    </row>
    <row r="36">
      <c r="A36" s="30" t="inlineStr"/>
      <c r="B36" s="30" t="inlineStr"/>
      <c r="C36" s="30" t="inlineStr"/>
      <c r="D36" s="30" t="inlineStr"/>
      <c r="E36" s="30" t="inlineStr"/>
      <c r="F36" s="35" t="inlineStr"/>
      <c r="G36" s="34" t="inlineStr"/>
      <c r="H36" s="35" t="inlineStr"/>
      <c r="I36" s="30" t="inlineStr"/>
      <c r="J36" s="30" t="inlineStr"/>
      <c r="K36" s="15">
        <f>IF(A36="","",F36*G36*H36)</f>
        <v/>
      </c>
    </row>
    <row r="37">
      <c r="A37" s="30" t="inlineStr"/>
      <c r="B37" s="30" t="inlineStr"/>
      <c r="C37" s="30" t="inlineStr"/>
      <c r="D37" s="30" t="inlineStr"/>
      <c r="E37" s="30" t="inlineStr"/>
      <c r="F37" s="35" t="inlineStr"/>
      <c r="G37" s="34" t="inlineStr"/>
      <c r="H37" s="35" t="inlineStr"/>
      <c r="I37" s="30" t="inlineStr"/>
      <c r="J37" s="30" t="inlineStr"/>
      <c r="K37" s="15">
        <f>IF(A37="","",F37*G37*H37)</f>
        <v/>
      </c>
    </row>
    <row r="38">
      <c r="A38" s="30" t="inlineStr"/>
      <c r="B38" s="30" t="inlineStr"/>
      <c r="C38" s="30" t="inlineStr"/>
      <c r="D38" s="30" t="inlineStr"/>
      <c r="E38" s="30" t="inlineStr"/>
      <c r="F38" s="35" t="inlineStr"/>
      <c r="G38" s="34" t="inlineStr"/>
      <c r="H38" s="35" t="inlineStr"/>
      <c r="I38" s="30" t="inlineStr"/>
      <c r="J38" s="30" t="inlineStr"/>
      <c r="K38" s="15">
        <f>IF(A38="","",F38*G38*H38)</f>
        <v/>
      </c>
    </row>
    <row r="39">
      <c r="A39" s="30" t="inlineStr"/>
      <c r="B39" s="30" t="inlineStr"/>
      <c r="C39" s="30" t="inlineStr"/>
      <c r="D39" s="30" t="inlineStr"/>
      <c r="E39" s="30" t="inlineStr"/>
      <c r="F39" s="35" t="inlineStr"/>
      <c r="G39" s="34" t="inlineStr"/>
      <c r="H39" s="35" t="inlineStr"/>
      <c r="I39" s="30" t="inlineStr"/>
      <c r="J39" s="30" t="inlineStr"/>
      <c r="K39" s="15">
        <f>IF(A39="","",F39*G39*H39)</f>
        <v/>
      </c>
    </row>
    <row r="40">
      <c r="A40" s="30" t="inlineStr"/>
      <c r="B40" s="30" t="inlineStr"/>
      <c r="C40" s="30" t="inlineStr"/>
      <c r="D40" s="30" t="inlineStr"/>
      <c r="E40" s="30" t="inlineStr"/>
      <c r="F40" s="35" t="inlineStr"/>
      <c r="G40" s="34" t="inlineStr"/>
      <c r="H40" s="35" t="inlineStr"/>
      <c r="I40" s="30" t="inlineStr"/>
      <c r="J40" s="30" t="inlineStr"/>
      <c r="K40" s="15">
        <f>IF(A40="","",F40*G40*H40)</f>
        <v/>
      </c>
    </row>
    <row r="41">
      <c r="A41" s="30" t="inlineStr"/>
      <c r="B41" s="30" t="inlineStr"/>
      <c r="C41" s="30" t="inlineStr"/>
      <c r="D41" s="30" t="inlineStr"/>
      <c r="E41" s="30" t="inlineStr"/>
      <c r="F41" s="35" t="inlineStr"/>
      <c r="G41" s="34" t="inlineStr"/>
      <c r="H41" s="35" t="inlineStr"/>
      <c r="I41" s="30" t="inlineStr"/>
      <c r="J41" s="30" t="inlineStr"/>
      <c r="K41" s="15">
        <f>IF(A41="","",F41*G41*H41)</f>
        <v/>
      </c>
    </row>
    <row r="42">
      <c r="A42" s="30" t="inlineStr"/>
      <c r="B42" s="30" t="inlineStr"/>
      <c r="C42" s="30" t="inlineStr"/>
      <c r="D42" s="30" t="inlineStr"/>
      <c r="E42" s="30" t="inlineStr"/>
      <c r="F42" s="35" t="inlineStr"/>
      <c r="G42" s="34" t="inlineStr"/>
      <c r="H42" s="35" t="inlineStr"/>
      <c r="I42" s="30" t="inlineStr"/>
      <c r="J42" s="30" t="inlineStr"/>
      <c r="K42" s="15">
        <f>IF(A42="","",F42*G42*H42)</f>
        <v/>
      </c>
    </row>
    <row r="43">
      <c r="A43" s="30" t="inlineStr"/>
      <c r="B43" s="30" t="inlineStr"/>
      <c r="C43" s="30" t="inlineStr"/>
      <c r="D43" s="30" t="inlineStr"/>
      <c r="E43" s="30" t="inlineStr"/>
      <c r="F43" s="35" t="inlineStr"/>
      <c r="G43" s="34" t="inlineStr"/>
      <c r="H43" s="35" t="inlineStr"/>
      <c r="I43" s="30" t="inlineStr"/>
      <c r="J43" s="30" t="inlineStr"/>
      <c r="K43" s="15">
        <f>IF(A43="","",F43*G43*H43)</f>
        <v/>
      </c>
    </row>
    <row r="44">
      <c r="A44" s="30" t="inlineStr"/>
      <c r="B44" s="30" t="inlineStr"/>
      <c r="C44" s="30" t="inlineStr"/>
      <c r="D44" s="30" t="inlineStr"/>
      <c r="E44" s="30" t="inlineStr"/>
      <c r="F44" s="35" t="inlineStr"/>
      <c r="G44" s="34" t="inlineStr"/>
      <c r="H44" s="35" t="inlineStr"/>
      <c r="I44" s="30" t="inlineStr"/>
      <c r="J44" s="30" t="inlineStr"/>
      <c r="K44" s="15">
        <f>IF(A44="","",F44*G44*H44)</f>
        <v/>
      </c>
    </row>
    <row r="45">
      <c r="A45" s="30" t="inlineStr"/>
      <c r="B45" s="30" t="inlineStr"/>
      <c r="C45" s="30" t="inlineStr"/>
      <c r="D45" s="30" t="inlineStr"/>
      <c r="E45" s="30" t="inlineStr"/>
      <c r="F45" s="35" t="inlineStr"/>
      <c r="G45" s="34" t="inlineStr"/>
      <c r="H45" s="35" t="inlineStr"/>
      <c r="I45" s="30" t="inlineStr"/>
      <c r="J45" s="30" t="inlineStr"/>
      <c r="K45" s="15">
        <f>IF(A45="","",F45*G45*H45)</f>
        <v/>
      </c>
    </row>
    <row r="46">
      <c r="A46" s="30" t="inlineStr"/>
      <c r="B46" s="30" t="inlineStr"/>
      <c r="C46" s="30" t="inlineStr"/>
      <c r="D46" s="30" t="inlineStr"/>
      <c r="E46" s="30" t="inlineStr"/>
      <c r="F46" s="35" t="inlineStr"/>
      <c r="G46" s="34" t="inlineStr"/>
      <c r="H46" s="35" t="inlineStr"/>
      <c r="I46" s="30" t="inlineStr"/>
      <c r="J46" s="30" t="inlineStr"/>
      <c r="K46" s="15">
        <f>IF(A46="","",F46*G46*H46)</f>
        <v/>
      </c>
    </row>
    <row r="47">
      <c r="A47" s="30" t="inlineStr"/>
      <c r="B47" s="30" t="inlineStr"/>
      <c r="C47" s="30" t="inlineStr"/>
      <c r="D47" s="30" t="inlineStr"/>
      <c r="E47" s="30" t="inlineStr"/>
      <c r="F47" s="35" t="inlineStr"/>
      <c r="G47" s="34" t="inlineStr"/>
      <c r="H47" s="35" t="inlineStr"/>
      <c r="I47" s="30" t="inlineStr"/>
      <c r="J47" s="30" t="inlineStr"/>
      <c r="K47" s="15">
        <f>IF(A47="","",F47*G47*H47)</f>
        <v/>
      </c>
    </row>
    <row r="48">
      <c r="A48" s="30" t="inlineStr"/>
      <c r="B48" s="30" t="inlineStr"/>
      <c r="C48" s="30" t="inlineStr"/>
      <c r="D48" s="30" t="inlineStr"/>
      <c r="E48" s="30" t="inlineStr"/>
      <c r="F48" s="35" t="inlineStr"/>
      <c r="G48" s="34" t="inlineStr"/>
      <c r="H48" s="35" t="inlineStr"/>
      <c r="I48" s="30" t="inlineStr"/>
      <c r="J48" s="30" t="inlineStr"/>
      <c r="K48" s="15">
        <f>IF(A48="","",F48*G48*H48)</f>
        <v/>
      </c>
    </row>
    <row r="49">
      <c r="A49" s="30" t="inlineStr"/>
      <c r="B49" s="30" t="inlineStr"/>
      <c r="C49" s="30" t="inlineStr"/>
      <c r="D49" s="30" t="inlineStr"/>
      <c r="E49" s="30" t="inlineStr"/>
      <c r="F49" s="35" t="inlineStr"/>
      <c r="G49" s="34" t="inlineStr"/>
      <c r="H49" s="35" t="inlineStr"/>
      <c r="I49" s="30" t="inlineStr"/>
      <c r="J49" s="30" t="inlineStr"/>
      <c r="K49" s="15">
        <f>IF(A49="","",F49*G49*H49)</f>
        <v/>
      </c>
    </row>
    <row r="50">
      <c r="A50" s="30" t="inlineStr"/>
      <c r="B50" s="30" t="inlineStr"/>
      <c r="C50" s="30" t="inlineStr"/>
      <c r="D50" s="30" t="inlineStr"/>
      <c r="E50" s="30" t="inlineStr"/>
      <c r="F50" s="35" t="inlineStr"/>
      <c r="G50" s="34" t="inlineStr"/>
      <c r="H50" s="35" t="inlineStr"/>
      <c r="I50" s="30" t="inlineStr"/>
      <c r="J50" s="30" t="inlineStr"/>
      <c r="K50" s="15">
        <f>IF(A50="","",F50*G50*H50)</f>
        <v/>
      </c>
    </row>
    <row r="51">
      <c r="A51" s="30" t="inlineStr"/>
      <c r="B51" s="30" t="inlineStr"/>
      <c r="C51" s="30" t="inlineStr"/>
      <c r="D51" s="30" t="inlineStr"/>
      <c r="E51" s="30" t="inlineStr"/>
      <c r="F51" s="35" t="inlineStr"/>
      <c r="G51" s="34" t="inlineStr"/>
      <c r="H51" s="35" t="inlineStr"/>
      <c r="I51" s="30" t="inlineStr"/>
      <c r="J51" s="30" t="inlineStr"/>
      <c r="K51" s="15">
        <f>IF(A51="","",F51*G51*H51)</f>
        <v/>
      </c>
    </row>
    <row r="52">
      <c r="A52" s="30" t="inlineStr"/>
      <c r="B52" s="30" t="inlineStr"/>
      <c r="C52" s="30" t="inlineStr"/>
      <c r="D52" s="30" t="inlineStr"/>
      <c r="E52" s="30" t="inlineStr"/>
      <c r="F52" s="35" t="inlineStr"/>
      <c r="G52" s="34" t="inlineStr"/>
      <c r="H52" s="35" t="inlineStr"/>
      <c r="I52" s="30" t="inlineStr"/>
      <c r="J52" s="30" t="inlineStr"/>
      <c r="K52" s="15">
        <f>IF(A52="","",F52*G52*H52)</f>
        <v/>
      </c>
    </row>
    <row r="53">
      <c r="A53" s="30" t="inlineStr"/>
      <c r="B53" s="30" t="inlineStr"/>
      <c r="C53" s="30" t="inlineStr"/>
      <c r="D53" s="30" t="inlineStr"/>
      <c r="E53" s="30" t="inlineStr"/>
      <c r="F53" s="35" t="inlineStr"/>
      <c r="G53" s="34" t="inlineStr"/>
      <c r="H53" s="35" t="inlineStr"/>
      <c r="I53" s="30" t="inlineStr"/>
      <c r="J53" s="30" t="inlineStr"/>
      <c r="K53" s="15">
        <f>IF(A53="","",F53*G53*H53)</f>
        <v/>
      </c>
    </row>
    <row r="54">
      <c r="A54" s="30" t="inlineStr"/>
      <c r="B54" s="30" t="inlineStr"/>
      <c r="C54" s="30" t="inlineStr"/>
      <c r="D54" s="30" t="inlineStr"/>
      <c r="E54" s="30" t="inlineStr"/>
      <c r="F54" s="35" t="inlineStr"/>
      <c r="G54" s="34" t="inlineStr"/>
      <c r="H54" s="35" t="inlineStr"/>
      <c r="I54" s="30" t="inlineStr"/>
      <c r="J54" s="30" t="inlineStr"/>
      <c r="K54" s="15">
        <f>IF(A54="","",F54*G54*H54)</f>
        <v/>
      </c>
    </row>
    <row r="55">
      <c r="A55" s="30" t="inlineStr"/>
      <c r="B55" s="30" t="inlineStr"/>
      <c r="C55" s="30" t="inlineStr"/>
      <c r="D55" s="30" t="inlineStr"/>
      <c r="E55" s="30" t="inlineStr"/>
      <c r="F55" s="35" t="inlineStr"/>
      <c r="G55" s="34" t="inlineStr"/>
      <c r="H55" s="35" t="inlineStr"/>
      <c r="I55" s="30" t="inlineStr"/>
      <c r="J55" s="30" t="inlineStr"/>
      <c r="K55" s="15">
        <f>IF(A55="","",F55*G55*H55)</f>
        <v/>
      </c>
    </row>
    <row r="56">
      <c r="A56" s="30" t="inlineStr"/>
      <c r="B56" s="30" t="inlineStr"/>
      <c r="C56" s="30" t="inlineStr"/>
      <c r="D56" s="30" t="inlineStr"/>
      <c r="E56" s="30" t="inlineStr"/>
      <c r="F56" s="35" t="inlineStr"/>
      <c r="G56" s="34" t="inlineStr"/>
      <c r="H56" s="35" t="inlineStr"/>
      <c r="I56" s="30" t="inlineStr"/>
      <c r="J56" s="30" t="inlineStr"/>
      <c r="K56" s="15">
        <f>IF(A56="","",F56*G56*H56)</f>
        <v/>
      </c>
    </row>
    <row r="57">
      <c r="A57" s="30" t="inlineStr"/>
      <c r="B57" s="30" t="inlineStr"/>
      <c r="C57" s="30" t="inlineStr"/>
      <c r="D57" s="30" t="inlineStr"/>
      <c r="E57" s="30" t="inlineStr"/>
      <c r="F57" s="35" t="inlineStr"/>
      <c r="G57" s="34" t="inlineStr"/>
      <c r="H57" s="35" t="inlineStr"/>
      <c r="I57" s="30" t="inlineStr"/>
      <c r="J57" s="30" t="inlineStr"/>
      <c r="K57" s="15">
        <f>IF(A57="","",F57*G57*H57)</f>
        <v/>
      </c>
    </row>
    <row r="58">
      <c r="A58" s="30" t="inlineStr"/>
      <c r="B58" s="30" t="inlineStr"/>
      <c r="C58" s="30" t="inlineStr"/>
      <c r="D58" s="30" t="inlineStr"/>
      <c r="E58" s="30" t="inlineStr"/>
      <c r="F58" s="35" t="inlineStr"/>
      <c r="G58" s="34" t="inlineStr"/>
      <c r="H58" s="35" t="inlineStr"/>
      <c r="I58" s="30" t="inlineStr"/>
      <c r="J58" s="30" t="inlineStr"/>
      <c r="K58" s="15">
        <f>IF(A58="","",F58*G58*H58)</f>
        <v/>
      </c>
    </row>
    <row r="59">
      <c r="A59" s="30" t="inlineStr"/>
      <c r="B59" s="30" t="inlineStr"/>
      <c r="C59" s="30" t="inlineStr"/>
      <c r="D59" s="30" t="inlineStr"/>
      <c r="E59" s="30" t="inlineStr"/>
      <c r="F59" s="35" t="inlineStr"/>
      <c r="G59" s="34" t="inlineStr"/>
      <c r="H59" s="35" t="inlineStr"/>
      <c r="I59" s="30" t="inlineStr"/>
      <c r="J59" s="30" t="inlineStr"/>
      <c r="K59" s="15">
        <f>IF(A59="","",F59*G59*H59)</f>
        <v/>
      </c>
    </row>
    <row r="60">
      <c r="A60" s="30" t="inlineStr"/>
      <c r="B60" s="30" t="inlineStr"/>
      <c r="C60" s="30" t="inlineStr"/>
      <c r="D60" s="30" t="inlineStr"/>
      <c r="E60" s="30" t="inlineStr"/>
      <c r="F60" s="35" t="inlineStr"/>
      <c r="G60" s="34" t="inlineStr"/>
      <c r="H60" s="35" t="inlineStr"/>
      <c r="I60" s="30" t="inlineStr"/>
      <c r="J60" s="30" t="inlineStr"/>
      <c r="K60" s="15">
        <f>IF(A60="","",F60*G60*H60)</f>
        <v/>
      </c>
    </row>
    <row r="61">
      <c r="A61" s="30" t="inlineStr"/>
      <c r="B61" s="30" t="inlineStr"/>
      <c r="C61" s="30" t="inlineStr"/>
      <c r="D61" s="30" t="inlineStr"/>
      <c r="E61" s="30" t="inlineStr"/>
      <c r="F61" s="35" t="inlineStr"/>
      <c r="G61" s="34" t="inlineStr"/>
      <c r="H61" s="35" t="inlineStr"/>
      <c r="I61" s="30" t="inlineStr"/>
      <c r="J61" s="30" t="inlineStr"/>
      <c r="K61" s="15">
        <f>IF(A61="","",F61*G61*H61)</f>
        <v/>
      </c>
    </row>
    <row r="62">
      <c r="A62" s="30" t="inlineStr"/>
      <c r="B62" s="30" t="inlineStr"/>
      <c r="C62" s="30" t="inlineStr"/>
      <c r="D62" s="30" t="inlineStr"/>
      <c r="E62" s="30" t="inlineStr"/>
      <c r="F62" s="35" t="inlineStr"/>
      <c r="G62" s="34" t="inlineStr"/>
      <c r="H62" s="35" t="inlineStr"/>
      <c r="I62" s="30" t="inlineStr"/>
      <c r="J62" s="30" t="inlineStr"/>
      <c r="K62" s="15">
        <f>IF(A62="","",F62*G62*H62)</f>
        <v/>
      </c>
    </row>
    <row r="63">
      <c r="A63" s="30" t="inlineStr"/>
      <c r="B63" s="30" t="inlineStr"/>
      <c r="C63" s="30" t="inlineStr"/>
      <c r="D63" s="30" t="inlineStr"/>
      <c r="E63" s="30" t="inlineStr"/>
      <c r="F63" s="35" t="inlineStr"/>
      <c r="G63" s="34" t="inlineStr"/>
      <c r="H63" s="35" t="inlineStr"/>
      <c r="I63" s="30" t="inlineStr"/>
      <c r="J63" s="30" t="inlineStr"/>
      <c r="K63" s="15">
        <f>IF(A63="","",F63*G63*H63)</f>
        <v/>
      </c>
    </row>
    <row r="64">
      <c r="A64" s="30" t="inlineStr"/>
      <c r="B64" s="30" t="inlineStr"/>
      <c r="C64" s="30" t="inlineStr"/>
      <c r="D64" s="30" t="inlineStr"/>
      <c r="E64" s="30" t="inlineStr"/>
      <c r="F64" s="35" t="inlineStr"/>
      <c r="G64" s="34" t="inlineStr"/>
      <c r="H64" s="35" t="inlineStr"/>
      <c r="I64" s="30" t="inlineStr"/>
      <c r="J64" s="30" t="inlineStr"/>
      <c r="K64" s="15">
        <f>IF(A64="","",F64*G64*H64)</f>
        <v/>
      </c>
    </row>
    <row r="65">
      <c r="A65" s="30" t="inlineStr"/>
      <c r="B65" s="30" t="inlineStr"/>
      <c r="C65" s="30" t="inlineStr"/>
      <c r="D65" s="30" t="inlineStr"/>
      <c r="E65" s="30" t="inlineStr"/>
      <c r="F65" s="35" t="inlineStr"/>
      <c r="G65" s="34" t="inlineStr"/>
      <c r="H65" s="35" t="inlineStr"/>
      <c r="I65" s="30" t="inlineStr"/>
      <c r="J65" s="30" t="inlineStr"/>
      <c r="K65" s="15">
        <f>IF(A65="","",F65*G65*H65)</f>
        <v/>
      </c>
    </row>
    <row r="66">
      <c r="A66" s="30" t="inlineStr"/>
      <c r="B66" s="30" t="inlineStr"/>
      <c r="C66" s="30" t="inlineStr"/>
      <c r="D66" s="30" t="inlineStr"/>
      <c r="E66" s="30" t="inlineStr"/>
      <c r="F66" s="35" t="inlineStr"/>
      <c r="G66" s="34" t="inlineStr"/>
      <c r="H66" s="35" t="inlineStr"/>
      <c r="I66" s="30" t="inlineStr"/>
      <c r="J66" s="30" t="inlineStr"/>
      <c r="K66" s="15">
        <f>IF(A66="","",F66*G66*H66)</f>
        <v/>
      </c>
    </row>
    <row r="67">
      <c r="A67" s="30" t="inlineStr"/>
      <c r="B67" s="30" t="inlineStr"/>
      <c r="C67" s="30" t="inlineStr"/>
      <c r="D67" s="30" t="inlineStr"/>
      <c r="E67" s="30" t="inlineStr"/>
      <c r="F67" s="35" t="inlineStr"/>
      <c r="G67" s="34" t="inlineStr"/>
      <c r="H67" s="35" t="inlineStr"/>
      <c r="I67" s="30" t="inlineStr"/>
      <c r="J67" s="30" t="inlineStr"/>
      <c r="K67" s="15">
        <f>IF(A67="","",F67*G67*H67)</f>
        <v/>
      </c>
    </row>
    <row r="68">
      <c r="A68" s="30" t="inlineStr"/>
      <c r="B68" s="30" t="inlineStr"/>
      <c r="C68" s="30" t="inlineStr"/>
      <c r="D68" s="30" t="inlineStr"/>
      <c r="E68" s="30" t="inlineStr"/>
      <c r="F68" s="35" t="inlineStr"/>
      <c r="G68" s="34" t="inlineStr"/>
      <c r="H68" s="35" t="inlineStr"/>
      <c r="I68" s="30" t="inlineStr"/>
      <c r="J68" s="30" t="inlineStr"/>
      <c r="K68" s="15">
        <f>IF(A68="","",F68*G68*H68)</f>
        <v/>
      </c>
    </row>
    <row r="69">
      <c r="A69" s="30" t="inlineStr"/>
      <c r="B69" s="30" t="inlineStr"/>
      <c r="C69" s="30" t="inlineStr"/>
      <c r="D69" s="30" t="inlineStr"/>
      <c r="E69" s="30" t="inlineStr"/>
      <c r="F69" s="35" t="inlineStr"/>
      <c r="G69" s="34" t="inlineStr"/>
      <c r="H69" s="35" t="inlineStr"/>
      <c r="I69" s="30" t="inlineStr"/>
      <c r="J69" s="30" t="inlineStr"/>
      <c r="K69" s="15">
        <f>IF(A69="","",F69*G69*H69)</f>
        <v/>
      </c>
    </row>
    <row r="70">
      <c r="A70" s="30" t="inlineStr"/>
      <c r="B70" s="30" t="inlineStr"/>
      <c r="C70" s="30" t="inlineStr"/>
      <c r="D70" s="30" t="inlineStr"/>
      <c r="E70" s="30" t="inlineStr"/>
      <c r="F70" s="35" t="inlineStr"/>
      <c r="G70" s="34" t="inlineStr"/>
      <c r="H70" s="35" t="inlineStr"/>
      <c r="I70" s="30" t="inlineStr"/>
      <c r="J70" s="30" t="inlineStr"/>
      <c r="K70" s="15">
        <f>IF(A70="","",F70*G70*H70)</f>
        <v/>
      </c>
    </row>
    <row r="71">
      <c r="A71" s="30" t="inlineStr"/>
      <c r="B71" s="30" t="inlineStr"/>
      <c r="C71" s="30" t="inlineStr"/>
      <c r="D71" s="30" t="inlineStr"/>
      <c r="E71" s="30" t="inlineStr"/>
      <c r="F71" s="35" t="inlineStr"/>
      <c r="G71" s="34" t="inlineStr"/>
      <c r="H71" s="35" t="inlineStr"/>
      <c r="I71" s="30" t="inlineStr"/>
      <c r="J71" s="30" t="inlineStr"/>
      <c r="K71" s="15">
        <f>IF(A71="","",F71*G71*H71)</f>
        <v/>
      </c>
    </row>
    <row r="72">
      <c r="A72" s="30" t="inlineStr"/>
      <c r="B72" s="30" t="inlineStr"/>
      <c r="C72" s="30" t="inlineStr"/>
      <c r="D72" s="30" t="inlineStr"/>
      <c r="E72" s="30" t="inlineStr"/>
      <c r="F72" s="35" t="inlineStr"/>
      <c r="G72" s="34" t="inlineStr"/>
      <c r="H72" s="35" t="inlineStr"/>
      <c r="I72" s="30" t="inlineStr"/>
      <c r="J72" s="30" t="inlineStr"/>
      <c r="K72" s="15">
        <f>IF(A72="","",F72*G72*H72)</f>
        <v/>
      </c>
    </row>
    <row r="73">
      <c r="A73" s="30" t="inlineStr"/>
      <c r="B73" s="30" t="inlineStr"/>
      <c r="C73" s="30" t="inlineStr"/>
      <c r="D73" s="30" t="inlineStr"/>
      <c r="E73" s="30" t="inlineStr"/>
      <c r="F73" s="35" t="inlineStr"/>
      <c r="G73" s="34" t="inlineStr"/>
      <c r="H73" s="35" t="inlineStr"/>
      <c r="I73" s="30" t="inlineStr"/>
      <c r="J73" s="30" t="inlineStr"/>
      <c r="K73" s="15">
        <f>IF(A73="","",F73*G73*H73)</f>
        <v/>
      </c>
    </row>
    <row r="74">
      <c r="A74" s="30" t="inlineStr"/>
      <c r="B74" s="30" t="inlineStr"/>
      <c r="C74" s="30" t="inlineStr"/>
      <c r="D74" s="30" t="inlineStr"/>
      <c r="E74" s="30" t="inlineStr"/>
      <c r="F74" s="35" t="inlineStr"/>
      <c r="G74" s="34" t="inlineStr"/>
      <c r="H74" s="35" t="inlineStr"/>
      <c r="I74" s="30" t="inlineStr"/>
      <c r="J74" s="30" t="inlineStr"/>
      <c r="K74" s="15">
        <f>IF(A74="","",F74*G74*H74)</f>
        <v/>
      </c>
    </row>
    <row r="75">
      <c r="A75" s="30" t="inlineStr"/>
      <c r="B75" s="30" t="inlineStr"/>
      <c r="C75" s="30" t="inlineStr"/>
      <c r="D75" s="30" t="inlineStr"/>
      <c r="E75" s="30" t="inlineStr"/>
      <c r="F75" s="35" t="inlineStr"/>
      <c r="G75" s="34" t="inlineStr"/>
      <c r="H75" s="35" t="inlineStr"/>
      <c r="I75" s="30" t="inlineStr"/>
      <c r="J75" s="30" t="inlineStr"/>
      <c r="K75" s="15">
        <f>IF(A75="","",F75*G75*H75)</f>
        <v/>
      </c>
    </row>
    <row r="76">
      <c r="A76" s="30" t="inlineStr"/>
      <c r="B76" s="30" t="inlineStr"/>
      <c r="C76" s="30" t="inlineStr"/>
      <c r="D76" s="30" t="inlineStr"/>
      <c r="E76" s="30" t="inlineStr"/>
      <c r="F76" s="35" t="inlineStr"/>
      <c r="G76" s="34" t="inlineStr"/>
      <c r="H76" s="35" t="inlineStr"/>
      <c r="I76" s="30" t="inlineStr"/>
      <c r="J76" s="30" t="inlineStr"/>
      <c r="K76" s="15">
        <f>IF(A76="","",F76*G76*H76)</f>
        <v/>
      </c>
    </row>
    <row r="77">
      <c r="A77" s="30" t="inlineStr"/>
      <c r="B77" s="30" t="inlineStr"/>
      <c r="C77" s="30" t="inlineStr"/>
      <c r="D77" s="30" t="inlineStr"/>
      <c r="E77" s="30" t="inlineStr"/>
      <c r="F77" s="35" t="inlineStr"/>
      <c r="G77" s="34" t="inlineStr"/>
      <c r="H77" s="35" t="inlineStr"/>
      <c r="I77" s="30" t="inlineStr"/>
      <c r="J77" s="30" t="inlineStr"/>
      <c r="K77" s="15">
        <f>IF(A77="","",F77*G77*H77)</f>
        <v/>
      </c>
    </row>
    <row r="78">
      <c r="A78" s="30" t="inlineStr"/>
      <c r="B78" s="30" t="inlineStr"/>
      <c r="C78" s="30" t="inlineStr"/>
      <c r="D78" s="30" t="inlineStr"/>
      <c r="E78" s="30" t="inlineStr"/>
      <c r="F78" s="35" t="inlineStr"/>
      <c r="G78" s="34" t="inlineStr"/>
      <c r="H78" s="35" t="inlineStr"/>
      <c r="I78" s="30" t="inlineStr"/>
      <c r="J78" s="30" t="inlineStr"/>
      <c r="K78" s="15">
        <f>IF(A78="","",F78*G78*H78)</f>
        <v/>
      </c>
    </row>
    <row r="79">
      <c r="A79" s="30" t="inlineStr"/>
      <c r="B79" s="30" t="inlineStr"/>
      <c r="C79" s="30" t="inlineStr"/>
      <c r="D79" s="30" t="inlineStr"/>
      <c r="E79" s="30" t="inlineStr"/>
      <c r="F79" s="35" t="inlineStr"/>
      <c r="G79" s="34" t="inlineStr"/>
      <c r="H79" s="35" t="inlineStr"/>
      <c r="I79" s="30" t="inlineStr"/>
      <c r="J79" s="30" t="inlineStr"/>
      <c r="K79" s="15">
        <f>IF(A79="","",F79*G79*H79)</f>
        <v/>
      </c>
    </row>
    <row r="80">
      <c r="A80" s="30" t="inlineStr"/>
      <c r="B80" s="30" t="inlineStr"/>
      <c r="C80" s="30" t="inlineStr"/>
      <c r="D80" s="30" t="inlineStr"/>
      <c r="E80" s="30" t="inlineStr"/>
      <c r="F80" s="35" t="inlineStr"/>
      <c r="G80" s="34" t="inlineStr"/>
      <c r="H80" s="35" t="inlineStr"/>
      <c r="I80" s="30" t="inlineStr"/>
      <c r="J80" s="30" t="inlineStr"/>
      <c r="K80" s="15">
        <f>IF(A80="","",F80*G80*H80)</f>
        <v/>
      </c>
    </row>
    <row r="81">
      <c r="A81" s="30" t="inlineStr"/>
      <c r="B81" s="30" t="inlineStr"/>
      <c r="C81" s="30" t="inlineStr"/>
      <c r="D81" s="30" t="inlineStr"/>
      <c r="E81" s="30" t="inlineStr"/>
      <c r="F81" s="35" t="inlineStr"/>
      <c r="G81" s="34" t="inlineStr"/>
      <c r="H81" s="35" t="inlineStr"/>
      <c r="I81" s="30" t="inlineStr"/>
      <c r="J81" s="30" t="inlineStr"/>
      <c r="K81" s="15">
        <f>IF(A81="","",F81*G81*H81)</f>
        <v/>
      </c>
    </row>
    <row r="82">
      <c r="A82" s="30" t="inlineStr"/>
      <c r="B82" s="30" t="inlineStr"/>
      <c r="C82" s="30" t="inlineStr"/>
      <c r="D82" s="30" t="inlineStr"/>
      <c r="E82" s="30" t="inlineStr"/>
      <c r="F82" s="35" t="inlineStr"/>
      <c r="G82" s="34" t="inlineStr"/>
      <c r="H82" s="35" t="inlineStr"/>
      <c r="I82" s="30" t="inlineStr"/>
      <c r="J82" s="30" t="inlineStr"/>
      <c r="K82" s="15">
        <f>IF(A82="","",F82*G82*H82)</f>
        <v/>
      </c>
    </row>
    <row r="83">
      <c r="A83" s="30" t="inlineStr"/>
      <c r="B83" s="30" t="inlineStr"/>
      <c r="C83" s="30" t="inlineStr"/>
      <c r="D83" s="30" t="inlineStr"/>
      <c r="E83" s="30" t="inlineStr"/>
      <c r="F83" s="35" t="inlineStr"/>
      <c r="G83" s="34" t="inlineStr"/>
      <c r="H83" s="35" t="inlineStr"/>
      <c r="I83" s="30" t="inlineStr"/>
      <c r="J83" s="30" t="inlineStr"/>
      <c r="K83" s="15">
        <f>IF(A83="","",F83*G83*H83)</f>
        <v/>
      </c>
    </row>
    <row r="84">
      <c r="A84" s="30" t="inlineStr"/>
      <c r="B84" s="30" t="inlineStr"/>
      <c r="C84" s="30" t="inlineStr"/>
      <c r="D84" s="30" t="inlineStr"/>
      <c r="E84" s="30" t="inlineStr"/>
      <c r="F84" s="35" t="inlineStr"/>
      <c r="G84" s="34" t="inlineStr"/>
      <c r="H84" s="35" t="inlineStr"/>
      <c r="I84" s="30" t="inlineStr"/>
      <c r="J84" s="30" t="inlineStr"/>
      <c r="K84" s="15">
        <f>IF(A84="","",F84*G84*H84)</f>
        <v/>
      </c>
    </row>
    <row r="85">
      <c r="A85" s="30" t="inlineStr"/>
      <c r="B85" s="30" t="inlineStr"/>
      <c r="C85" s="30" t="inlineStr"/>
      <c r="D85" s="30" t="inlineStr"/>
      <c r="E85" s="30" t="inlineStr"/>
      <c r="F85" s="35" t="inlineStr"/>
      <c r="G85" s="34" t="inlineStr"/>
      <c r="H85" s="35" t="inlineStr"/>
      <c r="I85" s="30" t="inlineStr"/>
      <c r="J85" s="30" t="inlineStr"/>
      <c r="K85" s="15">
        <f>IF(A85="","",F85*G85*H85)</f>
        <v/>
      </c>
    </row>
    <row r="86">
      <c r="A86" s="30" t="inlineStr"/>
      <c r="B86" s="30" t="inlineStr"/>
      <c r="C86" s="30" t="inlineStr"/>
      <c r="D86" s="30" t="inlineStr"/>
      <c r="E86" s="30" t="inlineStr"/>
      <c r="F86" s="35" t="inlineStr"/>
      <c r="G86" s="34" t="inlineStr"/>
      <c r="H86" s="35" t="inlineStr"/>
      <c r="I86" s="30" t="inlineStr"/>
      <c r="J86" s="30" t="inlineStr"/>
      <c r="K86" s="15">
        <f>IF(A86="","",F86*G86*H86)</f>
        <v/>
      </c>
    </row>
    <row r="87">
      <c r="A87" s="30" t="inlineStr"/>
      <c r="B87" s="30" t="inlineStr"/>
      <c r="C87" s="30" t="inlineStr"/>
      <c r="D87" s="30" t="inlineStr"/>
      <c r="E87" s="30" t="inlineStr"/>
      <c r="F87" s="35" t="inlineStr"/>
      <c r="G87" s="34" t="inlineStr"/>
      <c r="H87" s="35" t="inlineStr"/>
      <c r="I87" s="30" t="inlineStr"/>
      <c r="J87" s="30" t="inlineStr"/>
      <c r="K87" s="15">
        <f>IF(A87="","",F87*G87*H87)</f>
        <v/>
      </c>
    </row>
    <row r="88">
      <c r="A88" s="30" t="inlineStr"/>
      <c r="B88" s="30" t="inlineStr"/>
      <c r="C88" s="30" t="inlineStr"/>
      <c r="D88" s="30" t="inlineStr"/>
      <c r="E88" s="30" t="inlineStr"/>
      <c r="F88" s="35" t="inlineStr"/>
      <c r="G88" s="34" t="inlineStr"/>
      <c r="H88" s="35" t="inlineStr"/>
      <c r="I88" s="30" t="inlineStr"/>
      <c r="J88" s="30" t="inlineStr"/>
      <c r="K88" s="15">
        <f>IF(A88="","",F88*G88*H88)</f>
        <v/>
      </c>
    </row>
    <row r="89">
      <c r="A89" s="30" t="inlineStr"/>
      <c r="B89" s="30" t="inlineStr"/>
      <c r="C89" s="30" t="inlineStr"/>
      <c r="D89" s="30" t="inlineStr"/>
      <c r="E89" s="30" t="inlineStr"/>
      <c r="F89" s="35" t="inlineStr"/>
      <c r="G89" s="34" t="inlineStr"/>
      <c r="H89" s="35" t="inlineStr"/>
      <c r="I89" s="30" t="inlineStr"/>
      <c r="J89" s="30" t="inlineStr"/>
      <c r="K89" s="15">
        <f>IF(A89="","",F89*G89*H89)</f>
        <v/>
      </c>
    </row>
    <row r="90">
      <c r="A90" s="30" t="inlineStr"/>
      <c r="B90" s="30" t="inlineStr"/>
      <c r="C90" s="30" t="inlineStr"/>
      <c r="D90" s="30" t="inlineStr"/>
      <c r="E90" s="30" t="inlineStr"/>
      <c r="F90" s="35" t="inlineStr"/>
      <c r="G90" s="34" t="inlineStr"/>
      <c r="H90" s="35" t="inlineStr"/>
      <c r="I90" s="30" t="inlineStr"/>
      <c r="J90" s="30" t="inlineStr"/>
      <c r="K90" s="15">
        <f>IF(A90="","",F90*G90*H90)</f>
        <v/>
      </c>
    </row>
    <row r="91">
      <c r="A91" s="30" t="inlineStr"/>
      <c r="B91" s="30" t="inlineStr"/>
      <c r="C91" s="30" t="inlineStr"/>
      <c r="D91" s="30" t="inlineStr"/>
      <c r="E91" s="30" t="inlineStr"/>
      <c r="F91" s="35" t="inlineStr"/>
      <c r="G91" s="34" t="inlineStr"/>
      <c r="H91" s="35" t="inlineStr"/>
      <c r="I91" s="30" t="inlineStr"/>
      <c r="J91" s="30" t="inlineStr"/>
      <c r="K91" s="15">
        <f>IF(A91="","",F91*G91*H91)</f>
        <v/>
      </c>
    </row>
    <row r="92">
      <c r="A92" s="30" t="inlineStr"/>
      <c r="B92" s="30" t="inlineStr"/>
      <c r="C92" s="30" t="inlineStr"/>
      <c r="D92" s="30" t="inlineStr"/>
      <c r="E92" s="30" t="inlineStr"/>
      <c r="F92" s="35" t="inlineStr"/>
      <c r="G92" s="34" t="inlineStr"/>
      <c r="H92" s="35" t="inlineStr"/>
      <c r="I92" s="30" t="inlineStr"/>
      <c r="J92" s="30" t="inlineStr"/>
      <c r="K92" s="15">
        <f>IF(A92="","",F92*G92*H92)</f>
        <v/>
      </c>
    </row>
    <row r="93">
      <c r="A93" s="30" t="inlineStr"/>
      <c r="B93" s="30" t="inlineStr"/>
      <c r="C93" s="30" t="inlineStr"/>
      <c r="D93" s="30" t="inlineStr"/>
      <c r="E93" s="30" t="inlineStr"/>
      <c r="F93" s="35" t="inlineStr"/>
      <c r="G93" s="34" t="inlineStr"/>
      <c r="H93" s="35" t="inlineStr"/>
      <c r="I93" s="30" t="inlineStr"/>
      <c r="J93" s="30" t="inlineStr"/>
      <c r="K93" s="15">
        <f>IF(A93="","",F93*G93*H93)</f>
        <v/>
      </c>
    </row>
    <row r="94">
      <c r="A94" s="30" t="inlineStr"/>
      <c r="B94" s="30" t="inlineStr"/>
      <c r="C94" s="30" t="inlineStr"/>
      <c r="D94" s="30" t="inlineStr"/>
      <c r="E94" s="30" t="inlineStr"/>
      <c r="F94" s="35" t="inlineStr"/>
      <c r="G94" s="34" t="inlineStr"/>
      <c r="H94" s="35" t="inlineStr"/>
      <c r="I94" s="30" t="inlineStr"/>
      <c r="J94" s="30" t="inlineStr"/>
      <c r="K94" s="15">
        <f>IF(A94="","",F94*G94*H94)</f>
        <v/>
      </c>
    </row>
    <row r="95">
      <c r="A95" s="30" t="inlineStr"/>
      <c r="B95" s="30" t="inlineStr"/>
      <c r="C95" s="30" t="inlineStr"/>
      <c r="D95" s="30" t="inlineStr"/>
      <c r="E95" s="30" t="inlineStr"/>
      <c r="F95" s="35" t="inlineStr"/>
      <c r="G95" s="34" t="inlineStr"/>
      <c r="H95" s="35" t="inlineStr"/>
      <c r="I95" s="30" t="inlineStr"/>
      <c r="J95" s="30" t="inlineStr"/>
      <c r="K95" s="15">
        <f>IF(A95="","",F95*G95*H95)</f>
        <v/>
      </c>
    </row>
    <row r="96">
      <c r="A96" s="30" t="inlineStr"/>
      <c r="B96" s="30" t="inlineStr"/>
      <c r="C96" s="30" t="inlineStr"/>
      <c r="D96" s="30" t="inlineStr"/>
      <c r="E96" s="30" t="inlineStr"/>
      <c r="F96" s="35" t="inlineStr"/>
      <c r="G96" s="34" t="inlineStr"/>
      <c r="H96" s="35" t="inlineStr"/>
      <c r="I96" s="30" t="inlineStr"/>
      <c r="J96" s="30" t="inlineStr"/>
      <c r="K96" s="15">
        <f>IF(A96="","",F96*G96*H96)</f>
        <v/>
      </c>
    </row>
    <row r="97">
      <c r="A97" s="30" t="inlineStr"/>
      <c r="B97" s="30" t="inlineStr"/>
      <c r="C97" s="30" t="inlineStr"/>
      <c r="D97" s="30" t="inlineStr"/>
      <c r="E97" s="30" t="inlineStr"/>
      <c r="F97" s="35" t="inlineStr"/>
      <c r="G97" s="34" t="inlineStr"/>
      <c r="H97" s="35" t="inlineStr"/>
      <c r="I97" s="30" t="inlineStr"/>
      <c r="J97" s="30" t="inlineStr"/>
      <c r="K97" s="15">
        <f>IF(A97="","",F97*G97*H97)</f>
        <v/>
      </c>
    </row>
    <row r="98">
      <c r="A98" s="30" t="inlineStr"/>
      <c r="B98" s="30" t="inlineStr"/>
      <c r="C98" s="30" t="inlineStr"/>
      <c r="D98" s="30" t="inlineStr"/>
      <c r="E98" s="30" t="inlineStr"/>
      <c r="F98" s="35" t="inlineStr"/>
      <c r="G98" s="34" t="inlineStr"/>
      <c r="H98" s="35" t="inlineStr"/>
      <c r="I98" s="30" t="inlineStr"/>
      <c r="J98" s="30" t="inlineStr"/>
      <c r="K98" s="15">
        <f>IF(A98="","",F98*G98*H98)</f>
        <v/>
      </c>
    </row>
    <row r="99">
      <c r="A99" s="30" t="inlineStr"/>
      <c r="B99" s="30" t="inlineStr"/>
      <c r="C99" s="30" t="inlineStr"/>
      <c r="D99" s="30" t="inlineStr"/>
      <c r="E99" s="30" t="inlineStr"/>
      <c r="F99" s="35" t="inlineStr"/>
      <c r="G99" s="34" t="inlineStr"/>
      <c r="H99" s="35" t="inlineStr"/>
      <c r="I99" s="30" t="inlineStr"/>
      <c r="J99" s="30" t="inlineStr"/>
      <c r="K99" s="15">
        <f>IF(A99="","",F99*G99*H99)</f>
        <v/>
      </c>
    </row>
    <row r="100">
      <c r="A100" s="30" t="inlineStr"/>
      <c r="B100" s="30" t="inlineStr"/>
      <c r="C100" s="30" t="inlineStr"/>
      <c r="D100" s="30" t="inlineStr"/>
      <c r="E100" s="30" t="inlineStr"/>
      <c r="F100" s="35" t="inlineStr"/>
      <c r="G100" s="34" t="inlineStr"/>
      <c r="H100" s="35" t="inlineStr"/>
      <c r="I100" s="30" t="inlineStr"/>
      <c r="J100" s="30" t="inlineStr"/>
      <c r="K100" s="15">
        <f>IF(A100="","",F100*G100*H100)</f>
        <v/>
      </c>
    </row>
    <row r="101">
      <c r="A101" s="30" t="inlineStr"/>
      <c r="B101" s="30" t="inlineStr"/>
      <c r="C101" s="30" t="inlineStr"/>
      <c r="D101" s="30" t="inlineStr"/>
      <c r="E101" s="30" t="inlineStr"/>
      <c r="F101" s="35" t="inlineStr"/>
      <c r="G101" s="34" t="inlineStr"/>
      <c r="H101" s="35" t="inlineStr"/>
      <c r="I101" s="30" t="inlineStr"/>
      <c r="J101" s="30" t="inlineStr"/>
      <c r="K101" s="15">
        <f>IF(A101="","",F101*G101*H101)</f>
        <v/>
      </c>
    </row>
    <row r="102">
      <c r="A102" s="30" t="inlineStr"/>
      <c r="B102" s="30" t="inlineStr"/>
      <c r="C102" s="30" t="inlineStr"/>
      <c r="D102" s="30" t="inlineStr"/>
      <c r="E102" s="30" t="inlineStr"/>
      <c r="F102" s="35" t="inlineStr"/>
      <c r="G102" s="34" t="inlineStr"/>
      <c r="H102" s="35" t="inlineStr"/>
      <c r="I102" s="30" t="inlineStr"/>
      <c r="J102" s="30" t="inlineStr"/>
      <c r="K102" s="15">
        <f>IF(A102="","",F102*G102*H102)</f>
        <v/>
      </c>
    </row>
    <row r="103">
      <c r="A103" s="30" t="inlineStr"/>
      <c r="B103" s="30" t="inlineStr"/>
      <c r="C103" s="30" t="inlineStr"/>
      <c r="D103" s="30" t="inlineStr"/>
      <c r="E103" s="30" t="inlineStr"/>
      <c r="F103" s="35" t="inlineStr"/>
      <c r="G103" s="34" t="inlineStr"/>
      <c r="H103" s="35" t="inlineStr"/>
      <c r="I103" s="30" t="inlineStr"/>
      <c r="J103" s="30" t="inlineStr"/>
      <c r="K103" s="15">
        <f>IF(A103="","",F103*G103*H103)</f>
        <v/>
      </c>
    </row>
    <row r="104">
      <c r="A104" s="30" t="inlineStr"/>
      <c r="B104" s="30" t="inlineStr"/>
      <c r="C104" s="30" t="inlineStr"/>
      <c r="D104" s="30" t="inlineStr"/>
      <c r="E104" s="30" t="inlineStr"/>
      <c r="F104" s="35" t="inlineStr"/>
      <c r="G104" s="34" t="inlineStr"/>
      <c r="H104" s="35" t="inlineStr"/>
      <c r="I104" s="30" t="inlineStr"/>
      <c r="J104" s="30" t="inlineStr"/>
      <c r="K104" s="15">
        <f>IF(A104="","",F104*G104*H104)</f>
        <v/>
      </c>
    </row>
    <row r="105">
      <c r="A105" s="30" t="inlineStr"/>
      <c r="B105" s="30" t="inlineStr"/>
      <c r="C105" s="30" t="inlineStr"/>
      <c r="D105" s="30" t="inlineStr"/>
      <c r="E105" s="30" t="inlineStr"/>
      <c r="F105" s="35" t="inlineStr"/>
      <c r="G105" s="34" t="inlineStr"/>
      <c r="H105" s="35" t="inlineStr"/>
      <c r="I105" s="30" t="inlineStr"/>
      <c r="J105" s="30" t="inlineStr"/>
      <c r="K105" s="15">
        <f>IF(A105="","",F105*G105*H105)</f>
        <v/>
      </c>
    </row>
    <row r="106">
      <c r="A106" s="30" t="inlineStr"/>
      <c r="B106" s="30" t="inlineStr"/>
      <c r="C106" s="30" t="inlineStr"/>
      <c r="D106" s="30" t="inlineStr"/>
      <c r="E106" s="30" t="inlineStr"/>
      <c r="F106" s="35" t="inlineStr"/>
      <c r="G106" s="34" t="inlineStr"/>
      <c r="H106" s="35" t="inlineStr"/>
      <c r="I106" s="30" t="inlineStr"/>
      <c r="J106" s="30" t="inlineStr"/>
      <c r="K106" s="15">
        <f>IF(A106="","",F106*G106*H106)</f>
        <v/>
      </c>
    </row>
    <row r="107">
      <c r="A107" s="30" t="inlineStr"/>
      <c r="B107" s="30" t="inlineStr"/>
      <c r="C107" s="30" t="inlineStr"/>
      <c r="D107" s="30" t="inlineStr"/>
      <c r="E107" s="30" t="inlineStr"/>
      <c r="F107" s="35" t="inlineStr"/>
      <c r="G107" s="34" t="inlineStr"/>
      <c r="H107" s="35" t="inlineStr"/>
      <c r="I107" s="30" t="inlineStr"/>
      <c r="J107" s="30" t="inlineStr"/>
      <c r="K107" s="15">
        <f>IF(A107="","",F107*G107*H107)</f>
        <v/>
      </c>
    </row>
    <row r="108">
      <c r="A108" s="30" t="inlineStr"/>
      <c r="B108" s="30" t="inlineStr"/>
      <c r="C108" s="30" t="inlineStr"/>
      <c r="D108" s="30" t="inlineStr"/>
      <c r="E108" s="30" t="inlineStr"/>
      <c r="F108" s="35" t="inlineStr"/>
      <c r="G108" s="34" t="inlineStr"/>
      <c r="H108" s="35" t="inlineStr"/>
      <c r="I108" s="30" t="inlineStr"/>
      <c r="J108" s="30" t="inlineStr"/>
      <c r="K108" s="15">
        <f>IF(A108="","",F108*G108*H108)</f>
        <v/>
      </c>
    </row>
    <row r="109">
      <c r="A109" s="30" t="inlineStr"/>
      <c r="B109" s="30" t="inlineStr"/>
      <c r="C109" s="30" t="inlineStr"/>
      <c r="D109" s="30" t="inlineStr"/>
      <c r="E109" s="30" t="inlineStr"/>
      <c r="F109" s="35" t="inlineStr"/>
      <c r="G109" s="34" t="inlineStr"/>
      <c r="H109" s="35" t="inlineStr"/>
      <c r="I109" s="30" t="inlineStr"/>
      <c r="J109" s="30" t="inlineStr"/>
      <c r="K109" s="15">
        <f>IF(A109="","",F109*G109*H109)</f>
        <v/>
      </c>
    </row>
    <row r="110">
      <c r="A110" s="30" t="inlineStr"/>
      <c r="B110" s="30" t="inlineStr"/>
      <c r="C110" s="30" t="inlineStr"/>
      <c r="D110" s="30" t="inlineStr"/>
      <c r="E110" s="30" t="inlineStr"/>
      <c r="F110" s="35" t="inlineStr"/>
      <c r="G110" s="34" t="inlineStr"/>
      <c r="H110" s="35" t="inlineStr"/>
      <c r="I110" s="30" t="inlineStr"/>
      <c r="J110" s="30" t="inlineStr"/>
      <c r="K110" s="15">
        <f>IF(A110="","",F110*G110*H110)</f>
        <v/>
      </c>
    </row>
    <row r="111">
      <c r="A111" s="30" t="inlineStr"/>
      <c r="B111" s="30" t="inlineStr"/>
      <c r="C111" s="30" t="inlineStr"/>
      <c r="D111" s="30" t="inlineStr"/>
      <c r="E111" s="30" t="inlineStr"/>
      <c r="F111" s="35" t="inlineStr"/>
      <c r="G111" s="34" t="inlineStr"/>
      <c r="H111" s="35" t="inlineStr"/>
      <c r="I111" s="30" t="inlineStr"/>
      <c r="J111" s="30" t="inlineStr"/>
      <c r="K111" s="15">
        <f>IF(A111="","",F111*G111*H111)</f>
        <v/>
      </c>
    </row>
    <row r="112">
      <c r="A112" s="30" t="inlineStr"/>
      <c r="B112" s="30" t="inlineStr"/>
      <c r="C112" s="30" t="inlineStr"/>
      <c r="D112" s="30" t="inlineStr"/>
      <c r="E112" s="30" t="inlineStr"/>
      <c r="F112" s="35" t="inlineStr"/>
      <c r="G112" s="34" t="inlineStr"/>
      <c r="H112" s="35" t="inlineStr"/>
      <c r="I112" s="30" t="inlineStr"/>
      <c r="J112" s="30" t="inlineStr"/>
      <c r="K112" s="15">
        <f>IF(A112="","",F112*G112*H112)</f>
        <v/>
      </c>
    </row>
    <row r="113">
      <c r="A113" s="30" t="inlineStr"/>
      <c r="B113" s="30" t="inlineStr"/>
      <c r="C113" s="30" t="inlineStr"/>
      <c r="D113" s="30" t="inlineStr"/>
      <c r="E113" s="30" t="inlineStr"/>
      <c r="F113" s="35" t="inlineStr"/>
      <c r="G113" s="34" t="inlineStr"/>
      <c r="H113" s="35" t="inlineStr"/>
      <c r="I113" s="30" t="inlineStr"/>
      <c r="J113" s="30" t="inlineStr"/>
      <c r="K113" s="15">
        <f>IF(A113="","",F113*G113*H113)</f>
        <v/>
      </c>
    </row>
    <row r="114">
      <c r="A114" s="30" t="inlineStr"/>
      <c r="B114" s="30" t="inlineStr"/>
      <c r="C114" s="30" t="inlineStr"/>
      <c r="D114" s="30" t="inlineStr"/>
      <c r="E114" s="30" t="inlineStr"/>
      <c r="F114" s="35" t="inlineStr"/>
      <c r="G114" s="34" t="inlineStr"/>
      <c r="H114" s="35" t="inlineStr"/>
      <c r="I114" s="30" t="inlineStr"/>
      <c r="J114" s="30" t="inlineStr"/>
      <c r="K114" s="15">
        <f>IF(A114="","",F114*G114*H114)</f>
        <v/>
      </c>
    </row>
    <row r="115">
      <c r="A115" s="30" t="inlineStr"/>
      <c r="B115" s="30" t="inlineStr"/>
      <c r="C115" s="30" t="inlineStr"/>
      <c r="D115" s="30" t="inlineStr"/>
      <c r="E115" s="30" t="inlineStr"/>
      <c r="F115" s="35" t="inlineStr"/>
      <c r="G115" s="34" t="inlineStr"/>
      <c r="H115" s="35" t="inlineStr"/>
      <c r="I115" s="30" t="inlineStr"/>
      <c r="J115" s="30" t="inlineStr"/>
      <c r="K115" s="15">
        <f>IF(A115="","",F115*G115*H115)</f>
        <v/>
      </c>
    </row>
    <row r="116">
      <c r="A116" s="30" t="inlineStr"/>
      <c r="B116" s="30" t="inlineStr"/>
      <c r="C116" s="30" t="inlineStr"/>
      <c r="D116" s="30" t="inlineStr"/>
      <c r="E116" s="30" t="inlineStr"/>
      <c r="F116" s="35" t="inlineStr"/>
      <c r="G116" s="34" t="inlineStr"/>
      <c r="H116" s="35" t="inlineStr"/>
      <c r="I116" s="30" t="inlineStr"/>
      <c r="J116" s="30" t="inlineStr"/>
      <c r="K116" s="15">
        <f>IF(A116="","",F116*G116*H116)</f>
        <v/>
      </c>
    </row>
    <row r="117">
      <c r="A117" s="30" t="inlineStr"/>
      <c r="B117" s="30" t="inlineStr"/>
      <c r="C117" s="30" t="inlineStr"/>
      <c r="D117" s="30" t="inlineStr"/>
      <c r="E117" s="30" t="inlineStr"/>
      <c r="F117" s="35" t="inlineStr"/>
      <c r="G117" s="34" t="inlineStr"/>
      <c r="H117" s="35" t="inlineStr"/>
      <c r="I117" s="30" t="inlineStr"/>
      <c r="J117" s="30" t="inlineStr"/>
      <c r="K117" s="15">
        <f>IF(A117="","",F117*G117*H117)</f>
        <v/>
      </c>
    </row>
    <row r="118">
      <c r="A118" s="30" t="inlineStr"/>
      <c r="B118" s="30" t="inlineStr"/>
      <c r="C118" s="30" t="inlineStr"/>
      <c r="D118" s="30" t="inlineStr"/>
      <c r="E118" s="30" t="inlineStr"/>
      <c r="F118" s="35" t="inlineStr"/>
      <c r="G118" s="34" t="inlineStr"/>
      <c r="H118" s="35" t="inlineStr"/>
      <c r="I118" s="30" t="inlineStr"/>
      <c r="J118" s="30" t="inlineStr"/>
      <c r="K118" s="15">
        <f>IF(A118="","",F118*G118*H118)</f>
        <v/>
      </c>
    </row>
    <row r="119">
      <c r="A119" s="30" t="inlineStr"/>
      <c r="B119" s="30" t="inlineStr"/>
      <c r="C119" s="30" t="inlineStr"/>
      <c r="D119" s="30" t="inlineStr"/>
      <c r="E119" s="30" t="inlineStr"/>
      <c r="F119" s="35" t="inlineStr"/>
      <c r="G119" s="34" t="inlineStr"/>
      <c r="H119" s="35" t="inlineStr"/>
      <c r="I119" s="30" t="inlineStr"/>
      <c r="J119" s="30" t="inlineStr"/>
      <c r="K119" s="15">
        <f>IF(A119="","",F119*G119*H119)</f>
        <v/>
      </c>
    </row>
    <row r="120">
      <c r="A120" s="30" t="inlineStr"/>
      <c r="B120" s="30" t="inlineStr"/>
      <c r="C120" s="30" t="inlineStr"/>
      <c r="D120" s="30" t="inlineStr"/>
      <c r="E120" s="30" t="inlineStr"/>
      <c r="F120" s="35" t="inlineStr"/>
      <c r="G120" s="34" t="inlineStr"/>
      <c r="H120" s="35" t="inlineStr"/>
      <c r="I120" s="30" t="inlineStr"/>
      <c r="J120" s="30" t="inlineStr"/>
      <c r="K120" s="15">
        <f>IF(A120="","",F120*G120*H120)</f>
        <v/>
      </c>
    </row>
    <row r="121">
      <c r="A121" s="30" t="inlineStr"/>
      <c r="B121" s="30" t="inlineStr"/>
      <c r="C121" s="30" t="inlineStr"/>
      <c r="D121" s="30" t="inlineStr"/>
      <c r="E121" s="30" t="inlineStr"/>
      <c r="F121" s="35" t="inlineStr"/>
      <c r="G121" s="34" t="inlineStr"/>
      <c r="H121" s="35" t="inlineStr"/>
      <c r="I121" s="30" t="inlineStr"/>
      <c r="J121" s="30" t="inlineStr"/>
      <c r="K121" s="15">
        <f>IF(A121="","",F121*G121*H121)</f>
        <v/>
      </c>
    </row>
    <row r="122">
      <c r="A122" s="30" t="inlineStr"/>
      <c r="B122" s="30" t="inlineStr"/>
      <c r="C122" s="30" t="inlineStr"/>
      <c r="D122" s="30" t="inlineStr"/>
      <c r="E122" s="30" t="inlineStr"/>
      <c r="F122" s="35" t="inlineStr"/>
      <c r="G122" s="34" t="inlineStr"/>
      <c r="H122" s="35" t="inlineStr"/>
      <c r="I122" s="30" t="inlineStr"/>
      <c r="J122" s="30" t="inlineStr"/>
      <c r="K122" s="15">
        <f>IF(A122="","",F122*G122*H122)</f>
        <v/>
      </c>
    </row>
    <row r="123">
      <c r="A123" s="30" t="inlineStr"/>
      <c r="B123" s="30" t="inlineStr"/>
      <c r="C123" s="30" t="inlineStr"/>
      <c r="D123" s="30" t="inlineStr"/>
      <c r="E123" s="30" t="inlineStr"/>
      <c r="F123" s="35" t="inlineStr"/>
      <c r="G123" s="34" t="inlineStr"/>
      <c r="H123" s="35" t="inlineStr"/>
      <c r="I123" s="30" t="inlineStr"/>
      <c r="J123" s="30" t="inlineStr"/>
      <c r="K123" s="15">
        <f>IF(A123="","",F123*G123*H123)</f>
        <v/>
      </c>
    </row>
    <row r="124">
      <c r="A124" s="30" t="inlineStr"/>
      <c r="B124" s="30" t="inlineStr"/>
      <c r="C124" s="30" t="inlineStr"/>
      <c r="D124" s="30" t="inlineStr"/>
      <c r="E124" s="30" t="inlineStr"/>
      <c r="F124" s="35" t="inlineStr"/>
      <c r="G124" s="34" t="inlineStr"/>
      <c r="H124" s="35" t="inlineStr"/>
      <c r="I124" s="30" t="inlineStr"/>
      <c r="J124" s="30" t="inlineStr"/>
      <c r="K124" s="15">
        <f>IF(A124="","",F124*G124*H124)</f>
        <v/>
      </c>
    </row>
    <row r="125">
      <c r="A125" s="30" t="inlineStr"/>
      <c r="B125" s="30" t="inlineStr"/>
      <c r="C125" s="30" t="inlineStr"/>
      <c r="D125" s="30" t="inlineStr"/>
      <c r="E125" s="30" t="inlineStr"/>
      <c r="F125" s="35" t="inlineStr"/>
      <c r="G125" s="34" t="inlineStr"/>
      <c r="H125" s="35" t="inlineStr"/>
      <c r="I125" s="30" t="inlineStr"/>
      <c r="J125" s="30" t="inlineStr"/>
      <c r="K125" s="15">
        <f>IF(A125="","",F125*G125*H125)</f>
        <v/>
      </c>
    </row>
    <row r="126">
      <c r="A126" s="30" t="inlineStr"/>
      <c r="B126" s="30" t="inlineStr"/>
      <c r="C126" s="30" t="inlineStr"/>
      <c r="D126" s="30" t="inlineStr"/>
      <c r="E126" s="30" t="inlineStr"/>
      <c r="F126" s="35" t="inlineStr"/>
      <c r="G126" s="34" t="inlineStr"/>
      <c r="H126" s="35" t="inlineStr"/>
      <c r="I126" s="30" t="inlineStr"/>
      <c r="J126" s="30" t="inlineStr"/>
      <c r="K126" s="15">
        <f>IF(A126="","",F126*G126*H126)</f>
        <v/>
      </c>
    </row>
    <row r="127">
      <c r="A127" s="30" t="inlineStr"/>
      <c r="B127" s="30" t="inlineStr"/>
      <c r="C127" s="30" t="inlineStr"/>
      <c r="D127" s="30" t="inlineStr"/>
      <c r="E127" s="30" t="inlineStr"/>
      <c r="F127" s="35" t="inlineStr"/>
      <c r="G127" s="34" t="inlineStr"/>
      <c r="H127" s="35" t="inlineStr"/>
      <c r="I127" s="30" t="inlineStr"/>
      <c r="J127" s="30" t="inlineStr"/>
      <c r="K127" s="15">
        <f>IF(A127="","",F127*G127*H127)</f>
        <v/>
      </c>
    </row>
    <row r="128">
      <c r="A128" s="30" t="inlineStr"/>
      <c r="B128" s="30" t="inlineStr"/>
      <c r="C128" s="30" t="inlineStr"/>
      <c r="D128" s="30" t="inlineStr"/>
      <c r="E128" s="30" t="inlineStr"/>
      <c r="F128" s="35" t="inlineStr"/>
      <c r="G128" s="34" t="inlineStr"/>
      <c r="H128" s="35" t="inlineStr"/>
      <c r="I128" s="30" t="inlineStr"/>
      <c r="J128" s="30" t="inlineStr"/>
      <c r="K128" s="15">
        <f>IF(A128="","",F128*G128*H128)</f>
        <v/>
      </c>
    </row>
    <row r="129">
      <c r="A129" s="30" t="inlineStr"/>
      <c r="B129" s="30" t="inlineStr"/>
      <c r="C129" s="30" t="inlineStr"/>
      <c r="D129" s="30" t="inlineStr"/>
      <c r="E129" s="30" t="inlineStr"/>
      <c r="F129" s="35" t="inlineStr"/>
      <c r="G129" s="34" t="inlineStr"/>
      <c r="H129" s="35" t="inlineStr"/>
      <c r="I129" s="30" t="inlineStr"/>
      <c r="J129" s="30" t="inlineStr"/>
      <c r="K129" s="15">
        <f>IF(A129="","",F129*G129*H129)</f>
        <v/>
      </c>
    </row>
    <row r="130">
      <c r="A130" s="30" t="inlineStr"/>
      <c r="B130" s="30" t="inlineStr"/>
      <c r="C130" s="30" t="inlineStr"/>
      <c r="D130" s="30" t="inlineStr"/>
      <c r="E130" s="30" t="inlineStr"/>
      <c r="F130" s="35" t="inlineStr"/>
      <c r="G130" s="34" t="inlineStr"/>
      <c r="H130" s="35" t="inlineStr"/>
      <c r="I130" s="30" t="inlineStr"/>
      <c r="J130" s="30" t="inlineStr"/>
      <c r="K130" s="15">
        <f>IF(A130="","",F130*G130*H130)</f>
        <v/>
      </c>
    </row>
    <row r="131">
      <c r="A131" s="30" t="inlineStr"/>
      <c r="B131" s="30" t="inlineStr"/>
      <c r="C131" s="30" t="inlineStr"/>
      <c r="D131" s="30" t="inlineStr"/>
      <c r="E131" s="30" t="inlineStr"/>
      <c r="F131" s="35" t="inlineStr"/>
      <c r="G131" s="34" t="inlineStr"/>
      <c r="H131" s="35" t="inlineStr"/>
      <c r="I131" s="30" t="inlineStr"/>
      <c r="J131" s="30" t="inlineStr"/>
      <c r="K131" s="15">
        <f>IF(A131="","",F131*G131*H131)</f>
        <v/>
      </c>
    </row>
    <row r="132">
      <c r="A132" s="30" t="inlineStr"/>
      <c r="B132" s="30" t="inlineStr"/>
      <c r="C132" s="30" t="inlineStr"/>
      <c r="D132" s="30" t="inlineStr"/>
      <c r="E132" s="30" t="inlineStr"/>
      <c r="F132" s="35" t="inlineStr"/>
      <c r="G132" s="34" t="inlineStr"/>
      <c r="H132" s="35" t="inlineStr"/>
      <c r="I132" s="30" t="inlineStr"/>
      <c r="J132" s="30" t="inlineStr"/>
      <c r="K132" s="15">
        <f>IF(A132="","",F132*G132*H132)</f>
        <v/>
      </c>
    </row>
    <row r="133">
      <c r="A133" s="30" t="inlineStr"/>
      <c r="B133" s="30" t="inlineStr"/>
      <c r="C133" s="30" t="inlineStr"/>
      <c r="D133" s="30" t="inlineStr"/>
      <c r="E133" s="30" t="inlineStr"/>
      <c r="F133" s="35" t="inlineStr"/>
      <c r="G133" s="34" t="inlineStr"/>
      <c r="H133" s="35" t="inlineStr"/>
      <c r="I133" s="30" t="inlineStr"/>
      <c r="J133" s="30" t="inlineStr"/>
      <c r="K133" s="15">
        <f>IF(A133="","",F133*G133*H133)</f>
        <v/>
      </c>
    </row>
    <row r="134">
      <c r="A134" s="30" t="inlineStr"/>
      <c r="B134" s="30" t="inlineStr"/>
      <c r="C134" s="30" t="inlineStr"/>
      <c r="D134" s="30" t="inlineStr"/>
      <c r="E134" s="30" t="inlineStr"/>
      <c r="F134" s="35" t="inlineStr"/>
      <c r="G134" s="34" t="inlineStr"/>
      <c r="H134" s="35" t="inlineStr"/>
      <c r="I134" s="30" t="inlineStr"/>
      <c r="J134" s="30" t="inlineStr"/>
      <c r="K134" s="15">
        <f>IF(A134="","",F134*G134*H134)</f>
        <v/>
      </c>
    </row>
    <row r="135">
      <c r="A135" s="30" t="inlineStr"/>
      <c r="B135" s="30" t="inlineStr"/>
      <c r="C135" s="30" t="inlineStr"/>
      <c r="D135" s="30" t="inlineStr"/>
      <c r="E135" s="30" t="inlineStr"/>
      <c r="F135" s="35" t="inlineStr"/>
      <c r="G135" s="34" t="inlineStr"/>
      <c r="H135" s="35" t="inlineStr"/>
      <c r="I135" s="30" t="inlineStr"/>
      <c r="J135" s="30" t="inlineStr"/>
      <c r="K135" s="15">
        <f>IF(A135="","",F135*G135*H135)</f>
        <v/>
      </c>
    </row>
    <row r="136">
      <c r="A136" s="30" t="inlineStr"/>
      <c r="B136" s="30" t="inlineStr"/>
      <c r="C136" s="30" t="inlineStr"/>
      <c r="D136" s="30" t="inlineStr"/>
      <c r="E136" s="30" t="inlineStr"/>
      <c r="F136" s="35" t="inlineStr"/>
      <c r="G136" s="34" t="inlineStr"/>
      <c r="H136" s="35" t="inlineStr"/>
      <c r="I136" s="30" t="inlineStr"/>
      <c r="J136" s="30" t="inlineStr"/>
      <c r="K136" s="15">
        <f>IF(A136="","",F136*G136*H136)</f>
        <v/>
      </c>
    </row>
    <row r="137">
      <c r="A137" s="30" t="inlineStr"/>
      <c r="B137" s="30" t="inlineStr"/>
      <c r="C137" s="30" t="inlineStr"/>
      <c r="D137" s="30" t="inlineStr"/>
      <c r="E137" s="30" t="inlineStr"/>
      <c r="F137" s="35" t="inlineStr"/>
      <c r="G137" s="34" t="inlineStr"/>
      <c r="H137" s="35" t="inlineStr"/>
      <c r="I137" s="30" t="inlineStr"/>
      <c r="J137" s="30" t="inlineStr"/>
      <c r="K137" s="15">
        <f>IF(A137="","",F137*G137*H137)</f>
        <v/>
      </c>
    </row>
    <row r="138">
      <c r="A138" s="30" t="inlineStr"/>
      <c r="B138" s="30" t="inlineStr"/>
      <c r="C138" s="30" t="inlineStr"/>
      <c r="D138" s="30" t="inlineStr"/>
      <c r="E138" s="30" t="inlineStr"/>
      <c r="F138" s="35" t="inlineStr"/>
      <c r="G138" s="34" t="inlineStr"/>
      <c r="H138" s="35" t="inlineStr"/>
      <c r="I138" s="30" t="inlineStr"/>
      <c r="J138" s="30" t="inlineStr"/>
      <c r="K138" s="15">
        <f>IF(A138="","",F138*G138*H138)</f>
        <v/>
      </c>
    </row>
    <row r="139">
      <c r="A139" s="30" t="inlineStr"/>
      <c r="B139" s="30" t="inlineStr"/>
      <c r="C139" s="30" t="inlineStr"/>
      <c r="D139" s="30" t="inlineStr"/>
      <c r="E139" s="30" t="inlineStr"/>
      <c r="F139" s="35" t="inlineStr"/>
      <c r="G139" s="34" t="inlineStr"/>
      <c r="H139" s="35" t="inlineStr"/>
      <c r="I139" s="30" t="inlineStr"/>
      <c r="J139" s="30" t="inlineStr"/>
      <c r="K139" s="15">
        <f>IF(A139="","",F139*G139*H139)</f>
        <v/>
      </c>
    </row>
    <row r="140">
      <c r="A140" s="30" t="inlineStr"/>
      <c r="B140" s="30" t="inlineStr"/>
      <c r="C140" s="30" t="inlineStr"/>
      <c r="D140" s="30" t="inlineStr"/>
      <c r="E140" s="30" t="inlineStr"/>
      <c r="F140" s="35" t="inlineStr"/>
      <c r="G140" s="34" t="inlineStr"/>
      <c r="H140" s="35" t="inlineStr"/>
      <c r="I140" s="30" t="inlineStr"/>
      <c r="J140" s="30" t="inlineStr"/>
      <c r="K140" s="15">
        <f>IF(A140="","",F140*G140*H140)</f>
        <v/>
      </c>
    </row>
    <row r="141">
      <c r="A141" s="30" t="inlineStr"/>
      <c r="B141" s="30" t="inlineStr"/>
      <c r="C141" s="30" t="inlineStr"/>
      <c r="D141" s="30" t="inlineStr"/>
      <c r="E141" s="30" t="inlineStr"/>
      <c r="F141" s="35" t="inlineStr"/>
      <c r="G141" s="34" t="inlineStr"/>
      <c r="H141" s="35" t="inlineStr"/>
      <c r="I141" s="30" t="inlineStr"/>
      <c r="J141" s="30" t="inlineStr"/>
      <c r="K141" s="15">
        <f>IF(A141="","",F141*G141*H141)</f>
        <v/>
      </c>
    </row>
    <row r="142">
      <c r="A142" s="30" t="inlineStr"/>
      <c r="B142" s="30" t="inlineStr"/>
      <c r="C142" s="30" t="inlineStr"/>
      <c r="D142" s="30" t="inlineStr"/>
      <c r="E142" s="30" t="inlineStr"/>
      <c r="F142" s="35" t="inlineStr"/>
      <c r="G142" s="34" t="inlineStr"/>
      <c r="H142" s="35" t="inlineStr"/>
      <c r="I142" s="30" t="inlineStr"/>
      <c r="J142" s="30" t="inlineStr"/>
      <c r="K142" s="15">
        <f>IF(A142="","",F142*G142*H142)</f>
        <v/>
      </c>
    </row>
    <row r="143">
      <c r="A143" s="30" t="inlineStr"/>
      <c r="B143" s="30" t="inlineStr"/>
      <c r="C143" s="30" t="inlineStr"/>
      <c r="D143" s="30" t="inlineStr"/>
      <c r="E143" s="30" t="inlineStr"/>
      <c r="F143" s="35" t="inlineStr"/>
      <c r="G143" s="34" t="inlineStr"/>
      <c r="H143" s="35" t="inlineStr"/>
      <c r="I143" s="30" t="inlineStr"/>
      <c r="J143" s="30" t="inlineStr"/>
      <c r="K143" s="15">
        <f>IF(A143="","",F143*G143*H143)</f>
        <v/>
      </c>
    </row>
    <row r="144">
      <c r="A144" s="30" t="inlineStr"/>
      <c r="B144" s="30" t="inlineStr"/>
      <c r="C144" s="30" t="inlineStr"/>
      <c r="D144" s="30" t="inlineStr"/>
      <c r="E144" s="30" t="inlineStr"/>
      <c r="F144" s="35" t="inlineStr"/>
      <c r="G144" s="34" t="inlineStr"/>
      <c r="H144" s="35" t="inlineStr"/>
      <c r="I144" s="30" t="inlineStr"/>
      <c r="J144" s="30" t="inlineStr"/>
      <c r="K144" s="15">
        <f>IF(A144="","",F144*G144*H144)</f>
        <v/>
      </c>
    </row>
    <row r="145">
      <c r="A145" s="30" t="inlineStr"/>
      <c r="B145" s="30" t="inlineStr"/>
      <c r="C145" s="30" t="inlineStr"/>
      <c r="D145" s="30" t="inlineStr"/>
      <c r="E145" s="30" t="inlineStr"/>
      <c r="F145" s="35" t="inlineStr"/>
      <c r="G145" s="34" t="inlineStr"/>
      <c r="H145" s="35" t="inlineStr"/>
      <c r="I145" s="30" t="inlineStr"/>
      <c r="J145" s="30" t="inlineStr"/>
      <c r="K145" s="15">
        <f>IF(A145="","",F145*G145*H145)</f>
        <v/>
      </c>
    </row>
    <row r="146">
      <c r="A146" s="30" t="inlineStr"/>
      <c r="B146" s="30" t="inlineStr"/>
      <c r="C146" s="30" t="inlineStr"/>
      <c r="D146" s="30" t="inlineStr"/>
      <c r="E146" s="30" t="inlineStr"/>
      <c r="F146" s="35" t="inlineStr"/>
      <c r="G146" s="34" t="inlineStr"/>
      <c r="H146" s="35" t="inlineStr"/>
      <c r="I146" s="30" t="inlineStr"/>
      <c r="J146" s="30" t="inlineStr"/>
      <c r="K146" s="15">
        <f>IF(A146="","",F146*G146*H146)</f>
        <v/>
      </c>
    </row>
    <row r="147">
      <c r="A147" s="30" t="inlineStr"/>
      <c r="B147" s="30" t="inlineStr"/>
      <c r="C147" s="30" t="inlineStr"/>
      <c r="D147" s="30" t="inlineStr"/>
      <c r="E147" s="30" t="inlineStr"/>
      <c r="F147" s="35" t="inlineStr"/>
      <c r="G147" s="34" t="inlineStr"/>
      <c r="H147" s="35" t="inlineStr"/>
      <c r="I147" s="30" t="inlineStr"/>
      <c r="J147" s="30" t="inlineStr"/>
      <c r="K147" s="15">
        <f>IF(A147="","",F147*G147*H147)</f>
        <v/>
      </c>
    </row>
    <row r="148">
      <c r="A148" s="30" t="inlineStr"/>
      <c r="B148" s="30" t="inlineStr"/>
      <c r="C148" s="30" t="inlineStr"/>
      <c r="D148" s="30" t="inlineStr"/>
      <c r="E148" s="30" t="inlineStr"/>
      <c r="F148" s="35" t="inlineStr"/>
      <c r="G148" s="34" t="inlineStr"/>
      <c r="H148" s="35" t="inlineStr"/>
      <c r="I148" s="30" t="inlineStr"/>
      <c r="J148" s="30" t="inlineStr"/>
      <c r="K148" s="15">
        <f>IF(A148="","",F148*G148*H148)</f>
        <v/>
      </c>
    </row>
    <row r="149">
      <c r="A149" s="30" t="inlineStr"/>
      <c r="B149" s="30" t="inlineStr"/>
      <c r="C149" s="30" t="inlineStr"/>
      <c r="D149" s="30" t="inlineStr"/>
      <c r="E149" s="30" t="inlineStr"/>
      <c r="F149" s="35" t="inlineStr"/>
      <c r="G149" s="34" t="inlineStr"/>
      <c r="H149" s="35" t="inlineStr"/>
      <c r="I149" s="30" t="inlineStr"/>
      <c r="J149" s="30" t="inlineStr"/>
      <c r="K149" s="15">
        <f>IF(A149="","",F149*G149*H149)</f>
        <v/>
      </c>
    </row>
    <row r="150">
      <c r="A150" s="30" t="inlineStr"/>
      <c r="B150" s="30" t="inlineStr"/>
      <c r="C150" s="30" t="inlineStr"/>
      <c r="D150" s="30" t="inlineStr"/>
      <c r="E150" s="30" t="inlineStr"/>
      <c r="F150" s="35" t="inlineStr"/>
      <c r="G150" s="34" t="inlineStr"/>
      <c r="H150" s="35" t="inlineStr"/>
      <c r="I150" s="30" t="inlineStr"/>
      <c r="J150" s="30" t="inlineStr"/>
      <c r="K150" s="15">
        <f>IF(A150="","",F150*G150*H150)</f>
        <v/>
      </c>
    </row>
    <row r="151">
      <c r="A151" s="30" t="inlineStr"/>
      <c r="B151" s="30" t="inlineStr"/>
      <c r="C151" s="30" t="inlineStr"/>
      <c r="D151" s="30" t="inlineStr"/>
      <c r="E151" s="30" t="inlineStr"/>
      <c r="F151" s="35" t="inlineStr"/>
      <c r="G151" s="34" t="inlineStr"/>
      <c r="H151" s="35" t="inlineStr"/>
      <c r="I151" s="30" t="inlineStr"/>
      <c r="J151" s="30" t="inlineStr"/>
      <c r="K151" s="15">
        <f>IF(A151="","",F151*G151*H151)</f>
        <v/>
      </c>
    </row>
    <row r="152">
      <c r="A152" s="30" t="inlineStr"/>
      <c r="B152" s="30" t="inlineStr"/>
      <c r="C152" s="30" t="inlineStr"/>
      <c r="D152" s="30" t="inlineStr"/>
      <c r="E152" s="30" t="inlineStr"/>
      <c r="F152" s="35" t="inlineStr"/>
      <c r="G152" s="34" t="inlineStr"/>
      <c r="H152" s="35" t="inlineStr"/>
      <c r="I152" s="30" t="inlineStr"/>
      <c r="J152" s="30" t="inlineStr"/>
      <c r="K152" s="15">
        <f>IF(A152="","",F152*G152*H152)</f>
        <v/>
      </c>
    </row>
    <row r="153">
      <c r="A153" s="30" t="inlineStr"/>
      <c r="B153" s="30" t="inlineStr"/>
      <c r="C153" s="30" t="inlineStr"/>
      <c r="D153" s="30" t="inlineStr"/>
      <c r="E153" s="30" t="inlineStr"/>
      <c r="F153" s="35" t="inlineStr"/>
      <c r="G153" s="34" t="inlineStr"/>
      <c r="H153" s="35" t="inlineStr"/>
      <c r="I153" s="30" t="inlineStr"/>
      <c r="J153" s="30" t="inlineStr"/>
      <c r="K153" s="15">
        <f>IF(A153="","",F153*G153*H153)</f>
        <v/>
      </c>
    </row>
    <row r="154">
      <c r="A154" s="30" t="inlineStr"/>
      <c r="B154" s="30" t="inlineStr"/>
      <c r="C154" s="30" t="inlineStr"/>
      <c r="D154" s="30" t="inlineStr"/>
      <c r="E154" s="30" t="inlineStr"/>
      <c r="F154" s="35" t="inlineStr"/>
      <c r="G154" s="34" t="inlineStr"/>
      <c r="H154" s="35" t="inlineStr"/>
      <c r="I154" s="30" t="inlineStr"/>
      <c r="J154" s="30" t="inlineStr"/>
      <c r="K154" s="15">
        <f>IF(A154="","",F154*G154*H154)</f>
        <v/>
      </c>
    </row>
    <row r="155">
      <c r="A155" s="30" t="inlineStr"/>
      <c r="B155" s="30" t="inlineStr"/>
      <c r="C155" s="30" t="inlineStr"/>
      <c r="D155" s="30" t="inlineStr"/>
      <c r="E155" s="30" t="inlineStr"/>
      <c r="F155" s="35" t="inlineStr"/>
      <c r="G155" s="34" t="inlineStr"/>
      <c r="H155" s="35" t="inlineStr"/>
      <c r="I155" s="30" t="inlineStr"/>
      <c r="J155" s="30" t="inlineStr"/>
      <c r="K155" s="15">
        <f>IF(A155="","",F155*G155*H155)</f>
        <v/>
      </c>
    </row>
    <row r="156">
      <c r="A156" s="30" t="inlineStr"/>
      <c r="B156" s="30" t="inlineStr"/>
      <c r="C156" s="30" t="inlineStr"/>
      <c r="D156" s="30" t="inlineStr"/>
      <c r="E156" s="30" t="inlineStr"/>
      <c r="F156" s="35" t="inlineStr"/>
      <c r="G156" s="34" t="inlineStr"/>
      <c r="H156" s="35" t="inlineStr"/>
      <c r="I156" s="30" t="inlineStr"/>
      <c r="J156" s="30" t="inlineStr"/>
      <c r="K156" s="15">
        <f>IF(A156="","",F156*G156*H156)</f>
        <v/>
      </c>
    </row>
    <row r="157">
      <c r="A157" s="30" t="inlineStr"/>
      <c r="B157" s="30" t="inlineStr"/>
      <c r="C157" s="30" t="inlineStr"/>
      <c r="D157" s="30" t="inlineStr"/>
      <c r="E157" s="30" t="inlineStr"/>
      <c r="F157" s="35" t="inlineStr"/>
      <c r="G157" s="34" t="inlineStr"/>
      <c r="H157" s="35" t="inlineStr"/>
      <c r="I157" s="30" t="inlineStr"/>
      <c r="J157" s="30" t="inlineStr"/>
      <c r="K157" s="15">
        <f>IF(A157="","",F157*G157*H157)</f>
        <v/>
      </c>
    </row>
    <row r="158">
      <c r="A158" s="30" t="inlineStr"/>
      <c r="B158" s="30" t="inlineStr"/>
      <c r="C158" s="30" t="inlineStr"/>
      <c r="D158" s="30" t="inlineStr"/>
      <c r="E158" s="30" t="inlineStr"/>
      <c r="F158" s="35" t="inlineStr"/>
      <c r="G158" s="34" t="inlineStr"/>
      <c r="H158" s="35" t="inlineStr"/>
      <c r="I158" s="30" t="inlineStr"/>
      <c r="J158" s="30" t="inlineStr"/>
      <c r="K158" s="15">
        <f>IF(A158="","",F158*G158*H158)</f>
        <v/>
      </c>
    </row>
    <row r="159">
      <c r="A159" s="30" t="inlineStr"/>
      <c r="B159" s="30" t="inlineStr"/>
      <c r="C159" s="30" t="inlineStr"/>
      <c r="D159" s="30" t="inlineStr"/>
      <c r="E159" s="30" t="inlineStr"/>
      <c r="F159" s="35" t="inlineStr"/>
      <c r="G159" s="34" t="inlineStr"/>
      <c r="H159" s="35" t="inlineStr"/>
      <c r="I159" s="30" t="inlineStr"/>
      <c r="J159" s="30" t="inlineStr"/>
      <c r="K159" s="15">
        <f>IF(A159="","",F159*G159*H159)</f>
        <v/>
      </c>
    </row>
    <row r="160">
      <c r="A160" s="30" t="inlineStr"/>
      <c r="B160" s="30" t="inlineStr"/>
      <c r="C160" s="30" t="inlineStr"/>
      <c r="D160" s="30" t="inlineStr"/>
      <c r="E160" s="30" t="inlineStr"/>
      <c r="F160" s="35" t="inlineStr"/>
      <c r="G160" s="34" t="inlineStr"/>
      <c r="H160" s="35" t="inlineStr"/>
      <c r="I160" s="30" t="inlineStr"/>
      <c r="J160" s="30" t="inlineStr"/>
      <c r="K160" s="15">
        <f>IF(A160="","",F160*G160*H160)</f>
        <v/>
      </c>
    </row>
    <row r="161">
      <c r="A161" s="30" t="inlineStr"/>
      <c r="B161" s="30" t="inlineStr"/>
      <c r="C161" s="30" t="inlineStr"/>
      <c r="D161" s="30" t="inlineStr"/>
      <c r="E161" s="30" t="inlineStr"/>
      <c r="F161" s="35" t="inlineStr"/>
      <c r="G161" s="34" t="inlineStr"/>
      <c r="H161" s="35" t="inlineStr"/>
      <c r="I161" s="30" t="inlineStr"/>
      <c r="J161" s="30" t="inlineStr"/>
      <c r="K161" s="15">
        <f>IF(A161="","",F161*G161*H161)</f>
        <v/>
      </c>
    </row>
    <row r="162">
      <c r="A162" s="30" t="inlineStr"/>
      <c r="B162" s="30" t="inlineStr"/>
      <c r="C162" s="30" t="inlineStr"/>
      <c r="D162" s="30" t="inlineStr"/>
      <c r="E162" s="30" t="inlineStr"/>
      <c r="F162" s="35" t="inlineStr"/>
      <c r="G162" s="34" t="inlineStr"/>
      <c r="H162" s="35" t="inlineStr"/>
      <c r="I162" s="30" t="inlineStr"/>
      <c r="J162" s="30" t="inlineStr"/>
      <c r="K162" s="15">
        <f>IF(A162="","",F162*G162*H162)</f>
        <v/>
      </c>
    </row>
    <row r="163">
      <c r="A163" s="30" t="inlineStr"/>
      <c r="B163" s="30" t="inlineStr"/>
      <c r="C163" s="30" t="inlineStr"/>
      <c r="D163" s="30" t="inlineStr"/>
      <c r="E163" s="30" t="inlineStr"/>
      <c r="F163" s="35" t="inlineStr"/>
      <c r="G163" s="34" t="inlineStr"/>
      <c r="H163" s="35" t="inlineStr"/>
      <c r="I163" s="30" t="inlineStr"/>
      <c r="J163" s="30" t="inlineStr"/>
      <c r="K163" s="15">
        <f>IF(A163="","",F163*G163*H163)</f>
        <v/>
      </c>
    </row>
    <row r="164">
      <c r="A164" s="30" t="inlineStr"/>
      <c r="B164" s="30" t="inlineStr"/>
      <c r="C164" s="30" t="inlineStr"/>
      <c r="D164" s="30" t="inlineStr"/>
      <c r="E164" s="30" t="inlineStr"/>
      <c r="F164" s="35" t="inlineStr"/>
      <c r="G164" s="34" t="inlineStr"/>
      <c r="H164" s="35" t="inlineStr"/>
      <c r="I164" s="30" t="inlineStr"/>
      <c r="J164" s="30" t="inlineStr"/>
      <c r="K164" s="15">
        <f>IF(A164="","",F164*G164*H164)</f>
        <v/>
      </c>
    </row>
    <row r="165">
      <c r="A165" s="30" t="inlineStr"/>
      <c r="B165" s="30" t="inlineStr"/>
      <c r="C165" s="30" t="inlineStr"/>
      <c r="D165" s="30" t="inlineStr"/>
      <c r="E165" s="30" t="inlineStr"/>
      <c r="F165" s="35" t="inlineStr"/>
      <c r="G165" s="34" t="inlineStr"/>
      <c r="H165" s="35" t="inlineStr"/>
      <c r="I165" s="30" t="inlineStr"/>
      <c r="J165" s="30" t="inlineStr"/>
      <c r="K165" s="15">
        <f>IF(A165="","",F165*G165*H165)</f>
        <v/>
      </c>
    </row>
    <row r="166">
      <c r="A166" s="30" t="inlineStr"/>
      <c r="B166" s="30" t="inlineStr"/>
      <c r="C166" s="30" t="inlineStr"/>
      <c r="D166" s="30" t="inlineStr"/>
      <c r="E166" s="30" t="inlineStr"/>
      <c r="F166" s="35" t="inlineStr"/>
      <c r="G166" s="34" t="inlineStr"/>
      <c r="H166" s="35" t="inlineStr"/>
      <c r="I166" s="30" t="inlineStr"/>
      <c r="J166" s="30" t="inlineStr"/>
      <c r="K166" s="15">
        <f>IF(A166="","",F166*G166*H166)</f>
        <v/>
      </c>
    </row>
    <row r="167">
      <c r="A167" s="30" t="inlineStr"/>
      <c r="B167" s="30" t="inlineStr"/>
      <c r="C167" s="30" t="inlineStr"/>
      <c r="D167" s="30" t="inlineStr"/>
      <c r="E167" s="30" t="inlineStr"/>
      <c r="F167" s="35" t="inlineStr"/>
      <c r="G167" s="34" t="inlineStr"/>
      <c r="H167" s="35" t="inlineStr"/>
      <c r="I167" s="30" t="inlineStr"/>
      <c r="J167" s="30" t="inlineStr"/>
      <c r="K167" s="15">
        <f>IF(A167="","",F167*G167*H167)</f>
        <v/>
      </c>
    </row>
    <row r="168">
      <c r="A168" s="30" t="inlineStr"/>
      <c r="B168" s="30" t="inlineStr"/>
      <c r="C168" s="30" t="inlineStr"/>
      <c r="D168" s="30" t="inlineStr"/>
      <c r="E168" s="30" t="inlineStr"/>
      <c r="F168" s="35" t="inlineStr"/>
      <c r="G168" s="34" t="inlineStr"/>
      <c r="H168" s="35" t="inlineStr"/>
      <c r="I168" s="30" t="inlineStr"/>
      <c r="J168" s="30" t="inlineStr"/>
      <c r="K168" s="15">
        <f>IF(A168="","",F168*G168*H168)</f>
        <v/>
      </c>
    </row>
    <row r="169">
      <c r="A169" s="30" t="inlineStr"/>
      <c r="B169" s="30" t="inlineStr"/>
      <c r="C169" s="30" t="inlineStr"/>
      <c r="D169" s="30" t="inlineStr"/>
      <c r="E169" s="30" t="inlineStr"/>
      <c r="F169" s="35" t="inlineStr"/>
      <c r="G169" s="34" t="inlineStr"/>
      <c r="H169" s="35" t="inlineStr"/>
      <c r="I169" s="30" t="inlineStr"/>
      <c r="J169" s="30" t="inlineStr"/>
      <c r="K169" s="15">
        <f>IF(A169="","",F169*G169*H169)</f>
        <v/>
      </c>
    </row>
    <row r="170">
      <c r="A170" s="30" t="inlineStr"/>
      <c r="B170" s="30" t="inlineStr"/>
      <c r="C170" s="30" t="inlineStr"/>
      <c r="D170" s="30" t="inlineStr"/>
      <c r="E170" s="30" t="inlineStr"/>
      <c r="F170" s="35" t="inlineStr"/>
      <c r="G170" s="34" t="inlineStr"/>
      <c r="H170" s="35" t="inlineStr"/>
      <c r="I170" s="30" t="inlineStr"/>
      <c r="J170" s="30" t="inlineStr"/>
      <c r="K170" s="15">
        <f>IF(A170="","",F170*G170*H170)</f>
        <v/>
      </c>
    </row>
    <row r="171">
      <c r="A171" s="30" t="inlineStr"/>
      <c r="B171" s="30" t="inlineStr"/>
      <c r="C171" s="30" t="inlineStr"/>
      <c r="D171" s="30" t="inlineStr"/>
      <c r="E171" s="30" t="inlineStr"/>
      <c r="F171" s="35" t="inlineStr"/>
      <c r="G171" s="34" t="inlineStr"/>
      <c r="H171" s="35" t="inlineStr"/>
      <c r="I171" s="30" t="inlineStr"/>
      <c r="J171" s="30" t="inlineStr"/>
      <c r="K171" s="15">
        <f>IF(A171="","",F171*G171*H171)</f>
        <v/>
      </c>
    </row>
    <row r="172">
      <c r="A172" s="30" t="inlineStr"/>
      <c r="B172" s="30" t="inlineStr"/>
      <c r="C172" s="30" t="inlineStr"/>
      <c r="D172" s="30" t="inlineStr"/>
      <c r="E172" s="30" t="inlineStr"/>
      <c r="F172" s="35" t="inlineStr"/>
      <c r="G172" s="34" t="inlineStr"/>
      <c r="H172" s="35" t="inlineStr"/>
      <c r="I172" s="30" t="inlineStr"/>
      <c r="J172" s="30" t="inlineStr"/>
      <c r="K172" s="15">
        <f>IF(A172="","",F172*G172*H172)</f>
        <v/>
      </c>
    </row>
    <row r="173">
      <c r="A173" s="30" t="inlineStr"/>
      <c r="B173" s="30" t="inlineStr"/>
      <c r="C173" s="30" t="inlineStr"/>
      <c r="D173" s="30" t="inlineStr"/>
      <c r="E173" s="30" t="inlineStr"/>
      <c r="F173" s="35" t="inlineStr"/>
      <c r="G173" s="34" t="inlineStr"/>
      <c r="H173" s="35" t="inlineStr"/>
      <c r="I173" s="30" t="inlineStr"/>
      <c r="J173" s="30" t="inlineStr"/>
      <c r="K173" s="15">
        <f>IF(A173="","",F173*G173*H173)</f>
        <v/>
      </c>
    </row>
    <row r="174">
      <c r="A174" s="30" t="inlineStr"/>
      <c r="B174" s="30" t="inlineStr"/>
      <c r="C174" s="30" t="inlineStr"/>
      <c r="D174" s="30" t="inlineStr"/>
      <c r="E174" s="30" t="inlineStr"/>
      <c r="F174" s="35" t="inlineStr"/>
      <c r="G174" s="34" t="inlineStr"/>
      <c r="H174" s="35" t="inlineStr"/>
      <c r="I174" s="30" t="inlineStr"/>
      <c r="J174" s="30" t="inlineStr"/>
      <c r="K174" s="15">
        <f>IF(A174="","",F174*G174*H174)</f>
        <v/>
      </c>
    </row>
    <row r="175">
      <c r="A175" s="30" t="inlineStr"/>
      <c r="B175" s="30" t="inlineStr"/>
      <c r="C175" s="30" t="inlineStr"/>
      <c r="D175" s="30" t="inlineStr"/>
      <c r="E175" s="30" t="inlineStr"/>
      <c r="F175" s="35" t="inlineStr"/>
      <c r="G175" s="34" t="inlineStr"/>
      <c r="H175" s="35" t="inlineStr"/>
      <c r="I175" s="30" t="inlineStr"/>
      <c r="J175" s="30" t="inlineStr"/>
      <c r="K175" s="15">
        <f>IF(A175="","",F175*G175*H175)</f>
        <v/>
      </c>
    </row>
    <row r="176">
      <c r="A176" s="30" t="inlineStr"/>
      <c r="B176" s="30" t="inlineStr"/>
      <c r="C176" s="30" t="inlineStr"/>
      <c r="D176" s="30" t="inlineStr"/>
      <c r="E176" s="30" t="inlineStr"/>
      <c r="F176" s="35" t="inlineStr"/>
      <c r="G176" s="34" t="inlineStr"/>
      <c r="H176" s="35" t="inlineStr"/>
      <c r="I176" s="30" t="inlineStr"/>
      <c r="J176" s="30" t="inlineStr"/>
      <c r="K176" s="15">
        <f>IF(A176="","",F176*G176*H176)</f>
        <v/>
      </c>
    </row>
    <row r="177">
      <c r="A177" s="30" t="inlineStr"/>
      <c r="B177" s="30" t="inlineStr"/>
      <c r="C177" s="30" t="inlineStr"/>
      <c r="D177" s="30" t="inlineStr"/>
      <c r="E177" s="30" t="inlineStr"/>
      <c r="F177" s="35" t="inlineStr"/>
      <c r="G177" s="34" t="inlineStr"/>
      <c r="H177" s="35" t="inlineStr"/>
      <c r="I177" s="30" t="inlineStr"/>
      <c r="J177" s="30" t="inlineStr"/>
      <c r="K177" s="15">
        <f>IF(A177="","",F177*G177*H177)</f>
        <v/>
      </c>
    </row>
    <row r="178">
      <c r="A178" s="30" t="inlineStr"/>
      <c r="B178" s="30" t="inlineStr"/>
      <c r="C178" s="30" t="inlineStr"/>
      <c r="D178" s="30" t="inlineStr"/>
      <c r="E178" s="30" t="inlineStr"/>
      <c r="F178" s="35" t="inlineStr"/>
      <c r="G178" s="34" t="inlineStr"/>
      <c r="H178" s="35" t="inlineStr"/>
      <c r="I178" s="30" t="inlineStr"/>
      <c r="J178" s="30" t="inlineStr"/>
      <c r="K178" s="15">
        <f>IF(A178="","",F178*G178*H178)</f>
        <v/>
      </c>
    </row>
    <row r="179">
      <c r="A179" s="30" t="inlineStr"/>
      <c r="B179" s="30" t="inlineStr"/>
      <c r="C179" s="30" t="inlineStr"/>
      <c r="D179" s="30" t="inlineStr"/>
      <c r="E179" s="30" t="inlineStr"/>
      <c r="F179" s="35" t="inlineStr"/>
      <c r="G179" s="34" t="inlineStr"/>
      <c r="H179" s="35" t="inlineStr"/>
      <c r="I179" s="30" t="inlineStr"/>
      <c r="J179" s="30" t="inlineStr"/>
      <c r="K179" s="15">
        <f>IF(A179="","",F179*G179*H179)</f>
        <v/>
      </c>
    </row>
    <row r="180">
      <c r="A180" s="30" t="inlineStr"/>
      <c r="B180" s="30" t="inlineStr"/>
      <c r="C180" s="30" t="inlineStr"/>
      <c r="D180" s="30" t="inlineStr"/>
      <c r="E180" s="30" t="inlineStr"/>
      <c r="F180" s="35" t="inlineStr"/>
      <c r="G180" s="34" t="inlineStr"/>
      <c r="H180" s="35" t="inlineStr"/>
      <c r="I180" s="30" t="inlineStr"/>
      <c r="J180" s="30" t="inlineStr"/>
      <c r="K180" s="15">
        <f>IF(A180="","",F180*G180*H180)</f>
        <v/>
      </c>
    </row>
    <row r="181">
      <c r="A181" s="30" t="inlineStr"/>
      <c r="B181" s="30" t="inlineStr"/>
      <c r="C181" s="30" t="inlineStr"/>
      <c r="D181" s="30" t="inlineStr"/>
      <c r="E181" s="30" t="inlineStr"/>
      <c r="F181" s="35" t="inlineStr"/>
      <c r="G181" s="34" t="inlineStr"/>
      <c r="H181" s="35" t="inlineStr"/>
      <c r="I181" s="30" t="inlineStr"/>
      <c r="J181" s="30" t="inlineStr"/>
      <c r="K181" s="15">
        <f>IF(A181="","",F181*G181*H181)</f>
        <v/>
      </c>
    </row>
    <row r="182">
      <c r="A182" s="30" t="inlineStr"/>
      <c r="B182" s="30" t="inlineStr"/>
      <c r="C182" s="30" t="inlineStr"/>
      <c r="D182" s="30" t="inlineStr"/>
      <c r="E182" s="30" t="inlineStr"/>
      <c r="F182" s="35" t="inlineStr"/>
      <c r="G182" s="34" t="inlineStr"/>
      <c r="H182" s="35" t="inlineStr"/>
      <c r="I182" s="30" t="inlineStr"/>
      <c r="J182" s="30" t="inlineStr"/>
      <c r="K182" s="15">
        <f>IF(A182="","",F182*G182*H182)</f>
        <v/>
      </c>
    </row>
    <row r="183">
      <c r="A183" s="30" t="inlineStr"/>
      <c r="B183" s="30" t="inlineStr"/>
      <c r="C183" s="30" t="inlineStr"/>
      <c r="D183" s="30" t="inlineStr"/>
      <c r="E183" s="30" t="inlineStr"/>
      <c r="F183" s="35" t="inlineStr"/>
      <c r="G183" s="34" t="inlineStr"/>
      <c r="H183" s="35" t="inlineStr"/>
      <c r="I183" s="30" t="inlineStr"/>
      <c r="J183" s="30" t="inlineStr"/>
      <c r="K183" s="15">
        <f>IF(A183="","",F183*G183*H183)</f>
        <v/>
      </c>
    </row>
    <row r="184">
      <c r="A184" s="30" t="inlineStr"/>
      <c r="B184" s="30" t="inlineStr"/>
      <c r="C184" s="30" t="inlineStr"/>
      <c r="D184" s="30" t="inlineStr"/>
      <c r="E184" s="30" t="inlineStr"/>
      <c r="F184" s="35" t="inlineStr"/>
      <c r="G184" s="34" t="inlineStr"/>
      <c r="H184" s="35" t="inlineStr"/>
      <c r="I184" s="30" t="inlineStr"/>
      <c r="J184" s="30" t="inlineStr"/>
      <c r="K184" s="15">
        <f>IF(A184="","",F184*G184*H184)</f>
        <v/>
      </c>
    </row>
    <row r="185">
      <c r="A185" s="30" t="inlineStr"/>
      <c r="B185" s="30" t="inlineStr"/>
      <c r="C185" s="30" t="inlineStr"/>
      <c r="D185" s="30" t="inlineStr"/>
      <c r="E185" s="30" t="inlineStr"/>
      <c r="F185" s="35" t="inlineStr"/>
      <c r="G185" s="34" t="inlineStr"/>
      <c r="H185" s="35" t="inlineStr"/>
      <c r="I185" s="30" t="inlineStr"/>
      <c r="J185" s="30" t="inlineStr"/>
      <c r="K185" s="15">
        <f>IF(A185="","",F185*G185*H185)</f>
        <v/>
      </c>
    </row>
    <row r="186">
      <c r="A186" s="30" t="inlineStr"/>
      <c r="B186" s="30" t="inlineStr"/>
      <c r="C186" s="30" t="inlineStr"/>
      <c r="D186" s="30" t="inlineStr"/>
      <c r="E186" s="30" t="inlineStr"/>
      <c r="F186" s="35" t="inlineStr"/>
      <c r="G186" s="34" t="inlineStr"/>
      <c r="H186" s="35" t="inlineStr"/>
      <c r="I186" s="30" t="inlineStr"/>
      <c r="J186" s="30" t="inlineStr"/>
      <c r="K186" s="15">
        <f>IF(A186="","",F186*G186*H186)</f>
        <v/>
      </c>
    </row>
    <row r="187">
      <c r="A187" s="30" t="inlineStr"/>
      <c r="B187" s="30" t="inlineStr"/>
      <c r="C187" s="30" t="inlineStr"/>
      <c r="D187" s="30" t="inlineStr"/>
      <c r="E187" s="30" t="inlineStr"/>
      <c r="F187" s="35" t="inlineStr"/>
      <c r="G187" s="34" t="inlineStr"/>
      <c r="H187" s="35" t="inlineStr"/>
      <c r="I187" s="30" t="inlineStr"/>
      <c r="J187" s="30" t="inlineStr"/>
      <c r="K187" s="15">
        <f>IF(A187="","",F187*G187*H187)</f>
        <v/>
      </c>
    </row>
    <row r="188">
      <c r="A188" s="30" t="inlineStr"/>
      <c r="B188" s="30" t="inlineStr"/>
      <c r="C188" s="30" t="inlineStr"/>
      <c r="D188" s="30" t="inlineStr"/>
      <c r="E188" s="30" t="inlineStr"/>
      <c r="F188" s="35" t="inlineStr"/>
      <c r="G188" s="34" t="inlineStr"/>
      <c r="H188" s="35" t="inlineStr"/>
      <c r="I188" s="30" t="inlineStr"/>
      <c r="J188" s="30" t="inlineStr"/>
      <c r="K188" s="15">
        <f>IF(A188="","",F188*G188*H188)</f>
        <v/>
      </c>
    </row>
    <row r="189">
      <c r="A189" s="30" t="inlineStr"/>
      <c r="B189" s="30" t="inlineStr"/>
      <c r="C189" s="30" t="inlineStr"/>
      <c r="D189" s="30" t="inlineStr"/>
      <c r="E189" s="30" t="inlineStr"/>
      <c r="F189" s="35" t="inlineStr"/>
      <c r="G189" s="34" t="inlineStr"/>
      <c r="H189" s="35" t="inlineStr"/>
      <c r="I189" s="30" t="inlineStr"/>
      <c r="J189" s="30" t="inlineStr"/>
      <c r="K189" s="15">
        <f>IF(A189="","",F189*G189*H189)</f>
        <v/>
      </c>
    </row>
    <row r="190">
      <c r="A190" s="30" t="inlineStr"/>
      <c r="B190" s="30" t="inlineStr"/>
      <c r="C190" s="30" t="inlineStr"/>
      <c r="D190" s="30" t="inlineStr"/>
      <c r="E190" s="30" t="inlineStr"/>
      <c r="F190" s="35" t="inlineStr"/>
      <c r="G190" s="34" t="inlineStr"/>
      <c r="H190" s="35" t="inlineStr"/>
      <c r="I190" s="30" t="inlineStr"/>
      <c r="J190" s="30" t="inlineStr"/>
      <c r="K190" s="15">
        <f>IF(A190="","",F190*G190*H190)</f>
        <v/>
      </c>
    </row>
    <row r="191">
      <c r="A191" s="30" t="inlineStr"/>
      <c r="B191" s="30" t="inlineStr"/>
      <c r="C191" s="30" t="inlineStr"/>
      <c r="D191" s="30" t="inlineStr"/>
      <c r="E191" s="30" t="inlineStr"/>
      <c r="F191" s="35" t="inlineStr"/>
      <c r="G191" s="34" t="inlineStr"/>
      <c r="H191" s="35" t="inlineStr"/>
      <c r="I191" s="30" t="inlineStr"/>
      <c r="J191" s="30" t="inlineStr"/>
      <c r="K191" s="15">
        <f>IF(A191="","",F191*G191*H191)</f>
        <v/>
      </c>
    </row>
    <row r="192">
      <c r="A192" s="30" t="inlineStr"/>
      <c r="B192" s="30" t="inlineStr"/>
      <c r="C192" s="30" t="inlineStr"/>
      <c r="D192" s="30" t="inlineStr"/>
      <c r="E192" s="30" t="inlineStr"/>
      <c r="F192" s="35" t="inlineStr"/>
      <c r="G192" s="34" t="inlineStr"/>
      <c r="H192" s="35" t="inlineStr"/>
      <c r="I192" s="30" t="inlineStr"/>
      <c r="J192" s="30" t="inlineStr"/>
      <c r="K192" s="15">
        <f>IF(A192="","",F192*G192*H192)</f>
        <v/>
      </c>
    </row>
    <row r="193">
      <c r="A193" s="30" t="inlineStr"/>
      <c r="B193" s="30" t="inlineStr"/>
      <c r="C193" s="30" t="inlineStr"/>
      <c r="D193" s="30" t="inlineStr"/>
      <c r="E193" s="30" t="inlineStr"/>
      <c r="F193" s="35" t="inlineStr"/>
      <c r="G193" s="34" t="inlineStr"/>
      <c r="H193" s="35" t="inlineStr"/>
      <c r="I193" s="30" t="inlineStr"/>
      <c r="J193" s="30" t="inlineStr"/>
      <c r="K193" s="15">
        <f>IF(A193="","",F193*G193*H193)</f>
        <v/>
      </c>
    </row>
    <row r="194">
      <c r="A194" s="30" t="inlineStr"/>
      <c r="B194" s="30" t="inlineStr"/>
      <c r="C194" s="30" t="inlineStr"/>
      <c r="D194" s="30" t="inlineStr"/>
      <c r="E194" s="30" t="inlineStr"/>
      <c r="F194" s="35" t="inlineStr"/>
      <c r="G194" s="34" t="inlineStr"/>
      <c r="H194" s="35" t="inlineStr"/>
      <c r="I194" s="30" t="inlineStr"/>
      <c r="J194" s="30" t="inlineStr"/>
      <c r="K194" s="15">
        <f>IF(A194="","",F194*G194*H194)</f>
        <v/>
      </c>
    </row>
    <row r="195">
      <c r="A195" s="30" t="inlineStr"/>
      <c r="B195" s="30" t="inlineStr"/>
      <c r="C195" s="30" t="inlineStr"/>
      <c r="D195" s="30" t="inlineStr"/>
      <c r="E195" s="30" t="inlineStr"/>
      <c r="F195" s="35" t="inlineStr"/>
      <c r="G195" s="34" t="inlineStr"/>
      <c r="H195" s="35" t="inlineStr"/>
      <c r="I195" s="30" t="inlineStr"/>
      <c r="J195" s="30" t="inlineStr"/>
      <c r="K195" s="15">
        <f>IF(A195="","",F195*G195*H195)</f>
        <v/>
      </c>
    </row>
    <row r="196">
      <c r="A196" s="30" t="inlineStr"/>
      <c r="B196" s="30" t="inlineStr"/>
      <c r="C196" s="30" t="inlineStr"/>
      <c r="D196" s="30" t="inlineStr"/>
      <c r="E196" s="30" t="inlineStr"/>
      <c r="F196" s="35" t="inlineStr"/>
      <c r="G196" s="34" t="inlineStr"/>
      <c r="H196" s="35" t="inlineStr"/>
      <c r="I196" s="30" t="inlineStr"/>
      <c r="J196" s="30" t="inlineStr"/>
      <c r="K196" s="15">
        <f>IF(A196="","",F196*G196*H196)</f>
        <v/>
      </c>
    </row>
    <row r="197">
      <c r="A197" s="30" t="inlineStr"/>
      <c r="B197" s="30" t="inlineStr"/>
      <c r="C197" s="30" t="inlineStr"/>
      <c r="D197" s="30" t="inlineStr"/>
      <c r="E197" s="30" t="inlineStr"/>
      <c r="F197" s="35" t="inlineStr"/>
      <c r="G197" s="34" t="inlineStr"/>
      <c r="H197" s="35" t="inlineStr"/>
      <c r="I197" s="30" t="inlineStr"/>
      <c r="J197" s="30" t="inlineStr"/>
      <c r="K197" s="15">
        <f>IF(A197="","",F197*G197*H197)</f>
        <v/>
      </c>
    </row>
    <row r="198">
      <c r="A198" s="30" t="inlineStr"/>
      <c r="B198" s="30" t="inlineStr"/>
      <c r="C198" s="30" t="inlineStr"/>
      <c r="D198" s="30" t="inlineStr"/>
      <c r="E198" s="30" t="inlineStr"/>
      <c r="F198" s="35" t="inlineStr"/>
      <c r="G198" s="34" t="inlineStr"/>
      <c r="H198" s="35" t="inlineStr"/>
      <c r="I198" s="30" t="inlineStr"/>
      <c r="J198" s="30" t="inlineStr"/>
      <c r="K198" s="15">
        <f>IF(A198="","",F198*G198*H198)</f>
        <v/>
      </c>
    </row>
    <row r="199">
      <c r="A199" s="30" t="inlineStr"/>
      <c r="B199" s="30" t="inlineStr"/>
      <c r="C199" s="30" t="inlineStr"/>
      <c r="D199" s="30" t="inlineStr"/>
      <c r="E199" s="30" t="inlineStr"/>
      <c r="F199" s="35" t="inlineStr"/>
      <c r="G199" s="34" t="inlineStr"/>
      <c r="H199" s="35" t="inlineStr"/>
      <c r="I199" s="30" t="inlineStr"/>
      <c r="J199" s="30" t="inlineStr"/>
      <c r="K199" s="15">
        <f>IF(A199="","",F199*G199*H199)</f>
        <v/>
      </c>
    </row>
    <row r="200">
      <c r="A200" s="30" t="inlineStr"/>
      <c r="B200" s="30" t="inlineStr"/>
      <c r="C200" s="30" t="inlineStr"/>
      <c r="D200" s="30" t="inlineStr"/>
      <c r="E200" s="30" t="inlineStr"/>
      <c r="F200" s="35" t="inlineStr"/>
      <c r="G200" s="34" t="inlineStr"/>
      <c r="H200" s="35" t="inlineStr"/>
      <c r="I200" s="30" t="inlineStr"/>
      <c r="J200" s="30" t="inlineStr"/>
      <c r="K200" s="15">
        <f>IF(A200="","",F200*G200*H200)</f>
        <v/>
      </c>
    </row>
    <row r="201">
      <c r="A201" s="30" t="inlineStr"/>
      <c r="B201" s="30" t="inlineStr"/>
      <c r="C201" s="30" t="inlineStr"/>
      <c r="D201" s="30" t="inlineStr"/>
      <c r="E201" s="30" t="inlineStr"/>
      <c r="F201" s="35" t="inlineStr"/>
      <c r="G201" s="34" t="inlineStr"/>
      <c r="H201" s="35" t="inlineStr"/>
      <c r="I201" s="30" t="inlineStr"/>
      <c r="J201" s="30" t="inlineStr"/>
      <c r="K201" s="15">
        <f>IF(A201="","",F201*G201*H201)</f>
        <v/>
      </c>
    </row>
    <row r="202">
      <c r="A202" s="30" t="inlineStr"/>
      <c r="B202" s="30" t="inlineStr"/>
      <c r="C202" s="30" t="inlineStr"/>
      <c r="D202" s="30" t="inlineStr"/>
      <c r="E202" s="30" t="inlineStr"/>
      <c r="F202" s="35" t="inlineStr"/>
      <c r="G202" s="34" t="inlineStr"/>
      <c r="H202" s="35" t="inlineStr"/>
      <c r="I202" s="30" t="inlineStr"/>
      <c r="J202" s="30" t="inlineStr"/>
      <c r="K202" s="15">
        <f>IF(A202="","",F202*G202*H202)</f>
        <v/>
      </c>
    </row>
    <row r="203">
      <c r="A203" s="30" t="inlineStr"/>
      <c r="B203" s="30" t="inlineStr"/>
      <c r="C203" s="30" t="inlineStr"/>
      <c r="D203" s="30" t="inlineStr"/>
      <c r="E203" s="30" t="inlineStr"/>
      <c r="F203" s="35" t="inlineStr"/>
      <c r="G203" s="34" t="inlineStr"/>
      <c r="H203" s="35" t="inlineStr"/>
      <c r="I203" s="30" t="inlineStr"/>
      <c r="J203" s="30" t="inlineStr"/>
      <c r="K203" s="15">
        <f>IF(A203="","",F203*G203*H203)</f>
        <v/>
      </c>
    </row>
    <row r="204">
      <c r="A204" s="30" t="inlineStr"/>
      <c r="B204" s="30" t="inlineStr"/>
      <c r="C204" s="30" t="inlineStr"/>
      <c r="D204" s="30" t="inlineStr"/>
      <c r="E204" s="30" t="inlineStr"/>
      <c r="F204" s="35" t="inlineStr"/>
      <c r="G204" s="34" t="inlineStr"/>
      <c r="H204" s="35" t="inlineStr"/>
      <c r="I204" s="30" t="inlineStr"/>
      <c r="J204" s="30" t="inlineStr"/>
      <c r="K204" s="15">
        <f>IF(A204="","",F204*G204*H204)</f>
        <v/>
      </c>
    </row>
    <row r="205">
      <c r="A205" s="30" t="inlineStr"/>
      <c r="B205" s="30" t="inlineStr"/>
      <c r="C205" s="30" t="inlineStr"/>
      <c r="D205" s="30" t="inlineStr"/>
      <c r="E205" s="30" t="inlineStr"/>
      <c r="F205" s="35" t="inlineStr"/>
      <c r="G205" s="34" t="inlineStr"/>
      <c r="H205" s="35" t="inlineStr"/>
      <c r="I205" s="30" t="inlineStr"/>
      <c r="J205" s="30" t="inlineStr"/>
      <c r="K205" s="15">
        <f>IF(A205="","",F205*G205*H205)</f>
        <v/>
      </c>
    </row>
    <row r="206">
      <c r="A206" s="30" t="inlineStr"/>
      <c r="B206" s="30" t="inlineStr"/>
      <c r="C206" s="30" t="inlineStr"/>
      <c r="D206" s="30" t="inlineStr"/>
      <c r="E206" s="30" t="inlineStr"/>
      <c r="F206" s="35" t="inlineStr"/>
      <c r="G206" s="34" t="inlineStr"/>
      <c r="H206" s="35" t="inlineStr"/>
      <c r="I206" s="30" t="inlineStr"/>
      <c r="J206" s="30" t="inlineStr"/>
      <c r="K206" s="15">
        <f>IF(A206="","",F206*G206*H206)</f>
        <v/>
      </c>
    </row>
    <row r="207">
      <c r="A207" s="30" t="inlineStr"/>
      <c r="B207" s="30" t="inlineStr"/>
      <c r="C207" s="30" t="inlineStr"/>
      <c r="D207" s="30" t="inlineStr"/>
      <c r="E207" s="30" t="inlineStr"/>
      <c r="F207" s="35" t="inlineStr"/>
      <c r="G207" s="34" t="inlineStr"/>
      <c r="H207" s="35" t="inlineStr"/>
      <c r="I207" s="30" t="inlineStr"/>
      <c r="J207" s="30" t="inlineStr"/>
      <c r="K207" s="15">
        <f>IF(A207="","",F207*G207*H207)</f>
        <v/>
      </c>
    </row>
    <row r="208">
      <c r="A208" s="30" t="inlineStr"/>
      <c r="B208" s="30" t="inlineStr"/>
      <c r="C208" s="30" t="inlineStr"/>
      <c r="D208" s="30" t="inlineStr"/>
      <c r="E208" s="30" t="inlineStr"/>
      <c r="F208" s="35" t="inlineStr"/>
      <c r="G208" s="34" t="inlineStr"/>
      <c r="H208" s="35" t="inlineStr"/>
      <c r="I208" s="30" t="inlineStr"/>
      <c r="J208" s="30" t="inlineStr"/>
      <c r="K208" s="15">
        <f>IF(A208="","",F208*G208*H208)</f>
        <v/>
      </c>
    </row>
    <row r="209">
      <c r="A209" s="30" t="inlineStr"/>
      <c r="B209" s="30" t="inlineStr"/>
      <c r="C209" s="30" t="inlineStr"/>
      <c r="D209" s="30" t="inlineStr"/>
      <c r="E209" s="30" t="inlineStr"/>
      <c r="F209" s="35" t="inlineStr"/>
      <c r="G209" s="34" t="inlineStr"/>
      <c r="H209" s="35" t="inlineStr"/>
      <c r="I209" s="30" t="inlineStr"/>
      <c r="J209" s="30" t="inlineStr"/>
      <c r="K209" s="15">
        <f>IF(A209="","",F209*G209*H209)</f>
        <v/>
      </c>
    </row>
    <row r="210">
      <c r="A210" s="30" t="inlineStr"/>
      <c r="B210" s="30" t="inlineStr"/>
      <c r="C210" s="30" t="inlineStr"/>
      <c r="D210" s="30" t="inlineStr"/>
      <c r="E210" s="30" t="inlineStr"/>
      <c r="F210" s="35" t="inlineStr"/>
      <c r="G210" s="34" t="inlineStr"/>
      <c r="H210" s="35" t="inlineStr"/>
      <c r="I210" s="30" t="inlineStr"/>
      <c r="J210" s="30" t="inlineStr"/>
      <c r="K210" s="15">
        <f>IF(A210="","",F210*G210*H210)</f>
        <v/>
      </c>
    </row>
    <row r="211">
      <c r="A211" s="30" t="inlineStr"/>
      <c r="B211" s="30" t="inlineStr"/>
      <c r="C211" s="30" t="inlineStr"/>
      <c r="D211" s="30" t="inlineStr"/>
      <c r="E211" s="30" t="inlineStr"/>
      <c r="F211" s="35" t="inlineStr"/>
      <c r="G211" s="34" t="inlineStr"/>
      <c r="H211" s="35" t="inlineStr"/>
      <c r="I211" s="30" t="inlineStr"/>
      <c r="J211" s="30" t="inlineStr"/>
      <c r="K211" s="15">
        <f>IF(A211="","",F211*G211*H211)</f>
        <v/>
      </c>
    </row>
    <row r="212">
      <c r="A212" s="30" t="inlineStr"/>
      <c r="B212" s="30" t="inlineStr"/>
      <c r="C212" s="30" t="inlineStr"/>
      <c r="D212" s="30" t="inlineStr"/>
      <c r="E212" s="30" t="inlineStr"/>
      <c r="F212" s="35" t="inlineStr"/>
      <c r="G212" s="34" t="inlineStr"/>
      <c r="H212" s="35" t="inlineStr"/>
      <c r="I212" s="30" t="inlineStr"/>
      <c r="J212" s="30" t="inlineStr"/>
      <c r="K212" s="15">
        <f>IF(A212="","",F212*G212*H212)</f>
        <v/>
      </c>
    </row>
    <row r="213">
      <c r="A213" s="30" t="inlineStr"/>
      <c r="B213" s="30" t="inlineStr"/>
      <c r="C213" s="30" t="inlineStr"/>
      <c r="D213" s="30" t="inlineStr"/>
      <c r="E213" s="30" t="inlineStr"/>
      <c r="F213" s="35" t="inlineStr"/>
      <c r="G213" s="34" t="inlineStr"/>
      <c r="H213" s="35" t="inlineStr"/>
      <c r="I213" s="30" t="inlineStr"/>
      <c r="J213" s="30" t="inlineStr"/>
      <c r="K213" s="15">
        <f>IF(A213="","",F213*G213*H213)</f>
        <v/>
      </c>
    </row>
    <row r="214">
      <c r="A214" s="30" t="inlineStr"/>
      <c r="B214" s="30" t="inlineStr"/>
      <c r="C214" s="30" t="inlineStr"/>
      <c r="D214" s="30" t="inlineStr"/>
      <c r="E214" s="30" t="inlineStr"/>
      <c r="F214" s="35" t="inlineStr"/>
      <c r="G214" s="34" t="inlineStr"/>
      <c r="H214" s="35" t="inlineStr"/>
      <c r="I214" s="30" t="inlineStr"/>
      <c r="J214" s="30" t="inlineStr"/>
      <c r="K214" s="15">
        <f>IF(A214="","",F214*G214*H214)</f>
        <v/>
      </c>
    </row>
    <row r="215">
      <c r="A215" s="30" t="inlineStr"/>
      <c r="B215" s="30" t="inlineStr"/>
      <c r="C215" s="30" t="inlineStr"/>
      <c r="D215" s="30" t="inlineStr"/>
      <c r="E215" s="30" t="inlineStr"/>
      <c r="F215" s="35" t="inlineStr"/>
      <c r="G215" s="34" t="inlineStr"/>
      <c r="H215" s="35" t="inlineStr"/>
      <c r="I215" s="30" t="inlineStr"/>
      <c r="J215" s="30" t="inlineStr"/>
      <c r="K215" s="15">
        <f>IF(A215="","",F215*G215*H215)</f>
        <v/>
      </c>
    </row>
    <row r="216">
      <c r="A216" s="30" t="inlineStr"/>
      <c r="B216" s="30" t="inlineStr"/>
      <c r="C216" s="30" t="inlineStr"/>
      <c r="D216" s="30" t="inlineStr"/>
      <c r="E216" s="30" t="inlineStr"/>
      <c r="F216" s="35" t="inlineStr"/>
      <c r="G216" s="34" t="inlineStr"/>
      <c r="H216" s="35" t="inlineStr"/>
      <c r="I216" s="30" t="inlineStr"/>
      <c r="J216" s="30" t="inlineStr"/>
      <c r="K216" s="15">
        <f>IF(A216="","",F216*G216*H216)</f>
        <v/>
      </c>
    </row>
    <row r="217">
      <c r="A217" s="30" t="inlineStr"/>
      <c r="B217" s="30" t="inlineStr"/>
      <c r="C217" s="30" t="inlineStr"/>
      <c r="D217" s="30" t="inlineStr"/>
      <c r="E217" s="30" t="inlineStr"/>
      <c r="F217" s="35" t="inlineStr"/>
      <c r="G217" s="34" t="inlineStr"/>
      <c r="H217" s="35" t="inlineStr"/>
      <c r="I217" s="30" t="inlineStr"/>
      <c r="J217" s="30" t="inlineStr"/>
      <c r="K217" s="15">
        <f>IF(A217="","",F217*G217*H217)</f>
        <v/>
      </c>
    </row>
    <row r="218">
      <c r="A218" s="30" t="inlineStr"/>
      <c r="B218" s="30" t="inlineStr"/>
      <c r="C218" s="30" t="inlineStr"/>
      <c r="D218" s="30" t="inlineStr"/>
      <c r="E218" s="30" t="inlineStr"/>
      <c r="F218" s="35" t="inlineStr"/>
      <c r="G218" s="34" t="inlineStr"/>
      <c r="H218" s="35" t="inlineStr"/>
      <c r="I218" s="30" t="inlineStr"/>
      <c r="J218" s="30" t="inlineStr"/>
      <c r="K218" s="15">
        <f>IF(A218="","",F218*G218*H218)</f>
        <v/>
      </c>
    </row>
    <row r="219">
      <c r="A219" s="30" t="inlineStr"/>
      <c r="B219" s="30" t="inlineStr"/>
      <c r="C219" s="30" t="inlineStr"/>
      <c r="D219" s="30" t="inlineStr"/>
      <c r="E219" s="30" t="inlineStr"/>
      <c r="F219" s="35" t="inlineStr"/>
      <c r="G219" s="34" t="inlineStr"/>
      <c r="H219" s="35" t="inlineStr"/>
      <c r="I219" s="30" t="inlineStr"/>
      <c r="J219" s="30" t="inlineStr"/>
      <c r="K219" s="15">
        <f>IF(A219="","",F219*G219*H219)</f>
        <v/>
      </c>
    </row>
    <row r="220">
      <c r="A220" s="30" t="inlineStr"/>
      <c r="B220" s="30" t="inlineStr"/>
      <c r="C220" s="30" t="inlineStr"/>
      <c r="D220" s="30" t="inlineStr"/>
      <c r="E220" s="30" t="inlineStr"/>
      <c r="F220" s="35" t="inlineStr"/>
      <c r="G220" s="34" t="inlineStr"/>
      <c r="H220" s="35" t="inlineStr"/>
      <c r="I220" s="30" t="inlineStr"/>
      <c r="J220" s="30" t="inlineStr"/>
      <c r="K220" s="15">
        <f>IF(A220="","",F220*G220*H220)</f>
        <v/>
      </c>
    </row>
    <row r="221">
      <c r="A221" s="30" t="inlineStr"/>
      <c r="B221" s="30" t="inlineStr"/>
      <c r="C221" s="30" t="inlineStr"/>
      <c r="D221" s="30" t="inlineStr"/>
      <c r="E221" s="30" t="inlineStr"/>
      <c r="F221" s="35" t="inlineStr"/>
      <c r="G221" s="34" t="inlineStr"/>
      <c r="H221" s="35" t="inlineStr"/>
      <c r="I221" s="30" t="inlineStr"/>
      <c r="J221" s="30" t="inlineStr"/>
      <c r="K221" s="15">
        <f>IF(A221="","",F221*G221*H221)</f>
        <v/>
      </c>
    </row>
    <row r="222">
      <c r="A222" s="30" t="inlineStr"/>
      <c r="B222" s="30" t="inlineStr"/>
      <c r="C222" s="30" t="inlineStr"/>
      <c r="D222" s="30" t="inlineStr"/>
      <c r="E222" s="30" t="inlineStr"/>
      <c r="F222" s="35" t="inlineStr"/>
      <c r="G222" s="34" t="inlineStr"/>
      <c r="H222" s="35" t="inlineStr"/>
      <c r="I222" s="30" t="inlineStr"/>
      <c r="J222" s="30" t="inlineStr"/>
      <c r="K222" s="15">
        <f>IF(A222="","",F222*G222*H222)</f>
        <v/>
      </c>
    </row>
    <row r="223">
      <c r="A223" s="30" t="inlineStr"/>
      <c r="B223" s="30" t="inlineStr"/>
      <c r="C223" s="30" t="inlineStr"/>
      <c r="D223" s="30" t="inlineStr"/>
      <c r="E223" s="30" t="inlineStr"/>
      <c r="F223" s="35" t="inlineStr"/>
      <c r="G223" s="34" t="inlineStr"/>
      <c r="H223" s="35" t="inlineStr"/>
      <c r="I223" s="30" t="inlineStr"/>
      <c r="J223" s="30" t="inlineStr"/>
      <c r="K223" s="15">
        <f>IF(A223="","",F223*G223*H223)</f>
        <v/>
      </c>
    </row>
    <row r="224">
      <c r="A224" s="30" t="inlineStr"/>
      <c r="B224" s="30" t="inlineStr"/>
      <c r="C224" s="30" t="inlineStr"/>
      <c r="D224" s="30" t="inlineStr"/>
      <c r="E224" s="30" t="inlineStr"/>
      <c r="F224" s="35" t="inlineStr"/>
      <c r="G224" s="34" t="inlineStr"/>
      <c r="H224" s="35" t="inlineStr"/>
      <c r="I224" s="30" t="inlineStr"/>
      <c r="J224" s="30" t="inlineStr"/>
      <c r="K224" s="15">
        <f>IF(A224="","",F224*G224*H224)</f>
        <v/>
      </c>
    </row>
    <row r="225">
      <c r="A225" s="30" t="inlineStr"/>
      <c r="B225" s="30" t="inlineStr"/>
      <c r="C225" s="30" t="inlineStr"/>
      <c r="D225" s="30" t="inlineStr"/>
      <c r="E225" s="30" t="inlineStr"/>
      <c r="F225" s="35" t="inlineStr"/>
      <c r="G225" s="34" t="inlineStr"/>
      <c r="H225" s="35" t="inlineStr"/>
      <c r="I225" s="30" t="inlineStr"/>
      <c r="J225" s="30" t="inlineStr"/>
      <c r="K225" s="15">
        <f>IF(A225="","",F225*G225*H225)</f>
        <v/>
      </c>
    </row>
    <row r="226">
      <c r="A226" s="30" t="inlineStr"/>
      <c r="B226" s="30" t="inlineStr"/>
      <c r="C226" s="30" t="inlineStr"/>
      <c r="D226" s="30" t="inlineStr"/>
      <c r="E226" s="30" t="inlineStr"/>
      <c r="F226" s="35" t="inlineStr"/>
      <c r="G226" s="34" t="inlineStr"/>
      <c r="H226" s="35" t="inlineStr"/>
      <c r="I226" s="30" t="inlineStr"/>
      <c r="J226" s="30" t="inlineStr"/>
      <c r="K226" s="15">
        <f>IF(A226="","",F226*G226*H226)</f>
        <v/>
      </c>
    </row>
    <row r="227">
      <c r="A227" s="30" t="inlineStr"/>
      <c r="B227" s="30" t="inlineStr"/>
      <c r="C227" s="30" t="inlineStr"/>
      <c r="D227" s="30" t="inlineStr"/>
      <c r="E227" s="30" t="inlineStr"/>
      <c r="F227" s="35" t="inlineStr"/>
      <c r="G227" s="34" t="inlineStr"/>
      <c r="H227" s="35" t="inlineStr"/>
      <c r="I227" s="30" t="inlineStr"/>
      <c r="J227" s="30" t="inlineStr"/>
      <c r="K227" s="15">
        <f>IF(A227="","",F227*G227*H227)</f>
        <v/>
      </c>
    </row>
    <row r="228">
      <c r="A228" s="30" t="inlineStr"/>
      <c r="B228" s="30" t="inlineStr"/>
      <c r="C228" s="30" t="inlineStr"/>
      <c r="D228" s="30" t="inlineStr"/>
      <c r="E228" s="30" t="inlineStr"/>
      <c r="F228" s="35" t="inlineStr"/>
      <c r="G228" s="34" t="inlineStr"/>
      <c r="H228" s="35" t="inlineStr"/>
      <c r="I228" s="30" t="inlineStr"/>
      <c r="J228" s="30" t="inlineStr"/>
      <c r="K228" s="15">
        <f>IF(A228="","",F228*G228*H228)</f>
        <v/>
      </c>
    </row>
    <row r="229">
      <c r="A229" s="30" t="inlineStr"/>
      <c r="B229" s="30" t="inlineStr"/>
      <c r="C229" s="30" t="inlineStr"/>
      <c r="D229" s="30" t="inlineStr"/>
      <c r="E229" s="30" t="inlineStr"/>
      <c r="F229" s="35" t="inlineStr"/>
      <c r="G229" s="34" t="inlineStr"/>
      <c r="H229" s="35" t="inlineStr"/>
      <c r="I229" s="30" t="inlineStr"/>
      <c r="J229" s="30" t="inlineStr"/>
      <c r="K229" s="15">
        <f>IF(A229="","",F229*G229*H229)</f>
        <v/>
      </c>
    </row>
    <row r="230">
      <c r="A230" s="30" t="inlineStr"/>
      <c r="B230" s="30" t="inlineStr"/>
      <c r="C230" s="30" t="inlineStr"/>
      <c r="D230" s="30" t="inlineStr"/>
      <c r="E230" s="30" t="inlineStr"/>
      <c r="F230" s="35" t="inlineStr"/>
      <c r="G230" s="34" t="inlineStr"/>
      <c r="H230" s="35" t="inlineStr"/>
      <c r="I230" s="30" t="inlineStr"/>
      <c r="J230" s="30" t="inlineStr"/>
      <c r="K230" s="15">
        <f>IF(A230="","",F230*G230*H230)</f>
        <v/>
      </c>
    </row>
    <row r="231">
      <c r="A231" s="30" t="inlineStr"/>
      <c r="B231" s="30" t="inlineStr"/>
      <c r="C231" s="30" t="inlineStr"/>
      <c r="D231" s="30" t="inlineStr"/>
      <c r="E231" s="30" t="inlineStr"/>
      <c r="F231" s="35" t="inlineStr"/>
      <c r="G231" s="34" t="inlineStr"/>
      <c r="H231" s="35" t="inlineStr"/>
      <c r="I231" s="30" t="inlineStr"/>
      <c r="J231" s="30" t="inlineStr"/>
      <c r="K231" s="15">
        <f>IF(A231="","",F231*G231*H231)</f>
        <v/>
      </c>
    </row>
    <row r="232">
      <c r="A232" s="30" t="inlineStr"/>
      <c r="B232" s="30" t="inlineStr"/>
      <c r="C232" s="30" t="inlineStr"/>
      <c r="D232" s="30" t="inlineStr"/>
      <c r="E232" s="30" t="inlineStr"/>
      <c r="F232" s="35" t="inlineStr"/>
      <c r="G232" s="34" t="inlineStr"/>
      <c r="H232" s="35" t="inlineStr"/>
      <c r="I232" s="30" t="inlineStr"/>
      <c r="J232" s="30" t="inlineStr"/>
      <c r="K232" s="15">
        <f>IF(A232="","",F232*G232*H232)</f>
        <v/>
      </c>
    </row>
    <row r="233">
      <c r="A233" s="30" t="inlineStr"/>
      <c r="B233" s="30" t="inlineStr"/>
      <c r="C233" s="30" t="inlineStr"/>
      <c r="D233" s="30" t="inlineStr"/>
      <c r="E233" s="30" t="inlineStr"/>
      <c r="F233" s="35" t="inlineStr"/>
      <c r="G233" s="34" t="inlineStr"/>
      <c r="H233" s="35" t="inlineStr"/>
      <c r="I233" s="30" t="inlineStr"/>
      <c r="J233" s="30" t="inlineStr"/>
      <c r="K233" s="15">
        <f>IF(A233="","",F233*G233*H233)</f>
        <v/>
      </c>
    </row>
    <row r="234">
      <c r="A234" s="30" t="inlineStr"/>
      <c r="B234" s="30" t="inlineStr"/>
      <c r="C234" s="30" t="inlineStr"/>
      <c r="D234" s="30" t="inlineStr"/>
      <c r="E234" s="30" t="inlineStr"/>
      <c r="F234" s="35" t="inlineStr"/>
      <c r="G234" s="34" t="inlineStr"/>
      <c r="H234" s="35" t="inlineStr"/>
      <c r="I234" s="30" t="inlineStr"/>
      <c r="J234" s="30" t="inlineStr"/>
      <c r="K234" s="15">
        <f>IF(A234="","",F234*G234*H234)</f>
        <v/>
      </c>
    </row>
    <row r="235">
      <c r="A235" s="30" t="inlineStr"/>
      <c r="B235" s="30" t="inlineStr"/>
      <c r="C235" s="30" t="inlineStr"/>
      <c r="D235" s="30" t="inlineStr"/>
      <c r="E235" s="30" t="inlineStr"/>
      <c r="F235" s="35" t="inlineStr"/>
      <c r="G235" s="34" t="inlineStr"/>
      <c r="H235" s="35" t="inlineStr"/>
      <c r="I235" s="30" t="inlineStr"/>
      <c r="J235" s="30" t="inlineStr"/>
      <c r="K235" s="15">
        <f>IF(A235="","",F235*G235*H235)</f>
        <v/>
      </c>
    </row>
    <row r="236">
      <c r="A236" s="30" t="inlineStr"/>
      <c r="B236" s="30" t="inlineStr"/>
      <c r="C236" s="30" t="inlineStr"/>
      <c r="D236" s="30" t="inlineStr"/>
      <c r="E236" s="30" t="inlineStr"/>
      <c r="F236" s="35" t="inlineStr"/>
      <c r="G236" s="34" t="inlineStr"/>
      <c r="H236" s="35" t="inlineStr"/>
      <c r="I236" s="30" t="inlineStr"/>
      <c r="J236" s="30" t="inlineStr"/>
      <c r="K236" s="15">
        <f>IF(A236="","",F236*G236*H236)</f>
        <v/>
      </c>
    </row>
    <row r="237">
      <c r="A237" s="30" t="inlineStr"/>
      <c r="B237" s="30" t="inlineStr"/>
      <c r="C237" s="30" t="inlineStr"/>
      <c r="D237" s="30" t="inlineStr"/>
      <c r="E237" s="30" t="inlineStr"/>
      <c r="F237" s="35" t="inlineStr"/>
      <c r="G237" s="34" t="inlineStr"/>
      <c r="H237" s="35" t="inlineStr"/>
      <c r="I237" s="30" t="inlineStr"/>
      <c r="J237" s="30" t="inlineStr"/>
      <c r="K237" s="15">
        <f>IF(A237="","",F237*G237*H237)</f>
        <v/>
      </c>
    </row>
    <row r="238">
      <c r="A238" s="30" t="inlineStr"/>
      <c r="B238" s="30" t="inlineStr"/>
      <c r="C238" s="30" t="inlineStr"/>
      <c r="D238" s="30" t="inlineStr"/>
      <c r="E238" s="30" t="inlineStr"/>
      <c r="F238" s="35" t="inlineStr"/>
      <c r="G238" s="34" t="inlineStr"/>
      <c r="H238" s="35" t="inlineStr"/>
      <c r="I238" s="30" t="inlineStr"/>
      <c r="J238" s="30" t="inlineStr"/>
      <c r="K238" s="15">
        <f>IF(A238="","",F238*G238*H238)</f>
        <v/>
      </c>
    </row>
    <row r="239">
      <c r="A239" s="30" t="inlineStr"/>
      <c r="B239" s="30" t="inlineStr"/>
      <c r="C239" s="30" t="inlineStr"/>
      <c r="D239" s="30" t="inlineStr"/>
      <c r="E239" s="30" t="inlineStr"/>
      <c r="F239" s="35" t="inlineStr"/>
      <c r="G239" s="34" t="inlineStr"/>
      <c r="H239" s="35" t="inlineStr"/>
      <c r="I239" s="30" t="inlineStr"/>
      <c r="J239" s="30" t="inlineStr"/>
      <c r="K239" s="15">
        <f>IF(A239="","",F239*G239*H239)</f>
        <v/>
      </c>
    </row>
    <row r="240">
      <c r="A240" s="30" t="inlineStr"/>
      <c r="B240" s="30" t="inlineStr"/>
      <c r="C240" s="30" t="inlineStr"/>
      <c r="D240" s="30" t="inlineStr"/>
      <c r="E240" s="30" t="inlineStr"/>
      <c r="F240" s="35" t="inlineStr"/>
      <c r="G240" s="34" t="inlineStr"/>
      <c r="H240" s="35" t="inlineStr"/>
      <c r="I240" s="30" t="inlineStr"/>
      <c r="J240" s="30" t="inlineStr"/>
      <c r="K240" s="15">
        <f>IF(A240="","",F240*G240*H240)</f>
        <v/>
      </c>
    </row>
    <row r="241">
      <c r="A241" s="30" t="inlineStr"/>
      <c r="B241" s="30" t="inlineStr"/>
      <c r="C241" s="30" t="inlineStr"/>
      <c r="D241" s="30" t="inlineStr"/>
      <c r="E241" s="30" t="inlineStr"/>
      <c r="F241" s="35" t="inlineStr"/>
      <c r="G241" s="34" t="inlineStr"/>
      <c r="H241" s="35" t="inlineStr"/>
      <c r="I241" s="30" t="inlineStr"/>
      <c r="J241" s="30" t="inlineStr"/>
      <c r="K241" s="15">
        <f>IF(A241="","",F241*G241*H241)</f>
        <v/>
      </c>
    </row>
    <row r="242">
      <c r="A242" s="30" t="inlineStr"/>
      <c r="B242" s="30" t="inlineStr"/>
      <c r="C242" s="30" t="inlineStr"/>
      <c r="D242" s="30" t="inlineStr"/>
      <c r="E242" s="30" t="inlineStr"/>
      <c r="F242" s="35" t="inlineStr"/>
      <c r="G242" s="34" t="inlineStr"/>
      <c r="H242" s="35" t="inlineStr"/>
      <c r="I242" s="30" t="inlineStr"/>
      <c r="J242" s="30" t="inlineStr"/>
      <c r="K242" s="15">
        <f>IF(A242="","",F242*G242*H242)</f>
        <v/>
      </c>
    </row>
    <row r="243">
      <c r="A243" s="30" t="inlineStr"/>
      <c r="B243" s="30" t="inlineStr"/>
      <c r="C243" s="30" t="inlineStr"/>
      <c r="D243" s="30" t="inlineStr"/>
      <c r="E243" s="30" t="inlineStr"/>
      <c r="F243" s="35" t="inlineStr"/>
      <c r="G243" s="34" t="inlineStr"/>
      <c r="H243" s="35" t="inlineStr"/>
      <c r="I243" s="30" t="inlineStr"/>
      <c r="J243" s="30" t="inlineStr"/>
      <c r="K243" s="15">
        <f>IF(A243="","",F243*G243*H243)</f>
        <v/>
      </c>
    </row>
    <row r="244">
      <c r="A244" s="30" t="inlineStr"/>
      <c r="B244" s="30" t="inlineStr"/>
      <c r="C244" s="30" t="inlineStr"/>
      <c r="D244" s="30" t="inlineStr"/>
      <c r="E244" s="30" t="inlineStr"/>
      <c r="F244" s="35" t="inlineStr"/>
      <c r="G244" s="34" t="inlineStr"/>
      <c r="H244" s="35" t="inlineStr"/>
      <c r="I244" s="30" t="inlineStr"/>
      <c r="J244" s="30" t="inlineStr"/>
      <c r="K244" s="15">
        <f>IF(A244="","",F244*G244*H244)</f>
        <v/>
      </c>
    </row>
    <row r="245">
      <c r="A245" s="30" t="inlineStr"/>
      <c r="B245" s="30" t="inlineStr"/>
      <c r="C245" s="30" t="inlineStr"/>
      <c r="D245" s="30" t="inlineStr"/>
      <c r="E245" s="30" t="inlineStr"/>
      <c r="F245" s="35" t="inlineStr"/>
      <c r="G245" s="34" t="inlineStr"/>
      <c r="H245" s="35" t="inlineStr"/>
      <c r="I245" s="30" t="inlineStr"/>
      <c r="J245" s="30" t="inlineStr"/>
      <c r="K245" s="15">
        <f>IF(A245="","",F245*G245*H245)</f>
        <v/>
      </c>
    </row>
    <row r="246">
      <c r="A246" s="30" t="inlineStr"/>
      <c r="B246" s="30" t="inlineStr"/>
      <c r="C246" s="30" t="inlineStr"/>
      <c r="D246" s="30" t="inlineStr"/>
      <c r="E246" s="30" t="inlineStr"/>
      <c r="F246" s="35" t="inlineStr"/>
      <c r="G246" s="34" t="inlineStr"/>
      <c r="H246" s="35" t="inlineStr"/>
      <c r="I246" s="30" t="inlineStr"/>
      <c r="J246" s="30" t="inlineStr"/>
      <c r="K246" s="15">
        <f>IF(A246="","",F246*G246*H246)</f>
        <v/>
      </c>
    </row>
    <row r="247">
      <c r="A247" s="30" t="inlineStr"/>
      <c r="B247" s="30" t="inlineStr"/>
      <c r="C247" s="30" t="inlineStr"/>
      <c r="D247" s="30" t="inlineStr"/>
      <c r="E247" s="30" t="inlineStr"/>
      <c r="F247" s="35" t="inlineStr"/>
      <c r="G247" s="34" t="inlineStr"/>
      <c r="H247" s="35" t="inlineStr"/>
      <c r="I247" s="30" t="inlineStr"/>
      <c r="J247" s="30" t="inlineStr"/>
      <c r="K247" s="15">
        <f>IF(A247="","",F247*G247*H247)</f>
        <v/>
      </c>
    </row>
    <row r="248">
      <c r="A248" s="30" t="inlineStr"/>
      <c r="B248" s="30" t="inlineStr"/>
      <c r="C248" s="30" t="inlineStr"/>
      <c r="D248" s="30" t="inlineStr"/>
      <c r="E248" s="30" t="inlineStr"/>
      <c r="F248" s="35" t="inlineStr"/>
      <c r="G248" s="34" t="inlineStr"/>
      <c r="H248" s="35" t="inlineStr"/>
      <c r="I248" s="30" t="inlineStr"/>
      <c r="J248" s="30" t="inlineStr"/>
      <c r="K248" s="15">
        <f>IF(A248="","",F248*G248*H248)</f>
        <v/>
      </c>
    </row>
    <row r="249">
      <c r="A249" s="30" t="inlineStr"/>
      <c r="B249" s="30" t="inlineStr"/>
      <c r="C249" s="30" t="inlineStr"/>
      <c r="D249" s="30" t="inlineStr"/>
      <c r="E249" s="30" t="inlineStr"/>
      <c r="F249" s="35" t="inlineStr"/>
      <c r="G249" s="34" t="inlineStr"/>
      <c r="H249" s="35" t="inlineStr"/>
      <c r="I249" s="30" t="inlineStr"/>
      <c r="J249" s="30" t="inlineStr"/>
      <c r="K249" s="15">
        <f>IF(A249="","",F249*G249*H249)</f>
        <v/>
      </c>
    </row>
    <row r="250">
      <c r="A250" s="30" t="inlineStr"/>
      <c r="B250" s="30" t="inlineStr"/>
      <c r="C250" s="30" t="inlineStr"/>
      <c r="D250" s="30" t="inlineStr"/>
      <c r="E250" s="30" t="inlineStr"/>
      <c r="F250" s="35" t="inlineStr"/>
      <c r="G250" s="34" t="inlineStr"/>
      <c r="H250" s="35" t="inlineStr"/>
      <c r="I250" s="30" t="inlineStr"/>
      <c r="J250" s="30" t="inlineStr"/>
      <c r="K250" s="15">
        <f>IF(A250="","",F250*G250*H250)</f>
        <v/>
      </c>
    </row>
    <row r="251">
      <c r="A251" s="30" t="inlineStr"/>
      <c r="B251" s="30" t="inlineStr"/>
      <c r="C251" s="30" t="inlineStr"/>
      <c r="D251" s="30" t="inlineStr"/>
      <c r="E251" s="30" t="inlineStr"/>
      <c r="F251" s="35" t="inlineStr"/>
      <c r="G251" s="34" t="inlineStr"/>
      <c r="H251" s="35" t="inlineStr"/>
      <c r="I251" s="30" t="inlineStr"/>
      <c r="J251" s="30" t="inlineStr"/>
      <c r="K251" s="15">
        <f>IF(A251="","",F251*G251*H251)</f>
        <v/>
      </c>
    </row>
    <row r="252">
      <c r="A252" s="30" t="inlineStr"/>
      <c r="B252" s="30" t="inlineStr"/>
      <c r="C252" s="30" t="inlineStr"/>
      <c r="D252" s="30" t="inlineStr"/>
      <c r="E252" s="30" t="inlineStr"/>
      <c r="F252" s="35" t="inlineStr"/>
      <c r="G252" s="34" t="inlineStr"/>
      <c r="H252" s="35" t="inlineStr"/>
      <c r="I252" s="30" t="inlineStr"/>
      <c r="J252" s="30" t="inlineStr"/>
      <c r="K252" s="15">
        <f>IF(A252="","",F252*G252*H252)</f>
        <v/>
      </c>
    </row>
    <row r="253">
      <c r="A253" s="30" t="inlineStr"/>
      <c r="B253" s="30" t="inlineStr"/>
      <c r="C253" s="30" t="inlineStr"/>
      <c r="D253" s="30" t="inlineStr"/>
      <c r="E253" s="30" t="inlineStr"/>
      <c r="F253" s="35" t="inlineStr"/>
      <c r="G253" s="34" t="inlineStr"/>
      <c r="H253" s="35" t="inlineStr"/>
      <c r="I253" s="30" t="inlineStr"/>
      <c r="J253" s="30" t="inlineStr"/>
      <c r="K253" s="15">
        <f>IF(A253="","",F253*G253*H253)</f>
        <v/>
      </c>
    </row>
    <row r="254">
      <c r="A254" s="30" t="inlineStr"/>
      <c r="B254" s="30" t="inlineStr"/>
      <c r="C254" s="30" t="inlineStr"/>
      <c r="D254" s="30" t="inlineStr"/>
      <c r="E254" s="30" t="inlineStr"/>
      <c r="F254" s="35" t="inlineStr"/>
      <c r="G254" s="34" t="inlineStr"/>
      <c r="H254" s="35" t="inlineStr"/>
      <c r="I254" s="30" t="inlineStr"/>
      <c r="J254" s="30" t="inlineStr"/>
      <c r="K254" s="15">
        <f>IF(A254="","",F254*G254*H254)</f>
        <v/>
      </c>
    </row>
    <row r="255">
      <c r="A255" s="30" t="inlineStr"/>
      <c r="B255" s="30" t="inlineStr"/>
      <c r="C255" s="30" t="inlineStr"/>
      <c r="D255" s="30" t="inlineStr"/>
      <c r="E255" s="30" t="inlineStr"/>
      <c r="F255" s="35" t="inlineStr"/>
      <c r="G255" s="34" t="inlineStr"/>
      <c r="H255" s="35" t="inlineStr"/>
      <c r="I255" s="30" t="inlineStr"/>
      <c r="J255" s="30" t="inlineStr"/>
      <c r="K255" s="15">
        <f>IF(A255="","",F255*G255*H255)</f>
        <v/>
      </c>
    </row>
    <row r="256">
      <c r="A256" s="30" t="inlineStr"/>
      <c r="B256" s="30" t="inlineStr"/>
      <c r="C256" s="30" t="inlineStr"/>
      <c r="D256" s="30" t="inlineStr"/>
      <c r="E256" s="30" t="inlineStr"/>
      <c r="F256" s="35" t="inlineStr"/>
      <c r="G256" s="34" t="inlineStr"/>
      <c r="H256" s="35" t="inlineStr"/>
      <c r="I256" s="30" t="inlineStr"/>
      <c r="J256" s="30" t="inlineStr"/>
      <c r="K256" s="15">
        <f>IF(A256="","",F256*G256*H256)</f>
        <v/>
      </c>
    </row>
    <row r="257">
      <c r="A257" s="30" t="inlineStr"/>
      <c r="B257" s="30" t="inlineStr"/>
      <c r="C257" s="30" t="inlineStr"/>
      <c r="D257" s="30" t="inlineStr"/>
      <c r="E257" s="30" t="inlineStr"/>
      <c r="F257" s="35" t="inlineStr"/>
      <c r="G257" s="34" t="inlineStr"/>
      <c r="H257" s="35" t="inlineStr"/>
      <c r="I257" s="30" t="inlineStr"/>
      <c r="J257" s="30" t="inlineStr"/>
      <c r="K257" s="15">
        <f>IF(A257="","",F257*G257*H257)</f>
        <v/>
      </c>
    </row>
    <row r="258">
      <c r="A258" s="30" t="inlineStr"/>
      <c r="B258" s="30" t="inlineStr"/>
      <c r="C258" s="30" t="inlineStr"/>
      <c r="D258" s="30" t="inlineStr"/>
      <c r="E258" s="30" t="inlineStr"/>
      <c r="F258" s="35" t="inlineStr"/>
      <c r="G258" s="34" t="inlineStr"/>
      <c r="H258" s="35" t="inlineStr"/>
      <c r="I258" s="30" t="inlineStr"/>
      <c r="J258" s="30" t="inlineStr"/>
      <c r="K258" s="15">
        <f>IF(A258="","",F258*G258*H258)</f>
        <v/>
      </c>
    </row>
    <row r="259">
      <c r="A259" s="30" t="inlineStr"/>
      <c r="B259" s="30" t="inlineStr"/>
      <c r="C259" s="30" t="inlineStr"/>
      <c r="D259" s="30" t="inlineStr"/>
      <c r="E259" s="30" t="inlineStr"/>
      <c r="F259" s="35" t="inlineStr"/>
      <c r="G259" s="34" t="inlineStr"/>
      <c r="H259" s="35" t="inlineStr"/>
      <c r="I259" s="30" t="inlineStr"/>
      <c r="J259" s="30" t="inlineStr"/>
      <c r="K259" s="15">
        <f>IF(A259="","",F259*G259*H259)</f>
        <v/>
      </c>
    </row>
    <row r="260">
      <c r="A260" s="30" t="inlineStr"/>
      <c r="B260" s="30" t="inlineStr"/>
      <c r="C260" s="30" t="inlineStr"/>
      <c r="D260" s="30" t="inlineStr"/>
      <c r="E260" s="30" t="inlineStr"/>
      <c r="F260" s="35" t="inlineStr"/>
      <c r="G260" s="34" t="inlineStr"/>
      <c r="H260" s="35" t="inlineStr"/>
      <c r="I260" s="30" t="inlineStr"/>
      <c r="J260" s="30" t="inlineStr"/>
      <c r="K260" s="15">
        <f>IF(A260="","",F260*G260*H260)</f>
        <v/>
      </c>
    </row>
    <row r="261">
      <c r="A261" s="30" t="inlineStr"/>
      <c r="B261" s="30" t="inlineStr"/>
      <c r="C261" s="30" t="inlineStr"/>
      <c r="D261" s="30" t="inlineStr"/>
      <c r="E261" s="30" t="inlineStr"/>
      <c r="F261" s="35" t="inlineStr"/>
      <c r="G261" s="34" t="inlineStr"/>
      <c r="H261" s="35" t="inlineStr"/>
      <c r="I261" s="30" t="inlineStr"/>
      <c r="J261" s="30" t="inlineStr"/>
      <c r="K261" s="15">
        <f>IF(A261="","",F261*G261*H261)</f>
        <v/>
      </c>
    </row>
    <row r="262">
      <c r="A262" s="30" t="inlineStr"/>
      <c r="B262" s="30" t="inlineStr"/>
      <c r="C262" s="30" t="inlineStr"/>
      <c r="D262" s="30" t="inlineStr"/>
      <c r="E262" s="30" t="inlineStr"/>
      <c r="F262" s="35" t="inlineStr"/>
      <c r="G262" s="34" t="inlineStr"/>
      <c r="H262" s="35" t="inlineStr"/>
      <c r="I262" s="30" t="inlineStr"/>
      <c r="J262" s="30" t="inlineStr"/>
      <c r="K262" s="15">
        <f>IF(A262="","",F262*G262*H262)</f>
        <v/>
      </c>
    </row>
    <row r="263">
      <c r="A263" s="30" t="inlineStr"/>
      <c r="B263" s="30" t="inlineStr"/>
      <c r="C263" s="30" t="inlineStr"/>
      <c r="D263" s="30" t="inlineStr"/>
      <c r="E263" s="30" t="inlineStr"/>
      <c r="F263" s="35" t="inlineStr"/>
      <c r="G263" s="34" t="inlineStr"/>
      <c r="H263" s="35" t="inlineStr"/>
      <c r="I263" s="30" t="inlineStr"/>
      <c r="J263" s="30" t="inlineStr"/>
      <c r="K263" s="15">
        <f>IF(A263="","",F263*G263*H263)</f>
        <v/>
      </c>
    </row>
    <row r="264">
      <c r="A264" s="30" t="inlineStr"/>
      <c r="B264" s="30" t="inlineStr"/>
      <c r="C264" s="30" t="inlineStr"/>
      <c r="D264" s="30" t="inlineStr"/>
      <c r="E264" s="30" t="inlineStr"/>
      <c r="F264" s="35" t="inlineStr"/>
      <c r="G264" s="34" t="inlineStr"/>
      <c r="H264" s="35" t="inlineStr"/>
      <c r="I264" s="30" t="inlineStr"/>
      <c r="J264" s="30" t="inlineStr"/>
      <c r="K264" s="15">
        <f>IF(A264="","",F264*G264*H264)</f>
        <v/>
      </c>
    </row>
    <row r="265">
      <c r="A265" s="30" t="inlineStr"/>
      <c r="B265" s="30" t="inlineStr"/>
      <c r="C265" s="30" t="inlineStr"/>
      <c r="D265" s="30" t="inlineStr"/>
      <c r="E265" s="30" t="inlineStr"/>
      <c r="F265" s="35" t="inlineStr"/>
      <c r="G265" s="34" t="inlineStr"/>
      <c r="H265" s="35" t="inlineStr"/>
      <c r="I265" s="30" t="inlineStr"/>
      <c r="J265" s="30" t="inlineStr"/>
      <c r="K265" s="15">
        <f>IF(A265="","",F265*G265*H265)</f>
        <v/>
      </c>
    </row>
    <row r="266">
      <c r="A266" s="30" t="inlineStr"/>
      <c r="B266" s="30" t="inlineStr"/>
      <c r="C266" s="30" t="inlineStr"/>
      <c r="D266" s="30" t="inlineStr"/>
      <c r="E266" s="30" t="inlineStr"/>
      <c r="F266" s="35" t="inlineStr"/>
      <c r="G266" s="34" t="inlineStr"/>
      <c r="H266" s="35" t="inlineStr"/>
      <c r="I266" s="30" t="inlineStr"/>
      <c r="J266" s="30" t="inlineStr"/>
      <c r="K266" s="15">
        <f>IF(A266="","",F266*G266*H266)</f>
        <v/>
      </c>
    </row>
    <row r="267">
      <c r="A267" s="30" t="inlineStr"/>
      <c r="B267" s="30" t="inlineStr"/>
      <c r="C267" s="30" t="inlineStr"/>
      <c r="D267" s="30" t="inlineStr"/>
      <c r="E267" s="30" t="inlineStr"/>
      <c r="F267" s="35" t="inlineStr"/>
      <c r="G267" s="34" t="inlineStr"/>
      <c r="H267" s="35" t="inlineStr"/>
      <c r="I267" s="30" t="inlineStr"/>
      <c r="J267" s="30" t="inlineStr"/>
      <c r="K267" s="15">
        <f>IF(A267="","",F267*G267*H267)</f>
        <v/>
      </c>
    </row>
    <row r="268">
      <c r="A268" s="30" t="inlineStr"/>
      <c r="B268" s="30" t="inlineStr"/>
      <c r="C268" s="30" t="inlineStr"/>
      <c r="D268" s="30" t="inlineStr"/>
      <c r="E268" s="30" t="inlineStr"/>
      <c r="F268" s="35" t="inlineStr"/>
      <c r="G268" s="34" t="inlineStr"/>
      <c r="H268" s="35" t="inlineStr"/>
      <c r="I268" s="30" t="inlineStr"/>
      <c r="J268" s="30" t="inlineStr"/>
      <c r="K268" s="15">
        <f>IF(A268="","",F268*G268*H268)</f>
        <v/>
      </c>
    </row>
    <row r="269">
      <c r="A269" s="30" t="inlineStr"/>
      <c r="B269" s="30" t="inlineStr"/>
      <c r="C269" s="30" t="inlineStr"/>
      <c r="D269" s="30" t="inlineStr"/>
      <c r="E269" s="30" t="inlineStr"/>
      <c r="F269" s="35" t="inlineStr"/>
      <c r="G269" s="34" t="inlineStr"/>
      <c r="H269" s="35" t="inlineStr"/>
      <c r="I269" s="30" t="inlineStr"/>
      <c r="J269" s="30" t="inlineStr"/>
      <c r="K269" s="15">
        <f>IF(A269="","",F269*G269*H269)</f>
        <v/>
      </c>
    </row>
    <row r="270">
      <c r="A270" s="30" t="inlineStr"/>
      <c r="B270" s="30" t="inlineStr"/>
      <c r="C270" s="30" t="inlineStr"/>
      <c r="D270" s="30" t="inlineStr"/>
      <c r="E270" s="30" t="inlineStr"/>
      <c r="F270" s="35" t="inlineStr"/>
      <c r="G270" s="34" t="inlineStr"/>
      <c r="H270" s="35" t="inlineStr"/>
      <c r="I270" s="30" t="inlineStr"/>
      <c r="J270" s="30" t="inlineStr"/>
      <c r="K270" s="15">
        <f>IF(A270="","",F270*G270*H270)</f>
        <v/>
      </c>
    </row>
    <row r="271">
      <c r="A271" s="30" t="inlineStr"/>
      <c r="B271" s="30" t="inlineStr"/>
      <c r="C271" s="30" t="inlineStr"/>
      <c r="D271" s="30" t="inlineStr"/>
      <c r="E271" s="30" t="inlineStr"/>
      <c r="F271" s="35" t="inlineStr"/>
      <c r="G271" s="34" t="inlineStr"/>
      <c r="H271" s="35" t="inlineStr"/>
      <c r="I271" s="30" t="inlineStr"/>
      <c r="J271" s="30" t="inlineStr"/>
      <c r="K271" s="15">
        <f>IF(A271="","",F271*G271*H271)</f>
        <v/>
      </c>
    </row>
    <row r="272">
      <c r="A272" s="30" t="inlineStr"/>
      <c r="B272" s="30" t="inlineStr"/>
      <c r="C272" s="30" t="inlineStr"/>
      <c r="D272" s="30" t="inlineStr"/>
      <c r="E272" s="30" t="inlineStr"/>
      <c r="F272" s="35" t="inlineStr"/>
      <c r="G272" s="34" t="inlineStr"/>
      <c r="H272" s="35" t="inlineStr"/>
      <c r="I272" s="30" t="inlineStr"/>
      <c r="J272" s="30" t="inlineStr"/>
      <c r="K272" s="15">
        <f>IF(A272="","",F272*G272*H272)</f>
        <v/>
      </c>
    </row>
    <row r="273">
      <c r="A273" s="30" t="inlineStr"/>
      <c r="B273" s="30" t="inlineStr"/>
      <c r="C273" s="30" t="inlineStr"/>
      <c r="D273" s="30" t="inlineStr"/>
      <c r="E273" s="30" t="inlineStr"/>
      <c r="F273" s="35" t="inlineStr"/>
      <c r="G273" s="34" t="inlineStr"/>
      <c r="H273" s="35" t="inlineStr"/>
      <c r="I273" s="30" t="inlineStr"/>
      <c r="J273" s="30" t="inlineStr"/>
      <c r="K273" s="15">
        <f>IF(A273="","",F273*G273*H273)</f>
        <v/>
      </c>
    </row>
    <row r="274">
      <c r="A274" s="30" t="inlineStr"/>
      <c r="B274" s="30" t="inlineStr"/>
      <c r="C274" s="30" t="inlineStr"/>
      <c r="D274" s="30" t="inlineStr"/>
      <c r="E274" s="30" t="inlineStr"/>
      <c r="F274" s="35" t="inlineStr"/>
      <c r="G274" s="34" t="inlineStr"/>
      <c r="H274" s="35" t="inlineStr"/>
      <c r="I274" s="30" t="inlineStr"/>
      <c r="J274" s="30" t="inlineStr"/>
      <c r="K274" s="15">
        <f>IF(A274="","",F274*G274*H274)</f>
        <v/>
      </c>
    </row>
    <row r="275">
      <c r="A275" s="30" t="inlineStr"/>
      <c r="B275" s="30" t="inlineStr"/>
      <c r="C275" s="30" t="inlineStr"/>
      <c r="D275" s="30" t="inlineStr"/>
      <c r="E275" s="30" t="inlineStr"/>
      <c r="F275" s="35" t="inlineStr"/>
      <c r="G275" s="34" t="inlineStr"/>
      <c r="H275" s="35" t="inlineStr"/>
      <c r="I275" s="30" t="inlineStr"/>
      <c r="J275" s="30" t="inlineStr"/>
      <c r="K275" s="15">
        <f>IF(A275="","",F275*G275*H275)</f>
        <v/>
      </c>
    </row>
    <row r="276">
      <c r="A276" s="30" t="inlineStr"/>
      <c r="B276" s="30" t="inlineStr"/>
      <c r="C276" s="30" t="inlineStr"/>
      <c r="D276" s="30" t="inlineStr"/>
      <c r="E276" s="30" t="inlineStr"/>
      <c r="F276" s="35" t="inlineStr"/>
      <c r="G276" s="34" t="inlineStr"/>
      <c r="H276" s="35" t="inlineStr"/>
      <c r="I276" s="30" t="inlineStr"/>
      <c r="J276" s="30" t="inlineStr"/>
      <c r="K276" s="15">
        <f>IF(A276="","",F276*G276*H276)</f>
        <v/>
      </c>
    </row>
    <row r="277">
      <c r="A277" s="30" t="inlineStr"/>
      <c r="B277" s="30" t="inlineStr"/>
      <c r="C277" s="30" t="inlineStr"/>
      <c r="D277" s="30" t="inlineStr"/>
      <c r="E277" s="30" t="inlineStr"/>
      <c r="F277" s="35" t="inlineStr"/>
      <c r="G277" s="34" t="inlineStr"/>
      <c r="H277" s="35" t="inlineStr"/>
      <c r="I277" s="30" t="inlineStr"/>
      <c r="J277" s="30" t="inlineStr"/>
      <c r="K277" s="15">
        <f>IF(A277="","",F277*G277*H277)</f>
        <v/>
      </c>
    </row>
    <row r="278">
      <c r="A278" s="30" t="inlineStr"/>
      <c r="B278" s="30" t="inlineStr"/>
      <c r="C278" s="30" t="inlineStr"/>
      <c r="D278" s="30" t="inlineStr"/>
      <c r="E278" s="30" t="inlineStr"/>
      <c r="F278" s="35" t="inlineStr"/>
      <c r="G278" s="34" t="inlineStr"/>
      <c r="H278" s="35" t="inlineStr"/>
      <c r="I278" s="30" t="inlineStr"/>
      <c r="J278" s="30" t="inlineStr"/>
      <c r="K278" s="15">
        <f>IF(A278="","",F278*G278*H278)</f>
        <v/>
      </c>
    </row>
    <row r="279">
      <c r="A279" s="30" t="inlineStr"/>
      <c r="B279" s="30" t="inlineStr"/>
      <c r="C279" s="30" t="inlineStr"/>
      <c r="D279" s="30" t="inlineStr"/>
      <c r="E279" s="30" t="inlineStr"/>
      <c r="F279" s="35" t="inlineStr"/>
      <c r="G279" s="34" t="inlineStr"/>
      <c r="H279" s="35" t="inlineStr"/>
      <c r="I279" s="30" t="inlineStr"/>
      <c r="J279" s="30" t="inlineStr"/>
      <c r="K279" s="15">
        <f>IF(A279="","",F279*G279*H279)</f>
        <v/>
      </c>
    </row>
    <row r="280">
      <c r="A280" s="30" t="inlineStr"/>
      <c r="B280" s="30" t="inlineStr"/>
      <c r="C280" s="30" t="inlineStr"/>
      <c r="D280" s="30" t="inlineStr"/>
      <c r="E280" s="30" t="inlineStr"/>
      <c r="F280" s="35" t="inlineStr"/>
      <c r="G280" s="34" t="inlineStr"/>
      <c r="H280" s="35" t="inlineStr"/>
      <c r="I280" s="30" t="inlineStr"/>
      <c r="J280" s="30" t="inlineStr"/>
      <c r="K280" s="15">
        <f>IF(A280="","",F280*G280*H280)</f>
        <v/>
      </c>
    </row>
    <row r="281">
      <c r="A281" s="30" t="inlineStr"/>
      <c r="B281" s="30" t="inlineStr"/>
      <c r="C281" s="30" t="inlineStr"/>
      <c r="D281" s="30" t="inlineStr"/>
      <c r="E281" s="30" t="inlineStr"/>
      <c r="F281" s="35" t="inlineStr"/>
      <c r="G281" s="34" t="inlineStr"/>
      <c r="H281" s="35" t="inlineStr"/>
      <c r="I281" s="30" t="inlineStr"/>
      <c r="J281" s="30" t="inlineStr"/>
      <c r="K281" s="15">
        <f>IF(A281="","",F281*G281*H281)</f>
        <v/>
      </c>
    </row>
    <row r="282">
      <c r="A282" s="30" t="inlineStr"/>
      <c r="B282" s="30" t="inlineStr"/>
      <c r="C282" s="30" t="inlineStr"/>
      <c r="D282" s="30" t="inlineStr"/>
      <c r="E282" s="30" t="inlineStr"/>
      <c r="F282" s="35" t="inlineStr"/>
      <c r="G282" s="34" t="inlineStr"/>
      <c r="H282" s="35" t="inlineStr"/>
      <c r="I282" s="30" t="inlineStr"/>
      <c r="J282" s="30" t="inlineStr"/>
      <c r="K282" s="15">
        <f>IF(A282="","",F282*G282*H282)</f>
        <v/>
      </c>
    </row>
    <row r="283">
      <c r="A283" s="30" t="inlineStr"/>
      <c r="B283" s="30" t="inlineStr"/>
      <c r="C283" s="30" t="inlineStr"/>
      <c r="D283" s="30" t="inlineStr"/>
      <c r="E283" s="30" t="inlineStr"/>
      <c r="F283" s="35" t="inlineStr"/>
      <c r="G283" s="34" t="inlineStr"/>
      <c r="H283" s="35" t="inlineStr"/>
      <c r="I283" s="30" t="inlineStr"/>
      <c r="J283" s="30" t="inlineStr"/>
      <c r="K283" s="15">
        <f>IF(A283="","",F283*G283*H283)</f>
        <v/>
      </c>
    </row>
    <row r="284">
      <c r="A284" s="30" t="inlineStr"/>
      <c r="B284" s="30" t="inlineStr"/>
      <c r="C284" s="30" t="inlineStr"/>
      <c r="D284" s="30" t="inlineStr"/>
      <c r="E284" s="30" t="inlineStr"/>
      <c r="F284" s="35" t="inlineStr"/>
      <c r="G284" s="34" t="inlineStr"/>
      <c r="H284" s="35" t="inlineStr"/>
      <c r="I284" s="30" t="inlineStr"/>
      <c r="J284" s="30" t="inlineStr"/>
      <c r="K284" s="15">
        <f>IF(A284="","",F284*G284*H284)</f>
        <v/>
      </c>
    </row>
    <row r="285">
      <c r="A285" s="30" t="inlineStr"/>
      <c r="B285" s="30" t="inlineStr"/>
      <c r="C285" s="30" t="inlineStr"/>
      <c r="D285" s="30" t="inlineStr"/>
      <c r="E285" s="30" t="inlineStr"/>
      <c r="F285" s="35" t="inlineStr"/>
      <c r="G285" s="34" t="inlineStr"/>
      <c r="H285" s="35" t="inlineStr"/>
      <c r="I285" s="30" t="inlineStr"/>
      <c r="J285" s="30" t="inlineStr"/>
      <c r="K285" s="15">
        <f>IF(A285="","",F285*G285*H285)</f>
        <v/>
      </c>
    </row>
    <row r="286">
      <c r="A286" s="30" t="inlineStr"/>
      <c r="B286" s="30" t="inlineStr"/>
      <c r="C286" s="30" t="inlineStr"/>
      <c r="D286" s="30" t="inlineStr"/>
      <c r="E286" s="30" t="inlineStr"/>
      <c r="F286" s="35" t="inlineStr"/>
      <c r="G286" s="34" t="inlineStr"/>
      <c r="H286" s="35" t="inlineStr"/>
      <c r="I286" s="30" t="inlineStr"/>
      <c r="J286" s="30" t="inlineStr"/>
      <c r="K286" s="15">
        <f>IF(A286="","",F286*G286*H286)</f>
        <v/>
      </c>
    </row>
    <row r="287">
      <c r="A287" s="30" t="inlineStr"/>
      <c r="B287" s="30" t="inlineStr"/>
      <c r="C287" s="30" t="inlineStr"/>
      <c r="D287" s="30" t="inlineStr"/>
      <c r="E287" s="30" t="inlineStr"/>
      <c r="F287" s="35" t="inlineStr"/>
      <c r="G287" s="34" t="inlineStr"/>
      <c r="H287" s="35" t="inlineStr"/>
      <c r="I287" s="30" t="inlineStr"/>
      <c r="J287" s="30" t="inlineStr"/>
      <c r="K287" s="15">
        <f>IF(A287="","",F287*G287*H287)</f>
        <v/>
      </c>
    </row>
    <row r="288">
      <c r="A288" s="30" t="inlineStr"/>
      <c r="B288" s="30" t="inlineStr"/>
      <c r="C288" s="30" t="inlineStr"/>
      <c r="D288" s="30" t="inlineStr"/>
      <c r="E288" s="30" t="inlineStr"/>
      <c r="F288" s="35" t="inlineStr"/>
      <c r="G288" s="34" t="inlineStr"/>
      <c r="H288" s="35" t="inlineStr"/>
      <c r="I288" s="30" t="inlineStr"/>
      <c r="J288" s="30" t="inlineStr"/>
      <c r="K288" s="15">
        <f>IF(A288="","",F288*G288*H288)</f>
        <v/>
      </c>
    </row>
    <row r="289">
      <c r="A289" s="30" t="inlineStr"/>
      <c r="B289" s="30" t="inlineStr"/>
      <c r="C289" s="30" t="inlineStr"/>
      <c r="D289" s="30" t="inlineStr"/>
      <c r="E289" s="30" t="inlineStr"/>
      <c r="F289" s="35" t="inlineStr"/>
      <c r="G289" s="34" t="inlineStr"/>
      <c r="H289" s="35" t="inlineStr"/>
      <c r="I289" s="30" t="inlineStr"/>
      <c r="J289" s="30" t="inlineStr"/>
      <c r="K289" s="15">
        <f>IF(A289="","",F289*G289*H289)</f>
        <v/>
      </c>
    </row>
    <row r="290">
      <c r="A290" s="30" t="inlineStr"/>
      <c r="B290" s="30" t="inlineStr"/>
      <c r="C290" s="30" t="inlineStr"/>
      <c r="D290" s="30" t="inlineStr"/>
      <c r="E290" s="30" t="inlineStr"/>
      <c r="F290" s="35" t="inlineStr"/>
      <c r="G290" s="34" t="inlineStr"/>
      <c r="H290" s="35" t="inlineStr"/>
      <c r="I290" s="30" t="inlineStr"/>
      <c r="J290" s="30" t="inlineStr"/>
      <c r="K290" s="15">
        <f>IF(A290="","",F290*G290*H290)</f>
        <v/>
      </c>
    </row>
    <row r="291">
      <c r="A291" s="30" t="inlineStr"/>
      <c r="B291" s="30" t="inlineStr"/>
      <c r="C291" s="30" t="inlineStr"/>
      <c r="D291" s="30" t="inlineStr"/>
      <c r="E291" s="30" t="inlineStr"/>
      <c r="F291" s="35" t="inlineStr"/>
      <c r="G291" s="34" t="inlineStr"/>
      <c r="H291" s="35" t="inlineStr"/>
      <c r="I291" s="30" t="inlineStr"/>
      <c r="J291" s="30" t="inlineStr"/>
      <c r="K291" s="15">
        <f>IF(A291="","",F291*G291*H291)</f>
        <v/>
      </c>
    </row>
    <row r="292">
      <c r="A292" s="30" t="inlineStr"/>
      <c r="B292" s="30" t="inlineStr"/>
      <c r="C292" s="30" t="inlineStr"/>
      <c r="D292" s="30" t="inlineStr"/>
      <c r="E292" s="30" t="inlineStr"/>
      <c r="F292" s="35" t="inlineStr"/>
      <c r="G292" s="34" t="inlineStr"/>
      <c r="H292" s="35" t="inlineStr"/>
      <c r="I292" s="30" t="inlineStr"/>
      <c r="J292" s="30" t="inlineStr"/>
      <c r="K292" s="15">
        <f>IF(A292="","",F292*G292*H292)</f>
        <v/>
      </c>
    </row>
    <row r="293">
      <c r="A293" s="30" t="inlineStr"/>
      <c r="B293" s="30" t="inlineStr"/>
      <c r="C293" s="30" t="inlineStr"/>
      <c r="D293" s="30" t="inlineStr"/>
      <c r="E293" s="30" t="inlineStr"/>
      <c r="F293" s="35" t="inlineStr"/>
      <c r="G293" s="34" t="inlineStr"/>
      <c r="H293" s="35" t="inlineStr"/>
      <c r="I293" s="30" t="inlineStr"/>
      <c r="J293" s="30" t="inlineStr"/>
      <c r="K293" s="15">
        <f>IF(A293="","",F293*G293*H293)</f>
        <v/>
      </c>
    </row>
    <row r="294">
      <c r="A294" s="30" t="inlineStr"/>
      <c r="B294" s="30" t="inlineStr"/>
      <c r="C294" s="30" t="inlineStr"/>
      <c r="D294" s="30" t="inlineStr"/>
      <c r="E294" s="30" t="inlineStr"/>
      <c r="F294" s="35" t="inlineStr"/>
      <c r="G294" s="34" t="inlineStr"/>
      <c r="H294" s="35" t="inlineStr"/>
      <c r="I294" s="30" t="inlineStr"/>
      <c r="J294" s="30" t="inlineStr"/>
      <c r="K294" s="15">
        <f>IF(A294="","",F294*G294*H294)</f>
        <v/>
      </c>
    </row>
    <row r="295">
      <c r="A295" s="30" t="inlineStr"/>
      <c r="B295" s="30" t="inlineStr"/>
      <c r="C295" s="30" t="inlineStr"/>
      <c r="D295" s="30" t="inlineStr"/>
      <c r="E295" s="30" t="inlineStr"/>
      <c r="F295" s="35" t="inlineStr"/>
      <c r="G295" s="34" t="inlineStr"/>
      <c r="H295" s="35" t="inlineStr"/>
      <c r="I295" s="30" t="inlineStr"/>
      <c r="J295" s="30" t="inlineStr"/>
      <c r="K295" s="15">
        <f>IF(A295="","",F295*G295*H295)</f>
        <v/>
      </c>
    </row>
    <row r="296">
      <c r="A296" s="30" t="inlineStr"/>
      <c r="B296" s="30" t="inlineStr"/>
      <c r="C296" s="30" t="inlineStr"/>
      <c r="D296" s="30" t="inlineStr"/>
      <c r="E296" s="30" t="inlineStr"/>
      <c r="F296" s="35" t="inlineStr"/>
      <c r="G296" s="34" t="inlineStr"/>
      <c r="H296" s="35" t="inlineStr"/>
      <c r="I296" s="30" t="inlineStr"/>
      <c r="J296" s="30" t="inlineStr"/>
      <c r="K296" s="15">
        <f>IF(A296="","",F296*G296*H296)</f>
        <v/>
      </c>
    </row>
    <row r="297">
      <c r="A297" s="30" t="inlineStr"/>
      <c r="B297" s="30" t="inlineStr"/>
      <c r="C297" s="30" t="inlineStr"/>
      <c r="D297" s="30" t="inlineStr"/>
      <c r="E297" s="30" t="inlineStr"/>
      <c r="F297" s="35" t="inlineStr"/>
      <c r="G297" s="34" t="inlineStr"/>
      <c r="H297" s="35" t="inlineStr"/>
      <c r="I297" s="30" t="inlineStr"/>
      <c r="J297" s="30" t="inlineStr"/>
      <c r="K297" s="15">
        <f>IF(A297="","",F297*G297*H297)</f>
        <v/>
      </c>
    </row>
    <row r="298">
      <c r="A298" s="30" t="inlineStr"/>
      <c r="B298" s="30" t="inlineStr"/>
      <c r="C298" s="30" t="inlineStr"/>
      <c r="D298" s="30" t="inlineStr"/>
      <c r="E298" s="30" t="inlineStr"/>
      <c r="F298" s="35" t="inlineStr"/>
      <c r="G298" s="34" t="inlineStr"/>
      <c r="H298" s="35" t="inlineStr"/>
      <c r="I298" s="30" t="inlineStr"/>
      <c r="J298" s="30" t="inlineStr"/>
      <c r="K298" s="15">
        <f>IF(A298="","",F298*G298*H298)</f>
        <v/>
      </c>
    </row>
    <row r="299">
      <c r="A299" s="30" t="inlineStr"/>
      <c r="B299" s="30" t="inlineStr"/>
      <c r="C299" s="30" t="inlineStr"/>
      <c r="D299" s="30" t="inlineStr"/>
      <c r="E299" s="30" t="inlineStr"/>
      <c r="F299" s="35" t="inlineStr"/>
      <c r="G299" s="34" t="inlineStr"/>
      <c r="H299" s="35" t="inlineStr"/>
      <c r="I299" s="30" t="inlineStr"/>
      <c r="J299" s="30" t="inlineStr"/>
      <c r="K299" s="15">
        <f>IF(A299="","",F299*G299*H299)</f>
        <v/>
      </c>
    </row>
    <row r="300">
      <c r="A300" s="30" t="inlineStr"/>
      <c r="B300" s="30" t="inlineStr"/>
      <c r="C300" s="30" t="inlineStr"/>
      <c r="D300" s="30" t="inlineStr"/>
      <c r="E300" s="30" t="inlineStr"/>
      <c r="F300" s="35" t="inlineStr"/>
      <c r="G300" s="34" t="inlineStr"/>
      <c r="H300" s="35" t="inlineStr"/>
      <c r="I300" s="30" t="inlineStr"/>
      <c r="J300" s="30" t="inlineStr"/>
      <c r="K300" s="15">
        <f>IF(A300="","",F300*G300*H300)</f>
        <v/>
      </c>
    </row>
    <row r="301">
      <c r="A301" s="30" t="inlineStr"/>
      <c r="B301" s="30" t="inlineStr"/>
      <c r="C301" s="30" t="inlineStr"/>
      <c r="D301" s="30" t="inlineStr"/>
      <c r="E301" s="30" t="inlineStr"/>
      <c r="F301" s="35" t="inlineStr"/>
      <c r="G301" s="34" t="inlineStr"/>
      <c r="H301" s="35" t="inlineStr"/>
      <c r="I301" s="30" t="inlineStr"/>
      <c r="J301" s="30" t="inlineStr"/>
      <c r="K301" s="15">
        <f>IF(A301="","",F301*G301*H301)</f>
        <v/>
      </c>
    </row>
    <row r="302">
      <c r="A302" s="30" t="inlineStr"/>
      <c r="B302" s="30" t="inlineStr"/>
      <c r="C302" s="30" t="inlineStr"/>
      <c r="D302" s="30" t="inlineStr"/>
      <c r="E302" s="30" t="inlineStr"/>
      <c r="F302" s="35" t="inlineStr"/>
      <c r="G302" s="34" t="inlineStr"/>
      <c r="H302" s="35" t="inlineStr"/>
      <c r="I302" s="30" t="inlineStr"/>
      <c r="J302" s="30" t="inlineStr"/>
      <c r="K302" s="15">
        <f>IF(A302="","",F302*G302*H302)</f>
        <v/>
      </c>
    </row>
    <row r="303">
      <c r="A303" s="30" t="inlineStr"/>
      <c r="B303" s="30" t="inlineStr"/>
      <c r="C303" s="30" t="inlineStr"/>
      <c r="D303" s="30" t="inlineStr"/>
      <c r="E303" s="30" t="inlineStr"/>
      <c r="F303" s="35" t="inlineStr"/>
      <c r="G303" s="34" t="inlineStr"/>
      <c r="H303" s="35" t="inlineStr"/>
      <c r="I303" s="30" t="inlineStr"/>
      <c r="J303" s="30" t="inlineStr"/>
      <c r="K303" s="15">
        <f>IF(A303="","",F303*G303*H303)</f>
        <v/>
      </c>
    </row>
    <row r="304">
      <c r="A304" s="30" t="inlineStr"/>
      <c r="B304" s="30" t="inlineStr"/>
      <c r="C304" s="30" t="inlineStr"/>
      <c r="D304" s="30" t="inlineStr"/>
      <c r="E304" s="30" t="inlineStr"/>
      <c r="F304" s="35" t="inlineStr"/>
      <c r="G304" s="34" t="inlineStr"/>
      <c r="H304" s="35" t="inlineStr"/>
      <c r="I304" s="30" t="inlineStr"/>
      <c r="J304" s="30" t="inlineStr"/>
      <c r="K304" s="15">
        <f>IF(A304="","",F304*G304*H304)</f>
        <v/>
      </c>
    </row>
    <row r="305">
      <c r="A305" s="30" t="inlineStr"/>
      <c r="B305" s="30" t="inlineStr"/>
      <c r="C305" s="30" t="inlineStr"/>
      <c r="D305" s="30" t="inlineStr"/>
      <c r="E305" s="30" t="inlineStr"/>
      <c r="F305" s="35" t="inlineStr"/>
      <c r="G305" s="34" t="inlineStr"/>
      <c r="H305" s="35" t="inlineStr"/>
      <c r="I305" s="30" t="inlineStr"/>
      <c r="J305" s="30" t="inlineStr"/>
      <c r="K305" s="15">
        <f>IF(A305="","",F305*G305*H305)</f>
        <v/>
      </c>
    </row>
    <row r="306">
      <c r="A306" s="30" t="inlineStr"/>
      <c r="B306" s="30" t="inlineStr"/>
      <c r="C306" s="30" t="inlineStr"/>
      <c r="D306" s="30" t="inlineStr"/>
      <c r="E306" s="30" t="inlineStr"/>
      <c r="F306" s="35" t="inlineStr"/>
      <c r="G306" s="34" t="inlineStr"/>
      <c r="H306" s="35" t="inlineStr"/>
      <c r="I306" s="30" t="inlineStr"/>
      <c r="J306" s="30" t="inlineStr"/>
      <c r="K306" s="15">
        <f>IF(A306="","",F306*G306*H306)</f>
        <v/>
      </c>
    </row>
    <row r="307">
      <c r="A307" s="30" t="inlineStr"/>
      <c r="B307" s="30" t="inlineStr"/>
      <c r="C307" s="30" t="inlineStr"/>
      <c r="D307" s="30" t="inlineStr"/>
      <c r="E307" s="30" t="inlineStr"/>
      <c r="F307" s="35" t="inlineStr"/>
      <c r="G307" s="34" t="inlineStr"/>
      <c r="H307" s="35" t="inlineStr"/>
      <c r="I307" s="30" t="inlineStr"/>
      <c r="J307" s="30" t="inlineStr"/>
      <c r="K307" s="15">
        <f>IF(A307="","",F307*G307*H307)</f>
        <v/>
      </c>
    </row>
    <row r="308">
      <c r="A308" s="30" t="inlineStr"/>
      <c r="B308" s="30" t="inlineStr"/>
      <c r="C308" s="30" t="inlineStr"/>
      <c r="D308" s="30" t="inlineStr"/>
      <c r="E308" s="30" t="inlineStr"/>
      <c r="F308" s="35" t="inlineStr"/>
      <c r="G308" s="34" t="inlineStr"/>
      <c r="H308" s="35" t="inlineStr"/>
      <c r="I308" s="30" t="inlineStr"/>
      <c r="J308" s="30" t="inlineStr"/>
      <c r="K308" s="15">
        <f>IF(A308="","",F308*G308*H308)</f>
        <v/>
      </c>
    </row>
    <row r="309">
      <c r="A309" s="30" t="inlineStr"/>
      <c r="B309" s="30" t="inlineStr"/>
      <c r="C309" s="30" t="inlineStr"/>
      <c r="D309" s="30" t="inlineStr"/>
      <c r="E309" s="30" t="inlineStr"/>
      <c r="F309" s="35" t="inlineStr"/>
      <c r="G309" s="34" t="inlineStr"/>
      <c r="H309" s="35" t="inlineStr"/>
      <c r="I309" s="30" t="inlineStr"/>
      <c r="J309" s="30" t="inlineStr"/>
      <c r="K309" s="15">
        <f>IF(A309="","",F309*G309*H309)</f>
        <v/>
      </c>
    </row>
    <row r="310">
      <c r="A310" s="30" t="inlineStr"/>
      <c r="B310" s="30" t="inlineStr"/>
      <c r="C310" s="30" t="inlineStr"/>
      <c r="D310" s="30" t="inlineStr"/>
      <c r="E310" s="30" t="inlineStr"/>
      <c r="F310" s="35" t="inlineStr"/>
      <c r="G310" s="34" t="inlineStr"/>
      <c r="H310" s="35" t="inlineStr"/>
      <c r="I310" s="30" t="inlineStr"/>
      <c r="J310" s="30" t="inlineStr"/>
      <c r="K310" s="15">
        <f>IF(A310="","",F310*G310*H310)</f>
        <v/>
      </c>
    </row>
    <row r="311">
      <c r="A311" s="30" t="inlineStr"/>
      <c r="B311" s="30" t="inlineStr"/>
      <c r="C311" s="30" t="inlineStr"/>
      <c r="D311" s="30" t="inlineStr"/>
      <c r="E311" s="30" t="inlineStr"/>
      <c r="F311" s="35" t="inlineStr"/>
      <c r="G311" s="34" t="inlineStr"/>
      <c r="H311" s="35" t="inlineStr"/>
      <c r="I311" s="30" t="inlineStr"/>
      <c r="J311" s="30" t="inlineStr"/>
      <c r="K311" s="15">
        <f>IF(A311="","",F311*G311*H311)</f>
        <v/>
      </c>
    </row>
    <row r="312">
      <c r="A312" s="30" t="inlineStr"/>
      <c r="B312" s="30" t="inlineStr"/>
      <c r="C312" s="30" t="inlineStr"/>
      <c r="D312" s="30" t="inlineStr"/>
      <c r="E312" s="30" t="inlineStr"/>
      <c r="F312" s="35" t="inlineStr"/>
      <c r="G312" s="34" t="inlineStr"/>
      <c r="H312" s="35" t="inlineStr"/>
      <c r="I312" s="30" t="inlineStr"/>
      <c r="J312" s="30" t="inlineStr"/>
      <c r="K312" s="15">
        <f>IF(A312="","",F312*G312*H312)</f>
        <v/>
      </c>
    </row>
    <row r="313">
      <c r="A313" s="30" t="inlineStr"/>
      <c r="B313" s="30" t="inlineStr"/>
      <c r="C313" s="30" t="inlineStr"/>
      <c r="D313" s="30" t="inlineStr"/>
      <c r="E313" s="30" t="inlineStr"/>
      <c r="F313" s="35" t="inlineStr"/>
      <c r="G313" s="34" t="inlineStr"/>
      <c r="H313" s="35" t="inlineStr"/>
      <c r="I313" s="30" t="inlineStr"/>
      <c r="J313" s="30" t="inlineStr"/>
      <c r="K313" s="15">
        <f>IF(A313="","",F313*G313*H313)</f>
        <v/>
      </c>
    </row>
    <row r="314">
      <c r="A314" s="30" t="inlineStr"/>
      <c r="B314" s="30" t="inlineStr"/>
      <c r="C314" s="30" t="inlineStr"/>
      <c r="D314" s="30" t="inlineStr"/>
      <c r="E314" s="30" t="inlineStr"/>
      <c r="F314" s="35" t="inlineStr"/>
      <c r="G314" s="34" t="inlineStr"/>
      <c r="H314" s="35" t="inlineStr"/>
      <c r="I314" s="30" t="inlineStr"/>
      <c r="J314" s="30" t="inlineStr"/>
      <c r="K314" s="15">
        <f>IF(A314="","",F314*G314*H314)</f>
        <v/>
      </c>
    </row>
    <row r="315">
      <c r="A315" s="30" t="inlineStr"/>
      <c r="B315" s="30" t="inlineStr"/>
      <c r="C315" s="30" t="inlineStr"/>
      <c r="D315" s="30" t="inlineStr"/>
      <c r="E315" s="30" t="inlineStr"/>
      <c r="F315" s="35" t="inlineStr"/>
      <c r="G315" s="34" t="inlineStr"/>
      <c r="H315" s="35" t="inlineStr"/>
      <c r="I315" s="30" t="inlineStr"/>
      <c r="J315" s="30" t="inlineStr"/>
      <c r="K315" s="15">
        <f>IF(A315="","",F315*G315*H315)</f>
        <v/>
      </c>
    </row>
    <row r="316">
      <c r="A316" s="30" t="inlineStr"/>
      <c r="B316" s="30" t="inlineStr"/>
      <c r="C316" s="30" t="inlineStr"/>
      <c r="D316" s="30" t="inlineStr"/>
      <c r="E316" s="30" t="inlineStr"/>
      <c r="F316" s="35" t="inlineStr"/>
      <c r="G316" s="34" t="inlineStr"/>
      <c r="H316" s="35" t="inlineStr"/>
      <c r="I316" s="30" t="inlineStr"/>
      <c r="J316" s="30" t="inlineStr"/>
      <c r="K316" s="15">
        <f>IF(A316="","",F316*G316*H316)</f>
        <v/>
      </c>
    </row>
    <row r="317">
      <c r="A317" s="30" t="inlineStr"/>
      <c r="B317" s="30" t="inlineStr"/>
      <c r="C317" s="30" t="inlineStr"/>
      <c r="D317" s="30" t="inlineStr"/>
      <c r="E317" s="30" t="inlineStr"/>
      <c r="F317" s="35" t="inlineStr"/>
      <c r="G317" s="34" t="inlineStr"/>
      <c r="H317" s="35" t="inlineStr"/>
      <c r="I317" s="30" t="inlineStr"/>
      <c r="J317" s="30" t="inlineStr"/>
      <c r="K317" s="15">
        <f>IF(A317="","",F317*G317*H317)</f>
        <v/>
      </c>
    </row>
    <row r="318">
      <c r="A318" s="30" t="inlineStr"/>
      <c r="B318" s="30" t="inlineStr"/>
      <c r="C318" s="30" t="inlineStr"/>
      <c r="D318" s="30" t="inlineStr"/>
      <c r="E318" s="30" t="inlineStr"/>
      <c r="F318" s="35" t="inlineStr"/>
      <c r="G318" s="34" t="inlineStr"/>
      <c r="H318" s="35" t="inlineStr"/>
      <c r="I318" s="30" t="inlineStr"/>
      <c r="J318" s="30" t="inlineStr"/>
      <c r="K318" s="15">
        <f>IF(A318="","",F318*G318*H318)</f>
        <v/>
      </c>
    </row>
    <row r="319">
      <c r="A319" s="30" t="inlineStr"/>
      <c r="B319" s="30" t="inlineStr"/>
      <c r="C319" s="30" t="inlineStr"/>
      <c r="D319" s="30" t="inlineStr"/>
      <c r="E319" s="30" t="inlineStr"/>
      <c r="F319" s="35" t="inlineStr"/>
      <c r="G319" s="34" t="inlineStr"/>
      <c r="H319" s="35" t="inlineStr"/>
      <c r="I319" s="30" t="inlineStr"/>
      <c r="J319" s="30" t="inlineStr"/>
      <c r="K319" s="15">
        <f>IF(A319="","",F319*G319*H319)</f>
        <v/>
      </c>
    </row>
    <row r="320">
      <c r="A320" s="30" t="inlineStr"/>
      <c r="B320" s="30" t="inlineStr"/>
      <c r="C320" s="30" t="inlineStr"/>
      <c r="D320" s="30" t="inlineStr"/>
      <c r="E320" s="30" t="inlineStr"/>
      <c r="F320" s="35" t="inlineStr"/>
      <c r="G320" s="34" t="inlineStr"/>
      <c r="H320" s="35" t="inlineStr"/>
      <c r="I320" s="30" t="inlineStr"/>
      <c r="J320" s="30" t="inlineStr"/>
      <c r="K320" s="15">
        <f>IF(A320="","",F320*G320*H320)</f>
        <v/>
      </c>
    </row>
    <row r="321">
      <c r="A321" s="30" t="inlineStr"/>
      <c r="B321" s="30" t="inlineStr"/>
      <c r="C321" s="30" t="inlineStr"/>
      <c r="D321" s="30" t="inlineStr"/>
      <c r="E321" s="30" t="inlineStr"/>
      <c r="F321" s="35" t="inlineStr"/>
      <c r="G321" s="34" t="inlineStr"/>
      <c r="H321" s="35" t="inlineStr"/>
      <c r="I321" s="30" t="inlineStr"/>
      <c r="J321" s="30" t="inlineStr"/>
      <c r="K321" s="15">
        <f>IF(A321="","",F321*G321*H321)</f>
        <v/>
      </c>
    </row>
    <row r="322">
      <c r="A322" s="30" t="inlineStr"/>
      <c r="B322" s="30" t="inlineStr"/>
      <c r="C322" s="30" t="inlineStr"/>
      <c r="D322" s="30" t="inlineStr"/>
      <c r="E322" s="30" t="inlineStr"/>
      <c r="F322" s="35" t="inlineStr"/>
      <c r="G322" s="34" t="inlineStr"/>
      <c r="H322" s="35" t="inlineStr"/>
      <c r="I322" s="30" t="inlineStr"/>
      <c r="J322" s="30" t="inlineStr"/>
      <c r="K322" s="15">
        <f>IF(A322="","",F322*G322*H322)</f>
        <v/>
      </c>
    </row>
    <row r="323">
      <c r="A323" s="30" t="inlineStr"/>
      <c r="B323" s="30" t="inlineStr"/>
      <c r="C323" s="30" t="inlineStr"/>
      <c r="D323" s="30" t="inlineStr"/>
      <c r="E323" s="30" t="inlineStr"/>
      <c r="F323" s="35" t="inlineStr"/>
      <c r="G323" s="34" t="inlineStr"/>
      <c r="H323" s="35" t="inlineStr"/>
      <c r="I323" s="30" t="inlineStr"/>
      <c r="J323" s="30" t="inlineStr"/>
      <c r="K323" s="15">
        <f>IF(A323="","",F323*G323*H323)</f>
        <v/>
      </c>
    </row>
    <row r="324">
      <c r="A324" s="30" t="inlineStr"/>
      <c r="B324" s="30" t="inlineStr"/>
      <c r="C324" s="30" t="inlineStr"/>
      <c r="D324" s="30" t="inlineStr"/>
      <c r="E324" s="30" t="inlineStr"/>
      <c r="F324" s="35" t="inlineStr"/>
      <c r="G324" s="34" t="inlineStr"/>
      <c r="H324" s="35" t="inlineStr"/>
      <c r="I324" s="30" t="inlineStr"/>
      <c r="J324" s="30" t="inlineStr"/>
      <c r="K324" s="15">
        <f>IF(A324="","",F324*G324*H324)</f>
        <v/>
      </c>
    </row>
    <row r="325">
      <c r="A325" s="30" t="inlineStr"/>
      <c r="B325" s="30" t="inlineStr"/>
      <c r="C325" s="30" t="inlineStr"/>
      <c r="D325" s="30" t="inlineStr"/>
      <c r="E325" s="30" t="inlineStr"/>
      <c r="F325" s="35" t="inlineStr"/>
      <c r="G325" s="34" t="inlineStr"/>
      <c r="H325" s="35" t="inlineStr"/>
      <c r="I325" s="30" t="inlineStr"/>
      <c r="J325" s="30" t="inlineStr"/>
      <c r="K325" s="15">
        <f>IF(A325="","",F325*G325*H325)</f>
        <v/>
      </c>
    </row>
    <row r="326">
      <c r="A326" s="30" t="inlineStr"/>
      <c r="B326" s="30" t="inlineStr"/>
      <c r="C326" s="30" t="inlineStr"/>
      <c r="D326" s="30" t="inlineStr"/>
      <c r="E326" s="30" t="inlineStr"/>
      <c r="F326" s="35" t="inlineStr"/>
      <c r="G326" s="34" t="inlineStr"/>
      <c r="H326" s="35" t="inlineStr"/>
      <c r="I326" s="30" t="inlineStr"/>
      <c r="J326" s="30" t="inlineStr"/>
      <c r="K326" s="15">
        <f>IF(A326="","",F326*G326*H326)</f>
        <v/>
      </c>
    </row>
    <row r="327">
      <c r="A327" s="30" t="inlineStr"/>
      <c r="B327" s="30" t="inlineStr"/>
      <c r="C327" s="30" t="inlineStr"/>
      <c r="D327" s="30" t="inlineStr"/>
      <c r="E327" s="30" t="inlineStr"/>
      <c r="F327" s="35" t="inlineStr"/>
      <c r="G327" s="34" t="inlineStr"/>
      <c r="H327" s="35" t="inlineStr"/>
      <c r="I327" s="30" t="inlineStr"/>
      <c r="J327" s="30" t="inlineStr"/>
      <c r="K327" s="15">
        <f>IF(A327="","",F327*G327*H327)</f>
        <v/>
      </c>
    </row>
    <row r="328">
      <c r="A328" s="30" t="inlineStr"/>
      <c r="B328" s="30" t="inlineStr"/>
      <c r="C328" s="30" t="inlineStr"/>
      <c r="D328" s="30" t="inlineStr"/>
      <c r="E328" s="30" t="inlineStr"/>
      <c r="F328" s="35" t="inlineStr"/>
      <c r="G328" s="34" t="inlineStr"/>
      <c r="H328" s="35" t="inlineStr"/>
      <c r="I328" s="30" t="inlineStr"/>
      <c r="J328" s="30" t="inlineStr"/>
      <c r="K328" s="15">
        <f>IF(A328="","",F328*G328*H328)</f>
        <v/>
      </c>
    </row>
    <row r="329">
      <c r="A329" s="30" t="inlineStr"/>
      <c r="B329" s="30" t="inlineStr"/>
      <c r="C329" s="30" t="inlineStr"/>
      <c r="D329" s="30" t="inlineStr"/>
      <c r="E329" s="30" t="inlineStr"/>
      <c r="F329" s="35" t="inlineStr"/>
      <c r="G329" s="34" t="inlineStr"/>
      <c r="H329" s="35" t="inlineStr"/>
      <c r="I329" s="30" t="inlineStr"/>
      <c r="J329" s="30" t="inlineStr"/>
      <c r="K329" s="15">
        <f>IF(A329="","",F329*G329*H329)</f>
        <v/>
      </c>
    </row>
    <row r="330">
      <c r="A330" s="30" t="inlineStr"/>
      <c r="B330" s="30" t="inlineStr"/>
      <c r="C330" s="30" t="inlineStr"/>
      <c r="D330" s="30" t="inlineStr"/>
      <c r="E330" s="30" t="inlineStr"/>
      <c r="F330" s="35" t="inlineStr"/>
      <c r="G330" s="34" t="inlineStr"/>
      <c r="H330" s="35" t="inlineStr"/>
      <c r="I330" s="30" t="inlineStr"/>
      <c r="J330" s="30" t="inlineStr"/>
      <c r="K330" s="15">
        <f>IF(A330="","",F330*G330*H330)</f>
        <v/>
      </c>
    </row>
    <row r="331">
      <c r="A331" s="30" t="inlineStr"/>
      <c r="B331" s="30" t="inlineStr"/>
      <c r="C331" s="30" t="inlineStr"/>
      <c r="D331" s="30" t="inlineStr"/>
      <c r="E331" s="30" t="inlineStr"/>
      <c r="F331" s="35" t="inlineStr"/>
      <c r="G331" s="34" t="inlineStr"/>
      <c r="H331" s="35" t="inlineStr"/>
      <c r="I331" s="30" t="inlineStr"/>
      <c r="J331" s="30" t="inlineStr"/>
      <c r="K331" s="15">
        <f>IF(A331="","",F331*G331*H331)</f>
        <v/>
      </c>
    </row>
    <row r="332">
      <c r="A332" s="30" t="inlineStr"/>
      <c r="B332" s="30" t="inlineStr"/>
      <c r="C332" s="30" t="inlineStr"/>
      <c r="D332" s="30" t="inlineStr"/>
      <c r="E332" s="30" t="inlineStr"/>
      <c r="F332" s="35" t="inlineStr"/>
      <c r="G332" s="34" t="inlineStr"/>
      <c r="H332" s="35" t="inlineStr"/>
      <c r="I332" s="30" t="inlineStr"/>
      <c r="J332" s="30" t="inlineStr"/>
      <c r="K332" s="15">
        <f>IF(A332="","",F332*G332*H332)</f>
        <v/>
      </c>
    </row>
    <row r="333">
      <c r="A333" s="30" t="inlineStr"/>
      <c r="B333" s="30" t="inlineStr"/>
      <c r="C333" s="30" t="inlineStr"/>
      <c r="D333" s="30" t="inlineStr"/>
      <c r="E333" s="30" t="inlineStr"/>
      <c r="F333" s="35" t="inlineStr"/>
      <c r="G333" s="34" t="inlineStr"/>
      <c r="H333" s="35" t="inlineStr"/>
      <c r="I333" s="30" t="inlineStr"/>
      <c r="J333" s="30" t="inlineStr"/>
      <c r="K333" s="15">
        <f>IF(A333="","",F333*G333*H333)</f>
        <v/>
      </c>
    </row>
    <row r="334">
      <c r="A334" s="30" t="inlineStr"/>
      <c r="B334" s="30" t="inlineStr"/>
      <c r="C334" s="30" t="inlineStr"/>
      <c r="D334" s="30" t="inlineStr"/>
      <c r="E334" s="30" t="inlineStr"/>
      <c r="F334" s="35" t="inlineStr"/>
      <c r="G334" s="34" t="inlineStr"/>
      <c r="H334" s="35" t="inlineStr"/>
      <c r="I334" s="30" t="inlineStr"/>
      <c r="J334" s="30" t="inlineStr"/>
      <c r="K334" s="15">
        <f>IF(A334="","",F334*G334*H334)</f>
        <v/>
      </c>
    </row>
    <row r="335">
      <c r="A335" s="30" t="inlineStr"/>
      <c r="B335" s="30" t="inlineStr"/>
      <c r="C335" s="30" t="inlineStr"/>
      <c r="D335" s="30" t="inlineStr"/>
      <c r="E335" s="30" t="inlineStr"/>
      <c r="F335" s="35" t="inlineStr"/>
      <c r="G335" s="34" t="inlineStr"/>
      <c r="H335" s="35" t="inlineStr"/>
      <c r="I335" s="30" t="inlineStr"/>
      <c r="J335" s="30" t="inlineStr"/>
      <c r="K335" s="15">
        <f>IF(A335="","",F335*G335*H335)</f>
        <v/>
      </c>
    </row>
    <row r="336">
      <c r="A336" s="30" t="inlineStr"/>
      <c r="B336" s="30" t="inlineStr"/>
      <c r="C336" s="30" t="inlineStr"/>
      <c r="D336" s="30" t="inlineStr"/>
      <c r="E336" s="30" t="inlineStr"/>
      <c r="F336" s="35" t="inlineStr"/>
      <c r="G336" s="34" t="inlineStr"/>
      <c r="H336" s="35" t="inlineStr"/>
      <c r="I336" s="30" t="inlineStr"/>
      <c r="J336" s="30" t="inlineStr"/>
      <c r="K336" s="15">
        <f>IF(A336="","",F336*G336*H336)</f>
        <v/>
      </c>
    </row>
    <row r="337">
      <c r="A337" s="30" t="inlineStr"/>
      <c r="B337" s="30" t="inlineStr"/>
      <c r="C337" s="30" t="inlineStr"/>
      <c r="D337" s="30" t="inlineStr"/>
      <c r="E337" s="30" t="inlineStr"/>
      <c r="F337" s="35" t="inlineStr"/>
      <c r="G337" s="34" t="inlineStr"/>
      <c r="H337" s="35" t="inlineStr"/>
      <c r="I337" s="30" t="inlineStr"/>
      <c r="J337" s="30" t="inlineStr"/>
      <c r="K337" s="15">
        <f>IF(A337="","",F337*G337*H337)</f>
        <v/>
      </c>
    </row>
    <row r="338">
      <c r="A338" s="30" t="inlineStr"/>
      <c r="B338" s="30" t="inlineStr"/>
      <c r="C338" s="30" t="inlineStr"/>
      <c r="D338" s="30" t="inlineStr"/>
      <c r="E338" s="30" t="inlineStr"/>
      <c r="F338" s="35" t="inlineStr"/>
      <c r="G338" s="34" t="inlineStr"/>
      <c r="H338" s="35" t="inlineStr"/>
      <c r="I338" s="30" t="inlineStr"/>
      <c r="J338" s="30" t="inlineStr"/>
      <c r="K338" s="15">
        <f>IF(A338="","",F338*G338*H338)</f>
        <v/>
      </c>
    </row>
    <row r="339">
      <c r="A339" s="30" t="inlineStr"/>
      <c r="B339" s="30" t="inlineStr"/>
      <c r="C339" s="30" t="inlineStr"/>
      <c r="D339" s="30" t="inlineStr"/>
      <c r="E339" s="30" t="inlineStr"/>
      <c r="F339" s="35" t="inlineStr"/>
      <c r="G339" s="34" t="inlineStr"/>
      <c r="H339" s="35" t="inlineStr"/>
      <c r="I339" s="30" t="inlineStr"/>
      <c r="J339" s="30" t="inlineStr"/>
      <c r="K339" s="15">
        <f>IF(A339="","",F339*G339*H339)</f>
        <v/>
      </c>
    </row>
    <row r="340">
      <c r="A340" s="30" t="inlineStr"/>
      <c r="B340" s="30" t="inlineStr"/>
      <c r="C340" s="30" t="inlineStr"/>
      <c r="D340" s="30" t="inlineStr"/>
      <c r="E340" s="30" t="inlineStr"/>
      <c r="F340" s="35" t="inlineStr"/>
      <c r="G340" s="34" t="inlineStr"/>
      <c r="H340" s="35" t="inlineStr"/>
      <c r="I340" s="30" t="inlineStr"/>
      <c r="J340" s="30" t="inlineStr"/>
      <c r="K340" s="15">
        <f>IF(A340="","",F340*G340*H340)</f>
        <v/>
      </c>
    </row>
    <row r="341">
      <c r="A341" s="30" t="inlineStr"/>
      <c r="B341" s="30" t="inlineStr"/>
      <c r="C341" s="30" t="inlineStr"/>
      <c r="D341" s="30" t="inlineStr"/>
      <c r="E341" s="30" t="inlineStr"/>
      <c r="F341" s="35" t="inlineStr"/>
      <c r="G341" s="34" t="inlineStr"/>
      <c r="H341" s="35" t="inlineStr"/>
      <c r="I341" s="30" t="inlineStr"/>
      <c r="J341" s="30" t="inlineStr"/>
      <c r="K341" s="15">
        <f>IF(A341="","",F341*G341*H341)</f>
        <v/>
      </c>
    </row>
    <row r="342">
      <c r="A342" s="30" t="inlineStr"/>
      <c r="B342" s="30" t="inlineStr"/>
      <c r="C342" s="30" t="inlineStr"/>
      <c r="D342" s="30" t="inlineStr"/>
      <c r="E342" s="30" t="inlineStr"/>
      <c r="F342" s="35" t="inlineStr"/>
      <c r="G342" s="34" t="inlineStr"/>
      <c r="H342" s="35" t="inlineStr"/>
      <c r="I342" s="30" t="inlineStr"/>
      <c r="J342" s="30" t="inlineStr"/>
      <c r="K342" s="15">
        <f>IF(A342="","",F342*G342*H342)</f>
        <v/>
      </c>
    </row>
    <row r="343">
      <c r="A343" s="30" t="inlineStr"/>
      <c r="B343" s="30" t="inlineStr"/>
      <c r="C343" s="30" t="inlineStr"/>
      <c r="D343" s="30" t="inlineStr"/>
      <c r="E343" s="30" t="inlineStr"/>
      <c r="F343" s="35" t="inlineStr"/>
      <c r="G343" s="34" t="inlineStr"/>
      <c r="H343" s="35" t="inlineStr"/>
      <c r="I343" s="30" t="inlineStr"/>
      <c r="J343" s="30" t="inlineStr"/>
      <c r="K343" s="15">
        <f>IF(A343="","",F343*G343*H343)</f>
        <v/>
      </c>
    </row>
    <row r="344">
      <c r="A344" s="30" t="inlineStr"/>
      <c r="B344" s="30" t="inlineStr"/>
      <c r="C344" s="30" t="inlineStr"/>
      <c r="D344" s="30" t="inlineStr"/>
      <c r="E344" s="30" t="inlineStr"/>
      <c r="F344" s="35" t="inlineStr"/>
      <c r="G344" s="34" t="inlineStr"/>
      <c r="H344" s="35" t="inlineStr"/>
      <c r="I344" s="30" t="inlineStr"/>
      <c r="J344" s="30" t="inlineStr"/>
      <c r="K344" s="15">
        <f>IF(A344="","",F344*G344*H344)</f>
        <v/>
      </c>
    </row>
    <row r="345">
      <c r="A345" s="30" t="inlineStr"/>
      <c r="B345" s="30" t="inlineStr"/>
      <c r="C345" s="30" t="inlineStr"/>
      <c r="D345" s="30" t="inlineStr"/>
      <c r="E345" s="30" t="inlineStr"/>
      <c r="F345" s="35" t="inlineStr"/>
      <c r="G345" s="34" t="inlineStr"/>
      <c r="H345" s="35" t="inlineStr"/>
      <c r="I345" s="30" t="inlineStr"/>
      <c r="J345" s="30" t="inlineStr"/>
      <c r="K345" s="15">
        <f>IF(A345="","",F345*G345*H345)</f>
        <v/>
      </c>
    </row>
    <row r="346">
      <c r="A346" s="30" t="inlineStr"/>
      <c r="B346" s="30" t="inlineStr"/>
      <c r="C346" s="30" t="inlineStr"/>
      <c r="D346" s="30" t="inlineStr"/>
      <c r="E346" s="30" t="inlineStr"/>
      <c r="F346" s="35" t="inlineStr"/>
      <c r="G346" s="34" t="inlineStr"/>
      <c r="H346" s="35" t="inlineStr"/>
      <c r="I346" s="30" t="inlineStr"/>
      <c r="J346" s="30" t="inlineStr"/>
      <c r="K346" s="15">
        <f>IF(A346="","",F346*G346*H346)</f>
        <v/>
      </c>
    </row>
    <row r="347">
      <c r="A347" s="30" t="inlineStr"/>
      <c r="B347" s="30" t="inlineStr"/>
      <c r="C347" s="30" t="inlineStr"/>
      <c r="D347" s="30" t="inlineStr"/>
      <c r="E347" s="30" t="inlineStr"/>
      <c r="F347" s="35" t="inlineStr"/>
      <c r="G347" s="34" t="inlineStr"/>
      <c r="H347" s="35" t="inlineStr"/>
      <c r="I347" s="30" t="inlineStr"/>
      <c r="J347" s="30" t="inlineStr"/>
      <c r="K347" s="15">
        <f>IF(A347="","",F347*G347*H347)</f>
        <v/>
      </c>
    </row>
    <row r="348">
      <c r="A348" s="30" t="inlineStr"/>
      <c r="B348" s="30" t="inlineStr"/>
      <c r="C348" s="30" t="inlineStr"/>
      <c r="D348" s="30" t="inlineStr"/>
      <c r="E348" s="30" t="inlineStr"/>
      <c r="F348" s="35" t="inlineStr"/>
      <c r="G348" s="34" t="inlineStr"/>
      <c r="H348" s="35" t="inlineStr"/>
      <c r="I348" s="30" t="inlineStr"/>
      <c r="J348" s="30" t="inlineStr"/>
      <c r="K348" s="15">
        <f>IF(A348="","",F348*G348*H348)</f>
        <v/>
      </c>
    </row>
    <row r="349">
      <c r="A349" s="30" t="inlineStr"/>
      <c r="B349" s="30" t="inlineStr"/>
      <c r="C349" s="30" t="inlineStr"/>
      <c r="D349" s="30" t="inlineStr"/>
      <c r="E349" s="30" t="inlineStr"/>
      <c r="F349" s="35" t="inlineStr"/>
      <c r="G349" s="34" t="inlineStr"/>
      <c r="H349" s="35" t="inlineStr"/>
      <c r="I349" s="30" t="inlineStr"/>
      <c r="J349" s="30" t="inlineStr"/>
      <c r="K349" s="15">
        <f>IF(A349="","",F349*G349*H349)</f>
        <v/>
      </c>
    </row>
    <row r="350">
      <c r="A350" s="30" t="inlineStr"/>
      <c r="B350" s="30" t="inlineStr"/>
      <c r="C350" s="30" t="inlineStr"/>
      <c r="D350" s="30" t="inlineStr"/>
      <c r="E350" s="30" t="inlineStr"/>
      <c r="F350" s="35" t="inlineStr"/>
      <c r="G350" s="34" t="inlineStr"/>
      <c r="H350" s="35" t="inlineStr"/>
      <c r="I350" s="30" t="inlineStr"/>
      <c r="J350" s="30" t="inlineStr"/>
      <c r="K350" s="15">
        <f>IF(A350="","",F350*G350*H350)</f>
        <v/>
      </c>
    </row>
    <row r="351">
      <c r="A351" s="30" t="inlineStr"/>
      <c r="B351" s="30" t="inlineStr"/>
      <c r="C351" s="30" t="inlineStr"/>
      <c r="D351" s="30" t="inlineStr"/>
      <c r="E351" s="30" t="inlineStr"/>
      <c r="F351" s="35" t="inlineStr"/>
      <c r="G351" s="34" t="inlineStr"/>
      <c r="H351" s="35" t="inlineStr"/>
      <c r="I351" s="30" t="inlineStr"/>
      <c r="J351" s="30" t="inlineStr"/>
      <c r="K351" s="15">
        <f>IF(A351="","",F351*G351*H351)</f>
        <v/>
      </c>
    </row>
    <row r="352">
      <c r="A352" s="30" t="inlineStr"/>
      <c r="B352" s="30" t="inlineStr"/>
      <c r="C352" s="30" t="inlineStr"/>
      <c r="D352" s="30" t="inlineStr"/>
      <c r="E352" s="30" t="inlineStr"/>
      <c r="F352" s="35" t="inlineStr"/>
      <c r="G352" s="34" t="inlineStr"/>
      <c r="H352" s="35" t="inlineStr"/>
      <c r="I352" s="30" t="inlineStr"/>
      <c r="J352" s="30" t="inlineStr"/>
      <c r="K352" s="15">
        <f>IF(A352="","",F352*G352*H352)</f>
        <v/>
      </c>
    </row>
    <row r="353">
      <c r="A353" s="30" t="inlineStr"/>
      <c r="B353" s="30" t="inlineStr"/>
      <c r="C353" s="30" t="inlineStr"/>
      <c r="D353" s="30" t="inlineStr"/>
      <c r="E353" s="30" t="inlineStr"/>
      <c r="F353" s="35" t="inlineStr"/>
      <c r="G353" s="34" t="inlineStr"/>
      <c r="H353" s="35" t="inlineStr"/>
      <c r="I353" s="30" t="inlineStr"/>
      <c r="J353" s="30" t="inlineStr"/>
      <c r="K353" s="15">
        <f>IF(A353="","",F353*G353*H353)</f>
        <v/>
      </c>
    </row>
    <row r="354">
      <c r="A354" s="30" t="inlineStr"/>
      <c r="B354" s="30" t="inlineStr"/>
      <c r="C354" s="30" t="inlineStr"/>
      <c r="D354" s="30" t="inlineStr"/>
      <c r="E354" s="30" t="inlineStr"/>
      <c r="F354" s="35" t="inlineStr"/>
      <c r="G354" s="34" t="inlineStr"/>
      <c r="H354" s="35" t="inlineStr"/>
      <c r="I354" s="30" t="inlineStr"/>
      <c r="J354" s="30" t="inlineStr"/>
      <c r="K354" s="15">
        <f>IF(A354="","",F354*G354*H354)</f>
        <v/>
      </c>
    </row>
    <row r="355">
      <c r="A355" s="30" t="inlineStr"/>
      <c r="B355" s="30" t="inlineStr"/>
      <c r="C355" s="30" t="inlineStr"/>
      <c r="D355" s="30" t="inlineStr"/>
      <c r="E355" s="30" t="inlineStr"/>
      <c r="F355" s="35" t="inlineStr"/>
      <c r="G355" s="34" t="inlineStr"/>
      <c r="H355" s="35" t="inlineStr"/>
      <c r="I355" s="30" t="inlineStr"/>
      <c r="J355" s="30" t="inlineStr"/>
      <c r="K355" s="15">
        <f>IF(A355="","",F355*G355*H355)</f>
        <v/>
      </c>
    </row>
    <row r="356">
      <c r="A356" s="30" t="inlineStr"/>
      <c r="B356" s="30" t="inlineStr"/>
      <c r="C356" s="30" t="inlineStr"/>
      <c r="D356" s="30" t="inlineStr"/>
      <c r="E356" s="30" t="inlineStr"/>
      <c r="F356" s="35" t="inlineStr"/>
      <c r="G356" s="34" t="inlineStr"/>
      <c r="H356" s="35" t="inlineStr"/>
      <c r="I356" s="30" t="inlineStr"/>
      <c r="J356" s="30" t="inlineStr"/>
      <c r="K356" s="15">
        <f>IF(A356="","",F356*G356*H356)</f>
        <v/>
      </c>
    </row>
    <row r="357">
      <c r="A357" s="30" t="inlineStr"/>
      <c r="B357" s="30" t="inlineStr"/>
      <c r="C357" s="30" t="inlineStr"/>
      <c r="D357" s="30" t="inlineStr"/>
      <c r="E357" s="30" t="inlineStr"/>
      <c r="F357" s="35" t="inlineStr"/>
      <c r="G357" s="34" t="inlineStr"/>
      <c r="H357" s="35" t="inlineStr"/>
      <c r="I357" s="30" t="inlineStr"/>
      <c r="J357" s="30" t="inlineStr"/>
      <c r="K357" s="15">
        <f>IF(A357="","",F357*G357*H357)</f>
        <v/>
      </c>
    </row>
    <row r="358">
      <c r="A358" s="30" t="inlineStr"/>
      <c r="B358" s="30" t="inlineStr"/>
      <c r="C358" s="30" t="inlineStr"/>
      <c r="D358" s="30" t="inlineStr"/>
      <c r="E358" s="30" t="inlineStr"/>
      <c r="F358" s="35" t="inlineStr"/>
      <c r="G358" s="34" t="inlineStr"/>
      <c r="H358" s="35" t="inlineStr"/>
      <c r="I358" s="30" t="inlineStr"/>
      <c r="J358" s="30" t="inlineStr"/>
      <c r="K358" s="15">
        <f>IF(A358="","",F358*G358*H358)</f>
        <v/>
      </c>
    </row>
    <row r="359">
      <c r="A359" s="30" t="inlineStr"/>
      <c r="B359" s="30" t="inlineStr"/>
      <c r="C359" s="30" t="inlineStr"/>
      <c r="D359" s="30" t="inlineStr"/>
      <c r="E359" s="30" t="inlineStr"/>
      <c r="F359" s="35" t="inlineStr"/>
      <c r="G359" s="34" t="inlineStr"/>
      <c r="H359" s="35" t="inlineStr"/>
      <c r="I359" s="30" t="inlineStr"/>
      <c r="J359" s="30" t="inlineStr"/>
      <c r="K359" s="15">
        <f>IF(A359="","",F359*G359*H359)</f>
        <v/>
      </c>
    </row>
    <row r="360">
      <c r="A360" s="30" t="inlineStr"/>
      <c r="B360" s="30" t="inlineStr"/>
      <c r="C360" s="30" t="inlineStr"/>
      <c r="D360" s="30" t="inlineStr"/>
      <c r="E360" s="30" t="inlineStr"/>
      <c r="F360" s="35" t="inlineStr"/>
      <c r="G360" s="34" t="inlineStr"/>
      <c r="H360" s="35" t="inlineStr"/>
      <c r="I360" s="30" t="inlineStr"/>
      <c r="J360" s="30" t="inlineStr"/>
      <c r="K360" s="15">
        <f>IF(A360="","",F360*G360*H360)</f>
        <v/>
      </c>
    </row>
    <row r="361">
      <c r="A361" s="30" t="inlineStr"/>
      <c r="B361" s="30" t="inlineStr"/>
      <c r="C361" s="30" t="inlineStr"/>
      <c r="D361" s="30" t="inlineStr"/>
      <c r="E361" s="30" t="inlineStr"/>
      <c r="F361" s="35" t="inlineStr"/>
      <c r="G361" s="34" t="inlineStr"/>
      <c r="H361" s="35" t="inlineStr"/>
      <c r="I361" s="30" t="inlineStr"/>
      <c r="J361" s="30" t="inlineStr"/>
      <c r="K361" s="15">
        <f>IF(A361="","",F361*G361*H361)</f>
        <v/>
      </c>
    </row>
    <row r="362">
      <c r="A362" s="30" t="inlineStr"/>
      <c r="B362" s="30" t="inlineStr"/>
      <c r="C362" s="30" t="inlineStr"/>
      <c r="D362" s="30" t="inlineStr"/>
      <c r="E362" s="30" t="inlineStr"/>
      <c r="F362" s="35" t="inlineStr"/>
      <c r="G362" s="34" t="inlineStr"/>
      <c r="H362" s="35" t="inlineStr"/>
      <c r="I362" s="30" t="inlineStr"/>
      <c r="J362" s="30" t="inlineStr"/>
      <c r="K362" s="15">
        <f>IF(A362="","",F362*G362*H362)</f>
        <v/>
      </c>
    </row>
    <row r="363">
      <c r="A363" s="30" t="inlineStr"/>
      <c r="B363" s="30" t="inlineStr"/>
      <c r="C363" s="30" t="inlineStr"/>
      <c r="D363" s="30" t="inlineStr"/>
      <c r="E363" s="30" t="inlineStr"/>
      <c r="F363" s="35" t="inlineStr"/>
      <c r="G363" s="34" t="inlineStr"/>
      <c r="H363" s="35" t="inlineStr"/>
      <c r="I363" s="30" t="inlineStr"/>
      <c r="J363" s="30" t="inlineStr"/>
      <c r="K363" s="15">
        <f>IF(A363="","",F363*G363*H363)</f>
        <v/>
      </c>
    </row>
    <row r="364">
      <c r="A364" s="30" t="inlineStr"/>
      <c r="B364" s="30" t="inlineStr"/>
      <c r="C364" s="30" t="inlineStr"/>
      <c r="D364" s="30" t="inlineStr"/>
      <c r="E364" s="30" t="inlineStr"/>
      <c r="F364" s="35" t="inlineStr"/>
      <c r="G364" s="34" t="inlineStr"/>
      <c r="H364" s="35" t="inlineStr"/>
      <c r="I364" s="30" t="inlineStr"/>
      <c r="J364" s="30" t="inlineStr"/>
      <c r="K364" s="15">
        <f>IF(A364="","",F364*G364*H364)</f>
        <v/>
      </c>
    </row>
    <row r="365">
      <c r="A365" s="30" t="inlineStr"/>
      <c r="B365" s="30" t="inlineStr"/>
      <c r="C365" s="30" t="inlineStr"/>
      <c r="D365" s="30" t="inlineStr"/>
      <c r="E365" s="30" t="inlineStr"/>
      <c r="F365" s="35" t="inlineStr"/>
      <c r="G365" s="34" t="inlineStr"/>
      <c r="H365" s="35" t="inlineStr"/>
      <c r="I365" s="30" t="inlineStr"/>
      <c r="J365" s="30" t="inlineStr"/>
      <c r="K365" s="15">
        <f>IF(A365="","",F365*G365*H365)</f>
        <v/>
      </c>
    </row>
    <row r="366">
      <c r="A366" s="30" t="inlineStr"/>
      <c r="B366" s="30" t="inlineStr"/>
      <c r="C366" s="30" t="inlineStr"/>
      <c r="D366" s="30" t="inlineStr"/>
      <c r="E366" s="30" t="inlineStr"/>
      <c r="F366" s="35" t="inlineStr"/>
      <c r="G366" s="34" t="inlineStr"/>
      <c r="H366" s="35" t="inlineStr"/>
      <c r="I366" s="30" t="inlineStr"/>
      <c r="J366" s="30" t="inlineStr"/>
      <c r="K366" s="15">
        <f>IF(A366="","",F366*G366*H366)</f>
        <v/>
      </c>
    </row>
    <row r="367">
      <c r="A367" s="30" t="inlineStr"/>
      <c r="B367" s="30" t="inlineStr"/>
      <c r="C367" s="30" t="inlineStr"/>
      <c r="D367" s="30" t="inlineStr"/>
      <c r="E367" s="30" t="inlineStr"/>
      <c r="F367" s="35" t="inlineStr"/>
      <c r="G367" s="34" t="inlineStr"/>
      <c r="H367" s="35" t="inlineStr"/>
      <c r="I367" s="30" t="inlineStr"/>
      <c r="J367" s="30" t="inlineStr"/>
      <c r="K367" s="15">
        <f>IF(A367="","",F367*G367*H367)</f>
        <v/>
      </c>
    </row>
    <row r="368">
      <c r="A368" s="30" t="inlineStr"/>
      <c r="B368" s="30" t="inlineStr"/>
      <c r="C368" s="30" t="inlineStr"/>
      <c r="D368" s="30" t="inlineStr"/>
      <c r="E368" s="30" t="inlineStr"/>
      <c r="F368" s="35" t="inlineStr"/>
      <c r="G368" s="34" t="inlineStr"/>
      <c r="H368" s="35" t="inlineStr"/>
      <c r="I368" s="30" t="inlineStr"/>
      <c r="J368" s="30" t="inlineStr"/>
      <c r="K368" s="15">
        <f>IF(A368="","",F368*G368*H368)</f>
        <v/>
      </c>
    </row>
    <row r="369">
      <c r="A369" s="30" t="inlineStr"/>
      <c r="B369" s="30" t="inlineStr"/>
      <c r="C369" s="30" t="inlineStr"/>
      <c r="D369" s="30" t="inlineStr"/>
      <c r="E369" s="30" t="inlineStr"/>
      <c r="F369" s="35" t="inlineStr"/>
      <c r="G369" s="34" t="inlineStr"/>
      <c r="H369" s="35" t="inlineStr"/>
      <c r="I369" s="30" t="inlineStr"/>
      <c r="J369" s="30" t="inlineStr"/>
      <c r="K369" s="15">
        <f>IF(A369="","",F369*G369*H369)</f>
        <v/>
      </c>
    </row>
    <row r="370">
      <c r="A370" s="30" t="inlineStr"/>
      <c r="B370" s="30" t="inlineStr"/>
      <c r="C370" s="30" t="inlineStr"/>
      <c r="D370" s="30" t="inlineStr"/>
      <c r="E370" s="30" t="inlineStr"/>
      <c r="F370" s="35" t="inlineStr"/>
      <c r="G370" s="34" t="inlineStr"/>
      <c r="H370" s="35" t="inlineStr"/>
      <c r="I370" s="30" t="inlineStr"/>
      <c r="J370" s="30" t="inlineStr"/>
      <c r="K370" s="15">
        <f>IF(A370="","",F370*G370*H370)</f>
        <v/>
      </c>
    </row>
    <row r="371">
      <c r="A371" s="30" t="inlineStr"/>
      <c r="B371" s="30" t="inlineStr"/>
      <c r="C371" s="30" t="inlineStr"/>
      <c r="D371" s="30" t="inlineStr"/>
      <c r="E371" s="30" t="inlineStr"/>
      <c r="F371" s="35" t="inlineStr"/>
      <c r="G371" s="34" t="inlineStr"/>
      <c r="H371" s="35" t="inlineStr"/>
      <c r="I371" s="30" t="inlineStr"/>
      <c r="J371" s="30" t="inlineStr"/>
      <c r="K371" s="15">
        <f>IF(A371="","",F371*G371*H371)</f>
        <v/>
      </c>
    </row>
    <row r="372">
      <c r="A372" s="30" t="inlineStr"/>
      <c r="B372" s="30" t="inlineStr"/>
      <c r="C372" s="30" t="inlineStr"/>
      <c r="D372" s="30" t="inlineStr"/>
      <c r="E372" s="30" t="inlineStr"/>
      <c r="F372" s="35" t="inlineStr"/>
      <c r="G372" s="34" t="inlineStr"/>
      <c r="H372" s="35" t="inlineStr"/>
      <c r="I372" s="30" t="inlineStr"/>
      <c r="J372" s="30" t="inlineStr"/>
      <c r="K372" s="15">
        <f>IF(A372="","",F372*G372*H372)</f>
        <v/>
      </c>
    </row>
    <row r="373">
      <c r="A373" s="30" t="inlineStr"/>
      <c r="B373" s="30" t="inlineStr"/>
      <c r="C373" s="30" t="inlineStr"/>
      <c r="D373" s="30" t="inlineStr"/>
      <c r="E373" s="30" t="inlineStr"/>
      <c r="F373" s="35" t="inlineStr"/>
      <c r="G373" s="34" t="inlineStr"/>
      <c r="H373" s="35" t="inlineStr"/>
      <c r="I373" s="30" t="inlineStr"/>
      <c r="J373" s="30" t="inlineStr"/>
      <c r="K373" s="15">
        <f>IF(A373="","",F373*G373*H373)</f>
        <v/>
      </c>
    </row>
    <row r="374">
      <c r="A374" s="30" t="inlineStr"/>
      <c r="B374" s="30" t="inlineStr"/>
      <c r="C374" s="30" t="inlineStr"/>
      <c r="D374" s="30" t="inlineStr"/>
      <c r="E374" s="30" t="inlineStr"/>
      <c r="F374" s="35" t="inlineStr"/>
      <c r="G374" s="34" t="inlineStr"/>
      <c r="H374" s="35" t="inlineStr"/>
      <c r="I374" s="30" t="inlineStr"/>
      <c r="J374" s="30" t="inlineStr"/>
      <c r="K374" s="15">
        <f>IF(A374="","",F374*G374*H374)</f>
        <v/>
      </c>
    </row>
    <row r="375">
      <c r="A375" s="30" t="inlineStr"/>
      <c r="B375" s="30" t="inlineStr"/>
      <c r="C375" s="30" t="inlineStr"/>
      <c r="D375" s="30" t="inlineStr"/>
      <c r="E375" s="30" t="inlineStr"/>
      <c r="F375" s="35" t="inlineStr"/>
      <c r="G375" s="34" t="inlineStr"/>
      <c r="H375" s="35" t="inlineStr"/>
      <c r="I375" s="30" t="inlineStr"/>
      <c r="J375" s="30" t="inlineStr"/>
      <c r="K375" s="15">
        <f>IF(A375="","",F375*G375*H375)</f>
        <v/>
      </c>
    </row>
    <row r="376">
      <c r="A376" s="30" t="inlineStr"/>
      <c r="B376" s="30" t="inlineStr"/>
      <c r="C376" s="30" t="inlineStr"/>
      <c r="D376" s="30" t="inlineStr"/>
      <c r="E376" s="30" t="inlineStr"/>
      <c r="F376" s="35" t="inlineStr"/>
      <c r="G376" s="34" t="inlineStr"/>
      <c r="H376" s="35" t="inlineStr"/>
      <c r="I376" s="30" t="inlineStr"/>
      <c r="J376" s="30" t="inlineStr"/>
      <c r="K376" s="15">
        <f>IF(A376="","",F376*G376*H376)</f>
        <v/>
      </c>
    </row>
    <row r="377">
      <c r="A377" s="30" t="inlineStr"/>
      <c r="B377" s="30" t="inlineStr"/>
      <c r="C377" s="30" t="inlineStr"/>
      <c r="D377" s="30" t="inlineStr"/>
      <c r="E377" s="30" t="inlineStr"/>
      <c r="F377" s="35" t="inlineStr"/>
      <c r="G377" s="34" t="inlineStr"/>
      <c r="H377" s="35" t="inlineStr"/>
      <c r="I377" s="30" t="inlineStr"/>
      <c r="J377" s="30" t="inlineStr"/>
      <c r="K377" s="15">
        <f>IF(A377="","",F377*G377*H377)</f>
        <v/>
      </c>
    </row>
    <row r="378">
      <c r="A378" s="30" t="inlineStr"/>
      <c r="B378" s="30" t="inlineStr"/>
      <c r="C378" s="30" t="inlineStr"/>
      <c r="D378" s="30" t="inlineStr"/>
      <c r="E378" s="30" t="inlineStr"/>
      <c r="F378" s="35" t="inlineStr"/>
      <c r="G378" s="34" t="inlineStr"/>
      <c r="H378" s="35" t="inlineStr"/>
      <c r="I378" s="30" t="inlineStr"/>
      <c r="J378" s="30" t="inlineStr"/>
      <c r="K378" s="15">
        <f>IF(A378="","",F378*G378*H378)</f>
        <v/>
      </c>
    </row>
    <row r="379">
      <c r="A379" s="30" t="inlineStr"/>
      <c r="B379" s="30" t="inlineStr"/>
      <c r="C379" s="30" t="inlineStr"/>
      <c r="D379" s="30" t="inlineStr"/>
      <c r="E379" s="30" t="inlineStr"/>
      <c r="F379" s="35" t="inlineStr"/>
      <c r="G379" s="34" t="inlineStr"/>
      <c r="H379" s="35" t="inlineStr"/>
      <c r="I379" s="30" t="inlineStr"/>
      <c r="J379" s="30" t="inlineStr"/>
      <c r="K379" s="15">
        <f>IF(A379="","",F379*G379*H379)</f>
        <v/>
      </c>
    </row>
    <row r="380">
      <c r="A380" s="30" t="inlineStr"/>
      <c r="B380" s="30" t="inlineStr"/>
      <c r="C380" s="30" t="inlineStr"/>
      <c r="D380" s="30" t="inlineStr"/>
      <c r="E380" s="30" t="inlineStr"/>
      <c r="F380" s="35" t="inlineStr"/>
      <c r="G380" s="34" t="inlineStr"/>
      <c r="H380" s="35" t="inlineStr"/>
      <c r="I380" s="30" t="inlineStr"/>
      <c r="J380" s="30" t="inlineStr"/>
      <c r="K380" s="15">
        <f>IF(A380="","",F380*G380*H380)</f>
        <v/>
      </c>
    </row>
    <row r="381">
      <c r="A381" s="30" t="inlineStr"/>
      <c r="B381" s="30" t="inlineStr"/>
      <c r="C381" s="30" t="inlineStr"/>
      <c r="D381" s="30" t="inlineStr"/>
      <c r="E381" s="30" t="inlineStr"/>
      <c r="F381" s="35" t="inlineStr"/>
      <c r="G381" s="34" t="inlineStr"/>
      <c r="H381" s="35" t="inlineStr"/>
      <c r="I381" s="30" t="inlineStr"/>
      <c r="J381" s="30" t="inlineStr"/>
      <c r="K381" s="15">
        <f>IF(A381="","",F381*G381*H381)</f>
        <v/>
      </c>
    </row>
    <row r="382">
      <c r="A382" s="30" t="inlineStr"/>
      <c r="B382" s="30" t="inlineStr"/>
      <c r="C382" s="30" t="inlineStr"/>
      <c r="D382" s="30" t="inlineStr"/>
      <c r="E382" s="30" t="inlineStr"/>
      <c r="F382" s="35" t="inlineStr"/>
      <c r="G382" s="34" t="inlineStr"/>
      <c r="H382" s="35" t="inlineStr"/>
      <c r="I382" s="30" t="inlineStr"/>
      <c r="J382" s="30" t="inlineStr"/>
      <c r="K382" s="15">
        <f>IF(A382="","",F382*G382*H382)</f>
        <v/>
      </c>
    </row>
    <row r="383">
      <c r="A383" s="30" t="inlineStr"/>
      <c r="B383" s="30" t="inlineStr"/>
      <c r="C383" s="30" t="inlineStr"/>
      <c r="D383" s="30" t="inlineStr"/>
      <c r="E383" s="30" t="inlineStr"/>
      <c r="F383" s="35" t="inlineStr"/>
      <c r="G383" s="34" t="inlineStr"/>
      <c r="H383" s="35" t="inlineStr"/>
      <c r="I383" s="30" t="inlineStr"/>
      <c r="J383" s="30" t="inlineStr"/>
      <c r="K383" s="15">
        <f>IF(A383="","",F383*G383*H383)</f>
        <v/>
      </c>
    </row>
    <row r="384">
      <c r="A384" s="30" t="inlineStr"/>
      <c r="B384" s="30" t="inlineStr"/>
      <c r="C384" s="30" t="inlineStr"/>
      <c r="D384" s="30" t="inlineStr"/>
      <c r="E384" s="30" t="inlineStr"/>
      <c r="F384" s="35" t="inlineStr"/>
      <c r="G384" s="34" t="inlineStr"/>
      <c r="H384" s="35" t="inlineStr"/>
      <c r="I384" s="30" t="inlineStr"/>
      <c r="J384" s="30" t="inlineStr"/>
      <c r="K384" s="15">
        <f>IF(A384="","",F384*G384*H384)</f>
        <v/>
      </c>
    </row>
    <row r="385">
      <c r="A385" s="30" t="inlineStr"/>
      <c r="B385" s="30" t="inlineStr"/>
      <c r="C385" s="30" t="inlineStr"/>
      <c r="D385" s="30" t="inlineStr"/>
      <c r="E385" s="30" t="inlineStr"/>
      <c r="F385" s="35" t="inlineStr"/>
      <c r="G385" s="34" t="inlineStr"/>
      <c r="H385" s="35" t="inlineStr"/>
      <c r="I385" s="30" t="inlineStr"/>
      <c r="J385" s="30" t="inlineStr"/>
      <c r="K385" s="15">
        <f>IF(A385="","",F385*G385*H385)</f>
        <v/>
      </c>
    </row>
    <row r="386">
      <c r="A386" s="30" t="inlineStr"/>
      <c r="B386" s="30" t="inlineStr"/>
      <c r="C386" s="30" t="inlineStr"/>
      <c r="D386" s="30" t="inlineStr"/>
      <c r="E386" s="30" t="inlineStr"/>
      <c r="F386" s="35" t="inlineStr"/>
      <c r="G386" s="34" t="inlineStr"/>
      <c r="H386" s="35" t="inlineStr"/>
      <c r="I386" s="30" t="inlineStr"/>
      <c r="J386" s="30" t="inlineStr"/>
      <c r="K386" s="15">
        <f>IF(A386="","",F386*G386*H386)</f>
        <v/>
      </c>
    </row>
    <row r="387">
      <c r="A387" s="30" t="inlineStr"/>
      <c r="B387" s="30" t="inlineStr"/>
      <c r="C387" s="30" t="inlineStr"/>
      <c r="D387" s="30" t="inlineStr"/>
      <c r="E387" s="30" t="inlineStr"/>
      <c r="F387" s="35" t="inlineStr"/>
      <c r="G387" s="34" t="inlineStr"/>
      <c r="H387" s="35" t="inlineStr"/>
      <c r="I387" s="30" t="inlineStr"/>
      <c r="J387" s="30" t="inlineStr"/>
      <c r="K387" s="15">
        <f>IF(A387="","",F387*G387*H387)</f>
        <v/>
      </c>
    </row>
    <row r="388">
      <c r="A388" s="30" t="inlineStr"/>
      <c r="B388" s="30" t="inlineStr"/>
      <c r="C388" s="30" t="inlineStr"/>
      <c r="D388" s="30" t="inlineStr"/>
      <c r="E388" s="30" t="inlineStr"/>
      <c r="F388" s="35" t="inlineStr"/>
      <c r="G388" s="34" t="inlineStr"/>
      <c r="H388" s="35" t="inlineStr"/>
      <c r="I388" s="30" t="inlineStr"/>
      <c r="J388" s="30" t="inlineStr"/>
      <c r="K388" s="15">
        <f>IF(A388="","",F388*G388*H388)</f>
        <v/>
      </c>
    </row>
    <row r="389">
      <c r="A389" s="30" t="inlineStr"/>
      <c r="B389" s="30" t="inlineStr"/>
      <c r="C389" s="30" t="inlineStr"/>
      <c r="D389" s="30" t="inlineStr"/>
      <c r="E389" s="30" t="inlineStr"/>
      <c r="F389" s="35" t="inlineStr"/>
      <c r="G389" s="34" t="inlineStr"/>
      <c r="H389" s="35" t="inlineStr"/>
      <c r="I389" s="30" t="inlineStr"/>
      <c r="J389" s="30" t="inlineStr"/>
      <c r="K389" s="15">
        <f>IF(A389="","",F389*G389*H389)</f>
        <v/>
      </c>
    </row>
    <row r="390">
      <c r="A390" s="30" t="inlineStr"/>
      <c r="B390" s="30" t="inlineStr"/>
      <c r="C390" s="30" t="inlineStr"/>
      <c r="D390" s="30" t="inlineStr"/>
      <c r="E390" s="30" t="inlineStr"/>
      <c r="F390" s="35" t="inlineStr"/>
      <c r="G390" s="34" t="inlineStr"/>
      <c r="H390" s="35" t="inlineStr"/>
      <c r="I390" s="30" t="inlineStr"/>
      <c r="J390" s="30" t="inlineStr"/>
      <c r="K390" s="15">
        <f>IF(A390="","",F390*G390*H390)</f>
        <v/>
      </c>
    </row>
    <row r="391">
      <c r="A391" s="30" t="inlineStr"/>
      <c r="B391" s="30" t="inlineStr"/>
      <c r="C391" s="30" t="inlineStr"/>
      <c r="D391" s="30" t="inlineStr"/>
      <c r="E391" s="30" t="inlineStr"/>
      <c r="F391" s="35" t="inlineStr"/>
      <c r="G391" s="34" t="inlineStr"/>
      <c r="H391" s="35" t="inlineStr"/>
      <c r="I391" s="30" t="inlineStr"/>
      <c r="J391" s="30" t="inlineStr"/>
      <c r="K391" s="15">
        <f>IF(A391="","",F391*G391*H391)</f>
        <v/>
      </c>
    </row>
    <row r="392">
      <c r="A392" s="30" t="inlineStr"/>
      <c r="B392" s="30" t="inlineStr"/>
      <c r="C392" s="30" t="inlineStr"/>
      <c r="D392" s="30" t="inlineStr"/>
      <c r="E392" s="30" t="inlineStr"/>
      <c r="F392" s="35" t="inlineStr"/>
      <c r="G392" s="34" t="inlineStr"/>
      <c r="H392" s="35" t="inlineStr"/>
      <c r="I392" s="30" t="inlineStr"/>
      <c r="J392" s="30" t="inlineStr"/>
      <c r="K392" s="15">
        <f>IF(A392="","",F392*G392*H392)</f>
        <v/>
      </c>
    </row>
    <row r="393">
      <c r="A393" s="30" t="inlineStr"/>
      <c r="B393" s="30" t="inlineStr"/>
      <c r="C393" s="30" t="inlineStr"/>
      <c r="D393" s="30" t="inlineStr"/>
      <c r="E393" s="30" t="inlineStr"/>
      <c r="F393" s="35" t="inlineStr"/>
      <c r="G393" s="34" t="inlineStr"/>
      <c r="H393" s="35" t="inlineStr"/>
      <c r="I393" s="30" t="inlineStr"/>
      <c r="J393" s="30" t="inlineStr"/>
      <c r="K393" s="15">
        <f>IF(A393="","",F393*G393*H393)</f>
        <v/>
      </c>
    </row>
    <row r="394">
      <c r="A394" s="30" t="inlineStr"/>
      <c r="B394" s="30" t="inlineStr"/>
      <c r="C394" s="30" t="inlineStr"/>
      <c r="D394" s="30" t="inlineStr"/>
      <c r="E394" s="30" t="inlineStr"/>
      <c r="F394" s="35" t="inlineStr"/>
      <c r="G394" s="34" t="inlineStr"/>
      <c r="H394" s="35" t="inlineStr"/>
      <c r="I394" s="30" t="inlineStr"/>
      <c r="J394" s="30" t="inlineStr"/>
      <c r="K394" s="15">
        <f>IF(A394="","",F394*G394*H394)</f>
        <v/>
      </c>
    </row>
    <row r="395">
      <c r="A395" s="30" t="inlineStr"/>
      <c r="B395" s="30" t="inlineStr"/>
      <c r="C395" s="30" t="inlineStr"/>
      <c r="D395" s="30" t="inlineStr"/>
      <c r="E395" s="30" t="inlineStr"/>
      <c r="F395" s="35" t="inlineStr"/>
      <c r="G395" s="34" t="inlineStr"/>
      <c r="H395" s="35" t="inlineStr"/>
      <c r="I395" s="30" t="inlineStr"/>
      <c r="J395" s="30" t="inlineStr"/>
      <c r="K395" s="15">
        <f>IF(A395="","",F395*G395*H395)</f>
        <v/>
      </c>
    </row>
    <row r="396">
      <c r="A396" s="30" t="inlineStr"/>
      <c r="B396" s="30" t="inlineStr"/>
      <c r="C396" s="30" t="inlineStr"/>
      <c r="D396" s="30" t="inlineStr"/>
      <c r="E396" s="30" t="inlineStr"/>
      <c r="F396" s="35" t="inlineStr"/>
      <c r="G396" s="34" t="inlineStr"/>
      <c r="H396" s="35" t="inlineStr"/>
      <c r="I396" s="30" t="inlineStr"/>
      <c r="J396" s="30" t="inlineStr"/>
      <c r="K396" s="15">
        <f>IF(A396="","",F396*G396*H396)</f>
        <v/>
      </c>
    </row>
    <row r="397">
      <c r="A397" s="30" t="inlineStr"/>
      <c r="B397" s="30" t="inlineStr"/>
      <c r="C397" s="30" t="inlineStr"/>
      <c r="D397" s="30" t="inlineStr"/>
      <c r="E397" s="30" t="inlineStr"/>
      <c r="F397" s="35" t="inlineStr"/>
      <c r="G397" s="34" t="inlineStr"/>
      <c r="H397" s="35" t="inlineStr"/>
      <c r="I397" s="30" t="inlineStr"/>
      <c r="J397" s="30" t="inlineStr"/>
      <c r="K397" s="15">
        <f>IF(A397="","",F397*G397*H397)</f>
        <v/>
      </c>
    </row>
    <row r="398">
      <c r="A398" s="30" t="inlineStr"/>
      <c r="B398" s="30" t="inlineStr"/>
      <c r="C398" s="30" t="inlineStr"/>
      <c r="D398" s="30" t="inlineStr"/>
      <c r="E398" s="30" t="inlineStr"/>
      <c r="F398" s="35" t="inlineStr"/>
      <c r="G398" s="34" t="inlineStr"/>
      <c r="H398" s="35" t="inlineStr"/>
      <c r="I398" s="30" t="inlineStr"/>
      <c r="J398" s="30" t="inlineStr"/>
      <c r="K398" s="15">
        <f>IF(A398="","",F398*G398*H398)</f>
        <v/>
      </c>
    </row>
    <row r="399">
      <c r="A399" s="30" t="inlineStr"/>
      <c r="B399" s="30" t="inlineStr"/>
      <c r="C399" s="30" t="inlineStr"/>
      <c r="D399" s="30" t="inlineStr"/>
      <c r="E399" s="30" t="inlineStr"/>
      <c r="F399" s="35" t="inlineStr"/>
      <c r="G399" s="34" t="inlineStr"/>
      <c r="H399" s="35" t="inlineStr"/>
      <c r="I399" s="30" t="inlineStr"/>
      <c r="J399" s="30" t="inlineStr"/>
      <c r="K399" s="15">
        <f>IF(A399="","",F399*G399*H399)</f>
        <v/>
      </c>
    </row>
    <row r="400">
      <c r="A400" s="30" t="inlineStr"/>
      <c r="B400" s="30" t="inlineStr"/>
      <c r="C400" s="30" t="inlineStr"/>
      <c r="D400" s="30" t="inlineStr"/>
      <c r="E400" s="30" t="inlineStr"/>
      <c r="F400" s="35" t="inlineStr"/>
      <c r="G400" s="34" t="inlineStr"/>
      <c r="H400" s="35" t="inlineStr"/>
      <c r="I400" s="30" t="inlineStr"/>
      <c r="J400" s="30" t="inlineStr"/>
      <c r="K400" s="15">
        <f>IF(A400="","",F400*G400*H400)</f>
        <v/>
      </c>
    </row>
  </sheetData>
  <mergeCells count="2">
    <mergeCell ref="A2:K2"/>
    <mergeCell ref="A1:K1"/>
  </mergeCells>
  <dataValidations count="2">
    <dataValidation sqref="B4:B400" showDropDown="0" showInputMessage="0" showErrorMessage="0" allowBlank="1" errorTitle="Ungültige Auswahl" error="Bitte einen Wert aus der Liste wählen." promptTitle="Liste" prompt="Auswahl" type="list">
      <formula1>=ProjektNr</formula1>
    </dataValidation>
    <dataValidation sqref="J4:J400" showDropDown="0" showInputMessage="0" showErrorMessage="0" allowBlank="1" errorTitle="Ungültige Auswahl" error="Bitte einen Wert aus der Liste wählen." promptTitle="Liste" prompt="Auswahl" type="list">
      <formula1>=lstProjektStatus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5C4A1F"/>
    <outlinePr summaryBelow="1" summaryRight="1"/>
    <pageSetUpPr/>
  </sheetPr>
  <dimension ref="A1:P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0" customWidth="1" min="5" max="5"/>
    <col width="14" customWidth="1" min="6" max="6"/>
    <col width="28" customWidth="1" min="7" max="7"/>
    <col width="12" customWidth="1" min="8" max="8"/>
    <col width="12" customWidth="1" min="9" max="9"/>
    <col width="13" customWidth="1" min="10" max="10"/>
    <col width="12" customWidth="1" min="11" max="11"/>
    <col width="14" customWidth="1" min="12" max="12"/>
    <col width="16" customWidth="1" min="13" max="13"/>
  </cols>
  <sheetData>
    <row r="1" ht="28" customHeight="1">
      <c r="A1" s="1" t="inlineStr">
        <is>
          <t>Zeiterfassung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3" t="n"/>
      <c r="P1" s="3" t="n"/>
    </row>
    <row r="2" ht="18" customHeight="1">
      <c r="A2" s="4" t="inlineStr">
        <is>
          <t>Kosten = Stunden × Kostensatz Mitarbeiter · Leistungswert = Stunden × Verrechnungssatz bei verrechenbar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3" t="n"/>
      <c r="O2" s="3" t="n"/>
      <c r="P2" s="3" t="n"/>
    </row>
    <row r="3" ht="28" customHeight="1">
      <c r="A3" s="17" t="inlineStr">
        <is>
          <t>Nr</t>
        </is>
      </c>
      <c r="B3" s="17" t="inlineStr">
        <is>
          <t>Datum</t>
        </is>
      </c>
      <c r="C3" s="17" t="inlineStr">
        <is>
          <t>Projekt</t>
        </is>
      </c>
      <c r="D3" s="17" t="inlineStr">
        <is>
          <t>Mitarbeiter</t>
        </is>
      </c>
      <c r="E3" s="17" t="inlineStr">
        <is>
          <t>Stunden</t>
        </is>
      </c>
      <c r="F3" s="17" t="inlineStr">
        <is>
          <t>Gewerk</t>
        </is>
      </c>
      <c r="G3" s="17" t="inlineStr">
        <is>
          <t>Tätigkeit</t>
        </is>
      </c>
      <c r="H3" s="17" t="inlineStr">
        <is>
          <t>Verrechenbar</t>
        </is>
      </c>
      <c r="I3" s="17" t="inlineStr">
        <is>
          <t>Kostensatz</t>
        </is>
      </c>
      <c r="J3" s="17" t="inlineStr">
        <is>
          <t>Verrechnung</t>
        </is>
      </c>
      <c r="K3" s="17" t="inlineStr">
        <is>
          <t>Kosten</t>
        </is>
      </c>
      <c r="L3" s="17" t="inlineStr">
        <is>
          <t>Leistungswert</t>
        </is>
      </c>
      <c r="M3" s="17" t="inlineStr">
        <is>
          <t>Deckungsbeitrag Std.</t>
        </is>
      </c>
      <c r="N3" s="3" t="n"/>
      <c r="O3" s="3" t="n"/>
      <c r="P3" s="3" t="n"/>
    </row>
    <row r="4">
      <c r="A4" s="30" t="inlineStr">
        <is>
          <t>ST-1001</t>
        </is>
      </c>
      <c r="B4" s="38" t="n">
        <v>46266</v>
      </c>
      <c r="C4" s="30" t="inlineStr">
        <is>
          <t>P-2026-001</t>
        </is>
      </c>
      <c r="D4" s="30" t="inlineStr">
        <is>
          <t>MA-03</t>
        </is>
      </c>
      <c r="E4" s="46" t="n">
        <v>10</v>
      </c>
      <c r="F4" s="30" t="inlineStr">
        <is>
          <t>Rohbau</t>
        </is>
      </c>
      <c r="G4" s="30" t="inlineStr">
        <is>
          <t>Polier Wohnquartier</t>
        </is>
      </c>
      <c r="H4" s="30" t="inlineStr">
        <is>
          <t>JA</t>
        </is>
      </c>
      <c r="I4" s="15">
        <f>IF(D4="","",IFERROR(VLOOKUP(D4,'04_Personal'!$A$4:$G$400,7,FALSE),0))</f>
        <v/>
      </c>
      <c r="J4" s="15">
        <f>IF(D4="","",IFERROR(VLOOKUP(D4,'04_Personal'!$A$4:$G$400,6,FALSE),VSSatz))</f>
        <v/>
      </c>
      <c r="K4" s="15">
        <f>IF(A4="","",E4*I4)</f>
        <v/>
      </c>
      <c r="L4" s="15">
        <f>IF(A4="","",IF(H4="JA",E4*J4,0))</f>
        <v/>
      </c>
      <c r="M4" s="15">
        <f>IF(A4="","",L4-K4)</f>
        <v/>
      </c>
      <c r="N4" s="3" t="n"/>
      <c r="O4" s="3" t="n"/>
      <c r="P4" s="3" t="n"/>
    </row>
    <row r="5">
      <c r="A5" s="30" t="inlineStr">
        <is>
          <t>ST-1002</t>
        </is>
      </c>
      <c r="B5" s="38" t="n">
        <v>46266</v>
      </c>
      <c r="C5" s="30" t="inlineStr">
        <is>
          <t>P-2026-001</t>
        </is>
      </c>
      <c r="D5" s="30" t="inlineStr">
        <is>
          <t>MA-04</t>
        </is>
      </c>
      <c r="E5" s="46" t="n">
        <v>9.5</v>
      </c>
      <c r="F5" s="30" t="inlineStr">
        <is>
          <t>Rohbau</t>
        </is>
      </c>
      <c r="G5" s="30" t="inlineStr">
        <is>
          <t>Mauerwerk Block C</t>
        </is>
      </c>
      <c r="H5" s="30" t="inlineStr">
        <is>
          <t>JA</t>
        </is>
      </c>
      <c r="I5" s="15">
        <f>IF(D5="","",IFERROR(VLOOKUP(D5,'04_Personal'!$A$4:$G$400,7,FALSE),0))</f>
        <v/>
      </c>
      <c r="J5" s="15">
        <f>IF(D5="","",IFERROR(VLOOKUP(D5,'04_Personal'!$A$4:$G$400,6,FALSE),VSSatz))</f>
        <v/>
      </c>
      <c r="K5" s="15">
        <f>IF(A5="","",E5*I5)</f>
        <v/>
      </c>
      <c r="L5" s="15">
        <f>IF(A5="","",IF(H5="JA",E5*J5,0))</f>
        <v/>
      </c>
      <c r="M5" s="15">
        <f>IF(A5="","",L5-K5)</f>
        <v/>
      </c>
      <c r="N5" s="3" t="n"/>
      <c r="O5" s="3" t="n"/>
      <c r="P5" s="3" t="n"/>
    </row>
    <row r="6">
      <c r="A6" s="30" t="inlineStr">
        <is>
          <t>ST-1003</t>
        </is>
      </c>
      <c r="B6" s="38" t="n">
        <v>46266</v>
      </c>
      <c r="C6" s="30" t="inlineStr">
        <is>
          <t>P-2026-001</t>
        </is>
      </c>
      <c r="D6" s="30" t="inlineStr">
        <is>
          <t>MA-05</t>
        </is>
      </c>
      <c r="E6" s="46" t="n">
        <v>9.5</v>
      </c>
      <c r="F6" s="30" t="inlineStr">
        <is>
          <t>Rohbau</t>
        </is>
      </c>
      <c r="G6" s="30" t="inlineStr">
        <is>
          <t>Mauerwerk Block C</t>
        </is>
      </c>
      <c r="H6" s="30" t="inlineStr">
        <is>
          <t>JA</t>
        </is>
      </c>
      <c r="I6" s="15">
        <f>IF(D6="","",IFERROR(VLOOKUP(D6,'04_Personal'!$A$4:$G$400,7,FALSE),0))</f>
        <v/>
      </c>
      <c r="J6" s="15">
        <f>IF(D6="","",IFERROR(VLOOKUP(D6,'04_Personal'!$A$4:$G$400,6,FALSE),VSSatz))</f>
        <v/>
      </c>
      <c r="K6" s="15">
        <f>IF(A6="","",E6*I6)</f>
        <v/>
      </c>
      <c r="L6" s="15">
        <f>IF(A6="","",IF(H6="JA",E6*J6,0))</f>
        <v/>
      </c>
      <c r="M6" s="15">
        <f>IF(A6="","",L6-K6)</f>
        <v/>
      </c>
      <c r="N6" s="3" t="n"/>
      <c r="O6" s="3" t="n"/>
      <c r="P6" s="3" t="n"/>
    </row>
    <row r="7">
      <c r="A7" s="30" t="inlineStr">
        <is>
          <t>ST-1004</t>
        </is>
      </c>
      <c r="B7" s="38" t="n">
        <v>46266</v>
      </c>
      <c r="C7" s="30" t="inlineStr">
        <is>
          <t>P-2026-002</t>
        </is>
      </c>
      <c r="D7" s="30" t="inlineStr">
        <is>
          <t>MA-07</t>
        </is>
      </c>
      <c r="E7" s="46" t="n">
        <v>8</v>
      </c>
      <c r="F7" s="30" t="inlineStr">
        <is>
          <t>Bauleitung</t>
        </is>
      </c>
      <c r="G7" s="30" t="inlineStr">
        <is>
          <t>Terminplan Kita</t>
        </is>
      </c>
      <c r="H7" s="30" t="inlineStr">
        <is>
          <t>JA</t>
        </is>
      </c>
      <c r="I7" s="15">
        <f>IF(D7="","",IFERROR(VLOOKUP(D7,'04_Personal'!$A$4:$G$400,7,FALSE),0))</f>
        <v/>
      </c>
      <c r="J7" s="15">
        <f>IF(D7="","",IFERROR(VLOOKUP(D7,'04_Personal'!$A$4:$G$400,6,FALSE),VSSatz))</f>
        <v/>
      </c>
      <c r="K7" s="15">
        <f>IF(A7="","",E7*I7)</f>
        <v/>
      </c>
      <c r="L7" s="15">
        <f>IF(A7="","",IF(H7="JA",E7*J7,0))</f>
        <v/>
      </c>
      <c r="M7" s="15">
        <f>IF(A7="","",L7-K7)</f>
        <v/>
      </c>
    </row>
    <row r="8">
      <c r="A8" s="30" t="inlineStr">
        <is>
          <t>ST-1005</t>
        </is>
      </c>
      <c r="B8" s="38" t="n">
        <v>46267</v>
      </c>
      <c r="C8" s="30" t="inlineStr">
        <is>
          <t>P-2026-003</t>
        </is>
      </c>
      <c r="D8" s="30" t="inlineStr">
        <is>
          <t>MA-04</t>
        </is>
      </c>
      <c r="E8" s="46" t="n">
        <v>9</v>
      </c>
      <c r="F8" s="30" t="inlineStr">
        <is>
          <t>Sanierung</t>
        </is>
      </c>
      <c r="G8" s="30" t="inlineStr">
        <is>
          <t>Fassade Süd</t>
        </is>
      </c>
      <c r="H8" s="30" t="inlineStr">
        <is>
          <t>JA</t>
        </is>
      </c>
      <c r="I8" s="15">
        <f>IF(D8="","",IFERROR(VLOOKUP(D8,'04_Personal'!$A$4:$G$400,7,FALSE),0))</f>
        <v/>
      </c>
      <c r="J8" s="15">
        <f>IF(D8="","",IFERROR(VLOOKUP(D8,'04_Personal'!$A$4:$G$400,6,FALSE),VSSatz))</f>
        <v/>
      </c>
      <c r="K8" s="15">
        <f>IF(A8="","",E8*I8)</f>
        <v/>
      </c>
      <c r="L8" s="15">
        <f>IF(A8="","",IF(H8="JA",E8*J8,0))</f>
        <v/>
      </c>
      <c r="M8" s="15">
        <f>IF(A8="","",L8-K8)</f>
        <v/>
      </c>
    </row>
    <row r="9">
      <c r="A9" s="30" t="inlineStr">
        <is>
          <t>ST-1006</t>
        </is>
      </c>
      <c r="B9" s="38" t="n">
        <v>46267</v>
      </c>
      <c r="C9" s="30" t="inlineStr">
        <is>
          <t>P-2026-004</t>
        </is>
      </c>
      <c r="D9" s="30" t="inlineStr">
        <is>
          <t>MA-03</t>
        </is>
      </c>
      <c r="E9" s="46" t="n">
        <v>6</v>
      </c>
      <c r="F9" s="30" t="inlineStr">
        <is>
          <t>Rohbau</t>
        </is>
      </c>
      <c r="G9" s="30" t="inlineStr">
        <is>
          <t>Bodenplatte Abschnitt 2</t>
        </is>
      </c>
      <c r="H9" s="30" t="inlineStr">
        <is>
          <t>JA</t>
        </is>
      </c>
      <c r="I9" s="15">
        <f>IF(D9="","",IFERROR(VLOOKUP(D9,'04_Personal'!$A$4:$G$400,7,FALSE),0))</f>
        <v/>
      </c>
      <c r="J9" s="15">
        <f>IF(D9="","",IFERROR(VLOOKUP(D9,'04_Personal'!$A$4:$G$400,6,FALSE),VSSatz))</f>
        <v/>
      </c>
      <c r="K9" s="15">
        <f>IF(A9="","",E9*I9)</f>
        <v/>
      </c>
      <c r="L9" s="15">
        <f>IF(A9="","",IF(H9="JA",E9*J9,0))</f>
        <v/>
      </c>
      <c r="M9" s="15">
        <f>IF(A9="","",L9-K9)</f>
        <v/>
      </c>
    </row>
    <row r="10">
      <c r="A10" s="30" t="inlineStr">
        <is>
          <t>ST-1007</t>
        </is>
      </c>
      <c r="B10" s="38" t="n">
        <v>46267</v>
      </c>
      <c r="C10" s="30" t="inlineStr">
        <is>
          <t>P-2026-004</t>
        </is>
      </c>
      <c r="D10" s="30" t="inlineStr">
        <is>
          <t>MA-06</t>
        </is>
      </c>
      <c r="E10" s="46" t="n">
        <v>9.5</v>
      </c>
      <c r="F10" s="30" t="inlineStr">
        <is>
          <t>Tiefbau</t>
        </is>
      </c>
      <c r="G10" s="30" t="inlineStr">
        <is>
          <t>Kanalanschluss</t>
        </is>
      </c>
      <c r="H10" s="30" t="inlineStr">
        <is>
          <t>JA</t>
        </is>
      </c>
      <c r="I10" s="15">
        <f>IF(D10="","",IFERROR(VLOOKUP(D10,'04_Personal'!$A$4:$G$400,7,FALSE),0))</f>
        <v/>
      </c>
      <c r="J10" s="15">
        <f>IF(D10="","",IFERROR(VLOOKUP(D10,'04_Personal'!$A$4:$G$400,6,FALSE),VSSatz))</f>
        <v/>
      </c>
      <c r="K10" s="15">
        <f>IF(A10="","",E10*I10)</f>
        <v/>
      </c>
      <c r="L10" s="15">
        <f>IF(A10="","",IF(H10="JA",E10*J10,0))</f>
        <v/>
      </c>
      <c r="M10" s="15">
        <f>IF(A10="","",L10-K10)</f>
        <v/>
      </c>
    </row>
    <row r="11">
      <c r="A11" s="30" t="inlineStr">
        <is>
          <t>ST-1008</t>
        </is>
      </c>
      <c r="B11" s="38" t="n">
        <v>46268</v>
      </c>
      <c r="C11" s="30" t="inlineStr">
        <is>
          <t>P-2026-001</t>
        </is>
      </c>
      <c r="D11" s="30" t="inlineStr">
        <is>
          <t>MA-05</t>
        </is>
      </c>
      <c r="E11" s="46" t="n">
        <v>10</v>
      </c>
      <c r="F11" s="30" t="inlineStr">
        <is>
          <t>Rohbau</t>
        </is>
      </c>
      <c r="G11" s="30" t="inlineStr">
        <is>
          <t>Decke OG1</t>
        </is>
      </c>
      <c r="H11" s="30" t="inlineStr">
        <is>
          <t>JA</t>
        </is>
      </c>
      <c r="I11" s="15">
        <f>IF(D11="","",IFERROR(VLOOKUP(D11,'04_Personal'!$A$4:$G$400,7,FALSE),0))</f>
        <v/>
      </c>
      <c r="J11" s="15">
        <f>IF(D11="","",IFERROR(VLOOKUP(D11,'04_Personal'!$A$4:$G$400,6,FALSE),VSSatz))</f>
        <v/>
      </c>
      <c r="K11" s="15">
        <f>IF(A11="","",E11*I11)</f>
        <v/>
      </c>
      <c r="L11" s="15">
        <f>IF(A11="","",IF(H11="JA",E11*J11,0))</f>
        <v/>
      </c>
      <c r="M11" s="15">
        <f>IF(A11="","",L11-K11)</f>
        <v/>
      </c>
    </row>
    <row r="12">
      <c r="A12" s="30" t="inlineStr">
        <is>
          <t>ST-1009</t>
        </is>
      </c>
      <c r="B12" s="38" t="n">
        <v>46268</v>
      </c>
      <c r="C12" s="30" t="inlineStr">
        <is>
          <t>P-2026-002</t>
        </is>
      </c>
      <c r="D12" s="30" t="inlineStr">
        <is>
          <t>MA-05</t>
        </is>
      </c>
      <c r="E12" s="46" t="n">
        <v>8.5</v>
      </c>
      <c r="F12" s="30" t="inlineStr">
        <is>
          <t>Rohbau</t>
        </is>
      </c>
      <c r="G12" s="30" t="inlineStr">
        <is>
          <t>Innenwände</t>
        </is>
      </c>
      <c r="H12" s="30" t="inlineStr">
        <is>
          <t>JA</t>
        </is>
      </c>
      <c r="I12" s="15">
        <f>IF(D12="","",IFERROR(VLOOKUP(D12,'04_Personal'!$A$4:$G$400,7,FALSE),0))</f>
        <v/>
      </c>
      <c r="J12" s="15">
        <f>IF(D12="","",IFERROR(VLOOKUP(D12,'04_Personal'!$A$4:$G$400,6,FALSE),VSSatz))</f>
        <v/>
      </c>
      <c r="K12" s="15">
        <f>IF(A12="","",E12*I12)</f>
        <v/>
      </c>
      <c r="L12" s="15">
        <f>IF(A12="","",IF(H12="JA",E12*J12,0))</f>
        <v/>
      </c>
      <c r="M12" s="15">
        <f>IF(A12="","",L12-K12)</f>
        <v/>
      </c>
    </row>
    <row r="13">
      <c r="A13" s="30" t="inlineStr">
        <is>
          <t>ST-1010</t>
        </is>
      </c>
      <c r="B13" s="38" t="n">
        <v>46269</v>
      </c>
      <c r="C13" s="30" t="inlineStr">
        <is>
          <t>P-2026-006</t>
        </is>
      </c>
      <c r="D13" s="30" t="inlineStr">
        <is>
          <t>MA-06</t>
        </is>
      </c>
      <c r="E13" s="46" t="n">
        <v>4</v>
      </c>
      <c r="F13" s="30" t="inlineStr">
        <is>
          <t>Vorbereitung</t>
        </is>
      </c>
      <c r="G13" s="30" t="inlineStr">
        <is>
          <t>Einmessen Achse</t>
        </is>
      </c>
      <c r="H13" s="30" t="inlineStr">
        <is>
          <t>JA</t>
        </is>
      </c>
      <c r="I13" s="15">
        <f>IF(D13="","",IFERROR(VLOOKUP(D13,'04_Personal'!$A$4:$G$400,7,FALSE),0))</f>
        <v/>
      </c>
      <c r="J13" s="15">
        <f>IF(D13="","",IFERROR(VLOOKUP(D13,'04_Personal'!$A$4:$G$400,6,FALSE),VSSatz))</f>
        <v/>
      </c>
      <c r="K13" s="15">
        <f>IF(A13="","",E13*I13)</f>
        <v/>
      </c>
      <c r="L13" s="15">
        <f>IF(A13="","",IF(H13="JA",E13*J13,0))</f>
        <v/>
      </c>
      <c r="M13" s="15">
        <f>IF(A13="","",L13-K13)</f>
        <v/>
      </c>
    </row>
    <row r="14">
      <c r="A14" s="30" t="inlineStr">
        <is>
          <t>ST-1011</t>
        </is>
      </c>
      <c r="B14" s="38" t="n">
        <v>46269</v>
      </c>
      <c r="C14" s="30" t="inlineStr"/>
      <c r="D14" s="30" t="inlineStr">
        <is>
          <t>MA-02</t>
        </is>
      </c>
      <c r="E14" s="46" t="n">
        <v>8</v>
      </c>
      <c r="F14" s="30" t="inlineStr">
        <is>
          <t>Verwaltung</t>
        </is>
      </c>
      <c r="G14" s="30" t="inlineStr">
        <is>
          <t>OPOS / Mahnwesen</t>
        </is>
      </c>
      <c r="H14" s="30" t="inlineStr">
        <is>
          <t>NEIN</t>
        </is>
      </c>
      <c r="I14" s="15">
        <f>IF(D14="","",IFERROR(VLOOKUP(D14,'04_Personal'!$A$4:$G$400,7,FALSE),0))</f>
        <v/>
      </c>
      <c r="J14" s="15">
        <f>IF(D14="","",IFERROR(VLOOKUP(D14,'04_Personal'!$A$4:$G$400,6,FALSE),VSSatz))</f>
        <v/>
      </c>
      <c r="K14" s="15">
        <f>IF(A14="","",E14*I14)</f>
        <v/>
      </c>
      <c r="L14" s="15">
        <f>IF(A14="","",IF(H14="JA",E14*J14,0))</f>
        <v/>
      </c>
      <c r="M14" s="15">
        <f>IF(A14="","",L14-K14)</f>
        <v/>
      </c>
    </row>
    <row r="15">
      <c r="A15" s="30" t="inlineStr">
        <is>
          <t>ST-1012</t>
        </is>
      </c>
      <c r="B15" s="38" t="n">
        <v>46270</v>
      </c>
      <c r="C15" s="30" t="inlineStr">
        <is>
          <t>P-2026-001</t>
        </is>
      </c>
      <c r="D15" s="30" t="inlineStr">
        <is>
          <t>MA-08</t>
        </is>
      </c>
      <c r="E15" s="46" t="n">
        <v>8</v>
      </c>
      <c r="F15" s="30" t="inlineStr">
        <is>
          <t>Rohbau</t>
        </is>
      </c>
      <c r="G15" s="30" t="inlineStr">
        <is>
          <t>Mörtel / Hilfsarbeiten</t>
        </is>
      </c>
      <c r="H15" s="30" t="inlineStr">
        <is>
          <t>JA</t>
        </is>
      </c>
      <c r="I15" s="15">
        <f>IF(D15="","",IFERROR(VLOOKUP(D15,'04_Personal'!$A$4:$G$400,7,FALSE),0))</f>
        <v/>
      </c>
      <c r="J15" s="15">
        <f>IF(D15="","",IFERROR(VLOOKUP(D15,'04_Personal'!$A$4:$G$400,6,FALSE),VSSatz))</f>
        <v/>
      </c>
      <c r="K15" s="15">
        <f>IF(A15="","",E15*I15)</f>
        <v/>
      </c>
      <c r="L15" s="15">
        <f>IF(A15="","",IF(H15="JA",E15*J15,0))</f>
        <v/>
      </c>
      <c r="M15" s="15">
        <f>IF(A15="","",L15-K15)</f>
        <v/>
      </c>
    </row>
    <row r="16">
      <c r="A16" s="30" t="inlineStr">
        <is>
          <t>ST-1013</t>
        </is>
      </c>
      <c r="B16" s="38" t="n">
        <v>46262</v>
      </c>
      <c r="C16" s="30" t="inlineStr">
        <is>
          <t>P-2026-003</t>
        </is>
      </c>
      <c r="D16" s="30" t="inlineStr">
        <is>
          <t>MA-03</t>
        </is>
      </c>
      <c r="E16" s="46" t="n">
        <v>9</v>
      </c>
      <c r="F16" s="30" t="inlineStr">
        <is>
          <t>Sanierung</t>
        </is>
      </c>
      <c r="G16" s="30" t="inlineStr">
        <is>
          <t>Gerüstabnahme</t>
        </is>
      </c>
      <c r="H16" s="30" t="inlineStr">
        <is>
          <t>JA</t>
        </is>
      </c>
      <c r="I16" s="15">
        <f>IF(D16="","",IFERROR(VLOOKUP(D16,'04_Personal'!$A$4:$G$400,7,FALSE),0))</f>
        <v/>
      </c>
      <c r="J16" s="15">
        <f>IF(D16="","",IFERROR(VLOOKUP(D16,'04_Personal'!$A$4:$G$400,6,FALSE),VSSatz))</f>
        <v/>
      </c>
      <c r="K16" s="15">
        <f>IF(A16="","",E16*I16)</f>
        <v/>
      </c>
      <c r="L16" s="15">
        <f>IF(A16="","",IF(H16="JA",E16*J16,0))</f>
        <v/>
      </c>
      <c r="M16" s="15">
        <f>IF(A16="","",L16-K16)</f>
        <v/>
      </c>
    </row>
    <row r="17">
      <c r="A17" s="30" t="inlineStr">
        <is>
          <t>ST-1014</t>
        </is>
      </c>
      <c r="B17" s="38" t="n">
        <v>46262</v>
      </c>
      <c r="C17" s="30" t="inlineStr">
        <is>
          <t>P-2026-004</t>
        </is>
      </c>
      <c r="D17" s="30" t="inlineStr">
        <is>
          <t>MA-04</t>
        </is>
      </c>
      <c r="E17" s="46" t="n">
        <v>10</v>
      </c>
      <c r="F17" s="30" t="inlineStr">
        <is>
          <t>Rohbau</t>
        </is>
      </c>
      <c r="G17" s="30" t="inlineStr">
        <is>
          <t>Bewehrung Bodenplatte</t>
        </is>
      </c>
      <c r="H17" s="30" t="inlineStr">
        <is>
          <t>JA</t>
        </is>
      </c>
      <c r="I17" s="15">
        <f>IF(D17="","",IFERROR(VLOOKUP(D17,'04_Personal'!$A$4:$G$400,7,FALSE),0))</f>
        <v/>
      </c>
      <c r="J17" s="15">
        <f>IF(D17="","",IFERROR(VLOOKUP(D17,'04_Personal'!$A$4:$G$400,6,FALSE),VSSatz))</f>
        <v/>
      </c>
      <c r="K17" s="15">
        <f>IF(A17="","",E17*I17)</f>
        <v/>
      </c>
      <c r="L17" s="15">
        <f>IF(A17="","",IF(H17="JA",E17*J17,0))</f>
        <v/>
      </c>
      <c r="M17" s="15">
        <f>IF(A17="","",L17-K17)</f>
        <v/>
      </c>
    </row>
    <row r="18">
      <c r="A18" s="30" t="inlineStr">
        <is>
          <t>ST-1015</t>
        </is>
      </c>
      <c r="B18" s="38" t="n">
        <v>46263</v>
      </c>
      <c r="C18" s="30" t="inlineStr">
        <is>
          <t>P-2026-002</t>
        </is>
      </c>
      <c r="D18" s="30" t="inlineStr">
        <is>
          <t>MA-07</t>
        </is>
      </c>
      <c r="E18" s="46" t="n">
        <v>9</v>
      </c>
      <c r="F18" s="30" t="inlineStr">
        <is>
          <t>Bauleitung</t>
        </is>
      </c>
      <c r="G18" s="30" t="inlineStr">
        <is>
          <t>SIGeKO Begehung</t>
        </is>
      </c>
      <c r="H18" s="30" t="inlineStr">
        <is>
          <t>JA</t>
        </is>
      </c>
      <c r="I18" s="15">
        <f>IF(D18="","",IFERROR(VLOOKUP(D18,'04_Personal'!$A$4:$G$400,7,FALSE),0))</f>
        <v/>
      </c>
      <c r="J18" s="15">
        <f>IF(D18="","",IFERROR(VLOOKUP(D18,'04_Personal'!$A$4:$G$400,6,FALSE),VSSatz))</f>
        <v/>
      </c>
      <c r="K18" s="15">
        <f>IF(A18="","",E18*I18)</f>
        <v/>
      </c>
      <c r="L18" s="15">
        <f>IF(A18="","",IF(H18="JA",E18*J18,0))</f>
        <v/>
      </c>
      <c r="M18" s="15">
        <f>IF(A18="","",L18-K18)</f>
        <v/>
      </c>
    </row>
    <row r="19">
      <c r="A19" s="30" t="inlineStr"/>
      <c r="B19" s="38" t="inlineStr"/>
      <c r="C19" s="30" t="inlineStr"/>
      <c r="D19" s="30" t="inlineStr"/>
      <c r="E19" s="46" t="inlineStr"/>
      <c r="F19" s="30" t="inlineStr"/>
      <c r="G19" s="30" t="inlineStr"/>
      <c r="H19" s="30" t="inlineStr"/>
      <c r="I19" s="15">
        <f>IF(D19="","",IFERROR(VLOOKUP(D19,'04_Personal'!$A$4:$G$400,7,FALSE),0))</f>
        <v/>
      </c>
      <c r="J19" s="15">
        <f>IF(D19="","",IFERROR(VLOOKUP(D19,'04_Personal'!$A$4:$G$400,6,FALSE),VSSatz))</f>
        <v/>
      </c>
      <c r="K19" s="15">
        <f>IF(A19="","",E19*I19)</f>
        <v/>
      </c>
      <c r="L19" s="15">
        <f>IF(A19="","",IF(H19="JA",E19*J19,0))</f>
        <v/>
      </c>
      <c r="M19" s="15">
        <f>IF(A19="","",L19-K19)</f>
        <v/>
      </c>
    </row>
    <row r="20">
      <c r="A20" s="30" t="inlineStr"/>
      <c r="B20" s="38" t="inlineStr"/>
      <c r="C20" s="30" t="inlineStr"/>
      <c r="D20" s="30" t="inlineStr"/>
      <c r="E20" s="46" t="inlineStr"/>
      <c r="F20" s="30" t="inlineStr"/>
      <c r="G20" s="30" t="inlineStr"/>
      <c r="H20" s="30" t="inlineStr"/>
      <c r="I20" s="15">
        <f>IF(D20="","",IFERROR(VLOOKUP(D20,'04_Personal'!$A$4:$G$400,7,FALSE),0))</f>
        <v/>
      </c>
      <c r="J20" s="15">
        <f>IF(D20="","",IFERROR(VLOOKUP(D20,'04_Personal'!$A$4:$G$400,6,FALSE),VSSatz))</f>
        <v/>
      </c>
      <c r="K20" s="15">
        <f>IF(A20="","",E20*I20)</f>
        <v/>
      </c>
      <c r="L20" s="15">
        <f>IF(A20="","",IF(H20="JA",E20*J20,0))</f>
        <v/>
      </c>
      <c r="M20" s="15">
        <f>IF(A20="","",L20-K20)</f>
        <v/>
      </c>
    </row>
    <row r="21">
      <c r="A21" s="30" t="inlineStr"/>
      <c r="B21" s="38" t="inlineStr"/>
      <c r="C21" s="30" t="inlineStr"/>
      <c r="D21" s="30" t="inlineStr"/>
      <c r="E21" s="46" t="inlineStr"/>
      <c r="F21" s="30" t="inlineStr"/>
      <c r="G21" s="30" t="inlineStr"/>
      <c r="H21" s="30" t="inlineStr"/>
      <c r="I21" s="15">
        <f>IF(D21="","",IFERROR(VLOOKUP(D21,'04_Personal'!$A$4:$G$400,7,FALSE),0))</f>
        <v/>
      </c>
      <c r="J21" s="15">
        <f>IF(D21="","",IFERROR(VLOOKUP(D21,'04_Personal'!$A$4:$G$400,6,FALSE),VSSatz))</f>
        <v/>
      </c>
      <c r="K21" s="15">
        <f>IF(A21="","",E21*I21)</f>
        <v/>
      </c>
      <c r="L21" s="15">
        <f>IF(A21="","",IF(H21="JA",E21*J21,0))</f>
        <v/>
      </c>
      <c r="M21" s="15">
        <f>IF(A21="","",L21-K21)</f>
        <v/>
      </c>
    </row>
    <row r="22">
      <c r="A22" s="30" t="inlineStr"/>
      <c r="B22" s="38" t="inlineStr"/>
      <c r="C22" s="30" t="inlineStr"/>
      <c r="D22" s="30" t="inlineStr"/>
      <c r="E22" s="46" t="inlineStr"/>
      <c r="F22" s="30" t="inlineStr"/>
      <c r="G22" s="30" t="inlineStr"/>
      <c r="H22" s="30" t="inlineStr"/>
      <c r="I22" s="15">
        <f>IF(D22="","",IFERROR(VLOOKUP(D22,'04_Personal'!$A$4:$G$400,7,FALSE),0))</f>
        <v/>
      </c>
      <c r="J22" s="15">
        <f>IF(D22="","",IFERROR(VLOOKUP(D22,'04_Personal'!$A$4:$G$400,6,FALSE),VSSatz))</f>
        <v/>
      </c>
      <c r="K22" s="15">
        <f>IF(A22="","",E22*I22)</f>
        <v/>
      </c>
      <c r="L22" s="15">
        <f>IF(A22="","",IF(H22="JA",E22*J22,0))</f>
        <v/>
      </c>
      <c r="M22" s="15">
        <f>IF(A22="","",L22-K22)</f>
        <v/>
      </c>
    </row>
    <row r="23">
      <c r="A23" s="30" t="inlineStr"/>
      <c r="B23" s="38" t="inlineStr"/>
      <c r="C23" s="30" t="inlineStr"/>
      <c r="D23" s="30" t="inlineStr"/>
      <c r="E23" s="46" t="inlineStr"/>
      <c r="F23" s="30" t="inlineStr"/>
      <c r="G23" s="30" t="inlineStr"/>
      <c r="H23" s="30" t="inlineStr"/>
      <c r="I23" s="15">
        <f>IF(D23="","",IFERROR(VLOOKUP(D23,'04_Personal'!$A$4:$G$400,7,FALSE),0))</f>
        <v/>
      </c>
      <c r="J23" s="15">
        <f>IF(D23="","",IFERROR(VLOOKUP(D23,'04_Personal'!$A$4:$G$400,6,FALSE),VSSatz))</f>
        <v/>
      </c>
      <c r="K23" s="15">
        <f>IF(A23="","",E23*I23)</f>
        <v/>
      </c>
      <c r="L23" s="15">
        <f>IF(A23="","",IF(H23="JA",E23*J23,0))</f>
        <v/>
      </c>
      <c r="M23" s="15">
        <f>IF(A23="","",L23-K23)</f>
        <v/>
      </c>
    </row>
    <row r="24">
      <c r="A24" s="30" t="inlineStr"/>
      <c r="B24" s="38" t="inlineStr"/>
      <c r="C24" s="30" t="inlineStr"/>
      <c r="D24" s="30" t="inlineStr"/>
      <c r="E24" s="46" t="inlineStr"/>
      <c r="F24" s="30" t="inlineStr"/>
      <c r="G24" s="30" t="inlineStr"/>
      <c r="H24" s="30" t="inlineStr"/>
      <c r="I24" s="15">
        <f>IF(D24="","",IFERROR(VLOOKUP(D24,'04_Personal'!$A$4:$G$400,7,FALSE),0))</f>
        <v/>
      </c>
      <c r="J24" s="15">
        <f>IF(D24="","",IFERROR(VLOOKUP(D24,'04_Personal'!$A$4:$G$400,6,FALSE),VSSatz))</f>
        <v/>
      </c>
      <c r="K24" s="15">
        <f>IF(A24="","",E24*I24)</f>
        <v/>
      </c>
      <c r="L24" s="15">
        <f>IF(A24="","",IF(H24="JA",E24*J24,0))</f>
        <v/>
      </c>
      <c r="M24" s="15">
        <f>IF(A24="","",L24-K24)</f>
        <v/>
      </c>
    </row>
    <row r="25">
      <c r="A25" s="30" t="inlineStr"/>
      <c r="B25" s="38" t="inlineStr"/>
      <c r="C25" s="30" t="inlineStr"/>
      <c r="D25" s="30" t="inlineStr"/>
      <c r="E25" s="46" t="inlineStr"/>
      <c r="F25" s="30" t="inlineStr"/>
      <c r="G25" s="30" t="inlineStr"/>
      <c r="H25" s="30" t="inlineStr"/>
      <c r="I25" s="15">
        <f>IF(D25="","",IFERROR(VLOOKUP(D25,'04_Personal'!$A$4:$G$400,7,FALSE),0))</f>
        <v/>
      </c>
      <c r="J25" s="15">
        <f>IF(D25="","",IFERROR(VLOOKUP(D25,'04_Personal'!$A$4:$G$400,6,FALSE),VSSatz))</f>
        <v/>
      </c>
      <c r="K25" s="15">
        <f>IF(A25="","",E25*I25)</f>
        <v/>
      </c>
      <c r="L25" s="15">
        <f>IF(A25="","",IF(H25="JA",E25*J25,0))</f>
        <v/>
      </c>
      <c r="M25" s="15">
        <f>IF(A25="","",L25-K25)</f>
        <v/>
      </c>
    </row>
    <row r="26">
      <c r="A26" s="30" t="inlineStr"/>
      <c r="B26" s="38" t="inlineStr"/>
      <c r="C26" s="30" t="inlineStr"/>
      <c r="D26" s="30" t="inlineStr"/>
      <c r="E26" s="46" t="inlineStr"/>
      <c r="F26" s="30" t="inlineStr"/>
      <c r="G26" s="30" t="inlineStr"/>
      <c r="H26" s="30" t="inlineStr"/>
      <c r="I26" s="15">
        <f>IF(D26="","",IFERROR(VLOOKUP(D26,'04_Personal'!$A$4:$G$400,7,FALSE),0))</f>
        <v/>
      </c>
      <c r="J26" s="15">
        <f>IF(D26="","",IFERROR(VLOOKUP(D26,'04_Personal'!$A$4:$G$400,6,FALSE),VSSatz))</f>
        <v/>
      </c>
      <c r="K26" s="15">
        <f>IF(A26="","",E26*I26)</f>
        <v/>
      </c>
      <c r="L26" s="15">
        <f>IF(A26="","",IF(H26="JA",E26*J26,0))</f>
        <v/>
      </c>
      <c r="M26" s="15">
        <f>IF(A26="","",L26-K26)</f>
        <v/>
      </c>
    </row>
    <row r="27">
      <c r="A27" s="30" t="inlineStr"/>
      <c r="B27" s="38" t="inlineStr"/>
      <c r="C27" s="30" t="inlineStr"/>
      <c r="D27" s="30" t="inlineStr"/>
      <c r="E27" s="46" t="inlineStr"/>
      <c r="F27" s="30" t="inlineStr"/>
      <c r="G27" s="30" t="inlineStr"/>
      <c r="H27" s="30" t="inlineStr"/>
      <c r="I27" s="15">
        <f>IF(D27="","",IFERROR(VLOOKUP(D27,'04_Personal'!$A$4:$G$400,7,FALSE),0))</f>
        <v/>
      </c>
      <c r="J27" s="15">
        <f>IF(D27="","",IFERROR(VLOOKUP(D27,'04_Personal'!$A$4:$G$400,6,FALSE),VSSatz))</f>
        <v/>
      </c>
      <c r="K27" s="15">
        <f>IF(A27="","",E27*I27)</f>
        <v/>
      </c>
      <c r="L27" s="15">
        <f>IF(A27="","",IF(H27="JA",E27*J27,0))</f>
        <v/>
      </c>
      <c r="M27" s="15">
        <f>IF(A27="","",L27-K27)</f>
        <v/>
      </c>
    </row>
    <row r="28">
      <c r="A28" s="30" t="inlineStr"/>
      <c r="B28" s="38" t="inlineStr"/>
      <c r="C28" s="30" t="inlineStr"/>
      <c r="D28" s="30" t="inlineStr"/>
      <c r="E28" s="46" t="inlineStr"/>
      <c r="F28" s="30" t="inlineStr"/>
      <c r="G28" s="30" t="inlineStr"/>
      <c r="H28" s="30" t="inlineStr"/>
      <c r="I28" s="15">
        <f>IF(D28="","",IFERROR(VLOOKUP(D28,'04_Personal'!$A$4:$G$400,7,FALSE),0))</f>
        <v/>
      </c>
      <c r="J28" s="15">
        <f>IF(D28="","",IFERROR(VLOOKUP(D28,'04_Personal'!$A$4:$G$400,6,FALSE),VSSatz))</f>
        <v/>
      </c>
      <c r="K28" s="15">
        <f>IF(A28="","",E28*I28)</f>
        <v/>
      </c>
      <c r="L28" s="15">
        <f>IF(A28="","",IF(H28="JA",E28*J28,0))</f>
        <v/>
      </c>
      <c r="M28" s="15">
        <f>IF(A28="","",L28-K28)</f>
        <v/>
      </c>
    </row>
    <row r="29">
      <c r="A29" s="30" t="inlineStr"/>
      <c r="B29" s="38" t="inlineStr"/>
      <c r="C29" s="30" t="inlineStr"/>
      <c r="D29" s="30" t="inlineStr"/>
      <c r="E29" s="46" t="inlineStr"/>
      <c r="F29" s="30" t="inlineStr"/>
      <c r="G29" s="30" t="inlineStr"/>
      <c r="H29" s="30" t="inlineStr"/>
      <c r="I29" s="15">
        <f>IF(D29="","",IFERROR(VLOOKUP(D29,'04_Personal'!$A$4:$G$400,7,FALSE),0))</f>
        <v/>
      </c>
      <c r="J29" s="15">
        <f>IF(D29="","",IFERROR(VLOOKUP(D29,'04_Personal'!$A$4:$G$400,6,FALSE),VSSatz))</f>
        <v/>
      </c>
      <c r="K29" s="15">
        <f>IF(A29="","",E29*I29)</f>
        <v/>
      </c>
      <c r="L29" s="15">
        <f>IF(A29="","",IF(H29="JA",E29*J29,0))</f>
        <v/>
      </c>
      <c r="M29" s="15">
        <f>IF(A29="","",L29-K29)</f>
        <v/>
      </c>
    </row>
    <row r="30">
      <c r="A30" s="30" t="inlineStr"/>
      <c r="B30" s="38" t="inlineStr"/>
      <c r="C30" s="30" t="inlineStr"/>
      <c r="D30" s="30" t="inlineStr"/>
      <c r="E30" s="46" t="inlineStr"/>
      <c r="F30" s="30" t="inlineStr"/>
      <c r="G30" s="30" t="inlineStr"/>
      <c r="H30" s="30" t="inlineStr"/>
      <c r="I30" s="15">
        <f>IF(D30="","",IFERROR(VLOOKUP(D30,'04_Personal'!$A$4:$G$400,7,FALSE),0))</f>
        <v/>
      </c>
      <c r="J30" s="15">
        <f>IF(D30="","",IFERROR(VLOOKUP(D30,'04_Personal'!$A$4:$G$400,6,FALSE),VSSatz))</f>
        <v/>
      </c>
      <c r="K30" s="15">
        <f>IF(A30="","",E30*I30)</f>
        <v/>
      </c>
      <c r="L30" s="15">
        <f>IF(A30="","",IF(H30="JA",E30*J30,0))</f>
        <v/>
      </c>
      <c r="M30" s="15">
        <f>IF(A30="","",L30-K30)</f>
        <v/>
      </c>
    </row>
    <row r="31">
      <c r="A31" s="30" t="inlineStr"/>
      <c r="B31" s="38" t="inlineStr"/>
      <c r="C31" s="30" t="inlineStr"/>
      <c r="D31" s="30" t="inlineStr"/>
      <c r="E31" s="46" t="inlineStr"/>
      <c r="F31" s="30" t="inlineStr"/>
      <c r="G31" s="30" t="inlineStr"/>
      <c r="H31" s="30" t="inlineStr"/>
      <c r="I31" s="15">
        <f>IF(D31="","",IFERROR(VLOOKUP(D31,'04_Personal'!$A$4:$G$400,7,FALSE),0))</f>
        <v/>
      </c>
      <c r="J31" s="15">
        <f>IF(D31="","",IFERROR(VLOOKUP(D31,'04_Personal'!$A$4:$G$400,6,FALSE),VSSatz))</f>
        <v/>
      </c>
      <c r="K31" s="15">
        <f>IF(A31="","",E31*I31)</f>
        <v/>
      </c>
      <c r="L31" s="15">
        <f>IF(A31="","",IF(H31="JA",E31*J31,0))</f>
        <v/>
      </c>
      <c r="M31" s="15">
        <f>IF(A31="","",L31-K31)</f>
        <v/>
      </c>
    </row>
    <row r="32">
      <c r="A32" s="30" t="inlineStr"/>
      <c r="B32" s="38" t="inlineStr"/>
      <c r="C32" s="30" t="inlineStr"/>
      <c r="D32" s="30" t="inlineStr"/>
      <c r="E32" s="46" t="inlineStr"/>
      <c r="F32" s="30" t="inlineStr"/>
      <c r="G32" s="30" t="inlineStr"/>
      <c r="H32" s="30" t="inlineStr"/>
      <c r="I32" s="15">
        <f>IF(D32="","",IFERROR(VLOOKUP(D32,'04_Personal'!$A$4:$G$400,7,FALSE),0))</f>
        <v/>
      </c>
      <c r="J32" s="15">
        <f>IF(D32="","",IFERROR(VLOOKUP(D32,'04_Personal'!$A$4:$G$400,6,FALSE),VSSatz))</f>
        <v/>
      </c>
      <c r="K32" s="15">
        <f>IF(A32="","",E32*I32)</f>
        <v/>
      </c>
      <c r="L32" s="15">
        <f>IF(A32="","",IF(H32="JA",E32*J32,0))</f>
        <v/>
      </c>
      <c r="M32" s="15">
        <f>IF(A32="","",L32-K32)</f>
        <v/>
      </c>
    </row>
    <row r="33">
      <c r="A33" s="30" t="inlineStr"/>
      <c r="B33" s="38" t="inlineStr"/>
      <c r="C33" s="30" t="inlineStr"/>
      <c r="D33" s="30" t="inlineStr"/>
      <c r="E33" s="46" t="inlineStr"/>
      <c r="F33" s="30" t="inlineStr"/>
      <c r="G33" s="30" t="inlineStr"/>
      <c r="H33" s="30" t="inlineStr"/>
      <c r="I33" s="15">
        <f>IF(D33="","",IFERROR(VLOOKUP(D33,'04_Personal'!$A$4:$G$400,7,FALSE),0))</f>
        <v/>
      </c>
      <c r="J33" s="15">
        <f>IF(D33="","",IFERROR(VLOOKUP(D33,'04_Personal'!$A$4:$G$400,6,FALSE),VSSatz))</f>
        <v/>
      </c>
      <c r="K33" s="15">
        <f>IF(A33="","",E33*I33)</f>
        <v/>
      </c>
      <c r="L33" s="15">
        <f>IF(A33="","",IF(H33="JA",E33*J33,0))</f>
        <v/>
      </c>
      <c r="M33" s="15">
        <f>IF(A33="","",L33-K33)</f>
        <v/>
      </c>
    </row>
    <row r="34">
      <c r="A34" s="30" t="inlineStr"/>
      <c r="B34" s="38" t="inlineStr"/>
      <c r="C34" s="30" t="inlineStr"/>
      <c r="D34" s="30" t="inlineStr"/>
      <c r="E34" s="46" t="inlineStr"/>
      <c r="F34" s="30" t="inlineStr"/>
      <c r="G34" s="30" t="inlineStr"/>
      <c r="H34" s="30" t="inlineStr"/>
      <c r="I34" s="15">
        <f>IF(D34="","",IFERROR(VLOOKUP(D34,'04_Personal'!$A$4:$G$400,7,FALSE),0))</f>
        <v/>
      </c>
      <c r="J34" s="15">
        <f>IF(D34="","",IFERROR(VLOOKUP(D34,'04_Personal'!$A$4:$G$400,6,FALSE),VSSatz))</f>
        <v/>
      </c>
      <c r="K34" s="15">
        <f>IF(A34="","",E34*I34)</f>
        <v/>
      </c>
      <c r="L34" s="15">
        <f>IF(A34="","",IF(H34="JA",E34*J34,0))</f>
        <v/>
      </c>
      <c r="M34" s="15">
        <f>IF(A34="","",L34-K34)</f>
        <v/>
      </c>
    </row>
    <row r="35">
      <c r="A35" s="30" t="inlineStr"/>
      <c r="B35" s="38" t="inlineStr"/>
      <c r="C35" s="30" t="inlineStr"/>
      <c r="D35" s="30" t="inlineStr"/>
      <c r="E35" s="46" t="inlineStr"/>
      <c r="F35" s="30" t="inlineStr"/>
      <c r="G35" s="30" t="inlineStr"/>
      <c r="H35" s="30" t="inlineStr"/>
      <c r="I35" s="15">
        <f>IF(D35="","",IFERROR(VLOOKUP(D35,'04_Personal'!$A$4:$G$400,7,FALSE),0))</f>
        <v/>
      </c>
      <c r="J35" s="15">
        <f>IF(D35="","",IFERROR(VLOOKUP(D35,'04_Personal'!$A$4:$G$400,6,FALSE),VSSatz))</f>
        <v/>
      </c>
      <c r="K35" s="15">
        <f>IF(A35="","",E35*I35)</f>
        <v/>
      </c>
      <c r="L35" s="15">
        <f>IF(A35="","",IF(H35="JA",E35*J35,0))</f>
        <v/>
      </c>
      <c r="M35" s="15">
        <f>IF(A35="","",L35-K35)</f>
        <v/>
      </c>
    </row>
    <row r="36">
      <c r="A36" s="30" t="inlineStr"/>
      <c r="B36" s="38" t="inlineStr"/>
      <c r="C36" s="30" t="inlineStr"/>
      <c r="D36" s="30" t="inlineStr"/>
      <c r="E36" s="46" t="inlineStr"/>
      <c r="F36" s="30" t="inlineStr"/>
      <c r="G36" s="30" t="inlineStr"/>
      <c r="H36" s="30" t="inlineStr"/>
      <c r="I36" s="15">
        <f>IF(D36="","",IFERROR(VLOOKUP(D36,'04_Personal'!$A$4:$G$400,7,FALSE),0))</f>
        <v/>
      </c>
      <c r="J36" s="15">
        <f>IF(D36="","",IFERROR(VLOOKUP(D36,'04_Personal'!$A$4:$G$400,6,FALSE),VSSatz))</f>
        <v/>
      </c>
      <c r="K36" s="15">
        <f>IF(A36="","",E36*I36)</f>
        <v/>
      </c>
      <c r="L36" s="15">
        <f>IF(A36="","",IF(H36="JA",E36*J36,0))</f>
        <v/>
      </c>
      <c r="M36" s="15">
        <f>IF(A36="","",L36-K36)</f>
        <v/>
      </c>
    </row>
    <row r="37">
      <c r="A37" s="30" t="inlineStr"/>
      <c r="B37" s="38" t="inlineStr"/>
      <c r="C37" s="30" t="inlineStr"/>
      <c r="D37" s="30" t="inlineStr"/>
      <c r="E37" s="46" t="inlineStr"/>
      <c r="F37" s="30" t="inlineStr"/>
      <c r="G37" s="30" t="inlineStr"/>
      <c r="H37" s="30" t="inlineStr"/>
      <c r="I37" s="15">
        <f>IF(D37="","",IFERROR(VLOOKUP(D37,'04_Personal'!$A$4:$G$400,7,FALSE),0))</f>
        <v/>
      </c>
      <c r="J37" s="15">
        <f>IF(D37="","",IFERROR(VLOOKUP(D37,'04_Personal'!$A$4:$G$400,6,FALSE),VSSatz))</f>
        <v/>
      </c>
      <c r="K37" s="15">
        <f>IF(A37="","",E37*I37)</f>
        <v/>
      </c>
      <c r="L37" s="15">
        <f>IF(A37="","",IF(H37="JA",E37*J37,0))</f>
        <v/>
      </c>
      <c r="M37" s="15">
        <f>IF(A37="","",L37-K37)</f>
        <v/>
      </c>
    </row>
    <row r="38">
      <c r="A38" s="30" t="inlineStr"/>
      <c r="B38" s="38" t="inlineStr"/>
      <c r="C38" s="30" t="inlineStr"/>
      <c r="D38" s="30" t="inlineStr"/>
      <c r="E38" s="46" t="inlineStr"/>
      <c r="F38" s="30" t="inlineStr"/>
      <c r="G38" s="30" t="inlineStr"/>
      <c r="H38" s="30" t="inlineStr"/>
      <c r="I38" s="15">
        <f>IF(D38="","",IFERROR(VLOOKUP(D38,'04_Personal'!$A$4:$G$400,7,FALSE),0))</f>
        <v/>
      </c>
      <c r="J38" s="15">
        <f>IF(D38="","",IFERROR(VLOOKUP(D38,'04_Personal'!$A$4:$G$400,6,FALSE),VSSatz))</f>
        <v/>
      </c>
      <c r="K38" s="15">
        <f>IF(A38="","",E38*I38)</f>
        <v/>
      </c>
      <c r="L38" s="15">
        <f>IF(A38="","",IF(H38="JA",E38*J38,0))</f>
        <v/>
      </c>
      <c r="M38" s="15">
        <f>IF(A38="","",L38-K38)</f>
        <v/>
      </c>
    </row>
    <row r="39">
      <c r="A39" s="30" t="inlineStr"/>
      <c r="B39" s="38" t="inlineStr"/>
      <c r="C39" s="30" t="inlineStr"/>
      <c r="D39" s="30" t="inlineStr"/>
      <c r="E39" s="46" t="inlineStr"/>
      <c r="F39" s="30" t="inlineStr"/>
      <c r="G39" s="30" t="inlineStr"/>
      <c r="H39" s="30" t="inlineStr"/>
      <c r="I39" s="15">
        <f>IF(D39="","",IFERROR(VLOOKUP(D39,'04_Personal'!$A$4:$G$400,7,FALSE),0))</f>
        <v/>
      </c>
      <c r="J39" s="15">
        <f>IF(D39="","",IFERROR(VLOOKUP(D39,'04_Personal'!$A$4:$G$400,6,FALSE),VSSatz))</f>
        <v/>
      </c>
      <c r="K39" s="15">
        <f>IF(A39="","",E39*I39)</f>
        <v/>
      </c>
      <c r="L39" s="15">
        <f>IF(A39="","",IF(H39="JA",E39*J39,0))</f>
        <v/>
      </c>
      <c r="M39" s="15">
        <f>IF(A39="","",L39-K39)</f>
        <v/>
      </c>
    </row>
    <row r="40">
      <c r="A40" s="30" t="inlineStr"/>
      <c r="B40" s="38" t="inlineStr"/>
      <c r="C40" s="30" t="inlineStr"/>
      <c r="D40" s="30" t="inlineStr"/>
      <c r="E40" s="46" t="inlineStr"/>
      <c r="F40" s="30" t="inlineStr"/>
      <c r="G40" s="30" t="inlineStr"/>
      <c r="H40" s="30" t="inlineStr"/>
      <c r="I40" s="15">
        <f>IF(D40="","",IFERROR(VLOOKUP(D40,'04_Personal'!$A$4:$G$400,7,FALSE),0))</f>
        <v/>
      </c>
      <c r="J40" s="15">
        <f>IF(D40="","",IFERROR(VLOOKUP(D40,'04_Personal'!$A$4:$G$400,6,FALSE),VSSatz))</f>
        <v/>
      </c>
      <c r="K40" s="15">
        <f>IF(A40="","",E40*I40)</f>
        <v/>
      </c>
      <c r="L40" s="15">
        <f>IF(A40="","",IF(H40="JA",E40*J40,0))</f>
        <v/>
      </c>
      <c r="M40" s="15">
        <f>IF(A40="","",L40-K40)</f>
        <v/>
      </c>
    </row>
    <row r="41">
      <c r="A41" s="30" t="inlineStr"/>
      <c r="B41" s="38" t="inlineStr"/>
      <c r="C41" s="30" t="inlineStr"/>
      <c r="D41" s="30" t="inlineStr"/>
      <c r="E41" s="46" t="inlineStr"/>
      <c r="F41" s="30" t="inlineStr"/>
      <c r="G41" s="30" t="inlineStr"/>
      <c r="H41" s="30" t="inlineStr"/>
      <c r="I41" s="15">
        <f>IF(D41="","",IFERROR(VLOOKUP(D41,'04_Personal'!$A$4:$G$400,7,FALSE),0))</f>
        <v/>
      </c>
      <c r="J41" s="15">
        <f>IF(D41="","",IFERROR(VLOOKUP(D41,'04_Personal'!$A$4:$G$400,6,FALSE),VSSatz))</f>
        <v/>
      </c>
      <c r="K41" s="15">
        <f>IF(A41="","",E41*I41)</f>
        <v/>
      </c>
      <c r="L41" s="15">
        <f>IF(A41="","",IF(H41="JA",E41*J41,0))</f>
        <v/>
      </c>
      <c r="M41" s="15">
        <f>IF(A41="","",L41-K41)</f>
        <v/>
      </c>
    </row>
    <row r="42">
      <c r="A42" s="30" t="inlineStr"/>
      <c r="B42" s="38" t="inlineStr"/>
      <c r="C42" s="30" t="inlineStr"/>
      <c r="D42" s="30" t="inlineStr"/>
      <c r="E42" s="46" t="inlineStr"/>
      <c r="F42" s="30" t="inlineStr"/>
      <c r="G42" s="30" t="inlineStr"/>
      <c r="H42" s="30" t="inlineStr"/>
      <c r="I42" s="15">
        <f>IF(D42="","",IFERROR(VLOOKUP(D42,'04_Personal'!$A$4:$G$400,7,FALSE),0))</f>
        <v/>
      </c>
      <c r="J42" s="15">
        <f>IF(D42="","",IFERROR(VLOOKUP(D42,'04_Personal'!$A$4:$G$400,6,FALSE),VSSatz))</f>
        <v/>
      </c>
      <c r="K42" s="15">
        <f>IF(A42="","",E42*I42)</f>
        <v/>
      </c>
      <c r="L42" s="15">
        <f>IF(A42="","",IF(H42="JA",E42*J42,0))</f>
        <v/>
      </c>
      <c r="M42" s="15">
        <f>IF(A42="","",L42-K42)</f>
        <v/>
      </c>
    </row>
    <row r="43">
      <c r="A43" s="30" t="inlineStr"/>
      <c r="B43" s="38" t="inlineStr"/>
      <c r="C43" s="30" t="inlineStr"/>
      <c r="D43" s="30" t="inlineStr"/>
      <c r="E43" s="46" t="inlineStr"/>
      <c r="F43" s="30" t="inlineStr"/>
      <c r="G43" s="30" t="inlineStr"/>
      <c r="H43" s="30" t="inlineStr"/>
      <c r="I43" s="15">
        <f>IF(D43="","",IFERROR(VLOOKUP(D43,'04_Personal'!$A$4:$G$400,7,FALSE),0))</f>
        <v/>
      </c>
      <c r="J43" s="15">
        <f>IF(D43="","",IFERROR(VLOOKUP(D43,'04_Personal'!$A$4:$G$400,6,FALSE),VSSatz))</f>
        <v/>
      </c>
      <c r="K43" s="15">
        <f>IF(A43="","",E43*I43)</f>
        <v/>
      </c>
      <c r="L43" s="15">
        <f>IF(A43="","",IF(H43="JA",E43*J43,0))</f>
        <v/>
      </c>
      <c r="M43" s="15">
        <f>IF(A43="","",L43-K43)</f>
        <v/>
      </c>
    </row>
    <row r="44">
      <c r="A44" s="30" t="inlineStr"/>
      <c r="B44" s="38" t="inlineStr"/>
      <c r="C44" s="30" t="inlineStr"/>
      <c r="D44" s="30" t="inlineStr"/>
      <c r="E44" s="46" t="inlineStr"/>
      <c r="F44" s="30" t="inlineStr"/>
      <c r="G44" s="30" t="inlineStr"/>
      <c r="H44" s="30" t="inlineStr"/>
      <c r="I44" s="15">
        <f>IF(D44="","",IFERROR(VLOOKUP(D44,'04_Personal'!$A$4:$G$400,7,FALSE),0))</f>
        <v/>
      </c>
      <c r="J44" s="15">
        <f>IF(D44="","",IFERROR(VLOOKUP(D44,'04_Personal'!$A$4:$G$400,6,FALSE),VSSatz))</f>
        <v/>
      </c>
      <c r="K44" s="15">
        <f>IF(A44="","",E44*I44)</f>
        <v/>
      </c>
      <c r="L44" s="15">
        <f>IF(A44="","",IF(H44="JA",E44*J44,0))</f>
        <v/>
      </c>
      <c r="M44" s="15">
        <f>IF(A44="","",L44-K44)</f>
        <v/>
      </c>
    </row>
    <row r="45">
      <c r="A45" s="30" t="inlineStr"/>
      <c r="B45" s="38" t="inlineStr"/>
      <c r="C45" s="30" t="inlineStr"/>
      <c r="D45" s="30" t="inlineStr"/>
      <c r="E45" s="46" t="inlineStr"/>
      <c r="F45" s="30" t="inlineStr"/>
      <c r="G45" s="30" t="inlineStr"/>
      <c r="H45" s="30" t="inlineStr"/>
      <c r="I45" s="15">
        <f>IF(D45="","",IFERROR(VLOOKUP(D45,'04_Personal'!$A$4:$G$400,7,FALSE),0))</f>
        <v/>
      </c>
      <c r="J45" s="15">
        <f>IF(D45="","",IFERROR(VLOOKUP(D45,'04_Personal'!$A$4:$G$400,6,FALSE),VSSatz))</f>
        <v/>
      </c>
      <c r="K45" s="15">
        <f>IF(A45="","",E45*I45)</f>
        <v/>
      </c>
      <c r="L45" s="15">
        <f>IF(A45="","",IF(H45="JA",E45*J45,0))</f>
        <v/>
      </c>
      <c r="M45" s="15">
        <f>IF(A45="","",L45-K45)</f>
        <v/>
      </c>
    </row>
    <row r="46">
      <c r="A46" s="30" t="inlineStr"/>
      <c r="B46" s="38" t="inlineStr"/>
      <c r="C46" s="30" t="inlineStr"/>
      <c r="D46" s="30" t="inlineStr"/>
      <c r="E46" s="46" t="inlineStr"/>
      <c r="F46" s="30" t="inlineStr"/>
      <c r="G46" s="30" t="inlineStr"/>
      <c r="H46" s="30" t="inlineStr"/>
      <c r="I46" s="15">
        <f>IF(D46="","",IFERROR(VLOOKUP(D46,'04_Personal'!$A$4:$G$400,7,FALSE),0))</f>
        <v/>
      </c>
      <c r="J46" s="15">
        <f>IF(D46="","",IFERROR(VLOOKUP(D46,'04_Personal'!$A$4:$G$400,6,FALSE),VSSatz))</f>
        <v/>
      </c>
      <c r="K46" s="15">
        <f>IF(A46="","",E46*I46)</f>
        <v/>
      </c>
      <c r="L46" s="15">
        <f>IF(A46="","",IF(H46="JA",E46*J46,0))</f>
        <v/>
      </c>
      <c r="M46" s="15">
        <f>IF(A46="","",L46-K46)</f>
        <v/>
      </c>
    </row>
    <row r="47">
      <c r="A47" s="30" t="inlineStr"/>
      <c r="B47" s="38" t="inlineStr"/>
      <c r="C47" s="30" t="inlineStr"/>
      <c r="D47" s="30" t="inlineStr"/>
      <c r="E47" s="46" t="inlineStr"/>
      <c r="F47" s="30" t="inlineStr"/>
      <c r="G47" s="30" t="inlineStr"/>
      <c r="H47" s="30" t="inlineStr"/>
      <c r="I47" s="15">
        <f>IF(D47="","",IFERROR(VLOOKUP(D47,'04_Personal'!$A$4:$G$400,7,FALSE),0))</f>
        <v/>
      </c>
      <c r="J47" s="15">
        <f>IF(D47="","",IFERROR(VLOOKUP(D47,'04_Personal'!$A$4:$G$400,6,FALSE),VSSatz))</f>
        <v/>
      </c>
      <c r="K47" s="15">
        <f>IF(A47="","",E47*I47)</f>
        <v/>
      </c>
      <c r="L47" s="15">
        <f>IF(A47="","",IF(H47="JA",E47*J47,0))</f>
        <v/>
      </c>
      <c r="M47" s="15">
        <f>IF(A47="","",L47-K47)</f>
        <v/>
      </c>
    </row>
    <row r="48">
      <c r="A48" s="30" t="inlineStr"/>
      <c r="B48" s="38" t="inlineStr"/>
      <c r="C48" s="30" t="inlineStr"/>
      <c r="D48" s="30" t="inlineStr"/>
      <c r="E48" s="46" t="inlineStr"/>
      <c r="F48" s="30" t="inlineStr"/>
      <c r="G48" s="30" t="inlineStr"/>
      <c r="H48" s="30" t="inlineStr"/>
      <c r="I48" s="15">
        <f>IF(D48="","",IFERROR(VLOOKUP(D48,'04_Personal'!$A$4:$G$400,7,FALSE),0))</f>
        <v/>
      </c>
      <c r="J48" s="15">
        <f>IF(D48="","",IFERROR(VLOOKUP(D48,'04_Personal'!$A$4:$G$400,6,FALSE),VSSatz))</f>
        <v/>
      </c>
      <c r="K48" s="15">
        <f>IF(A48="","",E48*I48)</f>
        <v/>
      </c>
      <c r="L48" s="15">
        <f>IF(A48="","",IF(H48="JA",E48*J48,0))</f>
        <v/>
      </c>
      <c r="M48" s="15">
        <f>IF(A48="","",L48-K48)</f>
        <v/>
      </c>
    </row>
    <row r="49">
      <c r="A49" s="30" t="inlineStr"/>
      <c r="B49" s="38" t="inlineStr"/>
      <c r="C49" s="30" t="inlineStr"/>
      <c r="D49" s="30" t="inlineStr"/>
      <c r="E49" s="46" t="inlineStr"/>
      <c r="F49" s="30" t="inlineStr"/>
      <c r="G49" s="30" t="inlineStr"/>
      <c r="H49" s="30" t="inlineStr"/>
      <c r="I49" s="15">
        <f>IF(D49="","",IFERROR(VLOOKUP(D49,'04_Personal'!$A$4:$G$400,7,FALSE),0))</f>
        <v/>
      </c>
      <c r="J49" s="15">
        <f>IF(D49="","",IFERROR(VLOOKUP(D49,'04_Personal'!$A$4:$G$400,6,FALSE),VSSatz))</f>
        <v/>
      </c>
      <c r="K49" s="15">
        <f>IF(A49="","",E49*I49)</f>
        <v/>
      </c>
      <c r="L49" s="15">
        <f>IF(A49="","",IF(H49="JA",E49*J49,0))</f>
        <v/>
      </c>
      <c r="M49" s="15">
        <f>IF(A49="","",L49-K49)</f>
        <v/>
      </c>
    </row>
    <row r="50">
      <c r="A50" s="30" t="inlineStr"/>
      <c r="B50" s="38" t="inlineStr"/>
      <c r="C50" s="30" t="inlineStr"/>
      <c r="D50" s="30" t="inlineStr"/>
      <c r="E50" s="46" t="inlineStr"/>
      <c r="F50" s="30" t="inlineStr"/>
      <c r="G50" s="30" t="inlineStr"/>
      <c r="H50" s="30" t="inlineStr"/>
      <c r="I50" s="15">
        <f>IF(D50="","",IFERROR(VLOOKUP(D50,'04_Personal'!$A$4:$G$400,7,FALSE),0))</f>
        <v/>
      </c>
      <c r="J50" s="15">
        <f>IF(D50="","",IFERROR(VLOOKUP(D50,'04_Personal'!$A$4:$G$400,6,FALSE),VSSatz))</f>
        <v/>
      </c>
      <c r="K50" s="15">
        <f>IF(A50="","",E50*I50)</f>
        <v/>
      </c>
      <c r="L50" s="15">
        <f>IF(A50="","",IF(H50="JA",E50*J50,0))</f>
        <v/>
      </c>
      <c r="M50" s="15">
        <f>IF(A50="","",L50-K50)</f>
        <v/>
      </c>
    </row>
    <row r="51">
      <c r="A51" s="30" t="inlineStr"/>
      <c r="B51" s="38" t="inlineStr"/>
      <c r="C51" s="30" t="inlineStr"/>
      <c r="D51" s="30" t="inlineStr"/>
      <c r="E51" s="46" t="inlineStr"/>
      <c r="F51" s="30" t="inlineStr"/>
      <c r="G51" s="30" t="inlineStr"/>
      <c r="H51" s="30" t="inlineStr"/>
      <c r="I51" s="15">
        <f>IF(D51="","",IFERROR(VLOOKUP(D51,'04_Personal'!$A$4:$G$400,7,FALSE),0))</f>
        <v/>
      </c>
      <c r="J51" s="15">
        <f>IF(D51="","",IFERROR(VLOOKUP(D51,'04_Personal'!$A$4:$G$400,6,FALSE),VSSatz))</f>
        <v/>
      </c>
      <c r="K51" s="15">
        <f>IF(A51="","",E51*I51)</f>
        <v/>
      </c>
      <c r="L51" s="15">
        <f>IF(A51="","",IF(H51="JA",E51*J51,0))</f>
        <v/>
      </c>
      <c r="M51" s="15">
        <f>IF(A51="","",L51-K51)</f>
        <v/>
      </c>
    </row>
    <row r="52">
      <c r="A52" s="30" t="inlineStr"/>
      <c r="B52" s="38" t="inlineStr"/>
      <c r="C52" s="30" t="inlineStr"/>
      <c r="D52" s="30" t="inlineStr"/>
      <c r="E52" s="46" t="inlineStr"/>
      <c r="F52" s="30" t="inlineStr"/>
      <c r="G52" s="30" t="inlineStr"/>
      <c r="H52" s="30" t="inlineStr"/>
      <c r="I52" s="15">
        <f>IF(D52="","",IFERROR(VLOOKUP(D52,'04_Personal'!$A$4:$G$400,7,FALSE),0))</f>
        <v/>
      </c>
      <c r="J52" s="15">
        <f>IF(D52="","",IFERROR(VLOOKUP(D52,'04_Personal'!$A$4:$G$400,6,FALSE),VSSatz))</f>
        <v/>
      </c>
      <c r="K52" s="15">
        <f>IF(A52="","",E52*I52)</f>
        <v/>
      </c>
      <c r="L52" s="15">
        <f>IF(A52="","",IF(H52="JA",E52*J52,0))</f>
        <v/>
      </c>
      <c r="M52" s="15">
        <f>IF(A52="","",L52-K52)</f>
        <v/>
      </c>
    </row>
    <row r="53">
      <c r="A53" s="30" t="inlineStr"/>
      <c r="B53" s="38" t="inlineStr"/>
      <c r="C53" s="30" t="inlineStr"/>
      <c r="D53" s="30" t="inlineStr"/>
      <c r="E53" s="46" t="inlineStr"/>
      <c r="F53" s="30" t="inlineStr"/>
      <c r="G53" s="30" t="inlineStr"/>
      <c r="H53" s="30" t="inlineStr"/>
      <c r="I53" s="15">
        <f>IF(D53="","",IFERROR(VLOOKUP(D53,'04_Personal'!$A$4:$G$400,7,FALSE),0))</f>
        <v/>
      </c>
      <c r="J53" s="15">
        <f>IF(D53="","",IFERROR(VLOOKUP(D53,'04_Personal'!$A$4:$G$400,6,FALSE),VSSatz))</f>
        <v/>
      </c>
      <c r="K53" s="15">
        <f>IF(A53="","",E53*I53)</f>
        <v/>
      </c>
      <c r="L53" s="15">
        <f>IF(A53="","",IF(H53="JA",E53*J53,0))</f>
        <v/>
      </c>
      <c r="M53" s="15">
        <f>IF(A53="","",L53-K53)</f>
        <v/>
      </c>
    </row>
    <row r="54">
      <c r="A54" s="30" t="inlineStr"/>
      <c r="B54" s="38" t="inlineStr"/>
      <c r="C54" s="30" t="inlineStr"/>
      <c r="D54" s="30" t="inlineStr"/>
      <c r="E54" s="46" t="inlineStr"/>
      <c r="F54" s="30" t="inlineStr"/>
      <c r="G54" s="30" t="inlineStr"/>
      <c r="H54" s="30" t="inlineStr"/>
      <c r="I54" s="15">
        <f>IF(D54="","",IFERROR(VLOOKUP(D54,'04_Personal'!$A$4:$G$400,7,FALSE),0))</f>
        <v/>
      </c>
      <c r="J54" s="15">
        <f>IF(D54="","",IFERROR(VLOOKUP(D54,'04_Personal'!$A$4:$G$400,6,FALSE),VSSatz))</f>
        <v/>
      </c>
      <c r="K54" s="15">
        <f>IF(A54="","",E54*I54)</f>
        <v/>
      </c>
      <c r="L54" s="15">
        <f>IF(A54="","",IF(H54="JA",E54*J54,0))</f>
        <v/>
      </c>
      <c r="M54" s="15">
        <f>IF(A54="","",L54-K54)</f>
        <v/>
      </c>
    </row>
    <row r="55">
      <c r="A55" s="30" t="inlineStr"/>
      <c r="B55" s="38" t="inlineStr"/>
      <c r="C55" s="30" t="inlineStr"/>
      <c r="D55" s="30" t="inlineStr"/>
      <c r="E55" s="46" t="inlineStr"/>
      <c r="F55" s="30" t="inlineStr"/>
      <c r="G55" s="30" t="inlineStr"/>
      <c r="H55" s="30" t="inlineStr"/>
      <c r="I55" s="15">
        <f>IF(D55="","",IFERROR(VLOOKUP(D55,'04_Personal'!$A$4:$G$400,7,FALSE),0))</f>
        <v/>
      </c>
      <c r="J55" s="15">
        <f>IF(D55="","",IFERROR(VLOOKUP(D55,'04_Personal'!$A$4:$G$400,6,FALSE),VSSatz))</f>
        <v/>
      </c>
      <c r="K55" s="15">
        <f>IF(A55="","",E55*I55)</f>
        <v/>
      </c>
      <c r="L55" s="15">
        <f>IF(A55="","",IF(H55="JA",E55*J55,0))</f>
        <v/>
      </c>
      <c r="M55" s="15">
        <f>IF(A55="","",L55-K55)</f>
        <v/>
      </c>
    </row>
    <row r="56">
      <c r="A56" s="30" t="inlineStr"/>
      <c r="B56" s="38" t="inlineStr"/>
      <c r="C56" s="30" t="inlineStr"/>
      <c r="D56" s="30" t="inlineStr"/>
      <c r="E56" s="46" t="inlineStr"/>
      <c r="F56" s="30" t="inlineStr"/>
      <c r="G56" s="30" t="inlineStr"/>
      <c r="H56" s="30" t="inlineStr"/>
      <c r="I56" s="15">
        <f>IF(D56="","",IFERROR(VLOOKUP(D56,'04_Personal'!$A$4:$G$400,7,FALSE),0))</f>
        <v/>
      </c>
      <c r="J56" s="15">
        <f>IF(D56="","",IFERROR(VLOOKUP(D56,'04_Personal'!$A$4:$G$400,6,FALSE),VSSatz))</f>
        <v/>
      </c>
      <c r="K56" s="15">
        <f>IF(A56="","",E56*I56)</f>
        <v/>
      </c>
      <c r="L56" s="15">
        <f>IF(A56="","",IF(H56="JA",E56*J56,0))</f>
        <v/>
      </c>
      <c r="M56" s="15">
        <f>IF(A56="","",L56-K56)</f>
        <v/>
      </c>
    </row>
    <row r="57">
      <c r="A57" s="30" t="inlineStr"/>
      <c r="B57" s="38" t="inlineStr"/>
      <c r="C57" s="30" t="inlineStr"/>
      <c r="D57" s="30" t="inlineStr"/>
      <c r="E57" s="46" t="inlineStr"/>
      <c r="F57" s="30" t="inlineStr"/>
      <c r="G57" s="30" t="inlineStr"/>
      <c r="H57" s="30" t="inlineStr"/>
      <c r="I57" s="15">
        <f>IF(D57="","",IFERROR(VLOOKUP(D57,'04_Personal'!$A$4:$G$400,7,FALSE),0))</f>
        <v/>
      </c>
      <c r="J57" s="15">
        <f>IF(D57="","",IFERROR(VLOOKUP(D57,'04_Personal'!$A$4:$G$400,6,FALSE),VSSatz))</f>
        <v/>
      </c>
      <c r="K57" s="15">
        <f>IF(A57="","",E57*I57)</f>
        <v/>
      </c>
      <c r="L57" s="15">
        <f>IF(A57="","",IF(H57="JA",E57*J57,0))</f>
        <v/>
      </c>
      <c r="M57" s="15">
        <f>IF(A57="","",L57-K57)</f>
        <v/>
      </c>
    </row>
    <row r="58">
      <c r="A58" s="30" t="inlineStr"/>
      <c r="B58" s="38" t="inlineStr"/>
      <c r="C58" s="30" t="inlineStr"/>
      <c r="D58" s="30" t="inlineStr"/>
      <c r="E58" s="46" t="inlineStr"/>
      <c r="F58" s="30" t="inlineStr"/>
      <c r="G58" s="30" t="inlineStr"/>
      <c r="H58" s="30" t="inlineStr"/>
      <c r="I58" s="15">
        <f>IF(D58="","",IFERROR(VLOOKUP(D58,'04_Personal'!$A$4:$G$400,7,FALSE),0))</f>
        <v/>
      </c>
      <c r="J58" s="15">
        <f>IF(D58="","",IFERROR(VLOOKUP(D58,'04_Personal'!$A$4:$G$400,6,FALSE),VSSatz))</f>
        <v/>
      </c>
      <c r="K58" s="15">
        <f>IF(A58="","",E58*I58)</f>
        <v/>
      </c>
      <c r="L58" s="15">
        <f>IF(A58="","",IF(H58="JA",E58*J58,0))</f>
        <v/>
      </c>
      <c r="M58" s="15">
        <f>IF(A58="","",L58-K58)</f>
        <v/>
      </c>
    </row>
    <row r="59">
      <c r="A59" s="30" t="inlineStr"/>
      <c r="B59" s="38" t="inlineStr"/>
      <c r="C59" s="30" t="inlineStr"/>
      <c r="D59" s="30" t="inlineStr"/>
      <c r="E59" s="46" t="inlineStr"/>
      <c r="F59" s="30" t="inlineStr"/>
      <c r="G59" s="30" t="inlineStr"/>
      <c r="H59" s="30" t="inlineStr"/>
      <c r="I59" s="15">
        <f>IF(D59="","",IFERROR(VLOOKUP(D59,'04_Personal'!$A$4:$G$400,7,FALSE),0))</f>
        <v/>
      </c>
      <c r="J59" s="15">
        <f>IF(D59="","",IFERROR(VLOOKUP(D59,'04_Personal'!$A$4:$G$400,6,FALSE),VSSatz))</f>
        <v/>
      </c>
      <c r="K59" s="15">
        <f>IF(A59="","",E59*I59)</f>
        <v/>
      </c>
      <c r="L59" s="15">
        <f>IF(A59="","",IF(H59="JA",E59*J59,0))</f>
        <v/>
      </c>
      <c r="M59" s="15">
        <f>IF(A59="","",L59-K59)</f>
        <v/>
      </c>
    </row>
    <row r="60">
      <c r="A60" s="30" t="inlineStr"/>
      <c r="B60" s="38" t="inlineStr"/>
      <c r="C60" s="30" t="inlineStr"/>
      <c r="D60" s="30" t="inlineStr"/>
      <c r="E60" s="46" t="inlineStr"/>
      <c r="F60" s="30" t="inlineStr"/>
      <c r="G60" s="30" t="inlineStr"/>
      <c r="H60" s="30" t="inlineStr"/>
      <c r="I60" s="15">
        <f>IF(D60="","",IFERROR(VLOOKUP(D60,'04_Personal'!$A$4:$G$400,7,FALSE),0))</f>
        <v/>
      </c>
      <c r="J60" s="15">
        <f>IF(D60="","",IFERROR(VLOOKUP(D60,'04_Personal'!$A$4:$G$400,6,FALSE),VSSatz))</f>
        <v/>
      </c>
      <c r="K60" s="15">
        <f>IF(A60="","",E60*I60)</f>
        <v/>
      </c>
      <c r="L60" s="15">
        <f>IF(A60="","",IF(H60="JA",E60*J60,0))</f>
        <v/>
      </c>
      <c r="M60" s="15">
        <f>IF(A60="","",L60-K60)</f>
        <v/>
      </c>
    </row>
    <row r="61">
      <c r="A61" s="30" t="inlineStr"/>
      <c r="B61" s="38" t="inlineStr"/>
      <c r="C61" s="30" t="inlineStr"/>
      <c r="D61" s="30" t="inlineStr"/>
      <c r="E61" s="46" t="inlineStr"/>
      <c r="F61" s="30" t="inlineStr"/>
      <c r="G61" s="30" t="inlineStr"/>
      <c r="H61" s="30" t="inlineStr"/>
      <c r="I61" s="15">
        <f>IF(D61="","",IFERROR(VLOOKUP(D61,'04_Personal'!$A$4:$G$400,7,FALSE),0))</f>
        <v/>
      </c>
      <c r="J61" s="15">
        <f>IF(D61="","",IFERROR(VLOOKUP(D61,'04_Personal'!$A$4:$G$400,6,FALSE),VSSatz))</f>
        <v/>
      </c>
      <c r="K61" s="15">
        <f>IF(A61="","",E61*I61)</f>
        <v/>
      </c>
      <c r="L61" s="15">
        <f>IF(A61="","",IF(H61="JA",E61*J61,0))</f>
        <v/>
      </c>
      <c r="M61" s="15">
        <f>IF(A61="","",L61-K61)</f>
        <v/>
      </c>
    </row>
    <row r="62">
      <c r="A62" s="30" t="inlineStr"/>
      <c r="B62" s="38" t="inlineStr"/>
      <c r="C62" s="30" t="inlineStr"/>
      <c r="D62" s="30" t="inlineStr"/>
      <c r="E62" s="46" t="inlineStr"/>
      <c r="F62" s="30" t="inlineStr"/>
      <c r="G62" s="30" t="inlineStr"/>
      <c r="H62" s="30" t="inlineStr"/>
      <c r="I62" s="15">
        <f>IF(D62="","",IFERROR(VLOOKUP(D62,'04_Personal'!$A$4:$G$400,7,FALSE),0))</f>
        <v/>
      </c>
      <c r="J62" s="15">
        <f>IF(D62="","",IFERROR(VLOOKUP(D62,'04_Personal'!$A$4:$G$400,6,FALSE),VSSatz))</f>
        <v/>
      </c>
      <c r="K62" s="15">
        <f>IF(A62="","",E62*I62)</f>
        <v/>
      </c>
      <c r="L62" s="15">
        <f>IF(A62="","",IF(H62="JA",E62*J62,0))</f>
        <v/>
      </c>
      <c r="M62" s="15">
        <f>IF(A62="","",L62-K62)</f>
        <v/>
      </c>
    </row>
    <row r="63">
      <c r="A63" s="30" t="inlineStr"/>
      <c r="B63" s="38" t="inlineStr"/>
      <c r="C63" s="30" t="inlineStr"/>
      <c r="D63" s="30" t="inlineStr"/>
      <c r="E63" s="46" t="inlineStr"/>
      <c r="F63" s="30" t="inlineStr"/>
      <c r="G63" s="30" t="inlineStr"/>
      <c r="H63" s="30" t="inlineStr"/>
      <c r="I63" s="15">
        <f>IF(D63="","",IFERROR(VLOOKUP(D63,'04_Personal'!$A$4:$G$400,7,FALSE),0))</f>
        <v/>
      </c>
      <c r="J63" s="15">
        <f>IF(D63="","",IFERROR(VLOOKUP(D63,'04_Personal'!$A$4:$G$400,6,FALSE),VSSatz))</f>
        <v/>
      </c>
      <c r="K63" s="15">
        <f>IF(A63="","",E63*I63)</f>
        <v/>
      </c>
      <c r="L63" s="15">
        <f>IF(A63="","",IF(H63="JA",E63*J63,0))</f>
        <v/>
      </c>
      <c r="M63" s="15">
        <f>IF(A63="","",L63-K63)</f>
        <v/>
      </c>
    </row>
    <row r="64">
      <c r="A64" s="30" t="inlineStr"/>
      <c r="B64" s="38" t="inlineStr"/>
      <c r="C64" s="30" t="inlineStr"/>
      <c r="D64" s="30" t="inlineStr"/>
      <c r="E64" s="46" t="inlineStr"/>
      <c r="F64" s="30" t="inlineStr"/>
      <c r="G64" s="30" t="inlineStr"/>
      <c r="H64" s="30" t="inlineStr"/>
      <c r="I64" s="15">
        <f>IF(D64="","",IFERROR(VLOOKUP(D64,'04_Personal'!$A$4:$G$400,7,FALSE),0))</f>
        <v/>
      </c>
      <c r="J64" s="15">
        <f>IF(D64="","",IFERROR(VLOOKUP(D64,'04_Personal'!$A$4:$G$400,6,FALSE),VSSatz))</f>
        <v/>
      </c>
      <c r="K64" s="15">
        <f>IF(A64="","",E64*I64)</f>
        <v/>
      </c>
      <c r="L64" s="15">
        <f>IF(A64="","",IF(H64="JA",E64*J64,0))</f>
        <v/>
      </c>
      <c r="M64" s="15">
        <f>IF(A64="","",L64-K64)</f>
        <v/>
      </c>
    </row>
    <row r="65">
      <c r="A65" s="30" t="inlineStr"/>
      <c r="B65" s="38" t="inlineStr"/>
      <c r="C65" s="30" t="inlineStr"/>
      <c r="D65" s="30" t="inlineStr"/>
      <c r="E65" s="46" t="inlineStr"/>
      <c r="F65" s="30" t="inlineStr"/>
      <c r="G65" s="30" t="inlineStr"/>
      <c r="H65" s="30" t="inlineStr"/>
      <c r="I65" s="15">
        <f>IF(D65="","",IFERROR(VLOOKUP(D65,'04_Personal'!$A$4:$G$400,7,FALSE),0))</f>
        <v/>
      </c>
      <c r="J65" s="15">
        <f>IF(D65="","",IFERROR(VLOOKUP(D65,'04_Personal'!$A$4:$G$400,6,FALSE),VSSatz))</f>
        <v/>
      </c>
      <c r="K65" s="15">
        <f>IF(A65="","",E65*I65)</f>
        <v/>
      </c>
      <c r="L65" s="15">
        <f>IF(A65="","",IF(H65="JA",E65*J65,0))</f>
        <v/>
      </c>
      <c r="M65" s="15">
        <f>IF(A65="","",L65-K65)</f>
        <v/>
      </c>
    </row>
    <row r="66">
      <c r="A66" s="30" t="inlineStr"/>
      <c r="B66" s="38" t="inlineStr"/>
      <c r="C66" s="30" t="inlineStr"/>
      <c r="D66" s="30" t="inlineStr"/>
      <c r="E66" s="46" t="inlineStr"/>
      <c r="F66" s="30" t="inlineStr"/>
      <c r="G66" s="30" t="inlineStr"/>
      <c r="H66" s="30" t="inlineStr"/>
      <c r="I66" s="15">
        <f>IF(D66="","",IFERROR(VLOOKUP(D66,'04_Personal'!$A$4:$G$400,7,FALSE),0))</f>
        <v/>
      </c>
      <c r="J66" s="15">
        <f>IF(D66="","",IFERROR(VLOOKUP(D66,'04_Personal'!$A$4:$G$400,6,FALSE),VSSatz))</f>
        <v/>
      </c>
      <c r="K66" s="15">
        <f>IF(A66="","",E66*I66)</f>
        <v/>
      </c>
      <c r="L66" s="15">
        <f>IF(A66="","",IF(H66="JA",E66*J66,0))</f>
        <v/>
      </c>
      <c r="M66" s="15">
        <f>IF(A66="","",L66-K66)</f>
        <v/>
      </c>
    </row>
    <row r="67">
      <c r="A67" s="30" t="inlineStr"/>
      <c r="B67" s="38" t="inlineStr"/>
      <c r="C67" s="30" t="inlineStr"/>
      <c r="D67" s="30" t="inlineStr"/>
      <c r="E67" s="46" t="inlineStr"/>
      <c r="F67" s="30" t="inlineStr"/>
      <c r="G67" s="30" t="inlineStr"/>
      <c r="H67" s="30" t="inlineStr"/>
      <c r="I67" s="15">
        <f>IF(D67="","",IFERROR(VLOOKUP(D67,'04_Personal'!$A$4:$G$400,7,FALSE),0))</f>
        <v/>
      </c>
      <c r="J67" s="15">
        <f>IF(D67="","",IFERROR(VLOOKUP(D67,'04_Personal'!$A$4:$G$400,6,FALSE),VSSatz))</f>
        <v/>
      </c>
      <c r="K67" s="15">
        <f>IF(A67="","",E67*I67)</f>
        <v/>
      </c>
      <c r="L67" s="15">
        <f>IF(A67="","",IF(H67="JA",E67*J67,0))</f>
        <v/>
      </c>
      <c r="M67" s="15">
        <f>IF(A67="","",L67-K67)</f>
        <v/>
      </c>
    </row>
    <row r="68">
      <c r="A68" s="30" t="inlineStr"/>
      <c r="B68" s="38" t="inlineStr"/>
      <c r="C68" s="30" t="inlineStr"/>
      <c r="D68" s="30" t="inlineStr"/>
      <c r="E68" s="46" t="inlineStr"/>
      <c r="F68" s="30" t="inlineStr"/>
      <c r="G68" s="30" t="inlineStr"/>
      <c r="H68" s="30" t="inlineStr"/>
      <c r="I68" s="15">
        <f>IF(D68="","",IFERROR(VLOOKUP(D68,'04_Personal'!$A$4:$G$400,7,FALSE),0))</f>
        <v/>
      </c>
      <c r="J68" s="15">
        <f>IF(D68="","",IFERROR(VLOOKUP(D68,'04_Personal'!$A$4:$G$400,6,FALSE),VSSatz))</f>
        <v/>
      </c>
      <c r="K68" s="15">
        <f>IF(A68="","",E68*I68)</f>
        <v/>
      </c>
      <c r="L68" s="15">
        <f>IF(A68="","",IF(H68="JA",E68*J68,0))</f>
        <v/>
      </c>
      <c r="M68" s="15">
        <f>IF(A68="","",L68-K68)</f>
        <v/>
      </c>
    </row>
    <row r="69">
      <c r="A69" s="30" t="inlineStr"/>
      <c r="B69" s="38" t="inlineStr"/>
      <c r="C69" s="30" t="inlineStr"/>
      <c r="D69" s="30" t="inlineStr"/>
      <c r="E69" s="46" t="inlineStr"/>
      <c r="F69" s="30" t="inlineStr"/>
      <c r="G69" s="30" t="inlineStr"/>
      <c r="H69" s="30" t="inlineStr"/>
      <c r="I69" s="15">
        <f>IF(D69="","",IFERROR(VLOOKUP(D69,'04_Personal'!$A$4:$G$400,7,FALSE),0))</f>
        <v/>
      </c>
      <c r="J69" s="15">
        <f>IF(D69="","",IFERROR(VLOOKUP(D69,'04_Personal'!$A$4:$G$400,6,FALSE),VSSatz))</f>
        <v/>
      </c>
      <c r="K69" s="15">
        <f>IF(A69="","",E69*I69)</f>
        <v/>
      </c>
      <c r="L69" s="15">
        <f>IF(A69="","",IF(H69="JA",E69*J69,0))</f>
        <v/>
      </c>
      <c r="M69" s="15">
        <f>IF(A69="","",L69-K69)</f>
        <v/>
      </c>
    </row>
    <row r="70">
      <c r="A70" s="30" t="inlineStr"/>
      <c r="B70" s="38" t="inlineStr"/>
      <c r="C70" s="30" t="inlineStr"/>
      <c r="D70" s="30" t="inlineStr"/>
      <c r="E70" s="46" t="inlineStr"/>
      <c r="F70" s="30" t="inlineStr"/>
      <c r="G70" s="30" t="inlineStr"/>
      <c r="H70" s="30" t="inlineStr"/>
      <c r="I70" s="15">
        <f>IF(D70="","",IFERROR(VLOOKUP(D70,'04_Personal'!$A$4:$G$400,7,FALSE),0))</f>
        <v/>
      </c>
      <c r="J70" s="15">
        <f>IF(D70="","",IFERROR(VLOOKUP(D70,'04_Personal'!$A$4:$G$400,6,FALSE),VSSatz))</f>
        <v/>
      </c>
      <c r="K70" s="15">
        <f>IF(A70="","",E70*I70)</f>
        <v/>
      </c>
      <c r="L70" s="15">
        <f>IF(A70="","",IF(H70="JA",E70*J70,0))</f>
        <v/>
      </c>
      <c r="M70" s="15">
        <f>IF(A70="","",L70-K70)</f>
        <v/>
      </c>
    </row>
    <row r="71">
      <c r="A71" s="30" t="inlineStr"/>
      <c r="B71" s="38" t="inlineStr"/>
      <c r="C71" s="30" t="inlineStr"/>
      <c r="D71" s="30" t="inlineStr"/>
      <c r="E71" s="46" t="inlineStr"/>
      <c r="F71" s="30" t="inlineStr"/>
      <c r="G71" s="30" t="inlineStr"/>
      <c r="H71" s="30" t="inlineStr"/>
      <c r="I71" s="15">
        <f>IF(D71="","",IFERROR(VLOOKUP(D71,'04_Personal'!$A$4:$G$400,7,FALSE),0))</f>
        <v/>
      </c>
      <c r="J71" s="15">
        <f>IF(D71="","",IFERROR(VLOOKUP(D71,'04_Personal'!$A$4:$G$400,6,FALSE),VSSatz))</f>
        <v/>
      </c>
      <c r="K71" s="15">
        <f>IF(A71="","",E71*I71)</f>
        <v/>
      </c>
      <c r="L71" s="15">
        <f>IF(A71="","",IF(H71="JA",E71*J71,0))</f>
        <v/>
      </c>
      <c r="M71" s="15">
        <f>IF(A71="","",L71-K71)</f>
        <v/>
      </c>
    </row>
    <row r="72">
      <c r="A72" s="30" t="inlineStr"/>
      <c r="B72" s="38" t="inlineStr"/>
      <c r="C72" s="30" t="inlineStr"/>
      <c r="D72" s="30" t="inlineStr"/>
      <c r="E72" s="46" t="inlineStr"/>
      <c r="F72" s="30" t="inlineStr"/>
      <c r="G72" s="30" t="inlineStr"/>
      <c r="H72" s="30" t="inlineStr"/>
      <c r="I72" s="15">
        <f>IF(D72="","",IFERROR(VLOOKUP(D72,'04_Personal'!$A$4:$G$400,7,FALSE),0))</f>
        <v/>
      </c>
      <c r="J72" s="15">
        <f>IF(D72="","",IFERROR(VLOOKUP(D72,'04_Personal'!$A$4:$G$400,6,FALSE),VSSatz))</f>
        <v/>
      </c>
      <c r="K72" s="15">
        <f>IF(A72="","",E72*I72)</f>
        <v/>
      </c>
      <c r="L72" s="15">
        <f>IF(A72="","",IF(H72="JA",E72*J72,0))</f>
        <v/>
      </c>
      <c r="M72" s="15">
        <f>IF(A72="","",L72-K72)</f>
        <v/>
      </c>
    </row>
    <row r="73">
      <c r="A73" s="30" t="inlineStr"/>
      <c r="B73" s="38" t="inlineStr"/>
      <c r="C73" s="30" t="inlineStr"/>
      <c r="D73" s="30" t="inlineStr"/>
      <c r="E73" s="46" t="inlineStr"/>
      <c r="F73" s="30" t="inlineStr"/>
      <c r="G73" s="30" t="inlineStr"/>
      <c r="H73" s="30" t="inlineStr"/>
      <c r="I73" s="15">
        <f>IF(D73="","",IFERROR(VLOOKUP(D73,'04_Personal'!$A$4:$G$400,7,FALSE),0))</f>
        <v/>
      </c>
      <c r="J73" s="15">
        <f>IF(D73="","",IFERROR(VLOOKUP(D73,'04_Personal'!$A$4:$G$400,6,FALSE),VSSatz))</f>
        <v/>
      </c>
      <c r="K73" s="15">
        <f>IF(A73="","",E73*I73)</f>
        <v/>
      </c>
      <c r="L73" s="15">
        <f>IF(A73="","",IF(H73="JA",E73*J73,0))</f>
        <v/>
      </c>
      <c r="M73" s="15">
        <f>IF(A73="","",L73-K73)</f>
        <v/>
      </c>
    </row>
    <row r="74">
      <c r="A74" s="30" t="inlineStr"/>
      <c r="B74" s="38" t="inlineStr"/>
      <c r="C74" s="30" t="inlineStr"/>
      <c r="D74" s="30" t="inlineStr"/>
      <c r="E74" s="46" t="inlineStr"/>
      <c r="F74" s="30" t="inlineStr"/>
      <c r="G74" s="30" t="inlineStr"/>
      <c r="H74" s="30" t="inlineStr"/>
      <c r="I74" s="15">
        <f>IF(D74="","",IFERROR(VLOOKUP(D74,'04_Personal'!$A$4:$G$400,7,FALSE),0))</f>
        <v/>
      </c>
      <c r="J74" s="15">
        <f>IF(D74="","",IFERROR(VLOOKUP(D74,'04_Personal'!$A$4:$G$400,6,FALSE),VSSatz))</f>
        <v/>
      </c>
      <c r="K74" s="15">
        <f>IF(A74="","",E74*I74)</f>
        <v/>
      </c>
      <c r="L74" s="15">
        <f>IF(A74="","",IF(H74="JA",E74*J74,0))</f>
        <v/>
      </c>
      <c r="M74" s="15">
        <f>IF(A74="","",L74-K74)</f>
        <v/>
      </c>
    </row>
    <row r="75">
      <c r="A75" s="30" t="inlineStr"/>
      <c r="B75" s="38" t="inlineStr"/>
      <c r="C75" s="30" t="inlineStr"/>
      <c r="D75" s="30" t="inlineStr"/>
      <c r="E75" s="46" t="inlineStr"/>
      <c r="F75" s="30" t="inlineStr"/>
      <c r="G75" s="30" t="inlineStr"/>
      <c r="H75" s="30" t="inlineStr"/>
      <c r="I75" s="15">
        <f>IF(D75="","",IFERROR(VLOOKUP(D75,'04_Personal'!$A$4:$G$400,7,FALSE),0))</f>
        <v/>
      </c>
      <c r="J75" s="15">
        <f>IF(D75="","",IFERROR(VLOOKUP(D75,'04_Personal'!$A$4:$G$400,6,FALSE),VSSatz))</f>
        <v/>
      </c>
      <c r="K75" s="15">
        <f>IF(A75="","",E75*I75)</f>
        <v/>
      </c>
      <c r="L75" s="15">
        <f>IF(A75="","",IF(H75="JA",E75*J75,0))</f>
        <v/>
      </c>
      <c r="M75" s="15">
        <f>IF(A75="","",L75-K75)</f>
        <v/>
      </c>
    </row>
    <row r="76">
      <c r="A76" s="30" t="inlineStr"/>
      <c r="B76" s="38" t="inlineStr"/>
      <c r="C76" s="30" t="inlineStr"/>
      <c r="D76" s="30" t="inlineStr"/>
      <c r="E76" s="46" t="inlineStr"/>
      <c r="F76" s="30" t="inlineStr"/>
      <c r="G76" s="30" t="inlineStr"/>
      <c r="H76" s="30" t="inlineStr"/>
      <c r="I76" s="15">
        <f>IF(D76="","",IFERROR(VLOOKUP(D76,'04_Personal'!$A$4:$G$400,7,FALSE),0))</f>
        <v/>
      </c>
      <c r="J76" s="15">
        <f>IF(D76="","",IFERROR(VLOOKUP(D76,'04_Personal'!$A$4:$G$400,6,FALSE),VSSatz))</f>
        <v/>
      </c>
      <c r="K76" s="15">
        <f>IF(A76="","",E76*I76)</f>
        <v/>
      </c>
      <c r="L76" s="15">
        <f>IF(A76="","",IF(H76="JA",E76*J76,0))</f>
        <v/>
      </c>
      <c r="M76" s="15">
        <f>IF(A76="","",L76-K76)</f>
        <v/>
      </c>
    </row>
    <row r="77">
      <c r="A77" s="30" t="inlineStr"/>
      <c r="B77" s="38" t="inlineStr"/>
      <c r="C77" s="30" t="inlineStr"/>
      <c r="D77" s="30" t="inlineStr"/>
      <c r="E77" s="46" t="inlineStr"/>
      <c r="F77" s="30" t="inlineStr"/>
      <c r="G77" s="30" t="inlineStr"/>
      <c r="H77" s="30" t="inlineStr"/>
      <c r="I77" s="15">
        <f>IF(D77="","",IFERROR(VLOOKUP(D77,'04_Personal'!$A$4:$G$400,7,FALSE),0))</f>
        <v/>
      </c>
      <c r="J77" s="15">
        <f>IF(D77="","",IFERROR(VLOOKUP(D77,'04_Personal'!$A$4:$G$400,6,FALSE),VSSatz))</f>
        <v/>
      </c>
      <c r="K77" s="15">
        <f>IF(A77="","",E77*I77)</f>
        <v/>
      </c>
      <c r="L77" s="15">
        <f>IF(A77="","",IF(H77="JA",E77*J77,0))</f>
        <v/>
      </c>
      <c r="M77" s="15">
        <f>IF(A77="","",L77-K77)</f>
        <v/>
      </c>
    </row>
    <row r="78">
      <c r="A78" s="30" t="inlineStr"/>
      <c r="B78" s="38" t="inlineStr"/>
      <c r="C78" s="30" t="inlineStr"/>
      <c r="D78" s="30" t="inlineStr"/>
      <c r="E78" s="46" t="inlineStr"/>
      <c r="F78" s="30" t="inlineStr"/>
      <c r="G78" s="30" t="inlineStr"/>
      <c r="H78" s="30" t="inlineStr"/>
      <c r="I78" s="15">
        <f>IF(D78="","",IFERROR(VLOOKUP(D78,'04_Personal'!$A$4:$G$400,7,FALSE),0))</f>
        <v/>
      </c>
      <c r="J78" s="15">
        <f>IF(D78="","",IFERROR(VLOOKUP(D78,'04_Personal'!$A$4:$G$400,6,FALSE),VSSatz))</f>
        <v/>
      </c>
      <c r="K78" s="15">
        <f>IF(A78="","",E78*I78)</f>
        <v/>
      </c>
      <c r="L78" s="15">
        <f>IF(A78="","",IF(H78="JA",E78*J78,0))</f>
        <v/>
      </c>
      <c r="M78" s="15">
        <f>IF(A78="","",L78-K78)</f>
        <v/>
      </c>
    </row>
    <row r="79">
      <c r="A79" s="30" t="inlineStr"/>
      <c r="B79" s="38" t="inlineStr"/>
      <c r="C79" s="30" t="inlineStr"/>
      <c r="D79" s="30" t="inlineStr"/>
      <c r="E79" s="46" t="inlineStr"/>
      <c r="F79" s="30" t="inlineStr"/>
      <c r="G79" s="30" t="inlineStr"/>
      <c r="H79" s="30" t="inlineStr"/>
      <c r="I79" s="15">
        <f>IF(D79="","",IFERROR(VLOOKUP(D79,'04_Personal'!$A$4:$G$400,7,FALSE),0))</f>
        <v/>
      </c>
      <c r="J79" s="15">
        <f>IF(D79="","",IFERROR(VLOOKUP(D79,'04_Personal'!$A$4:$G$400,6,FALSE),VSSatz))</f>
        <v/>
      </c>
      <c r="K79" s="15">
        <f>IF(A79="","",E79*I79)</f>
        <v/>
      </c>
      <c r="L79" s="15">
        <f>IF(A79="","",IF(H79="JA",E79*J79,0))</f>
        <v/>
      </c>
      <c r="M79" s="15">
        <f>IF(A79="","",L79-K79)</f>
        <v/>
      </c>
    </row>
    <row r="80">
      <c r="A80" s="30" t="inlineStr"/>
      <c r="B80" s="38" t="inlineStr"/>
      <c r="C80" s="30" t="inlineStr"/>
      <c r="D80" s="30" t="inlineStr"/>
      <c r="E80" s="46" t="inlineStr"/>
      <c r="F80" s="30" t="inlineStr"/>
      <c r="G80" s="30" t="inlineStr"/>
      <c r="H80" s="30" t="inlineStr"/>
      <c r="I80" s="15">
        <f>IF(D80="","",IFERROR(VLOOKUP(D80,'04_Personal'!$A$4:$G$400,7,FALSE),0))</f>
        <v/>
      </c>
      <c r="J80" s="15">
        <f>IF(D80="","",IFERROR(VLOOKUP(D80,'04_Personal'!$A$4:$G$400,6,FALSE),VSSatz))</f>
        <v/>
      </c>
      <c r="K80" s="15">
        <f>IF(A80="","",E80*I80)</f>
        <v/>
      </c>
      <c r="L80" s="15">
        <f>IF(A80="","",IF(H80="JA",E80*J80,0))</f>
        <v/>
      </c>
      <c r="M80" s="15">
        <f>IF(A80="","",L80-K80)</f>
        <v/>
      </c>
    </row>
    <row r="81">
      <c r="A81" s="30" t="inlineStr"/>
      <c r="B81" s="38" t="inlineStr"/>
      <c r="C81" s="30" t="inlineStr"/>
      <c r="D81" s="30" t="inlineStr"/>
      <c r="E81" s="46" t="inlineStr"/>
      <c r="F81" s="30" t="inlineStr"/>
      <c r="G81" s="30" t="inlineStr"/>
      <c r="H81" s="30" t="inlineStr"/>
      <c r="I81" s="15">
        <f>IF(D81="","",IFERROR(VLOOKUP(D81,'04_Personal'!$A$4:$G$400,7,FALSE),0))</f>
        <v/>
      </c>
      <c r="J81" s="15">
        <f>IF(D81="","",IFERROR(VLOOKUP(D81,'04_Personal'!$A$4:$G$400,6,FALSE),VSSatz))</f>
        <v/>
      </c>
      <c r="K81" s="15">
        <f>IF(A81="","",E81*I81)</f>
        <v/>
      </c>
      <c r="L81" s="15">
        <f>IF(A81="","",IF(H81="JA",E81*J81,0))</f>
        <v/>
      </c>
      <c r="M81" s="15">
        <f>IF(A81="","",L81-K81)</f>
        <v/>
      </c>
    </row>
    <row r="82">
      <c r="A82" s="30" t="inlineStr"/>
      <c r="B82" s="38" t="inlineStr"/>
      <c r="C82" s="30" t="inlineStr"/>
      <c r="D82" s="30" t="inlineStr"/>
      <c r="E82" s="46" t="inlineStr"/>
      <c r="F82" s="30" t="inlineStr"/>
      <c r="G82" s="30" t="inlineStr"/>
      <c r="H82" s="30" t="inlineStr"/>
      <c r="I82" s="15">
        <f>IF(D82="","",IFERROR(VLOOKUP(D82,'04_Personal'!$A$4:$G$400,7,FALSE),0))</f>
        <v/>
      </c>
      <c r="J82" s="15">
        <f>IF(D82="","",IFERROR(VLOOKUP(D82,'04_Personal'!$A$4:$G$400,6,FALSE),VSSatz))</f>
        <v/>
      </c>
      <c r="K82" s="15">
        <f>IF(A82="","",E82*I82)</f>
        <v/>
      </c>
      <c r="L82" s="15">
        <f>IF(A82="","",IF(H82="JA",E82*J82,0))</f>
        <v/>
      </c>
      <c r="M82" s="15">
        <f>IF(A82="","",L82-K82)</f>
        <v/>
      </c>
    </row>
    <row r="83">
      <c r="A83" s="30" t="inlineStr"/>
      <c r="B83" s="38" t="inlineStr"/>
      <c r="C83" s="30" t="inlineStr"/>
      <c r="D83" s="30" t="inlineStr"/>
      <c r="E83" s="46" t="inlineStr"/>
      <c r="F83" s="30" t="inlineStr"/>
      <c r="G83" s="30" t="inlineStr"/>
      <c r="H83" s="30" t="inlineStr"/>
      <c r="I83" s="15">
        <f>IF(D83="","",IFERROR(VLOOKUP(D83,'04_Personal'!$A$4:$G$400,7,FALSE),0))</f>
        <v/>
      </c>
      <c r="J83" s="15">
        <f>IF(D83="","",IFERROR(VLOOKUP(D83,'04_Personal'!$A$4:$G$400,6,FALSE),VSSatz))</f>
        <v/>
      </c>
      <c r="K83" s="15">
        <f>IF(A83="","",E83*I83)</f>
        <v/>
      </c>
      <c r="L83" s="15">
        <f>IF(A83="","",IF(H83="JA",E83*J83,0))</f>
        <v/>
      </c>
      <c r="M83" s="15">
        <f>IF(A83="","",L83-K83)</f>
        <v/>
      </c>
    </row>
    <row r="84">
      <c r="A84" s="30" t="inlineStr"/>
      <c r="B84" s="38" t="inlineStr"/>
      <c r="C84" s="30" t="inlineStr"/>
      <c r="D84" s="30" t="inlineStr"/>
      <c r="E84" s="46" t="inlineStr"/>
      <c r="F84" s="30" t="inlineStr"/>
      <c r="G84" s="30" t="inlineStr"/>
      <c r="H84" s="30" t="inlineStr"/>
      <c r="I84" s="15">
        <f>IF(D84="","",IFERROR(VLOOKUP(D84,'04_Personal'!$A$4:$G$400,7,FALSE),0))</f>
        <v/>
      </c>
      <c r="J84" s="15">
        <f>IF(D84="","",IFERROR(VLOOKUP(D84,'04_Personal'!$A$4:$G$400,6,FALSE),VSSatz))</f>
        <v/>
      </c>
      <c r="K84" s="15">
        <f>IF(A84="","",E84*I84)</f>
        <v/>
      </c>
      <c r="L84" s="15">
        <f>IF(A84="","",IF(H84="JA",E84*J84,0))</f>
        <v/>
      </c>
      <c r="M84" s="15">
        <f>IF(A84="","",L84-K84)</f>
        <v/>
      </c>
    </row>
    <row r="85">
      <c r="A85" s="30" t="inlineStr"/>
      <c r="B85" s="38" t="inlineStr"/>
      <c r="C85" s="30" t="inlineStr"/>
      <c r="D85" s="30" t="inlineStr"/>
      <c r="E85" s="46" t="inlineStr"/>
      <c r="F85" s="30" t="inlineStr"/>
      <c r="G85" s="30" t="inlineStr"/>
      <c r="H85" s="30" t="inlineStr"/>
      <c r="I85" s="15">
        <f>IF(D85="","",IFERROR(VLOOKUP(D85,'04_Personal'!$A$4:$G$400,7,FALSE),0))</f>
        <v/>
      </c>
      <c r="J85" s="15">
        <f>IF(D85="","",IFERROR(VLOOKUP(D85,'04_Personal'!$A$4:$G$400,6,FALSE),VSSatz))</f>
        <v/>
      </c>
      <c r="K85" s="15">
        <f>IF(A85="","",E85*I85)</f>
        <v/>
      </c>
      <c r="L85" s="15">
        <f>IF(A85="","",IF(H85="JA",E85*J85,0))</f>
        <v/>
      </c>
      <c r="M85" s="15">
        <f>IF(A85="","",L85-K85)</f>
        <v/>
      </c>
    </row>
    <row r="86">
      <c r="A86" s="30" t="inlineStr"/>
      <c r="B86" s="38" t="inlineStr"/>
      <c r="C86" s="30" t="inlineStr"/>
      <c r="D86" s="30" t="inlineStr"/>
      <c r="E86" s="46" t="inlineStr"/>
      <c r="F86" s="30" t="inlineStr"/>
      <c r="G86" s="30" t="inlineStr"/>
      <c r="H86" s="30" t="inlineStr"/>
      <c r="I86" s="15">
        <f>IF(D86="","",IFERROR(VLOOKUP(D86,'04_Personal'!$A$4:$G$400,7,FALSE),0))</f>
        <v/>
      </c>
      <c r="J86" s="15">
        <f>IF(D86="","",IFERROR(VLOOKUP(D86,'04_Personal'!$A$4:$G$400,6,FALSE),VSSatz))</f>
        <v/>
      </c>
      <c r="K86" s="15">
        <f>IF(A86="","",E86*I86)</f>
        <v/>
      </c>
      <c r="L86" s="15">
        <f>IF(A86="","",IF(H86="JA",E86*J86,0))</f>
        <v/>
      </c>
      <c r="M86" s="15">
        <f>IF(A86="","",L86-K86)</f>
        <v/>
      </c>
    </row>
    <row r="87">
      <c r="A87" s="30" t="inlineStr"/>
      <c r="B87" s="38" t="inlineStr"/>
      <c r="C87" s="30" t="inlineStr"/>
      <c r="D87" s="30" t="inlineStr"/>
      <c r="E87" s="46" t="inlineStr"/>
      <c r="F87" s="30" t="inlineStr"/>
      <c r="G87" s="30" t="inlineStr"/>
      <c r="H87" s="30" t="inlineStr"/>
      <c r="I87" s="15">
        <f>IF(D87="","",IFERROR(VLOOKUP(D87,'04_Personal'!$A$4:$G$400,7,FALSE),0))</f>
        <v/>
      </c>
      <c r="J87" s="15">
        <f>IF(D87="","",IFERROR(VLOOKUP(D87,'04_Personal'!$A$4:$G$400,6,FALSE),VSSatz))</f>
        <v/>
      </c>
      <c r="K87" s="15">
        <f>IF(A87="","",E87*I87)</f>
        <v/>
      </c>
      <c r="L87" s="15">
        <f>IF(A87="","",IF(H87="JA",E87*J87,0))</f>
        <v/>
      </c>
      <c r="M87" s="15">
        <f>IF(A87="","",L87-K87)</f>
        <v/>
      </c>
    </row>
    <row r="88">
      <c r="A88" s="30" t="inlineStr"/>
      <c r="B88" s="38" t="inlineStr"/>
      <c r="C88" s="30" t="inlineStr"/>
      <c r="D88" s="30" t="inlineStr"/>
      <c r="E88" s="46" t="inlineStr"/>
      <c r="F88" s="30" t="inlineStr"/>
      <c r="G88" s="30" t="inlineStr"/>
      <c r="H88" s="30" t="inlineStr"/>
      <c r="I88" s="15">
        <f>IF(D88="","",IFERROR(VLOOKUP(D88,'04_Personal'!$A$4:$G$400,7,FALSE),0))</f>
        <v/>
      </c>
      <c r="J88" s="15">
        <f>IF(D88="","",IFERROR(VLOOKUP(D88,'04_Personal'!$A$4:$G$400,6,FALSE),VSSatz))</f>
        <v/>
      </c>
      <c r="K88" s="15">
        <f>IF(A88="","",E88*I88)</f>
        <v/>
      </c>
      <c r="L88" s="15">
        <f>IF(A88="","",IF(H88="JA",E88*J88,0))</f>
        <v/>
      </c>
      <c r="M88" s="15">
        <f>IF(A88="","",L88-K88)</f>
        <v/>
      </c>
    </row>
    <row r="89">
      <c r="A89" s="30" t="inlineStr"/>
      <c r="B89" s="38" t="inlineStr"/>
      <c r="C89" s="30" t="inlineStr"/>
      <c r="D89" s="30" t="inlineStr"/>
      <c r="E89" s="46" t="inlineStr"/>
      <c r="F89" s="30" t="inlineStr"/>
      <c r="G89" s="30" t="inlineStr"/>
      <c r="H89" s="30" t="inlineStr"/>
      <c r="I89" s="15">
        <f>IF(D89="","",IFERROR(VLOOKUP(D89,'04_Personal'!$A$4:$G$400,7,FALSE),0))</f>
        <v/>
      </c>
      <c r="J89" s="15">
        <f>IF(D89="","",IFERROR(VLOOKUP(D89,'04_Personal'!$A$4:$G$400,6,FALSE),VSSatz))</f>
        <v/>
      </c>
      <c r="K89" s="15">
        <f>IF(A89="","",E89*I89)</f>
        <v/>
      </c>
      <c r="L89" s="15">
        <f>IF(A89="","",IF(H89="JA",E89*J89,0))</f>
        <v/>
      </c>
      <c r="M89" s="15">
        <f>IF(A89="","",L89-K89)</f>
        <v/>
      </c>
    </row>
    <row r="90">
      <c r="A90" s="30" t="inlineStr"/>
      <c r="B90" s="38" t="inlineStr"/>
      <c r="C90" s="30" t="inlineStr"/>
      <c r="D90" s="30" t="inlineStr"/>
      <c r="E90" s="46" t="inlineStr"/>
      <c r="F90" s="30" t="inlineStr"/>
      <c r="G90" s="30" t="inlineStr"/>
      <c r="H90" s="30" t="inlineStr"/>
      <c r="I90" s="15">
        <f>IF(D90="","",IFERROR(VLOOKUP(D90,'04_Personal'!$A$4:$G$400,7,FALSE),0))</f>
        <v/>
      </c>
      <c r="J90" s="15">
        <f>IF(D90="","",IFERROR(VLOOKUP(D90,'04_Personal'!$A$4:$G$400,6,FALSE),VSSatz))</f>
        <v/>
      </c>
      <c r="K90" s="15">
        <f>IF(A90="","",E90*I90)</f>
        <v/>
      </c>
      <c r="L90" s="15">
        <f>IF(A90="","",IF(H90="JA",E90*J90,0))</f>
        <v/>
      </c>
      <c r="M90" s="15">
        <f>IF(A90="","",L90-K90)</f>
        <v/>
      </c>
    </row>
    <row r="91">
      <c r="A91" s="30" t="inlineStr"/>
      <c r="B91" s="38" t="inlineStr"/>
      <c r="C91" s="30" t="inlineStr"/>
      <c r="D91" s="30" t="inlineStr"/>
      <c r="E91" s="46" t="inlineStr"/>
      <c r="F91" s="30" t="inlineStr"/>
      <c r="G91" s="30" t="inlineStr"/>
      <c r="H91" s="30" t="inlineStr"/>
      <c r="I91" s="15">
        <f>IF(D91="","",IFERROR(VLOOKUP(D91,'04_Personal'!$A$4:$G$400,7,FALSE),0))</f>
        <v/>
      </c>
      <c r="J91" s="15">
        <f>IF(D91="","",IFERROR(VLOOKUP(D91,'04_Personal'!$A$4:$G$400,6,FALSE),VSSatz))</f>
        <v/>
      </c>
      <c r="K91" s="15">
        <f>IF(A91="","",E91*I91)</f>
        <v/>
      </c>
      <c r="L91" s="15">
        <f>IF(A91="","",IF(H91="JA",E91*J91,0))</f>
        <v/>
      </c>
      <c r="M91" s="15">
        <f>IF(A91="","",L91-K91)</f>
        <v/>
      </c>
    </row>
    <row r="92">
      <c r="A92" s="30" t="inlineStr"/>
      <c r="B92" s="38" t="inlineStr"/>
      <c r="C92" s="30" t="inlineStr"/>
      <c r="D92" s="30" t="inlineStr"/>
      <c r="E92" s="46" t="inlineStr"/>
      <c r="F92" s="30" t="inlineStr"/>
      <c r="G92" s="30" t="inlineStr"/>
      <c r="H92" s="30" t="inlineStr"/>
      <c r="I92" s="15">
        <f>IF(D92="","",IFERROR(VLOOKUP(D92,'04_Personal'!$A$4:$G$400,7,FALSE),0))</f>
        <v/>
      </c>
      <c r="J92" s="15">
        <f>IF(D92="","",IFERROR(VLOOKUP(D92,'04_Personal'!$A$4:$G$400,6,FALSE),VSSatz))</f>
        <v/>
      </c>
      <c r="K92" s="15">
        <f>IF(A92="","",E92*I92)</f>
        <v/>
      </c>
      <c r="L92" s="15">
        <f>IF(A92="","",IF(H92="JA",E92*J92,0))</f>
        <v/>
      </c>
      <c r="M92" s="15">
        <f>IF(A92="","",L92-K92)</f>
        <v/>
      </c>
    </row>
    <row r="93">
      <c r="A93" s="30" t="inlineStr"/>
      <c r="B93" s="38" t="inlineStr"/>
      <c r="C93" s="30" t="inlineStr"/>
      <c r="D93" s="30" t="inlineStr"/>
      <c r="E93" s="46" t="inlineStr"/>
      <c r="F93" s="30" t="inlineStr"/>
      <c r="G93" s="30" t="inlineStr"/>
      <c r="H93" s="30" t="inlineStr"/>
      <c r="I93" s="15">
        <f>IF(D93="","",IFERROR(VLOOKUP(D93,'04_Personal'!$A$4:$G$400,7,FALSE),0))</f>
        <v/>
      </c>
      <c r="J93" s="15">
        <f>IF(D93="","",IFERROR(VLOOKUP(D93,'04_Personal'!$A$4:$G$400,6,FALSE),VSSatz))</f>
        <v/>
      </c>
      <c r="K93" s="15">
        <f>IF(A93="","",E93*I93)</f>
        <v/>
      </c>
      <c r="L93" s="15">
        <f>IF(A93="","",IF(H93="JA",E93*J93,0))</f>
        <v/>
      </c>
      <c r="M93" s="15">
        <f>IF(A93="","",L93-K93)</f>
        <v/>
      </c>
    </row>
    <row r="94">
      <c r="A94" s="30" t="inlineStr"/>
      <c r="B94" s="38" t="inlineStr"/>
      <c r="C94" s="30" t="inlineStr"/>
      <c r="D94" s="30" t="inlineStr"/>
      <c r="E94" s="46" t="inlineStr"/>
      <c r="F94" s="30" t="inlineStr"/>
      <c r="G94" s="30" t="inlineStr"/>
      <c r="H94" s="30" t="inlineStr"/>
      <c r="I94" s="15">
        <f>IF(D94="","",IFERROR(VLOOKUP(D94,'04_Personal'!$A$4:$G$400,7,FALSE),0))</f>
        <v/>
      </c>
      <c r="J94" s="15">
        <f>IF(D94="","",IFERROR(VLOOKUP(D94,'04_Personal'!$A$4:$G$400,6,FALSE),VSSatz))</f>
        <v/>
      </c>
      <c r="K94" s="15">
        <f>IF(A94="","",E94*I94)</f>
        <v/>
      </c>
      <c r="L94" s="15">
        <f>IF(A94="","",IF(H94="JA",E94*J94,0))</f>
        <v/>
      </c>
      <c r="M94" s="15">
        <f>IF(A94="","",L94-K94)</f>
        <v/>
      </c>
    </row>
    <row r="95">
      <c r="A95" s="30" t="inlineStr"/>
      <c r="B95" s="38" t="inlineStr"/>
      <c r="C95" s="30" t="inlineStr"/>
      <c r="D95" s="30" t="inlineStr"/>
      <c r="E95" s="46" t="inlineStr"/>
      <c r="F95" s="30" t="inlineStr"/>
      <c r="G95" s="30" t="inlineStr"/>
      <c r="H95" s="30" t="inlineStr"/>
      <c r="I95" s="15">
        <f>IF(D95="","",IFERROR(VLOOKUP(D95,'04_Personal'!$A$4:$G$400,7,FALSE),0))</f>
        <v/>
      </c>
      <c r="J95" s="15">
        <f>IF(D95="","",IFERROR(VLOOKUP(D95,'04_Personal'!$A$4:$G$400,6,FALSE),VSSatz))</f>
        <v/>
      </c>
      <c r="K95" s="15">
        <f>IF(A95="","",E95*I95)</f>
        <v/>
      </c>
      <c r="L95" s="15">
        <f>IF(A95="","",IF(H95="JA",E95*J95,0))</f>
        <v/>
      </c>
      <c r="M95" s="15">
        <f>IF(A95="","",L95-K95)</f>
        <v/>
      </c>
    </row>
    <row r="96">
      <c r="A96" s="30" t="inlineStr"/>
      <c r="B96" s="38" t="inlineStr"/>
      <c r="C96" s="30" t="inlineStr"/>
      <c r="D96" s="30" t="inlineStr"/>
      <c r="E96" s="46" t="inlineStr"/>
      <c r="F96" s="30" t="inlineStr"/>
      <c r="G96" s="30" t="inlineStr"/>
      <c r="H96" s="30" t="inlineStr"/>
      <c r="I96" s="15">
        <f>IF(D96="","",IFERROR(VLOOKUP(D96,'04_Personal'!$A$4:$G$400,7,FALSE),0))</f>
        <v/>
      </c>
      <c r="J96" s="15">
        <f>IF(D96="","",IFERROR(VLOOKUP(D96,'04_Personal'!$A$4:$G$400,6,FALSE),VSSatz))</f>
        <v/>
      </c>
      <c r="K96" s="15">
        <f>IF(A96="","",E96*I96)</f>
        <v/>
      </c>
      <c r="L96" s="15">
        <f>IF(A96="","",IF(H96="JA",E96*J96,0))</f>
        <v/>
      </c>
      <c r="M96" s="15">
        <f>IF(A96="","",L96-K96)</f>
        <v/>
      </c>
    </row>
    <row r="97">
      <c r="A97" s="30" t="inlineStr"/>
      <c r="B97" s="38" t="inlineStr"/>
      <c r="C97" s="30" t="inlineStr"/>
      <c r="D97" s="30" t="inlineStr"/>
      <c r="E97" s="46" t="inlineStr"/>
      <c r="F97" s="30" t="inlineStr"/>
      <c r="G97" s="30" t="inlineStr"/>
      <c r="H97" s="30" t="inlineStr"/>
      <c r="I97" s="15">
        <f>IF(D97="","",IFERROR(VLOOKUP(D97,'04_Personal'!$A$4:$G$400,7,FALSE),0))</f>
        <v/>
      </c>
      <c r="J97" s="15">
        <f>IF(D97="","",IFERROR(VLOOKUP(D97,'04_Personal'!$A$4:$G$400,6,FALSE),VSSatz))</f>
        <v/>
      </c>
      <c r="K97" s="15">
        <f>IF(A97="","",E97*I97)</f>
        <v/>
      </c>
      <c r="L97" s="15">
        <f>IF(A97="","",IF(H97="JA",E97*J97,0))</f>
        <v/>
      </c>
      <c r="M97" s="15">
        <f>IF(A97="","",L97-K97)</f>
        <v/>
      </c>
    </row>
    <row r="98">
      <c r="A98" s="30" t="inlineStr"/>
      <c r="B98" s="38" t="inlineStr"/>
      <c r="C98" s="30" t="inlineStr"/>
      <c r="D98" s="30" t="inlineStr"/>
      <c r="E98" s="46" t="inlineStr"/>
      <c r="F98" s="30" t="inlineStr"/>
      <c r="G98" s="30" t="inlineStr"/>
      <c r="H98" s="30" t="inlineStr"/>
      <c r="I98" s="15">
        <f>IF(D98="","",IFERROR(VLOOKUP(D98,'04_Personal'!$A$4:$G$400,7,FALSE),0))</f>
        <v/>
      </c>
      <c r="J98" s="15">
        <f>IF(D98="","",IFERROR(VLOOKUP(D98,'04_Personal'!$A$4:$G$400,6,FALSE),VSSatz))</f>
        <v/>
      </c>
      <c r="K98" s="15">
        <f>IF(A98="","",E98*I98)</f>
        <v/>
      </c>
      <c r="L98" s="15">
        <f>IF(A98="","",IF(H98="JA",E98*J98,0))</f>
        <v/>
      </c>
      <c r="M98" s="15">
        <f>IF(A98="","",L98-K98)</f>
        <v/>
      </c>
    </row>
    <row r="99">
      <c r="A99" s="30" t="inlineStr"/>
      <c r="B99" s="38" t="inlineStr"/>
      <c r="C99" s="30" t="inlineStr"/>
      <c r="D99" s="30" t="inlineStr"/>
      <c r="E99" s="46" t="inlineStr"/>
      <c r="F99" s="30" t="inlineStr"/>
      <c r="G99" s="30" t="inlineStr"/>
      <c r="H99" s="30" t="inlineStr"/>
      <c r="I99" s="15">
        <f>IF(D99="","",IFERROR(VLOOKUP(D99,'04_Personal'!$A$4:$G$400,7,FALSE),0))</f>
        <v/>
      </c>
      <c r="J99" s="15">
        <f>IF(D99="","",IFERROR(VLOOKUP(D99,'04_Personal'!$A$4:$G$400,6,FALSE),VSSatz))</f>
        <v/>
      </c>
      <c r="K99" s="15">
        <f>IF(A99="","",E99*I99)</f>
        <v/>
      </c>
      <c r="L99" s="15">
        <f>IF(A99="","",IF(H99="JA",E99*J99,0))</f>
        <v/>
      </c>
      <c r="M99" s="15">
        <f>IF(A99="","",L99-K99)</f>
        <v/>
      </c>
    </row>
    <row r="100">
      <c r="A100" s="30" t="inlineStr"/>
      <c r="B100" s="38" t="inlineStr"/>
      <c r="C100" s="30" t="inlineStr"/>
      <c r="D100" s="30" t="inlineStr"/>
      <c r="E100" s="46" t="inlineStr"/>
      <c r="F100" s="30" t="inlineStr"/>
      <c r="G100" s="30" t="inlineStr"/>
      <c r="H100" s="30" t="inlineStr"/>
      <c r="I100" s="15">
        <f>IF(D100="","",IFERROR(VLOOKUP(D100,'04_Personal'!$A$4:$G$400,7,FALSE),0))</f>
        <v/>
      </c>
      <c r="J100" s="15">
        <f>IF(D100="","",IFERROR(VLOOKUP(D100,'04_Personal'!$A$4:$G$400,6,FALSE),VSSatz))</f>
        <v/>
      </c>
      <c r="K100" s="15">
        <f>IF(A100="","",E100*I100)</f>
        <v/>
      </c>
      <c r="L100" s="15">
        <f>IF(A100="","",IF(H100="JA",E100*J100,0))</f>
        <v/>
      </c>
      <c r="M100" s="15">
        <f>IF(A100="","",L100-K100)</f>
        <v/>
      </c>
    </row>
    <row r="101">
      <c r="A101" s="30" t="inlineStr"/>
      <c r="B101" s="38" t="inlineStr"/>
      <c r="C101" s="30" t="inlineStr"/>
      <c r="D101" s="30" t="inlineStr"/>
      <c r="E101" s="46" t="inlineStr"/>
      <c r="F101" s="30" t="inlineStr"/>
      <c r="G101" s="30" t="inlineStr"/>
      <c r="H101" s="30" t="inlineStr"/>
      <c r="I101" s="15">
        <f>IF(D101="","",IFERROR(VLOOKUP(D101,'04_Personal'!$A$4:$G$400,7,FALSE),0))</f>
        <v/>
      </c>
      <c r="J101" s="15">
        <f>IF(D101="","",IFERROR(VLOOKUP(D101,'04_Personal'!$A$4:$G$400,6,FALSE),VSSatz))</f>
        <v/>
      </c>
      <c r="K101" s="15">
        <f>IF(A101="","",E101*I101)</f>
        <v/>
      </c>
      <c r="L101" s="15">
        <f>IF(A101="","",IF(H101="JA",E101*J101,0))</f>
        <v/>
      </c>
      <c r="M101" s="15">
        <f>IF(A101="","",L101-K101)</f>
        <v/>
      </c>
    </row>
    <row r="102">
      <c r="A102" s="30" t="inlineStr"/>
      <c r="B102" s="38" t="inlineStr"/>
      <c r="C102" s="30" t="inlineStr"/>
      <c r="D102" s="30" t="inlineStr"/>
      <c r="E102" s="46" t="inlineStr"/>
      <c r="F102" s="30" t="inlineStr"/>
      <c r="G102" s="30" t="inlineStr"/>
      <c r="H102" s="30" t="inlineStr"/>
      <c r="I102" s="15">
        <f>IF(D102="","",IFERROR(VLOOKUP(D102,'04_Personal'!$A$4:$G$400,7,FALSE),0))</f>
        <v/>
      </c>
      <c r="J102" s="15">
        <f>IF(D102="","",IFERROR(VLOOKUP(D102,'04_Personal'!$A$4:$G$400,6,FALSE),VSSatz))</f>
        <v/>
      </c>
      <c r="K102" s="15">
        <f>IF(A102="","",E102*I102)</f>
        <v/>
      </c>
      <c r="L102" s="15">
        <f>IF(A102="","",IF(H102="JA",E102*J102,0))</f>
        <v/>
      </c>
      <c r="M102" s="15">
        <f>IF(A102="","",L102-K102)</f>
        <v/>
      </c>
    </row>
    <row r="103">
      <c r="A103" s="30" t="inlineStr"/>
      <c r="B103" s="38" t="inlineStr"/>
      <c r="C103" s="30" t="inlineStr"/>
      <c r="D103" s="30" t="inlineStr"/>
      <c r="E103" s="46" t="inlineStr"/>
      <c r="F103" s="30" t="inlineStr"/>
      <c r="G103" s="30" t="inlineStr"/>
      <c r="H103" s="30" t="inlineStr"/>
      <c r="I103" s="15">
        <f>IF(D103="","",IFERROR(VLOOKUP(D103,'04_Personal'!$A$4:$G$400,7,FALSE),0))</f>
        <v/>
      </c>
      <c r="J103" s="15">
        <f>IF(D103="","",IFERROR(VLOOKUP(D103,'04_Personal'!$A$4:$G$400,6,FALSE),VSSatz))</f>
        <v/>
      </c>
      <c r="K103" s="15">
        <f>IF(A103="","",E103*I103)</f>
        <v/>
      </c>
      <c r="L103" s="15">
        <f>IF(A103="","",IF(H103="JA",E103*J103,0))</f>
        <v/>
      </c>
      <c r="M103" s="15">
        <f>IF(A103="","",L103-K103)</f>
        <v/>
      </c>
    </row>
    <row r="104">
      <c r="A104" s="30" t="inlineStr"/>
      <c r="B104" s="38" t="inlineStr"/>
      <c r="C104" s="30" t="inlineStr"/>
      <c r="D104" s="30" t="inlineStr"/>
      <c r="E104" s="46" t="inlineStr"/>
      <c r="F104" s="30" t="inlineStr"/>
      <c r="G104" s="30" t="inlineStr"/>
      <c r="H104" s="30" t="inlineStr"/>
      <c r="I104" s="15">
        <f>IF(D104="","",IFERROR(VLOOKUP(D104,'04_Personal'!$A$4:$G$400,7,FALSE),0))</f>
        <v/>
      </c>
      <c r="J104" s="15">
        <f>IF(D104="","",IFERROR(VLOOKUP(D104,'04_Personal'!$A$4:$G$400,6,FALSE),VSSatz))</f>
        <v/>
      </c>
      <c r="K104" s="15">
        <f>IF(A104="","",E104*I104)</f>
        <v/>
      </c>
      <c r="L104" s="15">
        <f>IF(A104="","",IF(H104="JA",E104*J104,0))</f>
        <v/>
      </c>
      <c r="M104" s="15">
        <f>IF(A104="","",L104-K104)</f>
        <v/>
      </c>
    </row>
    <row r="105">
      <c r="A105" s="30" t="inlineStr"/>
      <c r="B105" s="38" t="inlineStr"/>
      <c r="C105" s="30" t="inlineStr"/>
      <c r="D105" s="30" t="inlineStr"/>
      <c r="E105" s="46" t="inlineStr"/>
      <c r="F105" s="30" t="inlineStr"/>
      <c r="G105" s="30" t="inlineStr"/>
      <c r="H105" s="30" t="inlineStr"/>
      <c r="I105" s="15">
        <f>IF(D105="","",IFERROR(VLOOKUP(D105,'04_Personal'!$A$4:$G$400,7,FALSE),0))</f>
        <v/>
      </c>
      <c r="J105" s="15">
        <f>IF(D105="","",IFERROR(VLOOKUP(D105,'04_Personal'!$A$4:$G$400,6,FALSE),VSSatz))</f>
        <v/>
      </c>
      <c r="K105" s="15">
        <f>IF(A105="","",E105*I105)</f>
        <v/>
      </c>
      <c r="L105" s="15">
        <f>IF(A105="","",IF(H105="JA",E105*J105,0))</f>
        <v/>
      </c>
      <c r="M105" s="15">
        <f>IF(A105="","",L105-K105)</f>
        <v/>
      </c>
    </row>
    <row r="106">
      <c r="A106" s="30" t="inlineStr"/>
      <c r="B106" s="38" t="inlineStr"/>
      <c r="C106" s="30" t="inlineStr"/>
      <c r="D106" s="30" t="inlineStr"/>
      <c r="E106" s="46" t="inlineStr"/>
      <c r="F106" s="30" t="inlineStr"/>
      <c r="G106" s="30" t="inlineStr"/>
      <c r="H106" s="30" t="inlineStr"/>
      <c r="I106" s="15">
        <f>IF(D106="","",IFERROR(VLOOKUP(D106,'04_Personal'!$A$4:$G$400,7,FALSE),0))</f>
        <v/>
      </c>
      <c r="J106" s="15">
        <f>IF(D106="","",IFERROR(VLOOKUP(D106,'04_Personal'!$A$4:$G$400,6,FALSE),VSSatz))</f>
        <v/>
      </c>
      <c r="K106" s="15">
        <f>IF(A106="","",E106*I106)</f>
        <v/>
      </c>
      <c r="L106" s="15">
        <f>IF(A106="","",IF(H106="JA",E106*J106,0))</f>
        <v/>
      </c>
      <c r="M106" s="15">
        <f>IF(A106="","",L106-K106)</f>
        <v/>
      </c>
    </row>
    <row r="107">
      <c r="A107" s="30" t="inlineStr"/>
      <c r="B107" s="38" t="inlineStr"/>
      <c r="C107" s="30" t="inlineStr"/>
      <c r="D107" s="30" t="inlineStr"/>
      <c r="E107" s="46" t="inlineStr"/>
      <c r="F107" s="30" t="inlineStr"/>
      <c r="G107" s="30" t="inlineStr"/>
      <c r="H107" s="30" t="inlineStr"/>
      <c r="I107" s="15">
        <f>IF(D107="","",IFERROR(VLOOKUP(D107,'04_Personal'!$A$4:$G$400,7,FALSE),0))</f>
        <v/>
      </c>
      <c r="J107" s="15">
        <f>IF(D107="","",IFERROR(VLOOKUP(D107,'04_Personal'!$A$4:$G$400,6,FALSE),VSSatz))</f>
        <v/>
      </c>
      <c r="K107" s="15">
        <f>IF(A107="","",E107*I107)</f>
        <v/>
      </c>
      <c r="L107" s="15">
        <f>IF(A107="","",IF(H107="JA",E107*J107,0))</f>
        <v/>
      </c>
      <c r="M107" s="15">
        <f>IF(A107="","",L107-K107)</f>
        <v/>
      </c>
    </row>
    <row r="108">
      <c r="A108" s="30" t="inlineStr"/>
      <c r="B108" s="38" t="inlineStr"/>
      <c r="C108" s="30" t="inlineStr"/>
      <c r="D108" s="30" t="inlineStr"/>
      <c r="E108" s="46" t="inlineStr"/>
      <c r="F108" s="30" t="inlineStr"/>
      <c r="G108" s="30" t="inlineStr"/>
      <c r="H108" s="30" t="inlineStr"/>
      <c r="I108" s="15">
        <f>IF(D108="","",IFERROR(VLOOKUP(D108,'04_Personal'!$A$4:$G$400,7,FALSE),0))</f>
        <v/>
      </c>
      <c r="J108" s="15">
        <f>IF(D108="","",IFERROR(VLOOKUP(D108,'04_Personal'!$A$4:$G$400,6,FALSE),VSSatz))</f>
        <v/>
      </c>
      <c r="K108" s="15">
        <f>IF(A108="","",E108*I108)</f>
        <v/>
      </c>
      <c r="L108" s="15">
        <f>IF(A108="","",IF(H108="JA",E108*J108,0))</f>
        <v/>
      </c>
      <c r="M108" s="15">
        <f>IF(A108="","",L108-K108)</f>
        <v/>
      </c>
    </row>
    <row r="109">
      <c r="A109" s="30" t="inlineStr"/>
      <c r="B109" s="38" t="inlineStr"/>
      <c r="C109" s="30" t="inlineStr"/>
      <c r="D109" s="30" t="inlineStr"/>
      <c r="E109" s="46" t="inlineStr"/>
      <c r="F109" s="30" t="inlineStr"/>
      <c r="G109" s="30" t="inlineStr"/>
      <c r="H109" s="30" t="inlineStr"/>
      <c r="I109" s="15">
        <f>IF(D109="","",IFERROR(VLOOKUP(D109,'04_Personal'!$A$4:$G$400,7,FALSE),0))</f>
        <v/>
      </c>
      <c r="J109" s="15">
        <f>IF(D109="","",IFERROR(VLOOKUP(D109,'04_Personal'!$A$4:$G$400,6,FALSE),VSSatz))</f>
        <v/>
      </c>
      <c r="K109" s="15">
        <f>IF(A109="","",E109*I109)</f>
        <v/>
      </c>
      <c r="L109" s="15">
        <f>IF(A109="","",IF(H109="JA",E109*J109,0))</f>
        <v/>
      </c>
      <c r="M109" s="15">
        <f>IF(A109="","",L109-K109)</f>
        <v/>
      </c>
    </row>
    <row r="110">
      <c r="A110" s="30" t="inlineStr"/>
      <c r="B110" s="38" t="inlineStr"/>
      <c r="C110" s="30" t="inlineStr"/>
      <c r="D110" s="30" t="inlineStr"/>
      <c r="E110" s="46" t="inlineStr"/>
      <c r="F110" s="30" t="inlineStr"/>
      <c r="G110" s="30" t="inlineStr"/>
      <c r="H110" s="30" t="inlineStr"/>
      <c r="I110" s="15">
        <f>IF(D110="","",IFERROR(VLOOKUP(D110,'04_Personal'!$A$4:$G$400,7,FALSE),0))</f>
        <v/>
      </c>
      <c r="J110" s="15">
        <f>IF(D110="","",IFERROR(VLOOKUP(D110,'04_Personal'!$A$4:$G$400,6,FALSE),VSSatz))</f>
        <v/>
      </c>
      <c r="K110" s="15">
        <f>IF(A110="","",E110*I110)</f>
        <v/>
      </c>
      <c r="L110" s="15">
        <f>IF(A110="","",IF(H110="JA",E110*J110,0))</f>
        <v/>
      </c>
      <c r="M110" s="15">
        <f>IF(A110="","",L110-K110)</f>
        <v/>
      </c>
    </row>
    <row r="111">
      <c r="A111" s="30" t="inlineStr"/>
      <c r="B111" s="38" t="inlineStr"/>
      <c r="C111" s="30" t="inlineStr"/>
      <c r="D111" s="30" t="inlineStr"/>
      <c r="E111" s="46" t="inlineStr"/>
      <c r="F111" s="30" t="inlineStr"/>
      <c r="G111" s="30" t="inlineStr"/>
      <c r="H111" s="30" t="inlineStr"/>
      <c r="I111" s="15">
        <f>IF(D111="","",IFERROR(VLOOKUP(D111,'04_Personal'!$A$4:$G$400,7,FALSE),0))</f>
        <v/>
      </c>
      <c r="J111" s="15">
        <f>IF(D111="","",IFERROR(VLOOKUP(D111,'04_Personal'!$A$4:$G$400,6,FALSE),VSSatz))</f>
        <v/>
      </c>
      <c r="K111" s="15">
        <f>IF(A111="","",E111*I111)</f>
        <v/>
      </c>
      <c r="L111" s="15">
        <f>IF(A111="","",IF(H111="JA",E111*J111,0))</f>
        <v/>
      </c>
      <c r="M111" s="15">
        <f>IF(A111="","",L111-K111)</f>
        <v/>
      </c>
    </row>
    <row r="112">
      <c r="A112" s="30" t="inlineStr"/>
      <c r="B112" s="38" t="inlineStr"/>
      <c r="C112" s="30" t="inlineStr"/>
      <c r="D112" s="30" t="inlineStr"/>
      <c r="E112" s="46" t="inlineStr"/>
      <c r="F112" s="30" t="inlineStr"/>
      <c r="G112" s="30" t="inlineStr"/>
      <c r="H112" s="30" t="inlineStr"/>
      <c r="I112" s="15">
        <f>IF(D112="","",IFERROR(VLOOKUP(D112,'04_Personal'!$A$4:$G$400,7,FALSE),0))</f>
        <v/>
      </c>
      <c r="J112" s="15">
        <f>IF(D112="","",IFERROR(VLOOKUP(D112,'04_Personal'!$A$4:$G$400,6,FALSE),VSSatz))</f>
        <v/>
      </c>
      <c r="K112" s="15">
        <f>IF(A112="","",E112*I112)</f>
        <v/>
      </c>
      <c r="L112" s="15">
        <f>IF(A112="","",IF(H112="JA",E112*J112,0))</f>
        <v/>
      </c>
      <c r="M112" s="15">
        <f>IF(A112="","",L112-K112)</f>
        <v/>
      </c>
    </row>
    <row r="113">
      <c r="A113" s="30" t="inlineStr"/>
      <c r="B113" s="38" t="inlineStr"/>
      <c r="C113" s="30" t="inlineStr"/>
      <c r="D113" s="30" t="inlineStr"/>
      <c r="E113" s="46" t="inlineStr"/>
      <c r="F113" s="30" t="inlineStr"/>
      <c r="G113" s="30" t="inlineStr"/>
      <c r="H113" s="30" t="inlineStr"/>
      <c r="I113" s="15">
        <f>IF(D113="","",IFERROR(VLOOKUP(D113,'04_Personal'!$A$4:$G$400,7,FALSE),0))</f>
        <v/>
      </c>
      <c r="J113" s="15">
        <f>IF(D113="","",IFERROR(VLOOKUP(D113,'04_Personal'!$A$4:$G$400,6,FALSE),VSSatz))</f>
        <v/>
      </c>
      <c r="K113" s="15">
        <f>IF(A113="","",E113*I113)</f>
        <v/>
      </c>
      <c r="L113" s="15">
        <f>IF(A113="","",IF(H113="JA",E113*J113,0))</f>
        <v/>
      </c>
      <c r="M113" s="15">
        <f>IF(A113="","",L113-K113)</f>
        <v/>
      </c>
    </row>
    <row r="114">
      <c r="A114" s="30" t="inlineStr"/>
      <c r="B114" s="38" t="inlineStr"/>
      <c r="C114" s="30" t="inlineStr"/>
      <c r="D114" s="30" t="inlineStr"/>
      <c r="E114" s="46" t="inlineStr"/>
      <c r="F114" s="30" t="inlineStr"/>
      <c r="G114" s="30" t="inlineStr"/>
      <c r="H114" s="30" t="inlineStr"/>
      <c r="I114" s="15">
        <f>IF(D114="","",IFERROR(VLOOKUP(D114,'04_Personal'!$A$4:$G$400,7,FALSE),0))</f>
        <v/>
      </c>
      <c r="J114" s="15">
        <f>IF(D114="","",IFERROR(VLOOKUP(D114,'04_Personal'!$A$4:$G$400,6,FALSE),VSSatz))</f>
        <v/>
      </c>
      <c r="K114" s="15">
        <f>IF(A114="","",E114*I114)</f>
        <v/>
      </c>
      <c r="L114" s="15">
        <f>IF(A114="","",IF(H114="JA",E114*J114,0))</f>
        <v/>
      </c>
      <c r="M114" s="15">
        <f>IF(A114="","",L114-K114)</f>
        <v/>
      </c>
    </row>
    <row r="115">
      <c r="A115" s="30" t="inlineStr"/>
      <c r="B115" s="38" t="inlineStr"/>
      <c r="C115" s="30" t="inlineStr"/>
      <c r="D115" s="30" t="inlineStr"/>
      <c r="E115" s="46" t="inlineStr"/>
      <c r="F115" s="30" t="inlineStr"/>
      <c r="G115" s="30" t="inlineStr"/>
      <c r="H115" s="30" t="inlineStr"/>
      <c r="I115" s="15">
        <f>IF(D115="","",IFERROR(VLOOKUP(D115,'04_Personal'!$A$4:$G$400,7,FALSE),0))</f>
        <v/>
      </c>
      <c r="J115" s="15">
        <f>IF(D115="","",IFERROR(VLOOKUP(D115,'04_Personal'!$A$4:$G$400,6,FALSE),VSSatz))</f>
        <v/>
      </c>
      <c r="K115" s="15">
        <f>IF(A115="","",E115*I115)</f>
        <v/>
      </c>
      <c r="L115" s="15">
        <f>IF(A115="","",IF(H115="JA",E115*J115,0))</f>
        <v/>
      </c>
      <c r="M115" s="15">
        <f>IF(A115="","",L115-K115)</f>
        <v/>
      </c>
    </row>
    <row r="116">
      <c r="A116" s="30" t="inlineStr"/>
      <c r="B116" s="38" t="inlineStr"/>
      <c r="C116" s="30" t="inlineStr"/>
      <c r="D116" s="30" t="inlineStr"/>
      <c r="E116" s="46" t="inlineStr"/>
      <c r="F116" s="30" t="inlineStr"/>
      <c r="G116" s="30" t="inlineStr"/>
      <c r="H116" s="30" t="inlineStr"/>
      <c r="I116" s="15">
        <f>IF(D116="","",IFERROR(VLOOKUP(D116,'04_Personal'!$A$4:$G$400,7,FALSE),0))</f>
        <v/>
      </c>
      <c r="J116" s="15">
        <f>IF(D116="","",IFERROR(VLOOKUP(D116,'04_Personal'!$A$4:$G$400,6,FALSE),VSSatz))</f>
        <v/>
      </c>
      <c r="K116" s="15">
        <f>IF(A116="","",E116*I116)</f>
        <v/>
      </c>
      <c r="L116" s="15">
        <f>IF(A116="","",IF(H116="JA",E116*J116,0))</f>
        <v/>
      </c>
      <c r="M116" s="15">
        <f>IF(A116="","",L116-K116)</f>
        <v/>
      </c>
    </row>
    <row r="117">
      <c r="A117" s="30" t="inlineStr"/>
      <c r="B117" s="38" t="inlineStr"/>
      <c r="C117" s="30" t="inlineStr"/>
      <c r="D117" s="30" t="inlineStr"/>
      <c r="E117" s="46" t="inlineStr"/>
      <c r="F117" s="30" t="inlineStr"/>
      <c r="G117" s="30" t="inlineStr"/>
      <c r="H117" s="30" t="inlineStr"/>
      <c r="I117" s="15">
        <f>IF(D117="","",IFERROR(VLOOKUP(D117,'04_Personal'!$A$4:$G$400,7,FALSE),0))</f>
        <v/>
      </c>
      <c r="J117" s="15">
        <f>IF(D117="","",IFERROR(VLOOKUP(D117,'04_Personal'!$A$4:$G$400,6,FALSE),VSSatz))</f>
        <v/>
      </c>
      <c r="K117" s="15">
        <f>IF(A117="","",E117*I117)</f>
        <v/>
      </c>
      <c r="L117" s="15">
        <f>IF(A117="","",IF(H117="JA",E117*J117,0))</f>
        <v/>
      </c>
      <c r="M117" s="15">
        <f>IF(A117="","",L117-K117)</f>
        <v/>
      </c>
    </row>
    <row r="118">
      <c r="A118" s="30" t="inlineStr"/>
      <c r="B118" s="38" t="inlineStr"/>
      <c r="C118" s="30" t="inlineStr"/>
      <c r="D118" s="30" t="inlineStr"/>
      <c r="E118" s="46" t="inlineStr"/>
      <c r="F118" s="30" t="inlineStr"/>
      <c r="G118" s="30" t="inlineStr"/>
      <c r="H118" s="30" t="inlineStr"/>
      <c r="I118" s="15">
        <f>IF(D118="","",IFERROR(VLOOKUP(D118,'04_Personal'!$A$4:$G$400,7,FALSE),0))</f>
        <v/>
      </c>
      <c r="J118" s="15">
        <f>IF(D118="","",IFERROR(VLOOKUP(D118,'04_Personal'!$A$4:$G$400,6,FALSE),VSSatz))</f>
        <v/>
      </c>
      <c r="K118" s="15">
        <f>IF(A118="","",E118*I118)</f>
        <v/>
      </c>
      <c r="L118" s="15">
        <f>IF(A118="","",IF(H118="JA",E118*J118,0))</f>
        <v/>
      </c>
      <c r="M118" s="15">
        <f>IF(A118="","",L118-K118)</f>
        <v/>
      </c>
    </row>
    <row r="119">
      <c r="A119" s="30" t="inlineStr"/>
      <c r="B119" s="38" t="inlineStr"/>
      <c r="C119" s="30" t="inlineStr"/>
      <c r="D119" s="30" t="inlineStr"/>
      <c r="E119" s="46" t="inlineStr"/>
      <c r="F119" s="30" t="inlineStr"/>
      <c r="G119" s="30" t="inlineStr"/>
      <c r="H119" s="30" t="inlineStr"/>
      <c r="I119" s="15">
        <f>IF(D119="","",IFERROR(VLOOKUP(D119,'04_Personal'!$A$4:$G$400,7,FALSE),0))</f>
        <v/>
      </c>
      <c r="J119" s="15">
        <f>IF(D119="","",IFERROR(VLOOKUP(D119,'04_Personal'!$A$4:$G$400,6,FALSE),VSSatz))</f>
        <v/>
      </c>
      <c r="K119" s="15">
        <f>IF(A119="","",E119*I119)</f>
        <v/>
      </c>
      <c r="L119" s="15">
        <f>IF(A119="","",IF(H119="JA",E119*J119,0))</f>
        <v/>
      </c>
      <c r="M119" s="15">
        <f>IF(A119="","",L119-K119)</f>
        <v/>
      </c>
    </row>
    <row r="120">
      <c r="A120" s="30" t="inlineStr"/>
      <c r="B120" s="38" t="inlineStr"/>
      <c r="C120" s="30" t="inlineStr"/>
      <c r="D120" s="30" t="inlineStr"/>
      <c r="E120" s="46" t="inlineStr"/>
      <c r="F120" s="30" t="inlineStr"/>
      <c r="G120" s="30" t="inlineStr"/>
      <c r="H120" s="30" t="inlineStr"/>
      <c r="I120" s="15">
        <f>IF(D120="","",IFERROR(VLOOKUP(D120,'04_Personal'!$A$4:$G$400,7,FALSE),0))</f>
        <v/>
      </c>
      <c r="J120" s="15">
        <f>IF(D120="","",IFERROR(VLOOKUP(D120,'04_Personal'!$A$4:$G$400,6,FALSE),VSSatz))</f>
        <v/>
      </c>
      <c r="K120" s="15">
        <f>IF(A120="","",E120*I120)</f>
        <v/>
      </c>
      <c r="L120" s="15">
        <f>IF(A120="","",IF(H120="JA",E120*J120,0))</f>
        <v/>
      </c>
      <c r="M120" s="15">
        <f>IF(A120="","",L120-K120)</f>
        <v/>
      </c>
    </row>
    <row r="121">
      <c r="A121" s="30" t="inlineStr"/>
      <c r="B121" s="38" t="inlineStr"/>
      <c r="C121" s="30" t="inlineStr"/>
      <c r="D121" s="30" t="inlineStr"/>
      <c r="E121" s="46" t="inlineStr"/>
      <c r="F121" s="30" t="inlineStr"/>
      <c r="G121" s="30" t="inlineStr"/>
      <c r="H121" s="30" t="inlineStr"/>
      <c r="I121" s="15">
        <f>IF(D121="","",IFERROR(VLOOKUP(D121,'04_Personal'!$A$4:$G$400,7,FALSE),0))</f>
        <v/>
      </c>
      <c r="J121" s="15">
        <f>IF(D121="","",IFERROR(VLOOKUP(D121,'04_Personal'!$A$4:$G$400,6,FALSE),VSSatz))</f>
        <v/>
      </c>
      <c r="K121" s="15">
        <f>IF(A121="","",E121*I121)</f>
        <v/>
      </c>
      <c r="L121" s="15">
        <f>IF(A121="","",IF(H121="JA",E121*J121,0))</f>
        <v/>
      </c>
      <c r="M121" s="15">
        <f>IF(A121="","",L121-K121)</f>
        <v/>
      </c>
    </row>
    <row r="122">
      <c r="A122" s="30" t="inlineStr"/>
      <c r="B122" s="38" t="inlineStr"/>
      <c r="C122" s="30" t="inlineStr"/>
      <c r="D122" s="30" t="inlineStr"/>
      <c r="E122" s="46" t="inlineStr"/>
      <c r="F122" s="30" t="inlineStr"/>
      <c r="G122" s="30" t="inlineStr"/>
      <c r="H122" s="30" t="inlineStr"/>
      <c r="I122" s="15">
        <f>IF(D122="","",IFERROR(VLOOKUP(D122,'04_Personal'!$A$4:$G$400,7,FALSE),0))</f>
        <v/>
      </c>
      <c r="J122" s="15">
        <f>IF(D122="","",IFERROR(VLOOKUP(D122,'04_Personal'!$A$4:$G$400,6,FALSE),VSSatz))</f>
        <v/>
      </c>
      <c r="K122" s="15">
        <f>IF(A122="","",E122*I122)</f>
        <v/>
      </c>
      <c r="L122" s="15">
        <f>IF(A122="","",IF(H122="JA",E122*J122,0))</f>
        <v/>
      </c>
      <c r="M122" s="15">
        <f>IF(A122="","",L122-K122)</f>
        <v/>
      </c>
    </row>
    <row r="123">
      <c r="A123" s="30" t="inlineStr"/>
      <c r="B123" s="38" t="inlineStr"/>
      <c r="C123" s="30" t="inlineStr"/>
      <c r="D123" s="30" t="inlineStr"/>
      <c r="E123" s="46" t="inlineStr"/>
      <c r="F123" s="30" t="inlineStr"/>
      <c r="G123" s="30" t="inlineStr"/>
      <c r="H123" s="30" t="inlineStr"/>
      <c r="I123" s="15">
        <f>IF(D123="","",IFERROR(VLOOKUP(D123,'04_Personal'!$A$4:$G$400,7,FALSE),0))</f>
        <v/>
      </c>
      <c r="J123" s="15">
        <f>IF(D123="","",IFERROR(VLOOKUP(D123,'04_Personal'!$A$4:$G$400,6,FALSE),VSSatz))</f>
        <v/>
      </c>
      <c r="K123" s="15">
        <f>IF(A123="","",E123*I123)</f>
        <v/>
      </c>
      <c r="L123" s="15">
        <f>IF(A123="","",IF(H123="JA",E123*J123,0))</f>
        <v/>
      </c>
      <c r="M123" s="15">
        <f>IF(A123="","",L123-K123)</f>
        <v/>
      </c>
    </row>
    <row r="124">
      <c r="A124" s="30" t="inlineStr"/>
      <c r="B124" s="38" t="inlineStr"/>
      <c r="C124" s="30" t="inlineStr"/>
      <c r="D124" s="30" t="inlineStr"/>
      <c r="E124" s="46" t="inlineStr"/>
      <c r="F124" s="30" t="inlineStr"/>
      <c r="G124" s="30" t="inlineStr"/>
      <c r="H124" s="30" t="inlineStr"/>
      <c r="I124" s="15">
        <f>IF(D124="","",IFERROR(VLOOKUP(D124,'04_Personal'!$A$4:$G$400,7,FALSE),0))</f>
        <v/>
      </c>
      <c r="J124" s="15">
        <f>IF(D124="","",IFERROR(VLOOKUP(D124,'04_Personal'!$A$4:$G$400,6,FALSE),VSSatz))</f>
        <v/>
      </c>
      <c r="K124" s="15">
        <f>IF(A124="","",E124*I124)</f>
        <v/>
      </c>
      <c r="L124" s="15">
        <f>IF(A124="","",IF(H124="JA",E124*J124,0))</f>
        <v/>
      </c>
      <c r="M124" s="15">
        <f>IF(A124="","",L124-K124)</f>
        <v/>
      </c>
    </row>
    <row r="125">
      <c r="A125" s="30" t="inlineStr"/>
      <c r="B125" s="38" t="inlineStr"/>
      <c r="C125" s="30" t="inlineStr"/>
      <c r="D125" s="30" t="inlineStr"/>
      <c r="E125" s="46" t="inlineStr"/>
      <c r="F125" s="30" t="inlineStr"/>
      <c r="G125" s="30" t="inlineStr"/>
      <c r="H125" s="30" t="inlineStr"/>
      <c r="I125" s="15">
        <f>IF(D125="","",IFERROR(VLOOKUP(D125,'04_Personal'!$A$4:$G$400,7,FALSE),0))</f>
        <v/>
      </c>
      <c r="J125" s="15">
        <f>IF(D125="","",IFERROR(VLOOKUP(D125,'04_Personal'!$A$4:$G$400,6,FALSE),VSSatz))</f>
        <v/>
      </c>
      <c r="K125" s="15">
        <f>IF(A125="","",E125*I125)</f>
        <v/>
      </c>
      <c r="L125" s="15">
        <f>IF(A125="","",IF(H125="JA",E125*J125,0))</f>
        <v/>
      </c>
      <c r="M125" s="15">
        <f>IF(A125="","",L125-K125)</f>
        <v/>
      </c>
    </row>
    <row r="126">
      <c r="A126" s="30" t="inlineStr"/>
      <c r="B126" s="38" t="inlineStr"/>
      <c r="C126" s="30" t="inlineStr"/>
      <c r="D126" s="30" t="inlineStr"/>
      <c r="E126" s="46" t="inlineStr"/>
      <c r="F126" s="30" t="inlineStr"/>
      <c r="G126" s="30" t="inlineStr"/>
      <c r="H126" s="30" t="inlineStr"/>
      <c r="I126" s="15">
        <f>IF(D126="","",IFERROR(VLOOKUP(D126,'04_Personal'!$A$4:$G$400,7,FALSE),0))</f>
        <v/>
      </c>
      <c r="J126" s="15">
        <f>IF(D126="","",IFERROR(VLOOKUP(D126,'04_Personal'!$A$4:$G$400,6,FALSE),VSSatz))</f>
        <v/>
      </c>
      <c r="K126" s="15">
        <f>IF(A126="","",E126*I126)</f>
        <v/>
      </c>
      <c r="L126" s="15">
        <f>IF(A126="","",IF(H126="JA",E126*J126,0))</f>
        <v/>
      </c>
      <c r="M126" s="15">
        <f>IF(A126="","",L126-K126)</f>
        <v/>
      </c>
    </row>
    <row r="127">
      <c r="A127" s="30" t="inlineStr"/>
      <c r="B127" s="38" t="inlineStr"/>
      <c r="C127" s="30" t="inlineStr"/>
      <c r="D127" s="30" t="inlineStr"/>
      <c r="E127" s="46" t="inlineStr"/>
      <c r="F127" s="30" t="inlineStr"/>
      <c r="G127" s="30" t="inlineStr"/>
      <c r="H127" s="30" t="inlineStr"/>
      <c r="I127" s="15">
        <f>IF(D127="","",IFERROR(VLOOKUP(D127,'04_Personal'!$A$4:$G$400,7,FALSE),0))</f>
        <v/>
      </c>
      <c r="J127" s="15">
        <f>IF(D127="","",IFERROR(VLOOKUP(D127,'04_Personal'!$A$4:$G$400,6,FALSE),VSSatz))</f>
        <v/>
      </c>
      <c r="K127" s="15">
        <f>IF(A127="","",E127*I127)</f>
        <v/>
      </c>
      <c r="L127" s="15">
        <f>IF(A127="","",IF(H127="JA",E127*J127,0))</f>
        <v/>
      </c>
      <c r="M127" s="15">
        <f>IF(A127="","",L127-K127)</f>
        <v/>
      </c>
    </row>
    <row r="128">
      <c r="A128" s="30" t="inlineStr"/>
      <c r="B128" s="38" t="inlineStr"/>
      <c r="C128" s="30" t="inlineStr"/>
      <c r="D128" s="30" t="inlineStr"/>
      <c r="E128" s="46" t="inlineStr"/>
      <c r="F128" s="30" t="inlineStr"/>
      <c r="G128" s="30" t="inlineStr"/>
      <c r="H128" s="30" t="inlineStr"/>
      <c r="I128" s="15">
        <f>IF(D128="","",IFERROR(VLOOKUP(D128,'04_Personal'!$A$4:$G$400,7,FALSE),0))</f>
        <v/>
      </c>
      <c r="J128" s="15">
        <f>IF(D128="","",IFERROR(VLOOKUP(D128,'04_Personal'!$A$4:$G$400,6,FALSE),VSSatz))</f>
        <v/>
      </c>
      <c r="K128" s="15">
        <f>IF(A128="","",E128*I128)</f>
        <v/>
      </c>
      <c r="L128" s="15">
        <f>IF(A128="","",IF(H128="JA",E128*J128,0))</f>
        <v/>
      </c>
      <c r="M128" s="15">
        <f>IF(A128="","",L128-K128)</f>
        <v/>
      </c>
    </row>
    <row r="129">
      <c r="A129" s="30" t="inlineStr"/>
      <c r="B129" s="38" t="inlineStr"/>
      <c r="C129" s="30" t="inlineStr"/>
      <c r="D129" s="30" t="inlineStr"/>
      <c r="E129" s="46" t="inlineStr"/>
      <c r="F129" s="30" t="inlineStr"/>
      <c r="G129" s="30" t="inlineStr"/>
      <c r="H129" s="30" t="inlineStr"/>
      <c r="I129" s="15">
        <f>IF(D129="","",IFERROR(VLOOKUP(D129,'04_Personal'!$A$4:$G$400,7,FALSE),0))</f>
        <v/>
      </c>
      <c r="J129" s="15">
        <f>IF(D129="","",IFERROR(VLOOKUP(D129,'04_Personal'!$A$4:$G$400,6,FALSE),VSSatz))</f>
        <v/>
      </c>
      <c r="K129" s="15">
        <f>IF(A129="","",E129*I129)</f>
        <v/>
      </c>
      <c r="L129" s="15">
        <f>IF(A129="","",IF(H129="JA",E129*J129,0))</f>
        <v/>
      </c>
      <c r="M129" s="15">
        <f>IF(A129="","",L129-K129)</f>
        <v/>
      </c>
    </row>
    <row r="130">
      <c r="A130" s="30" t="inlineStr"/>
      <c r="B130" s="38" t="inlineStr"/>
      <c r="C130" s="30" t="inlineStr"/>
      <c r="D130" s="30" t="inlineStr"/>
      <c r="E130" s="46" t="inlineStr"/>
      <c r="F130" s="30" t="inlineStr"/>
      <c r="G130" s="30" t="inlineStr"/>
      <c r="H130" s="30" t="inlineStr"/>
      <c r="I130" s="15">
        <f>IF(D130="","",IFERROR(VLOOKUP(D130,'04_Personal'!$A$4:$G$400,7,FALSE),0))</f>
        <v/>
      </c>
      <c r="J130" s="15">
        <f>IF(D130="","",IFERROR(VLOOKUP(D130,'04_Personal'!$A$4:$G$400,6,FALSE),VSSatz))</f>
        <v/>
      </c>
      <c r="K130" s="15">
        <f>IF(A130="","",E130*I130)</f>
        <v/>
      </c>
      <c r="L130" s="15">
        <f>IF(A130="","",IF(H130="JA",E130*J130,0))</f>
        <v/>
      </c>
      <c r="M130" s="15">
        <f>IF(A130="","",L130-K130)</f>
        <v/>
      </c>
    </row>
    <row r="131">
      <c r="A131" s="30" t="inlineStr"/>
      <c r="B131" s="38" t="inlineStr"/>
      <c r="C131" s="30" t="inlineStr"/>
      <c r="D131" s="30" t="inlineStr"/>
      <c r="E131" s="46" t="inlineStr"/>
      <c r="F131" s="30" t="inlineStr"/>
      <c r="G131" s="30" t="inlineStr"/>
      <c r="H131" s="30" t="inlineStr"/>
      <c r="I131" s="15">
        <f>IF(D131="","",IFERROR(VLOOKUP(D131,'04_Personal'!$A$4:$G$400,7,FALSE),0))</f>
        <v/>
      </c>
      <c r="J131" s="15">
        <f>IF(D131="","",IFERROR(VLOOKUP(D131,'04_Personal'!$A$4:$G$400,6,FALSE),VSSatz))</f>
        <v/>
      </c>
      <c r="K131" s="15">
        <f>IF(A131="","",E131*I131)</f>
        <v/>
      </c>
      <c r="L131" s="15">
        <f>IF(A131="","",IF(H131="JA",E131*J131,0))</f>
        <v/>
      </c>
      <c r="M131" s="15">
        <f>IF(A131="","",L131-K131)</f>
        <v/>
      </c>
    </row>
    <row r="132">
      <c r="A132" s="30" t="inlineStr"/>
      <c r="B132" s="38" t="inlineStr"/>
      <c r="C132" s="30" t="inlineStr"/>
      <c r="D132" s="30" t="inlineStr"/>
      <c r="E132" s="46" t="inlineStr"/>
      <c r="F132" s="30" t="inlineStr"/>
      <c r="G132" s="30" t="inlineStr"/>
      <c r="H132" s="30" t="inlineStr"/>
      <c r="I132" s="15">
        <f>IF(D132="","",IFERROR(VLOOKUP(D132,'04_Personal'!$A$4:$G$400,7,FALSE),0))</f>
        <v/>
      </c>
      <c r="J132" s="15">
        <f>IF(D132="","",IFERROR(VLOOKUP(D132,'04_Personal'!$A$4:$G$400,6,FALSE),VSSatz))</f>
        <v/>
      </c>
      <c r="K132" s="15">
        <f>IF(A132="","",E132*I132)</f>
        <v/>
      </c>
      <c r="L132" s="15">
        <f>IF(A132="","",IF(H132="JA",E132*J132,0))</f>
        <v/>
      </c>
      <c r="M132" s="15">
        <f>IF(A132="","",L132-K132)</f>
        <v/>
      </c>
    </row>
    <row r="133">
      <c r="A133" s="30" t="inlineStr"/>
      <c r="B133" s="38" t="inlineStr"/>
      <c r="C133" s="30" t="inlineStr"/>
      <c r="D133" s="30" t="inlineStr"/>
      <c r="E133" s="46" t="inlineStr"/>
      <c r="F133" s="30" t="inlineStr"/>
      <c r="G133" s="30" t="inlineStr"/>
      <c r="H133" s="30" t="inlineStr"/>
      <c r="I133" s="15">
        <f>IF(D133="","",IFERROR(VLOOKUP(D133,'04_Personal'!$A$4:$G$400,7,FALSE),0))</f>
        <v/>
      </c>
      <c r="J133" s="15">
        <f>IF(D133="","",IFERROR(VLOOKUP(D133,'04_Personal'!$A$4:$G$400,6,FALSE),VSSatz))</f>
        <v/>
      </c>
      <c r="K133" s="15">
        <f>IF(A133="","",E133*I133)</f>
        <v/>
      </c>
      <c r="L133" s="15">
        <f>IF(A133="","",IF(H133="JA",E133*J133,0))</f>
        <v/>
      </c>
      <c r="M133" s="15">
        <f>IF(A133="","",L133-K133)</f>
        <v/>
      </c>
    </row>
    <row r="134">
      <c r="A134" s="30" t="inlineStr"/>
      <c r="B134" s="38" t="inlineStr"/>
      <c r="C134" s="30" t="inlineStr"/>
      <c r="D134" s="30" t="inlineStr"/>
      <c r="E134" s="46" t="inlineStr"/>
      <c r="F134" s="30" t="inlineStr"/>
      <c r="G134" s="30" t="inlineStr"/>
      <c r="H134" s="30" t="inlineStr"/>
      <c r="I134" s="15">
        <f>IF(D134="","",IFERROR(VLOOKUP(D134,'04_Personal'!$A$4:$G$400,7,FALSE),0))</f>
        <v/>
      </c>
      <c r="J134" s="15">
        <f>IF(D134="","",IFERROR(VLOOKUP(D134,'04_Personal'!$A$4:$G$400,6,FALSE),VSSatz))</f>
        <v/>
      </c>
      <c r="K134" s="15">
        <f>IF(A134="","",E134*I134)</f>
        <v/>
      </c>
      <c r="L134" s="15">
        <f>IF(A134="","",IF(H134="JA",E134*J134,0))</f>
        <v/>
      </c>
      <c r="M134" s="15">
        <f>IF(A134="","",L134-K134)</f>
        <v/>
      </c>
    </row>
    <row r="135">
      <c r="A135" s="30" t="inlineStr"/>
      <c r="B135" s="38" t="inlineStr"/>
      <c r="C135" s="30" t="inlineStr"/>
      <c r="D135" s="30" t="inlineStr"/>
      <c r="E135" s="46" t="inlineStr"/>
      <c r="F135" s="30" t="inlineStr"/>
      <c r="G135" s="30" t="inlineStr"/>
      <c r="H135" s="30" t="inlineStr"/>
      <c r="I135" s="15">
        <f>IF(D135="","",IFERROR(VLOOKUP(D135,'04_Personal'!$A$4:$G$400,7,FALSE),0))</f>
        <v/>
      </c>
      <c r="J135" s="15">
        <f>IF(D135="","",IFERROR(VLOOKUP(D135,'04_Personal'!$A$4:$G$400,6,FALSE),VSSatz))</f>
        <v/>
      </c>
      <c r="K135" s="15">
        <f>IF(A135="","",E135*I135)</f>
        <v/>
      </c>
      <c r="L135" s="15">
        <f>IF(A135="","",IF(H135="JA",E135*J135,0))</f>
        <v/>
      </c>
      <c r="M135" s="15">
        <f>IF(A135="","",L135-K135)</f>
        <v/>
      </c>
    </row>
    <row r="136">
      <c r="A136" s="30" t="inlineStr"/>
      <c r="B136" s="38" t="inlineStr"/>
      <c r="C136" s="30" t="inlineStr"/>
      <c r="D136" s="30" t="inlineStr"/>
      <c r="E136" s="46" t="inlineStr"/>
      <c r="F136" s="30" t="inlineStr"/>
      <c r="G136" s="30" t="inlineStr"/>
      <c r="H136" s="30" t="inlineStr"/>
      <c r="I136" s="15">
        <f>IF(D136="","",IFERROR(VLOOKUP(D136,'04_Personal'!$A$4:$G$400,7,FALSE),0))</f>
        <v/>
      </c>
      <c r="J136" s="15">
        <f>IF(D136="","",IFERROR(VLOOKUP(D136,'04_Personal'!$A$4:$G$400,6,FALSE),VSSatz))</f>
        <v/>
      </c>
      <c r="K136" s="15">
        <f>IF(A136="","",E136*I136)</f>
        <v/>
      </c>
      <c r="L136" s="15">
        <f>IF(A136="","",IF(H136="JA",E136*J136,0))</f>
        <v/>
      </c>
      <c r="M136" s="15">
        <f>IF(A136="","",L136-K136)</f>
        <v/>
      </c>
    </row>
    <row r="137">
      <c r="A137" s="30" t="inlineStr"/>
      <c r="B137" s="38" t="inlineStr"/>
      <c r="C137" s="30" t="inlineStr"/>
      <c r="D137" s="30" t="inlineStr"/>
      <c r="E137" s="46" t="inlineStr"/>
      <c r="F137" s="30" t="inlineStr"/>
      <c r="G137" s="30" t="inlineStr"/>
      <c r="H137" s="30" t="inlineStr"/>
      <c r="I137" s="15">
        <f>IF(D137="","",IFERROR(VLOOKUP(D137,'04_Personal'!$A$4:$G$400,7,FALSE),0))</f>
        <v/>
      </c>
      <c r="J137" s="15">
        <f>IF(D137="","",IFERROR(VLOOKUP(D137,'04_Personal'!$A$4:$G$400,6,FALSE),VSSatz))</f>
        <v/>
      </c>
      <c r="K137" s="15">
        <f>IF(A137="","",E137*I137)</f>
        <v/>
      </c>
      <c r="L137" s="15">
        <f>IF(A137="","",IF(H137="JA",E137*J137,0))</f>
        <v/>
      </c>
      <c r="M137" s="15">
        <f>IF(A137="","",L137-K137)</f>
        <v/>
      </c>
    </row>
    <row r="138">
      <c r="A138" s="30" t="inlineStr"/>
      <c r="B138" s="38" t="inlineStr"/>
      <c r="C138" s="30" t="inlineStr"/>
      <c r="D138" s="30" t="inlineStr"/>
      <c r="E138" s="46" t="inlineStr"/>
      <c r="F138" s="30" t="inlineStr"/>
      <c r="G138" s="30" t="inlineStr"/>
      <c r="H138" s="30" t="inlineStr"/>
      <c r="I138" s="15">
        <f>IF(D138="","",IFERROR(VLOOKUP(D138,'04_Personal'!$A$4:$G$400,7,FALSE),0))</f>
        <v/>
      </c>
      <c r="J138" s="15">
        <f>IF(D138="","",IFERROR(VLOOKUP(D138,'04_Personal'!$A$4:$G$400,6,FALSE),VSSatz))</f>
        <v/>
      </c>
      <c r="K138" s="15">
        <f>IF(A138="","",E138*I138)</f>
        <v/>
      </c>
      <c r="L138" s="15">
        <f>IF(A138="","",IF(H138="JA",E138*J138,0))</f>
        <v/>
      </c>
      <c r="M138" s="15">
        <f>IF(A138="","",L138-K138)</f>
        <v/>
      </c>
    </row>
    <row r="139">
      <c r="A139" s="30" t="inlineStr"/>
      <c r="B139" s="38" t="inlineStr"/>
      <c r="C139" s="30" t="inlineStr"/>
      <c r="D139" s="30" t="inlineStr"/>
      <c r="E139" s="46" t="inlineStr"/>
      <c r="F139" s="30" t="inlineStr"/>
      <c r="G139" s="30" t="inlineStr"/>
      <c r="H139" s="30" t="inlineStr"/>
      <c r="I139" s="15">
        <f>IF(D139="","",IFERROR(VLOOKUP(D139,'04_Personal'!$A$4:$G$400,7,FALSE),0))</f>
        <v/>
      </c>
      <c r="J139" s="15">
        <f>IF(D139="","",IFERROR(VLOOKUP(D139,'04_Personal'!$A$4:$G$400,6,FALSE),VSSatz))</f>
        <v/>
      </c>
      <c r="K139" s="15">
        <f>IF(A139="","",E139*I139)</f>
        <v/>
      </c>
      <c r="L139" s="15">
        <f>IF(A139="","",IF(H139="JA",E139*J139,0))</f>
        <v/>
      </c>
      <c r="M139" s="15">
        <f>IF(A139="","",L139-K139)</f>
        <v/>
      </c>
    </row>
    <row r="140">
      <c r="A140" s="30" t="inlineStr"/>
      <c r="B140" s="38" t="inlineStr"/>
      <c r="C140" s="30" t="inlineStr"/>
      <c r="D140" s="30" t="inlineStr"/>
      <c r="E140" s="46" t="inlineStr"/>
      <c r="F140" s="30" t="inlineStr"/>
      <c r="G140" s="30" t="inlineStr"/>
      <c r="H140" s="30" t="inlineStr"/>
      <c r="I140" s="15">
        <f>IF(D140="","",IFERROR(VLOOKUP(D140,'04_Personal'!$A$4:$G$400,7,FALSE),0))</f>
        <v/>
      </c>
      <c r="J140" s="15">
        <f>IF(D140="","",IFERROR(VLOOKUP(D140,'04_Personal'!$A$4:$G$400,6,FALSE),VSSatz))</f>
        <v/>
      </c>
      <c r="K140" s="15">
        <f>IF(A140="","",E140*I140)</f>
        <v/>
      </c>
      <c r="L140" s="15">
        <f>IF(A140="","",IF(H140="JA",E140*J140,0))</f>
        <v/>
      </c>
      <c r="M140" s="15">
        <f>IF(A140="","",L140-K140)</f>
        <v/>
      </c>
    </row>
    <row r="141">
      <c r="A141" s="30" t="inlineStr"/>
      <c r="B141" s="38" t="inlineStr"/>
      <c r="C141" s="30" t="inlineStr"/>
      <c r="D141" s="30" t="inlineStr"/>
      <c r="E141" s="46" t="inlineStr"/>
      <c r="F141" s="30" t="inlineStr"/>
      <c r="G141" s="30" t="inlineStr"/>
      <c r="H141" s="30" t="inlineStr"/>
      <c r="I141" s="15">
        <f>IF(D141="","",IFERROR(VLOOKUP(D141,'04_Personal'!$A$4:$G$400,7,FALSE),0))</f>
        <v/>
      </c>
      <c r="J141" s="15">
        <f>IF(D141="","",IFERROR(VLOOKUP(D141,'04_Personal'!$A$4:$G$400,6,FALSE),VSSatz))</f>
        <v/>
      </c>
      <c r="K141" s="15">
        <f>IF(A141="","",E141*I141)</f>
        <v/>
      </c>
      <c r="L141" s="15">
        <f>IF(A141="","",IF(H141="JA",E141*J141,0))</f>
        <v/>
      </c>
      <c r="M141" s="15">
        <f>IF(A141="","",L141-K141)</f>
        <v/>
      </c>
    </row>
    <row r="142">
      <c r="A142" s="30" t="inlineStr"/>
      <c r="B142" s="38" t="inlineStr"/>
      <c r="C142" s="30" t="inlineStr"/>
      <c r="D142" s="30" t="inlineStr"/>
      <c r="E142" s="46" t="inlineStr"/>
      <c r="F142" s="30" t="inlineStr"/>
      <c r="G142" s="30" t="inlineStr"/>
      <c r="H142" s="30" t="inlineStr"/>
      <c r="I142" s="15">
        <f>IF(D142="","",IFERROR(VLOOKUP(D142,'04_Personal'!$A$4:$G$400,7,FALSE),0))</f>
        <v/>
      </c>
      <c r="J142" s="15">
        <f>IF(D142="","",IFERROR(VLOOKUP(D142,'04_Personal'!$A$4:$G$400,6,FALSE),VSSatz))</f>
        <v/>
      </c>
      <c r="K142" s="15">
        <f>IF(A142="","",E142*I142)</f>
        <v/>
      </c>
      <c r="L142" s="15">
        <f>IF(A142="","",IF(H142="JA",E142*J142,0))</f>
        <v/>
      </c>
      <c r="M142" s="15">
        <f>IF(A142="","",L142-K142)</f>
        <v/>
      </c>
    </row>
    <row r="143">
      <c r="A143" s="30" t="inlineStr"/>
      <c r="B143" s="38" t="inlineStr"/>
      <c r="C143" s="30" t="inlineStr"/>
      <c r="D143" s="30" t="inlineStr"/>
      <c r="E143" s="46" t="inlineStr"/>
      <c r="F143" s="30" t="inlineStr"/>
      <c r="G143" s="30" t="inlineStr"/>
      <c r="H143" s="30" t="inlineStr"/>
      <c r="I143" s="15">
        <f>IF(D143="","",IFERROR(VLOOKUP(D143,'04_Personal'!$A$4:$G$400,7,FALSE),0))</f>
        <v/>
      </c>
      <c r="J143" s="15">
        <f>IF(D143="","",IFERROR(VLOOKUP(D143,'04_Personal'!$A$4:$G$400,6,FALSE),VSSatz))</f>
        <v/>
      </c>
      <c r="K143" s="15">
        <f>IF(A143="","",E143*I143)</f>
        <v/>
      </c>
      <c r="L143" s="15">
        <f>IF(A143="","",IF(H143="JA",E143*J143,0))</f>
        <v/>
      </c>
      <c r="M143" s="15">
        <f>IF(A143="","",L143-K143)</f>
        <v/>
      </c>
    </row>
    <row r="144">
      <c r="A144" s="30" t="inlineStr"/>
      <c r="B144" s="38" t="inlineStr"/>
      <c r="C144" s="30" t="inlineStr"/>
      <c r="D144" s="30" t="inlineStr"/>
      <c r="E144" s="46" t="inlineStr"/>
      <c r="F144" s="30" t="inlineStr"/>
      <c r="G144" s="30" t="inlineStr"/>
      <c r="H144" s="30" t="inlineStr"/>
      <c r="I144" s="15">
        <f>IF(D144="","",IFERROR(VLOOKUP(D144,'04_Personal'!$A$4:$G$400,7,FALSE),0))</f>
        <v/>
      </c>
      <c r="J144" s="15">
        <f>IF(D144="","",IFERROR(VLOOKUP(D144,'04_Personal'!$A$4:$G$400,6,FALSE),VSSatz))</f>
        <v/>
      </c>
      <c r="K144" s="15">
        <f>IF(A144="","",E144*I144)</f>
        <v/>
      </c>
      <c r="L144" s="15">
        <f>IF(A144="","",IF(H144="JA",E144*J144,0))</f>
        <v/>
      </c>
      <c r="M144" s="15">
        <f>IF(A144="","",L144-K144)</f>
        <v/>
      </c>
    </row>
    <row r="145">
      <c r="A145" s="30" t="inlineStr"/>
      <c r="B145" s="38" t="inlineStr"/>
      <c r="C145" s="30" t="inlineStr"/>
      <c r="D145" s="30" t="inlineStr"/>
      <c r="E145" s="46" t="inlineStr"/>
      <c r="F145" s="30" t="inlineStr"/>
      <c r="G145" s="30" t="inlineStr"/>
      <c r="H145" s="30" t="inlineStr"/>
      <c r="I145" s="15">
        <f>IF(D145="","",IFERROR(VLOOKUP(D145,'04_Personal'!$A$4:$G$400,7,FALSE),0))</f>
        <v/>
      </c>
      <c r="J145" s="15">
        <f>IF(D145="","",IFERROR(VLOOKUP(D145,'04_Personal'!$A$4:$G$400,6,FALSE),VSSatz))</f>
        <v/>
      </c>
      <c r="K145" s="15">
        <f>IF(A145="","",E145*I145)</f>
        <v/>
      </c>
      <c r="L145" s="15">
        <f>IF(A145="","",IF(H145="JA",E145*J145,0))</f>
        <v/>
      </c>
      <c r="M145" s="15">
        <f>IF(A145="","",L145-K145)</f>
        <v/>
      </c>
    </row>
    <row r="146">
      <c r="A146" s="30" t="inlineStr"/>
      <c r="B146" s="38" t="inlineStr"/>
      <c r="C146" s="30" t="inlineStr"/>
      <c r="D146" s="30" t="inlineStr"/>
      <c r="E146" s="46" t="inlineStr"/>
      <c r="F146" s="30" t="inlineStr"/>
      <c r="G146" s="30" t="inlineStr"/>
      <c r="H146" s="30" t="inlineStr"/>
      <c r="I146" s="15">
        <f>IF(D146="","",IFERROR(VLOOKUP(D146,'04_Personal'!$A$4:$G$400,7,FALSE),0))</f>
        <v/>
      </c>
      <c r="J146" s="15">
        <f>IF(D146="","",IFERROR(VLOOKUP(D146,'04_Personal'!$A$4:$G$400,6,FALSE),VSSatz))</f>
        <v/>
      </c>
      <c r="K146" s="15">
        <f>IF(A146="","",E146*I146)</f>
        <v/>
      </c>
      <c r="L146" s="15">
        <f>IF(A146="","",IF(H146="JA",E146*J146,0))</f>
        <v/>
      </c>
      <c r="M146" s="15">
        <f>IF(A146="","",L146-K146)</f>
        <v/>
      </c>
    </row>
    <row r="147">
      <c r="A147" s="30" t="inlineStr"/>
      <c r="B147" s="38" t="inlineStr"/>
      <c r="C147" s="30" t="inlineStr"/>
      <c r="D147" s="30" t="inlineStr"/>
      <c r="E147" s="46" t="inlineStr"/>
      <c r="F147" s="30" t="inlineStr"/>
      <c r="G147" s="30" t="inlineStr"/>
      <c r="H147" s="30" t="inlineStr"/>
      <c r="I147" s="15">
        <f>IF(D147="","",IFERROR(VLOOKUP(D147,'04_Personal'!$A$4:$G$400,7,FALSE),0))</f>
        <v/>
      </c>
      <c r="J147" s="15">
        <f>IF(D147="","",IFERROR(VLOOKUP(D147,'04_Personal'!$A$4:$G$400,6,FALSE),VSSatz))</f>
        <v/>
      </c>
      <c r="K147" s="15">
        <f>IF(A147="","",E147*I147)</f>
        <v/>
      </c>
      <c r="L147" s="15">
        <f>IF(A147="","",IF(H147="JA",E147*J147,0))</f>
        <v/>
      </c>
      <c r="M147" s="15">
        <f>IF(A147="","",L147-K147)</f>
        <v/>
      </c>
    </row>
    <row r="148">
      <c r="A148" s="30" t="inlineStr"/>
      <c r="B148" s="38" t="inlineStr"/>
      <c r="C148" s="30" t="inlineStr"/>
      <c r="D148" s="30" t="inlineStr"/>
      <c r="E148" s="46" t="inlineStr"/>
      <c r="F148" s="30" t="inlineStr"/>
      <c r="G148" s="30" t="inlineStr"/>
      <c r="H148" s="30" t="inlineStr"/>
      <c r="I148" s="15">
        <f>IF(D148="","",IFERROR(VLOOKUP(D148,'04_Personal'!$A$4:$G$400,7,FALSE),0))</f>
        <v/>
      </c>
      <c r="J148" s="15">
        <f>IF(D148="","",IFERROR(VLOOKUP(D148,'04_Personal'!$A$4:$G$400,6,FALSE),VSSatz))</f>
        <v/>
      </c>
      <c r="K148" s="15">
        <f>IF(A148="","",E148*I148)</f>
        <v/>
      </c>
      <c r="L148" s="15">
        <f>IF(A148="","",IF(H148="JA",E148*J148,0))</f>
        <v/>
      </c>
      <c r="M148" s="15">
        <f>IF(A148="","",L148-K148)</f>
        <v/>
      </c>
    </row>
    <row r="149">
      <c r="A149" s="30" t="inlineStr"/>
      <c r="B149" s="38" t="inlineStr"/>
      <c r="C149" s="30" t="inlineStr"/>
      <c r="D149" s="30" t="inlineStr"/>
      <c r="E149" s="46" t="inlineStr"/>
      <c r="F149" s="30" t="inlineStr"/>
      <c r="G149" s="30" t="inlineStr"/>
      <c r="H149" s="30" t="inlineStr"/>
      <c r="I149" s="15">
        <f>IF(D149="","",IFERROR(VLOOKUP(D149,'04_Personal'!$A$4:$G$400,7,FALSE),0))</f>
        <v/>
      </c>
      <c r="J149" s="15">
        <f>IF(D149="","",IFERROR(VLOOKUP(D149,'04_Personal'!$A$4:$G$400,6,FALSE),VSSatz))</f>
        <v/>
      </c>
      <c r="K149" s="15">
        <f>IF(A149="","",E149*I149)</f>
        <v/>
      </c>
      <c r="L149" s="15">
        <f>IF(A149="","",IF(H149="JA",E149*J149,0))</f>
        <v/>
      </c>
      <c r="M149" s="15">
        <f>IF(A149="","",L149-K149)</f>
        <v/>
      </c>
    </row>
    <row r="150">
      <c r="A150" s="30" t="inlineStr"/>
      <c r="B150" s="38" t="inlineStr"/>
      <c r="C150" s="30" t="inlineStr"/>
      <c r="D150" s="30" t="inlineStr"/>
      <c r="E150" s="46" t="inlineStr"/>
      <c r="F150" s="30" t="inlineStr"/>
      <c r="G150" s="30" t="inlineStr"/>
      <c r="H150" s="30" t="inlineStr"/>
      <c r="I150" s="15">
        <f>IF(D150="","",IFERROR(VLOOKUP(D150,'04_Personal'!$A$4:$G$400,7,FALSE),0))</f>
        <v/>
      </c>
      <c r="J150" s="15">
        <f>IF(D150="","",IFERROR(VLOOKUP(D150,'04_Personal'!$A$4:$G$400,6,FALSE),VSSatz))</f>
        <v/>
      </c>
      <c r="K150" s="15">
        <f>IF(A150="","",E150*I150)</f>
        <v/>
      </c>
      <c r="L150" s="15">
        <f>IF(A150="","",IF(H150="JA",E150*J150,0))</f>
        <v/>
      </c>
      <c r="M150" s="15">
        <f>IF(A150="","",L150-K150)</f>
        <v/>
      </c>
    </row>
    <row r="151">
      <c r="A151" s="30" t="inlineStr"/>
      <c r="B151" s="38" t="inlineStr"/>
      <c r="C151" s="30" t="inlineStr"/>
      <c r="D151" s="30" t="inlineStr"/>
      <c r="E151" s="46" t="inlineStr"/>
      <c r="F151" s="30" t="inlineStr"/>
      <c r="G151" s="30" t="inlineStr"/>
      <c r="H151" s="30" t="inlineStr"/>
      <c r="I151" s="15">
        <f>IF(D151="","",IFERROR(VLOOKUP(D151,'04_Personal'!$A$4:$G$400,7,FALSE),0))</f>
        <v/>
      </c>
      <c r="J151" s="15">
        <f>IF(D151="","",IFERROR(VLOOKUP(D151,'04_Personal'!$A$4:$G$400,6,FALSE),VSSatz))</f>
        <v/>
      </c>
      <c r="K151" s="15">
        <f>IF(A151="","",E151*I151)</f>
        <v/>
      </c>
      <c r="L151" s="15">
        <f>IF(A151="","",IF(H151="JA",E151*J151,0))</f>
        <v/>
      </c>
      <c r="M151" s="15">
        <f>IF(A151="","",L151-K151)</f>
        <v/>
      </c>
    </row>
    <row r="152">
      <c r="A152" s="30" t="inlineStr"/>
      <c r="B152" s="38" t="inlineStr"/>
      <c r="C152" s="30" t="inlineStr"/>
      <c r="D152" s="30" t="inlineStr"/>
      <c r="E152" s="46" t="inlineStr"/>
      <c r="F152" s="30" t="inlineStr"/>
      <c r="G152" s="30" t="inlineStr"/>
      <c r="H152" s="30" t="inlineStr"/>
      <c r="I152" s="15">
        <f>IF(D152="","",IFERROR(VLOOKUP(D152,'04_Personal'!$A$4:$G$400,7,FALSE),0))</f>
        <v/>
      </c>
      <c r="J152" s="15">
        <f>IF(D152="","",IFERROR(VLOOKUP(D152,'04_Personal'!$A$4:$G$400,6,FALSE),VSSatz))</f>
        <v/>
      </c>
      <c r="K152" s="15">
        <f>IF(A152="","",E152*I152)</f>
        <v/>
      </c>
      <c r="L152" s="15">
        <f>IF(A152="","",IF(H152="JA",E152*J152,0))</f>
        <v/>
      </c>
      <c r="M152" s="15">
        <f>IF(A152="","",L152-K152)</f>
        <v/>
      </c>
    </row>
    <row r="153">
      <c r="A153" s="30" t="inlineStr"/>
      <c r="B153" s="38" t="inlineStr"/>
      <c r="C153" s="30" t="inlineStr"/>
      <c r="D153" s="30" t="inlineStr"/>
      <c r="E153" s="46" t="inlineStr"/>
      <c r="F153" s="30" t="inlineStr"/>
      <c r="G153" s="30" t="inlineStr"/>
      <c r="H153" s="30" t="inlineStr"/>
      <c r="I153" s="15">
        <f>IF(D153="","",IFERROR(VLOOKUP(D153,'04_Personal'!$A$4:$G$400,7,FALSE),0))</f>
        <v/>
      </c>
      <c r="J153" s="15">
        <f>IF(D153="","",IFERROR(VLOOKUP(D153,'04_Personal'!$A$4:$G$400,6,FALSE),VSSatz))</f>
        <v/>
      </c>
      <c r="K153" s="15">
        <f>IF(A153="","",E153*I153)</f>
        <v/>
      </c>
      <c r="L153" s="15">
        <f>IF(A153="","",IF(H153="JA",E153*J153,0))</f>
        <v/>
      </c>
      <c r="M153" s="15">
        <f>IF(A153="","",L153-K153)</f>
        <v/>
      </c>
    </row>
    <row r="154">
      <c r="A154" s="30" t="inlineStr"/>
      <c r="B154" s="38" t="inlineStr"/>
      <c r="C154" s="30" t="inlineStr"/>
      <c r="D154" s="30" t="inlineStr"/>
      <c r="E154" s="46" t="inlineStr"/>
      <c r="F154" s="30" t="inlineStr"/>
      <c r="G154" s="30" t="inlineStr"/>
      <c r="H154" s="30" t="inlineStr"/>
      <c r="I154" s="15">
        <f>IF(D154="","",IFERROR(VLOOKUP(D154,'04_Personal'!$A$4:$G$400,7,FALSE),0))</f>
        <v/>
      </c>
      <c r="J154" s="15">
        <f>IF(D154="","",IFERROR(VLOOKUP(D154,'04_Personal'!$A$4:$G$400,6,FALSE),VSSatz))</f>
        <v/>
      </c>
      <c r="K154" s="15">
        <f>IF(A154="","",E154*I154)</f>
        <v/>
      </c>
      <c r="L154" s="15">
        <f>IF(A154="","",IF(H154="JA",E154*J154,0))</f>
        <v/>
      </c>
      <c r="M154" s="15">
        <f>IF(A154="","",L154-K154)</f>
        <v/>
      </c>
    </row>
    <row r="155">
      <c r="A155" s="30" t="inlineStr"/>
      <c r="B155" s="38" t="inlineStr"/>
      <c r="C155" s="30" t="inlineStr"/>
      <c r="D155" s="30" t="inlineStr"/>
      <c r="E155" s="46" t="inlineStr"/>
      <c r="F155" s="30" t="inlineStr"/>
      <c r="G155" s="30" t="inlineStr"/>
      <c r="H155" s="30" t="inlineStr"/>
      <c r="I155" s="15">
        <f>IF(D155="","",IFERROR(VLOOKUP(D155,'04_Personal'!$A$4:$G$400,7,FALSE),0))</f>
        <v/>
      </c>
      <c r="J155" s="15">
        <f>IF(D155="","",IFERROR(VLOOKUP(D155,'04_Personal'!$A$4:$G$400,6,FALSE),VSSatz))</f>
        <v/>
      </c>
      <c r="K155" s="15">
        <f>IF(A155="","",E155*I155)</f>
        <v/>
      </c>
      <c r="L155" s="15">
        <f>IF(A155="","",IF(H155="JA",E155*J155,0))</f>
        <v/>
      </c>
      <c r="M155" s="15">
        <f>IF(A155="","",L155-K155)</f>
        <v/>
      </c>
    </row>
    <row r="156">
      <c r="A156" s="30" t="inlineStr"/>
      <c r="B156" s="38" t="inlineStr"/>
      <c r="C156" s="30" t="inlineStr"/>
      <c r="D156" s="30" t="inlineStr"/>
      <c r="E156" s="46" t="inlineStr"/>
      <c r="F156" s="30" t="inlineStr"/>
      <c r="G156" s="30" t="inlineStr"/>
      <c r="H156" s="30" t="inlineStr"/>
      <c r="I156" s="15">
        <f>IF(D156="","",IFERROR(VLOOKUP(D156,'04_Personal'!$A$4:$G$400,7,FALSE),0))</f>
        <v/>
      </c>
      <c r="J156" s="15">
        <f>IF(D156="","",IFERROR(VLOOKUP(D156,'04_Personal'!$A$4:$G$400,6,FALSE),VSSatz))</f>
        <v/>
      </c>
      <c r="K156" s="15">
        <f>IF(A156="","",E156*I156)</f>
        <v/>
      </c>
      <c r="L156" s="15">
        <f>IF(A156="","",IF(H156="JA",E156*J156,0))</f>
        <v/>
      </c>
      <c r="M156" s="15">
        <f>IF(A156="","",L156-K156)</f>
        <v/>
      </c>
    </row>
    <row r="157">
      <c r="A157" s="30" t="inlineStr"/>
      <c r="B157" s="38" t="inlineStr"/>
      <c r="C157" s="30" t="inlineStr"/>
      <c r="D157" s="30" t="inlineStr"/>
      <c r="E157" s="46" t="inlineStr"/>
      <c r="F157" s="30" t="inlineStr"/>
      <c r="G157" s="30" t="inlineStr"/>
      <c r="H157" s="30" t="inlineStr"/>
      <c r="I157" s="15">
        <f>IF(D157="","",IFERROR(VLOOKUP(D157,'04_Personal'!$A$4:$G$400,7,FALSE),0))</f>
        <v/>
      </c>
      <c r="J157" s="15">
        <f>IF(D157="","",IFERROR(VLOOKUP(D157,'04_Personal'!$A$4:$G$400,6,FALSE),VSSatz))</f>
        <v/>
      </c>
      <c r="K157" s="15">
        <f>IF(A157="","",E157*I157)</f>
        <v/>
      </c>
      <c r="L157" s="15">
        <f>IF(A157="","",IF(H157="JA",E157*J157,0))</f>
        <v/>
      </c>
      <c r="M157" s="15">
        <f>IF(A157="","",L157-K157)</f>
        <v/>
      </c>
    </row>
    <row r="158">
      <c r="A158" s="30" t="inlineStr"/>
      <c r="B158" s="38" t="inlineStr"/>
      <c r="C158" s="30" t="inlineStr"/>
      <c r="D158" s="30" t="inlineStr"/>
      <c r="E158" s="46" t="inlineStr"/>
      <c r="F158" s="30" t="inlineStr"/>
      <c r="G158" s="30" t="inlineStr"/>
      <c r="H158" s="30" t="inlineStr"/>
      <c r="I158" s="15">
        <f>IF(D158="","",IFERROR(VLOOKUP(D158,'04_Personal'!$A$4:$G$400,7,FALSE),0))</f>
        <v/>
      </c>
      <c r="J158" s="15">
        <f>IF(D158="","",IFERROR(VLOOKUP(D158,'04_Personal'!$A$4:$G$400,6,FALSE),VSSatz))</f>
        <v/>
      </c>
      <c r="K158" s="15">
        <f>IF(A158="","",E158*I158)</f>
        <v/>
      </c>
      <c r="L158" s="15">
        <f>IF(A158="","",IF(H158="JA",E158*J158,0))</f>
        <v/>
      </c>
      <c r="M158" s="15">
        <f>IF(A158="","",L158-K158)</f>
        <v/>
      </c>
    </row>
    <row r="159">
      <c r="A159" s="30" t="inlineStr"/>
      <c r="B159" s="38" t="inlineStr"/>
      <c r="C159" s="30" t="inlineStr"/>
      <c r="D159" s="30" t="inlineStr"/>
      <c r="E159" s="46" t="inlineStr"/>
      <c r="F159" s="30" t="inlineStr"/>
      <c r="G159" s="30" t="inlineStr"/>
      <c r="H159" s="30" t="inlineStr"/>
      <c r="I159" s="15">
        <f>IF(D159="","",IFERROR(VLOOKUP(D159,'04_Personal'!$A$4:$G$400,7,FALSE),0))</f>
        <v/>
      </c>
      <c r="J159" s="15">
        <f>IF(D159="","",IFERROR(VLOOKUP(D159,'04_Personal'!$A$4:$G$400,6,FALSE),VSSatz))</f>
        <v/>
      </c>
      <c r="K159" s="15">
        <f>IF(A159="","",E159*I159)</f>
        <v/>
      </c>
      <c r="L159" s="15">
        <f>IF(A159="","",IF(H159="JA",E159*J159,0))</f>
        <v/>
      </c>
      <c r="M159" s="15">
        <f>IF(A159="","",L159-K159)</f>
        <v/>
      </c>
    </row>
    <row r="160">
      <c r="A160" s="30" t="inlineStr"/>
      <c r="B160" s="38" t="inlineStr"/>
      <c r="C160" s="30" t="inlineStr"/>
      <c r="D160" s="30" t="inlineStr"/>
      <c r="E160" s="46" t="inlineStr"/>
      <c r="F160" s="30" t="inlineStr"/>
      <c r="G160" s="30" t="inlineStr"/>
      <c r="H160" s="30" t="inlineStr"/>
      <c r="I160" s="15">
        <f>IF(D160="","",IFERROR(VLOOKUP(D160,'04_Personal'!$A$4:$G$400,7,FALSE),0))</f>
        <v/>
      </c>
      <c r="J160" s="15">
        <f>IF(D160="","",IFERROR(VLOOKUP(D160,'04_Personal'!$A$4:$G$400,6,FALSE),VSSatz))</f>
        <v/>
      </c>
      <c r="K160" s="15">
        <f>IF(A160="","",E160*I160)</f>
        <v/>
      </c>
      <c r="L160" s="15">
        <f>IF(A160="","",IF(H160="JA",E160*J160,0))</f>
        <v/>
      </c>
      <c r="M160" s="15">
        <f>IF(A160="","",L160-K160)</f>
        <v/>
      </c>
    </row>
    <row r="161">
      <c r="A161" s="30" t="inlineStr"/>
      <c r="B161" s="38" t="inlineStr"/>
      <c r="C161" s="30" t="inlineStr"/>
      <c r="D161" s="30" t="inlineStr"/>
      <c r="E161" s="46" t="inlineStr"/>
      <c r="F161" s="30" t="inlineStr"/>
      <c r="G161" s="30" t="inlineStr"/>
      <c r="H161" s="30" t="inlineStr"/>
      <c r="I161" s="15">
        <f>IF(D161="","",IFERROR(VLOOKUP(D161,'04_Personal'!$A$4:$G$400,7,FALSE),0))</f>
        <v/>
      </c>
      <c r="J161" s="15">
        <f>IF(D161="","",IFERROR(VLOOKUP(D161,'04_Personal'!$A$4:$G$400,6,FALSE),VSSatz))</f>
        <v/>
      </c>
      <c r="K161" s="15">
        <f>IF(A161="","",E161*I161)</f>
        <v/>
      </c>
      <c r="L161" s="15">
        <f>IF(A161="","",IF(H161="JA",E161*J161,0))</f>
        <v/>
      </c>
      <c r="M161" s="15">
        <f>IF(A161="","",L161-K161)</f>
        <v/>
      </c>
    </row>
    <row r="162">
      <c r="A162" s="30" t="inlineStr"/>
      <c r="B162" s="38" t="inlineStr"/>
      <c r="C162" s="30" t="inlineStr"/>
      <c r="D162" s="30" t="inlineStr"/>
      <c r="E162" s="46" t="inlineStr"/>
      <c r="F162" s="30" t="inlineStr"/>
      <c r="G162" s="30" t="inlineStr"/>
      <c r="H162" s="30" t="inlineStr"/>
      <c r="I162" s="15">
        <f>IF(D162="","",IFERROR(VLOOKUP(D162,'04_Personal'!$A$4:$G$400,7,FALSE),0))</f>
        <v/>
      </c>
      <c r="J162" s="15">
        <f>IF(D162="","",IFERROR(VLOOKUP(D162,'04_Personal'!$A$4:$G$400,6,FALSE),VSSatz))</f>
        <v/>
      </c>
      <c r="K162" s="15">
        <f>IF(A162="","",E162*I162)</f>
        <v/>
      </c>
      <c r="L162" s="15">
        <f>IF(A162="","",IF(H162="JA",E162*J162,0))</f>
        <v/>
      </c>
      <c r="M162" s="15">
        <f>IF(A162="","",L162-K162)</f>
        <v/>
      </c>
    </row>
    <row r="163">
      <c r="A163" s="30" t="inlineStr"/>
      <c r="B163" s="38" t="inlineStr"/>
      <c r="C163" s="30" t="inlineStr"/>
      <c r="D163" s="30" t="inlineStr"/>
      <c r="E163" s="46" t="inlineStr"/>
      <c r="F163" s="30" t="inlineStr"/>
      <c r="G163" s="30" t="inlineStr"/>
      <c r="H163" s="30" t="inlineStr"/>
      <c r="I163" s="15">
        <f>IF(D163="","",IFERROR(VLOOKUP(D163,'04_Personal'!$A$4:$G$400,7,FALSE),0))</f>
        <v/>
      </c>
      <c r="J163" s="15">
        <f>IF(D163="","",IFERROR(VLOOKUP(D163,'04_Personal'!$A$4:$G$400,6,FALSE),VSSatz))</f>
        <v/>
      </c>
      <c r="K163" s="15">
        <f>IF(A163="","",E163*I163)</f>
        <v/>
      </c>
      <c r="L163" s="15">
        <f>IF(A163="","",IF(H163="JA",E163*J163,0))</f>
        <v/>
      </c>
      <c r="M163" s="15">
        <f>IF(A163="","",L163-K163)</f>
        <v/>
      </c>
    </row>
    <row r="164">
      <c r="A164" s="30" t="inlineStr"/>
      <c r="B164" s="38" t="inlineStr"/>
      <c r="C164" s="30" t="inlineStr"/>
      <c r="D164" s="30" t="inlineStr"/>
      <c r="E164" s="46" t="inlineStr"/>
      <c r="F164" s="30" t="inlineStr"/>
      <c r="G164" s="30" t="inlineStr"/>
      <c r="H164" s="30" t="inlineStr"/>
      <c r="I164" s="15">
        <f>IF(D164="","",IFERROR(VLOOKUP(D164,'04_Personal'!$A$4:$G$400,7,FALSE),0))</f>
        <v/>
      </c>
      <c r="J164" s="15">
        <f>IF(D164="","",IFERROR(VLOOKUP(D164,'04_Personal'!$A$4:$G$400,6,FALSE),VSSatz))</f>
        <v/>
      </c>
      <c r="K164" s="15">
        <f>IF(A164="","",E164*I164)</f>
        <v/>
      </c>
      <c r="L164" s="15">
        <f>IF(A164="","",IF(H164="JA",E164*J164,0))</f>
        <v/>
      </c>
      <c r="M164" s="15">
        <f>IF(A164="","",L164-K164)</f>
        <v/>
      </c>
    </row>
    <row r="165">
      <c r="A165" s="30" t="inlineStr"/>
      <c r="B165" s="38" t="inlineStr"/>
      <c r="C165" s="30" t="inlineStr"/>
      <c r="D165" s="30" t="inlineStr"/>
      <c r="E165" s="46" t="inlineStr"/>
      <c r="F165" s="30" t="inlineStr"/>
      <c r="G165" s="30" t="inlineStr"/>
      <c r="H165" s="30" t="inlineStr"/>
      <c r="I165" s="15">
        <f>IF(D165="","",IFERROR(VLOOKUP(D165,'04_Personal'!$A$4:$G$400,7,FALSE),0))</f>
        <v/>
      </c>
      <c r="J165" s="15">
        <f>IF(D165="","",IFERROR(VLOOKUP(D165,'04_Personal'!$A$4:$G$400,6,FALSE),VSSatz))</f>
        <v/>
      </c>
      <c r="K165" s="15">
        <f>IF(A165="","",E165*I165)</f>
        <v/>
      </c>
      <c r="L165" s="15">
        <f>IF(A165="","",IF(H165="JA",E165*J165,0))</f>
        <v/>
      </c>
      <c r="M165" s="15">
        <f>IF(A165="","",L165-K165)</f>
        <v/>
      </c>
    </row>
    <row r="166">
      <c r="A166" s="30" t="inlineStr"/>
      <c r="B166" s="38" t="inlineStr"/>
      <c r="C166" s="30" t="inlineStr"/>
      <c r="D166" s="30" t="inlineStr"/>
      <c r="E166" s="46" t="inlineStr"/>
      <c r="F166" s="30" t="inlineStr"/>
      <c r="G166" s="30" t="inlineStr"/>
      <c r="H166" s="30" t="inlineStr"/>
      <c r="I166" s="15">
        <f>IF(D166="","",IFERROR(VLOOKUP(D166,'04_Personal'!$A$4:$G$400,7,FALSE),0))</f>
        <v/>
      </c>
      <c r="J166" s="15">
        <f>IF(D166="","",IFERROR(VLOOKUP(D166,'04_Personal'!$A$4:$G$400,6,FALSE),VSSatz))</f>
        <v/>
      </c>
      <c r="K166" s="15">
        <f>IF(A166="","",E166*I166)</f>
        <v/>
      </c>
      <c r="L166" s="15">
        <f>IF(A166="","",IF(H166="JA",E166*J166,0))</f>
        <v/>
      </c>
      <c r="M166" s="15">
        <f>IF(A166="","",L166-K166)</f>
        <v/>
      </c>
    </row>
    <row r="167">
      <c r="A167" s="30" t="inlineStr"/>
      <c r="B167" s="38" t="inlineStr"/>
      <c r="C167" s="30" t="inlineStr"/>
      <c r="D167" s="30" t="inlineStr"/>
      <c r="E167" s="46" t="inlineStr"/>
      <c r="F167" s="30" t="inlineStr"/>
      <c r="G167" s="30" t="inlineStr"/>
      <c r="H167" s="30" t="inlineStr"/>
      <c r="I167" s="15">
        <f>IF(D167="","",IFERROR(VLOOKUP(D167,'04_Personal'!$A$4:$G$400,7,FALSE),0))</f>
        <v/>
      </c>
      <c r="J167" s="15">
        <f>IF(D167="","",IFERROR(VLOOKUP(D167,'04_Personal'!$A$4:$G$400,6,FALSE),VSSatz))</f>
        <v/>
      </c>
      <c r="K167" s="15">
        <f>IF(A167="","",E167*I167)</f>
        <v/>
      </c>
      <c r="L167" s="15">
        <f>IF(A167="","",IF(H167="JA",E167*J167,0))</f>
        <v/>
      </c>
      <c r="M167" s="15">
        <f>IF(A167="","",L167-K167)</f>
        <v/>
      </c>
    </row>
    <row r="168">
      <c r="A168" s="30" t="inlineStr"/>
      <c r="B168" s="38" t="inlineStr"/>
      <c r="C168" s="30" t="inlineStr"/>
      <c r="D168" s="30" t="inlineStr"/>
      <c r="E168" s="46" t="inlineStr"/>
      <c r="F168" s="30" t="inlineStr"/>
      <c r="G168" s="30" t="inlineStr"/>
      <c r="H168" s="30" t="inlineStr"/>
      <c r="I168" s="15">
        <f>IF(D168="","",IFERROR(VLOOKUP(D168,'04_Personal'!$A$4:$G$400,7,FALSE),0))</f>
        <v/>
      </c>
      <c r="J168" s="15">
        <f>IF(D168="","",IFERROR(VLOOKUP(D168,'04_Personal'!$A$4:$G$400,6,FALSE),VSSatz))</f>
        <v/>
      </c>
      <c r="K168" s="15">
        <f>IF(A168="","",E168*I168)</f>
        <v/>
      </c>
      <c r="L168" s="15">
        <f>IF(A168="","",IF(H168="JA",E168*J168,0))</f>
        <v/>
      </c>
      <c r="M168" s="15">
        <f>IF(A168="","",L168-K168)</f>
        <v/>
      </c>
    </row>
    <row r="169">
      <c r="A169" s="30" t="inlineStr"/>
      <c r="B169" s="38" t="inlineStr"/>
      <c r="C169" s="30" t="inlineStr"/>
      <c r="D169" s="30" t="inlineStr"/>
      <c r="E169" s="46" t="inlineStr"/>
      <c r="F169" s="30" t="inlineStr"/>
      <c r="G169" s="30" t="inlineStr"/>
      <c r="H169" s="30" t="inlineStr"/>
      <c r="I169" s="15">
        <f>IF(D169="","",IFERROR(VLOOKUP(D169,'04_Personal'!$A$4:$G$400,7,FALSE),0))</f>
        <v/>
      </c>
      <c r="J169" s="15">
        <f>IF(D169="","",IFERROR(VLOOKUP(D169,'04_Personal'!$A$4:$G$400,6,FALSE),VSSatz))</f>
        <v/>
      </c>
      <c r="K169" s="15">
        <f>IF(A169="","",E169*I169)</f>
        <v/>
      </c>
      <c r="L169" s="15">
        <f>IF(A169="","",IF(H169="JA",E169*J169,0))</f>
        <v/>
      </c>
      <c r="M169" s="15">
        <f>IF(A169="","",L169-K169)</f>
        <v/>
      </c>
    </row>
    <row r="170">
      <c r="A170" s="30" t="inlineStr"/>
      <c r="B170" s="38" t="inlineStr"/>
      <c r="C170" s="30" t="inlineStr"/>
      <c r="D170" s="30" t="inlineStr"/>
      <c r="E170" s="46" t="inlineStr"/>
      <c r="F170" s="30" t="inlineStr"/>
      <c r="G170" s="30" t="inlineStr"/>
      <c r="H170" s="30" t="inlineStr"/>
      <c r="I170" s="15">
        <f>IF(D170="","",IFERROR(VLOOKUP(D170,'04_Personal'!$A$4:$G$400,7,FALSE),0))</f>
        <v/>
      </c>
      <c r="J170" s="15">
        <f>IF(D170="","",IFERROR(VLOOKUP(D170,'04_Personal'!$A$4:$G$400,6,FALSE),VSSatz))</f>
        <v/>
      </c>
      <c r="K170" s="15">
        <f>IF(A170="","",E170*I170)</f>
        <v/>
      </c>
      <c r="L170" s="15">
        <f>IF(A170="","",IF(H170="JA",E170*J170,0))</f>
        <v/>
      </c>
      <c r="M170" s="15">
        <f>IF(A170="","",L170-K170)</f>
        <v/>
      </c>
    </row>
    <row r="171">
      <c r="A171" s="30" t="inlineStr"/>
      <c r="B171" s="38" t="inlineStr"/>
      <c r="C171" s="30" t="inlineStr"/>
      <c r="D171" s="30" t="inlineStr"/>
      <c r="E171" s="46" t="inlineStr"/>
      <c r="F171" s="30" t="inlineStr"/>
      <c r="G171" s="30" t="inlineStr"/>
      <c r="H171" s="30" t="inlineStr"/>
      <c r="I171" s="15">
        <f>IF(D171="","",IFERROR(VLOOKUP(D171,'04_Personal'!$A$4:$G$400,7,FALSE),0))</f>
        <v/>
      </c>
      <c r="J171" s="15">
        <f>IF(D171="","",IFERROR(VLOOKUP(D171,'04_Personal'!$A$4:$G$400,6,FALSE),VSSatz))</f>
        <v/>
      </c>
      <c r="K171" s="15">
        <f>IF(A171="","",E171*I171)</f>
        <v/>
      </c>
      <c r="L171" s="15">
        <f>IF(A171="","",IF(H171="JA",E171*J171,0))</f>
        <v/>
      </c>
      <c r="M171" s="15">
        <f>IF(A171="","",L171-K171)</f>
        <v/>
      </c>
    </row>
    <row r="172">
      <c r="A172" s="30" t="inlineStr"/>
      <c r="B172" s="38" t="inlineStr"/>
      <c r="C172" s="30" t="inlineStr"/>
      <c r="D172" s="30" t="inlineStr"/>
      <c r="E172" s="46" t="inlineStr"/>
      <c r="F172" s="30" t="inlineStr"/>
      <c r="G172" s="30" t="inlineStr"/>
      <c r="H172" s="30" t="inlineStr"/>
      <c r="I172" s="15">
        <f>IF(D172="","",IFERROR(VLOOKUP(D172,'04_Personal'!$A$4:$G$400,7,FALSE),0))</f>
        <v/>
      </c>
      <c r="J172" s="15">
        <f>IF(D172="","",IFERROR(VLOOKUP(D172,'04_Personal'!$A$4:$G$400,6,FALSE),VSSatz))</f>
        <v/>
      </c>
      <c r="K172" s="15">
        <f>IF(A172="","",E172*I172)</f>
        <v/>
      </c>
      <c r="L172" s="15">
        <f>IF(A172="","",IF(H172="JA",E172*J172,0))</f>
        <v/>
      </c>
      <c r="M172" s="15">
        <f>IF(A172="","",L172-K172)</f>
        <v/>
      </c>
    </row>
    <row r="173">
      <c r="A173" s="30" t="inlineStr"/>
      <c r="B173" s="38" t="inlineStr"/>
      <c r="C173" s="30" t="inlineStr"/>
      <c r="D173" s="30" t="inlineStr"/>
      <c r="E173" s="46" t="inlineStr"/>
      <c r="F173" s="30" t="inlineStr"/>
      <c r="G173" s="30" t="inlineStr"/>
      <c r="H173" s="30" t="inlineStr"/>
      <c r="I173" s="15">
        <f>IF(D173="","",IFERROR(VLOOKUP(D173,'04_Personal'!$A$4:$G$400,7,FALSE),0))</f>
        <v/>
      </c>
      <c r="J173" s="15">
        <f>IF(D173="","",IFERROR(VLOOKUP(D173,'04_Personal'!$A$4:$G$400,6,FALSE),VSSatz))</f>
        <v/>
      </c>
      <c r="K173" s="15">
        <f>IF(A173="","",E173*I173)</f>
        <v/>
      </c>
      <c r="L173" s="15">
        <f>IF(A173="","",IF(H173="JA",E173*J173,0))</f>
        <v/>
      </c>
      <c r="M173" s="15">
        <f>IF(A173="","",L173-K173)</f>
        <v/>
      </c>
    </row>
    <row r="174">
      <c r="A174" s="30" t="inlineStr"/>
      <c r="B174" s="38" t="inlineStr"/>
      <c r="C174" s="30" t="inlineStr"/>
      <c r="D174" s="30" t="inlineStr"/>
      <c r="E174" s="46" t="inlineStr"/>
      <c r="F174" s="30" t="inlineStr"/>
      <c r="G174" s="30" t="inlineStr"/>
      <c r="H174" s="30" t="inlineStr"/>
      <c r="I174" s="15">
        <f>IF(D174="","",IFERROR(VLOOKUP(D174,'04_Personal'!$A$4:$G$400,7,FALSE),0))</f>
        <v/>
      </c>
      <c r="J174" s="15">
        <f>IF(D174="","",IFERROR(VLOOKUP(D174,'04_Personal'!$A$4:$G$400,6,FALSE),VSSatz))</f>
        <v/>
      </c>
      <c r="K174" s="15">
        <f>IF(A174="","",E174*I174)</f>
        <v/>
      </c>
      <c r="L174" s="15">
        <f>IF(A174="","",IF(H174="JA",E174*J174,0))</f>
        <v/>
      </c>
      <c r="M174" s="15">
        <f>IF(A174="","",L174-K174)</f>
        <v/>
      </c>
    </row>
    <row r="175">
      <c r="A175" s="30" t="inlineStr"/>
      <c r="B175" s="38" t="inlineStr"/>
      <c r="C175" s="30" t="inlineStr"/>
      <c r="D175" s="30" t="inlineStr"/>
      <c r="E175" s="46" t="inlineStr"/>
      <c r="F175" s="30" t="inlineStr"/>
      <c r="G175" s="30" t="inlineStr"/>
      <c r="H175" s="30" t="inlineStr"/>
      <c r="I175" s="15">
        <f>IF(D175="","",IFERROR(VLOOKUP(D175,'04_Personal'!$A$4:$G$400,7,FALSE),0))</f>
        <v/>
      </c>
      <c r="J175" s="15">
        <f>IF(D175="","",IFERROR(VLOOKUP(D175,'04_Personal'!$A$4:$G$400,6,FALSE),VSSatz))</f>
        <v/>
      </c>
      <c r="K175" s="15">
        <f>IF(A175="","",E175*I175)</f>
        <v/>
      </c>
      <c r="L175" s="15">
        <f>IF(A175="","",IF(H175="JA",E175*J175,0))</f>
        <v/>
      </c>
      <c r="M175" s="15">
        <f>IF(A175="","",L175-K175)</f>
        <v/>
      </c>
    </row>
    <row r="176">
      <c r="A176" s="30" t="inlineStr"/>
      <c r="B176" s="38" t="inlineStr"/>
      <c r="C176" s="30" t="inlineStr"/>
      <c r="D176" s="30" t="inlineStr"/>
      <c r="E176" s="46" t="inlineStr"/>
      <c r="F176" s="30" t="inlineStr"/>
      <c r="G176" s="30" t="inlineStr"/>
      <c r="H176" s="30" t="inlineStr"/>
      <c r="I176" s="15">
        <f>IF(D176="","",IFERROR(VLOOKUP(D176,'04_Personal'!$A$4:$G$400,7,FALSE),0))</f>
        <v/>
      </c>
      <c r="J176" s="15">
        <f>IF(D176="","",IFERROR(VLOOKUP(D176,'04_Personal'!$A$4:$G$400,6,FALSE),VSSatz))</f>
        <v/>
      </c>
      <c r="K176" s="15">
        <f>IF(A176="","",E176*I176)</f>
        <v/>
      </c>
      <c r="L176" s="15">
        <f>IF(A176="","",IF(H176="JA",E176*J176,0))</f>
        <v/>
      </c>
      <c r="M176" s="15">
        <f>IF(A176="","",L176-K176)</f>
        <v/>
      </c>
    </row>
    <row r="177">
      <c r="A177" s="30" t="inlineStr"/>
      <c r="B177" s="38" t="inlineStr"/>
      <c r="C177" s="30" t="inlineStr"/>
      <c r="D177" s="30" t="inlineStr"/>
      <c r="E177" s="46" t="inlineStr"/>
      <c r="F177" s="30" t="inlineStr"/>
      <c r="G177" s="30" t="inlineStr"/>
      <c r="H177" s="30" t="inlineStr"/>
      <c r="I177" s="15">
        <f>IF(D177="","",IFERROR(VLOOKUP(D177,'04_Personal'!$A$4:$G$400,7,FALSE),0))</f>
        <v/>
      </c>
      <c r="J177" s="15">
        <f>IF(D177="","",IFERROR(VLOOKUP(D177,'04_Personal'!$A$4:$G$400,6,FALSE),VSSatz))</f>
        <v/>
      </c>
      <c r="K177" s="15">
        <f>IF(A177="","",E177*I177)</f>
        <v/>
      </c>
      <c r="L177" s="15">
        <f>IF(A177="","",IF(H177="JA",E177*J177,0))</f>
        <v/>
      </c>
      <c r="M177" s="15">
        <f>IF(A177="","",L177-K177)</f>
        <v/>
      </c>
    </row>
    <row r="178">
      <c r="A178" s="30" t="inlineStr"/>
      <c r="B178" s="38" t="inlineStr"/>
      <c r="C178" s="30" t="inlineStr"/>
      <c r="D178" s="30" t="inlineStr"/>
      <c r="E178" s="46" t="inlineStr"/>
      <c r="F178" s="30" t="inlineStr"/>
      <c r="G178" s="30" t="inlineStr"/>
      <c r="H178" s="30" t="inlineStr"/>
      <c r="I178" s="15">
        <f>IF(D178="","",IFERROR(VLOOKUP(D178,'04_Personal'!$A$4:$G$400,7,FALSE),0))</f>
        <v/>
      </c>
      <c r="J178" s="15">
        <f>IF(D178="","",IFERROR(VLOOKUP(D178,'04_Personal'!$A$4:$G$400,6,FALSE),VSSatz))</f>
        <v/>
      </c>
      <c r="K178" s="15">
        <f>IF(A178="","",E178*I178)</f>
        <v/>
      </c>
      <c r="L178" s="15">
        <f>IF(A178="","",IF(H178="JA",E178*J178,0))</f>
        <v/>
      </c>
      <c r="M178" s="15">
        <f>IF(A178="","",L178-K178)</f>
        <v/>
      </c>
    </row>
    <row r="179">
      <c r="A179" s="30" t="inlineStr"/>
      <c r="B179" s="38" t="inlineStr"/>
      <c r="C179" s="30" t="inlineStr"/>
      <c r="D179" s="30" t="inlineStr"/>
      <c r="E179" s="46" t="inlineStr"/>
      <c r="F179" s="30" t="inlineStr"/>
      <c r="G179" s="30" t="inlineStr"/>
      <c r="H179" s="30" t="inlineStr"/>
      <c r="I179" s="15">
        <f>IF(D179="","",IFERROR(VLOOKUP(D179,'04_Personal'!$A$4:$G$400,7,FALSE),0))</f>
        <v/>
      </c>
      <c r="J179" s="15">
        <f>IF(D179="","",IFERROR(VLOOKUP(D179,'04_Personal'!$A$4:$G$400,6,FALSE),VSSatz))</f>
        <v/>
      </c>
      <c r="K179" s="15">
        <f>IF(A179="","",E179*I179)</f>
        <v/>
      </c>
      <c r="L179" s="15">
        <f>IF(A179="","",IF(H179="JA",E179*J179,0))</f>
        <v/>
      </c>
      <c r="M179" s="15">
        <f>IF(A179="","",L179-K179)</f>
        <v/>
      </c>
    </row>
    <row r="180">
      <c r="A180" s="30" t="inlineStr"/>
      <c r="B180" s="38" t="inlineStr"/>
      <c r="C180" s="30" t="inlineStr"/>
      <c r="D180" s="30" t="inlineStr"/>
      <c r="E180" s="46" t="inlineStr"/>
      <c r="F180" s="30" t="inlineStr"/>
      <c r="G180" s="30" t="inlineStr"/>
      <c r="H180" s="30" t="inlineStr"/>
      <c r="I180" s="15">
        <f>IF(D180="","",IFERROR(VLOOKUP(D180,'04_Personal'!$A$4:$G$400,7,FALSE),0))</f>
        <v/>
      </c>
      <c r="J180" s="15">
        <f>IF(D180="","",IFERROR(VLOOKUP(D180,'04_Personal'!$A$4:$G$400,6,FALSE),VSSatz))</f>
        <v/>
      </c>
      <c r="K180" s="15">
        <f>IF(A180="","",E180*I180)</f>
        <v/>
      </c>
      <c r="L180" s="15">
        <f>IF(A180="","",IF(H180="JA",E180*J180,0))</f>
        <v/>
      </c>
      <c r="M180" s="15">
        <f>IF(A180="","",L180-K180)</f>
        <v/>
      </c>
    </row>
    <row r="181">
      <c r="A181" s="30" t="inlineStr"/>
      <c r="B181" s="38" t="inlineStr"/>
      <c r="C181" s="30" t="inlineStr"/>
      <c r="D181" s="30" t="inlineStr"/>
      <c r="E181" s="46" t="inlineStr"/>
      <c r="F181" s="30" t="inlineStr"/>
      <c r="G181" s="30" t="inlineStr"/>
      <c r="H181" s="30" t="inlineStr"/>
      <c r="I181" s="15">
        <f>IF(D181="","",IFERROR(VLOOKUP(D181,'04_Personal'!$A$4:$G$400,7,FALSE),0))</f>
        <v/>
      </c>
      <c r="J181" s="15">
        <f>IF(D181="","",IFERROR(VLOOKUP(D181,'04_Personal'!$A$4:$G$400,6,FALSE),VSSatz))</f>
        <v/>
      </c>
      <c r="K181" s="15">
        <f>IF(A181="","",E181*I181)</f>
        <v/>
      </c>
      <c r="L181" s="15">
        <f>IF(A181="","",IF(H181="JA",E181*J181,0))</f>
        <v/>
      </c>
      <c r="M181" s="15">
        <f>IF(A181="","",L181-K181)</f>
        <v/>
      </c>
    </row>
    <row r="182">
      <c r="A182" s="30" t="inlineStr"/>
      <c r="B182" s="38" t="inlineStr"/>
      <c r="C182" s="30" t="inlineStr"/>
      <c r="D182" s="30" t="inlineStr"/>
      <c r="E182" s="46" t="inlineStr"/>
      <c r="F182" s="30" t="inlineStr"/>
      <c r="G182" s="30" t="inlineStr"/>
      <c r="H182" s="30" t="inlineStr"/>
      <c r="I182" s="15">
        <f>IF(D182="","",IFERROR(VLOOKUP(D182,'04_Personal'!$A$4:$G$400,7,FALSE),0))</f>
        <v/>
      </c>
      <c r="J182" s="15">
        <f>IF(D182="","",IFERROR(VLOOKUP(D182,'04_Personal'!$A$4:$G$400,6,FALSE),VSSatz))</f>
        <v/>
      </c>
      <c r="K182" s="15">
        <f>IF(A182="","",E182*I182)</f>
        <v/>
      </c>
      <c r="L182" s="15">
        <f>IF(A182="","",IF(H182="JA",E182*J182,0))</f>
        <v/>
      </c>
      <c r="M182" s="15">
        <f>IF(A182="","",L182-K182)</f>
        <v/>
      </c>
    </row>
    <row r="183">
      <c r="A183" s="30" t="inlineStr"/>
      <c r="B183" s="38" t="inlineStr"/>
      <c r="C183" s="30" t="inlineStr"/>
      <c r="D183" s="30" t="inlineStr"/>
      <c r="E183" s="46" t="inlineStr"/>
      <c r="F183" s="30" t="inlineStr"/>
      <c r="G183" s="30" t="inlineStr"/>
      <c r="H183" s="30" t="inlineStr"/>
      <c r="I183" s="15">
        <f>IF(D183="","",IFERROR(VLOOKUP(D183,'04_Personal'!$A$4:$G$400,7,FALSE),0))</f>
        <v/>
      </c>
      <c r="J183" s="15">
        <f>IF(D183="","",IFERROR(VLOOKUP(D183,'04_Personal'!$A$4:$G$400,6,FALSE),VSSatz))</f>
        <v/>
      </c>
      <c r="K183" s="15">
        <f>IF(A183="","",E183*I183)</f>
        <v/>
      </c>
      <c r="L183" s="15">
        <f>IF(A183="","",IF(H183="JA",E183*J183,0))</f>
        <v/>
      </c>
      <c r="M183" s="15">
        <f>IF(A183="","",L183-K183)</f>
        <v/>
      </c>
    </row>
    <row r="184">
      <c r="A184" s="30" t="inlineStr"/>
      <c r="B184" s="38" t="inlineStr"/>
      <c r="C184" s="30" t="inlineStr"/>
      <c r="D184" s="30" t="inlineStr"/>
      <c r="E184" s="46" t="inlineStr"/>
      <c r="F184" s="30" t="inlineStr"/>
      <c r="G184" s="30" t="inlineStr"/>
      <c r="H184" s="30" t="inlineStr"/>
      <c r="I184" s="15">
        <f>IF(D184="","",IFERROR(VLOOKUP(D184,'04_Personal'!$A$4:$G$400,7,FALSE),0))</f>
        <v/>
      </c>
      <c r="J184" s="15">
        <f>IF(D184="","",IFERROR(VLOOKUP(D184,'04_Personal'!$A$4:$G$400,6,FALSE),VSSatz))</f>
        <v/>
      </c>
      <c r="K184" s="15">
        <f>IF(A184="","",E184*I184)</f>
        <v/>
      </c>
      <c r="L184" s="15">
        <f>IF(A184="","",IF(H184="JA",E184*J184,0))</f>
        <v/>
      </c>
      <c r="M184" s="15">
        <f>IF(A184="","",L184-K184)</f>
        <v/>
      </c>
    </row>
    <row r="185">
      <c r="A185" s="30" t="inlineStr"/>
      <c r="B185" s="38" t="inlineStr"/>
      <c r="C185" s="30" t="inlineStr"/>
      <c r="D185" s="30" t="inlineStr"/>
      <c r="E185" s="46" t="inlineStr"/>
      <c r="F185" s="30" t="inlineStr"/>
      <c r="G185" s="30" t="inlineStr"/>
      <c r="H185" s="30" t="inlineStr"/>
      <c r="I185" s="15">
        <f>IF(D185="","",IFERROR(VLOOKUP(D185,'04_Personal'!$A$4:$G$400,7,FALSE),0))</f>
        <v/>
      </c>
      <c r="J185" s="15">
        <f>IF(D185="","",IFERROR(VLOOKUP(D185,'04_Personal'!$A$4:$G$400,6,FALSE),VSSatz))</f>
        <v/>
      </c>
      <c r="K185" s="15">
        <f>IF(A185="","",E185*I185)</f>
        <v/>
      </c>
      <c r="L185" s="15">
        <f>IF(A185="","",IF(H185="JA",E185*J185,0))</f>
        <v/>
      </c>
      <c r="M185" s="15">
        <f>IF(A185="","",L185-K185)</f>
        <v/>
      </c>
    </row>
    <row r="186">
      <c r="A186" s="30" t="inlineStr"/>
      <c r="B186" s="38" t="inlineStr"/>
      <c r="C186" s="30" t="inlineStr"/>
      <c r="D186" s="30" t="inlineStr"/>
      <c r="E186" s="46" t="inlineStr"/>
      <c r="F186" s="30" t="inlineStr"/>
      <c r="G186" s="30" t="inlineStr"/>
      <c r="H186" s="30" t="inlineStr"/>
      <c r="I186" s="15">
        <f>IF(D186="","",IFERROR(VLOOKUP(D186,'04_Personal'!$A$4:$G$400,7,FALSE),0))</f>
        <v/>
      </c>
      <c r="J186" s="15">
        <f>IF(D186="","",IFERROR(VLOOKUP(D186,'04_Personal'!$A$4:$G$400,6,FALSE),VSSatz))</f>
        <v/>
      </c>
      <c r="K186" s="15">
        <f>IF(A186="","",E186*I186)</f>
        <v/>
      </c>
      <c r="L186" s="15">
        <f>IF(A186="","",IF(H186="JA",E186*J186,0))</f>
        <v/>
      </c>
      <c r="M186" s="15">
        <f>IF(A186="","",L186-K186)</f>
        <v/>
      </c>
    </row>
    <row r="187">
      <c r="A187" s="30" t="inlineStr"/>
      <c r="B187" s="38" t="inlineStr"/>
      <c r="C187" s="30" t="inlineStr"/>
      <c r="D187" s="30" t="inlineStr"/>
      <c r="E187" s="46" t="inlineStr"/>
      <c r="F187" s="30" t="inlineStr"/>
      <c r="G187" s="30" t="inlineStr"/>
      <c r="H187" s="30" t="inlineStr"/>
      <c r="I187" s="15">
        <f>IF(D187="","",IFERROR(VLOOKUP(D187,'04_Personal'!$A$4:$G$400,7,FALSE),0))</f>
        <v/>
      </c>
      <c r="J187" s="15">
        <f>IF(D187="","",IFERROR(VLOOKUP(D187,'04_Personal'!$A$4:$G$400,6,FALSE),VSSatz))</f>
        <v/>
      </c>
      <c r="K187" s="15">
        <f>IF(A187="","",E187*I187)</f>
        <v/>
      </c>
      <c r="L187" s="15">
        <f>IF(A187="","",IF(H187="JA",E187*J187,0))</f>
        <v/>
      </c>
      <c r="M187" s="15">
        <f>IF(A187="","",L187-K187)</f>
        <v/>
      </c>
    </row>
    <row r="188">
      <c r="A188" s="30" t="inlineStr"/>
      <c r="B188" s="38" t="inlineStr"/>
      <c r="C188" s="30" t="inlineStr"/>
      <c r="D188" s="30" t="inlineStr"/>
      <c r="E188" s="46" t="inlineStr"/>
      <c r="F188" s="30" t="inlineStr"/>
      <c r="G188" s="30" t="inlineStr"/>
      <c r="H188" s="30" t="inlineStr"/>
      <c r="I188" s="15">
        <f>IF(D188="","",IFERROR(VLOOKUP(D188,'04_Personal'!$A$4:$G$400,7,FALSE),0))</f>
        <v/>
      </c>
      <c r="J188" s="15">
        <f>IF(D188="","",IFERROR(VLOOKUP(D188,'04_Personal'!$A$4:$G$400,6,FALSE),VSSatz))</f>
        <v/>
      </c>
      <c r="K188" s="15">
        <f>IF(A188="","",E188*I188)</f>
        <v/>
      </c>
      <c r="L188" s="15">
        <f>IF(A188="","",IF(H188="JA",E188*J188,0))</f>
        <v/>
      </c>
      <c r="M188" s="15">
        <f>IF(A188="","",L188-K188)</f>
        <v/>
      </c>
    </row>
    <row r="189">
      <c r="A189" s="30" t="inlineStr"/>
      <c r="B189" s="38" t="inlineStr"/>
      <c r="C189" s="30" t="inlineStr"/>
      <c r="D189" s="30" t="inlineStr"/>
      <c r="E189" s="46" t="inlineStr"/>
      <c r="F189" s="30" t="inlineStr"/>
      <c r="G189" s="30" t="inlineStr"/>
      <c r="H189" s="30" t="inlineStr"/>
      <c r="I189" s="15">
        <f>IF(D189="","",IFERROR(VLOOKUP(D189,'04_Personal'!$A$4:$G$400,7,FALSE),0))</f>
        <v/>
      </c>
      <c r="J189" s="15">
        <f>IF(D189="","",IFERROR(VLOOKUP(D189,'04_Personal'!$A$4:$G$400,6,FALSE),VSSatz))</f>
        <v/>
      </c>
      <c r="K189" s="15">
        <f>IF(A189="","",E189*I189)</f>
        <v/>
      </c>
      <c r="L189" s="15">
        <f>IF(A189="","",IF(H189="JA",E189*J189,0))</f>
        <v/>
      </c>
      <c r="M189" s="15">
        <f>IF(A189="","",L189-K189)</f>
        <v/>
      </c>
    </row>
    <row r="190">
      <c r="A190" s="30" t="inlineStr"/>
      <c r="B190" s="38" t="inlineStr"/>
      <c r="C190" s="30" t="inlineStr"/>
      <c r="D190" s="30" t="inlineStr"/>
      <c r="E190" s="46" t="inlineStr"/>
      <c r="F190" s="30" t="inlineStr"/>
      <c r="G190" s="30" t="inlineStr"/>
      <c r="H190" s="30" t="inlineStr"/>
      <c r="I190" s="15">
        <f>IF(D190="","",IFERROR(VLOOKUP(D190,'04_Personal'!$A$4:$G$400,7,FALSE),0))</f>
        <v/>
      </c>
      <c r="J190" s="15">
        <f>IF(D190="","",IFERROR(VLOOKUP(D190,'04_Personal'!$A$4:$G$400,6,FALSE),VSSatz))</f>
        <v/>
      </c>
      <c r="K190" s="15">
        <f>IF(A190="","",E190*I190)</f>
        <v/>
      </c>
      <c r="L190" s="15">
        <f>IF(A190="","",IF(H190="JA",E190*J190,0))</f>
        <v/>
      </c>
      <c r="M190" s="15">
        <f>IF(A190="","",L190-K190)</f>
        <v/>
      </c>
    </row>
    <row r="191">
      <c r="A191" s="30" t="inlineStr"/>
      <c r="B191" s="38" t="inlineStr"/>
      <c r="C191" s="30" t="inlineStr"/>
      <c r="D191" s="30" t="inlineStr"/>
      <c r="E191" s="46" t="inlineStr"/>
      <c r="F191" s="30" t="inlineStr"/>
      <c r="G191" s="30" t="inlineStr"/>
      <c r="H191" s="30" t="inlineStr"/>
      <c r="I191" s="15">
        <f>IF(D191="","",IFERROR(VLOOKUP(D191,'04_Personal'!$A$4:$G$400,7,FALSE),0))</f>
        <v/>
      </c>
      <c r="J191" s="15">
        <f>IF(D191="","",IFERROR(VLOOKUP(D191,'04_Personal'!$A$4:$G$400,6,FALSE),VSSatz))</f>
        <v/>
      </c>
      <c r="K191" s="15">
        <f>IF(A191="","",E191*I191)</f>
        <v/>
      </c>
      <c r="L191" s="15">
        <f>IF(A191="","",IF(H191="JA",E191*J191,0))</f>
        <v/>
      </c>
      <c r="M191" s="15">
        <f>IF(A191="","",L191-K191)</f>
        <v/>
      </c>
    </row>
    <row r="192">
      <c r="A192" s="30" t="inlineStr"/>
      <c r="B192" s="38" t="inlineStr"/>
      <c r="C192" s="30" t="inlineStr"/>
      <c r="D192" s="30" t="inlineStr"/>
      <c r="E192" s="46" t="inlineStr"/>
      <c r="F192" s="30" t="inlineStr"/>
      <c r="G192" s="30" t="inlineStr"/>
      <c r="H192" s="30" t="inlineStr"/>
      <c r="I192" s="15">
        <f>IF(D192="","",IFERROR(VLOOKUP(D192,'04_Personal'!$A$4:$G$400,7,FALSE),0))</f>
        <v/>
      </c>
      <c r="J192" s="15">
        <f>IF(D192="","",IFERROR(VLOOKUP(D192,'04_Personal'!$A$4:$G$400,6,FALSE),VSSatz))</f>
        <v/>
      </c>
      <c r="K192" s="15">
        <f>IF(A192="","",E192*I192)</f>
        <v/>
      </c>
      <c r="L192" s="15">
        <f>IF(A192="","",IF(H192="JA",E192*J192,0))</f>
        <v/>
      </c>
      <c r="M192" s="15">
        <f>IF(A192="","",L192-K192)</f>
        <v/>
      </c>
    </row>
    <row r="193">
      <c r="A193" s="30" t="inlineStr"/>
      <c r="B193" s="38" t="inlineStr"/>
      <c r="C193" s="30" t="inlineStr"/>
      <c r="D193" s="30" t="inlineStr"/>
      <c r="E193" s="46" t="inlineStr"/>
      <c r="F193" s="30" t="inlineStr"/>
      <c r="G193" s="30" t="inlineStr"/>
      <c r="H193" s="30" t="inlineStr"/>
      <c r="I193" s="15">
        <f>IF(D193="","",IFERROR(VLOOKUP(D193,'04_Personal'!$A$4:$G$400,7,FALSE),0))</f>
        <v/>
      </c>
      <c r="J193" s="15">
        <f>IF(D193="","",IFERROR(VLOOKUP(D193,'04_Personal'!$A$4:$G$400,6,FALSE),VSSatz))</f>
        <v/>
      </c>
      <c r="K193" s="15">
        <f>IF(A193="","",E193*I193)</f>
        <v/>
      </c>
      <c r="L193" s="15">
        <f>IF(A193="","",IF(H193="JA",E193*J193,0))</f>
        <v/>
      </c>
      <c r="M193" s="15">
        <f>IF(A193="","",L193-K193)</f>
        <v/>
      </c>
    </row>
    <row r="194">
      <c r="A194" s="30" t="inlineStr"/>
      <c r="B194" s="38" t="inlineStr"/>
      <c r="C194" s="30" t="inlineStr"/>
      <c r="D194" s="30" t="inlineStr"/>
      <c r="E194" s="46" t="inlineStr"/>
      <c r="F194" s="30" t="inlineStr"/>
      <c r="G194" s="30" t="inlineStr"/>
      <c r="H194" s="30" t="inlineStr"/>
      <c r="I194" s="15">
        <f>IF(D194="","",IFERROR(VLOOKUP(D194,'04_Personal'!$A$4:$G$400,7,FALSE),0))</f>
        <v/>
      </c>
      <c r="J194" s="15">
        <f>IF(D194="","",IFERROR(VLOOKUP(D194,'04_Personal'!$A$4:$G$400,6,FALSE),VSSatz))</f>
        <v/>
      </c>
      <c r="K194" s="15">
        <f>IF(A194="","",E194*I194)</f>
        <v/>
      </c>
      <c r="L194" s="15">
        <f>IF(A194="","",IF(H194="JA",E194*J194,0))</f>
        <v/>
      </c>
      <c r="M194" s="15">
        <f>IF(A194="","",L194-K194)</f>
        <v/>
      </c>
    </row>
    <row r="195">
      <c r="A195" s="30" t="inlineStr"/>
      <c r="B195" s="38" t="inlineStr"/>
      <c r="C195" s="30" t="inlineStr"/>
      <c r="D195" s="30" t="inlineStr"/>
      <c r="E195" s="46" t="inlineStr"/>
      <c r="F195" s="30" t="inlineStr"/>
      <c r="G195" s="30" t="inlineStr"/>
      <c r="H195" s="30" t="inlineStr"/>
      <c r="I195" s="15">
        <f>IF(D195="","",IFERROR(VLOOKUP(D195,'04_Personal'!$A$4:$G$400,7,FALSE),0))</f>
        <v/>
      </c>
      <c r="J195" s="15">
        <f>IF(D195="","",IFERROR(VLOOKUP(D195,'04_Personal'!$A$4:$G$400,6,FALSE),VSSatz))</f>
        <v/>
      </c>
      <c r="K195" s="15">
        <f>IF(A195="","",E195*I195)</f>
        <v/>
      </c>
      <c r="L195" s="15">
        <f>IF(A195="","",IF(H195="JA",E195*J195,0))</f>
        <v/>
      </c>
      <c r="M195" s="15">
        <f>IF(A195="","",L195-K195)</f>
        <v/>
      </c>
    </row>
    <row r="196">
      <c r="A196" s="30" t="inlineStr"/>
      <c r="B196" s="38" t="inlineStr"/>
      <c r="C196" s="30" t="inlineStr"/>
      <c r="D196" s="30" t="inlineStr"/>
      <c r="E196" s="46" t="inlineStr"/>
      <c r="F196" s="30" t="inlineStr"/>
      <c r="G196" s="30" t="inlineStr"/>
      <c r="H196" s="30" t="inlineStr"/>
      <c r="I196" s="15">
        <f>IF(D196="","",IFERROR(VLOOKUP(D196,'04_Personal'!$A$4:$G$400,7,FALSE),0))</f>
        <v/>
      </c>
      <c r="J196" s="15">
        <f>IF(D196="","",IFERROR(VLOOKUP(D196,'04_Personal'!$A$4:$G$400,6,FALSE),VSSatz))</f>
        <v/>
      </c>
      <c r="K196" s="15">
        <f>IF(A196="","",E196*I196)</f>
        <v/>
      </c>
      <c r="L196" s="15">
        <f>IF(A196="","",IF(H196="JA",E196*J196,0))</f>
        <v/>
      </c>
      <c r="M196" s="15">
        <f>IF(A196="","",L196-K196)</f>
        <v/>
      </c>
    </row>
    <row r="197">
      <c r="A197" s="30" t="inlineStr"/>
      <c r="B197" s="38" t="inlineStr"/>
      <c r="C197" s="30" t="inlineStr"/>
      <c r="D197" s="30" t="inlineStr"/>
      <c r="E197" s="46" t="inlineStr"/>
      <c r="F197" s="30" t="inlineStr"/>
      <c r="G197" s="30" t="inlineStr"/>
      <c r="H197" s="30" t="inlineStr"/>
      <c r="I197" s="15">
        <f>IF(D197="","",IFERROR(VLOOKUP(D197,'04_Personal'!$A$4:$G$400,7,FALSE),0))</f>
        <v/>
      </c>
      <c r="J197" s="15">
        <f>IF(D197="","",IFERROR(VLOOKUP(D197,'04_Personal'!$A$4:$G$400,6,FALSE),VSSatz))</f>
        <v/>
      </c>
      <c r="K197" s="15">
        <f>IF(A197="","",E197*I197)</f>
        <v/>
      </c>
      <c r="L197" s="15">
        <f>IF(A197="","",IF(H197="JA",E197*J197,0))</f>
        <v/>
      </c>
      <c r="M197" s="15">
        <f>IF(A197="","",L197-K197)</f>
        <v/>
      </c>
    </row>
    <row r="198">
      <c r="A198" s="30" t="inlineStr"/>
      <c r="B198" s="38" t="inlineStr"/>
      <c r="C198" s="30" t="inlineStr"/>
      <c r="D198" s="30" t="inlineStr"/>
      <c r="E198" s="46" t="inlineStr"/>
      <c r="F198" s="30" t="inlineStr"/>
      <c r="G198" s="30" t="inlineStr"/>
      <c r="H198" s="30" t="inlineStr"/>
      <c r="I198" s="15">
        <f>IF(D198="","",IFERROR(VLOOKUP(D198,'04_Personal'!$A$4:$G$400,7,FALSE),0))</f>
        <v/>
      </c>
      <c r="J198" s="15">
        <f>IF(D198="","",IFERROR(VLOOKUP(D198,'04_Personal'!$A$4:$G$400,6,FALSE),VSSatz))</f>
        <v/>
      </c>
      <c r="K198" s="15">
        <f>IF(A198="","",E198*I198)</f>
        <v/>
      </c>
      <c r="L198" s="15">
        <f>IF(A198="","",IF(H198="JA",E198*J198,0))</f>
        <v/>
      </c>
      <c r="M198" s="15">
        <f>IF(A198="","",L198-K198)</f>
        <v/>
      </c>
    </row>
    <row r="199">
      <c r="A199" s="30" t="inlineStr"/>
      <c r="B199" s="38" t="inlineStr"/>
      <c r="C199" s="30" t="inlineStr"/>
      <c r="D199" s="30" t="inlineStr"/>
      <c r="E199" s="46" t="inlineStr"/>
      <c r="F199" s="30" t="inlineStr"/>
      <c r="G199" s="30" t="inlineStr"/>
      <c r="H199" s="30" t="inlineStr"/>
      <c r="I199" s="15">
        <f>IF(D199="","",IFERROR(VLOOKUP(D199,'04_Personal'!$A$4:$G$400,7,FALSE),0))</f>
        <v/>
      </c>
      <c r="J199" s="15">
        <f>IF(D199="","",IFERROR(VLOOKUP(D199,'04_Personal'!$A$4:$G$400,6,FALSE),VSSatz))</f>
        <v/>
      </c>
      <c r="K199" s="15">
        <f>IF(A199="","",E199*I199)</f>
        <v/>
      </c>
      <c r="L199" s="15">
        <f>IF(A199="","",IF(H199="JA",E199*J199,0))</f>
        <v/>
      </c>
      <c r="M199" s="15">
        <f>IF(A199="","",L199-K199)</f>
        <v/>
      </c>
    </row>
    <row r="200">
      <c r="A200" s="30" t="inlineStr"/>
      <c r="B200" s="38" t="inlineStr"/>
      <c r="C200" s="30" t="inlineStr"/>
      <c r="D200" s="30" t="inlineStr"/>
      <c r="E200" s="46" t="inlineStr"/>
      <c r="F200" s="30" t="inlineStr"/>
      <c r="G200" s="30" t="inlineStr"/>
      <c r="H200" s="30" t="inlineStr"/>
      <c r="I200" s="15">
        <f>IF(D200="","",IFERROR(VLOOKUP(D200,'04_Personal'!$A$4:$G$400,7,FALSE),0))</f>
        <v/>
      </c>
      <c r="J200" s="15">
        <f>IF(D200="","",IFERROR(VLOOKUP(D200,'04_Personal'!$A$4:$G$400,6,FALSE),VSSatz))</f>
        <v/>
      </c>
      <c r="K200" s="15">
        <f>IF(A200="","",E200*I200)</f>
        <v/>
      </c>
      <c r="L200" s="15">
        <f>IF(A200="","",IF(H200="JA",E200*J200,0))</f>
        <v/>
      </c>
      <c r="M200" s="15">
        <f>IF(A200="","",L200-K200)</f>
        <v/>
      </c>
    </row>
    <row r="201">
      <c r="A201" s="30" t="inlineStr"/>
      <c r="B201" s="38" t="inlineStr"/>
      <c r="C201" s="30" t="inlineStr"/>
      <c r="D201" s="30" t="inlineStr"/>
      <c r="E201" s="46" t="inlineStr"/>
      <c r="F201" s="30" t="inlineStr"/>
      <c r="G201" s="30" t="inlineStr"/>
      <c r="H201" s="30" t="inlineStr"/>
      <c r="I201" s="15">
        <f>IF(D201="","",IFERROR(VLOOKUP(D201,'04_Personal'!$A$4:$G$400,7,FALSE),0))</f>
        <v/>
      </c>
      <c r="J201" s="15">
        <f>IF(D201="","",IFERROR(VLOOKUP(D201,'04_Personal'!$A$4:$G$400,6,FALSE),VSSatz))</f>
        <v/>
      </c>
      <c r="K201" s="15">
        <f>IF(A201="","",E201*I201)</f>
        <v/>
      </c>
      <c r="L201" s="15">
        <f>IF(A201="","",IF(H201="JA",E201*J201,0))</f>
        <v/>
      </c>
      <c r="M201" s="15">
        <f>IF(A201="","",L201-K201)</f>
        <v/>
      </c>
    </row>
    <row r="202">
      <c r="A202" s="30" t="inlineStr"/>
      <c r="B202" s="38" t="inlineStr"/>
      <c r="C202" s="30" t="inlineStr"/>
      <c r="D202" s="30" t="inlineStr"/>
      <c r="E202" s="46" t="inlineStr"/>
      <c r="F202" s="30" t="inlineStr"/>
      <c r="G202" s="30" t="inlineStr"/>
      <c r="H202" s="30" t="inlineStr"/>
      <c r="I202" s="15">
        <f>IF(D202="","",IFERROR(VLOOKUP(D202,'04_Personal'!$A$4:$G$400,7,FALSE),0))</f>
        <v/>
      </c>
      <c r="J202" s="15">
        <f>IF(D202="","",IFERROR(VLOOKUP(D202,'04_Personal'!$A$4:$G$400,6,FALSE),VSSatz))</f>
        <v/>
      </c>
      <c r="K202" s="15">
        <f>IF(A202="","",E202*I202)</f>
        <v/>
      </c>
      <c r="L202" s="15">
        <f>IF(A202="","",IF(H202="JA",E202*J202,0))</f>
        <v/>
      </c>
      <c r="M202" s="15">
        <f>IF(A202="","",L202-K202)</f>
        <v/>
      </c>
    </row>
    <row r="203">
      <c r="A203" s="30" t="inlineStr"/>
      <c r="B203" s="38" t="inlineStr"/>
      <c r="C203" s="30" t="inlineStr"/>
      <c r="D203" s="30" t="inlineStr"/>
      <c r="E203" s="46" t="inlineStr"/>
      <c r="F203" s="30" t="inlineStr"/>
      <c r="G203" s="30" t="inlineStr"/>
      <c r="H203" s="30" t="inlineStr"/>
      <c r="I203" s="15">
        <f>IF(D203="","",IFERROR(VLOOKUP(D203,'04_Personal'!$A$4:$G$400,7,FALSE),0))</f>
        <v/>
      </c>
      <c r="J203" s="15">
        <f>IF(D203="","",IFERROR(VLOOKUP(D203,'04_Personal'!$A$4:$G$400,6,FALSE),VSSatz))</f>
        <v/>
      </c>
      <c r="K203" s="15">
        <f>IF(A203="","",E203*I203)</f>
        <v/>
      </c>
      <c r="L203" s="15">
        <f>IF(A203="","",IF(H203="JA",E203*J203,0))</f>
        <v/>
      </c>
      <c r="M203" s="15">
        <f>IF(A203="","",L203-K203)</f>
        <v/>
      </c>
    </row>
    <row r="204">
      <c r="A204" s="30" t="inlineStr"/>
      <c r="B204" s="38" t="inlineStr"/>
      <c r="C204" s="30" t="inlineStr"/>
      <c r="D204" s="30" t="inlineStr"/>
      <c r="E204" s="46" t="inlineStr"/>
      <c r="F204" s="30" t="inlineStr"/>
      <c r="G204" s="30" t="inlineStr"/>
      <c r="H204" s="30" t="inlineStr"/>
      <c r="I204" s="15">
        <f>IF(D204="","",IFERROR(VLOOKUP(D204,'04_Personal'!$A$4:$G$400,7,FALSE),0))</f>
        <v/>
      </c>
      <c r="J204" s="15">
        <f>IF(D204="","",IFERROR(VLOOKUP(D204,'04_Personal'!$A$4:$G$400,6,FALSE),VSSatz))</f>
        <v/>
      </c>
      <c r="K204" s="15">
        <f>IF(A204="","",E204*I204)</f>
        <v/>
      </c>
      <c r="L204" s="15">
        <f>IF(A204="","",IF(H204="JA",E204*J204,0))</f>
        <v/>
      </c>
      <c r="M204" s="15">
        <f>IF(A204="","",L204-K204)</f>
        <v/>
      </c>
    </row>
    <row r="205">
      <c r="A205" s="30" t="inlineStr"/>
      <c r="B205" s="38" t="inlineStr"/>
      <c r="C205" s="30" t="inlineStr"/>
      <c r="D205" s="30" t="inlineStr"/>
      <c r="E205" s="46" t="inlineStr"/>
      <c r="F205" s="30" t="inlineStr"/>
      <c r="G205" s="30" t="inlineStr"/>
      <c r="H205" s="30" t="inlineStr"/>
      <c r="I205" s="15">
        <f>IF(D205="","",IFERROR(VLOOKUP(D205,'04_Personal'!$A$4:$G$400,7,FALSE),0))</f>
        <v/>
      </c>
      <c r="J205" s="15">
        <f>IF(D205="","",IFERROR(VLOOKUP(D205,'04_Personal'!$A$4:$G$400,6,FALSE),VSSatz))</f>
        <v/>
      </c>
      <c r="K205" s="15">
        <f>IF(A205="","",E205*I205)</f>
        <v/>
      </c>
      <c r="L205" s="15">
        <f>IF(A205="","",IF(H205="JA",E205*J205,0))</f>
        <v/>
      </c>
      <c r="M205" s="15">
        <f>IF(A205="","",L205-K205)</f>
        <v/>
      </c>
    </row>
    <row r="206">
      <c r="A206" s="30" t="inlineStr"/>
      <c r="B206" s="38" t="inlineStr"/>
      <c r="C206" s="30" t="inlineStr"/>
      <c r="D206" s="30" t="inlineStr"/>
      <c r="E206" s="46" t="inlineStr"/>
      <c r="F206" s="30" t="inlineStr"/>
      <c r="G206" s="30" t="inlineStr"/>
      <c r="H206" s="30" t="inlineStr"/>
      <c r="I206" s="15">
        <f>IF(D206="","",IFERROR(VLOOKUP(D206,'04_Personal'!$A$4:$G$400,7,FALSE),0))</f>
        <v/>
      </c>
      <c r="J206" s="15">
        <f>IF(D206="","",IFERROR(VLOOKUP(D206,'04_Personal'!$A$4:$G$400,6,FALSE),VSSatz))</f>
        <v/>
      </c>
      <c r="K206" s="15">
        <f>IF(A206="","",E206*I206)</f>
        <v/>
      </c>
      <c r="L206" s="15">
        <f>IF(A206="","",IF(H206="JA",E206*J206,0))</f>
        <v/>
      </c>
      <c r="M206" s="15">
        <f>IF(A206="","",L206-K206)</f>
        <v/>
      </c>
    </row>
    <row r="207">
      <c r="A207" s="30" t="inlineStr"/>
      <c r="B207" s="38" t="inlineStr"/>
      <c r="C207" s="30" t="inlineStr"/>
      <c r="D207" s="30" t="inlineStr"/>
      <c r="E207" s="46" t="inlineStr"/>
      <c r="F207" s="30" t="inlineStr"/>
      <c r="G207" s="30" t="inlineStr"/>
      <c r="H207" s="30" t="inlineStr"/>
      <c r="I207" s="15">
        <f>IF(D207="","",IFERROR(VLOOKUP(D207,'04_Personal'!$A$4:$G$400,7,FALSE),0))</f>
        <v/>
      </c>
      <c r="J207" s="15">
        <f>IF(D207="","",IFERROR(VLOOKUP(D207,'04_Personal'!$A$4:$G$400,6,FALSE),VSSatz))</f>
        <v/>
      </c>
      <c r="K207" s="15">
        <f>IF(A207="","",E207*I207)</f>
        <v/>
      </c>
      <c r="L207" s="15">
        <f>IF(A207="","",IF(H207="JA",E207*J207,0))</f>
        <v/>
      </c>
      <c r="M207" s="15">
        <f>IF(A207="","",L207-K207)</f>
        <v/>
      </c>
    </row>
    <row r="208">
      <c r="A208" s="30" t="inlineStr"/>
      <c r="B208" s="38" t="inlineStr"/>
      <c r="C208" s="30" t="inlineStr"/>
      <c r="D208" s="30" t="inlineStr"/>
      <c r="E208" s="46" t="inlineStr"/>
      <c r="F208" s="30" t="inlineStr"/>
      <c r="G208" s="30" t="inlineStr"/>
      <c r="H208" s="30" t="inlineStr"/>
      <c r="I208" s="15">
        <f>IF(D208="","",IFERROR(VLOOKUP(D208,'04_Personal'!$A$4:$G$400,7,FALSE),0))</f>
        <v/>
      </c>
      <c r="J208" s="15">
        <f>IF(D208="","",IFERROR(VLOOKUP(D208,'04_Personal'!$A$4:$G$400,6,FALSE),VSSatz))</f>
        <v/>
      </c>
      <c r="K208" s="15">
        <f>IF(A208="","",E208*I208)</f>
        <v/>
      </c>
      <c r="L208" s="15">
        <f>IF(A208="","",IF(H208="JA",E208*J208,0))</f>
        <v/>
      </c>
      <c r="M208" s="15">
        <f>IF(A208="","",L208-K208)</f>
        <v/>
      </c>
    </row>
    <row r="209">
      <c r="A209" s="30" t="inlineStr"/>
      <c r="B209" s="38" t="inlineStr"/>
      <c r="C209" s="30" t="inlineStr"/>
      <c r="D209" s="30" t="inlineStr"/>
      <c r="E209" s="46" t="inlineStr"/>
      <c r="F209" s="30" t="inlineStr"/>
      <c r="G209" s="30" t="inlineStr"/>
      <c r="H209" s="30" t="inlineStr"/>
      <c r="I209" s="15">
        <f>IF(D209="","",IFERROR(VLOOKUP(D209,'04_Personal'!$A$4:$G$400,7,FALSE),0))</f>
        <v/>
      </c>
      <c r="J209" s="15">
        <f>IF(D209="","",IFERROR(VLOOKUP(D209,'04_Personal'!$A$4:$G$400,6,FALSE),VSSatz))</f>
        <v/>
      </c>
      <c r="K209" s="15">
        <f>IF(A209="","",E209*I209)</f>
        <v/>
      </c>
      <c r="L209" s="15">
        <f>IF(A209="","",IF(H209="JA",E209*J209,0))</f>
        <v/>
      </c>
      <c r="M209" s="15">
        <f>IF(A209="","",L209-K209)</f>
        <v/>
      </c>
    </row>
    <row r="210">
      <c r="A210" s="30" t="inlineStr"/>
      <c r="B210" s="38" t="inlineStr"/>
      <c r="C210" s="30" t="inlineStr"/>
      <c r="D210" s="30" t="inlineStr"/>
      <c r="E210" s="46" t="inlineStr"/>
      <c r="F210" s="30" t="inlineStr"/>
      <c r="G210" s="30" t="inlineStr"/>
      <c r="H210" s="30" t="inlineStr"/>
      <c r="I210" s="15">
        <f>IF(D210="","",IFERROR(VLOOKUP(D210,'04_Personal'!$A$4:$G$400,7,FALSE),0))</f>
        <v/>
      </c>
      <c r="J210" s="15">
        <f>IF(D210="","",IFERROR(VLOOKUP(D210,'04_Personal'!$A$4:$G$400,6,FALSE),VSSatz))</f>
        <v/>
      </c>
      <c r="K210" s="15">
        <f>IF(A210="","",E210*I210)</f>
        <v/>
      </c>
      <c r="L210" s="15">
        <f>IF(A210="","",IF(H210="JA",E210*J210,0))</f>
        <v/>
      </c>
      <c r="M210" s="15">
        <f>IF(A210="","",L210-K210)</f>
        <v/>
      </c>
    </row>
    <row r="211">
      <c r="A211" s="30" t="inlineStr"/>
      <c r="B211" s="38" t="inlineStr"/>
      <c r="C211" s="30" t="inlineStr"/>
      <c r="D211" s="30" t="inlineStr"/>
      <c r="E211" s="46" t="inlineStr"/>
      <c r="F211" s="30" t="inlineStr"/>
      <c r="G211" s="30" t="inlineStr"/>
      <c r="H211" s="30" t="inlineStr"/>
      <c r="I211" s="15">
        <f>IF(D211="","",IFERROR(VLOOKUP(D211,'04_Personal'!$A$4:$G$400,7,FALSE),0))</f>
        <v/>
      </c>
      <c r="J211" s="15">
        <f>IF(D211="","",IFERROR(VLOOKUP(D211,'04_Personal'!$A$4:$G$400,6,FALSE),VSSatz))</f>
        <v/>
      </c>
      <c r="K211" s="15">
        <f>IF(A211="","",E211*I211)</f>
        <v/>
      </c>
      <c r="L211" s="15">
        <f>IF(A211="","",IF(H211="JA",E211*J211,0))</f>
        <v/>
      </c>
      <c r="M211" s="15">
        <f>IF(A211="","",L211-K211)</f>
        <v/>
      </c>
    </row>
    <row r="212">
      <c r="A212" s="30" t="inlineStr"/>
      <c r="B212" s="38" t="inlineStr"/>
      <c r="C212" s="30" t="inlineStr"/>
      <c r="D212" s="30" t="inlineStr"/>
      <c r="E212" s="46" t="inlineStr"/>
      <c r="F212" s="30" t="inlineStr"/>
      <c r="G212" s="30" t="inlineStr"/>
      <c r="H212" s="30" t="inlineStr"/>
      <c r="I212" s="15">
        <f>IF(D212="","",IFERROR(VLOOKUP(D212,'04_Personal'!$A$4:$G$400,7,FALSE),0))</f>
        <v/>
      </c>
      <c r="J212" s="15">
        <f>IF(D212="","",IFERROR(VLOOKUP(D212,'04_Personal'!$A$4:$G$400,6,FALSE),VSSatz))</f>
        <v/>
      </c>
      <c r="K212" s="15">
        <f>IF(A212="","",E212*I212)</f>
        <v/>
      </c>
      <c r="L212" s="15">
        <f>IF(A212="","",IF(H212="JA",E212*J212,0))</f>
        <v/>
      </c>
      <c r="M212" s="15">
        <f>IF(A212="","",L212-K212)</f>
        <v/>
      </c>
    </row>
    <row r="213">
      <c r="A213" s="30" t="inlineStr"/>
      <c r="B213" s="38" t="inlineStr"/>
      <c r="C213" s="30" t="inlineStr"/>
      <c r="D213" s="30" t="inlineStr"/>
      <c r="E213" s="46" t="inlineStr"/>
      <c r="F213" s="30" t="inlineStr"/>
      <c r="G213" s="30" t="inlineStr"/>
      <c r="H213" s="30" t="inlineStr"/>
      <c r="I213" s="15">
        <f>IF(D213="","",IFERROR(VLOOKUP(D213,'04_Personal'!$A$4:$G$400,7,FALSE),0))</f>
        <v/>
      </c>
      <c r="J213" s="15">
        <f>IF(D213="","",IFERROR(VLOOKUP(D213,'04_Personal'!$A$4:$G$400,6,FALSE),VSSatz))</f>
        <v/>
      </c>
      <c r="K213" s="15">
        <f>IF(A213="","",E213*I213)</f>
        <v/>
      </c>
      <c r="L213" s="15">
        <f>IF(A213="","",IF(H213="JA",E213*J213,0))</f>
        <v/>
      </c>
      <c r="M213" s="15">
        <f>IF(A213="","",L213-K213)</f>
        <v/>
      </c>
    </row>
    <row r="214">
      <c r="A214" s="30" t="inlineStr"/>
      <c r="B214" s="38" t="inlineStr"/>
      <c r="C214" s="30" t="inlineStr"/>
      <c r="D214" s="30" t="inlineStr"/>
      <c r="E214" s="46" t="inlineStr"/>
      <c r="F214" s="30" t="inlineStr"/>
      <c r="G214" s="30" t="inlineStr"/>
      <c r="H214" s="30" t="inlineStr"/>
      <c r="I214" s="15">
        <f>IF(D214="","",IFERROR(VLOOKUP(D214,'04_Personal'!$A$4:$G$400,7,FALSE),0))</f>
        <v/>
      </c>
      <c r="J214" s="15">
        <f>IF(D214="","",IFERROR(VLOOKUP(D214,'04_Personal'!$A$4:$G$400,6,FALSE),VSSatz))</f>
        <v/>
      </c>
      <c r="K214" s="15">
        <f>IF(A214="","",E214*I214)</f>
        <v/>
      </c>
      <c r="L214" s="15">
        <f>IF(A214="","",IF(H214="JA",E214*J214,0))</f>
        <v/>
      </c>
      <c r="M214" s="15">
        <f>IF(A214="","",L214-K214)</f>
        <v/>
      </c>
    </row>
    <row r="215">
      <c r="A215" s="30" t="inlineStr"/>
      <c r="B215" s="38" t="inlineStr"/>
      <c r="C215" s="30" t="inlineStr"/>
      <c r="D215" s="30" t="inlineStr"/>
      <c r="E215" s="46" t="inlineStr"/>
      <c r="F215" s="30" t="inlineStr"/>
      <c r="G215" s="30" t="inlineStr"/>
      <c r="H215" s="30" t="inlineStr"/>
      <c r="I215" s="15">
        <f>IF(D215="","",IFERROR(VLOOKUP(D215,'04_Personal'!$A$4:$G$400,7,FALSE),0))</f>
        <v/>
      </c>
      <c r="J215" s="15">
        <f>IF(D215="","",IFERROR(VLOOKUP(D215,'04_Personal'!$A$4:$G$400,6,FALSE),VSSatz))</f>
        <v/>
      </c>
      <c r="K215" s="15">
        <f>IF(A215="","",E215*I215)</f>
        <v/>
      </c>
      <c r="L215" s="15">
        <f>IF(A215="","",IF(H215="JA",E215*J215,0))</f>
        <v/>
      </c>
      <c r="M215" s="15">
        <f>IF(A215="","",L215-K215)</f>
        <v/>
      </c>
    </row>
    <row r="216">
      <c r="A216" s="30" t="inlineStr"/>
      <c r="B216" s="38" t="inlineStr"/>
      <c r="C216" s="30" t="inlineStr"/>
      <c r="D216" s="30" t="inlineStr"/>
      <c r="E216" s="46" t="inlineStr"/>
      <c r="F216" s="30" t="inlineStr"/>
      <c r="G216" s="30" t="inlineStr"/>
      <c r="H216" s="30" t="inlineStr"/>
      <c r="I216" s="15">
        <f>IF(D216="","",IFERROR(VLOOKUP(D216,'04_Personal'!$A$4:$G$400,7,FALSE),0))</f>
        <v/>
      </c>
      <c r="J216" s="15">
        <f>IF(D216="","",IFERROR(VLOOKUP(D216,'04_Personal'!$A$4:$G$400,6,FALSE),VSSatz))</f>
        <v/>
      </c>
      <c r="K216" s="15">
        <f>IF(A216="","",E216*I216)</f>
        <v/>
      </c>
      <c r="L216" s="15">
        <f>IF(A216="","",IF(H216="JA",E216*J216,0))</f>
        <v/>
      </c>
      <c r="M216" s="15">
        <f>IF(A216="","",L216-K216)</f>
        <v/>
      </c>
    </row>
    <row r="217">
      <c r="A217" s="30" t="inlineStr"/>
      <c r="B217" s="38" t="inlineStr"/>
      <c r="C217" s="30" t="inlineStr"/>
      <c r="D217" s="30" t="inlineStr"/>
      <c r="E217" s="46" t="inlineStr"/>
      <c r="F217" s="30" t="inlineStr"/>
      <c r="G217" s="30" t="inlineStr"/>
      <c r="H217" s="30" t="inlineStr"/>
      <c r="I217" s="15">
        <f>IF(D217="","",IFERROR(VLOOKUP(D217,'04_Personal'!$A$4:$G$400,7,FALSE),0))</f>
        <v/>
      </c>
      <c r="J217" s="15">
        <f>IF(D217="","",IFERROR(VLOOKUP(D217,'04_Personal'!$A$4:$G$400,6,FALSE),VSSatz))</f>
        <v/>
      </c>
      <c r="K217" s="15">
        <f>IF(A217="","",E217*I217)</f>
        <v/>
      </c>
      <c r="L217" s="15">
        <f>IF(A217="","",IF(H217="JA",E217*J217,0))</f>
        <v/>
      </c>
      <c r="M217" s="15">
        <f>IF(A217="","",L217-K217)</f>
        <v/>
      </c>
    </row>
    <row r="218">
      <c r="A218" s="30" t="inlineStr"/>
      <c r="B218" s="38" t="inlineStr"/>
      <c r="C218" s="30" t="inlineStr"/>
      <c r="D218" s="30" t="inlineStr"/>
      <c r="E218" s="46" t="inlineStr"/>
      <c r="F218" s="30" t="inlineStr"/>
      <c r="G218" s="30" t="inlineStr"/>
      <c r="H218" s="30" t="inlineStr"/>
      <c r="I218" s="15">
        <f>IF(D218="","",IFERROR(VLOOKUP(D218,'04_Personal'!$A$4:$G$400,7,FALSE),0))</f>
        <v/>
      </c>
      <c r="J218" s="15">
        <f>IF(D218="","",IFERROR(VLOOKUP(D218,'04_Personal'!$A$4:$G$400,6,FALSE),VSSatz))</f>
        <v/>
      </c>
      <c r="K218" s="15">
        <f>IF(A218="","",E218*I218)</f>
        <v/>
      </c>
      <c r="L218" s="15">
        <f>IF(A218="","",IF(H218="JA",E218*J218,0))</f>
        <v/>
      </c>
      <c r="M218" s="15">
        <f>IF(A218="","",L218-K218)</f>
        <v/>
      </c>
    </row>
    <row r="219">
      <c r="A219" s="30" t="inlineStr"/>
      <c r="B219" s="38" t="inlineStr"/>
      <c r="C219" s="30" t="inlineStr"/>
      <c r="D219" s="30" t="inlineStr"/>
      <c r="E219" s="46" t="inlineStr"/>
      <c r="F219" s="30" t="inlineStr"/>
      <c r="G219" s="30" t="inlineStr"/>
      <c r="H219" s="30" t="inlineStr"/>
      <c r="I219" s="15">
        <f>IF(D219="","",IFERROR(VLOOKUP(D219,'04_Personal'!$A$4:$G$400,7,FALSE),0))</f>
        <v/>
      </c>
      <c r="J219" s="15">
        <f>IF(D219="","",IFERROR(VLOOKUP(D219,'04_Personal'!$A$4:$G$400,6,FALSE),VSSatz))</f>
        <v/>
      </c>
      <c r="K219" s="15">
        <f>IF(A219="","",E219*I219)</f>
        <v/>
      </c>
      <c r="L219" s="15">
        <f>IF(A219="","",IF(H219="JA",E219*J219,0))</f>
        <v/>
      </c>
      <c r="M219" s="15">
        <f>IF(A219="","",L219-K219)</f>
        <v/>
      </c>
    </row>
    <row r="220">
      <c r="A220" s="30" t="inlineStr"/>
      <c r="B220" s="38" t="inlineStr"/>
      <c r="C220" s="30" t="inlineStr"/>
      <c r="D220" s="30" t="inlineStr"/>
      <c r="E220" s="46" t="inlineStr"/>
      <c r="F220" s="30" t="inlineStr"/>
      <c r="G220" s="30" t="inlineStr"/>
      <c r="H220" s="30" t="inlineStr"/>
      <c r="I220" s="15">
        <f>IF(D220="","",IFERROR(VLOOKUP(D220,'04_Personal'!$A$4:$G$400,7,FALSE),0))</f>
        <v/>
      </c>
      <c r="J220" s="15">
        <f>IF(D220="","",IFERROR(VLOOKUP(D220,'04_Personal'!$A$4:$G$400,6,FALSE),VSSatz))</f>
        <v/>
      </c>
      <c r="K220" s="15">
        <f>IF(A220="","",E220*I220)</f>
        <v/>
      </c>
      <c r="L220" s="15">
        <f>IF(A220="","",IF(H220="JA",E220*J220,0))</f>
        <v/>
      </c>
      <c r="M220" s="15">
        <f>IF(A220="","",L220-K220)</f>
        <v/>
      </c>
    </row>
    <row r="221">
      <c r="A221" s="30" t="inlineStr"/>
      <c r="B221" s="38" t="inlineStr"/>
      <c r="C221" s="30" t="inlineStr"/>
      <c r="D221" s="30" t="inlineStr"/>
      <c r="E221" s="46" t="inlineStr"/>
      <c r="F221" s="30" t="inlineStr"/>
      <c r="G221" s="30" t="inlineStr"/>
      <c r="H221" s="30" t="inlineStr"/>
      <c r="I221" s="15">
        <f>IF(D221="","",IFERROR(VLOOKUP(D221,'04_Personal'!$A$4:$G$400,7,FALSE),0))</f>
        <v/>
      </c>
      <c r="J221" s="15">
        <f>IF(D221="","",IFERROR(VLOOKUP(D221,'04_Personal'!$A$4:$G$400,6,FALSE),VSSatz))</f>
        <v/>
      </c>
      <c r="K221" s="15">
        <f>IF(A221="","",E221*I221)</f>
        <v/>
      </c>
      <c r="L221" s="15">
        <f>IF(A221="","",IF(H221="JA",E221*J221,0))</f>
        <v/>
      </c>
      <c r="M221" s="15">
        <f>IF(A221="","",L221-K221)</f>
        <v/>
      </c>
    </row>
    <row r="222">
      <c r="A222" s="30" t="inlineStr"/>
      <c r="B222" s="38" t="inlineStr"/>
      <c r="C222" s="30" t="inlineStr"/>
      <c r="D222" s="30" t="inlineStr"/>
      <c r="E222" s="46" t="inlineStr"/>
      <c r="F222" s="30" t="inlineStr"/>
      <c r="G222" s="30" t="inlineStr"/>
      <c r="H222" s="30" t="inlineStr"/>
      <c r="I222" s="15">
        <f>IF(D222="","",IFERROR(VLOOKUP(D222,'04_Personal'!$A$4:$G$400,7,FALSE),0))</f>
        <v/>
      </c>
      <c r="J222" s="15">
        <f>IF(D222="","",IFERROR(VLOOKUP(D222,'04_Personal'!$A$4:$G$400,6,FALSE),VSSatz))</f>
        <v/>
      </c>
      <c r="K222" s="15">
        <f>IF(A222="","",E222*I222)</f>
        <v/>
      </c>
      <c r="L222" s="15">
        <f>IF(A222="","",IF(H222="JA",E222*J222,0))</f>
        <v/>
      </c>
      <c r="M222" s="15">
        <f>IF(A222="","",L222-K222)</f>
        <v/>
      </c>
    </row>
    <row r="223">
      <c r="A223" s="30" t="inlineStr"/>
      <c r="B223" s="38" t="inlineStr"/>
      <c r="C223" s="30" t="inlineStr"/>
      <c r="D223" s="30" t="inlineStr"/>
      <c r="E223" s="46" t="inlineStr"/>
      <c r="F223" s="30" t="inlineStr"/>
      <c r="G223" s="30" t="inlineStr"/>
      <c r="H223" s="30" t="inlineStr"/>
      <c r="I223" s="15">
        <f>IF(D223="","",IFERROR(VLOOKUP(D223,'04_Personal'!$A$4:$G$400,7,FALSE),0))</f>
        <v/>
      </c>
      <c r="J223" s="15">
        <f>IF(D223="","",IFERROR(VLOOKUP(D223,'04_Personal'!$A$4:$G$400,6,FALSE),VSSatz))</f>
        <v/>
      </c>
      <c r="K223" s="15">
        <f>IF(A223="","",E223*I223)</f>
        <v/>
      </c>
      <c r="L223" s="15">
        <f>IF(A223="","",IF(H223="JA",E223*J223,0))</f>
        <v/>
      </c>
      <c r="M223" s="15">
        <f>IF(A223="","",L223-K223)</f>
        <v/>
      </c>
    </row>
    <row r="224">
      <c r="A224" s="30" t="inlineStr"/>
      <c r="B224" s="38" t="inlineStr"/>
      <c r="C224" s="30" t="inlineStr"/>
      <c r="D224" s="30" t="inlineStr"/>
      <c r="E224" s="46" t="inlineStr"/>
      <c r="F224" s="30" t="inlineStr"/>
      <c r="G224" s="30" t="inlineStr"/>
      <c r="H224" s="30" t="inlineStr"/>
      <c r="I224" s="15">
        <f>IF(D224="","",IFERROR(VLOOKUP(D224,'04_Personal'!$A$4:$G$400,7,FALSE),0))</f>
        <v/>
      </c>
      <c r="J224" s="15">
        <f>IF(D224="","",IFERROR(VLOOKUP(D224,'04_Personal'!$A$4:$G$400,6,FALSE),VSSatz))</f>
        <v/>
      </c>
      <c r="K224" s="15">
        <f>IF(A224="","",E224*I224)</f>
        <v/>
      </c>
      <c r="L224" s="15">
        <f>IF(A224="","",IF(H224="JA",E224*J224,0))</f>
        <v/>
      </c>
      <c r="M224" s="15">
        <f>IF(A224="","",L224-K224)</f>
        <v/>
      </c>
    </row>
    <row r="225">
      <c r="A225" s="30" t="inlineStr"/>
      <c r="B225" s="38" t="inlineStr"/>
      <c r="C225" s="30" t="inlineStr"/>
      <c r="D225" s="30" t="inlineStr"/>
      <c r="E225" s="46" t="inlineStr"/>
      <c r="F225" s="30" t="inlineStr"/>
      <c r="G225" s="30" t="inlineStr"/>
      <c r="H225" s="30" t="inlineStr"/>
      <c r="I225" s="15">
        <f>IF(D225="","",IFERROR(VLOOKUP(D225,'04_Personal'!$A$4:$G$400,7,FALSE),0))</f>
        <v/>
      </c>
      <c r="J225" s="15">
        <f>IF(D225="","",IFERROR(VLOOKUP(D225,'04_Personal'!$A$4:$G$400,6,FALSE),VSSatz))</f>
        <v/>
      </c>
      <c r="K225" s="15">
        <f>IF(A225="","",E225*I225)</f>
        <v/>
      </c>
      <c r="L225" s="15">
        <f>IF(A225="","",IF(H225="JA",E225*J225,0))</f>
        <v/>
      </c>
      <c r="M225" s="15">
        <f>IF(A225="","",L225-K225)</f>
        <v/>
      </c>
    </row>
    <row r="226">
      <c r="A226" s="30" t="inlineStr"/>
      <c r="B226" s="38" t="inlineStr"/>
      <c r="C226" s="30" t="inlineStr"/>
      <c r="D226" s="30" t="inlineStr"/>
      <c r="E226" s="46" t="inlineStr"/>
      <c r="F226" s="30" t="inlineStr"/>
      <c r="G226" s="30" t="inlineStr"/>
      <c r="H226" s="30" t="inlineStr"/>
      <c r="I226" s="15">
        <f>IF(D226="","",IFERROR(VLOOKUP(D226,'04_Personal'!$A$4:$G$400,7,FALSE),0))</f>
        <v/>
      </c>
      <c r="J226" s="15">
        <f>IF(D226="","",IFERROR(VLOOKUP(D226,'04_Personal'!$A$4:$G$400,6,FALSE),VSSatz))</f>
        <v/>
      </c>
      <c r="K226" s="15">
        <f>IF(A226="","",E226*I226)</f>
        <v/>
      </c>
      <c r="L226" s="15">
        <f>IF(A226="","",IF(H226="JA",E226*J226,0))</f>
        <v/>
      </c>
      <c r="M226" s="15">
        <f>IF(A226="","",L226-K226)</f>
        <v/>
      </c>
    </row>
    <row r="227">
      <c r="A227" s="30" t="inlineStr"/>
      <c r="B227" s="38" t="inlineStr"/>
      <c r="C227" s="30" t="inlineStr"/>
      <c r="D227" s="30" t="inlineStr"/>
      <c r="E227" s="46" t="inlineStr"/>
      <c r="F227" s="30" t="inlineStr"/>
      <c r="G227" s="30" t="inlineStr"/>
      <c r="H227" s="30" t="inlineStr"/>
      <c r="I227" s="15">
        <f>IF(D227="","",IFERROR(VLOOKUP(D227,'04_Personal'!$A$4:$G$400,7,FALSE),0))</f>
        <v/>
      </c>
      <c r="J227" s="15">
        <f>IF(D227="","",IFERROR(VLOOKUP(D227,'04_Personal'!$A$4:$G$400,6,FALSE),VSSatz))</f>
        <v/>
      </c>
      <c r="K227" s="15">
        <f>IF(A227="","",E227*I227)</f>
        <v/>
      </c>
      <c r="L227" s="15">
        <f>IF(A227="","",IF(H227="JA",E227*J227,0))</f>
        <v/>
      </c>
      <c r="M227" s="15">
        <f>IF(A227="","",L227-K227)</f>
        <v/>
      </c>
    </row>
    <row r="228">
      <c r="A228" s="30" t="inlineStr"/>
      <c r="B228" s="38" t="inlineStr"/>
      <c r="C228" s="30" t="inlineStr"/>
      <c r="D228" s="30" t="inlineStr"/>
      <c r="E228" s="46" t="inlineStr"/>
      <c r="F228" s="30" t="inlineStr"/>
      <c r="G228" s="30" t="inlineStr"/>
      <c r="H228" s="30" t="inlineStr"/>
      <c r="I228" s="15">
        <f>IF(D228="","",IFERROR(VLOOKUP(D228,'04_Personal'!$A$4:$G$400,7,FALSE),0))</f>
        <v/>
      </c>
      <c r="J228" s="15">
        <f>IF(D228="","",IFERROR(VLOOKUP(D228,'04_Personal'!$A$4:$G$400,6,FALSE),VSSatz))</f>
        <v/>
      </c>
      <c r="K228" s="15">
        <f>IF(A228="","",E228*I228)</f>
        <v/>
      </c>
      <c r="L228" s="15">
        <f>IF(A228="","",IF(H228="JA",E228*J228,0))</f>
        <v/>
      </c>
      <c r="M228" s="15">
        <f>IF(A228="","",L228-K228)</f>
        <v/>
      </c>
    </row>
    <row r="229">
      <c r="A229" s="30" t="inlineStr"/>
      <c r="B229" s="38" t="inlineStr"/>
      <c r="C229" s="30" t="inlineStr"/>
      <c r="D229" s="30" t="inlineStr"/>
      <c r="E229" s="46" t="inlineStr"/>
      <c r="F229" s="30" t="inlineStr"/>
      <c r="G229" s="30" t="inlineStr"/>
      <c r="H229" s="30" t="inlineStr"/>
      <c r="I229" s="15">
        <f>IF(D229="","",IFERROR(VLOOKUP(D229,'04_Personal'!$A$4:$G$400,7,FALSE),0))</f>
        <v/>
      </c>
      <c r="J229" s="15">
        <f>IF(D229="","",IFERROR(VLOOKUP(D229,'04_Personal'!$A$4:$G$400,6,FALSE),VSSatz))</f>
        <v/>
      </c>
      <c r="K229" s="15">
        <f>IF(A229="","",E229*I229)</f>
        <v/>
      </c>
      <c r="L229" s="15">
        <f>IF(A229="","",IF(H229="JA",E229*J229,0))</f>
        <v/>
      </c>
      <c r="M229" s="15">
        <f>IF(A229="","",L229-K229)</f>
        <v/>
      </c>
    </row>
    <row r="230">
      <c r="A230" s="30" t="inlineStr"/>
      <c r="B230" s="38" t="inlineStr"/>
      <c r="C230" s="30" t="inlineStr"/>
      <c r="D230" s="30" t="inlineStr"/>
      <c r="E230" s="46" t="inlineStr"/>
      <c r="F230" s="30" t="inlineStr"/>
      <c r="G230" s="30" t="inlineStr"/>
      <c r="H230" s="30" t="inlineStr"/>
      <c r="I230" s="15">
        <f>IF(D230="","",IFERROR(VLOOKUP(D230,'04_Personal'!$A$4:$G$400,7,FALSE),0))</f>
        <v/>
      </c>
      <c r="J230" s="15">
        <f>IF(D230="","",IFERROR(VLOOKUP(D230,'04_Personal'!$A$4:$G$400,6,FALSE),VSSatz))</f>
        <v/>
      </c>
      <c r="K230" s="15">
        <f>IF(A230="","",E230*I230)</f>
        <v/>
      </c>
      <c r="L230" s="15">
        <f>IF(A230="","",IF(H230="JA",E230*J230,0))</f>
        <v/>
      </c>
      <c r="M230" s="15">
        <f>IF(A230="","",L230-K230)</f>
        <v/>
      </c>
    </row>
    <row r="231">
      <c r="A231" s="30" t="inlineStr"/>
      <c r="B231" s="38" t="inlineStr"/>
      <c r="C231" s="30" t="inlineStr"/>
      <c r="D231" s="30" t="inlineStr"/>
      <c r="E231" s="46" t="inlineStr"/>
      <c r="F231" s="30" t="inlineStr"/>
      <c r="G231" s="30" t="inlineStr"/>
      <c r="H231" s="30" t="inlineStr"/>
      <c r="I231" s="15">
        <f>IF(D231="","",IFERROR(VLOOKUP(D231,'04_Personal'!$A$4:$G$400,7,FALSE),0))</f>
        <v/>
      </c>
      <c r="J231" s="15">
        <f>IF(D231="","",IFERROR(VLOOKUP(D231,'04_Personal'!$A$4:$G$400,6,FALSE),VSSatz))</f>
        <v/>
      </c>
      <c r="K231" s="15">
        <f>IF(A231="","",E231*I231)</f>
        <v/>
      </c>
      <c r="L231" s="15">
        <f>IF(A231="","",IF(H231="JA",E231*J231,0))</f>
        <v/>
      </c>
      <c r="M231" s="15">
        <f>IF(A231="","",L231-K231)</f>
        <v/>
      </c>
    </row>
    <row r="232">
      <c r="A232" s="30" t="inlineStr"/>
      <c r="B232" s="38" t="inlineStr"/>
      <c r="C232" s="30" t="inlineStr"/>
      <c r="D232" s="30" t="inlineStr"/>
      <c r="E232" s="46" t="inlineStr"/>
      <c r="F232" s="30" t="inlineStr"/>
      <c r="G232" s="30" t="inlineStr"/>
      <c r="H232" s="30" t="inlineStr"/>
      <c r="I232" s="15">
        <f>IF(D232="","",IFERROR(VLOOKUP(D232,'04_Personal'!$A$4:$G$400,7,FALSE),0))</f>
        <v/>
      </c>
      <c r="J232" s="15">
        <f>IF(D232="","",IFERROR(VLOOKUP(D232,'04_Personal'!$A$4:$G$400,6,FALSE),VSSatz))</f>
        <v/>
      </c>
      <c r="K232" s="15">
        <f>IF(A232="","",E232*I232)</f>
        <v/>
      </c>
      <c r="L232" s="15">
        <f>IF(A232="","",IF(H232="JA",E232*J232,0))</f>
        <v/>
      </c>
      <c r="M232" s="15">
        <f>IF(A232="","",L232-K232)</f>
        <v/>
      </c>
    </row>
    <row r="233">
      <c r="A233" s="30" t="inlineStr"/>
      <c r="B233" s="38" t="inlineStr"/>
      <c r="C233" s="30" t="inlineStr"/>
      <c r="D233" s="30" t="inlineStr"/>
      <c r="E233" s="46" t="inlineStr"/>
      <c r="F233" s="30" t="inlineStr"/>
      <c r="G233" s="30" t="inlineStr"/>
      <c r="H233" s="30" t="inlineStr"/>
      <c r="I233" s="15">
        <f>IF(D233="","",IFERROR(VLOOKUP(D233,'04_Personal'!$A$4:$G$400,7,FALSE),0))</f>
        <v/>
      </c>
      <c r="J233" s="15">
        <f>IF(D233="","",IFERROR(VLOOKUP(D233,'04_Personal'!$A$4:$G$400,6,FALSE),VSSatz))</f>
        <v/>
      </c>
      <c r="K233" s="15">
        <f>IF(A233="","",E233*I233)</f>
        <v/>
      </c>
      <c r="L233" s="15">
        <f>IF(A233="","",IF(H233="JA",E233*J233,0))</f>
        <v/>
      </c>
      <c r="M233" s="15">
        <f>IF(A233="","",L233-K233)</f>
        <v/>
      </c>
    </row>
    <row r="234">
      <c r="A234" s="30" t="inlineStr"/>
      <c r="B234" s="38" t="inlineStr"/>
      <c r="C234" s="30" t="inlineStr"/>
      <c r="D234" s="30" t="inlineStr"/>
      <c r="E234" s="46" t="inlineStr"/>
      <c r="F234" s="30" t="inlineStr"/>
      <c r="G234" s="30" t="inlineStr"/>
      <c r="H234" s="30" t="inlineStr"/>
      <c r="I234" s="15">
        <f>IF(D234="","",IFERROR(VLOOKUP(D234,'04_Personal'!$A$4:$G$400,7,FALSE),0))</f>
        <v/>
      </c>
      <c r="J234" s="15">
        <f>IF(D234="","",IFERROR(VLOOKUP(D234,'04_Personal'!$A$4:$G$400,6,FALSE),VSSatz))</f>
        <v/>
      </c>
      <c r="K234" s="15">
        <f>IF(A234="","",E234*I234)</f>
        <v/>
      </c>
      <c r="L234" s="15">
        <f>IF(A234="","",IF(H234="JA",E234*J234,0))</f>
        <v/>
      </c>
      <c r="M234" s="15">
        <f>IF(A234="","",L234-K234)</f>
        <v/>
      </c>
    </row>
    <row r="235">
      <c r="A235" s="30" t="inlineStr"/>
      <c r="B235" s="38" t="inlineStr"/>
      <c r="C235" s="30" t="inlineStr"/>
      <c r="D235" s="30" t="inlineStr"/>
      <c r="E235" s="46" t="inlineStr"/>
      <c r="F235" s="30" t="inlineStr"/>
      <c r="G235" s="30" t="inlineStr"/>
      <c r="H235" s="30" t="inlineStr"/>
      <c r="I235" s="15">
        <f>IF(D235="","",IFERROR(VLOOKUP(D235,'04_Personal'!$A$4:$G$400,7,FALSE),0))</f>
        <v/>
      </c>
      <c r="J235" s="15">
        <f>IF(D235="","",IFERROR(VLOOKUP(D235,'04_Personal'!$A$4:$G$400,6,FALSE),VSSatz))</f>
        <v/>
      </c>
      <c r="K235" s="15">
        <f>IF(A235="","",E235*I235)</f>
        <v/>
      </c>
      <c r="L235" s="15">
        <f>IF(A235="","",IF(H235="JA",E235*J235,0))</f>
        <v/>
      </c>
      <c r="M235" s="15">
        <f>IF(A235="","",L235-K235)</f>
        <v/>
      </c>
    </row>
    <row r="236">
      <c r="A236" s="30" t="inlineStr"/>
      <c r="B236" s="38" t="inlineStr"/>
      <c r="C236" s="30" t="inlineStr"/>
      <c r="D236" s="30" t="inlineStr"/>
      <c r="E236" s="46" t="inlineStr"/>
      <c r="F236" s="30" t="inlineStr"/>
      <c r="G236" s="30" t="inlineStr"/>
      <c r="H236" s="30" t="inlineStr"/>
      <c r="I236" s="15">
        <f>IF(D236="","",IFERROR(VLOOKUP(D236,'04_Personal'!$A$4:$G$400,7,FALSE),0))</f>
        <v/>
      </c>
      <c r="J236" s="15">
        <f>IF(D236="","",IFERROR(VLOOKUP(D236,'04_Personal'!$A$4:$G$400,6,FALSE),VSSatz))</f>
        <v/>
      </c>
      <c r="K236" s="15">
        <f>IF(A236="","",E236*I236)</f>
        <v/>
      </c>
      <c r="L236" s="15">
        <f>IF(A236="","",IF(H236="JA",E236*J236,0))</f>
        <v/>
      </c>
      <c r="M236" s="15">
        <f>IF(A236="","",L236-K236)</f>
        <v/>
      </c>
    </row>
    <row r="237">
      <c r="A237" s="30" t="inlineStr"/>
      <c r="B237" s="38" t="inlineStr"/>
      <c r="C237" s="30" t="inlineStr"/>
      <c r="D237" s="30" t="inlineStr"/>
      <c r="E237" s="46" t="inlineStr"/>
      <c r="F237" s="30" t="inlineStr"/>
      <c r="G237" s="30" t="inlineStr"/>
      <c r="H237" s="30" t="inlineStr"/>
      <c r="I237" s="15">
        <f>IF(D237="","",IFERROR(VLOOKUP(D237,'04_Personal'!$A$4:$G$400,7,FALSE),0))</f>
        <v/>
      </c>
      <c r="J237" s="15">
        <f>IF(D237="","",IFERROR(VLOOKUP(D237,'04_Personal'!$A$4:$G$400,6,FALSE),VSSatz))</f>
        <v/>
      </c>
      <c r="K237" s="15">
        <f>IF(A237="","",E237*I237)</f>
        <v/>
      </c>
      <c r="L237" s="15">
        <f>IF(A237="","",IF(H237="JA",E237*J237,0))</f>
        <v/>
      </c>
      <c r="M237" s="15">
        <f>IF(A237="","",L237-K237)</f>
        <v/>
      </c>
    </row>
    <row r="238">
      <c r="A238" s="30" t="inlineStr"/>
      <c r="B238" s="38" t="inlineStr"/>
      <c r="C238" s="30" t="inlineStr"/>
      <c r="D238" s="30" t="inlineStr"/>
      <c r="E238" s="46" t="inlineStr"/>
      <c r="F238" s="30" t="inlineStr"/>
      <c r="G238" s="30" t="inlineStr"/>
      <c r="H238" s="30" t="inlineStr"/>
      <c r="I238" s="15">
        <f>IF(D238="","",IFERROR(VLOOKUP(D238,'04_Personal'!$A$4:$G$400,7,FALSE),0))</f>
        <v/>
      </c>
      <c r="J238" s="15">
        <f>IF(D238="","",IFERROR(VLOOKUP(D238,'04_Personal'!$A$4:$G$400,6,FALSE),VSSatz))</f>
        <v/>
      </c>
      <c r="K238" s="15">
        <f>IF(A238="","",E238*I238)</f>
        <v/>
      </c>
      <c r="L238" s="15">
        <f>IF(A238="","",IF(H238="JA",E238*J238,0))</f>
        <v/>
      </c>
      <c r="M238" s="15">
        <f>IF(A238="","",L238-K238)</f>
        <v/>
      </c>
    </row>
    <row r="239">
      <c r="A239" s="30" t="inlineStr"/>
      <c r="B239" s="38" t="inlineStr"/>
      <c r="C239" s="30" t="inlineStr"/>
      <c r="D239" s="30" t="inlineStr"/>
      <c r="E239" s="46" t="inlineStr"/>
      <c r="F239" s="30" t="inlineStr"/>
      <c r="G239" s="30" t="inlineStr"/>
      <c r="H239" s="30" t="inlineStr"/>
      <c r="I239" s="15">
        <f>IF(D239="","",IFERROR(VLOOKUP(D239,'04_Personal'!$A$4:$G$400,7,FALSE),0))</f>
        <v/>
      </c>
      <c r="J239" s="15">
        <f>IF(D239="","",IFERROR(VLOOKUP(D239,'04_Personal'!$A$4:$G$400,6,FALSE),VSSatz))</f>
        <v/>
      </c>
      <c r="K239" s="15">
        <f>IF(A239="","",E239*I239)</f>
        <v/>
      </c>
      <c r="L239" s="15">
        <f>IF(A239="","",IF(H239="JA",E239*J239,0))</f>
        <v/>
      </c>
      <c r="M239" s="15">
        <f>IF(A239="","",L239-K239)</f>
        <v/>
      </c>
    </row>
    <row r="240">
      <c r="A240" s="30" t="inlineStr"/>
      <c r="B240" s="38" t="inlineStr"/>
      <c r="C240" s="30" t="inlineStr"/>
      <c r="D240" s="30" t="inlineStr"/>
      <c r="E240" s="46" t="inlineStr"/>
      <c r="F240" s="30" t="inlineStr"/>
      <c r="G240" s="30" t="inlineStr"/>
      <c r="H240" s="30" t="inlineStr"/>
      <c r="I240" s="15">
        <f>IF(D240="","",IFERROR(VLOOKUP(D240,'04_Personal'!$A$4:$G$400,7,FALSE),0))</f>
        <v/>
      </c>
      <c r="J240" s="15">
        <f>IF(D240="","",IFERROR(VLOOKUP(D240,'04_Personal'!$A$4:$G$400,6,FALSE),VSSatz))</f>
        <v/>
      </c>
      <c r="K240" s="15">
        <f>IF(A240="","",E240*I240)</f>
        <v/>
      </c>
      <c r="L240" s="15">
        <f>IF(A240="","",IF(H240="JA",E240*J240,0))</f>
        <v/>
      </c>
      <c r="M240" s="15">
        <f>IF(A240="","",L240-K240)</f>
        <v/>
      </c>
    </row>
    <row r="241">
      <c r="A241" s="30" t="inlineStr"/>
      <c r="B241" s="38" t="inlineStr"/>
      <c r="C241" s="30" t="inlineStr"/>
      <c r="D241" s="30" t="inlineStr"/>
      <c r="E241" s="46" t="inlineStr"/>
      <c r="F241" s="30" t="inlineStr"/>
      <c r="G241" s="30" t="inlineStr"/>
      <c r="H241" s="30" t="inlineStr"/>
      <c r="I241" s="15">
        <f>IF(D241="","",IFERROR(VLOOKUP(D241,'04_Personal'!$A$4:$G$400,7,FALSE),0))</f>
        <v/>
      </c>
      <c r="J241" s="15">
        <f>IF(D241="","",IFERROR(VLOOKUP(D241,'04_Personal'!$A$4:$G$400,6,FALSE),VSSatz))</f>
        <v/>
      </c>
      <c r="K241" s="15">
        <f>IF(A241="","",E241*I241)</f>
        <v/>
      </c>
      <c r="L241" s="15">
        <f>IF(A241="","",IF(H241="JA",E241*J241,0))</f>
        <v/>
      </c>
      <c r="M241" s="15">
        <f>IF(A241="","",L241-K241)</f>
        <v/>
      </c>
    </row>
    <row r="242">
      <c r="A242" s="30" t="inlineStr"/>
      <c r="B242" s="38" t="inlineStr"/>
      <c r="C242" s="30" t="inlineStr"/>
      <c r="D242" s="30" t="inlineStr"/>
      <c r="E242" s="46" t="inlineStr"/>
      <c r="F242" s="30" t="inlineStr"/>
      <c r="G242" s="30" t="inlineStr"/>
      <c r="H242" s="30" t="inlineStr"/>
      <c r="I242" s="15">
        <f>IF(D242="","",IFERROR(VLOOKUP(D242,'04_Personal'!$A$4:$G$400,7,FALSE),0))</f>
        <v/>
      </c>
      <c r="J242" s="15">
        <f>IF(D242="","",IFERROR(VLOOKUP(D242,'04_Personal'!$A$4:$G$400,6,FALSE),VSSatz))</f>
        <v/>
      </c>
      <c r="K242" s="15">
        <f>IF(A242="","",E242*I242)</f>
        <v/>
      </c>
      <c r="L242" s="15">
        <f>IF(A242="","",IF(H242="JA",E242*J242,0))</f>
        <v/>
      </c>
      <c r="M242" s="15">
        <f>IF(A242="","",L242-K242)</f>
        <v/>
      </c>
    </row>
    <row r="243">
      <c r="A243" s="30" t="inlineStr"/>
      <c r="B243" s="38" t="inlineStr"/>
      <c r="C243" s="30" t="inlineStr"/>
      <c r="D243" s="30" t="inlineStr"/>
      <c r="E243" s="46" t="inlineStr"/>
      <c r="F243" s="30" t="inlineStr"/>
      <c r="G243" s="30" t="inlineStr"/>
      <c r="H243" s="30" t="inlineStr"/>
      <c r="I243" s="15">
        <f>IF(D243="","",IFERROR(VLOOKUP(D243,'04_Personal'!$A$4:$G$400,7,FALSE),0))</f>
        <v/>
      </c>
      <c r="J243" s="15">
        <f>IF(D243="","",IFERROR(VLOOKUP(D243,'04_Personal'!$A$4:$G$400,6,FALSE),VSSatz))</f>
        <v/>
      </c>
      <c r="K243" s="15">
        <f>IF(A243="","",E243*I243)</f>
        <v/>
      </c>
      <c r="L243" s="15">
        <f>IF(A243="","",IF(H243="JA",E243*J243,0))</f>
        <v/>
      </c>
      <c r="M243" s="15">
        <f>IF(A243="","",L243-K243)</f>
        <v/>
      </c>
    </row>
    <row r="244">
      <c r="A244" s="30" t="inlineStr"/>
      <c r="B244" s="38" t="inlineStr"/>
      <c r="C244" s="30" t="inlineStr"/>
      <c r="D244" s="30" t="inlineStr"/>
      <c r="E244" s="46" t="inlineStr"/>
      <c r="F244" s="30" t="inlineStr"/>
      <c r="G244" s="30" t="inlineStr"/>
      <c r="H244" s="30" t="inlineStr"/>
      <c r="I244" s="15">
        <f>IF(D244="","",IFERROR(VLOOKUP(D244,'04_Personal'!$A$4:$G$400,7,FALSE),0))</f>
        <v/>
      </c>
      <c r="J244" s="15">
        <f>IF(D244="","",IFERROR(VLOOKUP(D244,'04_Personal'!$A$4:$G$400,6,FALSE),VSSatz))</f>
        <v/>
      </c>
      <c r="K244" s="15">
        <f>IF(A244="","",E244*I244)</f>
        <v/>
      </c>
      <c r="L244" s="15">
        <f>IF(A244="","",IF(H244="JA",E244*J244,0))</f>
        <v/>
      </c>
      <c r="M244" s="15">
        <f>IF(A244="","",L244-K244)</f>
        <v/>
      </c>
    </row>
    <row r="245">
      <c r="A245" s="30" t="inlineStr"/>
      <c r="B245" s="38" t="inlineStr"/>
      <c r="C245" s="30" t="inlineStr"/>
      <c r="D245" s="30" t="inlineStr"/>
      <c r="E245" s="46" t="inlineStr"/>
      <c r="F245" s="30" t="inlineStr"/>
      <c r="G245" s="30" t="inlineStr"/>
      <c r="H245" s="30" t="inlineStr"/>
      <c r="I245" s="15">
        <f>IF(D245="","",IFERROR(VLOOKUP(D245,'04_Personal'!$A$4:$G$400,7,FALSE),0))</f>
        <v/>
      </c>
      <c r="J245" s="15">
        <f>IF(D245="","",IFERROR(VLOOKUP(D245,'04_Personal'!$A$4:$G$400,6,FALSE),VSSatz))</f>
        <v/>
      </c>
      <c r="K245" s="15">
        <f>IF(A245="","",E245*I245)</f>
        <v/>
      </c>
      <c r="L245" s="15">
        <f>IF(A245="","",IF(H245="JA",E245*J245,0))</f>
        <v/>
      </c>
      <c r="M245" s="15">
        <f>IF(A245="","",L245-K245)</f>
        <v/>
      </c>
    </row>
    <row r="246">
      <c r="A246" s="30" t="inlineStr"/>
      <c r="B246" s="38" t="inlineStr"/>
      <c r="C246" s="30" t="inlineStr"/>
      <c r="D246" s="30" t="inlineStr"/>
      <c r="E246" s="46" t="inlineStr"/>
      <c r="F246" s="30" t="inlineStr"/>
      <c r="G246" s="30" t="inlineStr"/>
      <c r="H246" s="30" t="inlineStr"/>
      <c r="I246" s="15">
        <f>IF(D246="","",IFERROR(VLOOKUP(D246,'04_Personal'!$A$4:$G$400,7,FALSE),0))</f>
        <v/>
      </c>
      <c r="J246" s="15">
        <f>IF(D246="","",IFERROR(VLOOKUP(D246,'04_Personal'!$A$4:$G$400,6,FALSE),VSSatz))</f>
        <v/>
      </c>
      <c r="K246" s="15">
        <f>IF(A246="","",E246*I246)</f>
        <v/>
      </c>
      <c r="L246" s="15">
        <f>IF(A246="","",IF(H246="JA",E246*J246,0))</f>
        <v/>
      </c>
      <c r="M246" s="15">
        <f>IF(A246="","",L246-K246)</f>
        <v/>
      </c>
    </row>
    <row r="247">
      <c r="A247" s="30" t="inlineStr"/>
      <c r="B247" s="38" t="inlineStr"/>
      <c r="C247" s="30" t="inlineStr"/>
      <c r="D247" s="30" t="inlineStr"/>
      <c r="E247" s="46" t="inlineStr"/>
      <c r="F247" s="30" t="inlineStr"/>
      <c r="G247" s="30" t="inlineStr"/>
      <c r="H247" s="30" t="inlineStr"/>
      <c r="I247" s="15">
        <f>IF(D247="","",IFERROR(VLOOKUP(D247,'04_Personal'!$A$4:$G$400,7,FALSE),0))</f>
        <v/>
      </c>
      <c r="J247" s="15">
        <f>IF(D247="","",IFERROR(VLOOKUP(D247,'04_Personal'!$A$4:$G$400,6,FALSE),VSSatz))</f>
        <v/>
      </c>
      <c r="K247" s="15">
        <f>IF(A247="","",E247*I247)</f>
        <v/>
      </c>
      <c r="L247" s="15">
        <f>IF(A247="","",IF(H247="JA",E247*J247,0))</f>
        <v/>
      </c>
      <c r="M247" s="15">
        <f>IF(A247="","",L247-K247)</f>
        <v/>
      </c>
    </row>
    <row r="248">
      <c r="A248" s="30" t="inlineStr"/>
      <c r="B248" s="38" t="inlineStr"/>
      <c r="C248" s="30" t="inlineStr"/>
      <c r="D248" s="30" t="inlineStr"/>
      <c r="E248" s="46" t="inlineStr"/>
      <c r="F248" s="30" t="inlineStr"/>
      <c r="G248" s="30" t="inlineStr"/>
      <c r="H248" s="30" t="inlineStr"/>
      <c r="I248" s="15">
        <f>IF(D248="","",IFERROR(VLOOKUP(D248,'04_Personal'!$A$4:$G$400,7,FALSE),0))</f>
        <v/>
      </c>
      <c r="J248" s="15">
        <f>IF(D248="","",IFERROR(VLOOKUP(D248,'04_Personal'!$A$4:$G$400,6,FALSE),VSSatz))</f>
        <v/>
      </c>
      <c r="K248" s="15">
        <f>IF(A248="","",E248*I248)</f>
        <v/>
      </c>
      <c r="L248" s="15">
        <f>IF(A248="","",IF(H248="JA",E248*J248,0))</f>
        <v/>
      </c>
      <c r="M248" s="15">
        <f>IF(A248="","",L248-K248)</f>
        <v/>
      </c>
    </row>
    <row r="249">
      <c r="A249" s="30" t="inlineStr"/>
      <c r="B249" s="38" t="inlineStr"/>
      <c r="C249" s="30" t="inlineStr"/>
      <c r="D249" s="30" t="inlineStr"/>
      <c r="E249" s="46" t="inlineStr"/>
      <c r="F249" s="30" t="inlineStr"/>
      <c r="G249" s="30" t="inlineStr"/>
      <c r="H249" s="30" t="inlineStr"/>
      <c r="I249" s="15">
        <f>IF(D249="","",IFERROR(VLOOKUP(D249,'04_Personal'!$A$4:$G$400,7,FALSE),0))</f>
        <v/>
      </c>
      <c r="J249" s="15">
        <f>IF(D249="","",IFERROR(VLOOKUP(D249,'04_Personal'!$A$4:$G$400,6,FALSE),VSSatz))</f>
        <v/>
      </c>
      <c r="K249" s="15">
        <f>IF(A249="","",E249*I249)</f>
        <v/>
      </c>
      <c r="L249" s="15">
        <f>IF(A249="","",IF(H249="JA",E249*J249,0))</f>
        <v/>
      </c>
      <c r="M249" s="15">
        <f>IF(A249="","",L249-K249)</f>
        <v/>
      </c>
    </row>
    <row r="250">
      <c r="A250" s="30" t="inlineStr"/>
      <c r="B250" s="38" t="inlineStr"/>
      <c r="C250" s="30" t="inlineStr"/>
      <c r="D250" s="30" t="inlineStr"/>
      <c r="E250" s="46" t="inlineStr"/>
      <c r="F250" s="30" t="inlineStr"/>
      <c r="G250" s="30" t="inlineStr"/>
      <c r="H250" s="30" t="inlineStr"/>
      <c r="I250" s="15">
        <f>IF(D250="","",IFERROR(VLOOKUP(D250,'04_Personal'!$A$4:$G$400,7,FALSE),0))</f>
        <v/>
      </c>
      <c r="J250" s="15">
        <f>IF(D250="","",IFERROR(VLOOKUP(D250,'04_Personal'!$A$4:$G$400,6,FALSE),VSSatz))</f>
        <v/>
      </c>
      <c r="K250" s="15">
        <f>IF(A250="","",E250*I250)</f>
        <v/>
      </c>
      <c r="L250" s="15">
        <f>IF(A250="","",IF(H250="JA",E250*J250,0))</f>
        <v/>
      </c>
      <c r="M250" s="15">
        <f>IF(A250="","",L250-K250)</f>
        <v/>
      </c>
    </row>
    <row r="251">
      <c r="A251" s="30" t="inlineStr"/>
      <c r="B251" s="38" t="inlineStr"/>
      <c r="C251" s="30" t="inlineStr"/>
      <c r="D251" s="30" t="inlineStr"/>
      <c r="E251" s="46" t="inlineStr"/>
      <c r="F251" s="30" t="inlineStr"/>
      <c r="G251" s="30" t="inlineStr"/>
      <c r="H251" s="30" t="inlineStr"/>
      <c r="I251" s="15">
        <f>IF(D251="","",IFERROR(VLOOKUP(D251,'04_Personal'!$A$4:$G$400,7,FALSE),0))</f>
        <v/>
      </c>
      <c r="J251" s="15">
        <f>IF(D251="","",IFERROR(VLOOKUP(D251,'04_Personal'!$A$4:$G$400,6,FALSE),VSSatz))</f>
        <v/>
      </c>
      <c r="K251" s="15">
        <f>IF(A251="","",E251*I251)</f>
        <v/>
      </c>
      <c r="L251" s="15">
        <f>IF(A251="","",IF(H251="JA",E251*J251,0))</f>
        <v/>
      </c>
      <c r="M251" s="15">
        <f>IF(A251="","",L251-K251)</f>
        <v/>
      </c>
    </row>
    <row r="252">
      <c r="A252" s="30" t="inlineStr"/>
      <c r="B252" s="38" t="inlineStr"/>
      <c r="C252" s="30" t="inlineStr"/>
      <c r="D252" s="30" t="inlineStr"/>
      <c r="E252" s="46" t="inlineStr"/>
      <c r="F252" s="30" t="inlineStr"/>
      <c r="G252" s="30" t="inlineStr"/>
      <c r="H252" s="30" t="inlineStr"/>
      <c r="I252" s="15">
        <f>IF(D252="","",IFERROR(VLOOKUP(D252,'04_Personal'!$A$4:$G$400,7,FALSE),0))</f>
        <v/>
      </c>
      <c r="J252" s="15">
        <f>IF(D252="","",IFERROR(VLOOKUP(D252,'04_Personal'!$A$4:$G$400,6,FALSE),VSSatz))</f>
        <v/>
      </c>
      <c r="K252" s="15">
        <f>IF(A252="","",E252*I252)</f>
        <v/>
      </c>
      <c r="L252" s="15">
        <f>IF(A252="","",IF(H252="JA",E252*J252,0))</f>
        <v/>
      </c>
      <c r="M252" s="15">
        <f>IF(A252="","",L252-K252)</f>
        <v/>
      </c>
    </row>
    <row r="253">
      <c r="A253" s="30" t="inlineStr"/>
      <c r="B253" s="38" t="inlineStr"/>
      <c r="C253" s="30" t="inlineStr"/>
      <c r="D253" s="30" t="inlineStr"/>
      <c r="E253" s="46" t="inlineStr"/>
      <c r="F253" s="30" t="inlineStr"/>
      <c r="G253" s="30" t="inlineStr"/>
      <c r="H253" s="30" t="inlineStr"/>
      <c r="I253" s="15">
        <f>IF(D253="","",IFERROR(VLOOKUP(D253,'04_Personal'!$A$4:$G$400,7,FALSE),0))</f>
        <v/>
      </c>
      <c r="J253" s="15">
        <f>IF(D253="","",IFERROR(VLOOKUP(D253,'04_Personal'!$A$4:$G$400,6,FALSE),VSSatz))</f>
        <v/>
      </c>
      <c r="K253" s="15">
        <f>IF(A253="","",E253*I253)</f>
        <v/>
      </c>
      <c r="L253" s="15">
        <f>IF(A253="","",IF(H253="JA",E253*J253,0))</f>
        <v/>
      </c>
      <c r="M253" s="15">
        <f>IF(A253="","",L253-K253)</f>
        <v/>
      </c>
    </row>
    <row r="254">
      <c r="A254" s="30" t="inlineStr"/>
      <c r="B254" s="38" t="inlineStr"/>
      <c r="C254" s="30" t="inlineStr"/>
      <c r="D254" s="30" t="inlineStr"/>
      <c r="E254" s="46" t="inlineStr"/>
      <c r="F254" s="30" t="inlineStr"/>
      <c r="G254" s="30" t="inlineStr"/>
      <c r="H254" s="30" t="inlineStr"/>
      <c r="I254" s="15">
        <f>IF(D254="","",IFERROR(VLOOKUP(D254,'04_Personal'!$A$4:$G$400,7,FALSE),0))</f>
        <v/>
      </c>
      <c r="J254" s="15">
        <f>IF(D254="","",IFERROR(VLOOKUP(D254,'04_Personal'!$A$4:$G$400,6,FALSE),VSSatz))</f>
        <v/>
      </c>
      <c r="K254" s="15">
        <f>IF(A254="","",E254*I254)</f>
        <v/>
      </c>
      <c r="L254" s="15">
        <f>IF(A254="","",IF(H254="JA",E254*J254,0))</f>
        <v/>
      </c>
      <c r="M254" s="15">
        <f>IF(A254="","",L254-K254)</f>
        <v/>
      </c>
    </row>
    <row r="255">
      <c r="A255" s="30" t="inlineStr"/>
      <c r="B255" s="38" t="inlineStr"/>
      <c r="C255" s="30" t="inlineStr"/>
      <c r="D255" s="30" t="inlineStr"/>
      <c r="E255" s="46" t="inlineStr"/>
      <c r="F255" s="30" t="inlineStr"/>
      <c r="G255" s="30" t="inlineStr"/>
      <c r="H255" s="30" t="inlineStr"/>
      <c r="I255" s="15">
        <f>IF(D255="","",IFERROR(VLOOKUP(D255,'04_Personal'!$A$4:$G$400,7,FALSE),0))</f>
        <v/>
      </c>
      <c r="J255" s="15">
        <f>IF(D255="","",IFERROR(VLOOKUP(D255,'04_Personal'!$A$4:$G$400,6,FALSE),VSSatz))</f>
        <v/>
      </c>
      <c r="K255" s="15">
        <f>IF(A255="","",E255*I255)</f>
        <v/>
      </c>
      <c r="L255" s="15">
        <f>IF(A255="","",IF(H255="JA",E255*J255,0))</f>
        <v/>
      </c>
      <c r="M255" s="15">
        <f>IF(A255="","",L255-K255)</f>
        <v/>
      </c>
    </row>
    <row r="256">
      <c r="A256" s="30" t="inlineStr"/>
      <c r="B256" s="38" t="inlineStr"/>
      <c r="C256" s="30" t="inlineStr"/>
      <c r="D256" s="30" t="inlineStr"/>
      <c r="E256" s="46" t="inlineStr"/>
      <c r="F256" s="30" t="inlineStr"/>
      <c r="G256" s="30" t="inlineStr"/>
      <c r="H256" s="30" t="inlineStr"/>
      <c r="I256" s="15">
        <f>IF(D256="","",IFERROR(VLOOKUP(D256,'04_Personal'!$A$4:$G$400,7,FALSE),0))</f>
        <v/>
      </c>
      <c r="J256" s="15">
        <f>IF(D256="","",IFERROR(VLOOKUP(D256,'04_Personal'!$A$4:$G$400,6,FALSE),VSSatz))</f>
        <v/>
      </c>
      <c r="K256" s="15">
        <f>IF(A256="","",E256*I256)</f>
        <v/>
      </c>
      <c r="L256" s="15">
        <f>IF(A256="","",IF(H256="JA",E256*J256,0))</f>
        <v/>
      </c>
      <c r="M256" s="15">
        <f>IF(A256="","",L256-K256)</f>
        <v/>
      </c>
    </row>
    <row r="257">
      <c r="A257" s="30" t="inlineStr"/>
      <c r="B257" s="38" t="inlineStr"/>
      <c r="C257" s="30" t="inlineStr"/>
      <c r="D257" s="30" t="inlineStr"/>
      <c r="E257" s="46" t="inlineStr"/>
      <c r="F257" s="30" t="inlineStr"/>
      <c r="G257" s="30" t="inlineStr"/>
      <c r="H257" s="30" t="inlineStr"/>
      <c r="I257" s="15">
        <f>IF(D257="","",IFERROR(VLOOKUP(D257,'04_Personal'!$A$4:$G$400,7,FALSE),0))</f>
        <v/>
      </c>
      <c r="J257" s="15">
        <f>IF(D257="","",IFERROR(VLOOKUP(D257,'04_Personal'!$A$4:$G$400,6,FALSE),VSSatz))</f>
        <v/>
      </c>
      <c r="K257" s="15">
        <f>IF(A257="","",E257*I257)</f>
        <v/>
      </c>
      <c r="L257" s="15">
        <f>IF(A257="","",IF(H257="JA",E257*J257,0))</f>
        <v/>
      </c>
      <c r="M257" s="15">
        <f>IF(A257="","",L257-K257)</f>
        <v/>
      </c>
    </row>
    <row r="258">
      <c r="A258" s="30" t="inlineStr"/>
      <c r="B258" s="38" t="inlineStr"/>
      <c r="C258" s="30" t="inlineStr"/>
      <c r="D258" s="30" t="inlineStr"/>
      <c r="E258" s="46" t="inlineStr"/>
      <c r="F258" s="30" t="inlineStr"/>
      <c r="G258" s="30" t="inlineStr"/>
      <c r="H258" s="30" t="inlineStr"/>
      <c r="I258" s="15">
        <f>IF(D258="","",IFERROR(VLOOKUP(D258,'04_Personal'!$A$4:$G$400,7,FALSE),0))</f>
        <v/>
      </c>
      <c r="J258" s="15">
        <f>IF(D258="","",IFERROR(VLOOKUP(D258,'04_Personal'!$A$4:$G$400,6,FALSE),VSSatz))</f>
        <v/>
      </c>
      <c r="K258" s="15">
        <f>IF(A258="","",E258*I258)</f>
        <v/>
      </c>
      <c r="L258" s="15">
        <f>IF(A258="","",IF(H258="JA",E258*J258,0))</f>
        <v/>
      </c>
      <c r="M258" s="15">
        <f>IF(A258="","",L258-K258)</f>
        <v/>
      </c>
    </row>
    <row r="259">
      <c r="A259" s="30" t="inlineStr"/>
      <c r="B259" s="38" t="inlineStr"/>
      <c r="C259" s="30" t="inlineStr"/>
      <c r="D259" s="30" t="inlineStr"/>
      <c r="E259" s="46" t="inlineStr"/>
      <c r="F259" s="30" t="inlineStr"/>
      <c r="G259" s="30" t="inlineStr"/>
      <c r="H259" s="30" t="inlineStr"/>
      <c r="I259" s="15">
        <f>IF(D259="","",IFERROR(VLOOKUP(D259,'04_Personal'!$A$4:$G$400,7,FALSE),0))</f>
        <v/>
      </c>
      <c r="J259" s="15">
        <f>IF(D259="","",IFERROR(VLOOKUP(D259,'04_Personal'!$A$4:$G$400,6,FALSE),VSSatz))</f>
        <v/>
      </c>
      <c r="K259" s="15">
        <f>IF(A259="","",E259*I259)</f>
        <v/>
      </c>
      <c r="L259" s="15">
        <f>IF(A259="","",IF(H259="JA",E259*J259,0))</f>
        <v/>
      </c>
      <c r="M259" s="15">
        <f>IF(A259="","",L259-K259)</f>
        <v/>
      </c>
    </row>
    <row r="260">
      <c r="A260" s="30" t="inlineStr"/>
      <c r="B260" s="38" t="inlineStr"/>
      <c r="C260" s="30" t="inlineStr"/>
      <c r="D260" s="30" t="inlineStr"/>
      <c r="E260" s="46" t="inlineStr"/>
      <c r="F260" s="30" t="inlineStr"/>
      <c r="G260" s="30" t="inlineStr"/>
      <c r="H260" s="30" t="inlineStr"/>
      <c r="I260" s="15">
        <f>IF(D260="","",IFERROR(VLOOKUP(D260,'04_Personal'!$A$4:$G$400,7,FALSE),0))</f>
        <v/>
      </c>
      <c r="J260" s="15">
        <f>IF(D260="","",IFERROR(VLOOKUP(D260,'04_Personal'!$A$4:$G$400,6,FALSE),VSSatz))</f>
        <v/>
      </c>
      <c r="K260" s="15">
        <f>IF(A260="","",E260*I260)</f>
        <v/>
      </c>
      <c r="L260" s="15">
        <f>IF(A260="","",IF(H260="JA",E260*J260,0))</f>
        <v/>
      </c>
      <c r="M260" s="15">
        <f>IF(A260="","",L260-K260)</f>
        <v/>
      </c>
    </row>
    <row r="261">
      <c r="A261" s="30" t="inlineStr"/>
      <c r="B261" s="38" t="inlineStr"/>
      <c r="C261" s="30" t="inlineStr"/>
      <c r="D261" s="30" t="inlineStr"/>
      <c r="E261" s="46" t="inlineStr"/>
      <c r="F261" s="30" t="inlineStr"/>
      <c r="G261" s="30" t="inlineStr"/>
      <c r="H261" s="30" t="inlineStr"/>
      <c r="I261" s="15">
        <f>IF(D261="","",IFERROR(VLOOKUP(D261,'04_Personal'!$A$4:$G$400,7,FALSE),0))</f>
        <v/>
      </c>
      <c r="J261" s="15">
        <f>IF(D261="","",IFERROR(VLOOKUP(D261,'04_Personal'!$A$4:$G$400,6,FALSE),VSSatz))</f>
        <v/>
      </c>
      <c r="K261" s="15">
        <f>IF(A261="","",E261*I261)</f>
        <v/>
      </c>
      <c r="L261" s="15">
        <f>IF(A261="","",IF(H261="JA",E261*J261,0))</f>
        <v/>
      </c>
      <c r="M261" s="15">
        <f>IF(A261="","",L261-K261)</f>
        <v/>
      </c>
    </row>
    <row r="262">
      <c r="A262" s="30" t="inlineStr"/>
      <c r="B262" s="38" t="inlineStr"/>
      <c r="C262" s="30" t="inlineStr"/>
      <c r="D262" s="30" t="inlineStr"/>
      <c r="E262" s="46" t="inlineStr"/>
      <c r="F262" s="30" t="inlineStr"/>
      <c r="G262" s="30" t="inlineStr"/>
      <c r="H262" s="30" t="inlineStr"/>
      <c r="I262" s="15">
        <f>IF(D262="","",IFERROR(VLOOKUP(D262,'04_Personal'!$A$4:$G$400,7,FALSE),0))</f>
        <v/>
      </c>
      <c r="J262" s="15">
        <f>IF(D262="","",IFERROR(VLOOKUP(D262,'04_Personal'!$A$4:$G$400,6,FALSE),VSSatz))</f>
        <v/>
      </c>
      <c r="K262" s="15">
        <f>IF(A262="","",E262*I262)</f>
        <v/>
      </c>
      <c r="L262" s="15">
        <f>IF(A262="","",IF(H262="JA",E262*J262,0))</f>
        <v/>
      </c>
      <c r="M262" s="15">
        <f>IF(A262="","",L262-K262)</f>
        <v/>
      </c>
    </row>
    <row r="263">
      <c r="A263" s="30" t="inlineStr"/>
      <c r="B263" s="38" t="inlineStr"/>
      <c r="C263" s="30" t="inlineStr"/>
      <c r="D263" s="30" t="inlineStr"/>
      <c r="E263" s="46" t="inlineStr"/>
      <c r="F263" s="30" t="inlineStr"/>
      <c r="G263" s="30" t="inlineStr"/>
      <c r="H263" s="30" t="inlineStr"/>
      <c r="I263" s="15">
        <f>IF(D263="","",IFERROR(VLOOKUP(D263,'04_Personal'!$A$4:$G$400,7,FALSE),0))</f>
        <v/>
      </c>
      <c r="J263" s="15">
        <f>IF(D263="","",IFERROR(VLOOKUP(D263,'04_Personal'!$A$4:$G$400,6,FALSE),VSSatz))</f>
        <v/>
      </c>
      <c r="K263" s="15">
        <f>IF(A263="","",E263*I263)</f>
        <v/>
      </c>
      <c r="L263" s="15">
        <f>IF(A263="","",IF(H263="JA",E263*J263,0))</f>
        <v/>
      </c>
      <c r="M263" s="15">
        <f>IF(A263="","",L263-K263)</f>
        <v/>
      </c>
    </row>
    <row r="264">
      <c r="A264" s="30" t="inlineStr"/>
      <c r="B264" s="38" t="inlineStr"/>
      <c r="C264" s="30" t="inlineStr"/>
      <c r="D264" s="30" t="inlineStr"/>
      <c r="E264" s="46" t="inlineStr"/>
      <c r="F264" s="30" t="inlineStr"/>
      <c r="G264" s="30" t="inlineStr"/>
      <c r="H264" s="30" t="inlineStr"/>
      <c r="I264" s="15">
        <f>IF(D264="","",IFERROR(VLOOKUP(D264,'04_Personal'!$A$4:$G$400,7,FALSE),0))</f>
        <v/>
      </c>
      <c r="J264" s="15">
        <f>IF(D264="","",IFERROR(VLOOKUP(D264,'04_Personal'!$A$4:$G$400,6,FALSE),VSSatz))</f>
        <v/>
      </c>
      <c r="K264" s="15">
        <f>IF(A264="","",E264*I264)</f>
        <v/>
      </c>
      <c r="L264" s="15">
        <f>IF(A264="","",IF(H264="JA",E264*J264,0))</f>
        <v/>
      </c>
      <c r="M264" s="15">
        <f>IF(A264="","",L264-K264)</f>
        <v/>
      </c>
    </row>
    <row r="265">
      <c r="A265" s="30" t="inlineStr"/>
      <c r="B265" s="38" t="inlineStr"/>
      <c r="C265" s="30" t="inlineStr"/>
      <c r="D265" s="30" t="inlineStr"/>
      <c r="E265" s="46" t="inlineStr"/>
      <c r="F265" s="30" t="inlineStr"/>
      <c r="G265" s="30" t="inlineStr"/>
      <c r="H265" s="30" t="inlineStr"/>
      <c r="I265" s="15">
        <f>IF(D265="","",IFERROR(VLOOKUP(D265,'04_Personal'!$A$4:$G$400,7,FALSE),0))</f>
        <v/>
      </c>
      <c r="J265" s="15">
        <f>IF(D265="","",IFERROR(VLOOKUP(D265,'04_Personal'!$A$4:$G$400,6,FALSE),VSSatz))</f>
        <v/>
      </c>
      <c r="K265" s="15">
        <f>IF(A265="","",E265*I265)</f>
        <v/>
      </c>
      <c r="L265" s="15">
        <f>IF(A265="","",IF(H265="JA",E265*J265,0))</f>
        <v/>
      </c>
      <c r="M265" s="15">
        <f>IF(A265="","",L265-K265)</f>
        <v/>
      </c>
    </row>
    <row r="266">
      <c r="A266" s="30" t="inlineStr"/>
      <c r="B266" s="38" t="inlineStr"/>
      <c r="C266" s="30" t="inlineStr"/>
      <c r="D266" s="30" t="inlineStr"/>
      <c r="E266" s="46" t="inlineStr"/>
      <c r="F266" s="30" t="inlineStr"/>
      <c r="G266" s="30" t="inlineStr"/>
      <c r="H266" s="30" t="inlineStr"/>
      <c r="I266" s="15">
        <f>IF(D266="","",IFERROR(VLOOKUP(D266,'04_Personal'!$A$4:$G$400,7,FALSE),0))</f>
        <v/>
      </c>
      <c r="J266" s="15">
        <f>IF(D266="","",IFERROR(VLOOKUP(D266,'04_Personal'!$A$4:$G$400,6,FALSE),VSSatz))</f>
        <v/>
      </c>
      <c r="K266" s="15">
        <f>IF(A266="","",E266*I266)</f>
        <v/>
      </c>
      <c r="L266" s="15">
        <f>IF(A266="","",IF(H266="JA",E266*J266,0))</f>
        <v/>
      </c>
      <c r="M266" s="15">
        <f>IF(A266="","",L266-K266)</f>
        <v/>
      </c>
    </row>
    <row r="267">
      <c r="A267" s="30" t="inlineStr"/>
      <c r="B267" s="38" t="inlineStr"/>
      <c r="C267" s="30" t="inlineStr"/>
      <c r="D267" s="30" t="inlineStr"/>
      <c r="E267" s="46" t="inlineStr"/>
      <c r="F267" s="30" t="inlineStr"/>
      <c r="G267" s="30" t="inlineStr"/>
      <c r="H267" s="30" t="inlineStr"/>
      <c r="I267" s="15">
        <f>IF(D267="","",IFERROR(VLOOKUP(D267,'04_Personal'!$A$4:$G$400,7,FALSE),0))</f>
        <v/>
      </c>
      <c r="J267" s="15">
        <f>IF(D267="","",IFERROR(VLOOKUP(D267,'04_Personal'!$A$4:$G$400,6,FALSE),VSSatz))</f>
        <v/>
      </c>
      <c r="K267" s="15">
        <f>IF(A267="","",E267*I267)</f>
        <v/>
      </c>
      <c r="L267" s="15">
        <f>IF(A267="","",IF(H267="JA",E267*J267,0))</f>
        <v/>
      </c>
      <c r="M267" s="15">
        <f>IF(A267="","",L267-K267)</f>
        <v/>
      </c>
    </row>
    <row r="268">
      <c r="A268" s="30" t="inlineStr"/>
      <c r="B268" s="38" t="inlineStr"/>
      <c r="C268" s="30" t="inlineStr"/>
      <c r="D268" s="30" t="inlineStr"/>
      <c r="E268" s="46" t="inlineStr"/>
      <c r="F268" s="30" t="inlineStr"/>
      <c r="G268" s="30" t="inlineStr"/>
      <c r="H268" s="30" t="inlineStr"/>
      <c r="I268" s="15">
        <f>IF(D268="","",IFERROR(VLOOKUP(D268,'04_Personal'!$A$4:$G$400,7,FALSE),0))</f>
        <v/>
      </c>
      <c r="J268" s="15">
        <f>IF(D268="","",IFERROR(VLOOKUP(D268,'04_Personal'!$A$4:$G$400,6,FALSE),VSSatz))</f>
        <v/>
      </c>
      <c r="K268" s="15">
        <f>IF(A268="","",E268*I268)</f>
        <v/>
      </c>
      <c r="L268" s="15">
        <f>IF(A268="","",IF(H268="JA",E268*J268,0))</f>
        <v/>
      </c>
      <c r="M268" s="15">
        <f>IF(A268="","",L268-K268)</f>
        <v/>
      </c>
    </row>
    <row r="269">
      <c r="A269" s="30" t="inlineStr"/>
      <c r="B269" s="38" t="inlineStr"/>
      <c r="C269" s="30" t="inlineStr"/>
      <c r="D269" s="30" t="inlineStr"/>
      <c r="E269" s="46" t="inlineStr"/>
      <c r="F269" s="30" t="inlineStr"/>
      <c r="G269" s="30" t="inlineStr"/>
      <c r="H269" s="30" t="inlineStr"/>
      <c r="I269" s="15">
        <f>IF(D269="","",IFERROR(VLOOKUP(D269,'04_Personal'!$A$4:$G$400,7,FALSE),0))</f>
        <v/>
      </c>
      <c r="J269" s="15">
        <f>IF(D269="","",IFERROR(VLOOKUP(D269,'04_Personal'!$A$4:$G$400,6,FALSE),VSSatz))</f>
        <v/>
      </c>
      <c r="K269" s="15">
        <f>IF(A269="","",E269*I269)</f>
        <v/>
      </c>
      <c r="L269" s="15">
        <f>IF(A269="","",IF(H269="JA",E269*J269,0))</f>
        <v/>
      </c>
      <c r="M269" s="15">
        <f>IF(A269="","",L269-K269)</f>
        <v/>
      </c>
    </row>
    <row r="270">
      <c r="A270" s="30" t="inlineStr"/>
      <c r="B270" s="38" t="inlineStr"/>
      <c r="C270" s="30" t="inlineStr"/>
      <c r="D270" s="30" t="inlineStr"/>
      <c r="E270" s="46" t="inlineStr"/>
      <c r="F270" s="30" t="inlineStr"/>
      <c r="G270" s="30" t="inlineStr"/>
      <c r="H270" s="30" t="inlineStr"/>
      <c r="I270" s="15">
        <f>IF(D270="","",IFERROR(VLOOKUP(D270,'04_Personal'!$A$4:$G$400,7,FALSE),0))</f>
        <v/>
      </c>
      <c r="J270" s="15">
        <f>IF(D270="","",IFERROR(VLOOKUP(D270,'04_Personal'!$A$4:$G$400,6,FALSE),VSSatz))</f>
        <v/>
      </c>
      <c r="K270" s="15">
        <f>IF(A270="","",E270*I270)</f>
        <v/>
      </c>
      <c r="L270" s="15">
        <f>IF(A270="","",IF(H270="JA",E270*J270,0))</f>
        <v/>
      </c>
      <c r="M270" s="15">
        <f>IF(A270="","",L270-K270)</f>
        <v/>
      </c>
    </row>
    <row r="271">
      <c r="A271" s="30" t="inlineStr"/>
      <c r="B271" s="38" t="inlineStr"/>
      <c r="C271" s="30" t="inlineStr"/>
      <c r="D271" s="30" t="inlineStr"/>
      <c r="E271" s="46" t="inlineStr"/>
      <c r="F271" s="30" t="inlineStr"/>
      <c r="G271" s="30" t="inlineStr"/>
      <c r="H271" s="30" t="inlineStr"/>
      <c r="I271" s="15">
        <f>IF(D271="","",IFERROR(VLOOKUP(D271,'04_Personal'!$A$4:$G$400,7,FALSE),0))</f>
        <v/>
      </c>
      <c r="J271" s="15">
        <f>IF(D271="","",IFERROR(VLOOKUP(D271,'04_Personal'!$A$4:$G$400,6,FALSE),VSSatz))</f>
        <v/>
      </c>
      <c r="K271" s="15">
        <f>IF(A271="","",E271*I271)</f>
        <v/>
      </c>
      <c r="L271" s="15">
        <f>IF(A271="","",IF(H271="JA",E271*J271,0))</f>
        <v/>
      </c>
      <c r="M271" s="15">
        <f>IF(A271="","",L271-K271)</f>
        <v/>
      </c>
    </row>
    <row r="272">
      <c r="A272" s="30" t="inlineStr"/>
      <c r="B272" s="38" t="inlineStr"/>
      <c r="C272" s="30" t="inlineStr"/>
      <c r="D272" s="30" t="inlineStr"/>
      <c r="E272" s="46" t="inlineStr"/>
      <c r="F272" s="30" t="inlineStr"/>
      <c r="G272" s="30" t="inlineStr"/>
      <c r="H272" s="30" t="inlineStr"/>
      <c r="I272" s="15">
        <f>IF(D272="","",IFERROR(VLOOKUP(D272,'04_Personal'!$A$4:$G$400,7,FALSE),0))</f>
        <v/>
      </c>
      <c r="J272" s="15">
        <f>IF(D272="","",IFERROR(VLOOKUP(D272,'04_Personal'!$A$4:$G$400,6,FALSE),VSSatz))</f>
        <v/>
      </c>
      <c r="K272" s="15">
        <f>IF(A272="","",E272*I272)</f>
        <v/>
      </c>
      <c r="L272" s="15">
        <f>IF(A272="","",IF(H272="JA",E272*J272,0))</f>
        <v/>
      </c>
      <c r="M272" s="15">
        <f>IF(A272="","",L272-K272)</f>
        <v/>
      </c>
    </row>
    <row r="273">
      <c r="A273" s="30" t="inlineStr"/>
      <c r="B273" s="38" t="inlineStr"/>
      <c r="C273" s="30" t="inlineStr"/>
      <c r="D273" s="30" t="inlineStr"/>
      <c r="E273" s="46" t="inlineStr"/>
      <c r="F273" s="30" t="inlineStr"/>
      <c r="G273" s="30" t="inlineStr"/>
      <c r="H273" s="30" t="inlineStr"/>
      <c r="I273" s="15">
        <f>IF(D273="","",IFERROR(VLOOKUP(D273,'04_Personal'!$A$4:$G$400,7,FALSE),0))</f>
        <v/>
      </c>
      <c r="J273" s="15">
        <f>IF(D273="","",IFERROR(VLOOKUP(D273,'04_Personal'!$A$4:$G$400,6,FALSE),VSSatz))</f>
        <v/>
      </c>
      <c r="K273" s="15">
        <f>IF(A273="","",E273*I273)</f>
        <v/>
      </c>
      <c r="L273" s="15">
        <f>IF(A273="","",IF(H273="JA",E273*J273,0))</f>
        <v/>
      </c>
      <c r="M273" s="15">
        <f>IF(A273="","",L273-K273)</f>
        <v/>
      </c>
    </row>
    <row r="274">
      <c r="A274" s="30" t="inlineStr"/>
      <c r="B274" s="38" t="inlineStr"/>
      <c r="C274" s="30" t="inlineStr"/>
      <c r="D274" s="30" t="inlineStr"/>
      <c r="E274" s="46" t="inlineStr"/>
      <c r="F274" s="30" t="inlineStr"/>
      <c r="G274" s="30" t="inlineStr"/>
      <c r="H274" s="30" t="inlineStr"/>
      <c r="I274" s="15">
        <f>IF(D274="","",IFERROR(VLOOKUP(D274,'04_Personal'!$A$4:$G$400,7,FALSE),0))</f>
        <v/>
      </c>
      <c r="J274" s="15">
        <f>IF(D274="","",IFERROR(VLOOKUP(D274,'04_Personal'!$A$4:$G$400,6,FALSE),VSSatz))</f>
        <v/>
      </c>
      <c r="K274" s="15">
        <f>IF(A274="","",E274*I274)</f>
        <v/>
      </c>
      <c r="L274" s="15">
        <f>IF(A274="","",IF(H274="JA",E274*J274,0))</f>
        <v/>
      </c>
      <c r="M274" s="15">
        <f>IF(A274="","",L274-K274)</f>
        <v/>
      </c>
    </row>
    <row r="275">
      <c r="A275" s="30" t="inlineStr"/>
      <c r="B275" s="38" t="inlineStr"/>
      <c r="C275" s="30" t="inlineStr"/>
      <c r="D275" s="30" t="inlineStr"/>
      <c r="E275" s="46" t="inlineStr"/>
      <c r="F275" s="30" t="inlineStr"/>
      <c r="G275" s="30" t="inlineStr"/>
      <c r="H275" s="30" t="inlineStr"/>
      <c r="I275" s="15">
        <f>IF(D275="","",IFERROR(VLOOKUP(D275,'04_Personal'!$A$4:$G$400,7,FALSE),0))</f>
        <v/>
      </c>
      <c r="J275" s="15">
        <f>IF(D275="","",IFERROR(VLOOKUP(D275,'04_Personal'!$A$4:$G$400,6,FALSE),VSSatz))</f>
        <v/>
      </c>
      <c r="K275" s="15">
        <f>IF(A275="","",E275*I275)</f>
        <v/>
      </c>
      <c r="L275" s="15">
        <f>IF(A275="","",IF(H275="JA",E275*J275,0))</f>
        <v/>
      </c>
      <c r="M275" s="15">
        <f>IF(A275="","",L275-K275)</f>
        <v/>
      </c>
    </row>
    <row r="276">
      <c r="A276" s="30" t="inlineStr"/>
      <c r="B276" s="38" t="inlineStr"/>
      <c r="C276" s="30" t="inlineStr"/>
      <c r="D276" s="30" t="inlineStr"/>
      <c r="E276" s="46" t="inlineStr"/>
      <c r="F276" s="30" t="inlineStr"/>
      <c r="G276" s="30" t="inlineStr"/>
      <c r="H276" s="30" t="inlineStr"/>
      <c r="I276" s="15">
        <f>IF(D276="","",IFERROR(VLOOKUP(D276,'04_Personal'!$A$4:$G$400,7,FALSE),0))</f>
        <v/>
      </c>
      <c r="J276" s="15">
        <f>IF(D276="","",IFERROR(VLOOKUP(D276,'04_Personal'!$A$4:$G$400,6,FALSE),VSSatz))</f>
        <v/>
      </c>
      <c r="K276" s="15">
        <f>IF(A276="","",E276*I276)</f>
        <v/>
      </c>
      <c r="L276" s="15">
        <f>IF(A276="","",IF(H276="JA",E276*J276,0))</f>
        <v/>
      </c>
      <c r="M276" s="15">
        <f>IF(A276="","",L276-K276)</f>
        <v/>
      </c>
    </row>
    <row r="277">
      <c r="A277" s="30" t="inlineStr"/>
      <c r="B277" s="38" t="inlineStr"/>
      <c r="C277" s="30" t="inlineStr"/>
      <c r="D277" s="30" t="inlineStr"/>
      <c r="E277" s="46" t="inlineStr"/>
      <c r="F277" s="30" t="inlineStr"/>
      <c r="G277" s="30" t="inlineStr"/>
      <c r="H277" s="30" t="inlineStr"/>
      <c r="I277" s="15">
        <f>IF(D277="","",IFERROR(VLOOKUP(D277,'04_Personal'!$A$4:$G$400,7,FALSE),0))</f>
        <v/>
      </c>
      <c r="J277" s="15">
        <f>IF(D277="","",IFERROR(VLOOKUP(D277,'04_Personal'!$A$4:$G$400,6,FALSE),VSSatz))</f>
        <v/>
      </c>
      <c r="K277" s="15">
        <f>IF(A277="","",E277*I277)</f>
        <v/>
      </c>
      <c r="L277" s="15">
        <f>IF(A277="","",IF(H277="JA",E277*J277,0))</f>
        <v/>
      </c>
      <c r="M277" s="15">
        <f>IF(A277="","",L277-K277)</f>
        <v/>
      </c>
    </row>
    <row r="278">
      <c r="A278" s="30" t="inlineStr"/>
      <c r="B278" s="38" t="inlineStr"/>
      <c r="C278" s="30" t="inlineStr"/>
      <c r="D278" s="30" t="inlineStr"/>
      <c r="E278" s="46" t="inlineStr"/>
      <c r="F278" s="30" t="inlineStr"/>
      <c r="G278" s="30" t="inlineStr"/>
      <c r="H278" s="30" t="inlineStr"/>
      <c r="I278" s="15">
        <f>IF(D278="","",IFERROR(VLOOKUP(D278,'04_Personal'!$A$4:$G$400,7,FALSE),0))</f>
        <v/>
      </c>
      <c r="J278" s="15">
        <f>IF(D278="","",IFERROR(VLOOKUP(D278,'04_Personal'!$A$4:$G$400,6,FALSE),VSSatz))</f>
        <v/>
      </c>
      <c r="K278" s="15">
        <f>IF(A278="","",E278*I278)</f>
        <v/>
      </c>
      <c r="L278" s="15">
        <f>IF(A278="","",IF(H278="JA",E278*J278,0))</f>
        <v/>
      </c>
      <c r="M278" s="15">
        <f>IF(A278="","",L278-K278)</f>
        <v/>
      </c>
    </row>
    <row r="279">
      <c r="A279" s="30" t="inlineStr"/>
      <c r="B279" s="38" t="inlineStr"/>
      <c r="C279" s="30" t="inlineStr"/>
      <c r="D279" s="30" t="inlineStr"/>
      <c r="E279" s="46" t="inlineStr"/>
      <c r="F279" s="30" t="inlineStr"/>
      <c r="G279" s="30" t="inlineStr"/>
      <c r="H279" s="30" t="inlineStr"/>
      <c r="I279" s="15">
        <f>IF(D279="","",IFERROR(VLOOKUP(D279,'04_Personal'!$A$4:$G$400,7,FALSE),0))</f>
        <v/>
      </c>
      <c r="J279" s="15">
        <f>IF(D279="","",IFERROR(VLOOKUP(D279,'04_Personal'!$A$4:$G$400,6,FALSE),VSSatz))</f>
        <v/>
      </c>
      <c r="K279" s="15">
        <f>IF(A279="","",E279*I279)</f>
        <v/>
      </c>
      <c r="L279" s="15">
        <f>IF(A279="","",IF(H279="JA",E279*J279,0))</f>
        <v/>
      </c>
      <c r="M279" s="15">
        <f>IF(A279="","",L279-K279)</f>
        <v/>
      </c>
    </row>
    <row r="280">
      <c r="A280" s="30" t="inlineStr"/>
      <c r="B280" s="38" t="inlineStr"/>
      <c r="C280" s="30" t="inlineStr"/>
      <c r="D280" s="30" t="inlineStr"/>
      <c r="E280" s="46" t="inlineStr"/>
      <c r="F280" s="30" t="inlineStr"/>
      <c r="G280" s="30" t="inlineStr"/>
      <c r="H280" s="30" t="inlineStr"/>
      <c r="I280" s="15">
        <f>IF(D280="","",IFERROR(VLOOKUP(D280,'04_Personal'!$A$4:$G$400,7,FALSE),0))</f>
        <v/>
      </c>
      <c r="J280" s="15">
        <f>IF(D280="","",IFERROR(VLOOKUP(D280,'04_Personal'!$A$4:$G$400,6,FALSE),VSSatz))</f>
        <v/>
      </c>
      <c r="K280" s="15">
        <f>IF(A280="","",E280*I280)</f>
        <v/>
      </c>
      <c r="L280" s="15">
        <f>IF(A280="","",IF(H280="JA",E280*J280,0))</f>
        <v/>
      </c>
      <c r="M280" s="15">
        <f>IF(A280="","",L280-K280)</f>
        <v/>
      </c>
    </row>
    <row r="281">
      <c r="A281" s="30" t="inlineStr"/>
      <c r="B281" s="38" t="inlineStr"/>
      <c r="C281" s="30" t="inlineStr"/>
      <c r="D281" s="30" t="inlineStr"/>
      <c r="E281" s="46" t="inlineStr"/>
      <c r="F281" s="30" t="inlineStr"/>
      <c r="G281" s="30" t="inlineStr"/>
      <c r="H281" s="30" t="inlineStr"/>
      <c r="I281" s="15">
        <f>IF(D281="","",IFERROR(VLOOKUP(D281,'04_Personal'!$A$4:$G$400,7,FALSE),0))</f>
        <v/>
      </c>
      <c r="J281" s="15">
        <f>IF(D281="","",IFERROR(VLOOKUP(D281,'04_Personal'!$A$4:$G$400,6,FALSE),VSSatz))</f>
        <v/>
      </c>
      <c r="K281" s="15">
        <f>IF(A281="","",E281*I281)</f>
        <v/>
      </c>
      <c r="L281" s="15">
        <f>IF(A281="","",IF(H281="JA",E281*J281,0))</f>
        <v/>
      </c>
      <c r="M281" s="15">
        <f>IF(A281="","",L281-K281)</f>
        <v/>
      </c>
    </row>
    <row r="282">
      <c r="A282" s="30" t="inlineStr"/>
      <c r="B282" s="38" t="inlineStr"/>
      <c r="C282" s="30" t="inlineStr"/>
      <c r="D282" s="30" t="inlineStr"/>
      <c r="E282" s="46" t="inlineStr"/>
      <c r="F282" s="30" t="inlineStr"/>
      <c r="G282" s="30" t="inlineStr"/>
      <c r="H282" s="30" t="inlineStr"/>
      <c r="I282" s="15">
        <f>IF(D282="","",IFERROR(VLOOKUP(D282,'04_Personal'!$A$4:$G$400,7,FALSE),0))</f>
        <v/>
      </c>
      <c r="J282" s="15">
        <f>IF(D282="","",IFERROR(VLOOKUP(D282,'04_Personal'!$A$4:$G$400,6,FALSE),VSSatz))</f>
        <v/>
      </c>
      <c r="K282" s="15">
        <f>IF(A282="","",E282*I282)</f>
        <v/>
      </c>
      <c r="L282" s="15">
        <f>IF(A282="","",IF(H282="JA",E282*J282,0))</f>
        <v/>
      </c>
      <c r="M282" s="15">
        <f>IF(A282="","",L282-K282)</f>
        <v/>
      </c>
    </row>
    <row r="283">
      <c r="A283" s="30" t="inlineStr"/>
      <c r="B283" s="38" t="inlineStr"/>
      <c r="C283" s="30" t="inlineStr"/>
      <c r="D283" s="30" t="inlineStr"/>
      <c r="E283" s="46" t="inlineStr"/>
      <c r="F283" s="30" t="inlineStr"/>
      <c r="G283" s="30" t="inlineStr"/>
      <c r="H283" s="30" t="inlineStr"/>
      <c r="I283" s="15">
        <f>IF(D283="","",IFERROR(VLOOKUP(D283,'04_Personal'!$A$4:$G$400,7,FALSE),0))</f>
        <v/>
      </c>
      <c r="J283" s="15">
        <f>IF(D283="","",IFERROR(VLOOKUP(D283,'04_Personal'!$A$4:$G$400,6,FALSE),VSSatz))</f>
        <v/>
      </c>
      <c r="K283" s="15">
        <f>IF(A283="","",E283*I283)</f>
        <v/>
      </c>
      <c r="L283" s="15">
        <f>IF(A283="","",IF(H283="JA",E283*J283,0))</f>
        <v/>
      </c>
      <c r="M283" s="15">
        <f>IF(A283="","",L283-K283)</f>
        <v/>
      </c>
    </row>
    <row r="284">
      <c r="A284" s="30" t="inlineStr"/>
      <c r="B284" s="38" t="inlineStr"/>
      <c r="C284" s="30" t="inlineStr"/>
      <c r="D284" s="30" t="inlineStr"/>
      <c r="E284" s="46" t="inlineStr"/>
      <c r="F284" s="30" t="inlineStr"/>
      <c r="G284" s="30" t="inlineStr"/>
      <c r="H284" s="30" t="inlineStr"/>
      <c r="I284" s="15">
        <f>IF(D284="","",IFERROR(VLOOKUP(D284,'04_Personal'!$A$4:$G$400,7,FALSE),0))</f>
        <v/>
      </c>
      <c r="J284" s="15">
        <f>IF(D284="","",IFERROR(VLOOKUP(D284,'04_Personal'!$A$4:$G$400,6,FALSE),VSSatz))</f>
        <v/>
      </c>
      <c r="K284" s="15">
        <f>IF(A284="","",E284*I284)</f>
        <v/>
      </c>
      <c r="L284" s="15">
        <f>IF(A284="","",IF(H284="JA",E284*J284,0))</f>
        <v/>
      </c>
      <c r="M284" s="15">
        <f>IF(A284="","",L284-K284)</f>
        <v/>
      </c>
    </row>
    <row r="285">
      <c r="A285" s="30" t="inlineStr"/>
      <c r="B285" s="38" t="inlineStr"/>
      <c r="C285" s="30" t="inlineStr"/>
      <c r="D285" s="30" t="inlineStr"/>
      <c r="E285" s="46" t="inlineStr"/>
      <c r="F285" s="30" t="inlineStr"/>
      <c r="G285" s="30" t="inlineStr"/>
      <c r="H285" s="30" t="inlineStr"/>
      <c r="I285" s="15">
        <f>IF(D285="","",IFERROR(VLOOKUP(D285,'04_Personal'!$A$4:$G$400,7,FALSE),0))</f>
        <v/>
      </c>
      <c r="J285" s="15">
        <f>IF(D285="","",IFERROR(VLOOKUP(D285,'04_Personal'!$A$4:$G$400,6,FALSE),VSSatz))</f>
        <v/>
      </c>
      <c r="K285" s="15">
        <f>IF(A285="","",E285*I285)</f>
        <v/>
      </c>
      <c r="L285" s="15">
        <f>IF(A285="","",IF(H285="JA",E285*J285,0))</f>
        <v/>
      </c>
      <c r="M285" s="15">
        <f>IF(A285="","",L285-K285)</f>
        <v/>
      </c>
    </row>
    <row r="286">
      <c r="A286" s="30" t="inlineStr"/>
      <c r="B286" s="38" t="inlineStr"/>
      <c r="C286" s="30" t="inlineStr"/>
      <c r="D286" s="30" t="inlineStr"/>
      <c r="E286" s="46" t="inlineStr"/>
      <c r="F286" s="30" t="inlineStr"/>
      <c r="G286" s="30" t="inlineStr"/>
      <c r="H286" s="30" t="inlineStr"/>
      <c r="I286" s="15">
        <f>IF(D286="","",IFERROR(VLOOKUP(D286,'04_Personal'!$A$4:$G$400,7,FALSE),0))</f>
        <v/>
      </c>
      <c r="J286" s="15">
        <f>IF(D286="","",IFERROR(VLOOKUP(D286,'04_Personal'!$A$4:$G$400,6,FALSE),VSSatz))</f>
        <v/>
      </c>
      <c r="K286" s="15">
        <f>IF(A286="","",E286*I286)</f>
        <v/>
      </c>
      <c r="L286" s="15">
        <f>IF(A286="","",IF(H286="JA",E286*J286,0))</f>
        <v/>
      </c>
      <c r="M286" s="15">
        <f>IF(A286="","",L286-K286)</f>
        <v/>
      </c>
    </row>
    <row r="287">
      <c r="A287" s="30" t="inlineStr"/>
      <c r="B287" s="38" t="inlineStr"/>
      <c r="C287" s="30" t="inlineStr"/>
      <c r="D287" s="30" t="inlineStr"/>
      <c r="E287" s="46" t="inlineStr"/>
      <c r="F287" s="30" t="inlineStr"/>
      <c r="G287" s="30" t="inlineStr"/>
      <c r="H287" s="30" t="inlineStr"/>
      <c r="I287" s="15">
        <f>IF(D287="","",IFERROR(VLOOKUP(D287,'04_Personal'!$A$4:$G$400,7,FALSE),0))</f>
        <v/>
      </c>
      <c r="J287" s="15">
        <f>IF(D287="","",IFERROR(VLOOKUP(D287,'04_Personal'!$A$4:$G$400,6,FALSE),VSSatz))</f>
        <v/>
      </c>
      <c r="K287" s="15">
        <f>IF(A287="","",E287*I287)</f>
        <v/>
      </c>
      <c r="L287" s="15">
        <f>IF(A287="","",IF(H287="JA",E287*J287,0))</f>
        <v/>
      </c>
      <c r="M287" s="15">
        <f>IF(A287="","",L287-K287)</f>
        <v/>
      </c>
    </row>
    <row r="288">
      <c r="A288" s="30" t="inlineStr"/>
      <c r="B288" s="38" t="inlineStr"/>
      <c r="C288" s="30" t="inlineStr"/>
      <c r="D288" s="30" t="inlineStr"/>
      <c r="E288" s="46" t="inlineStr"/>
      <c r="F288" s="30" t="inlineStr"/>
      <c r="G288" s="30" t="inlineStr"/>
      <c r="H288" s="30" t="inlineStr"/>
      <c r="I288" s="15">
        <f>IF(D288="","",IFERROR(VLOOKUP(D288,'04_Personal'!$A$4:$G$400,7,FALSE),0))</f>
        <v/>
      </c>
      <c r="J288" s="15">
        <f>IF(D288="","",IFERROR(VLOOKUP(D288,'04_Personal'!$A$4:$G$400,6,FALSE),VSSatz))</f>
        <v/>
      </c>
      <c r="K288" s="15">
        <f>IF(A288="","",E288*I288)</f>
        <v/>
      </c>
      <c r="L288" s="15">
        <f>IF(A288="","",IF(H288="JA",E288*J288,0))</f>
        <v/>
      </c>
      <c r="M288" s="15">
        <f>IF(A288="","",L288-K288)</f>
        <v/>
      </c>
    </row>
    <row r="289">
      <c r="A289" s="30" t="inlineStr"/>
      <c r="B289" s="38" t="inlineStr"/>
      <c r="C289" s="30" t="inlineStr"/>
      <c r="D289" s="30" t="inlineStr"/>
      <c r="E289" s="46" t="inlineStr"/>
      <c r="F289" s="30" t="inlineStr"/>
      <c r="G289" s="30" t="inlineStr"/>
      <c r="H289" s="30" t="inlineStr"/>
      <c r="I289" s="15">
        <f>IF(D289="","",IFERROR(VLOOKUP(D289,'04_Personal'!$A$4:$G$400,7,FALSE),0))</f>
        <v/>
      </c>
      <c r="J289" s="15">
        <f>IF(D289="","",IFERROR(VLOOKUP(D289,'04_Personal'!$A$4:$G$400,6,FALSE),VSSatz))</f>
        <v/>
      </c>
      <c r="K289" s="15">
        <f>IF(A289="","",E289*I289)</f>
        <v/>
      </c>
      <c r="L289" s="15">
        <f>IF(A289="","",IF(H289="JA",E289*J289,0))</f>
        <v/>
      </c>
      <c r="M289" s="15">
        <f>IF(A289="","",L289-K289)</f>
        <v/>
      </c>
    </row>
    <row r="290">
      <c r="A290" s="30" t="inlineStr"/>
      <c r="B290" s="38" t="inlineStr"/>
      <c r="C290" s="30" t="inlineStr"/>
      <c r="D290" s="30" t="inlineStr"/>
      <c r="E290" s="46" t="inlineStr"/>
      <c r="F290" s="30" t="inlineStr"/>
      <c r="G290" s="30" t="inlineStr"/>
      <c r="H290" s="30" t="inlineStr"/>
      <c r="I290" s="15">
        <f>IF(D290="","",IFERROR(VLOOKUP(D290,'04_Personal'!$A$4:$G$400,7,FALSE),0))</f>
        <v/>
      </c>
      <c r="J290" s="15">
        <f>IF(D290="","",IFERROR(VLOOKUP(D290,'04_Personal'!$A$4:$G$400,6,FALSE),VSSatz))</f>
        <v/>
      </c>
      <c r="K290" s="15">
        <f>IF(A290="","",E290*I290)</f>
        <v/>
      </c>
      <c r="L290" s="15">
        <f>IF(A290="","",IF(H290="JA",E290*J290,0))</f>
        <v/>
      </c>
      <c r="M290" s="15">
        <f>IF(A290="","",L290-K290)</f>
        <v/>
      </c>
    </row>
    <row r="291">
      <c r="A291" s="30" t="inlineStr"/>
      <c r="B291" s="38" t="inlineStr"/>
      <c r="C291" s="30" t="inlineStr"/>
      <c r="D291" s="30" t="inlineStr"/>
      <c r="E291" s="46" t="inlineStr"/>
      <c r="F291" s="30" t="inlineStr"/>
      <c r="G291" s="30" t="inlineStr"/>
      <c r="H291" s="30" t="inlineStr"/>
      <c r="I291" s="15">
        <f>IF(D291="","",IFERROR(VLOOKUP(D291,'04_Personal'!$A$4:$G$400,7,FALSE),0))</f>
        <v/>
      </c>
      <c r="J291" s="15">
        <f>IF(D291="","",IFERROR(VLOOKUP(D291,'04_Personal'!$A$4:$G$400,6,FALSE),VSSatz))</f>
        <v/>
      </c>
      <c r="K291" s="15">
        <f>IF(A291="","",E291*I291)</f>
        <v/>
      </c>
      <c r="L291" s="15">
        <f>IF(A291="","",IF(H291="JA",E291*J291,0))</f>
        <v/>
      </c>
      <c r="M291" s="15">
        <f>IF(A291="","",L291-K291)</f>
        <v/>
      </c>
    </row>
    <row r="292">
      <c r="A292" s="30" t="inlineStr"/>
      <c r="B292" s="38" t="inlineStr"/>
      <c r="C292" s="30" t="inlineStr"/>
      <c r="D292" s="30" t="inlineStr"/>
      <c r="E292" s="46" t="inlineStr"/>
      <c r="F292" s="30" t="inlineStr"/>
      <c r="G292" s="30" t="inlineStr"/>
      <c r="H292" s="30" t="inlineStr"/>
      <c r="I292" s="15">
        <f>IF(D292="","",IFERROR(VLOOKUP(D292,'04_Personal'!$A$4:$G$400,7,FALSE),0))</f>
        <v/>
      </c>
      <c r="J292" s="15">
        <f>IF(D292="","",IFERROR(VLOOKUP(D292,'04_Personal'!$A$4:$G$400,6,FALSE),VSSatz))</f>
        <v/>
      </c>
      <c r="K292" s="15">
        <f>IF(A292="","",E292*I292)</f>
        <v/>
      </c>
      <c r="L292" s="15">
        <f>IF(A292="","",IF(H292="JA",E292*J292,0))</f>
        <v/>
      </c>
      <c r="M292" s="15">
        <f>IF(A292="","",L292-K292)</f>
        <v/>
      </c>
    </row>
    <row r="293">
      <c r="A293" s="30" t="inlineStr"/>
      <c r="B293" s="38" t="inlineStr"/>
      <c r="C293" s="30" t="inlineStr"/>
      <c r="D293" s="30" t="inlineStr"/>
      <c r="E293" s="46" t="inlineStr"/>
      <c r="F293" s="30" t="inlineStr"/>
      <c r="G293" s="30" t="inlineStr"/>
      <c r="H293" s="30" t="inlineStr"/>
      <c r="I293" s="15">
        <f>IF(D293="","",IFERROR(VLOOKUP(D293,'04_Personal'!$A$4:$G$400,7,FALSE),0))</f>
        <v/>
      </c>
      <c r="J293" s="15">
        <f>IF(D293="","",IFERROR(VLOOKUP(D293,'04_Personal'!$A$4:$G$400,6,FALSE),VSSatz))</f>
        <v/>
      </c>
      <c r="K293" s="15">
        <f>IF(A293="","",E293*I293)</f>
        <v/>
      </c>
      <c r="L293" s="15">
        <f>IF(A293="","",IF(H293="JA",E293*J293,0))</f>
        <v/>
      </c>
      <c r="M293" s="15">
        <f>IF(A293="","",L293-K293)</f>
        <v/>
      </c>
    </row>
    <row r="294">
      <c r="A294" s="30" t="inlineStr"/>
      <c r="B294" s="38" t="inlineStr"/>
      <c r="C294" s="30" t="inlineStr"/>
      <c r="D294" s="30" t="inlineStr"/>
      <c r="E294" s="46" t="inlineStr"/>
      <c r="F294" s="30" t="inlineStr"/>
      <c r="G294" s="30" t="inlineStr"/>
      <c r="H294" s="30" t="inlineStr"/>
      <c r="I294" s="15">
        <f>IF(D294="","",IFERROR(VLOOKUP(D294,'04_Personal'!$A$4:$G$400,7,FALSE),0))</f>
        <v/>
      </c>
      <c r="J294" s="15">
        <f>IF(D294="","",IFERROR(VLOOKUP(D294,'04_Personal'!$A$4:$G$400,6,FALSE),VSSatz))</f>
        <v/>
      </c>
      <c r="K294" s="15">
        <f>IF(A294="","",E294*I294)</f>
        <v/>
      </c>
      <c r="L294" s="15">
        <f>IF(A294="","",IF(H294="JA",E294*J294,0))</f>
        <v/>
      </c>
      <c r="M294" s="15">
        <f>IF(A294="","",L294-K294)</f>
        <v/>
      </c>
    </row>
    <row r="295">
      <c r="A295" s="30" t="inlineStr"/>
      <c r="B295" s="38" t="inlineStr"/>
      <c r="C295" s="30" t="inlineStr"/>
      <c r="D295" s="30" t="inlineStr"/>
      <c r="E295" s="46" t="inlineStr"/>
      <c r="F295" s="30" t="inlineStr"/>
      <c r="G295" s="30" t="inlineStr"/>
      <c r="H295" s="30" t="inlineStr"/>
      <c r="I295" s="15">
        <f>IF(D295="","",IFERROR(VLOOKUP(D295,'04_Personal'!$A$4:$G$400,7,FALSE),0))</f>
        <v/>
      </c>
      <c r="J295" s="15">
        <f>IF(D295="","",IFERROR(VLOOKUP(D295,'04_Personal'!$A$4:$G$400,6,FALSE),VSSatz))</f>
        <v/>
      </c>
      <c r="K295" s="15">
        <f>IF(A295="","",E295*I295)</f>
        <v/>
      </c>
      <c r="L295" s="15">
        <f>IF(A295="","",IF(H295="JA",E295*J295,0))</f>
        <v/>
      </c>
      <c r="M295" s="15">
        <f>IF(A295="","",L295-K295)</f>
        <v/>
      </c>
    </row>
    <row r="296">
      <c r="A296" s="30" t="inlineStr"/>
      <c r="B296" s="38" t="inlineStr"/>
      <c r="C296" s="30" t="inlineStr"/>
      <c r="D296" s="30" t="inlineStr"/>
      <c r="E296" s="46" t="inlineStr"/>
      <c r="F296" s="30" t="inlineStr"/>
      <c r="G296" s="30" t="inlineStr"/>
      <c r="H296" s="30" t="inlineStr"/>
      <c r="I296" s="15">
        <f>IF(D296="","",IFERROR(VLOOKUP(D296,'04_Personal'!$A$4:$G$400,7,FALSE),0))</f>
        <v/>
      </c>
      <c r="J296" s="15">
        <f>IF(D296="","",IFERROR(VLOOKUP(D296,'04_Personal'!$A$4:$G$400,6,FALSE),VSSatz))</f>
        <v/>
      </c>
      <c r="K296" s="15">
        <f>IF(A296="","",E296*I296)</f>
        <v/>
      </c>
      <c r="L296" s="15">
        <f>IF(A296="","",IF(H296="JA",E296*J296,0))</f>
        <v/>
      </c>
      <c r="M296" s="15">
        <f>IF(A296="","",L296-K296)</f>
        <v/>
      </c>
    </row>
    <row r="297">
      <c r="A297" s="30" t="inlineStr"/>
      <c r="B297" s="38" t="inlineStr"/>
      <c r="C297" s="30" t="inlineStr"/>
      <c r="D297" s="30" t="inlineStr"/>
      <c r="E297" s="46" t="inlineStr"/>
      <c r="F297" s="30" t="inlineStr"/>
      <c r="G297" s="30" t="inlineStr"/>
      <c r="H297" s="30" t="inlineStr"/>
      <c r="I297" s="15">
        <f>IF(D297="","",IFERROR(VLOOKUP(D297,'04_Personal'!$A$4:$G$400,7,FALSE),0))</f>
        <v/>
      </c>
      <c r="J297" s="15">
        <f>IF(D297="","",IFERROR(VLOOKUP(D297,'04_Personal'!$A$4:$G$400,6,FALSE),VSSatz))</f>
        <v/>
      </c>
      <c r="K297" s="15">
        <f>IF(A297="","",E297*I297)</f>
        <v/>
      </c>
      <c r="L297" s="15">
        <f>IF(A297="","",IF(H297="JA",E297*J297,0))</f>
        <v/>
      </c>
      <c r="M297" s="15">
        <f>IF(A297="","",L297-K297)</f>
        <v/>
      </c>
    </row>
    <row r="298">
      <c r="A298" s="30" t="inlineStr"/>
      <c r="B298" s="38" t="inlineStr"/>
      <c r="C298" s="30" t="inlineStr"/>
      <c r="D298" s="30" t="inlineStr"/>
      <c r="E298" s="46" t="inlineStr"/>
      <c r="F298" s="30" t="inlineStr"/>
      <c r="G298" s="30" t="inlineStr"/>
      <c r="H298" s="30" t="inlineStr"/>
      <c r="I298" s="15">
        <f>IF(D298="","",IFERROR(VLOOKUP(D298,'04_Personal'!$A$4:$G$400,7,FALSE),0))</f>
        <v/>
      </c>
      <c r="J298" s="15">
        <f>IF(D298="","",IFERROR(VLOOKUP(D298,'04_Personal'!$A$4:$G$400,6,FALSE),VSSatz))</f>
        <v/>
      </c>
      <c r="K298" s="15">
        <f>IF(A298="","",E298*I298)</f>
        <v/>
      </c>
      <c r="L298" s="15">
        <f>IF(A298="","",IF(H298="JA",E298*J298,0))</f>
        <v/>
      </c>
      <c r="M298" s="15">
        <f>IF(A298="","",L298-K298)</f>
        <v/>
      </c>
    </row>
    <row r="299">
      <c r="A299" s="30" t="inlineStr"/>
      <c r="B299" s="38" t="inlineStr"/>
      <c r="C299" s="30" t="inlineStr"/>
      <c r="D299" s="30" t="inlineStr"/>
      <c r="E299" s="46" t="inlineStr"/>
      <c r="F299" s="30" t="inlineStr"/>
      <c r="G299" s="30" t="inlineStr"/>
      <c r="H299" s="30" t="inlineStr"/>
      <c r="I299" s="15">
        <f>IF(D299="","",IFERROR(VLOOKUP(D299,'04_Personal'!$A$4:$G$400,7,FALSE),0))</f>
        <v/>
      </c>
      <c r="J299" s="15">
        <f>IF(D299="","",IFERROR(VLOOKUP(D299,'04_Personal'!$A$4:$G$400,6,FALSE),VSSatz))</f>
        <v/>
      </c>
      <c r="K299" s="15">
        <f>IF(A299="","",E299*I299)</f>
        <v/>
      </c>
      <c r="L299" s="15">
        <f>IF(A299="","",IF(H299="JA",E299*J299,0))</f>
        <v/>
      </c>
      <c r="M299" s="15">
        <f>IF(A299="","",L299-K299)</f>
        <v/>
      </c>
    </row>
    <row r="300">
      <c r="A300" s="30" t="inlineStr"/>
      <c r="B300" s="38" t="inlineStr"/>
      <c r="C300" s="30" t="inlineStr"/>
      <c r="D300" s="30" t="inlineStr"/>
      <c r="E300" s="46" t="inlineStr"/>
      <c r="F300" s="30" t="inlineStr"/>
      <c r="G300" s="30" t="inlineStr"/>
      <c r="H300" s="30" t="inlineStr"/>
      <c r="I300" s="15">
        <f>IF(D300="","",IFERROR(VLOOKUP(D300,'04_Personal'!$A$4:$G$400,7,FALSE),0))</f>
        <v/>
      </c>
      <c r="J300" s="15">
        <f>IF(D300="","",IFERROR(VLOOKUP(D300,'04_Personal'!$A$4:$G$400,6,FALSE),VSSatz))</f>
        <v/>
      </c>
      <c r="K300" s="15">
        <f>IF(A300="","",E300*I300)</f>
        <v/>
      </c>
      <c r="L300" s="15">
        <f>IF(A300="","",IF(H300="JA",E300*J300,0))</f>
        <v/>
      </c>
      <c r="M300" s="15">
        <f>IF(A300="","",L300-K300)</f>
        <v/>
      </c>
    </row>
    <row r="301">
      <c r="A301" s="30" t="inlineStr"/>
      <c r="B301" s="38" t="inlineStr"/>
      <c r="C301" s="30" t="inlineStr"/>
      <c r="D301" s="30" t="inlineStr"/>
      <c r="E301" s="46" t="inlineStr"/>
      <c r="F301" s="30" t="inlineStr"/>
      <c r="G301" s="30" t="inlineStr"/>
      <c r="H301" s="30" t="inlineStr"/>
      <c r="I301" s="15">
        <f>IF(D301="","",IFERROR(VLOOKUP(D301,'04_Personal'!$A$4:$G$400,7,FALSE),0))</f>
        <v/>
      </c>
      <c r="J301" s="15">
        <f>IF(D301="","",IFERROR(VLOOKUP(D301,'04_Personal'!$A$4:$G$400,6,FALSE),VSSatz))</f>
        <v/>
      </c>
      <c r="K301" s="15">
        <f>IF(A301="","",E301*I301)</f>
        <v/>
      </c>
      <c r="L301" s="15">
        <f>IF(A301="","",IF(H301="JA",E301*J301,0))</f>
        <v/>
      </c>
      <c r="M301" s="15">
        <f>IF(A301="","",L301-K301)</f>
        <v/>
      </c>
    </row>
    <row r="302">
      <c r="A302" s="30" t="inlineStr"/>
      <c r="B302" s="38" t="inlineStr"/>
      <c r="C302" s="30" t="inlineStr"/>
      <c r="D302" s="30" t="inlineStr"/>
      <c r="E302" s="46" t="inlineStr"/>
      <c r="F302" s="30" t="inlineStr"/>
      <c r="G302" s="30" t="inlineStr"/>
      <c r="H302" s="30" t="inlineStr"/>
      <c r="I302" s="15">
        <f>IF(D302="","",IFERROR(VLOOKUP(D302,'04_Personal'!$A$4:$G$400,7,FALSE),0))</f>
        <v/>
      </c>
      <c r="J302" s="15">
        <f>IF(D302="","",IFERROR(VLOOKUP(D302,'04_Personal'!$A$4:$G$400,6,FALSE),VSSatz))</f>
        <v/>
      </c>
      <c r="K302" s="15">
        <f>IF(A302="","",E302*I302)</f>
        <v/>
      </c>
      <c r="L302" s="15">
        <f>IF(A302="","",IF(H302="JA",E302*J302,0))</f>
        <v/>
      </c>
      <c r="M302" s="15">
        <f>IF(A302="","",L302-K302)</f>
        <v/>
      </c>
    </row>
    <row r="303">
      <c r="A303" s="30" t="inlineStr"/>
      <c r="B303" s="38" t="inlineStr"/>
      <c r="C303" s="30" t="inlineStr"/>
      <c r="D303" s="30" t="inlineStr"/>
      <c r="E303" s="46" t="inlineStr"/>
      <c r="F303" s="30" t="inlineStr"/>
      <c r="G303" s="30" t="inlineStr"/>
      <c r="H303" s="30" t="inlineStr"/>
      <c r="I303" s="15">
        <f>IF(D303="","",IFERROR(VLOOKUP(D303,'04_Personal'!$A$4:$G$400,7,FALSE),0))</f>
        <v/>
      </c>
      <c r="J303" s="15">
        <f>IF(D303="","",IFERROR(VLOOKUP(D303,'04_Personal'!$A$4:$G$400,6,FALSE),VSSatz))</f>
        <v/>
      </c>
      <c r="K303" s="15">
        <f>IF(A303="","",E303*I303)</f>
        <v/>
      </c>
      <c r="L303" s="15">
        <f>IF(A303="","",IF(H303="JA",E303*J303,0))</f>
        <v/>
      </c>
      <c r="M303" s="15">
        <f>IF(A303="","",L303-K303)</f>
        <v/>
      </c>
    </row>
    <row r="304">
      <c r="A304" s="30" t="inlineStr"/>
      <c r="B304" s="38" t="inlineStr"/>
      <c r="C304" s="30" t="inlineStr"/>
      <c r="D304" s="30" t="inlineStr"/>
      <c r="E304" s="46" t="inlineStr"/>
      <c r="F304" s="30" t="inlineStr"/>
      <c r="G304" s="30" t="inlineStr"/>
      <c r="H304" s="30" t="inlineStr"/>
      <c r="I304" s="15">
        <f>IF(D304="","",IFERROR(VLOOKUP(D304,'04_Personal'!$A$4:$G$400,7,FALSE),0))</f>
        <v/>
      </c>
      <c r="J304" s="15">
        <f>IF(D304="","",IFERROR(VLOOKUP(D304,'04_Personal'!$A$4:$G$400,6,FALSE),VSSatz))</f>
        <v/>
      </c>
      <c r="K304" s="15">
        <f>IF(A304="","",E304*I304)</f>
        <v/>
      </c>
      <c r="L304" s="15">
        <f>IF(A304="","",IF(H304="JA",E304*J304,0))</f>
        <v/>
      </c>
      <c r="M304" s="15">
        <f>IF(A304="","",L304-K304)</f>
        <v/>
      </c>
    </row>
    <row r="305">
      <c r="A305" s="30" t="inlineStr"/>
      <c r="B305" s="38" t="inlineStr"/>
      <c r="C305" s="30" t="inlineStr"/>
      <c r="D305" s="30" t="inlineStr"/>
      <c r="E305" s="46" t="inlineStr"/>
      <c r="F305" s="30" t="inlineStr"/>
      <c r="G305" s="30" t="inlineStr"/>
      <c r="H305" s="30" t="inlineStr"/>
      <c r="I305" s="15">
        <f>IF(D305="","",IFERROR(VLOOKUP(D305,'04_Personal'!$A$4:$G$400,7,FALSE),0))</f>
        <v/>
      </c>
      <c r="J305" s="15">
        <f>IF(D305="","",IFERROR(VLOOKUP(D305,'04_Personal'!$A$4:$G$400,6,FALSE),VSSatz))</f>
        <v/>
      </c>
      <c r="K305" s="15">
        <f>IF(A305="","",E305*I305)</f>
        <v/>
      </c>
      <c r="L305" s="15">
        <f>IF(A305="","",IF(H305="JA",E305*J305,0))</f>
        <v/>
      </c>
      <c r="M305" s="15">
        <f>IF(A305="","",L305-K305)</f>
        <v/>
      </c>
    </row>
    <row r="306">
      <c r="A306" s="30" t="inlineStr"/>
      <c r="B306" s="38" t="inlineStr"/>
      <c r="C306" s="30" t="inlineStr"/>
      <c r="D306" s="30" t="inlineStr"/>
      <c r="E306" s="46" t="inlineStr"/>
      <c r="F306" s="30" t="inlineStr"/>
      <c r="G306" s="30" t="inlineStr"/>
      <c r="H306" s="30" t="inlineStr"/>
      <c r="I306" s="15">
        <f>IF(D306="","",IFERROR(VLOOKUP(D306,'04_Personal'!$A$4:$G$400,7,FALSE),0))</f>
        <v/>
      </c>
      <c r="J306" s="15">
        <f>IF(D306="","",IFERROR(VLOOKUP(D306,'04_Personal'!$A$4:$G$400,6,FALSE),VSSatz))</f>
        <v/>
      </c>
      <c r="K306" s="15">
        <f>IF(A306="","",E306*I306)</f>
        <v/>
      </c>
      <c r="L306" s="15">
        <f>IF(A306="","",IF(H306="JA",E306*J306,0))</f>
        <v/>
      </c>
      <c r="M306" s="15">
        <f>IF(A306="","",L306-K306)</f>
        <v/>
      </c>
    </row>
    <row r="307">
      <c r="A307" s="30" t="inlineStr"/>
      <c r="B307" s="38" t="inlineStr"/>
      <c r="C307" s="30" t="inlineStr"/>
      <c r="D307" s="30" t="inlineStr"/>
      <c r="E307" s="46" t="inlineStr"/>
      <c r="F307" s="30" t="inlineStr"/>
      <c r="G307" s="30" t="inlineStr"/>
      <c r="H307" s="30" t="inlineStr"/>
      <c r="I307" s="15">
        <f>IF(D307="","",IFERROR(VLOOKUP(D307,'04_Personal'!$A$4:$G$400,7,FALSE),0))</f>
        <v/>
      </c>
      <c r="J307" s="15">
        <f>IF(D307="","",IFERROR(VLOOKUP(D307,'04_Personal'!$A$4:$G$400,6,FALSE),VSSatz))</f>
        <v/>
      </c>
      <c r="K307" s="15">
        <f>IF(A307="","",E307*I307)</f>
        <v/>
      </c>
      <c r="L307" s="15">
        <f>IF(A307="","",IF(H307="JA",E307*J307,0))</f>
        <v/>
      </c>
      <c r="M307" s="15">
        <f>IF(A307="","",L307-K307)</f>
        <v/>
      </c>
    </row>
    <row r="308">
      <c r="A308" s="30" t="inlineStr"/>
      <c r="B308" s="38" t="inlineStr"/>
      <c r="C308" s="30" t="inlineStr"/>
      <c r="D308" s="30" t="inlineStr"/>
      <c r="E308" s="46" t="inlineStr"/>
      <c r="F308" s="30" t="inlineStr"/>
      <c r="G308" s="30" t="inlineStr"/>
      <c r="H308" s="30" t="inlineStr"/>
      <c r="I308" s="15">
        <f>IF(D308="","",IFERROR(VLOOKUP(D308,'04_Personal'!$A$4:$G$400,7,FALSE),0))</f>
        <v/>
      </c>
      <c r="J308" s="15">
        <f>IF(D308="","",IFERROR(VLOOKUP(D308,'04_Personal'!$A$4:$G$400,6,FALSE),VSSatz))</f>
        <v/>
      </c>
      <c r="K308" s="15">
        <f>IF(A308="","",E308*I308)</f>
        <v/>
      </c>
      <c r="L308" s="15">
        <f>IF(A308="","",IF(H308="JA",E308*J308,0))</f>
        <v/>
      </c>
      <c r="M308" s="15">
        <f>IF(A308="","",L308-K308)</f>
        <v/>
      </c>
    </row>
    <row r="309">
      <c r="A309" s="30" t="inlineStr"/>
      <c r="B309" s="38" t="inlineStr"/>
      <c r="C309" s="30" t="inlineStr"/>
      <c r="D309" s="30" t="inlineStr"/>
      <c r="E309" s="46" t="inlineStr"/>
      <c r="F309" s="30" t="inlineStr"/>
      <c r="G309" s="30" t="inlineStr"/>
      <c r="H309" s="30" t="inlineStr"/>
      <c r="I309" s="15">
        <f>IF(D309="","",IFERROR(VLOOKUP(D309,'04_Personal'!$A$4:$G$400,7,FALSE),0))</f>
        <v/>
      </c>
      <c r="J309" s="15">
        <f>IF(D309="","",IFERROR(VLOOKUP(D309,'04_Personal'!$A$4:$G$400,6,FALSE),VSSatz))</f>
        <v/>
      </c>
      <c r="K309" s="15">
        <f>IF(A309="","",E309*I309)</f>
        <v/>
      </c>
      <c r="L309" s="15">
        <f>IF(A309="","",IF(H309="JA",E309*J309,0))</f>
        <v/>
      </c>
      <c r="M309" s="15">
        <f>IF(A309="","",L309-K309)</f>
        <v/>
      </c>
    </row>
    <row r="310">
      <c r="A310" s="30" t="inlineStr"/>
      <c r="B310" s="38" t="inlineStr"/>
      <c r="C310" s="30" t="inlineStr"/>
      <c r="D310" s="30" t="inlineStr"/>
      <c r="E310" s="46" t="inlineStr"/>
      <c r="F310" s="30" t="inlineStr"/>
      <c r="G310" s="30" t="inlineStr"/>
      <c r="H310" s="30" t="inlineStr"/>
      <c r="I310" s="15">
        <f>IF(D310="","",IFERROR(VLOOKUP(D310,'04_Personal'!$A$4:$G$400,7,FALSE),0))</f>
        <v/>
      </c>
      <c r="J310" s="15">
        <f>IF(D310="","",IFERROR(VLOOKUP(D310,'04_Personal'!$A$4:$G$400,6,FALSE),VSSatz))</f>
        <v/>
      </c>
      <c r="K310" s="15">
        <f>IF(A310="","",E310*I310)</f>
        <v/>
      </c>
      <c r="L310" s="15">
        <f>IF(A310="","",IF(H310="JA",E310*J310,0))</f>
        <v/>
      </c>
      <c r="M310" s="15">
        <f>IF(A310="","",L310-K310)</f>
        <v/>
      </c>
    </row>
    <row r="311">
      <c r="A311" s="30" t="inlineStr"/>
      <c r="B311" s="38" t="inlineStr"/>
      <c r="C311" s="30" t="inlineStr"/>
      <c r="D311" s="30" t="inlineStr"/>
      <c r="E311" s="46" t="inlineStr"/>
      <c r="F311" s="30" t="inlineStr"/>
      <c r="G311" s="30" t="inlineStr"/>
      <c r="H311" s="30" t="inlineStr"/>
      <c r="I311" s="15">
        <f>IF(D311="","",IFERROR(VLOOKUP(D311,'04_Personal'!$A$4:$G$400,7,FALSE),0))</f>
        <v/>
      </c>
      <c r="J311" s="15">
        <f>IF(D311="","",IFERROR(VLOOKUP(D311,'04_Personal'!$A$4:$G$400,6,FALSE),VSSatz))</f>
        <v/>
      </c>
      <c r="K311" s="15">
        <f>IF(A311="","",E311*I311)</f>
        <v/>
      </c>
      <c r="L311" s="15">
        <f>IF(A311="","",IF(H311="JA",E311*J311,0))</f>
        <v/>
      </c>
      <c r="M311" s="15">
        <f>IF(A311="","",L311-K311)</f>
        <v/>
      </c>
    </row>
    <row r="312">
      <c r="A312" s="30" t="inlineStr"/>
      <c r="B312" s="38" t="inlineStr"/>
      <c r="C312" s="30" t="inlineStr"/>
      <c r="D312" s="30" t="inlineStr"/>
      <c r="E312" s="46" t="inlineStr"/>
      <c r="F312" s="30" t="inlineStr"/>
      <c r="G312" s="30" t="inlineStr"/>
      <c r="H312" s="30" t="inlineStr"/>
      <c r="I312" s="15">
        <f>IF(D312="","",IFERROR(VLOOKUP(D312,'04_Personal'!$A$4:$G$400,7,FALSE),0))</f>
        <v/>
      </c>
      <c r="J312" s="15">
        <f>IF(D312="","",IFERROR(VLOOKUP(D312,'04_Personal'!$A$4:$G$400,6,FALSE),VSSatz))</f>
        <v/>
      </c>
      <c r="K312" s="15">
        <f>IF(A312="","",E312*I312)</f>
        <v/>
      </c>
      <c r="L312" s="15">
        <f>IF(A312="","",IF(H312="JA",E312*J312,0))</f>
        <v/>
      </c>
      <c r="M312" s="15">
        <f>IF(A312="","",L312-K312)</f>
        <v/>
      </c>
    </row>
    <row r="313">
      <c r="A313" s="30" t="inlineStr"/>
      <c r="B313" s="38" t="inlineStr"/>
      <c r="C313" s="30" t="inlineStr"/>
      <c r="D313" s="30" t="inlineStr"/>
      <c r="E313" s="46" t="inlineStr"/>
      <c r="F313" s="30" t="inlineStr"/>
      <c r="G313" s="30" t="inlineStr"/>
      <c r="H313" s="30" t="inlineStr"/>
      <c r="I313" s="15">
        <f>IF(D313="","",IFERROR(VLOOKUP(D313,'04_Personal'!$A$4:$G$400,7,FALSE),0))</f>
        <v/>
      </c>
      <c r="J313" s="15">
        <f>IF(D313="","",IFERROR(VLOOKUP(D313,'04_Personal'!$A$4:$G$400,6,FALSE),VSSatz))</f>
        <v/>
      </c>
      <c r="K313" s="15">
        <f>IF(A313="","",E313*I313)</f>
        <v/>
      </c>
      <c r="L313" s="15">
        <f>IF(A313="","",IF(H313="JA",E313*J313,0))</f>
        <v/>
      </c>
      <c r="M313" s="15">
        <f>IF(A313="","",L313-K313)</f>
        <v/>
      </c>
    </row>
    <row r="314">
      <c r="A314" s="30" t="inlineStr"/>
      <c r="B314" s="38" t="inlineStr"/>
      <c r="C314" s="30" t="inlineStr"/>
      <c r="D314" s="30" t="inlineStr"/>
      <c r="E314" s="46" t="inlineStr"/>
      <c r="F314" s="30" t="inlineStr"/>
      <c r="G314" s="30" t="inlineStr"/>
      <c r="H314" s="30" t="inlineStr"/>
      <c r="I314" s="15">
        <f>IF(D314="","",IFERROR(VLOOKUP(D314,'04_Personal'!$A$4:$G$400,7,FALSE),0))</f>
        <v/>
      </c>
      <c r="J314" s="15">
        <f>IF(D314="","",IFERROR(VLOOKUP(D314,'04_Personal'!$A$4:$G$400,6,FALSE),VSSatz))</f>
        <v/>
      </c>
      <c r="K314" s="15">
        <f>IF(A314="","",E314*I314)</f>
        <v/>
      </c>
      <c r="L314" s="15">
        <f>IF(A314="","",IF(H314="JA",E314*J314,0))</f>
        <v/>
      </c>
      <c r="M314" s="15">
        <f>IF(A314="","",L314-K314)</f>
        <v/>
      </c>
    </row>
    <row r="315">
      <c r="A315" s="30" t="inlineStr"/>
      <c r="B315" s="38" t="inlineStr"/>
      <c r="C315" s="30" t="inlineStr"/>
      <c r="D315" s="30" t="inlineStr"/>
      <c r="E315" s="46" t="inlineStr"/>
      <c r="F315" s="30" t="inlineStr"/>
      <c r="G315" s="30" t="inlineStr"/>
      <c r="H315" s="30" t="inlineStr"/>
      <c r="I315" s="15">
        <f>IF(D315="","",IFERROR(VLOOKUP(D315,'04_Personal'!$A$4:$G$400,7,FALSE),0))</f>
        <v/>
      </c>
      <c r="J315" s="15">
        <f>IF(D315="","",IFERROR(VLOOKUP(D315,'04_Personal'!$A$4:$G$400,6,FALSE),VSSatz))</f>
        <v/>
      </c>
      <c r="K315" s="15">
        <f>IF(A315="","",E315*I315)</f>
        <v/>
      </c>
      <c r="L315" s="15">
        <f>IF(A315="","",IF(H315="JA",E315*J315,0))</f>
        <v/>
      </c>
      <c r="M315" s="15">
        <f>IF(A315="","",L315-K315)</f>
        <v/>
      </c>
    </row>
    <row r="316">
      <c r="A316" s="30" t="inlineStr"/>
      <c r="B316" s="38" t="inlineStr"/>
      <c r="C316" s="30" t="inlineStr"/>
      <c r="D316" s="30" t="inlineStr"/>
      <c r="E316" s="46" t="inlineStr"/>
      <c r="F316" s="30" t="inlineStr"/>
      <c r="G316" s="30" t="inlineStr"/>
      <c r="H316" s="30" t="inlineStr"/>
      <c r="I316" s="15">
        <f>IF(D316="","",IFERROR(VLOOKUP(D316,'04_Personal'!$A$4:$G$400,7,FALSE),0))</f>
        <v/>
      </c>
      <c r="J316" s="15">
        <f>IF(D316="","",IFERROR(VLOOKUP(D316,'04_Personal'!$A$4:$G$400,6,FALSE),VSSatz))</f>
        <v/>
      </c>
      <c r="K316" s="15">
        <f>IF(A316="","",E316*I316)</f>
        <v/>
      </c>
      <c r="L316" s="15">
        <f>IF(A316="","",IF(H316="JA",E316*J316,0))</f>
        <v/>
      </c>
      <c r="M316" s="15">
        <f>IF(A316="","",L316-K316)</f>
        <v/>
      </c>
    </row>
    <row r="317">
      <c r="A317" s="30" t="inlineStr"/>
      <c r="B317" s="38" t="inlineStr"/>
      <c r="C317" s="30" t="inlineStr"/>
      <c r="D317" s="30" t="inlineStr"/>
      <c r="E317" s="46" t="inlineStr"/>
      <c r="F317" s="30" t="inlineStr"/>
      <c r="G317" s="30" t="inlineStr"/>
      <c r="H317" s="30" t="inlineStr"/>
      <c r="I317" s="15">
        <f>IF(D317="","",IFERROR(VLOOKUP(D317,'04_Personal'!$A$4:$G$400,7,FALSE),0))</f>
        <v/>
      </c>
      <c r="J317" s="15">
        <f>IF(D317="","",IFERROR(VLOOKUP(D317,'04_Personal'!$A$4:$G$400,6,FALSE),VSSatz))</f>
        <v/>
      </c>
      <c r="K317" s="15">
        <f>IF(A317="","",E317*I317)</f>
        <v/>
      </c>
      <c r="L317" s="15">
        <f>IF(A317="","",IF(H317="JA",E317*J317,0))</f>
        <v/>
      </c>
      <c r="M317" s="15">
        <f>IF(A317="","",L317-K317)</f>
        <v/>
      </c>
    </row>
    <row r="318">
      <c r="A318" s="30" t="inlineStr"/>
      <c r="B318" s="38" t="inlineStr"/>
      <c r="C318" s="30" t="inlineStr"/>
      <c r="D318" s="30" t="inlineStr"/>
      <c r="E318" s="46" t="inlineStr"/>
      <c r="F318" s="30" t="inlineStr"/>
      <c r="G318" s="30" t="inlineStr"/>
      <c r="H318" s="30" t="inlineStr"/>
      <c r="I318" s="15">
        <f>IF(D318="","",IFERROR(VLOOKUP(D318,'04_Personal'!$A$4:$G$400,7,FALSE),0))</f>
        <v/>
      </c>
      <c r="J318" s="15">
        <f>IF(D318="","",IFERROR(VLOOKUP(D318,'04_Personal'!$A$4:$G$400,6,FALSE),VSSatz))</f>
        <v/>
      </c>
      <c r="K318" s="15">
        <f>IF(A318="","",E318*I318)</f>
        <v/>
      </c>
      <c r="L318" s="15">
        <f>IF(A318="","",IF(H318="JA",E318*J318,0))</f>
        <v/>
      </c>
      <c r="M318" s="15">
        <f>IF(A318="","",L318-K318)</f>
        <v/>
      </c>
    </row>
    <row r="319">
      <c r="A319" s="30" t="inlineStr"/>
      <c r="B319" s="38" t="inlineStr"/>
      <c r="C319" s="30" t="inlineStr"/>
      <c r="D319" s="30" t="inlineStr"/>
      <c r="E319" s="46" t="inlineStr"/>
      <c r="F319" s="30" t="inlineStr"/>
      <c r="G319" s="30" t="inlineStr"/>
      <c r="H319" s="30" t="inlineStr"/>
      <c r="I319" s="15">
        <f>IF(D319="","",IFERROR(VLOOKUP(D319,'04_Personal'!$A$4:$G$400,7,FALSE),0))</f>
        <v/>
      </c>
      <c r="J319" s="15">
        <f>IF(D319="","",IFERROR(VLOOKUP(D319,'04_Personal'!$A$4:$G$400,6,FALSE),VSSatz))</f>
        <v/>
      </c>
      <c r="K319" s="15">
        <f>IF(A319="","",E319*I319)</f>
        <v/>
      </c>
      <c r="L319" s="15">
        <f>IF(A319="","",IF(H319="JA",E319*J319,0))</f>
        <v/>
      </c>
      <c r="M319" s="15">
        <f>IF(A319="","",L319-K319)</f>
        <v/>
      </c>
    </row>
    <row r="320">
      <c r="A320" s="30" t="inlineStr"/>
      <c r="B320" s="38" t="inlineStr"/>
      <c r="C320" s="30" t="inlineStr"/>
      <c r="D320" s="30" t="inlineStr"/>
      <c r="E320" s="46" t="inlineStr"/>
      <c r="F320" s="30" t="inlineStr"/>
      <c r="G320" s="30" t="inlineStr"/>
      <c r="H320" s="30" t="inlineStr"/>
      <c r="I320" s="15">
        <f>IF(D320="","",IFERROR(VLOOKUP(D320,'04_Personal'!$A$4:$G$400,7,FALSE),0))</f>
        <v/>
      </c>
      <c r="J320" s="15">
        <f>IF(D320="","",IFERROR(VLOOKUP(D320,'04_Personal'!$A$4:$G$400,6,FALSE),VSSatz))</f>
        <v/>
      </c>
      <c r="K320" s="15">
        <f>IF(A320="","",E320*I320)</f>
        <v/>
      </c>
      <c r="L320" s="15">
        <f>IF(A320="","",IF(H320="JA",E320*J320,0))</f>
        <v/>
      </c>
      <c r="M320" s="15">
        <f>IF(A320="","",L320-K320)</f>
        <v/>
      </c>
    </row>
    <row r="321">
      <c r="A321" s="30" t="inlineStr"/>
      <c r="B321" s="38" t="inlineStr"/>
      <c r="C321" s="30" t="inlineStr"/>
      <c r="D321" s="30" t="inlineStr"/>
      <c r="E321" s="46" t="inlineStr"/>
      <c r="F321" s="30" t="inlineStr"/>
      <c r="G321" s="30" t="inlineStr"/>
      <c r="H321" s="30" t="inlineStr"/>
      <c r="I321" s="15">
        <f>IF(D321="","",IFERROR(VLOOKUP(D321,'04_Personal'!$A$4:$G$400,7,FALSE),0))</f>
        <v/>
      </c>
      <c r="J321" s="15">
        <f>IF(D321="","",IFERROR(VLOOKUP(D321,'04_Personal'!$A$4:$G$400,6,FALSE),VSSatz))</f>
        <v/>
      </c>
      <c r="K321" s="15">
        <f>IF(A321="","",E321*I321)</f>
        <v/>
      </c>
      <c r="L321" s="15">
        <f>IF(A321="","",IF(H321="JA",E321*J321,0))</f>
        <v/>
      </c>
      <c r="M321" s="15">
        <f>IF(A321="","",L321-K321)</f>
        <v/>
      </c>
    </row>
    <row r="322">
      <c r="A322" s="30" t="inlineStr"/>
      <c r="B322" s="38" t="inlineStr"/>
      <c r="C322" s="30" t="inlineStr"/>
      <c r="D322" s="30" t="inlineStr"/>
      <c r="E322" s="46" t="inlineStr"/>
      <c r="F322" s="30" t="inlineStr"/>
      <c r="G322" s="30" t="inlineStr"/>
      <c r="H322" s="30" t="inlineStr"/>
      <c r="I322" s="15">
        <f>IF(D322="","",IFERROR(VLOOKUP(D322,'04_Personal'!$A$4:$G$400,7,FALSE),0))</f>
        <v/>
      </c>
      <c r="J322" s="15">
        <f>IF(D322="","",IFERROR(VLOOKUP(D322,'04_Personal'!$A$4:$G$400,6,FALSE),VSSatz))</f>
        <v/>
      </c>
      <c r="K322" s="15">
        <f>IF(A322="","",E322*I322)</f>
        <v/>
      </c>
      <c r="L322" s="15">
        <f>IF(A322="","",IF(H322="JA",E322*J322,0))</f>
        <v/>
      </c>
      <c r="M322" s="15">
        <f>IF(A322="","",L322-K322)</f>
        <v/>
      </c>
    </row>
    <row r="323">
      <c r="A323" s="30" t="inlineStr"/>
      <c r="B323" s="38" t="inlineStr"/>
      <c r="C323" s="30" t="inlineStr"/>
      <c r="D323" s="30" t="inlineStr"/>
      <c r="E323" s="46" t="inlineStr"/>
      <c r="F323" s="30" t="inlineStr"/>
      <c r="G323" s="30" t="inlineStr"/>
      <c r="H323" s="30" t="inlineStr"/>
      <c r="I323" s="15">
        <f>IF(D323="","",IFERROR(VLOOKUP(D323,'04_Personal'!$A$4:$G$400,7,FALSE),0))</f>
        <v/>
      </c>
      <c r="J323" s="15">
        <f>IF(D323="","",IFERROR(VLOOKUP(D323,'04_Personal'!$A$4:$G$400,6,FALSE),VSSatz))</f>
        <v/>
      </c>
      <c r="K323" s="15">
        <f>IF(A323="","",E323*I323)</f>
        <v/>
      </c>
      <c r="L323" s="15">
        <f>IF(A323="","",IF(H323="JA",E323*J323,0))</f>
        <v/>
      </c>
      <c r="M323" s="15">
        <f>IF(A323="","",L323-K323)</f>
        <v/>
      </c>
    </row>
    <row r="324">
      <c r="A324" s="30" t="inlineStr"/>
      <c r="B324" s="38" t="inlineStr"/>
      <c r="C324" s="30" t="inlineStr"/>
      <c r="D324" s="30" t="inlineStr"/>
      <c r="E324" s="46" t="inlineStr"/>
      <c r="F324" s="30" t="inlineStr"/>
      <c r="G324" s="30" t="inlineStr"/>
      <c r="H324" s="30" t="inlineStr"/>
      <c r="I324" s="15">
        <f>IF(D324="","",IFERROR(VLOOKUP(D324,'04_Personal'!$A$4:$G$400,7,FALSE),0))</f>
        <v/>
      </c>
      <c r="J324" s="15">
        <f>IF(D324="","",IFERROR(VLOOKUP(D324,'04_Personal'!$A$4:$G$400,6,FALSE),VSSatz))</f>
        <v/>
      </c>
      <c r="K324" s="15">
        <f>IF(A324="","",E324*I324)</f>
        <v/>
      </c>
      <c r="L324" s="15">
        <f>IF(A324="","",IF(H324="JA",E324*J324,0))</f>
        <v/>
      </c>
      <c r="M324" s="15">
        <f>IF(A324="","",L324-K324)</f>
        <v/>
      </c>
    </row>
    <row r="325">
      <c r="A325" s="30" t="inlineStr"/>
      <c r="B325" s="38" t="inlineStr"/>
      <c r="C325" s="30" t="inlineStr"/>
      <c r="D325" s="30" t="inlineStr"/>
      <c r="E325" s="46" t="inlineStr"/>
      <c r="F325" s="30" t="inlineStr"/>
      <c r="G325" s="30" t="inlineStr"/>
      <c r="H325" s="30" t="inlineStr"/>
      <c r="I325" s="15">
        <f>IF(D325="","",IFERROR(VLOOKUP(D325,'04_Personal'!$A$4:$G$400,7,FALSE),0))</f>
        <v/>
      </c>
      <c r="J325" s="15">
        <f>IF(D325="","",IFERROR(VLOOKUP(D325,'04_Personal'!$A$4:$G$400,6,FALSE),VSSatz))</f>
        <v/>
      </c>
      <c r="K325" s="15">
        <f>IF(A325="","",E325*I325)</f>
        <v/>
      </c>
      <c r="L325" s="15">
        <f>IF(A325="","",IF(H325="JA",E325*J325,0))</f>
        <v/>
      </c>
      <c r="M325" s="15">
        <f>IF(A325="","",L325-K325)</f>
        <v/>
      </c>
    </row>
    <row r="326">
      <c r="A326" s="30" t="inlineStr"/>
      <c r="B326" s="38" t="inlineStr"/>
      <c r="C326" s="30" t="inlineStr"/>
      <c r="D326" s="30" t="inlineStr"/>
      <c r="E326" s="46" t="inlineStr"/>
      <c r="F326" s="30" t="inlineStr"/>
      <c r="G326" s="30" t="inlineStr"/>
      <c r="H326" s="30" t="inlineStr"/>
      <c r="I326" s="15">
        <f>IF(D326="","",IFERROR(VLOOKUP(D326,'04_Personal'!$A$4:$G$400,7,FALSE),0))</f>
        <v/>
      </c>
      <c r="J326" s="15">
        <f>IF(D326="","",IFERROR(VLOOKUP(D326,'04_Personal'!$A$4:$G$400,6,FALSE),VSSatz))</f>
        <v/>
      </c>
      <c r="K326" s="15">
        <f>IF(A326="","",E326*I326)</f>
        <v/>
      </c>
      <c r="L326" s="15">
        <f>IF(A326="","",IF(H326="JA",E326*J326,0))</f>
        <v/>
      </c>
      <c r="M326" s="15">
        <f>IF(A326="","",L326-K326)</f>
        <v/>
      </c>
    </row>
    <row r="327">
      <c r="A327" s="30" t="inlineStr"/>
      <c r="B327" s="38" t="inlineStr"/>
      <c r="C327" s="30" t="inlineStr"/>
      <c r="D327" s="30" t="inlineStr"/>
      <c r="E327" s="46" t="inlineStr"/>
      <c r="F327" s="30" t="inlineStr"/>
      <c r="G327" s="30" t="inlineStr"/>
      <c r="H327" s="30" t="inlineStr"/>
      <c r="I327" s="15">
        <f>IF(D327="","",IFERROR(VLOOKUP(D327,'04_Personal'!$A$4:$G$400,7,FALSE),0))</f>
        <v/>
      </c>
      <c r="J327" s="15">
        <f>IF(D327="","",IFERROR(VLOOKUP(D327,'04_Personal'!$A$4:$G$400,6,FALSE),VSSatz))</f>
        <v/>
      </c>
      <c r="K327" s="15">
        <f>IF(A327="","",E327*I327)</f>
        <v/>
      </c>
      <c r="L327" s="15">
        <f>IF(A327="","",IF(H327="JA",E327*J327,0))</f>
        <v/>
      </c>
      <c r="M327" s="15">
        <f>IF(A327="","",L327-K327)</f>
        <v/>
      </c>
    </row>
    <row r="328">
      <c r="A328" s="30" t="inlineStr"/>
      <c r="B328" s="38" t="inlineStr"/>
      <c r="C328" s="30" t="inlineStr"/>
      <c r="D328" s="30" t="inlineStr"/>
      <c r="E328" s="46" t="inlineStr"/>
      <c r="F328" s="30" t="inlineStr"/>
      <c r="G328" s="30" t="inlineStr"/>
      <c r="H328" s="30" t="inlineStr"/>
      <c r="I328" s="15">
        <f>IF(D328="","",IFERROR(VLOOKUP(D328,'04_Personal'!$A$4:$G$400,7,FALSE),0))</f>
        <v/>
      </c>
      <c r="J328" s="15">
        <f>IF(D328="","",IFERROR(VLOOKUP(D328,'04_Personal'!$A$4:$G$400,6,FALSE),VSSatz))</f>
        <v/>
      </c>
      <c r="K328" s="15">
        <f>IF(A328="","",E328*I328)</f>
        <v/>
      </c>
      <c r="L328" s="15">
        <f>IF(A328="","",IF(H328="JA",E328*J328,0))</f>
        <v/>
      </c>
      <c r="M328" s="15">
        <f>IF(A328="","",L328-K328)</f>
        <v/>
      </c>
    </row>
    <row r="329">
      <c r="A329" s="30" t="inlineStr"/>
      <c r="B329" s="38" t="inlineStr"/>
      <c r="C329" s="30" t="inlineStr"/>
      <c r="D329" s="30" t="inlineStr"/>
      <c r="E329" s="46" t="inlineStr"/>
      <c r="F329" s="30" t="inlineStr"/>
      <c r="G329" s="30" t="inlineStr"/>
      <c r="H329" s="30" t="inlineStr"/>
      <c r="I329" s="15">
        <f>IF(D329="","",IFERROR(VLOOKUP(D329,'04_Personal'!$A$4:$G$400,7,FALSE),0))</f>
        <v/>
      </c>
      <c r="J329" s="15">
        <f>IF(D329="","",IFERROR(VLOOKUP(D329,'04_Personal'!$A$4:$G$400,6,FALSE),VSSatz))</f>
        <v/>
      </c>
      <c r="K329" s="15">
        <f>IF(A329="","",E329*I329)</f>
        <v/>
      </c>
      <c r="L329" s="15">
        <f>IF(A329="","",IF(H329="JA",E329*J329,0))</f>
        <v/>
      </c>
      <c r="M329" s="15">
        <f>IF(A329="","",L329-K329)</f>
        <v/>
      </c>
    </row>
    <row r="330">
      <c r="A330" s="30" t="inlineStr"/>
      <c r="B330" s="38" t="inlineStr"/>
      <c r="C330" s="30" t="inlineStr"/>
      <c r="D330" s="30" t="inlineStr"/>
      <c r="E330" s="46" t="inlineStr"/>
      <c r="F330" s="30" t="inlineStr"/>
      <c r="G330" s="30" t="inlineStr"/>
      <c r="H330" s="30" t="inlineStr"/>
      <c r="I330" s="15">
        <f>IF(D330="","",IFERROR(VLOOKUP(D330,'04_Personal'!$A$4:$G$400,7,FALSE),0))</f>
        <v/>
      </c>
      <c r="J330" s="15">
        <f>IF(D330="","",IFERROR(VLOOKUP(D330,'04_Personal'!$A$4:$G$400,6,FALSE),VSSatz))</f>
        <v/>
      </c>
      <c r="K330" s="15">
        <f>IF(A330="","",E330*I330)</f>
        <v/>
      </c>
      <c r="L330" s="15">
        <f>IF(A330="","",IF(H330="JA",E330*J330,0))</f>
        <v/>
      </c>
      <c r="M330" s="15">
        <f>IF(A330="","",L330-K330)</f>
        <v/>
      </c>
    </row>
    <row r="331">
      <c r="A331" s="30" t="inlineStr"/>
      <c r="B331" s="38" t="inlineStr"/>
      <c r="C331" s="30" t="inlineStr"/>
      <c r="D331" s="30" t="inlineStr"/>
      <c r="E331" s="46" t="inlineStr"/>
      <c r="F331" s="30" t="inlineStr"/>
      <c r="G331" s="30" t="inlineStr"/>
      <c r="H331" s="30" t="inlineStr"/>
      <c r="I331" s="15">
        <f>IF(D331="","",IFERROR(VLOOKUP(D331,'04_Personal'!$A$4:$G$400,7,FALSE),0))</f>
        <v/>
      </c>
      <c r="J331" s="15">
        <f>IF(D331="","",IFERROR(VLOOKUP(D331,'04_Personal'!$A$4:$G$400,6,FALSE),VSSatz))</f>
        <v/>
      </c>
      <c r="K331" s="15">
        <f>IF(A331="","",E331*I331)</f>
        <v/>
      </c>
      <c r="L331" s="15">
        <f>IF(A331="","",IF(H331="JA",E331*J331,0))</f>
        <v/>
      </c>
      <c r="M331" s="15">
        <f>IF(A331="","",L331-K331)</f>
        <v/>
      </c>
    </row>
    <row r="332">
      <c r="A332" s="30" t="inlineStr"/>
      <c r="B332" s="38" t="inlineStr"/>
      <c r="C332" s="30" t="inlineStr"/>
      <c r="D332" s="30" t="inlineStr"/>
      <c r="E332" s="46" t="inlineStr"/>
      <c r="F332" s="30" t="inlineStr"/>
      <c r="G332" s="30" t="inlineStr"/>
      <c r="H332" s="30" t="inlineStr"/>
      <c r="I332" s="15">
        <f>IF(D332="","",IFERROR(VLOOKUP(D332,'04_Personal'!$A$4:$G$400,7,FALSE),0))</f>
        <v/>
      </c>
      <c r="J332" s="15">
        <f>IF(D332="","",IFERROR(VLOOKUP(D332,'04_Personal'!$A$4:$G$400,6,FALSE),VSSatz))</f>
        <v/>
      </c>
      <c r="K332" s="15">
        <f>IF(A332="","",E332*I332)</f>
        <v/>
      </c>
      <c r="L332" s="15">
        <f>IF(A332="","",IF(H332="JA",E332*J332,0))</f>
        <v/>
      </c>
      <c r="M332" s="15">
        <f>IF(A332="","",L332-K332)</f>
        <v/>
      </c>
    </row>
    <row r="333">
      <c r="A333" s="30" t="inlineStr"/>
      <c r="B333" s="38" t="inlineStr"/>
      <c r="C333" s="30" t="inlineStr"/>
      <c r="D333" s="30" t="inlineStr"/>
      <c r="E333" s="46" t="inlineStr"/>
      <c r="F333" s="30" t="inlineStr"/>
      <c r="G333" s="30" t="inlineStr"/>
      <c r="H333" s="30" t="inlineStr"/>
      <c r="I333" s="15">
        <f>IF(D333="","",IFERROR(VLOOKUP(D333,'04_Personal'!$A$4:$G$400,7,FALSE),0))</f>
        <v/>
      </c>
      <c r="J333" s="15">
        <f>IF(D333="","",IFERROR(VLOOKUP(D333,'04_Personal'!$A$4:$G$400,6,FALSE),VSSatz))</f>
        <v/>
      </c>
      <c r="K333" s="15">
        <f>IF(A333="","",E333*I333)</f>
        <v/>
      </c>
      <c r="L333" s="15">
        <f>IF(A333="","",IF(H333="JA",E333*J333,0))</f>
        <v/>
      </c>
      <c r="M333" s="15">
        <f>IF(A333="","",L333-K333)</f>
        <v/>
      </c>
    </row>
    <row r="334">
      <c r="A334" s="30" t="inlineStr"/>
      <c r="B334" s="38" t="inlineStr"/>
      <c r="C334" s="30" t="inlineStr"/>
      <c r="D334" s="30" t="inlineStr"/>
      <c r="E334" s="46" t="inlineStr"/>
      <c r="F334" s="30" t="inlineStr"/>
      <c r="G334" s="30" t="inlineStr"/>
      <c r="H334" s="30" t="inlineStr"/>
      <c r="I334" s="15">
        <f>IF(D334="","",IFERROR(VLOOKUP(D334,'04_Personal'!$A$4:$G$400,7,FALSE),0))</f>
        <v/>
      </c>
      <c r="J334" s="15">
        <f>IF(D334="","",IFERROR(VLOOKUP(D334,'04_Personal'!$A$4:$G$400,6,FALSE),VSSatz))</f>
        <v/>
      </c>
      <c r="K334" s="15">
        <f>IF(A334="","",E334*I334)</f>
        <v/>
      </c>
      <c r="L334" s="15">
        <f>IF(A334="","",IF(H334="JA",E334*J334,0))</f>
        <v/>
      </c>
      <c r="M334" s="15">
        <f>IF(A334="","",L334-K334)</f>
        <v/>
      </c>
    </row>
    <row r="335">
      <c r="A335" s="30" t="inlineStr"/>
      <c r="B335" s="38" t="inlineStr"/>
      <c r="C335" s="30" t="inlineStr"/>
      <c r="D335" s="30" t="inlineStr"/>
      <c r="E335" s="46" t="inlineStr"/>
      <c r="F335" s="30" t="inlineStr"/>
      <c r="G335" s="30" t="inlineStr"/>
      <c r="H335" s="30" t="inlineStr"/>
      <c r="I335" s="15">
        <f>IF(D335="","",IFERROR(VLOOKUP(D335,'04_Personal'!$A$4:$G$400,7,FALSE),0))</f>
        <v/>
      </c>
      <c r="J335" s="15">
        <f>IF(D335="","",IFERROR(VLOOKUP(D335,'04_Personal'!$A$4:$G$400,6,FALSE),VSSatz))</f>
        <v/>
      </c>
      <c r="K335" s="15">
        <f>IF(A335="","",E335*I335)</f>
        <v/>
      </c>
      <c r="L335" s="15">
        <f>IF(A335="","",IF(H335="JA",E335*J335,0))</f>
        <v/>
      </c>
      <c r="M335" s="15">
        <f>IF(A335="","",L335-K335)</f>
        <v/>
      </c>
    </row>
    <row r="336">
      <c r="A336" s="30" t="inlineStr"/>
      <c r="B336" s="38" t="inlineStr"/>
      <c r="C336" s="30" t="inlineStr"/>
      <c r="D336" s="30" t="inlineStr"/>
      <c r="E336" s="46" t="inlineStr"/>
      <c r="F336" s="30" t="inlineStr"/>
      <c r="G336" s="30" t="inlineStr"/>
      <c r="H336" s="30" t="inlineStr"/>
      <c r="I336" s="15">
        <f>IF(D336="","",IFERROR(VLOOKUP(D336,'04_Personal'!$A$4:$G$400,7,FALSE),0))</f>
        <v/>
      </c>
      <c r="J336" s="15">
        <f>IF(D336="","",IFERROR(VLOOKUP(D336,'04_Personal'!$A$4:$G$400,6,FALSE),VSSatz))</f>
        <v/>
      </c>
      <c r="K336" s="15">
        <f>IF(A336="","",E336*I336)</f>
        <v/>
      </c>
      <c r="L336" s="15">
        <f>IF(A336="","",IF(H336="JA",E336*J336,0))</f>
        <v/>
      </c>
      <c r="M336" s="15">
        <f>IF(A336="","",L336-K336)</f>
        <v/>
      </c>
    </row>
    <row r="337">
      <c r="A337" s="30" t="inlineStr"/>
      <c r="B337" s="38" t="inlineStr"/>
      <c r="C337" s="30" t="inlineStr"/>
      <c r="D337" s="30" t="inlineStr"/>
      <c r="E337" s="46" t="inlineStr"/>
      <c r="F337" s="30" t="inlineStr"/>
      <c r="G337" s="30" t="inlineStr"/>
      <c r="H337" s="30" t="inlineStr"/>
      <c r="I337" s="15">
        <f>IF(D337="","",IFERROR(VLOOKUP(D337,'04_Personal'!$A$4:$G$400,7,FALSE),0))</f>
        <v/>
      </c>
      <c r="J337" s="15">
        <f>IF(D337="","",IFERROR(VLOOKUP(D337,'04_Personal'!$A$4:$G$400,6,FALSE),VSSatz))</f>
        <v/>
      </c>
      <c r="K337" s="15">
        <f>IF(A337="","",E337*I337)</f>
        <v/>
      </c>
      <c r="L337" s="15">
        <f>IF(A337="","",IF(H337="JA",E337*J337,0))</f>
        <v/>
      </c>
      <c r="M337" s="15">
        <f>IF(A337="","",L337-K337)</f>
        <v/>
      </c>
    </row>
    <row r="338">
      <c r="A338" s="30" t="inlineStr"/>
      <c r="B338" s="38" t="inlineStr"/>
      <c r="C338" s="30" t="inlineStr"/>
      <c r="D338" s="30" t="inlineStr"/>
      <c r="E338" s="46" t="inlineStr"/>
      <c r="F338" s="30" t="inlineStr"/>
      <c r="G338" s="30" t="inlineStr"/>
      <c r="H338" s="30" t="inlineStr"/>
      <c r="I338" s="15">
        <f>IF(D338="","",IFERROR(VLOOKUP(D338,'04_Personal'!$A$4:$G$400,7,FALSE),0))</f>
        <v/>
      </c>
      <c r="J338" s="15">
        <f>IF(D338="","",IFERROR(VLOOKUP(D338,'04_Personal'!$A$4:$G$400,6,FALSE),VSSatz))</f>
        <v/>
      </c>
      <c r="K338" s="15">
        <f>IF(A338="","",E338*I338)</f>
        <v/>
      </c>
      <c r="L338" s="15">
        <f>IF(A338="","",IF(H338="JA",E338*J338,0))</f>
        <v/>
      </c>
      <c r="M338" s="15">
        <f>IF(A338="","",L338-K338)</f>
        <v/>
      </c>
    </row>
    <row r="339">
      <c r="A339" s="30" t="inlineStr"/>
      <c r="B339" s="38" t="inlineStr"/>
      <c r="C339" s="30" t="inlineStr"/>
      <c r="D339" s="30" t="inlineStr"/>
      <c r="E339" s="46" t="inlineStr"/>
      <c r="F339" s="30" t="inlineStr"/>
      <c r="G339" s="30" t="inlineStr"/>
      <c r="H339" s="30" t="inlineStr"/>
      <c r="I339" s="15">
        <f>IF(D339="","",IFERROR(VLOOKUP(D339,'04_Personal'!$A$4:$G$400,7,FALSE),0))</f>
        <v/>
      </c>
      <c r="J339" s="15">
        <f>IF(D339="","",IFERROR(VLOOKUP(D339,'04_Personal'!$A$4:$G$400,6,FALSE),VSSatz))</f>
        <v/>
      </c>
      <c r="K339" s="15">
        <f>IF(A339="","",E339*I339)</f>
        <v/>
      </c>
      <c r="L339" s="15">
        <f>IF(A339="","",IF(H339="JA",E339*J339,0))</f>
        <v/>
      </c>
      <c r="M339" s="15">
        <f>IF(A339="","",L339-K339)</f>
        <v/>
      </c>
    </row>
    <row r="340">
      <c r="A340" s="30" t="inlineStr"/>
      <c r="B340" s="38" t="inlineStr"/>
      <c r="C340" s="30" t="inlineStr"/>
      <c r="D340" s="30" t="inlineStr"/>
      <c r="E340" s="46" t="inlineStr"/>
      <c r="F340" s="30" t="inlineStr"/>
      <c r="G340" s="30" t="inlineStr"/>
      <c r="H340" s="30" t="inlineStr"/>
      <c r="I340" s="15">
        <f>IF(D340="","",IFERROR(VLOOKUP(D340,'04_Personal'!$A$4:$G$400,7,FALSE),0))</f>
        <v/>
      </c>
      <c r="J340" s="15">
        <f>IF(D340="","",IFERROR(VLOOKUP(D340,'04_Personal'!$A$4:$G$400,6,FALSE),VSSatz))</f>
        <v/>
      </c>
      <c r="K340" s="15">
        <f>IF(A340="","",E340*I340)</f>
        <v/>
      </c>
      <c r="L340" s="15">
        <f>IF(A340="","",IF(H340="JA",E340*J340,0))</f>
        <v/>
      </c>
      <c r="M340" s="15">
        <f>IF(A340="","",L340-K340)</f>
        <v/>
      </c>
    </row>
    <row r="341">
      <c r="A341" s="30" t="inlineStr"/>
      <c r="B341" s="38" t="inlineStr"/>
      <c r="C341" s="30" t="inlineStr"/>
      <c r="D341" s="30" t="inlineStr"/>
      <c r="E341" s="46" t="inlineStr"/>
      <c r="F341" s="30" t="inlineStr"/>
      <c r="G341" s="30" t="inlineStr"/>
      <c r="H341" s="30" t="inlineStr"/>
      <c r="I341" s="15">
        <f>IF(D341="","",IFERROR(VLOOKUP(D341,'04_Personal'!$A$4:$G$400,7,FALSE),0))</f>
        <v/>
      </c>
      <c r="J341" s="15">
        <f>IF(D341="","",IFERROR(VLOOKUP(D341,'04_Personal'!$A$4:$G$400,6,FALSE),VSSatz))</f>
        <v/>
      </c>
      <c r="K341" s="15">
        <f>IF(A341="","",E341*I341)</f>
        <v/>
      </c>
      <c r="L341" s="15">
        <f>IF(A341="","",IF(H341="JA",E341*J341,0))</f>
        <v/>
      </c>
      <c r="M341" s="15">
        <f>IF(A341="","",L341-K341)</f>
        <v/>
      </c>
    </row>
    <row r="342">
      <c r="A342" s="30" t="inlineStr"/>
      <c r="B342" s="38" t="inlineStr"/>
      <c r="C342" s="30" t="inlineStr"/>
      <c r="D342" s="30" t="inlineStr"/>
      <c r="E342" s="46" t="inlineStr"/>
      <c r="F342" s="30" t="inlineStr"/>
      <c r="G342" s="30" t="inlineStr"/>
      <c r="H342" s="30" t="inlineStr"/>
      <c r="I342" s="15">
        <f>IF(D342="","",IFERROR(VLOOKUP(D342,'04_Personal'!$A$4:$G$400,7,FALSE),0))</f>
        <v/>
      </c>
      <c r="J342" s="15">
        <f>IF(D342="","",IFERROR(VLOOKUP(D342,'04_Personal'!$A$4:$G$400,6,FALSE),VSSatz))</f>
        <v/>
      </c>
      <c r="K342" s="15">
        <f>IF(A342="","",E342*I342)</f>
        <v/>
      </c>
      <c r="L342" s="15">
        <f>IF(A342="","",IF(H342="JA",E342*J342,0))</f>
        <v/>
      </c>
      <c r="M342" s="15">
        <f>IF(A342="","",L342-K342)</f>
        <v/>
      </c>
    </row>
    <row r="343">
      <c r="A343" s="30" t="inlineStr"/>
      <c r="B343" s="38" t="inlineStr"/>
      <c r="C343" s="30" t="inlineStr"/>
      <c r="D343" s="30" t="inlineStr"/>
      <c r="E343" s="46" t="inlineStr"/>
      <c r="F343" s="30" t="inlineStr"/>
      <c r="G343" s="30" t="inlineStr"/>
      <c r="H343" s="30" t="inlineStr"/>
      <c r="I343" s="15">
        <f>IF(D343="","",IFERROR(VLOOKUP(D343,'04_Personal'!$A$4:$G$400,7,FALSE),0))</f>
        <v/>
      </c>
      <c r="J343" s="15">
        <f>IF(D343="","",IFERROR(VLOOKUP(D343,'04_Personal'!$A$4:$G$400,6,FALSE),VSSatz))</f>
        <v/>
      </c>
      <c r="K343" s="15">
        <f>IF(A343="","",E343*I343)</f>
        <v/>
      </c>
      <c r="L343" s="15">
        <f>IF(A343="","",IF(H343="JA",E343*J343,0))</f>
        <v/>
      </c>
      <c r="M343" s="15">
        <f>IF(A343="","",L343-K343)</f>
        <v/>
      </c>
    </row>
    <row r="344">
      <c r="A344" s="30" t="inlineStr"/>
      <c r="B344" s="38" t="inlineStr"/>
      <c r="C344" s="30" t="inlineStr"/>
      <c r="D344" s="30" t="inlineStr"/>
      <c r="E344" s="46" t="inlineStr"/>
      <c r="F344" s="30" t="inlineStr"/>
      <c r="G344" s="30" t="inlineStr"/>
      <c r="H344" s="30" t="inlineStr"/>
      <c r="I344" s="15">
        <f>IF(D344="","",IFERROR(VLOOKUP(D344,'04_Personal'!$A$4:$G$400,7,FALSE),0))</f>
        <v/>
      </c>
      <c r="J344" s="15">
        <f>IF(D344="","",IFERROR(VLOOKUP(D344,'04_Personal'!$A$4:$G$400,6,FALSE),VSSatz))</f>
        <v/>
      </c>
      <c r="K344" s="15">
        <f>IF(A344="","",E344*I344)</f>
        <v/>
      </c>
      <c r="L344" s="15">
        <f>IF(A344="","",IF(H344="JA",E344*J344,0))</f>
        <v/>
      </c>
      <c r="M344" s="15">
        <f>IF(A344="","",L344-K344)</f>
        <v/>
      </c>
    </row>
    <row r="345">
      <c r="A345" s="30" t="inlineStr"/>
      <c r="B345" s="38" t="inlineStr"/>
      <c r="C345" s="30" t="inlineStr"/>
      <c r="D345" s="30" t="inlineStr"/>
      <c r="E345" s="46" t="inlineStr"/>
      <c r="F345" s="30" t="inlineStr"/>
      <c r="G345" s="30" t="inlineStr"/>
      <c r="H345" s="30" t="inlineStr"/>
      <c r="I345" s="15">
        <f>IF(D345="","",IFERROR(VLOOKUP(D345,'04_Personal'!$A$4:$G$400,7,FALSE),0))</f>
        <v/>
      </c>
      <c r="J345" s="15">
        <f>IF(D345="","",IFERROR(VLOOKUP(D345,'04_Personal'!$A$4:$G$400,6,FALSE),VSSatz))</f>
        <v/>
      </c>
      <c r="K345" s="15">
        <f>IF(A345="","",E345*I345)</f>
        <v/>
      </c>
      <c r="L345" s="15">
        <f>IF(A345="","",IF(H345="JA",E345*J345,0))</f>
        <v/>
      </c>
      <c r="M345" s="15">
        <f>IF(A345="","",L345-K345)</f>
        <v/>
      </c>
    </row>
    <row r="346">
      <c r="A346" s="30" t="inlineStr"/>
      <c r="B346" s="38" t="inlineStr"/>
      <c r="C346" s="30" t="inlineStr"/>
      <c r="D346" s="30" t="inlineStr"/>
      <c r="E346" s="46" t="inlineStr"/>
      <c r="F346" s="30" t="inlineStr"/>
      <c r="G346" s="30" t="inlineStr"/>
      <c r="H346" s="30" t="inlineStr"/>
      <c r="I346" s="15">
        <f>IF(D346="","",IFERROR(VLOOKUP(D346,'04_Personal'!$A$4:$G$400,7,FALSE),0))</f>
        <v/>
      </c>
      <c r="J346" s="15">
        <f>IF(D346="","",IFERROR(VLOOKUP(D346,'04_Personal'!$A$4:$G$400,6,FALSE),VSSatz))</f>
        <v/>
      </c>
      <c r="K346" s="15">
        <f>IF(A346="","",E346*I346)</f>
        <v/>
      </c>
      <c r="L346" s="15">
        <f>IF(A346="","",IF(H346="JA",E346*J346,0))</f>
        <v/>
      </c>
      <c r="M346" s="15">
        <f>IF(A346="","",L346-K346)</f>
        <v/>
      </c>
    </row>
    <row r="347">
      <c r="A347" s="30" t="inlineStr"/>
      <c r="B347" s="38" t="inlineStr"/>
      <c r="C347" s="30" t="inlineStr"/>
      <c r="D347" s="30" t="inlineStr"/>
      <c r="E347" s="46" t="inlineStr"/>
      <c r="F347" s="30" t="inlineStr"/>
      <c r="G347" s="30" t="inlineStr"/>
      <c r="H347" s="30" t="inlineStr"/>
      <c r="I347" s="15">
        <f>IF(D347="","",IFERROR(VLOOKUP(D347,'04_Personal'!$A$4:$G$400,7,FALSE),0))</f>
        <v/>
      </c>
      <c r="J347" s="15">
        <f>IF(D347="","",IFERROR(VLOOKUP(D347,'04_Personal'!$A$4:$G$400,6,FALSE),VSSatz))</f>
        <v/>
      </c>
      <c r="K347" s="15">
        <f>IF(A347="","",E347*I347)</f>
        <v/>
      </c>
      <c r="L347" s="15">
        <f>IF(A347="","",IF(H347="JA",E347*J347,0))</f>
        <v/>
      </c>
      <c r="M347" s="15">
        <f>IF(A347="","",L347-K347)</f>
        <v/>
      </c>
    </row>
    <row r="348">
      <c r="A348" s="30" t="inlineStr"/>
      <c r="B348" s="38" t="inlineStr"/>
      <c r="C348" s="30" t="inlineStr"/>
      <c r="D348" s="30" t="inlineStr"/>
      <c r="E348" s="46" t="inlineStr"/>
      <c r="F348" s="30" t="inlineStr"/>
      <c r="G348" s="30" t="inlineStr"/>
      <c r="H348" s="30" t="inlineStr"/>
      <c r="I348" s="15">
        <f>IF(D348="","",IFERROR(VLOOKUP(D348,'04_Personal'!$A$4:$G$400,7,FALSE),0))</f>
        <v/>
      </c>
      <c r="J348" s="15">
        <f>IF(D348="","",IFERROR(VLOOKUP(D348,'04_Personal'!$A$4:$G$400,6,FALSE),VSSatz))</f>
        <v/>
      </c>
      <c r="K348" s="15">
        <f>IF(A348="","",E348*I348)</f>
        <v/>
      </c>
      <c r="L348" s="15">
        <f>IF(A348="","",IF(H348="JA",E348*J348,0))</f>
        <v/>
      </c>
      <c r="M348" s="15">
        <f>IF(A348="","",L348-K348)</f>
        <v/>
      </c>
    </row>
    <row r="349">
      <c r="A349" s="30" t="inlineStr"/>
      <c r="B349" s="38" t="inlineStr"/>
      <c r="C349" s="30" t="inlineStr"/>
      <c r="D349" s="30" t="inlineStr"/>
      <c r="E349" s="46" t="inlineStr"/>
      <c r="F349" s="30" t="inlineStr"/>
      <c r="G349" s="30" t="inlineStr"/>
      <c r="H349" s="30" t="inlineStr"/>
      <c r="I349" s="15">
        <f>IF(D349="","",IFERROR(VLOOKUP(D349,'04_Personal'!$A$4:$G$400,7,FALSE),0))</f>
        <v/>
      </c>
      <c r="J349" s="15">
        <f>IF(D349="","",IFERROR(VLOOKUP(D349,'04_Personal'!$A$4:$G$400,6,FALSE),VSSatz))</f>
        <v/>
      </c>
      <c r="K349" s="15">
        <f>IF(A349="","",E349*I349)</f>
        <v/>
      </c>
      <c r="L349" s="15">
        <f>IF(A349="","",IF(H349="JA",E349*J349,0))</f>
        <v/>
      </c>
      <c r="M349" s="15">
        <f>IF(A349="","",L349-K349)</f>
        <v/>
      </c>
    </row>
    <row r="350">
      <c r="A350" s="30" t="inlineStr"/>
      <c r="B350" s="38" t="inlineStr"/>
      <c r="C350" s="30" t="inlineStr"/>
      <c r="D350" s="30" t="inlineStr"/>
      <c r="E350" s="46" t="inlineStr"/>
      <c r="F350" s="30" t="inlineStr"/>
      <c r="G350" s="30" t="inlineStr"/>
      <c r="H350" s="30" t="inlineStr"/>
      <c r="I350" s="15">
        <f>IF(D350="","",IFERROR(VLOOKUP(D350,'04_Personal'!$A$4:$G$400,7,FALSE),0))</f>
        <v/>
      </c>
      <c r="J350" s="15">
        <f>IF(D350="","",IFERROR(VLOOKUP(D350,'04_Personal'!$A$4:$G$400,6,FALSE),VSSatz))</f>
        <v/>
      </c>
      <c r="K350" s="15">
        <f>IF(A350="","",E350*I350)</f>
        <v/>
      </c>
      <c r="L350" s="15">
        <f>IF(A350="","",IF(H350="JA",E350*J350,0))</f>
        <v/>
      </c>
      <c r="M350" s="15">
        <f>IF(A350="","",L350-K350)</f>
        <v/>
      </c>
    </row>
    <row r="351">
      <c r="A351" s="30" t="inlineStr"/>
      <c r="B351" s="38" t="inlineStr"/>
      <c r="C351" s="30" t="inlineStr"/>
      <c r="D351" s="30" t="inlineStr"/>
      <c r="E351" s="46" t="inlineStr"/>
      <c r="F351" s="30" t="inlineStr"/>
      <c r="G351" s="30" t="inlineStr"/>
      <c r="H351" s="30" t="inlineStr"/>
      <c r="I351" s="15">
        <f>IF(D351="","",IFERROR(VLOOKUP(D351,'04_Personal'!$A$4:$G$400,7,FALSE),0))</f>
        <v/>
      </c>
      <c r="J351" s="15">
        <f>IF(D351="","",IFERROR(VLOOKUP(D351,'04_Personal'!$A$4:$G$400,6,FALSE),VSSatz))</f>
        <v/>
      </c>
      <c r="K351" s="15">
        <f>IF(A351="","",E351*I351)</f>
        <v/>
      </c>
      <c r="L351" s="15">
        <f>IF(A351="","",IF(H351="JA",E351*J351,0))</f>
        <v/>
      </c>
      <c r="M351" s="15">
        <f>IF(A351="","",L351-K351)</f>
        <v/>
      </c>
    </row>
    <row r="352">
      <c r="A352" s="30" t="inlineStr"/>
      <c r="B352" s="38" t="inlineStr"/>
      <c r="C352" s="30" t="inlineStr"/>
      <c r="D352" s="30" t="inlineStr"/>
      <c r="E352" s="46" t="inlineStr"/>
      <c r="F352" s="30" t="inlineStr"/>
      <c r="G352" s="30" t="inlineStr"/>
      <c r="H352" s="30" t="inlineStr"/>
      <c r="I352" s="15">
        <f>IF(D352="","",IFERROR(VLOOKUP(D352,'04_Personal'!$A$4:$G$400,7,FALSE),0))</f>
        <v/>
      </c>
      <c r="J352" s="15">
        <f>IF(D352="","",IFERROR(VLOOKUP(D352,'04_Personal'!$A$4:$G$400,6,FALSE),VSSatz))</f>
        <v/>
      </c>
      <c r="K352" s="15">
        <f>IF(A352="","",E352*I352)</f>
        <v/>
      </c>
      <c r="L352" s="15">
        <f>IF(A352="","",IF(H352="JA",E352*J352,0))</f>
        <v/>
      </c>
      <c r="M352" s="15">
        <f>IF(A352="","",L352-K352)</f>
        <v/>
      </c>
    </row>
    <row r="353">
      <c r="A353" s="30" t="inlineStr"/>
      <c r="B353" s="38" t="inlineStr"/>
      <c r="C353" s="30" t="inlineStr"/>
      <c r="D353" s="30" t="inlineStr"/>
      <c r="E353" s="46" t="inlineStr"/>
      <c r="F353" s="30" t="inlineStr"/>
      <c r="G353" s="30" t="inlineStr"/>
      <c r="H353" s="30" t="inlineStr"/>
      <c r="I353" s="15">
        <f>IF(D353="","",IFERROR(VLOOKUP(D353,'04_Personal'!$A$4:$G$400,7,FALSE),0))</f>
        <v/>
      </c>
      <c r="J353" s="15">
        <f>IF(D353="","",IFERROR(VLOOKUP(D353,'04_Personal'!$A$4:$G$400,6,FALSE),VSSatz))</f>
        <v/>
      </c>
      <c r="K353" s="15">
        <f>IF(A353="","",E353*I353)</f>
        <v/>
      </c>
      <c r="L353" s="15">
        <f>IF(A353="","",IF(H353="JA",E353*J353,0))</f>
        <v/>
      </c>
      <c r="M353" s="15">
        <f>IF(A353="","",L353-K353)</f>
        <v/>
      </c>
    </row>
    <row r="354">
      <c r="A354" s="30" t="inlineStr"/>
      <c r="B354" s="38" t="inlineStr"/>
      <c r="C354" s="30" t="inlineStr"/>
      <c r="D354" s="30" t="inlineStr"/>
      <c r="E354" s="46" t="inlineStr"/>
      <c r="F354" s="30" t="inlineStr"/>
      <c r="G354" s="30" t="inlineStr"/>
      <c r="H354" s="30" t="inlineStr"/>
      <c r="I354" s="15">
        <f>IF(D354="","",IFERROR(VLOOKUP(D354,'04_Personal'!$A$4:$G$400,7,FALSE),0))</f>
        <v/>
      </c>
      <c r="J354" s="15">
        <f>IF(D354="","",IFERROR(VLOOKUP(D354,'04_Personal'!$A$4:$G$400,6,FALSE),VSSatz))</f>
        <v/>
      </c>
      <c r="K354" s="15">
        <f>IF(A354="","",E354*I354)</f>
        <v/>
      </c>
      <c r="L354" s="15">
        <f>IF(A354="","",IF(H354="JA",E354*J354,0))</f>
        <v/>
      </c>
      <c r="M354" s="15">
        <f>IF(A354="","",L354-K354)</f>
        <v/>
      </c>
    </row>
    <row r="355">
      <c r="A355" s="30" t="inlineStr"/>
      <c r="B355" s="38" t="inlineStr"/>
      <c r="C355" s="30" t="inlineStr"/>
      <c r="D355" s="30" t="inlineStr"/>
      <c r="E355" s="46" t="inlineStr"/>
      <c r="F355" s="30" t="inlineStr"/>
      <c r="G355" s="30" t="inlineStr"/>
      <c r="H355" s="30" t="inlineStr"/>
      <c r="I355" s="15">
        <f>IF(D355="","",IFERROR(VLOOKUP(D355,'04_Personal'!$A$4:$G$400,7,FALSE),0))</f>
        <v/>
      </c>
      <c r="J355" s="15">
        <f>IF(D355="","",IFERROR(VLOOKUP(D355,'04_Personal'!$A$4:$G$400,6,FALSE),VSSatz))</f>
        <v/>
      </c>
      <c r="K355" s="15">
        <f>IF(A355="","",E355*I355)</f>
        <v/>
      </c>
      <c r="L355" s="15">
        <f>IF(A355="","",IF(H355="JA",E355*J355,0))</f>
        <v/>
      </c>
      <c r="M355" s="15">
        <f>IF(A355="","",L355-K355)</f>
        <v/>
      </c>
    </row>
    <row r="356">
      <c r="A356" s="30" t="inlineStr"/>
      <c r="B356" s="38" t="inlineStr"/>
      <c r="C356" s="30" t="inlineStr"/>
      <c r="D356" s="30" t="inlineStr"/>
      <c r="E356" s="46" t="inlineStr"/>
      <c r="F356" s="30" t="inlineStr"/>
      <c r="G356" s="30" t="inlineStr"/>
      <c r="H356" s="30" t="inlineStr"/>
      <c r="I356" s="15">
        <f>IF(D356="","",IFERROR(VLOOKUP(D356,'04_Personal'!$A$4:$G$400,7,FALSE),0))</f>
        <v/>
      </c>
      <c r="J356" s="15">
        <f>IF(D356="","",IFERROR(VLOOKUP(D356,'04_Personal'!$A$4:$G$400,6,FALSE),VSSatz))</f>
        <v/>
      </c>
      <c r="K356" s="15">
        <f>IF(A356="","",E356*I356)</f>
        <v/>
      </c>
      <c r="L356" s="15">
        <f>IF(A356="","",IF(H356="JA",E356*J356,0))</f>
        <v/>
      </c>
      <c r="M356" s="15">
        <f>IF(A356="","",L356-K356)</f>
        <v/>
      </c>
    </row>
    <row r="357">
      <c r="A357" s="30" t="inlineStr"/>
      <c r="B357" s="38" t="inlineStr"/>
      <c r="C357" s="30" t="inlineStr"/>
      <c r="D357" s="30" t="inlineStr"/>
      <c r="E357" s="46" t="inlineStr"/>
      <c r="F357" s="30" t="inlineStr"/>
      <c r="G357" s="30" t="inlineStr"/>
      <c r="H357" s="30" t="inlineStr"/>
      <c r="I357" s="15">
        <f>IF(D357="","",IFERROR(VLOOKUP(D357,'04_Personal'!$A$4:$G$400,7,FALSE),0))</f>
        <v/>
      </c>
      <c r="J357" s="15">
        <f>IF(D357="","",IFERROR(VLOOKUP(D357,'04_Personal'!$A$4:$G$400,6,FALSE),VSSatz))</f>
        <v/>
      </c>
      <c r="K357" s="15">
        <f>IF(A357="","",E357*I357)</f>
        <v/>
      </c>
      <c r="L357" s="15">
        <f>IF(A357="","",IF(H357="JA",E357*J357,0))</f>
        <v/>
      </c>
      <c r="M357" s="15">
        <f>IF(A357="","",L357-K357)</f>
        <v/>
      </c>
    </row>
    <row r="358">
      <c r="A358" s="30" t="inlineStr"/>
      <c r="B358" s="38" t="inlineStr"/>
      <c r="C358" s="30" t="inlineStr"/>
      <c r="D358" s="30" t="inlineStr"/>
      <c r="E358" s="46" t="inlineStr"/>
      <c r="F358" s="30" t="inlineStr"/>
      <c r="G358" s="30" t="inlineStr"/>
      <c r="H358" s="30" t="inlineStr"/>
      <c r="I358" s="15">
        <f>IF(D358="","",IFERROR(VLOOKUP(D358,'04_Personal'!$A$4:$G$400,7,FALSE),0))</f>
        <v/>
      </c>
      <c r="J358" s="15">
        <f>IF(D358="","",IFERROR(VLOOKUP(D358,'04_Personal'!$A$4:$G$400,6,FALSE),VSSatz))</f>
        <v/>
      </c>
      <c r="K358" s="15">
        <f>IF(A358="","",E358*I358)</f>
        <v/>
      </c>
      <c r="L358" s="15">
        <f>IF(A358="","",IF(H358="JA",E358*J358,0))</f>
        <v/>
      </c>
      <c r="M358" s="15">
        <f>IF(A358="","",L358-K358)</f>
        <v/>
      </c>
    </row>
    <row r="359">
      <c r="A359" s="30" t="inlineStr"/>
      <c r="B359" s="38" t="inlineStr"/>
      <c r="C359" s="30" t="inlineStr"/>
      <c r="D359" s="30" t="inlineStr"/>
      <c r="E359" s="46" t="inlineStr"/>
      <c r="F359" s="30" t="inlineStr"/>
      <c r="G359" s="30" t="inlineStr"/>
      <c r="H359" s="30" t="inlineStr"/>
      <c r="I359" s="15">
        <f>IF(D359="","",IFERROR(VLOOKUP(D359,'04_Personal'!$A$4:$G$400,7,FALSE),0))</f>
        <v/>
      </c>
      <c r="J359" s="15">
        <f>IF(D359="","",IFERROR(VLOOKUP(D359,'04_Personal'!$A$4:$G$400,6,FALSE),VSSatz))</f>
        <v/>
      </c>
      <c r="K359" s="15">
        <f>IF(A359="","",E359*I359)</f>
        <v/>
      </c>
      <c r="L359" s="15">
        <f>IF(A359="","",IF(H359="JA",E359*J359,0))</f>
        <v/>
      </c>
      <c r="M359" s="15">
        <f>IF(A359="","",L359-K359)</f>
        <v/>
      </c>
    </row>
    <row r="360">
      <c r="A360" s="30" t="inlineStr"/>
      <c r="B360" s="38" t="inlineStr"/>
      <c r="C360" s="30" t="inlineStr"/>
      <c r="D360" s="30" t="inlineStr"/>
      <c r="E360" s="46" t="inlineStr"/>
      <c r="F360" s="30" t="inlineStr"/>
      <c r="G360" s="30" t="inlineStr"/>
      <c r="H360" s="30" t="inlineStr"/>
      <c r="I360" s="15">
        <f>IF(D360="","",IFERROR(VLOOKUP(D360,'04_Personal'!$A$4:$G$400,7,FALSE),0))</f>
        <v/>
      </c>
      <c r="J360" s="15">
        <f>IF(D360="","",IFERROR(VLOOKUP(D360,'04_Personal'!$A$4:$G$400,6,FALSE),VSSatz))</f>
        <v/>
      </c>
      <c r="K360" s="15">
        <f>IF(A360="","",E360*I360)</f>
        <v/>
      </c>
      <c r="L360" s="15">
        <f>IF(A360="","",IF(H360="JA",E360*J360,0))</f>
        <v/>
      </c>
      <c r="M360" s="15">
        <f>IF(A360="","",L360-K360)</f>
        <v/>
      </c>
    </row>
    <row r="361">
      <c r="A361" s="30" t="inlineStr"/>
      <c r="B361" s="38" t="inlineStr"/>
      <c r="C361" s="30" t="inlineStr"/>
      <c r="D361" s="30" t="inlineStr"/>
      <c r="E361" s="46" t="inlineStr"/>
      <c r="F361" s="30" t="inlineStr"/>
      <c r="G361" s="30" t="inlineStr"/>
      <c r="H361" s="30" t="inlineStr"/>
      <c r="I361" s="15">
        <f>IF(D361="","",IFERROR(VLOOKUP(D361,'04_Personal'!$A$4:$G$400,7,FALSE),0))</f>
        <v/>
      </c>
      <c r="J361" s="15">
        <f>IF(D361="","",IFERROR(VLOOKUP(D361,'04_Personal'!$A$4:$G$400,6,FALSE),VSSatz))</f>
        <v/>
      </c>
      <c r="K361" s="15">
        <f>IF(A361="","",E361*I361)</f>
        <v/>
      </c>
      <c r="L361" s="15">
        <f>IF(A361="","",IF(H361="JA",E361*J361,0))</f>
        <v/>
      </c>
      <c r="M361" s="15">
        <f>IF(A361="","",L361-K361)</f>
        <v/>
      </c>
    </row>
    <row r="362">
      <c r="A362" s="30" t="inlineStr"/>
      <c r="B362" s="38" t="inlineStr"/>
      <c r="C362" s="30" t="inlineStr"/>
      <c r="D362" s="30" t="inlineStr"/>
      <c r="E362" s="46" t="inlineStr"/>
      <c r="F362" s="30" t="inlineStr"/>
      <c r="G362" s="30" t="inlineStr"/>
      <c r="H362" s="30" t="inlineStr"/>
      <c r="I362" s="15">
        <f>IF(D362="","",IFERROR(VLOOKUP(D362,'04_Personal'!$A$4:$G$400,7,FALSE),0))</f>
        <v/>
      </c>
      <c r="J362" s="15">
        <f>IF(D362="","",IFERROR(VLOOKUP(D362,'04_Personal'!$A$4:$G$400,6,FALSE),VSSatz))</f>
        <v/>
      </c>
      <c r="K362" s="15">
        <f>IF(A362="","",E362*I362)</f>
        <v/>
      </c>
      <c r="L362" s="15">
        <f>IF(A362="","",IF(H362="JA",E362*J362,0))</f>
        <v/>
      </c>
      <c r="M362" s="15">
        <f>IF(A362="","",L362-K362)</f>
        <v/>
      </c>
    </row>
    <row r="363">
      <c r="A363" s="30" t="inlineStr"/>
      <c r="B363" s="38" t="inlineStr"/>
      <c r="C363" s="30" t="inlineStr"/>
      <c r="D363" s="30" t="inlineStr"/>
      <c r="E363" s="46" t="inlineStr"/>
      <c r="F363" s="30" t="inlineStr"/>
      <c r="G363" s="30" t="inlineStr"/>
      <c r="H363" s="30" t="inlineStr"/>
      <c r="I363" s="15">
        <f>IF(D363="","",IFERROR(VLOOKUP(D363,'04_Personal'!$A$4:$G$400,7,FALSE),0))</f>
        <v/>
      </c>
      <c r="J363" s="15">
        <f>IF(D363="","",IFERROR(VLOOKUP(D363,'04_Personal'!$A$4:$G$400,6,FALSE),VSSatz))</f>
        <v/>
      </c>
      <c r="K363" s="15">
        <f>IF(A363="","",E363*I363)</f>
        <v/>
      </c>
      <c r="L363" s="15">
        <f>IF(A363="","",IF(H363="JA",E363*J363,0))</f>
        <v/>
      </c>
      <c r="M363" s="15">
        <f>IF(A363="","",L363-K363)</f>
        <v/>
      </c>
    </row>
    <row r="364">
      <c r="A364" s="30" t="inlineStr"/>
      <c r="B364" s="38" t="inlineStr"/>
      <c r="C364" s="30" t="inlineStr"/>
      <c r="D364" s="30" t="inlineStr"/>
      <c r="E364" s="46" t="inlineStr"/>
      <c r="F364" s="30" t="inlineStr"/>
      <c r="G364" s="30" t="inlineStr"/>
      <c r="H364" s="30" t="inlineStr"/>
      <c r="I364" s="15">
        <f>IF(D364="","",IFERROR(VLOOKUP(D364,'04_Personal'!$A$4:$G$400,7,FALSE),0))</f>
        <v/>
      </c>
      <c r="J364" s="15">
        <f>IF(D364="","",IFERROR(VLOOKUP(D364,'04_Personal'!$A$4:$G$400,6,FALSE),VSSatz))</f>
        <v/>
      </c>
      <c r="K364" s="15">
        <f>IF(A364="","",E364*I364)</f>
        <v/>
      </c>
      <c r="L364" s="15">
        <f>IF(A364="","",IF(H364="JA",E364*J364,0))</f>
        <v/>
      </c>
      <c r="M364" s="15">
        <f>IF(A364="","",L364-K364)</f>
        <v/>
      </c>
    </row>
    <row r="365">
      <c r="A365" s="30" t="inlineStr"/>
      <c r="B365" s="38" t="inlineStr"/>
      <c r="C365" s="30" t="inlineStr"/>
      <c r="D365" s="30" t="inlineStr"/>
      <c r="E365" s="46" t="inlineStr"/>
      <c r="F365" s="30" t="inlineStr"/>
      <c r="G365" s="30" t="inlineStr"/>
      <c r="H365" s="30" t="inlineStr"/>
      <c r="I365" s="15">
        <f>IF(D365="","",IFERROR(VLOOKUP(D365,'04_Personal'!$A$4:$G$400,7,FALSE),0))</f>
        <v/>
      </c>
      <c r="J365" s="15">
        <f>IF(D365="","",IFERROR(VLOOKUP(D365,'04_Personal'!$A$4:$G$400,6,FALSE),VSSatz))</f>
        <v/>
      </c>
      <c r="K365" s="15">
        <f>IF(A365="","",E365*I365)</f>
        <v/>
      </c>
      <c r="L365" s="15">
        <f>IF(A365="","",IF(H365="JA",E365*J365,0))</f>
        <v/>
      </c>
      <c r="M365" s="15">
        <f>IF(A365="","",L365-K365)</f>
        <v/>
      </c>
    </row>
    <row r="366">
      <c r="A366" s="30" t="inlineStr"/>
      <c r="B366" s="38" t="inlineStr"/>
      <c r="C366" s="30" t="inlineStr"/>
      <c r="D366" s="30" t="inlineStr"/>
      <c r="E366" s="46" t="inlineStr"/>
      <c r="F366" s="30" t="inlineStr"/>
      <c r="G366" s="30" t="inlineStr"/>
      <c r="H366" s="30" t="inlineStr"/>
      <c r="I366" s="15">
        <f>IF(D366="","",IFERROR(VLOOKUP(D366,'04_Personal'!$A$4:$G$400,7,FALSE),0))</f>
        <v/>
      </c>
      <c r="J366" s="15">
        <f>IF(D366="","",IFERROR(VLOOKUP(D366,'04_Personal'!$A$4:$G$400,6,FALSE),VSSatz))</f>
        <v/>
      </c>
      <c r="K366" s="15">
        <f>IF(A366="","",E366*I366)</f>
        <v/>
      </c>
      <c r="L366" s="15">
        <f>IF(A366="","",IF(H366="JA",E366*J366,0))</f>
        <v/>
      </c>
      <c r="M366" s="15">
        <f>IF(A366="","",L366-K366)</f>
        <v/>
      </c>
    </row>
    <row r="367">
      <c r="A367" s="30" t="inlineStr"/>
      <c r="B367" s="38" t="inlineStr"/>
      <c r="C367" s="30" t="inlineStr"/>
      <c r="D367" s="30" t="inlineStr"/>
      <c r="E367" s="46" t="inlineStr"/>
      <c r="F367" s="30" t="inlineStr"/>
      <c r="G367" s="30" t="inlineStr"/>
      <c r="H367" s="30" t="inlineStr"/>
      <c r="I367" s="15">
        <f>IF(D367="","",IFERROR(VLOOKUP(D367,'04_Personal'!$A$4:$G$400,7,FALSE),0))</f>
        <v/>
      </c>
      <c r="J367" s="15">
        <f>IF(D367="","",IFERROR(VLOOKUP(D367,'04_Personal'!$A$4:$G$400,6,FALSE),VSSatz))</f>
        <v/>
      </c>
      <c r="K367" s="15">
        <f>IF(A367="","",E367*I367)</f>
        <v/>
      </c>
      <c r="L367" s="15">
        <f>IF(A367="","",IF(H367="JA",E367*J367,0))</f>
        <v/>
      </c>
      <c r="M367" s="15">
        <f>IF(A367="","",L367-K367)</f>
        <v/>
      </c>
    </row>
    <row r="368">
      <c r="A368" s="30" t="inlineStr"/>
      <c r="B368" s="38" t="inlineStr"/>
      <c r="C368" s="30" t="inlineStr"/>
      <c r="D368" s="30" t="inlineStr"/>
      <c r="E368" s="46" t="inlineStr"/>
      <c r="F368" s="30" t="inlineStr"/>
      <c r="G368" s="30" t="inlineStr"/>
      <c r="H368" s="30" t="inlineStr"/>
      <c r="I368" s="15">
        <f>IF(D368="","",IFERROR(VLOOKUP(D368,'04_Personal'!$A$4:$G$400,7,FALSE),0))</f>
        <v/>
      </c>
      <c r="J368" s="15">
        <f>IF(D368="","",IFERROR(VLOOKUP(D368,'04_Personal'!$A$4:$G$400,6,FALSE),VSSatz))</f>
        <v/>
      </c>
      <c r="K368" s="15">
        <f>IF(A368="","",E368*I368)</f>
        <v/>
      </c>
      <c r="L368" s="15">
        <f>IF(A368="","",IF(H368="JA",E368*J368,0))</f>
        <v/>
      </c>
      <c r="M368" s="15">
        <f>IF(A368="","",L368-K368)</f>
        <v/>
      </c>
    </row>
    <row r="369">
      <c r="A369" s="30" t="inlineStr"/>
      <c r="B369" s="38" t="inlineStr"/>
      <c r="C369" s="30" t="inlineStr"/>
      <c r="D369" s="30" t="inlineStr"/>
      <c r="E369" s="46" t="inlineStr"/>
      <c r="F369" s="30" t="inlineStr"/>
      <c r="G369" s="30" t="inlineStr"/>
      <c r="H369" s="30" t="inlineStr"/>
      <c r="I369" s="15">
        <f>IF(D369="","",IFERROR(VLOOKUP(D369,'04_Personal'!$A$4:$G$400,7,FALSE),0))</f>
        <v/>
      </c>
      <c r="J369" s="15">
        <f>IF(D369="","",IFERROR(VLOOKUP(D369,'04_Personal'!$A$4:$G$400,6,FALSE),VSSatz))</f>
        <v/>
      </c>
      <c r="K369" s="15">
        <f>IF(A369="","",E369*I369)</f>
        <v/>
      </c>
      <c r="L369" s="15">
        <f>IF(A369="","",IF(H369="JA",E369*J369,0))</f>
        <v/>
      </c>
      <c r="M369" s="15">
        <f>IF(A369="","",L369-K369)</f>
        <v/>
      </c>
    </row>
    <row r="370">
      <c r="A370" s="30" t="inlineStr"/>
      <c r="B370" s="38" t="inlineStr"/>
      <c r="C370" s="30" t="inlineStr"/>
      <c r="D370" s="30" t="inlineStr"/>
      <c r="E370" s="46" t="inlineStr"/>
      <c r="F370" s="30" t="inlineStr"/>
      <c r="G370" s="30" t="inlineStr"/>
      <c r="H370" s="30" t="inlineStr"/>
      <c r="I370" s="15">
        <f>IF(D370="","",IFERROR(VLOOKUP(D370,'04_Personal'!$A$4:$G$400,7,FALSE),0))</f>
        <v/>
      </c>
      <c r="J370" s="15">
        <f>IF(D370="","",IFERROR(VLOOKUP(D370,'04_Personal'!$A$4:$G$400,6,FALSE),VSSatz))</f>
        <v/>
      </c>
      <c r="K370" s="15">
        <f>IF(A370="","",E370*I370)</f>
        <v/>
      </c>
      <c r="L370" s="15">
        <f>IF(A370="","",IF(H370="JA",E370*J370,0))</f>
        <v/>
      </c>
      <c r="M370" s="15">
        <f>IF(A370="","",L370-K370)</f>
        <v/>
      </c>
    </row>
    <row r="371">
      <c r="A371" s="30" t="inlineStr"/>
      <c r="B371" s="38" t="inlineStr"/>
      <c r="C371" s="30" t="inlineStr"/>
      <c r="D371" s="30" t="inlineStr"/>
      <c r="E371" s="46" t="inlineStr"/>
      <c r="F371" s="30" t="inlineStr"/>
      <c r="G371" s="30" t="inlineStr"/>
      <c r="H371" s="30" t="inlineStr"/>
      <c r="I371" s="15">
        <f>IF(D371="","",IFERROR(VLOOKUP(D371,'04_Personal'!$A$4:$G$400,7,FALSE),0))</f>
        <v/>
      </c>
      <c r="J371" s="15">
        <f>IF(D371="","",IFERROR(VLOOKUP(D371,'04_Personal'!$A$4:$G$400,6,FALSE),VSSatz))</f>
        <v/>
      </c>
      <c r="K371" s="15">
        <f>IF(A371="","",E371*I371)</f>
        <v/>
      </c>
      <c r="L371" s="15">
        <f>IF(A371="","",IF(H371="JA",E371*J371,0))</f>
        <v/>
      </c>
      <c r="M371" s="15">
        <f>IF(A371="","",L371-K371)</f>
        <v/>
      </c>
    </row>
    <row r="372">
      <c r="A372" s="30" t="inlineStr"/>
      <c r="B372" s="38" t="inlineStr"/>
      <c r="C372" s="30" t="inlineStr"/>
      <c r="D372" s="30" t="inlineStr"/>
      <c r="E372" s="46" t="inlineStr"/>
      <c r="F372" s="30" t="inlineStr"/>
      <c r="G372" s="30" t="inlineStr"/>
      <c r="H372" s="30" t="inlineStr"/>
      <c r="I372" s="15">
        <f>IF(D372="","",IFERROR(VLOOKUP(D372,'04_Personal'!$A$4:$G$400,7,FALSE),0))</f>
        <v/>
      </c>
      <c r="J372" s="15">
        <f>IF(D372="","",IFERROR(VLOOKUP(D372,'04_Personal'!$A$4:$G$400,6,FALSE),VSSatz))</f>
        <v/>
      </c>
      <c r="K372" s="15">
        <f>IF(A372="","",E372*I372)</f>
        <v/>
      </c>
      <c r="L372" s="15">
        <f>IF(A372="","",IF(H372="JA",E372*J372,0))</f>
        <v/>
      </c>
      <c r="M372" s="15">
        <f>IF(A372="","",L372-K372)</f>
        <v/>
      </c>
    </row>
    <row r="373">
      <c r="A373" s="30" t="inlineStr"/>
      <c r="B373" s="38" t="inlineStr"/>
      <c r="C373" s="30" t="inlineStr"/>
      <c r="D373" s="30" t="inlineStr"/>
      <c r="E373" s="46" t="inlineStr"/>
      <c r="F373" s="30" t="inlineStr"/>
      <c r="G373" s="30" t="inlineStr"/>
      <c r="H373" s="30" t="inlineStr"/>
      <c r="I373" s="15">
        <f>IF(D373="","",IFERROR(VLOOKUP(D373,'04_Personal'!$A$4:$G$400,7,FALSE),0))</f>
        <v/>
      </c>
      <c r="J373" s="15">
        <f>IF(D373="","",IFERROR(VLOOKUP(D373,'04_Personal'!$A$4:$G$400,6,FALSE),VSSatz))</f>
        <v/>
      </c>
      <c r="K373" s="15">
        <f>IF(A373="","",E373*I373)</f>
        <v/>
      </c>
      <c r="L373" s="15">
        <f>IF(A373="","",IF(H373="JA",E373*J373,0))</f>
        <v/>
      </c>
      <c r="M373" s="15">
        <f>IF(A373="","",L373-K373)</f>
        <v/>
      </c>
    </row>
    <row r="374">
      <c r="A374" s="30" t="inlineStr"/>
      <c r="B374" s="38" t="inlineStr"/>
      <c r="C374" s="30" t="inlineStr"/>
      <c r="D374" s="30" t="inlineStr"/>
      <c r="E374" s="46" t="inlineStr"/>
      <c r="F374" s="30" t="inlineStr"/>
      <c r="G374" s="30" t="inlineStr"/>
      <c r="H374" s="30" t="inlineStr"/>
      <c r="I374" s="15">
        <f>IF(D374="","",IFERROR(VLOOKUP(D374,'04_Personal'!$A$4:$G$400,7,FALSE),0))</f>
        <v/>
      </c>
      <c r="J374" s="15">
        <f>IF(D374="","",IFERROR(VLOOKUP(D374,'04_Personal'!$A$4:$G$400,6,FALSE),VSSatz))</f>
        <v/>
      </c>
      <c r="K374" s="15">
        <f>IF(A374="","",E374*I374)</f>
        <v/>
      </c>
      <c r="L374" s="15">
        <f>IF(A374="","",IF(H374="JA",E374*J374,0))</f>
        <v/>
      </c>
      <c r="M374" s="15">
        <f>IF(A374="","",L374-K374)</f>
        <v/>
      </c>
    </row>
    <row r="375">
      <c r="A375" s="30" t="inlineStr"/>
      <c r="B375" s="38" t="inlineStr"/>
      <c r="C375" s="30" t="inlineStr"/>
      <c r="D375" s="30" t="inlineStr"/>
      <c r="E375" s="46" t="inlineStr"/>
      <c r="F375" s="30" t="inlineStr"/>
      <c r="G375" s="30" t="inlineStr"/>
      <c r="H375" s="30" t="inlineStr"/>
      <c r="I375" s="15">
        <f>IF(D375="","",IFERROR(VLOOKUP(D375,'04_Personal'!$A$4:$G$400,7,FALSE),0))</f>
        <v/>
      </c>
      <c r="J375" s="15">
        <f>IF(D375="","",IFERROR(VLOOKUP(D375,'04_Personal'!$A$4:$G$400,6,FALSE),VSSatz))</f>
        <v/>
      </c>
      <c r="K375" s="15">
        <f>IF(A375="","",E375*I375)</f>
        <v/>
      </c>
      <c r="L375" s="15">
        <f>IF(A375="","",IF(H375="JA",E375*J375,0))</f>
        <v/>
      </c>
      <c r="M375" s="15">
        <f>IF(A375="","",L375-K375)</f>
        <v/>
      </c>
    </row>
    <row r="376">
      <c r="A376" s="30" t="inlineStr"/>
      <c r="B376" s="38" t="inlineStr"/>
      <c r="C376" s="30" t="inlineStr"/>
      <c r="D376" s="30" t="inlineStr"/>
      <c r="E376" s="46" t="inlineStr"/>
      <c r="F376" s="30" t="inlineStr"/>
      <c r="G376" s="30" t="inlineStr"/>
      <c r="H376" s="30" t="inlineStr"/>
      <c r="I376" s="15">
        <f>IF(D376="","",IFERROR(VLOOKUP(D376,'04_Personal'!$A$4:$G$400,7,FALSE),0))</f>
        <v/>
      </c>
      <c r="J376" s="15">
        <f>IF(D376="","",IFERROR(VLOOKUP(D376,'04_Personal'!$A$4:$G$400,6,FALSE),VSSatz))</f>
        <v/>
      </c>
      <c r="K376" s="15">
        <f>IF(A376="","",E376*I376)</f>
        <v/>
      </c>
      <c r="L376" s="15">
        <f>IF(A376="","",IF(H376="JA",E376*J376,0))</f>
        <v/>
      </c>
      <c r="M376" s="15">
        <f>IF(A376="","",L376-K376)</f>
        <v/>
      </c>
    </row>
    <row r="377">
      <c r="A377" s="30" t="inlineStr"/>
      <c r="B377" s="38" t="inlineStr"/>
      <c r="C377" s="30" t="inlineStr"/>
      <c r="D377" s="30" t="inlineStr"/>
      <c r="E377" s="46" t="inlineStr"/>
      <c r="F377" s="30" t="inlineStr"/>
      <c r="G377" s="30" t="inlineStr"/>
      <c r="H377" s="30" t="inlineStr"/>
      <c r="I377" s="15">
        <f>IF(D377="","",IFERROR(VLOOKUP(D377,'04_Personal'!$A$4:$G$400,7,FALSE),0))</f>
        <v/>
      </c>
      <c r="J377" s="15">
        <f>IF(D377="","",IFERROR(VLOOKUP(D377,'04_Personal'!$A$4:$G$400,6,FALSE),VSSatz))</f>
        <v/>
      </c>
      <c r="K377" s="15">
        <f>IF(A377="","",E377*I377)</f>
        <v/>
      </c>
      <c r="L377" s="15">
        <f>IF(A377="","",IF(H377="JA",E377*J377,0))</f>
        <v/>
      </c>
      <c r="M377" s="15">
        <f>IF(A377="","",L377-K377)</f>
        <v/>
      </c>
    </row>
    <row r="378">
      <c r="A378" s="30" t="inlineStr"/>
      <c r="B378" s="38" t="inlineStr"/>
      <c r="C378" s="30" t="inlineStr"/>
      <c r="D378" s="30" t="inlineStr"/>
      <c r="E378" s="46" t="inlineStr"/>
      <c r="F378" s="30" t="inlineStr"/>
      <c r="G378" s="30" t="inlineStr"/>
      <c r="H378" s="30" t="inlineStr"/>
      <c r="I378" s="15">
        <f>IF(D378="","",IFERROR(VLOOKUP(D378,'04_Personal'!$A$4:$G$400,7,FALSE),0))</f>
        <v/>
      </c>
      <c r="J378" s="15">
        <f>IF(D378="","",IFERROR(VLOOKUP(D378,'04_Personal'!$A$4:$G$400,6,FALSE),VSSatz))</f>
        <v/>
      </c>
      <c r="K378" s="15">
        <f>IF(A378="","",E378*I378)</f>
        <v/>
      </c>
      <c r="L378" s="15">
        <f>IF(A378="","",IF(H378="JA",E378*J378,0))</f>
        <v/>
      </c>
      <c r="M378" s="15">
        <f>IF(A378="","",L378-K378)</f>
        <v/>
      </c>
    </row>
    <row r="379">
      <c r="A379" s="30" t="inlineStr"/>
      <c r="B379" s="38" t="inlineStr"/>
      <c r="C379" s="30" t="inlineStr"/>
      <c r="D379" s="30" t="inlineStr"/>
      <c r="E379" s="46" t="inlineStr"/>
      <c r="F379" s="30" t="inlineStr"/>
      <c r="G379" s="30" t="inlineStr"/>
      <c r="H379" s="30" t="inlineStr"/>
      <c r="I379" s="15">
        <f>IF(D379="","",IFERROR(VLOOKUP(D379,'04_Personal'!$A$4:$G$400,7,FALSE),0))</f>
        <v/>
      </c>
      <c r="J379" s="15">
        <f>IF(D379="","",IFERROR(VLOOKUP(D379,'04_Personal'!$A$4:$G$400,6,FALSE),VSSatz))</f>
        <v/>
      </c>
      <c r="K379" s="15">
        <f>IF(A379="","",E379*I379)</f>
        <v/>
      </c>
      <c r="L379" s="15">
        <f>IF(A379="","",IF(H379="JA",E379*J379,0))</f>
        <v/>
      </c>
      <c r="M379" s="15">
        <f>IF(A379="","",L379-K379)</f>
        <v/>
      </c>
    </row>
    <row r="380">
      <c r="A380" s="30" t="inlineStr"/>
      <c r="B380" s="38" t="inlineStr"/>
      <c r="C380" s="30" t="inlineStr"/>
      <c r="D380" s="30" t="inlineStr"/>
      <c r="E380" s="46" t="inlineStr"/>
      <c r="F380" s="30" t="inlineStr"/>
      <c r="G380" s="30" t="inlineStr"/>
      <c r="H380" s="30" t="inlineStr"/>
      <c r="I380" s="15">
        <f>IF(D380="","",IFERROR(VLOOKUP(D380,'04_Personal'!$A$4:$G$400,7,FALSE),0))</f>
        <v/>
      </c>
      <c r="J380" s="15">
        <f>IF(D380="","",IFERROR(VLOOKUP(D380,'04_Personal'!$A$4:$G$400,6,FALSE),VSSatz))</f>
        <v/>
      </c>
      <c r="K380" s="15">
        <f>IF(A380="","",E380*I380)</f>
        <v/>
      </c>
      <c r="L380" s="15">
        <f>IF(A380="","",IF(H380="JA",E380*J380,0))</f>
        <v/>
      </c>
      <c r="M380" s="15">
        <f>IF(A380="","",L380-K380)</f>
        <v/>
      </c>
    </row>
    <row r="381">
      <c r="A381" s="30" t="inlineStr"/>
      <c r="B381" s="38" t="inlineStr"/>
      <c r="C381" s="30" t="inlineStr"/>
      <c r="D381" s="30" t="inlineStr"/>
      <c r="E381" s="46" t="inlineStr"/>
      <c r="F381" s="30" t="inlineStr"/>
      <c r="G381" s="30" t="inlineStr"/>
      <c r="H381" s="30" t="inlineStr"/>
      <c r="I381" s="15">
        <f>IF(D381="","",IFERROR(VLOOKUP(D381,'04_Personal'!$A$4:$G$400,7,FALSE),0))</f>
        <v/>
      </c>
      <c r="J381" s="15">
        <f>IF(D381="","",IFERROR(VLOOKUP(D381,'04_Personal'!$A$4:$G$400,6,FALSE),VSSatz))</f>
        <v/>
      </c>
      <c r="K381" s="15">
        <f>IF(A381="","",E381*I381)</f>
        <v/>
      </c>
      <c r="L381" s="15">
        <f>IF(A381="","",IF(H381="JA",E381*J381,0))</f>
        <v/>
      </c>
      <c r="M381" s="15">
        <f>IF(A381="","",L381-K381)</f>
        <v/>
      </c>
    </row>
    <row r="382">
      <c r="A382" s="30" t="inlineStr"/>
      <c r="B382" s="38" t="inlineStr"/>
      <c r="C382" s="30" t="inlineStr"/>
      <c r="D382" s="30" t="inlineStr"/>
      <c r="E382" s="46" t="inlineStr"/>
      <c r="F382" s="30" t="inlineStr"/>
      <c r="G382" s="30" t="inlineStr"/>
      <c r="H382" s="30" t="inlineStr"/>
      <c r="I382" s="15">
        <f>IF(D382="","",IFERROR(VLOOKUP(D382,'04_Personal'!$A$4:$G$400,7,FALSE),0))</f>
        <v/>
      </c>
      <c r="J382" s="15">
        <f>IF(D382="","",IFERROR(VLOOKUP(D382,'04_Personal'!$A$4:$G$400,6,FALSE),VSSatz))</f>
        <v/>
      </c>
      <c r="K382" s="15">
        <f>IF(A382="","",E382*I382)</f>
        <v/>
      </c>
      <c r="L382" s="15">
        <f>IF(A382="","",IF(H382="JA",E382*J382,0))</f>
        <v/>
      </c>
      <c r="M382" s="15">
        <f>IF(A382="","",L382-K382)</f>
        <v/>
      </c>
    </row>
    <row r="383">
      <c r="A383" s="30" t="inlineStr"/>
      <c r="B383" s="38" t="inlineStr"/>
      <c r="C383" s="30" t="inlineStr"/>
      <c r="D383" s="30" t="inlineStr"/>
      <c r="E383" s="46" t="inlineStr"/>
      <c r="F383" s="30" t="inlineStr"/>
      <c r="G383" s="30" t="inlineStr"/>
      <c r="H383" s="30" t="inlineStr"/>
      <c r="I383" s="15">
        <f>IF(D383="","",IFERROR(VLOOKUP(D383,'04_Personal'!$A$4:$G$400,7,FALSE),0))</f>
        <v/>
      </c>
      <c r="J383" s="15">
        <f>IF(D383="","",IFERROR(VLOOKUP(D383,'04_Personal'!$A$4:$G$400,6,FALSE),VSSatz))</f>
        <v/>
      </c>
      <c r="K383" s="15">
        <f>IF(A383="","",E383*I383)</f>
        <v/>
      </c>
      <c r="L383" s="15">
        <f>IF(A383="","",IF(H383="JA",E383*J383,0))</f>
        <v/>
      </c>
      <c r="M383" s="15">
        <f>IF(A383="","",L383-K383)</f>
        <v/>
      </c>
    </row>
    <row r="384">
      <c r="A384" s="30" t="inlineStr"/>
      <c r="B384" s="38" t="inlineStr"/>
      <c r="C384" s="30" t="inlineStr"/>
      <c r="D384" s="30" t="inlineStr"/>
      <c r="E384" s="46" t="inlineStr"/>
      <c r="F384" s="30" t="inlineStr"/>
      <c r="G384" s="30" t="inlineStr"/>
      <c r="H384" s="30" t="inlineStr"/>
      <c r="I384" s="15">
        <f>IF(D384="","",IFERROR(VLOOKUP(D384,'04_Personal'!$A$4:$G$400,7,FALSE),0))</f>
        <v/>
      </c>
      <c r="J384" s="15">
        <f>IF(D384="","",IFERROR(VLOOKUP(D384,'04_Personal'!$A$4:$G$400,6,FALSE),VSSatz))</f>
        <v/>
      </c>
      <c r="K384" s="15">
        <f>IF(A384="","",E384*I384)</f>
        <v/>
      </c>
      <c r="L384" s="15">
        <f>IF(A384="","",IF(H384="JA",E384*J384,0))</f>
        <v/>
      </c>
      <c r="M384" s="15">
        <f>IF(A384="","",L384-K384)</f>
        <v/>
      </c>
    </row>
    <row r="385">
      <c r="A385" s="30" t="inlineStr"/>
      <c r="B385" s="38" t="inlineStr"/>
      <c r="C385" s="30" t="inlineStr"/>
      <c r="D385" s="30" t="inlineStr"/>
      <c r="E385" s="46" t="inlineStr"/>
      <c r="F385" s="30" t="inlineStr"/>
      <c r="G385" s="30" t="inlineStr"/>
      <c r="H385" s="30" t="inlineStr"/>
      <c r="I385" s="15">
        <f>IF(D385="","",IFERROR(VLOOKUP(D385,'04_Personal'!$A$4:$G$400,7,FALSE),0))</f>
        <v/>
      </c>
      <c r="J385" s="15">
        <f>IF(D385="","",IFERROR(VLOOKUP(D385,'04_Personal'!$A$4:$G$400,6,FALSE),VSSatz))</f>
        <v/>
      </c>
      <c r="K385" s="15">
        <f>IF(A385="","",E385*I385)</f>
        <v/>
      </c>
      <c r="L385" s="15">
        <f>IF(A385="","",IF(H385="JA",E385*J385,0))</f>
        <v/>
      </c>
      <c r="M385" s="15">
        <f>IF(A385="","",L385-K385)</f>
        <v/>
      </c>
    </row>
    <row r="386">
      <c r="A386" s="30" t="inlineStr"/>
      <c r="B386" s="38" t="inlineStr"/>
      <c r="C386" s="30" t="inlineStr"/>
      <c r="D386" s="30" t="inlineStr"/>
      <c r="E386" s="46" t="inlineStr"/>
      <c r="F386" s="30" t="inlineStr"/>
      <c r="G386" s="30" t="inlineStr"/>
      <c r="H386" s="30" t="inlineStr"/>
      <c r="I386" s="15">
        <f>IF(D386="","",IFERROR(VLOOKUP(D386,'04_Personal'!$A$4:$G$400,7,FALSE),0))</f>
        <v/>
      </c>
      <c r="J386" s="15">
        <f>IF(D386="","",IFERROR(VLOOKUP(D386,'04_Personal'!$A$4:$G$400,6,FALSE),VSSatz))</f>
        <v/>
      </c>
      <c r="K386" s="15">
        <f>IF(A386="","",E386*I386)</f>
        <v/>
      </c>
      <c r="L386" s="15">
        <f>IF(A386="","",IF(H386="JA",E386*J386,0))</f>
        <v/>
      </c>
      <c r="M386" s="15">
        <f>IF(A386="","",L386-K386)</f>
        <v/>
      </c>
    </row>
    <row r="387">
      <c r="A387" s="30" t="inlineStr"/>
      <c r="B387" s="38" t="inlineStr"/>
      <c r="C387" s="30" t="inlineStr"/>
      <c r="D387" s="30" t="inlineStr"/>
      <c r="E387" s="46" t="inlineStr"/>
      <c r="F387" s="30" t="inlineStr"/>
      <c r="G387" s="30" t="inlineStr"/>
      <c r="H387" s="30" t="inlineStr"/>
      <c r="I387" s="15">
        <f>IF(D387="","",IFERROR(VLOOKUP(D387,'04_Personal'!$A$4:$G$400,7,FALSE),0))</f>
        <v/>
      </c>
      <c r="J387" s="15">
        <f>IF(D387="","",IFERROR(VLOOKUP(D387,'04_Personal'!$A$4:$G$400,6,FALSE),VSSatz))</f>
        <v/>
      </c>
      <c r="K387" s="15">
        <f>IF(A387="","",E387*I387)</f>
        <v/>
      </c>
      <c r="L387" s="15">
        <f>IF(A387="","",IF(H387="JA",E387*J387,0))</f>
        <v/>
      </c>
      <c r="M387" s="15">
        <f>IF(A387="","",L387-K387)</f>
        <v/>
      </c>
    </row>
    <row r="388">
      <c r="A388" s="30" t="inlineStr"/>
      <c r="B388" s="38" t="inlineStr"/>
      <c r="C388" s="30" t="inlineStr"/>
      <c r="D388" s="30" t="inlineStr"/>
      <c r="E388" s="46" t="inlineStr"/>
      <c r="F388" s="30" t="inlineStr"/>
      <c r="G388" s="30" t="inlineStr"/>
      <c r="H388" s="30" t="inlineStr"/>
      <c r="I388" s="15">
        <f>IF(D388="","",IFERROR(VLOOKUP(D388,'04_Personal'!$A$4:$G$400,7,FALSE),0))</f>
        <v/>
      </c>
      <c r="J388" s="15">
        <f>IF(D388="","",IFERROR(VLOOKUP(D388,'04_Personal'!$A$4:$G$400,6,FALSE),VSSatz))</f>
        <v/>
      </c>
      <c r="K388" s="15">
        <f>IF(A388="","",E388*I388)</f>
        <v/>
      </c>
      <c r="L388" s="15">
        <f>IF(A388="","",IF(H388="JA",E388*J388,0))</f>
        <v/>
      </c>
      <c r="M388" s="15">
        <f>IF(A388="","",L388-K388)</f>
        <v/>
      </c>
    </row>
    <row r="389">
      <c r="A389" s="30" t="inlineStr"/>
      <c r="B389" s="38" t="inlineStr"/>
      <c r="C389" s="30" t="inlineStr"/>
      <c r="D389" s="30" t="inlineStr"/>
      <c r="E389" s="46" t="inlineStr"/>
      <c r="F389" s="30" t="inlineStr"/>
      <c r="G389" s="30" t="inlineStr"/>
      <c r="H389" s="30" t="inlineStr"/>
      <c r="I389" s="15">
        <f>IF(D389="","",IFERROR(VLOOKUP(D389,'04_Personal'!$A$4:$G$400,7,FALSE),0))</f>
        <v/>
      </c>
      <c r="J389" s="15">
        <f>IF(D389="","",IFERROR(VLOOKUP(D389,'04_Personal'!$A$4:$G$400,6,FALSE),VSSatz))</f>
        <v/>
      </c>
      <c r="K389" s="15">
        <f>IF(A389="","",E389*I389)</f>
        <v/>
      </c>
      <c r="L389" s="15">
        <f>IF(A389="","",IF(H389="JA",E389*J389,0))</f>
        <v/>
      </c>
      <c r="M389" s="15">
        <f>IF(A389="","",L389-K389)</f>
        <v/>
      </c>
    </row>
    <row r="390">
      <c r="A390" s="30" t="inlineStr"/>
      <c r="B390" s="38" t="inlineStr"/>
      <c r="C390" s="30" t="inlineStr"/>
      <c r="D390" s="30" t="inlineStr"/>
      <c r="E390" s="46" t="inlineStr"/>
      <c r="F390" s="30" t="inlineStr"/>
      <c r="G390" s="30" t="inlineStr"/>
      <c r="H390" s="30" t="inlineStr"/>
      <c r="I390" s="15">
        <f>IF(D390="","",IFERROR(VLOOKUP(D390,'04_Personal'!$A$4:$G$400,7,FALSE),0))</f>
        <v/>
      </c>
      <c r="J390" s="15">
        <f>IF(D390="","",IFERROR(VLOOKUP(D390,'04_Personal'!$A$4:$G$400,6,FALSE),VSSatz))</f>
        <v/>
      </c>
      <c r="K390" s="15">
        <f>IF(A390="","",E390*I390)</f>
        <v/>
      </c>
      <c r="L390" s="15">
        <f>IF(A390="","",IF(H390="JA",E390*J390,0))</f>
        <v/>
      </c>
      <c r="M390" s="15">
        <f>IF(A390="","",L390-K390)</f>
        <v/>
      </c>
    </row>
    <row r="391">
      <c r="A391" s="30" t="inlineStr"/>
      <c r="B391" s="38" t="inlineStr"/>
      <c r="C391" s="30" t="inlineStr"/>
      <c r="D391" s="30" t="inlineStr"/>
      <c r="E391" s="46" t="inlineStr"/>
      <c r="F391" s="30" t="inlineStr"/>
      <c r="G391" s="30" t="inlineStr"/>
      <c r="H391" s="30" t="inlineStr"/>
      <c r="I391" s="15">
        <f>IF(D391="","",IFERROR(VLOOKUP(D391,'04_Personal'!$A$4:$G$400,7,FALSE),0))</f>
        <v/>
      </c>
      <c r="J391" s="15">
        <f>IF(D391="","",IFERROR(VLOOKUP(D391,'04_Personal'!$A$4:$G$400,6,FALSE),VSSatz))</f>
        <v/>
      </c>
      <c r="K391" s="15">
        <f>IF(A391="","",E391*I391)</f>
        <v/>
      </c>
      <c r="L391" s="15">
        <f>IF(A391="","",IF(H391="JA",E391*J391,0))</f>
        <v/>
      </c>
      <c r="M391" s="15">
        <f>IF(A391="","",L391-K391)</f>
        <v/>
      </c>
    </row>
    <row r="392">
      <c r="A392" s="30" t="inlineStr"/>
      <c r="B392" s="38" t="inlineStr"/>
      <c r="C392" s="30" t="inlineStr"/>
      <c r="D392" s="30" t="inlineStr"/>
      <c r="E392" s="46" t="inlineStr"/>
      <c r="F392" s="30" t="inlineStr"/>
      <c r="G392" s="30" t="inlineStr"/>
      <c r="H392" s="30" t="inlineStr"/>
      <c r="I392" s="15">
        <f>IF(D392="","",IFERROR(VLOOKUP(D392,'04_Personal'!$A$4:$G$400,7,FALSE),0))</f>
        <v/>
      </c>
      <c r="J392" s="15">
        <f>IF(D392="","",IFERROR(VLOOKUP(D392,'04_Personal'!$A$4:$G$400,6,FALSE),VSSatz))</f>
        <v/>
      </c>
      <c r="K392" s="15">
        <f>IF(A392="","",E392*I392)</f>
        <v/>
      </c>
      <c r="L392" s="15">
        <f>IF(A392="","",IF(H392="JA",E392*J392,0))</f>
        <v/>
      </c>
      <c r="M392" s="15">
        <f>IF(A392="","",L392-K392)</f>
        <v/>
      </c>
    </row>
    <row r="393">
      <c r="A393" s="30" t="inlineStr"/>
      <c r="B393" s="38" t="inlineStr"/>
      <c r="C393" s="30" t="inlineStr"/>
      <c r="D393" s="30" t="inlineStr"/>
      <c r="E393" s="46" t="inlineStr"/>
      <c r="F393" s="30" t="inlineStr"/>
      <c r="G393" s="30" t="inlineStr"/>
      <c r="H393" s="30" t="inlineStr"/>
      <c r="I393" s="15">
        <f>IF(D393="","",IFERROR(VLOOKUP(D393,'04_Personal'!$A$4:$G$400,7,FALSE),0))</f>
        <v/>
      </c>
      <c r="J393" s="15">
        <f>IF(D393="","",IFERROR(VLOOKUP(D393,'04_Personal'!$A$4:$G$400,6,FALSE),VSSatz))</f>
        <v/>
      </c>
      <c r="K393" s="15">
        <f>IF(A393="","",E393*I393)</f>
        <v/>
      </c>
      <c r="L393" s="15">
        <f>IF(A393="","",IF(H393="JA",E393*J393,0))</f>
        <v/>
      </c>
      <c r="M393" s="15">
        <f>IF(A393="","",L393-K393)</f>
        <v/>
      </c>
    </row>
    <row r="394">
      <c r="A394" s="30" t="inlineStr"/>
      <c r="B394" s="38" t="inlineStr"/>
      <c r="C394" s="30" t="inlineStr"/>
      <c r="D394" s="30" t="inlineStr"/>
      <c r="E394" s="46" t="inlineStr"/>
      <c r="F394" s="30" t="inlineStr"/>
      <c r="G394" s="30" t="inlineStr"/>
      <c r="H394" s="30" t="inlineStr"/>
      <c r="I394" s="15">
        <f>IF(D394="","",IFERROR(VLOOKUP(D394,'04_Personal'!$A$4:$G$400,7,FALSE),0))</f>
        <v/>
      </c>
      <c r="J394" s="15">
        <f>IF(D394="","",IFERROR(VLOOKUP(D394,'04_Personal'!$A$4:$G$400,6,FALSE),VSSatz))</f>
        <v/>
      </c>
      <c r="K394" s="15">
        <f>IF(A394="","",E394*I394)</f>
        <v/>
      </c>
      <c r="L394" s="15">
        <f>IF(A394="","",IF(H394="JA",E394*J394,0))</f>
        <v/>
      </c>
      <c r="M394" s="15">
        <f>IF(A394="","",L394-K394)</f>
        <v/>
      </c>
    </row>
    <row r="395">
      <c r="A395" s="30" t="inlineStr"/>
      <c r="B395" s="38" t="inlineStr"/>
      <c r="C395" s="30" t="inlineStr"/>
      <c r="D395" s="30" t="inlineStr"/>
      <c r="E395" s="46" t="inlineStr"/>
      <c r="F395" s="30" t="inlineStr"/>
      <c r="G395" s="30" t="inlineStr"/>
      <c r="H395" s="30" t="inlineStr"/>
      <c r="I395" s="15">
        <f>IF(D395="","",IFERROR(VLOOKUP(D395,'04_Personal'!$A$4:$G$400,7,FALSE),0))</f>
        <v/>
      </c>
      <c r="J395" s="15">
        <f>IF(D395="","",IFERROR(VLOOKUP(D395,'04_Personal'!$A$4:$G$400,6,FALSE),VSSatz))</f>
        <v/>
      </c>
      <c r="K395" s="15">
        <f>IF(A395="","",E395*I395)</f>
        <v/>
      </c>
      <c r="L395" s="15">
        <f>IF(A395="","",IF(H395="JA",E395*J395,0))</f>
        <v/>
      </c>
      <c r="M395" s="15">
        <f>IF(A395="","",L395-K395)</f>
        <v/>
      </c>
    </row>
    <row r="396">
      <c r="A396" s="30" t="inlineStr"/>
      <c r="B396" s="38" t="inlineStr"/>
      <c r="C396" s="30" t="inlineStr"/>
      <c r="D396" s="30" t="inlineStr"/>
      <c r="E396" s="46" t="inlineStr"/>
      <c r="F396" s="30" t="inlineStr"/>
      <c r="G396" s="30" t="inlineStr"/>
      <c r="H396" s="30" t="inlineStr"/>
      <c r="I396" s="15">
        <f>IF(D396="","",IFERROR(VLOOKUP(D396,'04_Personal'!$A$4:$G$400,7,FALSE),0))</f>
        <v/>
      </c>
      <c r="J396" s="15">
        <f>IF(D396="","",IFERROR(VLOOKUP(D396,'04_Personal'!$A$4:$G$400,6,FALSE),VSSatz))</f>
        <v/>
      </c>
      <c r="K396" s="15">
        <f>IF(A396="","",E396*I396)</f>
        <v/>
      </c>
      <c r="L396" s="15">
        <f>IF(A396="","",IF(H396="JA",E396*J396,0))</f>
        <v/>
      </c>
      <c r="M396" s="15">
        <f>IF(A396="","",L396-K396)</f>
        <v/>
      </c>
    </row>
    <row r="397">
      <c r="A397" s="30" t="inlineStr"/>
      <c r="B397" s="38" t="inlineStr"/>
      <c r="C397" s="30" t="inlineStr"/>
      <c r="D397" s="30" t="inlineStr"/>
      <c r="E397" s="46" t="inlineStr"/>
      <c r="F397" s="30" t="inlineStr"/>
      <c r="G397" s="30" t="inlineStr"/>
      <c r="H397" s="30" t="inlineStr"/>
      <c r="I397" s="15">
        <f>IF(D397="","",IFERROR(VLOOKUP(D397,'04_Personal'!$A$4:$G$400,7,FALSE),0))</f>
        <v/>
      </c>
      <c r="J397" s="15">
        <f>IF(D397="","",IFERROR(VLOOKUP(D397,'04_Personal'!$A$4:$G$400,6,FALSE),VSSatz))</f>
        <v/>
      </c>
      <c r="K397" s="15">
        <f>IF(A397="","",E397*I397)</f>
        <v/>
      </c>
      <c r="L397" s="15">
        <f>IF(A397="","",IF(H397="JA",E397*J397,0))</f>
        <v/>
      </c>
      <c r="M397" s="15">
        <f>IF(A397="","",L397-K397)</f>
        <v/>
      </c>
    </row>
    <row r="398">
      <c r="A398" s="30" t="inlineStr"/>
      <c r="B398" s="38" t="inlineStr"/>
      <c r="C398" s="30" t="inlineStr"/>
      <c r="D398" s="30" t="inlineStr"/>
      <c r="E398" s="46" t="inlineStr"/>
      <c r="F398" s="30" t="inlineStr"/>
      <c r="G398" s="30" t="inlineStr"/>
      <c r="H398" s="30" t="inlineStr"/>
      <c r="I398" s="15">
        <f>IF(D398="","",IFERROR(VLOOKUP(D398,'04_Personal'!$A$4:$G$400,7,FALSE),0))</f>
        <v/>
      </c>
      <c r="J398" s="15">
        <f>IF(D398="","",IFERROR(VLOOKUP(D398,'04_Personal'!$A$4:$G$400,6,FALSE),VSSatz))</f>
        <v/>
      </c>
      <c r="K398" s="15">
        <f>IF(A398="","",E398*I398)</f>
        <v/>
      </c>
      <c r="L398" s="15">
        <f>IF(A398="","",IF(H398="JA",E398*J398,0))</f>
        <v/>
      </c>
      <c r="M398" s="15">
        <f>IF(A398="","",L398-K398)</f>
        <v/>
      </c>
    </row>
    <row r="399">
      <c r="A399" s="30" t="inlineStr"/>
      <c r="B399" s="38" t="inlineStr"/>
      <c r="C399" s="30" t="inlineStr"/>
      <c r="D399" s="30" t="inlineStr"/>
      <c r="E399" s="46" t="inlineStr"/>
      <c r="F399" s="30" t="inlineStr"/>
      <c r="G399" s="30" t="inlineStr"/>
      <c r="H399" s="30" t="inlineStr"/>
      <c r="I399" s="15">
        <f>IF(D399="","",IFERROR(VLOOKUP(D399,'04_Personal'!$A$4:$G$400,7,FALSE),0))</f>
        <v/>
      </c>
      <c r="J399" s="15">
        <f>IF(D399="","",IFERROR(VLOOKUP(D399,'04_Personal'!$A$4:$G$400,6,FALSE),VSSatz))</f>
        <v/>
      </c>
      <c r="K399" s="15">
        <f>IF(A399="","",E399*I399)</f>
        <v/>
      </c>
      <c r="L399" s="15">
        <f>IF(A399="","",IF(H399="JA",E399*J399,0))</f>
        <v/>
      </c>
      <c r="M399" s="15">
        <f>IF(A399="","",L399-K399)</f>
        <v/>
      </c>
    </row>
    <row r="400">
      <c r="A400" s="30" t="inlineStr"/>
      <c r="B400" s="38" t="inlineStr"/>
      <c r="C400" s="30" t="inlineStr"/>
      <c r="D400" s="30" t="inlineStr"/>
      <c r="E400" s="46" t="inlineStr"/>
      <c r="F400" s="30" t="inlineStr"/>
      <c r="G400" s="30" t="inlineStr"/>
      <c r="H400" s="30" t="inlineStr"/>
      <c r="I400" s="15">
        <f>IF(D400="","",IFERROR(VLOOKUP(D400,'04_Personal'!$A$4:$G$400,7,FALSE),0))</f>
        <v/>
      </c>
      <c r="J400" s="15">
        <f>IF(D400="","",IFERROR(VLOOKUP(D400,'04_Personal'!$A$4:$G$400,6,FALSE),VSSatz))</f>
        <v/>
      </c>
      <c r="K400" s="15">
        <f>IF(A400="","",E400*I400)</f>
        <v/>
      </c>
      <c r="L400" s="15">
        <f>IF(A400="","",IF(H400="JA",E400*J400,0))</f>
        <v/>
      </c>
      <c r="M400" s="15">
        <f>IF(A400="","",L400-K400)</f>
        <v/>
      </c>
    </row>
  </sheetData>
  <mergeCells count="2">
    <mergeCell ref="A2:M2"/>
    <mergeCell ref="A1:M1"/>
  </mergeCells>
  <dataValidations count="3">
    <dataValidation sqref="C4:C400" showDropDown="0" showInputMessage="0" showErrorMessage="0" allowBlank="1" errorTitle="Ungültige Auswahl" error="Bitte einen Wert aus der Liste wählen." promptTitle="Liste" prompt="Auswahl" type="list">
      <formula1>=ProjektNr</formula1>
    </dataValidation>
    <dataValidation sqref="D4:D400" showDropDown="0" showInputMessage="0" showErrorMessage="0" allowBlank="1" errorTitle="Ungültige Auswahl" error="Bitte einen Wert aus der Liste wählen." promptTitle="Liste" prompt="Auswahl" type="list">
      <formula1>=PersNr</formula1>
    </dataValidation>
    <dataValidation sqref="H4:H400" showDropDown="0" showInputMessage="0" showErrorMessage="0" allowBlank="1" errorTitle="Ungültige Auswahl" error="Bitte einen Wert aus der Liste wählen." promptTitle="Liste" prompt="Auswahl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5C4A1F"/>
    <outlinePr summaryBelow="1" summaryRight="1"/>
    <pageSetUpPr/>
  </sheetPr>
  <dimension ref="A1:P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28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4" customWidth="1" min="12" max="12"/>
  </cols>
  <sheetData>
    <row r="1" ht="28" customHeight="1">
      <c r="A1" s="1" t="inlineStr">
        <is>
          <t>Material und Baustoffeinsatz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3" t="n"/>
      <c r="O1" s="3" t="n"/>
      <c r="P1" s="3" t="n"/>
    </row>
    <row r="2" ht="18" customHeight="1">
      <c r="A2" s="4" t="inlineStr">
        <is>
          <t>Summe netto = Menge × EP · Zuordnung zur Eingangsrechnung über ER-Nr für den Abgleich Einkauf / Rechnung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3" t="n"/>
      <c r="N2" s="3" t="n"/>
      <c r="O2" s="3" t="n"/>
      <c r="P2" s="3" t="n"/>
    </row>
    <row r="3" ht="28" customHeight="1">
      <c r="A3" s="17" t="inlineStr">
        <is>
          <t>Nr</t>
        </is>
      </c>
      <c r="B3" s="17" t="inlineStr">
        <is>
          <t>Datum</t>
        </is>
      </c>
      <c r="C3" s="17" t="inlineStr">
        <is>
          <t>Projekt</t>
        </is>
      </c>
      <c r="D3" s="17" t="inlineStr">
        <is>
          <t>Lieferant</t>
        </is>
      </c>
      <c r="E3" s="17" t="inlineStr">
        <is>
          <t>ER-Nr</t>
        </is>
      </c>
      <c r="F3" s="17" t="inlineStr">
        <is>
          <t>Bezeichnung</t>
        </is>
      </c>
      <c r="G3" s="17" t="inlineStr">
        <is>
          <t>ME</t>
        </is>
      </c>
      <c r="H3" s="17" t="inlineStr">
        <is>
          <t>Menge</t>
        </is>
      </c>
      <c r="I3" s="17" t="inlineStr">
        <is>
          <t>EP netto</t>
        </is>
      </c>
      <c r="J3" s="17" t="inlineStr">
        <is>
          <t>Kategorie</t>
        </is>
      </c>
      <c r="K3" s="17" t="inlineStr">
        <is>
          <t>Status</t>
        </is>
      </c>
      <c r="L3" s="17" t="inlineStr">
        <is>
          <t>Summe netto</t>
        </is>
      </c>
      <c r="M3" s="3" t="n"/>
      <c r="N3" s="3" t="n"/>
      <c r="O3" s="3" t="n"/>
      <c r="P3" s="3" t="n"/>
    </row>
    <row r="4">
      <c r="A4" s="30" t="inlineStr">
        <is>
          <t>MAT-01</t>
        </is>
      </c>
      <c r="B4" s="38" t="n">
        <v>46246</v>
      </c>
      <c r="C4" s="30" t="inlineStr">
        <is>
          <t>P-2026-001</t>
        </is>
      </c>
      <c r="D4" s="30" t="inlineStr">
        <is>
          <t>L-2001</t>
        </is>
      </c>
      <c r="E4" s="30" t="inlineStr">
        <is>
          <t>ER-5512</t>
        </is>
      </c>
      <c r="F4" s="30" t="inlineStr">
        <is>
          <t>Transportbeton C25/30</t>
        </is>
      </c>
      <c r="G4" s="30" t="inlineStr">
        <is>
          <t>m³</t>
        </is>
      </c>
      <c r="H4" s="35" t="n">
        <v>86</v>
      </c>
      <c r="I4" s="34" t="n">
        <v>142</v>
      </c>
      <c r="J4" s="30" t="inlineStr">
        <is>
          <t>Beton</t>
        </is>
      </c>
      <c r="K4" s="30" t="inlineStr">
        <is>
          <t>verbucht</t>
        </is>
      </c>
      <c r="L4" s="15">
        <f>IF(A4="","",H4*I4)</f>
        <v/>
      </c>
      <c r="M4" s="3" t="n"/>
      <c r="N4" s="3" t="n"/>
      <c r="O4" s="3" t="n"/>
      <c r="P4" s="3" t="n"/>
    </row>
    <row r="5">
      <c r="A5" s="30" t="inlineStr">
        <is>
          <t>MAT-02</t>
        </is>
      </c>
      <c r="B5" s="38" t="n">
        <v>46248</v>
      </c>
      <c r="C5" s="30" t="inlineStr">
        <is>
          <t>P-2026-001</t>
        </is>
      </c>
      <c r="D5" s="30" t="inlineStr">
        <is>
          <t>L-2002</t>
        </is>
      </c>
      <c r="E5" s="30" t="inlineStr">
        <is>
          <t>ER-5518</t>
        </is>
      </c>
      <c r="F5" s="30" t="inlineStr">
        <is>
          <t>Betonstahl B500B</t>
        </is>
      </c>
      <c r="G5" s="30" t="inlineStr">
        <is>
          <t>t</t>
        </is>
      </c>
      <c r="H5" s="35" t="n">
        <v>12.4</v>
      </c>
      <c r="I5" s="34" t="n">
        <v>980</v>
      </c>
      <c r="J5" s="30" t="inlineStr">
        <is>
          <t>Stahl</t>
        </is>
      </c>
      <c r="K5" s="30" t="inlineStr">
        <is>
          <t>verbucht</t>
        </is>
      </c>
      <c r="L5" s="15">
        <f>IF(A5="","",H5*I5)</f>
        <v/>
      </c>
      <c r="M5" s="3" t="n"/>
      <c r="N5" s="3" t="n"/>
      <c r="O5" s="3" t="n"/>
      <c r="P5" s="3" t="n"/>
    </row>
    <row r="6">
      <c r="A6" s="30" t="inlineStr">
        <is>
          <t>MAT-03</t>
        </is>
      </c>
      <c r="B6" s="38" t="n">
        <v>46254</v>
      </c>
      <c r="C6" s="30" t="inlineStr">
        <is>
          <t>P-2026-002</t>
        </is>
      </c>
      <c r="D6" s="30" t="inlineStr">
        <is>
          <t>L-2001</t>
        </is>
      </c>
      <c r="E6" s="30" t="inlineStr">
        <is>
          <t>ER-5531</t>
        </is>
      </c>
      <c r="F6" s="30" t="inlineStr">
        <is>
          <t>Transportbeton C20/25</t>
        </is>
      </c>
      <c r="G6" s="30" t="inlineStr">
        <is>
          <t>m³</t>
        </is>
      </c>
      <c r="H6" s="35" t="n">
        <v>34</v>
      </c>
      <c r="I6" s="34" t="n">
        <v>138</v>
      </c>
      <c r="J6" s="30" t="inlineStr">
        <is>
          <t>Beton</t>
        </is>
      </c>
      <c r="K6" s="30" t="inlineStr">
        <is>
          <t>verbucht</t>
        </is>
      </c>
      <c r="L6" s="15">
        <f>IF(A6="","",H6*I6)</f>
        <v/>
      </c>
      <c r="M6" s="3" t="n"/>
      <c r="N6" s="3" t="n"/>
      <c r="O6" s="3" t="n"/>
      <c r="P6" s="3" t="n"/>
    </row>
    <row r="7">
      <c r="A7" s="30" t="inlineStr">
        <is>
          <t>MAT-04</t>
        </is>
      </c>
      <c r="B7" s="38" t="n">
        <v>46267</v>
      </c>
      <c r="C7" s="30" t="inlineStr">
        <is>
          <t>P-2026-004</t>
        </is>
      </c>
      <c r="D7" s="30" t="inlineStr">
        <is>
          <t>L-2002</t>
        </is>
      </c>
      <c r="E7" s="30" t="inlineStr">
        <is>
          <t>ER-5602</t>
        </is>
      </c>
      <c r="F7" s="30" t="inlineStr">
        <is>
          <t>Stahlträger HEB 300</t>
        </is>
      </c>
      <c r="G7" s="30" t="inlineStr">
        <is>
          <t>t</t>
        </is>
      </c>
      <c r="H7" s="35" t="n">
        <v>18.6</v>
      </c>
      <c r="I7" s="34" t="n">
        <v>1420</v>
      </c>
      <c r="J7" s="30" t="inlineStr">
        <is>
          <t>Stahl</t>
        </is>
      </c>
      <c r="K7" s="30" t="inlineStr">
        <is>
          <t>offen</t>
        </is>
      </c>
      <c r="L7" s="15">
        <f>IF(A7="","",H7*I7)</f>
        <v/>
      </c>
    </row>
    <row r="8">
      <c r="A8" s="30" t="inlineStr">
        <is>
          <t>MAT-05</t>
        </is>
      </c>
      <c r="B8" s="38" t="n">
        <v>46269</v>
      </c>
      <c r="C8" s="30" t="inlineStr">
        <is>
          <t>P-2026-003</t>
        </is>
      </c>
      <c r="D8" s="30" t="inlineStr">
        <is>
          <t>L-2007</t>
        </is>
      </c>
      <c r="E8" s="30" t="inlineStr"/>
      <c r="F8" s="30" t="inlineStr">
        <is>
          <t>Gerüstmiete September</t>
        </is>
      </c>
      <c r="G8" s="30" t="inlineStr">
        <is>
          <t>Monat</t>
        </is>
      </c>
      <c r="H8" s="35" t="n">
        <v>1</v>
      </c>
      <c r="I8" s="34" t="n">
        <v>4800</v>
      </c>
      <c r="J8" s="30" t="inlineStr">
        <is>
          <t>Gerüst</t>
        </is>
      </c>
      <c r="K8" s="30" t="inlineStr">
        <is>
          <t>offen</t>
        </is>
      </c>
      <c r="L8" s="15">
        <f>IF(A8="","",H8*I8)</f>
        <v/>
      </c>
    </row>
    <row r="9">
      <c r="A9" s="30" t="inlineStr">
        <is>
          <t>MAT-06</t>
        </is>
      </c>
      <c r="B9" s="38" t="n">
        <v>46225</v>
      </c>
      <c r="C9" s="30" t="inlineStr">
        <is>
          <t>P-2026-005</t>
        </is>
      </c>
      <c r="D9" s="30" t="inlineStr">
        <is>
          <t>L-2001</t>
        </is>
      </c>
      <c r="E9" s="30" t="inlineStr">
        <is>
          <t>ER-5401</t>
        </is>
      </c>
      <c r="F9" s="30" t="inlineStr">
        <is>
          <t>Estrichmaterial</t>
        </is>
      </c>
      <c r="G9" s="30" t="inlineStr">
        <is>
          <t>m²</t>
        </is>
      </c>
      <c r="H9" s="35" t="n">
        <v>186</v>
      </c>
      <c r="I9" s="34" t="n">
        <v>18.5</v>
      </c>
      <c r="J9" s="30" t="inlineStr">
        <is>
          <t>Ausbau</t>
        </is>
      </c>
      <c r="K9" s="30" t="inlineStr">
        <is>
          <t>verbucht</t>
        </is>
      </c>
      <c r="L9" s="15">
        <f>IF(A9="","",H9*I9)</f>
        <v/>
      </c>
    </row>
    <row r="10">
      <c r="A10" s="30" t="inlineStr">
        <is>
          <t>MAT-07</t>
        </is>
      </c>
      <c r="B10" s="38" t="n">
        <v>46273</v>
      </c>
      <c r="C10" s="30" t="inlineStr">
        <is>
          <t>P-2026-001</t>
        </is>
      </c>
      <c r="D10" s="30" t="inlineStr">
        <is>
          <t>L-2006</t>
        </is>
      </c>
      <c r="E10" s="30" t="inlineStr"/>
      <c r="F10" s="30" t="inlineStr">
        <is>
          <t>Aushubabfuhr</t>
        </is>
      </c>
      <c r="G10" s="30" t="inlineStr">
        <is>
          <t>t</t>
        </is>
      </c>
      <c r="H10" s="35" t="n">
        <v>42</v>
      </c>
      <c r="I10" s="34" t="n">
        <v>28</v>
      </c>
      <c r="J10" s="30" t="inlineStr">
        <is>
          <t>Entsorgung</t>
        </is>
      </c>
      <c r="K10" s="30" t="inlineStr">
        <is>
          <t>offen</t>
        </is>
      </c>
      <c r="L10" s="15">
        <f>IF(A10="","",H10*I10)</f>
        <v/>
      </c>
    </row>
    <row r="11">
      <c r="A11" s="30" t="inlineStr"/>
      <c r="B11" s="38" t="inlineStr"/>
      <c r="C11" s="30" t="inlineStr"/>
      <c r="D11" s="30" t="inlineStr"/>
      <c r="E11" s="30" t="inlineStr"/>
      <c r="F11" s="30" t="inlineStr"/>
      <c r="G11" s="30" t="inlineStr"/>
      <c r="H11" s="35" t="inlineStr"/>
      <c r="I11" s="34" t="inlineStr"/>
      <c r="J11" s="30" t="inlineStr"/>
      <c r="K11" s="30" t="inlineStr"/>
      <c r="L11" s="15">
        <f>IF(A11="","",H11*I11)</f>
        <v/>
      </c>
    </row>
    <row r="12">
      <c r="A12" s="30" t="inlineStr"/>
      <c r="B12" s="38" t="inlineStr"/>
      <c r="C12" s="30" t="inlineStr"/>
      <c r="D12" s="30" t="inlineStr"/>
      <c r="E12" s="30" t="inlineStr"/>
      <c r="F12" s="30" t="inlineStr"/>
      <c r="G12" s="30" t="inlineStr"/>
      <c r="H12" s="35" t="inlineStr"/>
      <c r="I12" s="34" t="inlineStr"/>
      <c r="J12" s="30" t="inlineStr"/>
      <c r="K12" s="30" t="inlineStr"/>
      <c r="L12" s="15">
        <f>IF(A12="","",H12*I12)</f>
        <v/>
      </c>
    </row>
    <row r="13">
      <c r="A13" s="30" t="inlineStr"/>
      <c r="B13" s="38" t="inlineStr"/>
      <c r="C13" s="30" t="inlineStr"/>
      <c r="D13" s="30" t="inlineStr"/>
      <c r="E13" s="30" t="inlineStr"/>
      <c r="F13" s="30" t="inlineStr"/>
      <c r="G13" s="30" t="inlineStr"/>
      <c r="H13" s="35" t="inlineStr"/>
      <c r="I13" s="34" t="inlineStr"/>
      <c r="J13" s="30" t="inlineStr"/>
      <c r="K13" s="30" t="inlineStr"/>
      <c r="L13" s="15">
        <f>IF(A13="","",H13*I13)</f>
        <v/>
      </c>
    </row>
    <row r="14">
      <c r="A14" s="30" t="inlineStr"/>
      <c r="B14" s="38" t="inlineStr"/>
      <c r="C14" s="30" t="inlineStr"/>
      <c r="D14" s="30" t="inlineStr"/>
      <c r="E14" s="30" t="inlineStr"/>
      <c r="F14" s="30" t="inlineStr"/>
      <c r="G14" s="30" t="inlineStr"/>
      <c r="H14" s="35" t="inlineStr"/>
      <c r="I14" s="34" t="inlineStr"/>
      <c r="J14" s="30" t="inlineStr"/>
      <c r="K14" s="30" t="inlineStr"/>
      <c r="L14" s="15">
        <f>IF(A14="","",H14*I14)</f>
        <v/>
      </c>
    </row>
    <row r="15">
      <c r="A15" s="30" t="inlineStr"/>
      <c r="B15" s="38" t="inlineStr"/>
      <c r="C15" s="30" t="inlineStr"/>
      <c r="D15" s="30" t="inlineStr"/>
      <c r="E15" s="30" t="inlineStr"/>
      <c r="F15" s="30" t="inlineStr"/>
      <c r="G15" s="30" t="inlineStr"/>
      <c r="H15" s="35" t="inlineStr"/>
      <c r="I15" s="34" t="inlineStr"/>
      <c r="J15" s="30" t="inlineStr"/>
      <c r="K15" s="30" t="inlineStr"/>
      <c r="L15" s="15">
        <f>IF(A15="","",H15*I15)</f>
        <v/>
      </c>
    </row>
    <row r="16">
      <c r="A16" s="30" t="inlineStr"/>
      <c r="B16" s="38" t="inlineStr"/>
      <c r="C16" s="30" t="inlineStr"/>
      <c r="D16" s="30" t="inlineStr"/>
      <c r="E16" s="30" t="inlineStr"/>
      <c r="F16" s="30" t="inlineStr"/>
      <c r="G16" s="30" t="inlineStr"/>
      <c r="H16" s="35" t="inlineStr"/>
      <c r="I16" s="34" t="inlineStr"/>
      <c r="J16" s="30" t="inlineStr"/>
      <c r="K16" s="30" t="inlineStr"/>
      <c r="L16" s="15">
        <f>IF(A16="","",H16*I16)</f>
        <v/>
      </c>
    </row>
    <row r="17">
      <c r="A17" s="30" t="inlineStr"/>
      <c r="B17" s="38" t="inlineStr"/>
      <c r="C17" s="30" t="inlineStr"/>
      <c r="D17" s="30" t="inlineStr"/>
      <c r="E17" s="30" t="inlineStr"/>
      <c r="F17" s="30" t="inlineStr"/>
      <c r="G17" s="30" t="inlineStr"/>
      <c r="H17" s="35" t="inlineStr"/>
      <c r="I17" s="34" t="inlineStr"/>
      <c r="J17" s="30" t="inlineStr"/>
      <c r="K17" s="30" t="inlineStr"/>
      <c r="L17" s="15">
        <f>IF(A17="","",H17*I17)</f>
        <v/>
      </c>
    </row>
    <row r="18">
      <c r="A18" s="30" t="inlineStr"/>
      <c r="B18" s="38" t="inlineStr"/>
      <c r="C18" s="30" t="inlineStr"/>
      <c r="D18" s="30" t="inlineStr"/>
      <c r="E18" s="30" t="inlineStr"/>
      <c r="F18" s="30" t="inlineStr"/>
      <c r="G18" s="30" t="inlineStr"/>
      <c r="H18" s="35" t="inlineStr"/>
      <c r="I18" s="34" t="inlineStr"/>
      <c r="J18" s="30" t="inlineStr"/>
      <c r="K18" s="30" t="inlineStr"/>
      <c r="L18" s="15">
        <f>IF(A18="","",H18*I18)</f>
        <v/>
      </c>
    </row>
    <row r="19">
      <c r="A19" s="30" t="inlineStr"/>
      <c r="B19" s="38" t="inlineStr"/>
      <c r="C19" s="30" t="inlineStr"/>
      <c r="D19" s="30" t="inlineStr"/>
      <c r="E19" s="30" t="inlineStr"/>
      <c r="F19" s="30" t="inlineStr"/>
      <c r="G19" s="30" t="inlineStr"/>
      <c r="H19" s="35" t="inlineStr"/>
      <c r="I19" s="34" t="inlineStr"/>
      <c r="J19" s="30" t="inlineStr"/>
      <c r="K19" s="30" t="inlineStr"/>
      <c r="L19" s="15">
        <f>IF(A19="","",H19*I19)</f>
        <v/>
      </c>
    </row>
    <row r="20">
      <c r="A20" s="30" t="inlineStr"/>
      <c r="B20" s="38" t="inlineStr"/>
      <c r="C20" s="30" t="inlineStr"/>
      <c r="D20" s="30" t="inlineStr"/>
      <c r="E20" s="30" t="inlineStr"/>
      <c r="F20" s="30" t="inlineStr"/>
      <c r="G20" s="30" t="inlineStr"/>
      <c r="H20" s="35" t="inlineStr"/>
      <c r="I20" s="34" t="inlineStr"/>
      <c r="J20" s="30" t="inlineStr"/>
      <c r="K20" s="30" t="inlineStr"/>
      <c r="L20" s="15">
        <f>IF(A20="","",H20*I20)</f>
        <v/>
      </c>
    </row>
    <row r="21">
      <c r="A21" s="30" t="inlineStr"/>
      <c r="B21" s="38" t="inlineStr"/>
      <c r="C21" s="30" t="inlineStr"/>
      <c r="D21" s="30" t="inlineStr"/>
      <c r="E21" s="30" t="inlineStr"/>
      <c r="F21" s="30" t="inlineStr"/>
      <c r="G21" s="30" t="inlineStr"/>
      <c r="H21" s="35" t="inlineStr"/>
      <c r="I21" s="34" t="inlineStr"/>
      <c r="J21" s="30" t="inlineStr"/>
      <c r="K21" s="30" t="inlineStr"/>
      <c r="L21" s="15">
        <f>IF(A21="","",H21*I21)</f>
        <v/>
      </c>
    </row>
    <row r="22">
      <c r="A22" s="30" t="inlineStr"/>
      <c r="B22" s="38" t="inlineStr"/>
      <c r="C22" s="30" t="inlineStr"/>
      <c r="D22" s="30" t="inlineStr"/>
      <c r="E22" s="30" t="inlineStr"/>
      <c r="F22" s="30" t="inlineStr"/>
      <c r="G22" s="30" t="inlineStr"/>
      <c r="H22" s="35" t="inlineStr"/>
      <c r="I22" s="34" t="inlineStr"/>
      <c r="J22" s="30" t="inlineStr"/>
      <c r="K22" s="30" t="inlineStr"/>
      <c r="L22" s="15">
        <f>IF(A22="","",H22*I22)</f>
        <v/>
      </c>
    </row>
    <row r="23">
      <c r="A23" s="30" t="inlineStr"/>
      <c r="B23" s="38" t="inlineStr"/>
      <c r="C23" s="30" t="inlineStr"/>
      <c r="D23" s="30" t="inlineStr"/>
      <c r="E23" s="30" t="inlineStr"/>
      <c r="F23" s="30" t="inlineStr"/>
      <c r="G23" s="30" t="inlineStr"/>
      <c r="H23" s="35" t="inlineStr"/>
      <c r="I23" s="34" t="inlineStr"/>
      <c r="J23" s="30" t="inlineStr"/>
      <c r="K23" s="30" t="inlineStr"/>
      <c r="L23" s="15">
        <f>IF(A23="","",H23*I23)</f>
        <v/>
      </c>
    </row>
    <row r="24">
      <c r="A24" s="30" t="inlineStr"/>
      <c r="B24" s="38" t="inlineStr"/>
      <c r="C24" s="30" t="inlineStr"/>
      <c r="D24" s="30" t="inlineStr"/>
      <c r="E24" s="30" t="inlineStr"/>
      <c r="F24" s="30" t="inlineStr"/>
      <c r="G24" s="30" t="inlineStr"/>
      <c r="H24" s="35" t="inlineStr"/>
      <c r="I24" s="34" t="inlineStr"/>
      <c r="J24" s="30" t="inlineStr"/>
      <c r="K24" s="30" t="inlineStr"/>
      <c r="L24" s="15">
        <f>IF(A24="","",H24*I24)</f>
        <v/>
      </c>
    </row>
    <row r="25">
      <c r="A25" s="30" t="inlineStr"/>
      <c r="B25" s="38" t="inlineStr"/>
      <c r="C25" s="30" t="inlineStr"/>
      <c r="D25" s="30" t="inlineStr"/>
      <c r="E25" s="30" t="inlineStr"/>
      <c r="F25" s="30" t="inlineStr"/>
      <c r="G25" s="30" t="inlineStr"/>
      <c r="H25" s="35" t="inlineStr"/>
      <c r="I25" s="34" t="inlineStr"/>
      <c r="J25" s="30" t="inlineStr"/>
      <c r="K25" s="30" t="inlineStr"/>
      <c r="L25" s="15">
        <f>IF(A25="","",H25*I25)</f>
        <v/>
      </c>
    </row>
    <row r="26">
      <c r="A26" s="30" t="inlineStr"/>
      <c r="B26" s="38" t="inlineStr"/>
      <c r="C26" s="30" t="inlineStr"/>
      <c r="D26" s="30" t="inlineStr"/>
      <c r="E26" s="30" t="inlineStr"/>
      <c r="F26" s="30" t="inlineStr"/>
      <c r="G26" s="30" t="inlineStr"/>
      <c r="H26" s="35" t="inlineStr"/>
      <c r="I26" s="34" t="inlineStr"/>
      <c r="J26" s="30" t="inlineStr"/>
      <c r="K26" s="30" t="inlineStr"/>
      <c r="L26" s="15">
        <f>IF(A26="","",H26*I26)</f>
        <v/>
      </c>
    </row>
    <row r="27">
      <c r="A27" s="30" t="inlineStr"/>
      <c r="B27" s="38" t="inlineStr"/>
      <c r="C27" s="30" t="inlineStr"/>
      <c r="D27" s="30" t="inlineStr"/>
      <c r="E27" s="30" t="inlineStr"/>
      <c r="F27" s="30" t="inlineStr"/>
      <c r="G27" s="30" t="inlineStr"/>
      <c r="H27" s="35" t="inlineStr"/>
      <c r="I27" s="34" t="inlineStr"/>
      <c r="J27" s="30" t="inlineStr"/>
      <c r="K27" s="30" t="inlineStr"/>
      <c r="L27" s="15">
        <f>IF(A27="","",H27*I27)</f>
        <v/>
      </c>
    </row>
    <row r="28">
      <c r="A28" s="30" t="inlineStr"/>
      <c r="B28" s="38" t="inlineStr"/>
      <c r="C28" s="30" t="inlineStr"/>
      <c r="D28" s="30" t="inlineStr"/>
      <c r="E28" s="30" t="inlineStr"/>
      <c r="F28" s="30" t="inlineStr"/>
      <c r="G28" s="30" t="inlineStr"/>
      <c r="H28" s="35" t="inlineStr"/>
      <c r="I28" s="34" t="inlineStr"/>
      <c r="J28" s="30" t="inlineStr"/>
      <c r="K28" s="30" t="inlineStr"/>
      <c r="L28" s="15">
        <f>IF(A28="","",H28*I28)</f>
        <v/>
      </c>
    </row>
    <row r="29">
      <c r="A29" s="30" t="inlineStr"/>
      <c r="B29" s="38" t="inlineStr"/>
      <c r="C29" s="30" t="inlineStr"/>
      <c r="D29" s="30" t="inlineStr"/>
      <c r="E29" s="30" t="inlineStr"/>
      <c r="F29" s="30" t="inlineStr"/>
      <c r="G29" s="30" t="inlineStr"/>
      <c r="H29" s="35" t="inlineStr"/>
      <c r="I29" s="34" t="inlineStr"/>
      <c r="J29" s="30" t="inlineStr"/>
      <c r="K29" s="30" t="inlineStr"/>
      <c r="L29" s="15">
        <f>IF(A29="","",H29*I29)</f>
        <v/>
      </c>
    </row>
    <row r="30">
      <c r="A30" s="30" t="inlineStr"/>
      <c r="B30" s="38" t="inlineStr"/>
      <c r="C30" s="30" t="inlineStr"/>
      <c r="D30" s="30" t="inlineStr"/>
      <c r="E30" s="30" t="inlineStr"/>
      <c r="F30" s="30" t="inlineStr"/>
      <c r="G30" s="30" t="inlineStr"/>
      <c r="H30" s="35" t="inlineStr"/>
      <c r="I30" s="34" t="inlineStr"/>
      <c r="J30" s="30" t="inlineStr"/>
      <c r="K30" s="30" t="inlineStr"/>
      <c r="L30" s="15">
        <f>IF(A30="","",H30*I30)</f>
        <v/>
      </c>
    </row>
    <row r="31">
      <c r="A31" s="30" t="inlineStr"/>
      <c r="B31" s="38" t="inlineStr"/>
      <c r="C31" s="30" t="inlineStr"/>
      <c r="D31" s="30" t="inlineStr"/>
      <c r="E31" s="30" t="inlineStr"/>
      <c r="F31" s="30" t="inlineStr"/>
      <c r="G31" s="30" t="inlineStr"/>
      <c r="H31" s="35" t="inlineStr"/>
      <c r="I31" s="34" t="inlineStr"/>
      <c r="J31" s="30" t="inlineStr"/>
      <c r="K31" s="30" t="inlineStr"/>
      <c r="L31" s="15">
        <f>IF(A31="","",H31*I31)</f>
        <v/>
      </c>
    </row>
    <row r="32">
      <c r="A32" s="30" t="inlineStr"/>
      <c r="B32" s="38" t="inlineStr"/>
      <c r="C32" s="30" t="inlineStr"/>
      <c r="D32" s="30" t="inlineStr"/>
      <c r="E32" s="30" t="inlineStr"/>
      <c r="F32" s="30" t="inlineStr"/>
      <c r="G32" s="30" t="inlineStr"/>
      <c r="H32" s="35" t="inlineStr"/>
      <c r="I32" s="34" t="inlineStr"/>
      <c r="J32" s="30" t="inlineStr"/>
      <c r="K32" s="30" t="inlineStr"/>
      <c r="L32" s="15">
        <f>IF(A32="","",H32*I32)</f>
        <v/>
      </c>
    </row>
    <row r="33">
      <c r="A33" s="30" t="inlineStr"/>
      <c r="B33" s="38" t="inlineStr"/>
      <c r="C33" s="30" t="inlineStr"/>
      <c r="D33" s="30" t="inlineStr"/>
      <c r="E33" s="30" t="inlineStr"/>
      <c r="F33" s="30" t="inlineStr"/>
      <c r="G33" s="30" t="inlineStr"/>
      <c r="H33" s="35" t="inlineStr"/>
      <c r="I33" s="34" t="inlineStr"/>
      <c r="J33" s="30" t="inlineStr"/>
      <c r="K33" s="30" t="inlineStr"/>
      <c r="L33" s="15">
        <f>IF(A33="","",H33*I33)</f>
        <v/>
      </c>
    </row>
    <row r="34">
      <c r="A34" s="30" t="inlineStr"/>
      <c r="B34" s="38" t="inlineStr"/>
      <c r="C34" s="30" t="inlineStr"/>
      <c r="D34" s="30" t="inlineStr"/>
      <c r="E34" s="30" t="inlineStr"/>
      <c r="F34" s="30" t="inlineStr"/>
      <c r="G34" s="30" t="inlineStr"/>
      <c r="H34" s="35" t="inlineStr"/>
      <c r="I34" s="34" t="inlineStr"/>
      <c r="J34" s="30" t="inlineStr"/>
      <c r="K34" s="30" t="inlineStr"/>
      <c r="L34" s="15">
        <f>IF(A34="","",H34*I34)</f>
        <v/>
      </c>
    </row>
    <row r="35">
      <c r="A35" s="30" t="inlineStr"/>
      <c r="B35" s="38" t="inlineStr"/>
      <c r="C35" s="30" t="inlineStr"/>
      <c r="D35" s="30" t="inlineStr"/>
      <c r="E35" s="30" t="inlineStr"/>
      <c r="F35" s="30" t="inlineStr"/>
      <c r="G35" s="30" t="inlineStr"/>
      <c r="H35" s="35" t="inlineStr"/>
      <c r="I35" s="34" t="inlineStr"/>
      <c r="J35" s="30" t="inlineStr"/>
      <c r="K35" s="30" t="inlineStr"/>
      <c r="L35" s="15">
        <f>IF(A35="","",H35*I35)</f>
        <v/>
      </c>
    </row>
    <row r="36">
      <c r="A36" s="30" t="inlineStr"/>
      <c r="B36" s="38" t="inlineStr"/>
      <c r="C36" s="30" t="inlineStr"/>
      <c r="D36" s="30" t="inlineStr"/>
      <c r="E36" s="30" t="inlineStr"/>
      <c r="F36" s="30" t="inlineStr"/>
      <c r="G36" s="30" t="inlineStr"/>
      <c r="H36" s="35" t="inlineStr"/>
      <c r="I36" s="34" t="inlineStr"/>
      <c r="J36" s="30" t="inlineStr"/>
      <c r="K36" s="30" t="inlineStr"/>
      <c r="L36" s="15">
        <f>IF(A36="","",H36*I36)</f>
        <v/>
      </c>
    </row>
    <row r="37">
      <c r="A37" s="30" t="inlineStr"/>
      <c r="B37" s="38" t="inlineStr"/>
      <c r="C37" s="30" t="inlineStr"/>
      <c r="D37" s="30" t="inlineStr"/>
      <c r="E37" s="30" t="inlineStr"/>
      <c r="F37" s="30" t="inlineStr"/>
      <c r="G37" s="30" t="inlineStr"/>
      <c r="H37" s="35" t="inlineStr"/>
      <c r="I37" s="34" t="inlineStr"/>
      <c r="J37" s="30" t="inlineStr"/>
      <c r="K37" s="30" t="inlineStr"/>
      <c r="L37" s="15">
        <f>IF(A37="","",H37*I37)</f>
        <v/>
      </c>
    </row>
    <row r="38">
      <c r="A38" s="30" t="inlineStr"/>
      <c r="B38" s="38" t="inlineStr"/>
      <c r="C38" s="30" t="inlineStr"/>
      <c r="D38" s="30" t="inlineStr"/>
      <c r="E38" s="30" t="inlineStr"/>
      <c r="F38" s="30" t="inlineStr"/>
      <c r="G38" s="30" t="inlineStr"/>
      <c r="H38" s="35" t="inlineStr"/>
      <c r="I38" s="34" t="inlineStr"/>
      <c r="J38" s="30" t="inlineStr"/>
      <c r="K38" s="30" t="inlineStr"/>
      <c r="L38" s="15">
        <f>IF(A38="","",H38*I38)</f>
        <v/>
      </c>
    </row>
    <row r="39">
      <c r="A39" s="30" t="inlineStr"/>
      <c r="B39" s="38" t="inlineStr"/>
      <c r="C39" s="30" t="inlineStr"/>
      <c r="D39" s="30" t="inlineStr"/>
      <c r="E39" s="30" t="inlineStr"/>
      <c r="F39" s="30" t="inlineStr"/>
      <c r="G39" s="30" t="inlineStr"/>
      <c r="H39" s="35" t="inlineStr"/>
      <c r="I39" s="34" t="inlineStr"/>
      <c r="J39" s="30" t="inlineStr"/>
      <c r="K39" s="30" t="inlineStr"/>
      <c r="L39" s="15">
        <f>IF(A39="","",H39*I39)</f>
        <v/>
      </c>
    </row>
    <row r="40">
      <c r="A40" s="30" t="inlineStr"/>
      <c r="B40" s="38" t="inlineStr"/>
      <c r="C40" s="30" t="inlineStr"/>
      <c r="D40" s="30" t="inlineStr"/>
      <c r="E40" s="30" t="inlineStr"/>
      <c r="F40" s="30" t="inlineStr"/>
      <c r="G40" s="30" t="inlineStr"/>
      <c r="H40" s="35" t="inlineStr"/>
      <c r="I40" s="34" t="inlineStr"/>
      <c r="J40" s="30" t="inlineStr"/>
      <c r="K40" s="30" t="inlineStr"/>
      <c r="L40" s="15">
        <f>IF(A40="","",H40*I40)</f>
        <v/>
      </c>
    </row>
    <row r="41">
      <c r="A41" s="30" t="inlineStr"/>
      <c r="B41" s="38" t="inlineStr"/>
      <c r="C41" s="30" t="inlineStr"/>
      <c r="D41" s="30" t="inlineStr"/>
      <c r="E41" s="30" t="inlineStr"/>
      <c r="F41" s="30" t="inlineStr"/>
      <c r="G41" s="30" t="inlineStr"/>
      <c r="H41" s="35" t="inlineStr"/>
      <c r="I41" s="34" t="inlineStr"/>
      <c r="J41" s="30" t="inlineStr"/>
      <c r="K41" s="30" t="inlineStr"/>
      <c r="L41" s="15">
        <f>IF(A41="","",H41*I41)</f>
        <v/>
      </c>
    </row>
    <row r="42">
      <c r="A42" s="30" t="inlineStr"/>
      <c r="B42" s="38" t="inlineStr"/>
      <c r="C42" s="30" t="inlineStr"/>
      <c r="D42" s="30" t="inlineStr"/>
      <c r="E42" s="30" t="inlineStr"/>
      <c r="F42" s="30" t="inlineStr"/>
      <c r="G42" s="30" t="inlineStr"/>
      <c r="H42" s="35" t="inlineStr"/>
      <c r="I42" s="34" t="inlineStr"/>
      <c r="J42" s="30" t="inlineStr"/>
      <c r="K42" s="30" t="inlineStr"/>
      <c r="L42" s="15">
        <f>IF(A42="","",H42*I42)</f>
        <v/>
      </c>
    </row>
    <row r="43">
      <c r="A43" s="30" t="inlineStr"/>
      <c r="B43" s="38" t="inlineStr"/>
      <c r="C43" s="30" t="inlineStr"/>
      <c r="D43" s="30" t="inlineStr"/>
      <c r="E43" s="30" t="inlineStr"/>
      <c r="F43" s="30" t="inlineStr"/>
      <c r="G43" s="30" t="inlineStr"/>
      <c r="H43" s="35" t="inlineStr"/>
      <c r="I43" s="34" t="inlineStr"/>
      <c r="J43" s="30" t="inlineStr"/>
      <c r="K43" s="30" t="inlineStr"/>
      <c r="L43" s="15">
        <f>IF(A43="","",H43*I43)</f>
        <v/>
      </c>
    </row>
    <row r="44">
      <c r="A44" s="30" t="inlineStr"/>
      <c r="B44" s="38" t="inlineStr"/>
      <c r="C44" s="30" t="inlineStr"/>
      <c r="D44" s="30" t="inlineStr"/>
      <c r="E44" s="30" t="inlineStr"/>
      <c r="F44" s="30" t="inlineStr"/>
      <c r="G44" s="30" t="inlineStr"/>
      <c r="H44" s="35" t="inlineStr"/>
      <c r="I44" s="34" t="inlineStr"/>
      <c r="J44" s="30" t="inlineStr"/>
      <c r="K44" s="30" t="inlineStr"/>
      <c r="L44" s="15">
        <f>IF(A44="","",H44*I44)</f>
        <v/>
      </c>
    </row>
    <row r="45">
      <c r="A45" s="30" t="inlineStr"/>
      <c r="B45" s="38" t="inlineStr"/>
      <c r="C45" s="30" t="inlineStr"/>
      <c r="D45" s="30" t="inlineStr"/>
      <c r="E45" s="30" t="inlineStr"/>
      <c r="F45" s="30" t="inlineStr"/>
      <c r="G45" s="30" t="inlineStr"/>
      <c r="H45" s="35" t="inlineStr"/>
      <c r="I45" s="34" t="inlineStr"/>
      <c r="J45" s="30" t="inlineStr"/>
      <c r="K45" s="30" t="inlineStr"/>
      <c r="L45" s="15">
        <f>IF(A45="","",H45*I45)</f>
        <v/>
      </c>
    </row>
    <row r="46">
      <c r="A46" s="30" t="inlineStr"/>
      <c r="B46" s="38" t="inlineStr"/>
      <c r="C46" s="30" t="inlineStr"/>
      <c r="D46" s="30" t="inlineStr"/>
      <c r="E46" s="30" t="inlineStr"/>
      <c r="F46" s="30" t="inlineStr"/>
      <c r="G46" s="30" t="inlineStr"/>
      <c r="H46" s="35" t="inlineStr"/>
      <c r="I46" s="34" t="inlineStr"/>
      <c r="J46" s="30" t="inlineStr"/>
      <c r="K46" s="30" t="inlineStr"/>
      <c r="L46" s="15">
        <f>IF(A46="","",H46*I46)</f>
        <v/>
      </c>
    </row>
    <row r="47">
      <c r="A47" s="30" t="inlineStr"/>
      <c r="B47" s="38" t="inlineStr"/>
      <c r="C47" s="30" t="inlineStr"/>
      <c r="D47" s="30" t="inlineStr"/>
      <c r="E47" s="30" t="inlineStr"/>
      <c r="F47" s="30" t="inlineStr"/>
      <c r="G47" s="30" t="inlineStr"/>
      <c r="H47" s="35" t="inlineStr"/>
      <c r="I47" s="34" t="inlineStr"/>
      <c r="J47" s="30" t="inlineStr"/>
      <c r="K47" s="30" t="inlineStr"/>
      <c r="L47" s="15">
        <f>IF(A47="","",H47*I47)</f>
        <v/>
      </c>
    </row>
    <row r="48">
      <c r="A48" s="30" t="inlineStr"/>
      <c r="B48" s="38" t="inlineStr"/>
      <c r="C48" s="30" t="inlineStr"/>
      <c r="D48" s="30" t="inlineStr"/>
      <c r="E48" s="30" t="inlineStr"/>
      <c r="F48" s="30" t="inlineStr"/>
      <c r="G48" s="30" t="inlineStr"/>
      <c r="H48" s="35" t="inlineStr"/>
      <c r="I48" s="34" t="inlineStr"/>
      <c r="J48" s="30" t="inlineStr"/>
      <c r="K48" s="30" t="inlineStr"/>
      <c r="L48" s="15">
        <f>IF(A48="","",H48*I48)</f>
        <v/>
      </c>
    </row>
    <row r="49">
      <c r="A49" s="30" t="inlineStr"/>
      <c r="B49" s="38" t="inlineStr"/>
      <c r="C49" s="30" t="inlineStr"/>
      <c r="D49" s="30" t="inlineStr"/>
      <c r="E49" s="30" t="inlineStr"/>
      <c r="F49" s="30" t="inlineStr"/>
      <c r="G49" s="30" t="inlineStr"/>
      <c r="H49" s="35" t="inlineStr"/>
      <c r="I49" s="34" t="inlineStr"/>
      <c r="J49" s="30" t="inlineStr"/>
      <c r="K49" s="30" t="inlineStr"/>
      <c r="L49" s="15">
        <f>IF(A49="","",H49*I49)</f>
        <v/>
      </c>
    </row>
    <row r="50">
      <c r="A50" s="30" t="inlineStr"/>
      <c r="B50" s="38" t="inlineStr"/>
      <c r="C50" s="30" t="inlineStr"/>
      <c r="D50" s="30" t="inlineStr"/>
      <c r="E50" s="30" t="inlineStr"/>
      <c r="F50" s="30" t="inlineStr"/>
      <c r="G50" s="30" t="inlineStr"/>
      <c r="H50" s="35" t="inlineStr"/>
      <c r="I50" s="34" t="inlineStr"/>
      <c r="J50" s="30" t="inlineStr"/>
      <c r="K50" s="30" t="inlineStr"/>
      <c r="L50" s="15">
        <f>IF(A50="","",H50*I50)</f>
        <v/>
      </c>
    </row>
    <row r="51">
      <c r="A51" s="30" t="inlineStr"/>
      <c r="B51" s="38" t="inlineStr"/>
      <c r="C51" s="30" t="inlineStr"/>
      <c r="D51" s="30" t="inlineStr"/>
      <c r="E51" s="30" t="inlineStr"/>
      <c r="F51" s="30" t="inlineStr"/>
      <c r="G51" s="30" t="inlineStr"/>
      <c r="H51" s="35" t="inlineStr"/>
      <c r="I51" s="34" t="inlineStr"/>
      <c r="J51" s="30" t="inlineStr"/>
      <c r="K51" s="30" t="inlineStr"/>
      <c r="L51" s="15">
        <f>IF(A51="","",H51*I51)</f>
        <v/>
      </c>
    </row>
    <row r="52">
      <c r="A52" s="30" t="inlineStr"/>
      <c r="B52" s="38" t="inlineStr"/>
      <c r="C52" s="30" t="inlineStr"/>
      <c r="D52" s="30" t="inlineStr"/>
      <c r="E52" s="30" t="inlineStr"/>
      <c r="F52" s="30" t="inlineStr"/>
      <c r="G52" s="30" t="inlineStr"/>
      <c r="H52" s="35" t="inlineStr"/>
      <c r="I52" s="34" t="inlineStr"/>
      <c r="J52" s="30" t="inlineStr"/>
      <c r="K52" s="30" t="inlineStr"/>
      <c r="L52" s="15">
        <f>IF(A52="","",H52*I52)</f>
        <v/>
      </c>
    </row>
    <row r="53">
      <c r="A53" s="30" t="inlineStr"/>
      <c r="B53" s="38" t="inlineStr"/>
      <c r="C53" s="30" t="inlineStr"/>
      <c r="D53" s="30" t="inlineStr"/>
      <c r="E53" s="30" t="inlineStr"/>
      <c r="F53" s="30" t="inlineStr"/>
      <c r="G53" s="30" t="inlineStr"/>
      <c r="H53" s="35" t="inlineStr"/>
      <c r="I53" s="34" t="inlineStr"/>
      <c r="J53" s="30" t="inlineStr"/>
      <c r="K53" s="30" t="inlineStr"/>
      <c r="L53" s="15">
        <f>IF(A53="","",H53*I53)</f>
        <v/>
      </c>
    </row>
    <row r="54">
      <c r="A54" s="30" t="inlineStr"/>
      <c r="B54" s="38" t="inlineStr"/>
      <c r="C54" s="30" t="inlineStr"/>
      <c r="D54" s="30" t="inlineStr"/>
      <c r="E54" s="30" t="inlineStr"/>
      <c r="F54" s="30" t="inlineStr"/>
      <c r="G54" s="30" t="inlineStr"/>
      <c r="H54" s="35" t="inlineStr"/>
      <c r="I54" s="34" t="inlineStr"/>
      <c r="J54" s="30" t="inlineStr"/>
      <c r="K54" s="30" t="inlineStr"/>
      <c r="L54" s="15">
        <f>IF(A54="","",H54*I54)</f>
        <v/>
      </c>
    </row>
    <row r="55">
      <c r="A55" s="30" t="inlineStr"/>
      <c r="B55" s="38" t="inlineStr"/>
      <c r="C55" s="30" t="inlineStr"/>
      <c r="D55" s="30" t="inlineStr"/>
      <c r="E55" s="30" t="inlineStr"/>
      <c r="F55" s="30" t="inlineStr"/>
      <c r="G55" s="30" t="inlineStr"/>
      <c r="H55" s="35" t="inlineStr"/>
      <c r="I55" s="34" t="inlineStr"/>
      <c r="J55" s="30" t="inlineStr"/>
      <c r="K55" s="30" t="inlineStr"/>
      <c r="L55" s="15">
        <f>IF(A55="","",H55*I55)</f>
        <v/>
      </c>
    </row>
    <row r="56">
      <c r="A56" s="30" t="inlineStr"/>
      <c r="B56" s="38" t="inlineStr"/>
      <c r="C56" s="30" t="inlineStr"/>
      <c r="D56" s="30" t="inlineStr"/>
      <c r="E56" s="30" t="inlineStr"/>
      <c r="F56" s="30" t="inlineStr"/>
      <c r="G56" s="30" t="inlineStr"/>
      <c r="H56" s="35" t="inlineStr"/>
      <c r="I56" s="34" t="inlineStr"/>
      <c r="J56" s="30" t="inlineStr"/>
      <c r="K56" s="30" t="inlineStr"/>
      <c r="L56" s="15">
        <f>IF(A56="","",H56*I56)</f>
        <v/>
      </c>
    </row>
    <row r="57">
      <c r="A57" s="30" t="inlineStr"/>
      <c r="B57" s="38" t="inlineStr"/>
      <c r="C57" s="30" t="inlineStr"/>
      <c r="D57" s="30" t="inlineStr"/>
      <c r="E57" s="30" t="inlineStr"/>
      <c r="F57" s="30" t="inlineStr"/>
      <c r="G57" s="30" t="inlineStr"/>
      <c r="H57" s="35" t="inlineStr"/>
      <c r="I57" s="34" t="inlineStr"/>
      <c r="J57" s="30" t="inlineStr"/>
      <c r="K57" s="30" t="inlineStr"/>
      <c r="L57" s="15">
        <f>IF(A57="","",H57*I57)</f>
        <v/>
      </c>
    </row>
    <row r="58">
      <c r="A58" s="30" t="inlineStr"/>
      <c r="B58" s="38" t="inlineStr"/>
      <c r="C58" s="30" t="inlineStr"/>
      <c r="D58" s="30" t="inlineStr"/>
      <c r="E58" s="30" t="inlineStr"/>
      <c r="F58" s="30" t="inlineStr"/>
      <c r="G58" s="30" t="inlineStr"/>
      <c r="H58" s="35" t="inlineStr"/>
      <c r="I58" s="34" t="inlineStr"/>
      <c r="J58" s="30" t="inlineStr"/>
      <c r="K58" s="30" t="inlineStr"/>
      <c r="L58" s="15">
        <f>IF(A58="","",H58*I58)</f>
        <v/>
      </c>
    </row>
    <row r="59">
      <c r="A59" s="30" t="inlineStr"/>
      <c r="B59" s="38" t="inlineStr"/>
      <c r="C59" s="30" t="inlineStr"/>
      <c r="D59" s="30" t="inlineStr"/>
      <c r="E59" s="30" t="inlineStr"/>
      <c r="F59" s="30" t="inlineStr"/>
      <c r="G59" s="30" t="inlineStr"/>
      <c r="H59" s="35" t="inlineStr"/>
      <c r="I59" s="34" t="inlineStr"/>
      <c r="J59" s="30" t="inlineStr"/>
      <c r="K59" s="30" t="inlineStr"/>
      <c r="L59" s="15">
        <f>IF(A59="","",H59*I59)</f>
        <v/>
      </c>
    </row>
    <row r="60">
      <c r="A60" s="30" t="inlineStr"/>
      <c r="B60" s="38" t="inlineStr"/>
      <c r="C60" s="30" t="inlineStr"/>
      <c r="D60" s="30" t="inlineStr"/>
      <c r="E60" s="30" t="inlineStr"/>
      <c r="F60" s="30" t="inlineStr"/>
      <c r="G60" s="30" t="inlineStr"/>
      <c r="H60" s="35" t="inlineStr"/>
      <c r="I60" s="34" t="inlineStr"/>
      <c r="J60" s="30" t="inlineStr"/>
      <c r="K60" s="30" t="inlineStr"/>
      <c r="L60" s="15">
        <f>IF(A60="","",H60*I60)</f>
        <v/>
      </c>
    </row>
    <row r="61">
      <c r="A61" s="30" t="inlineStr"/>
      <c r="B61" s="38" t="inlineStr"/>
      <c r="C61" s="30" t="inlineStr"/>
      <c r="D61" s="30" t="inlineStr"/>
      <c r="E61" s="30" t="inlineStr"/>
      <c r="F61" s="30" t="inlineStr"/>
      <c r="G61" s="30" t="inlineStr"/>
      <c r="H61" s="35" t="inlineStr"/>
      <c r="I61" s="34" t="inlineStr"/>
      <c r="J61" s="30" t="inlineStr"/>
      <c r="K61" s="30" t="inlineStr"/>
      <c r="L61" s="15">
        <f>IF(A61="","",H61*I61)</f>
        <v/>
      </c>
    </row>
    <row r="62">
      <c r="A62" s="30" t="inlineStr"/>
      <c r="B62" s="38" t="inlineStr"/>
      <c r="C62" s="30" t="inlineStr"/>
      <c r="D62" s="30" t="inlineStr"/>
      <c r="E62" s="30" t="inlineStr"/>
      <c r="F62" s="30" t="inlineStr"/>
      <c r="G62" s="30" t="inlineStr"/>
      <c r="H62" s="35" t="inlineStr"/>
      <c r="I62" s="34" t="inlineStr"/>
      <c r="J62" s="30" t="inlineStr"/>
      <c r="K62" s="30" t="inlineStr"/>
      <c r="L62" s="15">
        <f>IF(A62="","",H62*I62)</f>
        <v/>
      </c>
    </row>
    <row r="63">
      <c r="A63" s="30" t="inlineStr"/>
      <c r="B63" s="38" t="inlineStr"/>
      <c r="C63" s="30" t="inlineStr"/>
      <c r="D63" s="30" t="inlineStr"/>
      <c r="E63" s="30" t="inlineStr"/>
      <c r="F63" s="30" t="inlineStr"/>
      <c r="G63" s="30" t="inlineStr"/>
      <c r="H63" s="35" t="inlineStr"/>
      <c r="I63" s="34" t="inlineStr"/>
      <c r="J63" s="30" t="inlineStr"/>
      <c r="K63" s="30" t="inlineStr"/>
      <c r="L63" s="15">
        <f>IF(A63="","",H63*I63)</f>
        <v/>
      </c>
    </row>
    <row r="64">
      <c r="A64" s="30" t="inlineStr"/>
      <c r="B64" s="38" t="inlineStr"/>
      <c r="C64" s="30" t="inlineStr"/>
      <c r="D64" s="30" t="inlineStr"/>
      <c r="E64" s="30" t="inlineStr"/>
      <c r="F64" s="30" t="inlineStr"/>
      <c r="G64" s="30" t="inlineStr"/>
      <c r="H64" s="35" t="inlineStr"/>
      <c r="I64" s="34" t="inlineStr"/>
      <c r="J64" s="30" t="inlineStr"/>
      <c r="K64" s="30" t="inlineStr"/>
      <c r="L64" s="15">
        <f>IF(A64="","",H64*I64)</f>
        <v/>
      </c>
    </row>
    <row r="65">
      <c r="A65" s="30" t="inlineStr"/>
      <c r="B65" s="38" t="inlineStr"/>
      <c r="C65" s="30" t="inlineStr"/>
      <c r="D65" s="30" t="inlineStr"/>
      <c r="E65" s="30" t="inlineStr"/>
      <c r="F65" s="30" t="inlineStr"/>
      <c r="G65" s="30" t="inlineStr"/>
      <c r="H65" s="35" t="inlineStr"/>
      <c r="I65" s="34" t="inlineStr"/>
      <c r="J65" s="30" t="inlineStr"/>
      <c r="K65" s="30" t="inlineStr"/>
      <c r="L65" s="15">
        <f>IF(A65="","",H65*I65)</f>
        <v/>
      </c>
    </row>
    <row r="66">
      <c r="A66" s="30" t="inlineStr"/>
      <c r="B66" s="38" t="inlineStr"/>
      <c r="C66" s="30" t="inlineStr"/>
      <c r="D66" s="30" t="inlineStr"/>
      <c r="E66" s="30" t="inlineStr"/>
      <c r="F66" s="30" t="inlineStr"/>
      <c r="G66" s="30" t="inlineStr"/>
      <c r="H66" s="35" t="inlineStr"/>
      <c r="I66" s="34" t="inlineStr"/>
      <c r="J66" s="30" t="inlineStr"/>
      <c r="K66" s="30" t="inlineStr"/>
      <c r="L66" s="15">
        <f>IF(A66="","",H66*I66)</f>
        <v/>
      </c>
    </row>
    <row r="67">
      <c r="A67" s="30" t="inlineStr"/>
      <c r="B67" s="38" t="inlineStr"/>
      <c r="C67" s="30" t="inlineStr"/>
      <c r="D67" s="30" t="inlineStr"/>
      <c r="E67" s="30" t="inlineStr"/>
      <c r="F67" s="30" t="inlineStr"/>
      <c r="G67" s="30" t="inlineStr"/>
      <c r="H67" s="35" t="inlineStr"/>
      <c r="I67" s="34" t="inlineStr"/>
      <c r="J67" s="30" t="inlineStr"/>
      <c r="K67" s="30" t="inlineStr"/>
      <c r="L67" s="15">
        <f>IF(A67="","",H67*I67)</f>
        <v/>
      </c>
    </row>
    <row r="68">
      <c r="A68" s="30" t="inlineStr"/>
      <c r="B68" s="38" t="inlineStr"/>
      <c r="C68" s="30" t="inlineStr"/>
      <c r="D68" s="30" t="inlineStr"/>
      <c r="E68" s="30" t="inlineStr"/>
      <c r="F68" s="30" t="inlineStr"/>
      <c r="G68" s="30" t="inlineStr"/>
      <c r="H68" s="35" t="inlineStr"/>
      <c r="I68" s="34" t="inlineStr"/>
      <c r="J68" s="30" t="inlineStr"/>
      <c r="K68" s="30" t="inlineStr"/>
      <c r="L68" s="15">
        <f>IF(A68="","",H68*I68)</f>
        <v/>
      </c>
    </row>
    <row r="69">
      <c r="A69" s="30" t="inlineStr"/>
      <c r="B69" s="38" t="inlineStr"/>
      <c r="C69" s="30" t="inlineStr"/>
      <c r="D69" s="30" t="inlineStr"/>
      <c r="E69" s="30" t="inlineStr"/>
      <c r="F69" s="30" t="inlineStr"/>
      <c r="G69" s="30" t="inlineStr"/>
      <c r="H69" s="35" t="inlineStr"/>
      <c r="I69" s="34" t="inlineStr"/>
      <c r="J69" s="30" t="inlineStr"/>
      <c r="K69" s="30" t="inlineStr"/>
      <c r="L69" s="15">
        <f>IF(A69="","",H69*I69)</f>
        <v/>
      </c>
    </row>
    <row r="70">
      <c r="A70" s="30" t="inlineStr"/>
      <c r="B70" s="38" t="inlineStr"/>
      <c r="C70" s="30" t="inlineStr"/>
      <c r="D70" s="30" t="inlineStr"/>
      <c r="E70" s="30" t="inlineStr"/>
      <c r="F70" s="30" t="inlineStr"/>
      <c r="G70" s="30" t="inlineStr"/>
      <c r="H70" s="35" t="inlineStr"/>
      <c r="I70" s="34" t="inlineStr"/>
      <c r="J70" s="30" t="inlineStr"/>
      <c r="K70" s="30" t="inlineStr"/>
      <c r="L70" s="15">
        <f>IF(A70="","",H70*I70)</f>
        <v/>
      </c>
    </row>
    <row r="71">
      <c r="A71" s="30" t="inlineStr"/>
      <c r="B71" s="38" t="inlineStr"/>
      <c r="C71" s="30" t="inlineStr"/>
      <c r="D71" s="30" t="inlineStr"/>
      <c r="E71" s="30" t="inlineStr"/>
      <c r="F71" s="30" t="inlineStr"/>
      <c r="G71" s="30" t="inlineStr"/>
      <c r="H71" s="35" t="inlineStr"/>
      <c r="I71" s="34" t="inlineStr"/>
      <c r="J71" s="30" t="inlineStr"/>
      <c r="K71" s="30" t="inlineStr"/>
      <c r="L71" s="15">
        <f>IF(A71="","",H71*I71)</f>
        <v/>
      </c>
    </row>
    <row r="72">
      <c r="A72" s="30" t="inlineStr"/>
      <c r="B72" s="38" t="inlineStr"/>
      <c r="C72" s="30" t="inlineStr"/>
      <c r="D72" s="30" t="inlineStr"/>
      <c r="E72" s="30" t="inlineStr"/>
      <c r="F72" s="30" t="inlineStr"/>
      <c r="G72" s="30" t="inlineStr"/>
      <c r="H72" s="35" t="inlineStr"/>
      <c r="I72" s="34" t="inlineStr"/>
      <c r="J72" s="30" t="inlineStr"/>
      <c r="K72" s="30" t="inlineStr"/>
      <c r="L72" s="15">
        <f>IF(A72="","",H72*I72)</f>
        <v/>
      </c>
    </row>
    <row r="73">
      <c r="A73" s="30" t="inlineStr"/>
      <c r="B73" s="38" t="inlineStr"/>
      <c r="C73" s="30" t="inlineStr"/>
      <c r="D73" s="30" t="inlineStr"/>
      <c r="E73" s="30" t="inlineStr"/>
      <c r="F73" s="30" t="inlineStr"/>
      <c r="G73" s="30" t="inlineStr"/>
      <c r="H73" s="35" t="inlineStr"/>
      <c r="I73" s="34" t="inlineStr"/>
      <c r="J73" s="30" t="inlineStr"/>
      <c r="K73" s="30" t="inlineStr"/>
      <c r="L73" s="15">
        <f>IF(A73="","",H73*I73)</f>
        <v/>
      </c>
    </row>
    <row r="74">
      <c r="A74" s="30" t="inlineStr"/>
      <c r="B74" s="38" t="inlineStr"/>
      <c r="C74" s="30" t="inlineStr"/>
      <c r="D74" s="30" t="inlineStr"/>
      <c r="E74" s="30" t="inlineStr"/>
      <c r="F74" s="30" t="inlineStr"/>
      <c r="G74" s="30" t="inlineStr"/>
      <c r="H74" s="35" t="inlineStr"/>
      <c r="I74" s="34" t="inlineStr"/>
      <c r="J74" s="30" t="inlineStr"/>
      <c r="K74" s="30" t="inlineStr"/>
      <c r="L74" s="15">
        <f>IF(A74="","",H74*I74)</f>
        <v/>
      </c>
    </row>
    <row r="75">
      <c r="A75" s="30" t="inlineStr"/>
      <c r="B75" s="38" t="inlineStr"/>
      <c r="C75" s="30" t="inlineStr"/>
      <c r="D75" s="30" t="inlineStr"/>
      <c r="E75" s="30" t="inlineStr"/>
      <c r="F75" s="30" t="inlineStr"/>
      <c r="G75" s="30" t="inlineStr"/>
      <c r="H75" s="35" t="inlineStr"/>
      <c r="I75" s="34" t="inlineStr"/>
      <c r="J75" s="30" t="inlineStr"/>
      <c r="K75" s="30" t="inlineStr"/>
      <c r="L75" s="15">
        <f>IF(A75="","",H75*I75)</f>
        <v/>
      </c>
    </row>
    <row r="76">
      <c r="A76" s="30" t="inlineStr"/>
      <c r="B76" s="38" t="inlineStr"/>
      <c r="C76" s="30" t="inlineStr"/>
      <c r="D76" s="30" t="inlineStr"/>
      <c r="E76" s="30" t="inlineStr"/>
      <c r="F76" s="30" t="inlineStr"/>
      <c r="G76" s="30" t="inlineStr"/>
      <c r="H76" s="35" t="inlineStr"/>
      <c r="I76" s="34" t="inlineStr"/>
      <c r="J76" s="30" t="inlineStr"/>
      <c r="K76" s="30" t="inlineStr"/>
      <c r="L76" s="15">
        <f>IF(A76="","",H76*I76)</f>
        <v/>
      </c>
    </row>
    <row r="77">
      <c r="A77" s="30" t="inlineStr"/>
      <c r="B77" s="38" t="inlineStr"/>
      <c r="C77" s="30" t="inlineStr"/>
      <c r="D77" s="30" t="inlineStr"/>
      <c r="E77" s="30" t="inlineStr"/>
      <c r="F77" s="30" t="inlineStr"/>
      <c r="G77" s="30" t="inlineStr"/>
      <c r="H77" s="35" t="inlineStr"/>
      <c r="I77" s="34" t="inlineStr"/>
      <c r="J77" s="30" t="inlineStr"/>
      <c r="K77" s="30" t="inlineStr"/>
      <c r="L77" s="15">
        <f>IF(A77="","",H77*I77)</f>
        <v/>
      </c>
    </row>
    <row r="78">
      <c r="A78" s="30" t="inlineStr"/>
      <c r="B78" s="38" t="inlineStr"/>
      <c r="C78" s="30" t="inlineStr"/>
      <c r="D78" s="30" t="inlineStr"/>
      <c r="E78" s="30" t="inlineStr"/>
      <c r="F78" s="30" t="inlineStr"/>
      <c r="G78" s="30" t="inlineStr"/>
      <c r="H78" s="35" t="inlineStr"/>
      <c r="I78" s="34" t="inlineStr"/>
      <c r="J78" s="30" t="inlineStr"/>
      <c r="K78" s="30" t="inlineStr"/>
      <c r="L78" s="15">
        <f>IF(A78="","",H78*I78)</f>
        <v/>
      </c>
    </row>
    <row r="79">
      <c r="A79" s="30" t="inlineStr"/>
      <c r="B79" s="38" t="inlineStr"/>
      <c r="C79" s="30" t="inlineStr"/>
      <c r="D79" s="30" t="inlineStr"/>
      <c r="E79" s="30" t="inlineStr"/>
      <c r="F79" s="30" t="inlineStr"/>
      <c r="G79" s="30" t="inlineStr"/>
      <c r="H79" s="35" t="inlineStr"/>
      <c r="I79" s="34" t="inlineStr"/>
      <c r="J79" s="30" t="inlineStr"/>
      <c r="K79" s="30" t="inlineStr"/>
      <c r="L79" s="15">
        <f>IF(A79="","",H79*I79)</f>
        <v/>
      </c>
    </row>
    <row r="80">
      <c r="A80" s="30" t="inlineStr"/>
      <c r="B80" s="38" t="inlineStr"/>
      <c r="C80" s="30" t="inlineStr"/>
      <c r="D80" s="30" t="inlineStr"/>
      <c r="E80" s="30" t="inlineStr"/>
      <c r="F80" s="30" t="inlineStr"/>
      <c r="G80" s="30" t="inlineStr"/>
      <c r="H80" s="35" t="inlineStr"/>
      <c r="I80" s="34" t="inlineStr"/>
      <c r="J80" s="30" t="inlineStr"/>
      <c r="K80" s="30" t="inlineStr"/>
      <c r="L80" s="15">
        <f>IF(A80="","",H80*I80)</f>
        <v/>
      </c>
    </row>
    <row r="81">
      <c r="A81" s="30" t="inlineStr"/>
      <c r="B81" s="38" t="inlineStr"/>
      <c r="C81" s="30" t="inlineStr"/>
      <c r="D81" s="30" t="inlineStr"/>
      <c r="E81" s="30" t="inlineStr"/>
      <c r="F81" s="30" t="inlineStr"/>
      <c r="G81" s="30" t="inlineStr"/>
      <c r="H81" s="35" t="inlineStr"/>
      <c r="I81" s="34" t="inlineStr"/>
      <c r="J81" s="30" t="inlineStr"/>
      <c r="K81" s="30" t="inlineStr"/>
      <c r="L81" s="15">
        <f>IF(A81="","",H81*I81)</f>
        <v/>
      </c>
    </row>
    <row r="82">
      <c r="A82" s="30" t="inlineStr"/>
      <c r="B82" s="38" t="inlineStr"/>
      <c r="C82" s="30" t="inlineStr"/>
      <c r="D82" s="30" t="inlineStr"/>
      <c r="E82" s="30" t="inlineStr"/>
      <c r="F82" s="30" t="inlineStr"/>
      <c r="G82" s="30" t="inlineStr"/>
      <c r="H82" s="35" t="inlineStr"/>
      <c r="I82" s="34" t="inlineStr"/>
      <c r="J82" s="30" t="inlineStr"/>
      <c r="K82" s="30" t="inlineStr"/>
      <c r="L82" s="15">
        <f>IF(A82="","",H82*I82)</f>
        <v/>
      </c>
    </row>
    <row r="83">
      <c r="A83" s="30" t="inlineStr"/>
      <c r="B83" s="38" t="inlineStr"/>
      <c r="C83" s="30" t="inlineStr"/>
      <c r="D83" s="30" t="inlineStr"/>
      <c r="E83" s="30" t="inlineStr"/>
      <c r="F83" s="30" t="inlineStr"/>
      <c r="G83" s="30" t="inlineStr"/>
      <c r="H83" s="35" t="inlineStr"/>
      <c r="I83" s="34" t="inlineStr"/>
      <c r="J83" s="30" t="inlineStr"/>
      <c r="K83" s="30" t="inlineStr"/>
      <c r="L83" s="15">
        <f>IF(A83="","",H83*I83)</f>
        <v/>
      </c>
    </row>
    <row r="84">
      <c r="A84" s="30" t="inlineStr"/>
      <c r="B84" s="38" t="inlineStr"/>
      <c r="C84" s="30" t="inlineStr"/>
      <c r="D84" s="30" t="inlineStr"/>
      <c r="E84" s="30" t="inlineStr"/>
      <c r="F84" s="30" t="inlineStr"/>
      <c r="G84" s="30" t="inlineStr"/>
      <c r="H84" s="35" t="inlineStr"/>
      <c r="I84" s="34" t="inlineStr"/>
      <c r="J84" s="30" t="inlineStr"/>
      <c r="K84" s="30" t="inlineStr"/>
      <c r="L84" s="15">
        <f>IF(A84="","",H84*I84)</f>
        <v/>
      </c>
    </row>
    <row r="85">
      <c r="A85" s="30" t="inlineStr"/>
      <c r="B85" s="38" t="inlineStr"/>
      <c r="C85" s="30" t="inlineStr"/>
      <c r="D85" s="30" t="inlineStr"/>
      <c r="E85" s="30" t="inlineStr"/>
      <c r="F85" s="30" t="inlineStr"/>
      <c r="G85" s="30" t="inlineStr"/>
      <c r="H85" s="35" t="inlineStr"/>
      <c r="I85" s="34" t="inlineStr"/>
      <c r="J85" s="30" t="inlineStr"/>
      <c r="K85" s="30" t="inlineStr"/>
      <c r="L85" s="15">
        <f>IF(A85="","",H85*I85)</f>
        <v/>
      </c>
    </row>
    <row r="86">
      <c r="A86" s="30" t="inlineStr"/>
      <c r="B86" s="38" t="inlineStr"/>
      <c r="C86" s="30" t="inlineStr"/>
      <c r="D86" s="30" t="inlineStr"/>
      <c r="E86" s="30" t="inlineStr"/>
      <c r="F86" s="30" t="inlineStr"/>
      <c r="G86" s="30" t="inlineStr"/>
      <c r="H86" s="35" t="inlineStr"/>
      <c r="I86" s="34" t="inlineStr"/>
      <c r="J86" s="30" t="inlineStr"/>
      <c r="K86" s="30" t="inlineStr"/>
      <c r="L86" s="15">
        <f>IF(A86="","",H86*I86)</f>
        <v/>
      </c>
    </row>
    <row r="87">
      <c r="A87" s="30" t="inlineStr"/>
      <c r="B87" s="38" t="inlineStr"/>
      <c r="C87" s="30" t="inlineStr"/>
      <c r="D87" s="30" t="inlineStr"/>
      <c r="E87" s="30" t="inlineStr"/>
      <c r="F87" s="30" t="inlineStr"/>
      <c r="G87" s="30" t="inlineStr"/>
      <c r="H87" s="35" t="inlineStr"/>
      <c r="I87" s="34" t="inlineStr"/>
      <c r="J87" s="30" t="inlineStr"/>
      <c r="K87" s="30" t="inlineStr"/>
      <c r="L87" s="15">
        <f>IF(A87="","",H87*I87)</f>
        <v/>
      </c>
    </row>
    <row r="88">
      <c r="A88" s="30" t="inlineStr"/>
      <c r="B88" s="38" t="inlineStr"/>
      <c r="C88" s="30" t="inlineStr"/>
      <c r="D88" s="30" t="inlineStr"/>
      <c r="E88" s="30" t="inlineStr"/>
      <c r="F88" s="30" t="inlineStr"/>
      <c r="G88" s="30" t="inlineStr"/>
      <c r="H88" s="35" t="inlineStr"/>
      <c r="I88" s="34" t="inlineStr"/>
      <c r="J88" s="30" t="inlineStr"/>
      <c r="K88" s="30" t="inlineStr"/>
      <c r="L88" s="15">
        <f>IF(A88="","",H88*I88)</f>
        <v/>
      </c>
    </row>
    <row r="89">
      <c r="A89" s="30" t="inlineStr"/>
      <c r="B89" s="38" t="inlineStr"/>
      <c r="C89" s="30" t="inlineStr"/>
      <c r="D89" s="30" t="inlineStr"/>
      <c r="E89" s="30" t="inlineStr"/>
      <c r="F89" s="30" t="inlineStr"/>
      <c r="G89" s="30" t="inlineStr"/>
      <c r="H89" s="35" t="inlineStr"/>
      <c r="I89" s="34" t="inlineStr"/>
      <c r="J89" s="30" t="inlineStr"/>
      <c r="K89" s="30" t="inlineStr"/>
      <c r="L89" s="15">
        <f>IF(A89="","",H89*I89)</f>
        <v/>
      </c>
    </row>
    <row r="90">
      <c r="A90" s="30" t="inlineStr"/>
      <c r="B90" s="38" t="inlineStr"/>
      <c r="C90" s="30" t="inlineStr"/>
      <c r="D90" s="30" t="inlineStr"/>
      <c r="E90" s="30" t="inlineStr"/>
      <c r="F90" s="30" t="inlineStr"/>
      <c r="G90" s="30" t="inlineStr"/>
      <c r="H90" s="35" t="inlineStr"/>
      <c r="I90" s="34" t="inlineStr"/>
      <c r="J90" s="30" t="inlineStr"/>
      <c r="K90" s="30" t="inlineStr"/>
      <c r="L90" s="15">
        <f>IF(A90="","",H90*I90)</f>
        <v/>
      </c>
    </row>
    <row r="91">
      <c r="A91" s="30" t="inlineStr"/>
      <c r="B91" s="38" t="inlineStr"/>
      <c r="C91" s="30" t="inlineStr"/>
      <c r="D91" s="30" t="inlineStr"/>
      <c r="E91" s="30" t="inlineStr"/>
      <c r="F91" s="30" t="inlineStr"/>
      <c r="G91" s="30" t="inlineStr"/>
      <c r="H91" s="35" t="inlineStr"/>
      <c r="I91" s="34" t="inlineStr"/>
      <c r="J91" s="30" t="inlineStr"/>
      <c r="K91" s="30" t="inlineStr"/>
      <c r="L91" s="15">
        <f>IF(A91="","",H91*I91)</f>
        <v/>
      </c>
    </row>
    <row r="92">
      <c r="A92" s="30" t="inlineStr"/>
      <c r="B92" s="38" t="inlineStr"/>
      <c r="C92" s="30" t="inlineStr"/>
      <c r="D92" s="30" t="inlineStr"/>
      <c r="E92" s="30" t="inlineStr"/>
      <c r="F92" s="30" t="inlineStr"/>
      <c r="G92" s="30" t="inlineStr"/>
      <c r="H92" s="35" t="inlineStr"/>
      <c r="I92" s="34" t="inlineStr"/>
      <c r="J92" s="30" t="inlineStr"/>
      <c r="K92" s="30" t="inlineStr"/>
      <c r="L92" s="15">
        <f>IF(A92="","",H92*I92)</f>
        <v/>
      </c>
    </row>
    <row r="93">
      <c r="A93" s="30" t="inlineStr"/>
      <c r="B93" s="38" t="inlineStr"/>
      <c r="C93" s="30" t="inlineStr"/>
      <c r="D93" s="30" t="inlineStr"/>
      <c r="E93" s="30" t="inlineStr"/>
      <c r="F93" s="30" t="inlineStr"/>
      <c r="G93" s="30" t="inlineStr"/>
      <c r="H93" s="35" t="inlineStr"/>
      <c r="I93" s="34" t="inlineStr"/>
      <c r="J93" s="30" t="inlineStr"/>
      <c r="K93" s="30" t="inlineStr"/>
      <c r="L93" s="15">
        <f>IF(A93="","",H93*I93)</f>
        <v/>
      </c>
    </row>
    <row r="94">
      <c r="A94" s="30" t="inlineStr"/>
      <c r="B94" s="38" t="inlineStr"/>
      <c r="C94" s="30" t="inlineStr"/>
      <c r="D94" s="30" t="inlineStr"/>
      <c r="E94" s="30" t="inlineStr"/>
      <c r="F94" s="30" t="inlineStr"/>
      <c r="G94" s="30" t="inlineStr"/>
      <c r="H94" s="35" t="inlineStr"/>
      <c r="I94" s="34" t="inlineStr"/>
      <c r="J94" s="30" t="inlineStr"/>
      <c r="K94" s="30" t="inlineStr"/>
      <c r="L94" s="15">
        <f>IF(A94="","",H94*I94)</f>
        <v/>
      </c>
    </row>
    <row r="95">
      <c r="A95" s="30" t="inlineStr"/>
      <c r="B95" s="38" t="inlineStr"/>
      <c r="C95" s="30" t="inlineStr"/>
      <c r="D95" s="30" t="inlineStr"/>
      <c r="E95" s="30" t="inlineStr"/>
      <c r="F95" s="30" t="inlineStr"/>
      <c r="G95" s="30" t="inlineStr"/>
      <c r="H95" s="35" t="inlineStr"/>
      <c r="I95" s="34" t="inlineStr"/>
      <c r="J95" s="30" t="inlineStr"/>
      <c r="K95" s="30" t="inlineStr"/>
      <c r="L95" s="15">
        <f>IF(A95="","",H95*I95)</f>
        <v/>
      </c>
    </row>
    <row r="96">
      <c r="A96" s="30" t="inlineStr"/>
      <c r="B96" s="38" t="inlineStr"/>
      <c r="C96" s="30" t="inlineStr"/>
      <c r="D96" s="30" t="inlineStr"/>
      <c r="E96" s="30" t="inlineStr"/>
      <c r="F96" s="30" t="inlineStr"/>
      <c r="G96" s="30" t="inlineStr"/>
      <c r="H96" s="35" t="inlineStr"/>
      <c r="I96" s="34" t="inlineStr"/>
      <c r="J96" s="30" t="inlineStr"/>
      <c r="K96" s="30" t="inlineStr"/>
      <c r="L96" s="15">
        <f>IF(A96="","",H96*I96)</f>
        <v/>
      </c>
    </row>
    <row r="97">
      <c r="A97" s="30" t="inlineStr"/>
      <c r="B97" s="38" t="inlineStr"/>
      <c r="C97" s="30" t="inlineStr"/>
      <c r="D97" s="30" t="inlineStr"/>
      <c r="E97" s="30" t="inlineStr"/>
      <c r="F97" s="30" t="inlineStr"/>
      <c r="G97" s="30" t="inlineStr"/>
      <c r="H97" s="35" t="inlineStr"/>
      <c r="I97" s="34" t="inlineStr"/>
      <c r="J97" s="30" t="inlineStr"/>
      <c r="K97" s="30" t="inlineStr"/>
      <c r="L97" s="15">
        <f>IF(A97="","",H97*I97)</f>
        <v/>
      </c>
    </row>
    <row r="98">
      <c r="A98" s="30" t="inlineStr"/>
      <c r="B98" s="38" t="inlineStr"/>
      <c r="C98" s="30" t="inlineStr"/>
      <c r="D98" s="30" t="inlineStr"/>
      <c r="E98" s="30" t="inlineStr"/>
      <c r="F98" s="30" t="inlineStr"/>
      <c r="G98" s="30" t="inlineStr"/>
      <c r="H98" s="35" t="inlineStr"/>
      <c r="I98" s="34" t="inlineStr"/>
      <c r="J98" s="30" t="inlineStr"/>
      <c r="K98" s="30" t="inlineStr"/>
      <c r="L98" s="15">
        <f>IF(A98="","",H98*I98)</f>
        <v/>
      </c>
    </row>
    <row r="99">
      <c r="A99" s="30" t="inlineStr"/>
      <c r="B99" s="38" t="inlineStr"/>
      <c r="C99" s="30" t="inlineStr"/>
      <c r="D99" s="30" t="inlineStr"/>
      <c r="E99" s="30" t="inlineStr"/>
      <c r="F99" s="30" t="inlineStr"/>
      <c r="G99" s="30" t="inlineStr"/>
      <c r="H99" s="35" t="inlineStr"/>
      <c r="I99" s="34" t="inlineStr"/>
      <c r="J99" s="30" t="inlineStr"/>
      <c r="K99" s="30" t="inlineStr"/>
      <c r="L99" s="15">
        <f>IF(A99="","",H99*I99)</f>
        <v/>
      </c>
    </row>
    <row r="100">
      <c r="A100" s="30" t="inlineStr"/>
      <c r="B100" s="38" t="inlineStr"/>
      <c r="C100" s="30" t="inlineStr"/>
      <c r="D100" s="30" t="inlineStr"/>
      <c r="E100" s="30" t="inlineStr"/>
      <c r="F100" s="30" t="inlineStr"/>
      <c r="G100" s="30" t="inlineStr"/>
      <c r="H100" s="35" t="inlineStr"/>
      <c r="I100" s="34" t="inlineStr"/>
      <c r="J100" s="30" t="inlineStr"/>
      <c r="K100" s="30" t="inlineStr"/>
      <c r="L100" s="15">
        <f>IF(A100="","",H100*I100)</f>
        <v/>
      </c>
    </row>
    <row r="101">
      <c r="A101" s="30" t="inlineStr"/>
      <c r="B101" s="38" t="inlineStr"/>
      <c r="C101" s="30" t="inlineStr"/>
      <c r="D101" s="30" t="inlineStr"/>
      <c r="E101" s="30" t="inlineStr"/>
      <c r="F101" s="30" t="inlineStr"/>
      <c r="G101" s="30" t="inlineStr"/>
      <c r="H101" s="35" t="inlineStr"/>
      <c r="I101" s="34" t="inlineStr"/>
      <c r="J101" s="30" t="inlineStr"/>
      <c r="K101" s="30" t="inlineStr"/>
      <c r="L101" s="15">
        <f>IF(A101="","",H101*I101)</f>
        <v/>
      </c>
    </row>
    <row r="102">
      <c r="A102" s="30" t="inlineStr"/>
      <c r="B102" s="38" t="inlineStr"/>
      <c r="C102" s="30" t="inlineStr"/>
      <c r="D102" s="30" t="inlineStr"/>
      <c r="E102" s="30" t="inlineStr"/>
      <c r="F102" s="30" t="inlineStr"/>
      <c r="G102" s="30" t="inlineStr"/>
      <c r="H102" s="35" t="inlineStr"/>
      <c r="I102" s="34" t="inlineStr"/>
      <c r="J102" s="30" t="inlineStr"/>
      <c r="K102" s="30" t="inlineStr"/>
      <c r="L102" s="15">
        <f>IF(A102="","",H102*I102)</f>
        <v/>
      </c>
    </row>
    <row r="103">
      <c r="A103" s="30" t="inlineStr"/>
      <c r="B103" s="38" t="inlineStr"/>
      <c r="C103" s="30" t="inlineStr"/>
      <c r="D103" s="30" t="inlineStr"/>
      <c r="E103" s="30" t="inlineStr"/>
      <c r="F103" s="30" t="inlineStr"/>
      <c r="G103" s="30" t="inlineStr"/>
      <c r="H103" s="35" t="inlineStr"/>
      <c r="I103" s="34" t="inlineStr"/>
      <c r="J103" s="30" t="inlineStr"/>
      <c r="K103" s="30" t="inlineStr"/>
      <c r="L103" s="15">
        <f>IF(A103="","",H103*I103)</f>
        <v/>
      </c>
    </row>
    <row r="104">
      <c r="A104" s="30" t="inlineStr"/>
      <c r="B104" s="38" t="inlineStr"/>
      <c r="C104" s="30" t="inlineStr"/>
      <c r="D104" s="30" t="inlineStr"/>
      <c r="E104" s="30" t="inlineStr"/>
      <c r="F104" s="30" t="inlineStr"/>
      <c r="G104" s="30" t="inlineStr"/>
      <c r="H104" s="35" t="inlineStr"/>
      <c r="I104" s="34" t="inlineStr"/>
      <c r="J104" s="30" t="inlineStr"/>
      <c r="K104" s="30" t="inlineStr"/>
      <c r="L104" s="15">
        <f>IF(A104="","",H104*I104)</f>
        <v/>
      </c>
    </row>
    <row r="105">
      <c r="A105" s="30" t="inlineStr"/>
      <c r="B105" s="38" t="inlineStr"/>
      <c r="C105" s="30" t="inlineStr"/>
      <c r="D105" s="30" t="inlineStr"/>
      <c r="E105" s="30" t="inlineStr"/>
      <c r="F105" s="30" t="inlineStr"/>
      <c r="G105" s="30" t="inlineStr"/>
      <c r="H105" s="35" t="inlineStr"/>
      <c r="I105" s="34" t="inlineStr"/>
      <c r="J105" s="30" t="inlineStr"/>
      <c r="K105" s="30" t="inlineStr"/>
      <c r="L105" s="15">
        <f>IF(A105="","",H105*I105)</f>
        <v/>
      </c>
    </row>
    <row r="106">
      <c r="A106" s="30" t="inlineStr"/>
      <c r="B106" s="38" t="inlineStr"/>
      <c r="C106" s="30" t="inlineStr"/>
      <c r="D106" s="30" t="inlineStr"/>
      <c r="E106" s="30" t="inlineStr"/>
      <c r="F106" s="30" t="inlineStr"/>
      <c r="G106" s="30" t="inlineStr"/>
      <c r="H106" s="35" t="inlineStr"/>
      <c r="I106" s="34" t="inlineStr"/>
      <c r="J106" s="30" t="inlineStr"/>
      <c r="K106" s="30" t="inlineStr"/>
      <c r="L106" s="15">
        <f>IF(A106="","",H106*I106)</f>
        <v/>
      </c>
    </row>
    <row r="107">
      <c r="A107" s="30" t="inlineStr"/>
      <c r="B107" s="38" t="inlineStr"/>
      <c r="C107" s="30" t="inlineStr"/>
      <c r="D107" s="30" t="inlineStr"/>
      <c r="E107" s="30" t="inlineStr"/>
      <c r="F107" s="30" t="inlineStr"/>
      <c r="G107" s="30" t="inlineStr"/>
      <c r="H107" s="35" t="inlineStr"/>
      <c r="I107" s="34" t="inlineStr"/>
      <c r="J107" s="30" t="inlineStr"/>
      <c r="K107" s="30" t="inlineStr"/>
      <c r="L107" s="15">
        <f>IF(A107="","",H107*I107)</f>
        <v/>
      </c>
    </row>
    <row r="108">
      <c r="A108" s="30" t="inlineStr"/>
      <c r="B108" s="38" t="inlineStr"/>
      <c r="C108" s="30" t="inlineStr"/>
      <c r="D108" s="30" t="inlineStr"/>
      <c r="E108" s="30" t="inlineStr"/>
      <c r="F108" s="30" t="inlineStr"/>
      <c r="G108" s="30" t="inlineStr"/>
      <c r="H108" s="35" t="inlineStr"/>
      <c r="I108" s="34" t="inlineStr"/>
      <c r="J108" s="30" t="inlineStr"/>
      <c r="K108" s="30" t="inlineStr"/>
      <c r="L108" s="15">
        <f>IF(A108="","",H108*I108)</f>
        <v/>
      </c>
    </row>
    <row r="109">
      <c r="A109" s="30" t="inlineStr"/>
      <c r="B109" s="38" t="inlineStr"/>
      <c r="C109" s="30" t="inlineStr"/>
      <c r="D109" s="30" t="inlineStr"/>
      <c r="E109" s="30" t="inlineStr"/>
      <c r="F109" s="30" t="inlineStr"/>
      <c r="G109" s="30" t="inlineStr"/>
      <c r="H109" s="35" t="inlineStr"/>
      <c r="I109" s="34" t="inlineStr"/>
      <c r="J109" s="30" t="inlineStr"/>
      <c r="K109" s="30" t="inlineStr"/>
      <c r="L109" s="15">
        <f>IF(A109="","",H109*I109)</f>
        <v/>
      </c>
    </row>
    <row r="110">
      <c r="A110" s="30" t="inlineStr"/>
      <c r="B110" s="38" t="inlineStr"/>
      <c r="C110" s="30" t="inlineStr"/>
      <c r="D110" s="30" t="inlineStr"/>
      <c r="E110" s="30" t="inlineStr"/>
      <c r="F110" s="30" t="inlineStr"/>
      <c r="G110" s="30" t="inlineStr"/>
      <c r="H110" s="35" t="inlineStr"/>
      <c r="I110" s="34" t="inlineStr"/>
      <c r="J110" s="30" t="inlineStr"/>
      <c r="K110" s="30" t="inlineStr"/>
      <c r="L110" s="15">
        <f>IF(A110="","",H110*I110)</f>
        <v/>
      </c>
    </row>
    <row r="111">
      <c r="A111" s="30" t="inlineStr"/>
      <c r="B111" s="38" t="inlineStr"/>
      <c r="C111" s="30" t="inlineStr"/>
      <c r="D111" s="30" t="inlineStr"/>
      <c r="E111" s="30" t="inlineStr"/>
      <c r="F111" s="30" t="inlineStr"/>
      <c r="G111" s="30" t="inlineStr"/>
      <c r="H111" s="35" t="inlineStr"/>
      <c r="I111" s="34" t="inlineStr"/>
      <c r="J111" s="30" t="inlineStr"/>
      <c r="K111" s="30" t="inlineStr"/>
      <c r="L111" s="15">
        <f>IF(A111="","",H111*I111)</f>
        <v/>
      </c>
    </row>
    <row r="112">
      <c r="A112" s="30" t="inlineStr"/>
      <c r="B112" s="38" t="inlineStr"/>
      <c r="C112" s="30" t="inlineStr"/>
      <c r="D112" s="30" t="inlineStr"/>
      <c r="E112" s="30" t="inlineStr"/>
      <c r="F112" s="30" t="inlineStr"/>
      <c r="G112" s="30" t="inlineStr"/>
      <c r="H112" s="35" t="inlineStr"/>
      <c r="I112" s="34" t="inlineStr"/>
      <c r="J112" s="30" t="inlineStr"/>
      <c r="K112" s="30" t="inlineStr"/>
      <c r="L112" s="15">
        <f>IF(A112="","",H112*I112)</f>
        <v/>
      </c>
    </row>
    <row r="113">
      <c r="A113" s="30" t="inlineStr"/>
      <c r="B113" s="38" t="inlineStr"/>
      <c r="C113" s="30" t="inlineStr"/>
      <c r="D113" s="30" t="inlineStr"/>
      <c r="E113" s="30" t="inlineStr"/>
      <c r="F113" s="30" t="inlineStr"/>
      <c r="G113" s="30" t="inlineStr"/>
      <c r="H113" s="35" t="inlineStr"/>
      <c r="I113" s="34" t="inlineStr"/>
      <c r="J113" s="30" t="inlineStr"/>
      <c r="K113" s="30" t="inlineStr"/>
      <c r="L113" s="15">
        <f>IF(A113="","",H113*I113)</f>
        <v/>
      </c>
    </row>
    <row r="114">
      <c r="A114" s="30" t="inlineStr"/>
      <c r="B114" s="38" t="inlineStr"/>
      <c r="C114" s="30" t="inlineStr"/>
      <c r="D114" s="30" t="inlineStr"/>
      <c r="E114" s="30" t="inlineStr"/>
      <c r="F114" s="30" t="inlineStr"/>
      <c r="G114" s="30" t="inlineStr"/>
      <c r="H114" s="35" t="inlineStr"/>
      <c r="I114" s="34" t="inlineStr"/>
      <c r="J114" s="30" t="inlineStr"/>
      <c r="K114" s="30" t="inlineStr"/>
      <c r="L114" s="15">
        <f>IF(A114="","",H114*I114)</f>
        <v/>
      </c>
    </row>
    <row r="115">
      <c r="A115" s="30" t="inlineStr"/>
      <c r="B115" s="38" t="inlineStr"/>
      <c r="C115" s="30" t="inlineStr"/>
      <c r="D115" s="30" t="inlineStr"/>
      <c r="E115" s="30" t="inlineStr"/>
      <c r="F115" s="30" t="inlineStr"/>
      <c r="G115" s="30" t="inlineStr"/>
      <c r="H115" s="35" t="inlineStr"/>
      <c r="I115" s="34" t="inlineStr"/>
      <c r="J115" s="30" t="inlineStr"/>
      <c r="K115" s="30" t="inlineStr"/>
      <c r="L115" s="15">
        <f>IF(A115="","",H115*I115)</f>
        <v/>
      </c>
    </row>
    <row r="116">
      <c r="A116" s="30" t="inlineStr"/>
      <c r="B116" s="38" t="inlineStr"/>
      <c r="C116" s="30" t="inlineStr"/>
      <c r="D116" s="30" t="inlineStr"/>
      <c r="E116" s="30" t="inlineStr"/>
      <c r="F116" s="30" t="inlineStr"/>
      <c r="G116" s="30" t="inlineStr"/>
      <c r="H116" s="35" t="inlineStr"/>
      <c r="I116" s="34" t="inlineStr"/>
      <c r="J116" s="30" t="inlineStr"/>
      <c r="K116" s="30" t="inlineStr"/>
      <c r="L116" s="15">
        <f>IF(A116="","",H116*I116)</f>
        <v/>
      </c>
    </row>
    <row r="117">
      <c r="A117" s="30" t="inlineStr"/>
      <c r="B117" s="38" t="inlineStr"/>
      <c r="C117" s="30" t="inlineStr"/>
      <c r="D117" s="30" t="inlineStr"/>
      <c r="E117" s="30" t="inlineStr"/>
      <c r="F117" s="30" t="inlineStr"/>
      <c r="G117" s="30" t="inlineStr"/>
      <c r="H117" s="35" t="inlineStr"/>
      <c r="I117" s="34" t="inlineStr"/>
      <c r="J117" s="30" t="inlineStr"/>
      <c r="K117" s="30" t="inlineStr"/>
      <c r="L117" s="15">
        <f>IF(A117="","",H117*I117)</f>
        <v/>
      </c>
    </row>
    <row r="118">
      <c r="A118" s="30" t="inlineStr"/>
      <c r="B118" s="38" t="inlineStr"/>
      <c r="C118" s="30" t="inlineStr"/>
      <c r="D118" s="30" t="inlineStr"/>
      <c r="E118" s="30" t="inlineStr"/>
      <c r="F118" s="30" t="inlineStr"/>
      <c r="G118" s="30" t="inlineStr"/>
      <c r="H118" s="35" t="inlineStr"/>
      <c r="I118" s="34" t="inlineStr"/>
      <c r="J118" s="30" t="inlineStr"/>
      <c r="K118" s="30" t="inlineStr"/>
      <c r="L118" s="15">
        <f>IF(A118="","",H118*I118)</f>
        <v/>
      </c>
    </row>
    <row r="119">
      <c r="A119" s="30" t="inlineStr"/>
      <c r="B119" s="38" t="inlineStr"/>
      <c r="C119" s="30" t="inlineStr"/>
      <c r="D119" s="30" t="inlineStr"/>
      <c r="E119" s="30" t="inlineStr"/>
      <c r="F119" s="30" t="inlineStr"/>
      <c r="G119" s="30" t="inlineStr"/>
      <c r="H119" s="35" t="inlineStr"/>
      <c r="I119" s="34" t="inlineStr"/>
      <c r="J119" s="30" t="inlineStr"/>
      <c r="K119" s="30" t="inlineStr"/>
      <c r="L119" s="15">
        <f>IF(A119="","",H119*I119)</f>
        <v/>
      </c>
    </row>
    <row r="120">
      <c r="A120" s="30" t="inlineStr"/>
      <c r="B120" s="38" t="inlineStr"/>
      <c r="C120" s="30" t="inlineStr"/>
      <c r="D120" s="30" t="inlineStr"/>
      <c r="E120" s="30" t="inlineStr"/>
      <c r="F120" s="30" t="inlineStr"/>
      <c r="G120" s="30" t="inlineStr"/>
      <c r="H120" s="35" t="inlineStr"/>
      <c r="I120" s="34" t="inlineStr"/>
      <c r="J120" s="30" t="inlineStr"/>
      <c r="K120" s="30" t="inlineStr"/>
      <c r="L120" s="15">
        <f>IF(A120="","",H120*I120)</f>
        <v/>
      </c>
    </row>
    <row r="121">
      <c r="A121" s="30" t="inlineStr"/>
      <c r="B121" s="38" t="inlineStr"/>
      <c r="C121" s="30" t="inlineStr"/>
      <c r="D121" s="30" t="inlineStr"/>
      <c r="E121" s="30" t="inlineStr"/>
      <c r="F121" s="30" t="inlineStr"/>
      <c r="G121" s="30" t="inlineStr"/>
      <c r="H121" s="35" t="inlineStr"/>
      <c r="I121" s="34" t="inlineStr"/>
      <c r="J121" s="30" t="inlineStr"/>
      <c r="K121" s="30" t="inlineStr"/>
      <c r="L121" s="15">
        <f>IF(A121="","",H121*I121)</f>
        <v/>
      </c>
    </row>
    <row r="122">
      <c r="A122" s="30" t="inlineStr"/>
      <c r="B122" s="38" t="inlineStr"/>
      <c r="C122" s="30" t="inlineStr"/>
      <c r="D122" s="30" t="inlineStr"/>
      <c r="E122" s="30" t="inlineStr"/>
      <c r="F122" s="30" t="inlineStr"/>
      <c r="G122" s="30" t="inlineStr"/>
      <c r="H122" s="35" t="inlineStr"/>
      <c r="I122" s="34" t="inlineStr"/>
      <c r="J122" s="30" t="inlineStr"/>
      <c r="K122" s="30" t="inlineStr"/>
      <c r="L122" s="15">
        <f>IF(A122="","",H122*I122)</f>
        <v/>
      </c>
    </row>
    <row r="123">
      <c r="A123" s="30" t="inlineStr"/>
      <c r="B123" s="38" t="inlineStr"/>
      <c r="C123" s="30" t="inlineStr"/>
      <c r="D123" s="30" t="inlineStr"/>
      <c r="E123" s="30" t="inlineStr"/>
      <c r="F123" s="30" t="inlineStr"/>
      <c r="G123" s="30" t="inlineStr"/>
      <c r="H123" s="35" t="inlineStr"/>
      <c r="I123" s="34" t="inlineStr"/>
      <c r="J123" s="30" t="inlineStr"/>
      <c r="K123" s="30" t="inlineStr"/>
      <c r="L123" s="15">
        <f>IF(A123="","",H123*I123)</f>
        <v/>
      </c>
    </row>
    <row r="124">
      <c r="A124" s="30" t="inlineStr"/>
      <c r="B124" s="38" t="inlineStr"/>
      <c r="C124" s="30" t="inlineStr"/>
      <c r="D124" s="30" t="inlineStr"/>
      <c r="E124" s="30" t="inlineStr"/>
      <c r="F124" s="30" t="inlineStr"/>
      <c r="G124" s="30" t="inlineStr"/>
      <c r="H124" s="35" t="inlineStr"/>
      <c r="I124" s="34" t="inlineStr"/>
      <c r="J124" s="30" t="inlineStr"/>
      <c r="K124" s="30" t="inlineStr"/>
      <c r="L124" s="15">
        <f>IF(A124="","",H124*I124)</f>
        <v/>
      </c>
    </row>
    <row r="125">
      <c r="A125" s="30" t="inlineStr"/>
      <c r="B125" s="38" t="inlineStr"/>
      <c r="C125" s="30" t="inlineStr"/>
      <c r="D125" s="30" t="inlineStr"/>
      <c r="E125" s="30" t="inlineStr"/>
      <c r="F125" s="30" t="inlineStr"/>
      <c r="G125" s="30" t="inlineStr"/>
      <c r="H125" s="35" t="inlineStr"/>
      <c r="I125" s="34" t="inlineStr"/>
      <c r="J125" s="30" t="inlineStr"/>
      <c r="K125" s="30" t="inlineStr"/>
      <c r="L125" s="15">
        <f>IF(A125="","",H125*I125)</f>
        <v/>
      </c>
    </row>
    <row r="126">
      <c r="A126" s="30" t="inlineStr"/>
      <c r="B126" s="38" t="inlineStr"/>
      <c r="C126" s="30" t="inlineStr"/>
      <c r="D126" s="30" t="inlineStr"/>
      <c r="E126" s="30" t="inlineStr"/>
      <c r="F126" s="30" t="inlineStr"/>
      <c r="G126" s="30" t="inlineStr"/>
      <c r="H126" s="35" t="inlineStr"/>
      <c r="I126" s="34" t="inlineStr"/>
      <c r="J126" s="30" t="inlineStr"/>
      <c r="K126" s="30" t="inlineStr"/>
      <c r="L126" s="15">
        <f>IF(A126="","",H126*I126)</f>
        <v/>
      </c>
    </row>
    <row r="127">
      <c r="A127" s="30" t="inlineStr"/>
      <c r="B127" s="38" t="inlineStr"/>
      <c r="C127" s="30" t="inlineStr"/>
      <c r="D127" s="30" t="inlineStr"/>
      <c r="E127" s="30" t="inlineStr"/>
      <c r="F127" s="30" t="inlineStr"/>
      <c r="G127" s="30" t="inlineStr"/>
      <c r="H127" s="35" t="inlineStr"/>
      <c r="I127" s="34" t="inlineStr"/>
      <c r="J127" s="30" t="inlineStr"/>
      <c r="K127" s="30" t="inlineStr"/>
      <c r="L127" s="15">
        <f>IF(A127="","",H127*I127)</f>
        <v/>
      </c>
    </row>
    <row r="128">
      <c r="A128" s="30" t="inlineStr"/>
      <c r="B128" s="38" t="inlineStr"/>
      <c r="C128" s="30" t="inlineStr"/>
      <c r="D128" s="30" t="inlineStr"/>
      <c r="E128" s="30" t="inlineStr"/>
      <c r="F128" s="30" t="inlineStr"/>
      <c r="G128" s="30" t="inlineStr"/>
      <c r="H128" s="35" t="inlineStr"/>
      <c r="I128" s="34" t="inlineStr"/>
      <c r="J128" s="30" t="inlineStr"/>
      <c r="K128" s="30" t="inlineStr"/>
      <c r="L128" s="15">
        <f>IF(A128="","",H128*I128)</f>
        <v/>
      </c>
    </row>
    <row r="129">
      <c r="A129" s="30" t="inlineStr"/>
      <c r="B129" s="38" t="inlineStr"/>
      <c r="C129" s="30" t="inlineStr"/>
      <c r="D129" s="30" t="inlineStr"/>
      <c r="E129" s="30" t="inlineStr"/>
      <c r="F129" s="30" t="inlineStr"/>
      <c r="G129" s="30" t="inlineStr"/>
      <c r="H129" s="35" t="inlineStr"/>
      <c r="I129" s="34" t="inlineStr"/>
      <c r="J129" s="30" t="inlineStr"/>
      <c r="K129" s="30" t="inlineStr"/>
      <c r="L129" s="15">
        <f>IF(A129="","",H129*I129)</f>
        <v/>
      </c>
    </row>
    <row r="130">
      <c r="A130" s="30" t="inlineStr"/>
      <c r="B130" s="38" t="inlineStr"/>
      <c r="C130" s="30" t="inlineStr"/>
      <c r="D130" s="30" t="inlineStr"/>
      <c r="E130" s="30" t="inlineStr"/>
      <c r="F130" s="30" t="inlineStr"/>
      <c r="G130" s="30" t="inlineStr"/>
      <c r="H130" s="35" t="inlineStr"/>
      <c r="I130" s="34" t="inlineStr"/>
      <c r="J130" s="30" t="inlineStr"/>
      <c r="K130" s="30" t="inlineStr"/>
      <c r="L130" s="15">
        <f>IF(A130="","",H130*I130)</f>
        <v/>
      </c>
    </row>
    <row r="131">
      <c r="A131" s="30" t="inlineStr"/>
      <c r="B131" s="38" t="inlineStr"/>
      <c r="C131" s="30" t="inlineStr"/>
      <c r="D131" s="30" t="inlineStr"/>
      <c r="E131" s="30" t="inlineStr"/>
      <c r="F131" s="30" t="inlineStr"/>
      <c r="G131" s="30" t="inlineStr"/>
      <c r="H131" s="35" t="inlineStr"/>
      <c r="I131" s="34" t="inlineStr"/>
      <c r="J131" s="30" t="inlineStr"/>
      <c r="K131" s="30" t="inlineStr"/>
      <c r="L131" s="15">
        <f>IF(A131="","",H131*I131)</f>
        <v/>
      </c>
    </row>
    <row r="132">
      <c r="A132" s="30" t="inlineStr"/>
      <c r="B132" s="38" t="inlineStr"/>
      <c r="C132" s="30" t="inlineStr"/>
      <c r="D132" s="30" t="inlineStr"/>
      <c r="E132" s="30" t="inlineStr"/>
      <c r="F132" s="30" t="inlineStr"/>
      <c r="G132" s="30" t="inlineStr"/>
      <c r="H132" s="35" t="inlineStr"/>
      <c r="I132" s="34" t="inlineStr"/>
      <c r="J132" s="30" t="inlineStr"/>
      <c r="K132" s="30" t="inlineStr"/>
      <c r="L132" s="15">
        <f>IF(A132="","",H132*I132)</f>
        <v/>
      </c>
    </row>
    <row r="133">
      <c r="A133" s="30" t="inlineStr"/>
      <c r="B133" s="38" t="inlineStr"/>
      <c r="C133" s="30" t="inlineStr"/>
      <c r="D133" s="30" t="inlineStr"/>
      <c r="E133" s="30" t="inlineStr"/>
      <c r="F133" s="30" t="inlineStr"/>
      <c r="G133" s="30" t="inlineStr"/>
      <c r="H133" s="35" t="inlineStr"/>
      <c r="I133" s="34" t="inlineStr"/>
      <c r="J133" s="30" t="inlineStr"/>
      <c r="K133" s="30" t="inlineStr"/>
      <c r="L133" s="15">
        <f>IF(A133="","",H133*I133)</f>
        <v/>
      </c>
    </row>
    <row r="134">
      <c r="A134" s="30" t="inlineStr"/>
      <c r="B134" s="38" t="inlineStr"/>
      <c r="C134" s="30" t="inlineStr"/>
      <c r="D134" s="30" t="inlineStr"/>
      <c r="E134" s="30" t="inlineStr"/>
      <c r="F134" s="30" t="inlineStr"/>
      <c r="G134" s="30" t="inlineStr"/>
      <c r="H134" s="35" t="inlineStr"/>
      <c r="I134" s="34" t="inlineStr"/>
      <c r="J134" s="30" t="inlineStr"/>
      <c r="K134" s="30" t="inlineStr"/>
      <c r="L134" s="15">
        <f>IF(A134="","",H134*I134)</f>
        <v/>
      </c>
    </row>
    <row r="135">
      <c r="A135" s="30" t="inlineStr"/>
      <c r="B135" s="38" t="inlineStr"/>
      <c r="C135" s="30" t="inlineStr"/>
      <c r="D135" s="30" t="inlineStr"/>
      <c r="E135" s="30" t="inlineStr"/>
      <c r="F135" s="30" t="inlineStr"/>
      <c r="G135" s="30" t="inlineStr"/>
      <c r="H135" s="35" t="inlineStr"/>
      <c r="I135" s="34" t="inlineStr"/>
      <c r="J135" s="30" t="inlineStr"/>
      <c r="K135" s="30" t="inlineStr"/>
      <c r="L135" s="15">
        <f>IF(A135="","",H135*I135)</f>
        <v/>
      </c>
    </row>
    <row r="136">
      <c r="A136" s="30" t="inlineStr"/>
      <c r="B136" s="38" t="inlineStr"/>
      <c r="C136" s="30" t="inlineStr"/>
      <c r="D136" s="30" t="inlineStr"/>
      <c r="E136" s="30" t="inlineStr"/>
      <c r="F136" s="30" t="inlineStr"/>
      <c r="G136" s="30" t="inlineStr"/>
      <c r="H136" s="35" t="inlineStr"/>
      <c r="I136" s="34" t="inlineStr"/>
      <c r="J136" s="30" t="inlineStr"/>
      <c r="K136" s="30" t="inlineStr"/>
      <c r="L136" s="15">
        <f>IF(A136="","",H136*I136)</f>
        <v/>
      </c>
    </row>
    <row r="137">
      <c r="A137" s="30" t="inlineStr"/>
      <c r="B137" s="38" t="inlineStr"/>
      <c r="C137" s="30" t="inlineStr"/>
      <c r="D137" s="30" t="inlineStr"/>
      <c r="E137" s="30" t="inlineStr"/>
      <c r="F137" s="30" t="inlineStr"/>
      <c r="G137" s="30" t="inlineStr"/>
      <c r="H137" s="35" t="inlineStr"/>
      <c r="I137" s="34" t="inlineStr"/>
      <c r="J137" s="30" t="inlineStr"/>
      <c r="K137" s="30" t="inlineStr"/>
      <c r="L137" s="15">
        <f>IF(A137="","",H137*I137)</f>
        <v/>
      </c>
    </row>
    <row r="138">
      <c r="A138" s="30" t="inlineStr"/>
      <c r="B138" s="38" t="inlineStr"/>
      <c r="C138" s="30" t="inlineStr"/>
      <c r="D138" s="30" t="inlineStr"/>
      <c r="E138" s="30" t="inlineStr"/>
      <c r="F138" s="30" t="inlineStr"/>
      <c r="G138" s="30" t="inlineStr"/>
      <c r="H138" s="35" t="inlineStr"/>
      <c r="I138" s="34" t="inlineStr"/>
      <c r="J138" s="30" t="inlineStr"/>
      <c r="K138" s="30" t="inlineStr"/>
      <c r="L138" s="15">
        <f>IF(A138="","",H138*I138)</f>
        <v/>
      </c>
    </row>
    <row r="139">
      <c r="A139" s="30" t="inlineStr"/>
      <c r="B139" s="38" t="inlineStr"/>
      <c r="C139" s="30" t="inlineStr"/>
      <c r="D139" s="30" t="inlineStr"/>
      <c r="E139" s="30" t="inlineStr"/>
      <c r="F139" s="30" t="inlineStr"/>
      <c r="G139" s="30" t="inlineStr"/>
      <c r="H139" s="35" t="inlineStr"/>
      <c r="I139" s="34" t="inlineStr"/>
      <c r="J139" s="30" t="inlineStr"/>
      <c r="K139" s="30" t="inlineStr"/>
      <c r="L139" s="15">
        <f>IF(A139="","",H139*I139)</f>
        <v/>
      </c>
    </row>
    <row r="140">
      <c r="A140" s="30" t="inlineStr"/>
      <c r="B140" s="38" t="inlineStr"/>
      <c r="C140" s="30" t="inlineStr"/>
      <c r="D140" s="30" t="inlineStr"/>
      <c r="E140" s="30" t="inlineStr"/>
      <c r="F140" s="30" t="inlineStr"/>
      <c r="G140" s="30" t="inlineStr"/>
      <c r="H140" s="35" t="inlineStr"/>
      <c r="I140" s="34" t="inlineStr"/>
      <c r="J140" s="30" t="inlineStr"/>
      <c r="K140" s="30" t="inlineStr"/>
      <c r="L140" s="15">
        <f>IF(A140="","",H140*I140)</f>
        <v/>
      </c>
    </row>
    <row r="141">
      <c r="A141" s="30" t="inlineStr"/>
      <c r="B141" s="38" t="inlineStr"/>
      <c r="C141" s="30" t="inlineStr"/>
      <c r="D141" s="30" t="inlineStr"/>
      <c r="E141" s="30" t="inlineStr"/>
      <c r="F141" s="30" t="inlineStr"/>
      <c r="G141" s="30" t="inlineStr"/>
      <c r="H141" s="35" t="inlineStr"/>
      <c r="I141" s="34" t="inlineStr"/>
      <c r="J141" s="30" t="inlineStr"/>
      <c r="K141" s="30" t="inlineStr"/>
      <c r="L141" s="15">
        <f>IF(A141="","",H141*I141)</f>
        <v/>
      </c>
    </row>
    <row r="142">
      <c r="A142" s="30" t="inlineStr"/>
      <c r="B142" s="38" t="inlineStr"/>
      <c r="C142" s="30" t="inlineStr"/>
      <c r="D142" s="30" t="inlineStr"/>
      <c r="E142" s="30" t="inlineStr"/>
      <c r="F142" s="30" t="inlineStr"/>
      <c r="G142" s="30" t="inlineStr"/>
      <c r="H142" s="35" t="inlineStr"/>
      <c r="I142" s="34" t="inlineStr"/>
      <c r="J142" s="30" t="inlineStr"/>
      <c r="K142" s="30" t="inlineStr"/>
      <c r="L142" s="15">
        <f>IF(A142="","",H142*I142)</f>
        <v/>
      </c>
    </row>
    <row r="143">
      <c r="A143" s="30" t="inlineStr"/>
      <c r="B143" s="38" t="inlineStr"/>
      <c r="C143" s="30" t="inlineStr"/>
      <c r="D143" s="30" t="inlineStr"/>
      <c r="E143" s="30" t="inlineStr"/>
      <c r="F143" s="30" t="inlineStr"/>
      <c r="G143" s="30" t="inlineStr"/>
      <c r="H143" s="35" t="inlineStr"/>
      <c r="I143" s="34" t="inlineStr"/>
      <c r="J143" s="30" t="inlineStr"/>
      <c r="K143" s="30" t="inlineStr"/>
      <c r="L143" s="15">
        <f>IF(A143="","",H143*I143)</f>
        <v/>
      </c>
    </row>
    <row r="144">
      <c r="A144" s="30" t="inlineStr"/>
      <c r="B144" s="38" t="inlineStr"/>
      <c r="C144" s="30" t="inlineStr"/>
      <c r="D144" s="30" t="inlineStr"/>
      <c r="E144" s="30" t="inlineStr"/>
      <c r="F144" s="30" t="inlineStr"/>
      <c r="G144" s="30" t="inlineStr"/>
      <c r="H144" s="35" t="inlineStr"/>
      <c r="I144" s="34" t="inlineStr"/>
      <c r="J144" s="30" t="inlineStr"/>
      <c r="K144" s="30" t="inlineStr"/>
      <c r="L144" s="15">
        <f>IF(A144="","",H144*I144)</f>
        <v/>
      </c>
    </row>
    <row r="145">
      <c r="A145" s="30" t="inlineStr"/>
      <c r="B145" s="38" t="inlineStr"/>
      <c r="C145" s="30" t="inlineStr"/>
      <c r="D145" s="30" t="inlineStr"/>
      <c r="E145" s="30" t="inlineStr"/>
      <c r="F145" s="30" t="inlineStr"/>
      <c r="G145" s="30" t="inlineStr"/>
      <c r="H145" s="35" t="inlineStr"/>
      <c r="I145" s="34" t="inlineStr"/>
      <c r="J145" s="30" t="inlineStr"/>
      <c r="K145" s="30" t="inlineStr"/>
      <c r="L145" s="15">
        <f>IF(A145="","",H145*I145)</f>
        <v/>
      </c>
    </row>
    <row r="146">
      <c r="A146" s="30" t="inlineStr"/>
      <c r="B146" s="38" t="inlineStr"/>
      <c r="C146" s="30" t="inlineStr"/>
      <c r="D146" s="30" t="inlineStr"/>
      <c r="E146" s="30" t="inlineStr"/>
      <c r="F146" s="30" t="inlineStr"/>
      <c r="G146" s="30" t="inlineStr"/>
      <c r="H146" s="35" t="inlineStr"/>
      <c r="I146" s="34" t="inlineStr"/>
      <c r="J146" s="30" t="inlineStr"/>
      <c r="K146" s="30" t="inlineStr"/>
      <c r="L146" s="15">
        <f>IF(A146="","",H146*I146)</f>
        <v/>
      </c>
    </row>
    <row r="147">
      <c r="A147" s="30" t="inlineStr"/>
      <c r="B147" s="38" t="inlineStr"/>
      <c r="C147" s="30" t="inlineStr"/>
      <c r="D147" s="30" t="inlineStr"/>
      <c r="E147" s="30" t="inlineStr"/>
      <c r="F147" s="30" t="inlineStr"/>
      <c r="G147" s="30" t="inlineStr"/>
      <c r="H147" s="35" t="inlineStr"/>
      <c r="I147" s="34" t="inlineStr"/>
      <c r="J147" s="30" t="inlineStr"/>
      <c r="K147" s="30" t="inlineStr"/>
      <c r="L147" s="15">
        <f>IF(A147="","",H147*I147)</f>
        <v/>
      </c>
    </row>
    <row r="148">
      <c r="A148" s="30" t="inlineStr"/>
      <c r="B148" s="38" t="inlineStr"/>
      <c r="C148" s="30" t="inlineStr"/>
      <c r="D148" s="30" t="inlineStr"/>
      <c r="E148" s="30" t="inlineStr"/>
      <c r="F148" s="30" t="inlineStr"/>
      <c r="G148" s="30" t="inlineStr"/>
      <c r="H148" s="35" t="inlineStr"/>
      <c r="I148" s="34" t="inlineStr"/>
      <c r="J148" s="30" t="inlineStr"/>
      <c r="K148" s="30" t="inlineStr"/>
      <c r="L148" s="15">
        <f>IF(A148="","",H148*I148)</f>
        <v/>
      </c>
    </row>
    <row r="149">
      <c r="A149" s="30" t="inlineStr"/>
      <c r="B149" s="38" t="inlineStr"/>
      <c r="C149" s="30" t="inlineStr"/>
      <c r="D149" s="30" t="inlineStr"/>
      <c r="E149" s="30" t="inlineStr"/>
      <c r="F149" s="30" t="inlineStr"/>
      <c r="G149" s="30" t="inlineStr"/>
      <c r="H149" s="35" t="inlineStr"/>
      <c r="I149" s="34" t="inlineStr"/>
      <c r="J149" s="30" t="inlineStr"/>
      <c r="K149" s="30" t="inlineStr"/>
      <c r="L149" s="15">
        <f>IF(A149="","",H149*I149)</f>
        <v/>
      </c>
    </row>
    <row r="150">
      <c r="A150" s="30" t="inlineStr"/>
      <c r="B150" s="38" t="inlineStr"/>
      <c r="C150" s="30" t="inlineStr"/>
      <c r="D150" s="30" t="inlineStr"/>
      <c r="E150" s="30" t="inlineStr"/>
      <c r="F150" s="30" t="inlineStr"/>
      <c r="G150" s="30" t="inlineStr"/>
      <c r="H150" s="35" t="inlineStr"/>
      <c r="I150" s="34" t="inlineStr"/>
      <c r="J150" s="30" t="inlineStr"/>
      <c r="K150" s="30" t="inlineStr"/>
      <c r="L150" s="15">
        <f>IF(A150="","",H150*I150)</f>
        <v/>
      </c>
    </row>
    <row r="151">
      <c r="A151" s="30" t="inlineStr"/>
      <c r="B151" s="38" t="inlineStr"/>
      <c r="C151" s="30" t="inlineStr"/>
      <c r="D151" s="30" t="inlineStr"/>
      <c r="E151" s="30" t="inlineStr"/>
      <c r="F151" s="30" t="inlineStr"/>
      <c r="G151" s="30" t="inlineStr"/>
      <c r="H151" s="35" t="inlineStr"/>
      <c r="I151" s="34" t="inlineStr"/>
      <c r="J151" s="30" t="inlineStr"/>
      <c r="K151" s="30" t="inlineStr"/>
      <c r="L151" s="15">
        <f>IF(A151="","",H151*I151)</f>
        <v/>
      </c>
    </row>
    <row r="152">
      <c r="A152" s="30" t="inlineStr"/>
      <c r="B152" s="38" t="inlineStr"/>
      <c r="C152" s="30" t="inlineStr"/>
      <c r="D152" s="30" t="inlineStr"/>
      <c r="E152" s="30" t="inlineStr"/>
      <c r="F152" s="30" t="inlineStr"/>
      <c r="G152" s="30" t="inlineStr"/>
      <c r="H152" s="35" t="inlineStr"/>
      <c r="I152" s="34" t="inlineStr"/>
      <c r="J152" s="30" t="inlineStr"/>
      <c r="K152" s="30" t="inlineStr"/>
      <c r="L152" s="15">
        <f>IF(A152="","",H152*I152)</f>
        <v/>
      </c>
    </row>
    <row r="153">
      <c r="A153" s="30" t="inlineStr"/>
      <c r="B153" s="38" t="inlineStr"/>
      <c r="C153" s="30" t="inlineStr"/>
      <c r="D153" s="30" t="inlineStr"/>
      <c r="E153" s="30" t="inlineStr"/>
      <c r="F153" s="30" t="inlineStr"/>
      <c r="G153" s="30" t="inlineStr"/>
      <c r="H153" s="35" t="inlineStr"/>
      <c r="I153" s="34" t="inlineStr"/>
      <c r="J153" s="30" t="inlineStr"/>
      <c r="K153" s="30" t="inlineStr"/>
      <c r="L153" s="15">
        <f>IF(A153="","",H153*I153)</f>
        <v/>
      </c>
    </row>
    <row r="154">
      <c r="A154" s="30" t="inlineStr"/>
      <c r="B154" s="38" t="inlineStr"/>
      <c r="C154" s="30" t="inlineStr"/>
      <c r="D154" s="30" t="inlineStr"/>
      <c r="E154" s="30" t="inlineStr"/>
      <c r="F154" s="30" t="inlineStr"/>
      <c r="G154" s="30" t="inlineStr"/>
      <c r="H154" s="35" t="inlineStr"/>
      <c r="I154" s="34" t="inlineStr"/>
      <c r="J154" s="30" t="inlineStr"/>
      <c r="K154" s="30" t="inlineStr"/>
      <c r="L154" s="15">
        <f>IF(A154="","",H154*I154)</f>
        <v/>
      </c>
    </row>
    <row r="155">
      <c r="A155" s="30" t="inlineStr"/>
      <c r="B155" s="38" t="inlineStr"/>
      <c r="C155" s="30" t="inlineStr"/>
      <c r="D155" s="30" t="inlineStr"/>
      <c r="E155" s="30" t="inlineStr"/>
      <c r="F155" s="30" t="inlineStr"/>
      <c r="G155" s="30" t="inlineStr"/>
      <c r="H155" s="35" t="inlineStr"/>
      <c r="I155" s="34" t="inlineStr"/>
      <c r="J155" s="30" t="inlineStr"/>
      <c r="K155" s="30" t="inlineStr"/>
      <c r="L155" s="15">
        <f>IF(A155="","",H155*I155)</f>
        <v/>
      </c>
    </row>
    <row r="156">
      <c r="A156" s="30" t="inlineStr"/>
      <c r="B156" s="38" t="inlineStr"/>
      <c r="C156" s="30" t="inlineStr"/>
      <c r="D156" s="30" t="inlineStr"/>
      <c r="E156" s="30" t="inlineStr"/>
      <c r="F156" s="30" t="inlineStr"/>
      <c r="G156" s="30" t="inlineStr"/>
      <c r="H156" s="35" t="inlineStr"/>
      <c r="I156" s="34" t="inlineStr"/>
      <c r="J156" s="30" t="inlineStr"/>
      <c r="K156" s="30" t="inlineStr"/>
      <c r="L156" s="15">
        <f>IF(A156="","",H156*I156)</f>
        <v/>
      </c>
    </row>
    <row r="157">
      <c r="A157" s="30" t="inlineStr"/>
      <c r="B157" s="38" t="inlineStr"/>
      <c r="C157" s="30" t="inlineStr"/>
      <c r="D157" s="30" t="inlineStr"/>
      <c r="E157" s="30" t="inlineStr"/>
      <c r="F157" s="30" t="inlineStr"/>
      <c r="G157" s="30" t="inlineStr"/>
      <c r="H157" s="35" t="inlineStr"/>
      <c r="I157" s="34" t="inlineStr"/>
      <c r="J157" s="30" t="inlineStr"/>
      <c r="K157" s="30" t="inlineStr"/>
      <c r="L157" s="15">
        <f>IF(A157="","",H157*I157)</f>
        <v/>
      </c>
    </row>
    <row r="158">
      <c r="A158" s="30" t="inlineStr"/>
      <c r="B158" s="38" t="inlineStr"/>
      <c r="C158" s="30" t="inlineStr"/>
      <c r="D158" s="30" t="inlineStr"/>
      <c r="E158" s="30" t="inlineStr"/>
      <c r="F158" s="30" t="inlineStr"/>
      <c r="G158" s="30" t="inlineStr"/>
      <c r="H158" s="35" t="inlineStr"/>
      <c r="I158" s="34" t="inlineStr"/>
      <c r="J158" s="30" t="inlineStr"/>
      <c r="K158" s="30" t="inlineStr"/>
      <c r="L158" s="15">
        <f>IF(A158="","",H158*I158)</f>
        <v/>
      </c>
    </row>
    <row r="159">
      <c r="A159" s="30" t="inlineStr"/>
      <c r="B159" s="38" t="inlineStr"/>
      <c r="C159" s="30" t="inlineStr"/>
      <c r="D159" s="30" t="inlineStr"/>
      <c r="E159" s="30" t="inlineStr"/>
      <c r="F159" s="30" t="inlineStr"/>
      <c r="G159" s="30" t="inlineStr"/>
      <c r="H159" s="35" t="inlineStr"/>
      <c r="I159" s="34" t="inlineStr"/>
      <c r="J159" s="30" t="inlineStr"/>
      <c r="K159" s="30" t="inlineStr"/>
      <c r="L159" s="15">
        <f>IF(A159="","",H159*I159)</f>
        <v/>
      </c>
    </row>
    <row r="160">
      <c r="A160" s="30" t="inlineStr"/>
      <c r="B160" s="38" t="inlineStr"/>
      <c r="C160" s="30" t="inlineStr"/>
      <c r="D160" s="30" t="inlineStr"/>
      <c r="E160" s="30" t="inlineStr"/>
      <c r="F160" s="30" t="inlineStr"/>
      <c r="G160" s="30" t="inlineStr"/>
      <c r="H160" s="35" t="inlineStr"/>
      <c r="I160" s="34" t="inlineStr"/>
      <c r="J160" s="30" t="inlineStr"/>
      <c r="K160" s="30" t="inlineStr"/>
      <c r="L160" s="15">
        <f>IF(A160="","",H160*I160)</f>
        <v/>
      </c>
    </row>
    <row r="161">
      <c r="A161" s="30" t="inlineStr"/>
      <c r="B161" s="38" t="inlineStr"/>
      <c r="C161" s="30" t="inlineStr"/>
      <c r="D161" s="30" t="inlineStr"/>
      <c r="E161" s="30" t="inlineStr"/>
      <c r="F161" s="30" t="inlineStr"/>
      <c r="G161" s="30" t="inlineStr"/>
      <c r="H161" s="35" t="inlineStr"/>
      <c r="I161" s="34" t="inlineStr"/>
      <c r="J161" s="30" t="inlineStr"/>
      <c r="K161" s="30" t="inlineStr"/>
      <c r="L161" s="15">
        <f>IF(A161="","",H161*I161)</f>
        <v/>
      </c>
    </row>
    <row r="162">
      <c r="A162" s="30" t="inlineStr"/>
      <c r="B162" s="38" t="inlineStr"/>
      <c r="C162" s="30" t="inlineStr"/>
      <c r="D162" s="30" t="inlineStr"/>
      <c r="E162" s="30" t="inlineStr"/>
      <c r="F162" s="30" t="inlineStr"/>
      <c r="G162" s="30" t="inlineStr"/>
      <c r="H162" s="35" t="inlineStr"/>
      <c r="I162" s="34" t="inlineStr"/>
      <c r="J162" s="30" t="inlineStr"/>
      <c r="K162" s="30" t="inlineStr"/>
      <c r="L162" s="15">
        <f>IF(A162="","",H162*I162)</f>
        <v/>
      </c>
    </row>
    <row r="163">
      <c r="A163" s="30" t="inlineStr"/>
      <c r="B163" s="38" t="inlineStr"/>
      <c r="C163" s="30" t="inlineStr"/>
      <c r="D163" s="30" t="inlineStr"/>
      <c r="E163" s="30" t="inlineStr"/>
      <c r="F163" s="30" t="inlineStr"/>
      <c r="G163" s="30" t="inlineStr"/>
      <c r="H163" s="35" t="inlineStr"/>
      <c r="I163" s="34" t="inlineStr"/>
      <c r="J163" s="30" t="inlineStr"/>
      <c r="K163" s="30" t="inlineStr"/>
      <c r="L163" s="15">
        <f>IF(A163="","",H163*I163)</f>
        <v/>
      </c>
    </row>
    <row r="164">
      <c r="A164" s="30" t="inlineStr"/>
      <c r="B164" s="38" t="inlineStr"/>
      <c r="C164" s="30" t="inlineStr"/>
      <c r="D164" s="30" t="inlineStr"/>
      <c r="E164" s="30" t="inlineStr"/>
      <c r="F164" s="30" t="inlineStr"/>
      <c r="G164" s="30" t="inlineStr"/>
      <c r="H164" s="35" t="inlineStr"/>
      <c r="I164" s="34" t="inlineStr"/>
      <c r="J164" s="30" t="inlineStr"/>
      <c r="K164" s="30" t="inlineStr"/>
      <c r="L164" s="15">
        <f>IF(A164="","",H164*I164)</f>
        <v/>
      </c>
    </row>
    <row r="165">
      <c r="A165" s="30" t="inlineStr"/>
      <c r="B165" s="38" t="inlineStr"/>
      <c r="C165" s="30" t="inlineStr"/>
      <c r="D165" s="30" t="inlineStr"/>
      <c r="E165" s="30" t="inlineStr"/>
      <c r="F165" s="30" t="inlineStr"/>
      <c r="G165" s="30" t="inlineStr"/>
      <c r="H165" s="35" t="inlineStr"/>
      <c r="I165" s="34" t="inlineStr"/>
      <c r="J165" s="30" t="inlineStr"/>
      <c r="K165" s="30" t="inlineStr"/>
      <c r="L165" s="15">
        <f>IF(A165="","",H165*I165)</f>
        <v/>
      </c>
    </row>
    <row r="166">
      <c r="A166" s="30" t="inlineStr"/>
      <c r="B166" s="38" t="inlineStr"/>
      <c r="C166" s="30" t="inlineStr"/>
      <c r="D166" s="30" t="inlineStr"/>
      <c r="E166" s="30" t="inlineStr"/>
      <c r="F166" s="30" t="inlineStr"/>
      <c r="G166" s="30" t="inlineStr"/>
      <c r="H166" s="35" t="inlineStr"/>
      <c r="I166" s="34" t="inlineStr"/>
      <c r="J166" s="30" t="inlineStr"/>
      <c r="K166" s="30" t="inlineStr"/>
      <c r="L166" s="15">
        <f>IF(A166="","",H166*I166)</f>
        <v/>
      </c>
    </row>
    <row r="167">
      <c r="A167" s="30" t="inlineStr"/>
      <c r="B167" s="38" t="inlineStr"/>
      <c r="C167" s="30" t="inlineStr"/>
      <c r="D167" s="30" t="inlineStr"/>
      <c r="E167" s="30" t="inlineStr"/>
      <c r="F167" s="30" t="inlineStr"/>
      <c r="G167" s="30" t="inlineStr"/>
      <c r="H167" s="35" t="inlineStr"/>
      <c r="I167" s="34" t="inlineStr"/>
      <c r="J167" s="30" t="inlineStr"/>
      <c r="K167" s="30" t="inlineStr"/>
      <c r="L167" s="15">
        <f>IF(A167="","",H167*I167)</f>
        <v/>
      </c>
    </row>
    <row r="168">
      <c r="A168" s="30" t="inlineStr"/>
      <c r="B168" s="38" t="inlineStr"/>
      <c r="C168" s="30" t="inlineStr"/>
      <c r="D168" s="30" t="inlineStr"/>
      <c r="E168" s="30" t="inlineStr"/>
      <c r="F168" s="30" t="inlineStr"/>
      <c r="G168" s="30" t="inlineStr"/>
      <c r="H168" s="35" t="inlineStr"/>
      <c r="I168" s="34" t="inlineStr"/>
      <c r="J168" s="30" t="inlineStr"/>
      <c r="K168" s="30" t="inlineStr"/>
      <c r="L168" s="15">
        <f>IF(A168="","",H168*I168)</f>
        <v/>
      </c>
    </row>
    <row r="169">
      <c r="A169" s="30" t="inlineStr"/>
      <c r="B169" s="38" t="inlineStr"/>
      <c r="C169" s="30" t="inlineStr"/>
      <c r="D169" s="30" t="inlineStr"/>
      <c r="E169" s="30" t="inlineStr"/>
      <c r="F169" s="30" t="inlineStr"/>
      <c r="G169" s="30" t="inlineStr"/>
      <c r="H169" s="35" t="inlineStr"/>
      <c r="I169" s="34" t="inlineStr"/>
      <c r="J169" s="30" t="inlineStr"/>
      <c r="K169" s="30" t="inlineStr"/>
      <c r="L169" s="15">
        <f>IF(A169="","",H169*I169)</f>
        <v/>
      </c>
    </row>
    <row r="170">
      <c r="A170" s="30" t="inlineStr"/>
      <c r="B170" s="38" t="inlineStr"/>
      <c r="C170" s="30" t="inlineStr"/>
      <c r="D170" s="30" t="inlineStr"/>
      <c r="E170" s="30" t="inlineStr"/>
      <c r="F170" s="30" t="inlineStr"/>
      <c r="G170" s="30" t="inlineStr"/>
      <c r="H170" s="35" t="inlineStr"/>
      <c r="I170" s="34" t="inlineStr"/>
      <c r="J170" s="30" t="inlineStr"/>
      <c r="K170" s="30" t="inlineStr"/>
      <c r="L170" s="15">
        <f>IF(A170="","",H170*I170)</f>
        <v/>
      </c>
    </row>
    <row r="171">
      <c r="A171" s="30" t="inlineStr"/>
      <c r="B171" s="38" t="inlineStr"/>
      <c r="C171" s="30" t="inlineStr"/>
      <c r="D171" s="30" t="inlineStr"/>
      <c r="E171" s="30" t="inlineStr"/>
      <c r="F171" s="30" t="inlineStr"/>
      <c r="G171" s="30" t="inlineStr"/>
      <c r="H171" s="35" t="inlineStr"/>
      <c r="I171" s="34" t="inlineStr"/>
      <c r="J171" s="30" t="inlineStr"/>
      <c r="K171" s="30" t="inlineStr"/>
      <c r="L171" s="15">
        <f>IF(A171="","",H171*I171)</f>
        <v/>
      </c>
    </row>
    <row r="172">
      <c r="A172" s="30" t="inlineStr"/>
      <c r="B172" s="38" t="inlineStr"/>
      <c r="C172" s="30" t="inlineStr"/>
      <c r="D172" s="30" t="inlineStr"/>
      <c r="E172" s="30" t="inlineStr"/>
      <c r="F172" s="30" t="inlineStr"/>
      <c r="G172" s="30" t="inlineStr"/>
      <c r="H172" s="35" t="inlineStr"/>
      <c r="I172" s="34" t="inlineStr"/>
      <c r="J172" s="30" t="inlineStr"/>
      <c r="K172" s="30" t="inlineStr"/>
      <c r="L172" s="15">
        <f>IF(A172="","",H172*I172)</f>
        <v/>
      </c>
    </row>
    <row r="173">
      <c r="A173" s="30" t="inlineStr"/>
      <c r="B173" s="38" t="inlineStr"/>
      <c r="C173" s="30" t="inlineStr"/>
      <c r="D173" s="30" t="inlineStr"/>
      <c r="E173" s="30" t="inlineStr"/>
      <c r="F173" s="30" t="inlineStr"/>
      <c r="G173" s="30" t="inlineStr"/>
      <c r="H173" s="35" t="inlineStr"/>
      <c r="I173" s="34" t="inlineStr"/>
      <c r="J173" s="30" t="inlineStr"/>
      <c r="K173" s="30" t="inlineStr"/>
      <c r="L173" s="15">
        <f>IF(A173="","",H173*I173)</f>
        <v/>
      </c>
    </row>
    <row r="174">
      <c r="A174" s="30" t="inlineStr"/>
      <c r="B174" s="38" t="inlineStr"/>
      <c r="C174" s="30" t="inlineStr"/>
      <c r="D174" s="30" t="inlineStr"/>
      <c r="E174" s="30" t="inlineStr"/>
      <c r="F174" s="30" t="inlineStr"/>
      <c r="G174" s="30" t="inlineStr"/>
      <c r="H174" s="35" t="inlineStr"/>
      <c r="I174" s="34" t="inlineStr"/>
      <c r="J174" s="30" t="inlineStr"/>
      <c r="K174" s="30" t="inlineStr"/>
      <c r="L174" s="15">
        <f>IF(A174="","",H174*I174)</f>
        <v/>
      </c>
    </row>
    <row r="175">
      <c r="A175" s="30" t="inlineStr"/>
      <c r="B175" s="38" t="inlineStr"/>
      <c r="C175" s="30" t="inlineStr"/>
      <c r="D175" s="30" t="inlineStr"/>
      <c r="E175" s="30" t="inlineStr"/>
      <c r="F175" s="30" t="inlineStr"/>
      <c r="G175" s="30" t="inlineStr"/>
      <c r="H175" s="35" t="inlineStr"/>
      <c r="I175" s="34" t="inlineStr"/>
      <c r="J175" s="30" t="inlineStr"/>
      <c r="K175" s="30" t="inlineStr"/>
      <c r="L175" s="15">
        <f>IF(A175="","",H175*I175)</f>
        <v/>
      </c>
    </row>
    <row r="176">
      <c r="A176" s="30" t="inlineStr"/>
      <c r="B176" s="38" t="inlineStr"/>
      <c r="C176" s="30" t="inlineStr"/>
      <c r="D176" s="30" t="inlineStr"/>
      <c r="E176" s="30" t="inlineStr"/>
      <c r="F176" s="30" t="inlineStr"/>
      <c r="G176" s="30" t="inlineStr"/>
      <c r="H176" s="35" t="inlineStr"/>
      <c r="I176" s="34" t="inlineStr"/>
      <c r="J176" s="30" t="inlineStr"/>
      <c r="K176" s="30" t="inlineStr"/>
      <c r="L176" s="15">
        <f>IF(A176="","",H176*I176)</f>
        <v/>
      </c>
    </row>
    <row r="177">
      <c r="A177" s="30" t="inlineStr"/>
      <c r="B177" s="38" t="inlineStr"/>
      <c r="C177" s="30" t="inlineStr"/>
      <c r="D177" s="30" t="inlineStr"/>
      <c r="E177" s="30" t="inlineStr"/>
      <c r="F177" s="30" t="inlineStr"/>
      <c r="G177" s="30" t="inlineStr"/>
      <c r="H177" s="35" t="inlineStr"/>
      <c r="I177" s="34" t="inlineStr"/>
      <c r="J177" s="30" t="inlineStr"/>
      <c r="K177" s="30" t="inlineStr"/>
      <c r="L177" s="15">
        <f>IF(A177="","",H177*I177)</f>
        <v/>
      </c>
    </row>
    <row r="178">
      <c r="A178" s="30" t="inlineStr"/>
      <c r="B178" s="38" t="inlineStr"/>
      <c r="C178" s="30" t="inlineStr"/>
      <c r="D178" s="30" t="inlineStr"/>
      <c r="E178" s="30" t="inlineStr"/>
      <c r="F178" s="30" t="inlineStr"/>
      <c r="G178" s="30" t="inlineStr"/>
      <c r="H178" s="35" t="inlineStr"/>
      <c r="I178" s="34" t="inlineStr"/>
      <c r="J178" s="30" t="inlineStr"/>
      <c r="K178" s="30" t="inlineStr"/>
      <c r="L178" s="15">
        <f>IF(A178="","",H178*I178)</f>
        <v/>
      </c>
    </row>
    <row r="179">
      <c r="A179" s="30" t="inlineStr"/>
      <c r="B179" s="38" t="inlineStr"/>
      <c r="C179" s="30" t="inlineStr"/>
      <c r="D179" s="30" t="inlineStr"/>
      <c r="E179" s="30" t="inlineStr"/>
      <c r="F179" s="30" t="inlineStr"/>
      <c r="G179" s="30" t="inlineStr"/>
      <c r="H179" s="35" t="inlineStr"/>
      <c r="I179" s="34" t="inlineStr"/>
      <c r="J179" s="30" t="inlineStr"/>
      <c r="K179" s="30" t="inlineStr"/>
      <c r="L179" s="15">
        <f>IF(A179="","",H179*I179)</f>
        <v/>
      </c>
    </row>
    <row r="180">
      <c r="A180" s="30" t="inlineStr"/>
      <c r="B180" s="38" t="inlineStr"/>
      <c r="C180" s="30" t="inlineStr"/>
      <c r="D180" s="30" t="inlineStr"/>
      <c r="E180" s="30" t="inlineStr"/>
      <c r="F180" s="30" t="inlineStr"/>
      <c r="G180" s="30" t="inlineStr"/>
      <c r="H180" s="35" t="inlineStr"/>
      <c r="I180" s="34" t="inlineStr"/>
      <c r="J180" s="30" t="inlineStr"/>
      <c r="K180" s="30" t="inlineStr"/>
      <c r="L180" s="15">
        <f>IF(A180="","",H180*I180)</f>
        <v/>
      </c>
    </row>
    <row r="181">
      <c r="A181" s="30" t="inlineStr"/>
      <c r="B181" s="38" t="inlineStr"/>
      <c r="C181" s="30" t="inlineStr"/>
      <c r="D181" s="30" t="inlineStr"/>
      <c r="E181" s="30" t="inlineStr"/>
      <c r="F181" s="30" t="inlineStr"/>
      <c r="G181" s="30" t="inlineStr"/>
      <c r="H181" s="35" t="inlineStr"/>
      <c r="I181" s="34" t="inlineStr"/>
      <c r="J181" s="30" t="inlineStr"/>
      <c r="K181" s="30" t="inlineStr"/>
      <c r="L181" s="15">
        <f>IF(A181="","",H181*I181)</f>
        <v/>
      </c>
    </row>
    <row r="182">
      <c r="A182" s="30" t="inlineStr"/>
      <c r="B182" s="38" t="inlineStr"/>
      <c r="C182" s="30" t="inlineStr"/>
      <c r="D182" s="30" t="inlineStr"/>
      <c r="E182" s="30" t="inlineStr"/>
      <c r="F182" s="30" t="inlineStr"/>
      <c r="G182" s="30" t="inlineStr"/>
      <c r="H182" s="35" t="inlineStr"/>
      <c r="I182" s="34" t="inlineStr"/>
      <c r="J182" s="30" t="inlineStr"/>
      <c r="K182" s="30" t="inlineStr"/>
      <c r="L182" s="15">
        <f>IF(A182="","",H182*I182)</f>
        <v/>
      </c>
    </row>
    <row r="183">
      <c r="A183" s="30" t="inlineStr"/>
      <c r="B183" s="38" t="inlineStr"/>
      <c r="C183" s="30" t="inlineStr"/>
      <c r="D183" s="30" t="inlineStr"/>
      <c r="E183" s="30" t="inlineStr"/>
      <c r="F183" s="30" t="inlineStr"/>
      <c r="G183" s="30" t="inlineStr"/>
      <c r="H183" s="35" t="inlineStr"/>
      <c r="I183" s="34" t="inlineStr"/>
      <c r="J183" s="30" t="inlineStr"/>
      <c r="K183" s="30" t="inlineStr"/>
      <c r="L183" s="15">
        <f>IF(A183="","",H183*I183)</f>
        <v/>
      </c>
    </row>
    <row r="184">
      <c r="A184" s="30" t="inlineStr"/>
      <c r="B184" s="38" t="inlineStr"/>
      <c r="C184" s="30" t="inlineStr"/>
      <c r="D184" s="30" t="inlineStr"/>
      <c r="E184" s="30" t="inlineStr"/>
      <c r="F184" s="30" t="inlineStr"/>
      <c r="G184" s="30" t="inlineStr"/>
      <c r="H184" s="35" t="inlineStr"/>
      <c r="I184" s="34" t="inlineStr"/>
      <c r="J184" s="30" t="inlineStr"/>
      <c r="K184" s="30" t="inlineStr"/>
      <c r="L184" s="15">
        <f>IF(A184="","",H184*I184)</f>
        <v/>
      </c>
    </row>
    <row r="185">
      <c r="A185" s="30" t="inlineStr"/>
      <c r="B185" s="38" t="inlineStr"/>
      <c r="C185" s="30" t="inlineStr"/>
      <c r="D185" s="30" t="inlineStr"/>
      <c r="E185" s="30" t="inlineStr"/>
      <c r="F185" s="30" t="inlineStr"/>
      <c r="G185" s="30" t="inlineStr"/>
      <c r="H185" s="35" t="inlineStr"/>
      <c r="I185" s="34" t="inlineStr"/>
      <c r="J185" s="30" t="inlineStr"/>
      <c r="K185" s="30" t="inlineStr"/>
      <c r="L185" s="15">
        <f>IF(A185="","",H185*I185)</f>
        <v/>
      </c>
    </row>
    <row r="186">
      <c r="A186" s="30" t="inlineStr"/>
      <c r="B186" s="38" t="inlineStr"/>
      <c r="C186" s="30" t="inlineStr"/>
      <c r="D186" s="30" t="inlineStr"/>
      <c r="E186" s="30" t="inlineStr"/>
      <c r="F186" s="30" t="inlineStr"/>
      <c r="G186" s="30" t="inlineStr"/>
      <c r="H186" s="35" t="inlineStr"/>
      <c r="I186" s="34" t="inlineStr"/>
      <c r="J186" s="30" t="inlineStr"/>
      <c r="K186" s="30" t="inlineStr"/>
      <c r="L186" s="15">
        <f>IF(A186="","",H186*I186)</f>
        <v/>
      </c>
    </row>
    <row r="187">
      <c r="A187" s="30" t="inlineStr"/>
      <c r="B187" s="38" t="inlineStr"/>
      <c r="C187" s="30" t="inlineStr"/>
      <c r="D187" s="30" t="inlineStr"/>
      <c r="E187" s="30" t="inlineStr"/>
      <c r="F187" s="30" t="inlineStr"/>
      <c r="G187" s="30" t="inlineStr"/>
      <c r="H187" s="35" t="inlineStr"/>
      <c r="I187" s="34" t="inlineStr"/>
      <c r="J187" s="30" t="inlineStr"/>
      <c r="K187" s="30" t="inlineStr"/>
      <c r="L187" s="15">
        <f>IF(A187="","",H187*I187)</f>
        <v/>
      </c>
    </row>
    <row r="188">
      <c r="A188" s="30" t="inlineStr"/>
      <c r="B188" s="38" t="inlineStr"/>
      <c r="C188" s="30" t="inlineStr"/>
      <c r="D188" s="30" t="inlineStr"/>
      <c r="E188" s="30" t="inlineStr"/>
      <c r="F188" s="30" t="inlineStr"/>
      <c r="G188" s="30" t="inlineStr"/>
      <c r="H188" s="35" t="inlineStr"/>
      <c r="I188" s="34" t="inlineStr"/>
      <c r="J188" s="30" t="inlineStr"/>
      <c r="K188" s="30" t="inlineStr"/>
      <c r="L188" s="15">
        <f>IF(A188="","",H188*I188)</f>
        <v/>
      </c>
    </row>
    <row r="189">
      <c r="A189" s="30" t="inlineStr"/>
      <c r="B189" s="38" t="inlineStr"/>
      <c r="C189" s="30" t="inlineStr"/>
      <c r="D189" s="30" t="inlineStr"/>
      <c r="E189" s="30" t="inlineStr"/>
      <c r="F189" s="30" t="inlineStr"/>
      <c r="G189" s="30" t="inlineStr"/>
      <c r="H189" s="35" t="inlineStr"/>
      <c r="I189" s="34" t="inlineStr"/>
      <c r="J189" s="30" t="inlineStr"/>
      <c r="K189" s="30" t="inlineStr"/>
      <c r="L189" s="15">
        <f>IF(A189="","",H189*I189)</f>
        <v/>
      </c>
    </row>
    <row r="190">
      <c r="A190" s="30" t="inlineStr"/>
      <c r="B190" s="38" t="inlineStr"/>
      <c r="C190" s="30" t="inlineStr"/>
      <c r="D190" s="30" t="inlineStr"/>
      <c r="E190" s="30" t="inlineStr"/>
      <c r="F190" s="30" t="inlineStr"/>
      <c r="G190" s="30" t="inlineStr"/>
      <c r="H190" s="35" t="inlineStr"/>
      <c r="I190" s="34" t="inlineStr"/>
      <c r="J190" s="30" t="inlineStr"/>
      <c r="K190" s="30" t="inlineStr"/>
      <c r="L190" s="15">
        <f>IF(A190="","",H190*I190)</f>
        <v/>
      </c>
    </row>
    <row r="191">
      <c r="A191" s="30" t="inlineStr"/>
      <c r="B191" s="38" t="inlineStr"/>
      <c r="C191" s="30" t="inlineStr"/>
      <c r="D191" s="30" t="inlineStr"/>
      <c r="E191" s="30" t="inlineStr"/>
      <c r="F191" s="30" t="inlineStr"/>
      <c r="G191" s="30" t="inlineStr"/>
      <c r="H191" s="35" t="inlineStr"/>
      <c r="I191" s="34" t="inlineStr"/>
      <c r="J191" s="30" t="inlineStr"/>
      <c r="K191" s="30" t="inlineStr"/>
      <c r="L191" s="15">
        <f>IF(A191="","",H191*I191)</f>
        <v/>
      </c>
    </row>
    <row r="192">
      <c r="A192" s="30" t="inlineStr"/>
      <c r="B192" s="38" t="inlineStr"/>
      <c r="C192" s="30" t="inlineStr"/>
      <c r="D192" s="30" t="inlineStr"/>
      <c r="E192" s="30" t="inlineStr"/>
      <c r="F192" s="30" t="inlineStr"/>
      <c r="G192" s="30" t="inlineStr"/>
      <c r="H192" s="35" t="inlineStr"/>
      <c r="I192" s="34" t="inlineStr"/>
      <c r="J192" s="30" t="inlineStr"/>
      <c r="K192" s="30" t="inlineStr"/>
      <c r="L192" s="15">
        <f>IF(A192="","",H192*I192)</f>
        <v/>
      </c>
    </row>
    <row r="193">
      <c r="A193" s="30" t="inlineStr"/>
      <c r="B193" s="38" t="inlineStr"/>
      <c r="C193" s="30" t="inlineStr"/>
      <c r="D193" s="30" t="inlineStr"/>
      <c r="E193" s="30" t="inlineStr"/>
      <c r="F193" s="30" t="inlineStr"/>
      <c r="G193" s="30" t="inlineStr"/>
      <c r="H193" s="35" t="inlineStr"/>
      <c r="I193" s="34" t="inlineStr"/>
      <c r="J193" s="30" t="inlineStr"/>
      <c r="K193" s="30" t="inlineStr"/>
      <c r="L193" s="15">
        <f>IF(A193="","",H193*I193)</f>
        <v/>
      </c>
    </row>
    <row r="194">
      <c r="A194" s="30" t="inlineStr"/>
      <c r="B194" s="38" t="inlineStr"/>
      <c r="C194" s="30" t="inlineStr"/>
      <c r="D194" s="30" t="inlineStr"/>
      <c r="E194" s="30" t="inlineStr"/>
      <c r="F194" s="30" t="inlineStr"/>
      <c r="G194" s="30" t="inlineStr"/>
      <c r="H194" s="35" t="inlineStr"/>
      <c r="I194" s="34" t="inlineStr"/>
      <c r="J194" s="30" t="inlineStr"/>
      <c r="K194" s="30" t="inlineStr"/>
      <c r="L194" s="15">
        <f>IF(A194="","",H194*I194)</f>
        <v/>
      </c>
    </row>
    <row r="195">
      <c r="A195" s="30" t="inlineStr"/>
      <c r="B195" s="38" t="inlineStr"/>
      <c r="C195" s="30" t="inlineStr"/>
      <c r="D195" s="30" t="inlineStr"/>
      <c r="E195" s="30" t="inlineStr"/>
      <c r="F195" s="30" t="inlineStr"/>
      <c r="G195" s="30" t="inlineStr"/>
      <c r="H195" s="35" t="inlineStr"/>
      <c r="I195" s="34" t="inlineStr"/>
      <c r="J195" s="30" t="inlineStr"/>
      <c r="K195" s="30" t="inlineStr"/>
      <c r="L195" s="15">
        <f>IF(A195="","",H195*I195)</f>
        <v/>
      </c>
    </row>
    <row r="196">
      <c r="A196" s="30" t="inlineStr"/>
      <c r="B196" s="38" t="inlineStr"/>
      <c r="C196" s="30" t="inlineStr"/>
      <c r="D196" s="30" t="inlineStr"/>
      <c r="E196" s="30" t="inlineStr"/>
      <c r="F196" s="30" t="inlineStr"/>
      <c r="G196" s="30" t="inlineStr"/>
      <c r="H196" s="35" t="inlineStr"/>
      <c r="I196" s="34" t="inlineStr"/>
      <c r="J196" s="30" t="inlineStr"/>
      <c r="K196" s="30" t="inlineStr"/>
      <c r="L196" s="15">
        <f>IF(A196="","",H196*I196)</f>
        <v/>
      </c>
    </row>
    <row r="197">
      <c r="A197" s="30" t="inlineStr"/>
      <c r="B197" s="38" t="inlineStr"/>
      <c r="C197" s="30" t="inlineStr"/>
      <c r="D197" s="30" t="inlineStr"/>
      <c r="E197" s="30" t="inlineStr"/>
      <c r="F197" s="30" t="inlineStr"/>
      <c r="G197" s="30" t="inlineStr"/>
      <c r="H197" s="35" t="inlineStr"/>
      <c r="I197" s="34" t="inlineStr"/>
      <c r="J197" s="30" t="inlineStr"/>
      <c r="K197" s="30" t="inlineStr"/>
      <c r="L197" s="15">
        <f>IF(A197="","",H197*I197)</f>
        <v/>
      </c>
    </row>
    <row r="198">
      <c r="A198" s="30" t="inlineStr"/>
      <c r="B198" s="38" t="inlineStr"/>
      <c r="C198" s="30" t="inlineStr"/>
      <c r="D198" s="30" t="inlineStr"/>
      <c r="E198" s="30" t="inlineStr"/>
      <c r="F198" s="30" t="inlineStr"/>
      <c r="G198" s="30" t="inlineStr"/>
      <c r="H198" s="35" t="inlineStr"/>
      <c r="I198" s="34" t="inlineStr"/>
      <c r="J198" s="30" t="inlineStr"/>
      <c r="K198" s="30" t="inlineStr"/>
      <c r="L198" s="15">
        <f>IF(A198="","",H198*I198)</f>
        <v/>
      </c>
    </row>
    <row r="199">
      <c r="A199" s="30" t="inlineStr"/>
      <c r="B199" s="38" t="inlineStr"/>
      <c r="C199" s="30" t="inlineStr"/>
      <c r="D199" s="30" t="inlineStr"/>
      <c r="E199" s="30" t="inlineStr"/>
      <c r="F199" s="30" t="inlineStr"/>
      <c r="G199" s="30" t="inlineStr"/>
      <c r="H199" s="35" t="inlineStr"/>
      <c r="I199" s="34" t="inlineStr"/>
      <c r="J199" s="30" t="inlineStr"/>
      <c r="K199" s="30" t="inlineStr"/>
      <c r="L199" s="15">
        <f>IF(A199="","",H199*I199)</f>
        <v/>
      </c>
    </row>
    <row r="200">
      <c r="A200" s="30" t="inlineStr"/>
      <c r="B200" s="38" t="inlineStr"/>
      <c r="C200" s="30" t="inlineStr"/>
      <c r="D200" s="30" t="inlineStr"/>
      <c r="E200" s="30" t="inlineStr"/>
      <c r="F200" s="30" t="inlineStr"/>
      <c r="G200" s="30" t="inlineStr"/>
      <c r="H200" s="35" t="inlineStr"/>
      <c r="I200" s="34" t="inlineStr"/>
      <c r="J200" s="30" t="inlineStr"/>
      <c r="K200" s="30" t="inlineStr"/>
      <c r="L200" s="15">
        <f>IF(A200="","",H200*I200)</f>
        <v/>
      </c>
    </row>
    <row r="201">
      <c r="A201" s="30" t="inlineStr"/>
      <c r="B201" s="38" t="inlineStr"/>
      <c r="C201" s="30" t="inlineStr"/>
      <c r="D201" s="30" t="inlineStr"/>
      <c r="E201" s="30" t="inlineStr"/>
      <c r="F201" s="30" t="inlineStr"/>
      <c r="G201" s="30" t="inlineStr"/>
      <c r="H201" s="35" t="inlineStr"/>
      <c r="I201" s="34" t="inlineStr"/>
      <c r="J201" s="30" t="inlineStr"/>
      <c r="K201" s="30" t="inlineStr"/>
      <c r="L201" s="15">
        <f>IF(A201="","",H201*I201)</f>
        <v/>
      </c>
    </row>
    <row r="202">
      <c r="A202" s="30" t="inlineStr"/>
      <c r="B202" s="38" t="inlineStr"/>
      <c r="C202" s="30" t="inlineStr"/>
      <c r="D202" s="30" t="inlineStr"/>
      <c r="E202" s="30" t="inlineStr"/>
      <c r="F202" s="30" t="inlineStr"/>
      <c r="G202" s="30" t="inlineStr"/>
      <c r="H202" s="35" t="inlineStr"/>
      <c r="I202" s="34" t="inlineStr"/>
      <c r="J202" s="30" t="inlineStr"/>
      <c r="K202" s="30" t="inlineStr"/>
      <c r="L202" s="15">
        <f>IF(A202="","",H202*I202)</f>
        <v/>
      </c>
    </row>
    <row r="203">
      <c r="A203" s="30" t="inlineStr"/>
      <c r="B203" s="38" t="inlineStr"/>
      <c r="C203" s="30" t="inlineStr"/>
      <c r="D203" s="30" t="inlineStr"/>
      <c r="E203" s="30" t="inlineStr"/>
      <c r="F203" s="30" t="inlineStr"/>
      <c r="G203" s="30" t="inlineStr"/>
      <c r="H203" s="35" t="inlineStr"/>
      <c r="I203" s="34" t="inlineStr"/>
      <c r="J203" s="30" t="inlineStr"/>
      <c r="K203" s="30" t="inlineStr"/>
      <c r="L203" s="15">
        <f>IF(A203="","",H203*I203)</f>
        <v/>
      </c>
    </row>
    <row r="204">
      <c r="A204" s="30" t="inlineStr"/>
      <c r="B204" s="38" t="inlineStr"/>
      <c r="C204" s="30" t="inlineStr"/>
      <c r="D204" s="30" t="inlineStr"/>
      <c r="E204" s="30" t="inlineStr"/>
      <c r="F204" s="30" t="inlineStr"/>
      <c r="G204" s="30" t="inlineStr"/>
      <c r="H204" s="35" t="inlineStr"/>
      <c r="I204" s="34" t="inlineStr"/>
      <c r="J204" s="30" t="inlineStr"/>
      <c r="K204" s="30" t="inlineStr"/>
      <c r="L204" s="15">
        <f>IF(A204="","",H204*I204)</f>
        <v/>
      </c>
    </row>
    <row r="205">
      <c r="A205" s="30" t="inlineStr"/>
      <c r="B205" s="38" t="inlineStr"/>
      <c r="C205" s="30" t="inlineStr"/>
      <c r="D205" s="30" t="inlineStr"/>
      <c r="E205" s="30" t="inlineStr"/>
      <c r="F205" s="30" t="inlineStr"/>
      <c r="G205" s="30" t="inlineStr"/>
      <c r="H205" s="35" t="inlineStr"/>
      <c r="I205" s="34" t="inlineStr"/>
      <c r="J205" s="30" t="inlineStr"/>
      <c r="K205" s="30" t="inlineStr"/>
      <c r="L205" s="15">
        <f>IF(A205="","",H205*I205)</f>
        <v/>
      </c>
    </row>
    <row r="206">
      <c r="A206" s="30" t="inlineStr"/>
      <c r="B206" s="38" t="inlineStr"/>
      <c r="C206" s="30" t="inlineStr"/>
      <c r="D206" s="30" t="inlineStr"/>
      <c r="E206" s="30" t="inlineStr"/>
      <c r="F206" s="30" t="inlineStr"/>
      <c r="G206" s="30" t="inlineStr"/>
      <c r="H206" s="35" t="inlineStr"/>
      <c r="I206" s="34" t="inlineStr"/>
      <c r="J206" s="30" t="inlineStr"/>
      <c r="K206" s="30" t="inlineStr"/>
      <c r="L206" s="15">
        <f>IF(A206="","",H206*I206)</f>
        <v/>
      </c>
    </row>
    <row r="207">
      <c r="A207" s="30" t="inlineStr"/>
      <c r="B207" s="38" t="inlineStr"/>
      <c r="C207" s="30" t="inlineStr"/>
      <c r="D207" s="30" t="inlineStr"/>
      <c r="E207" s="30" t="inlineStr"/>
      <c r="F207" s="30" t="inlineStr"/>
      <c r="G207" s="30" t="inlineStr"/>
      <c r="H207" s="35" t="inlineStr"/>
      <c r="I207" s="34" t="inlineStr"/>
      <c r="J207" s="30" t="inlineStr"/>
      <c r="K207" s="30" t="inlineStr"/>
      <c r="L207" s="15">
        <f>IF(A207="","",H207*I207)</f>
        <v/>
      </c>
    </row>
    <row r="208">
      <c r="A208" s="30" t="inlineStr"/>
      <c r="B208" s="38" t="inlineStr"/>
      <c r="C208" s="30" t="inlineStr"/>
      <c r="D208" s="30" t="inlineStr"/>
      <c r="E208" s="30" t="inlineStr"/>
      <c r="F208" s="30" t="inlineStr"/>
      <c r="G208" s="30" t="inlineStr"/>
      <c r="H208" s="35" t="inlineStr"/>
      <c r="I208" s="34" t="inlineStr"/>
      <c r="J208" s="30" t="inlineStr"/>
      <c r="K208" s="30" t="inlineStr"/>
      <c r="L208" s="15">
        <f>IF(A208="","",H208*I208)</f>
        <v/>
      </c>
    </row>
    <row r="209">
      <c r="A209" s="30" t="inlineStr"/>
      <c r="B209" s="38" t="inlineStr"/>
      <c r="C209" s="30" t="inlineStr"/>
      <c r="D209" s="30" t="inlineStr"/>
      <c r="E209" s="30" t="inlineStr"/>
      <c r="F209" s="30" t="inlineStr"/>
      <c r="G209" s="30" t="inlineStr"/>
      <c r="H209" s="35" t="inlineStr"/>
      <c r="I209" s="34" t="inlineStr"/>
      <c r="J209" s="30" t="inlineStr"/>
      <c r="K209" s="30" t="inlineStr"/>
      <c r="L209" s="15">
        <f>IF(A209="","",H209*I209)</f>
        <v/>
      </c>
    </row>
    <row r="210">
      <c r="A210" s="30" t="inlineStr"/>
      <c r="B210" s="38" t="inlineStr"/>
      <c r="C210" s="30" t="inlineStr"/>
      <c r="D210" s="30" t="inlineStr"/>
      <c r="E210" s="30" t="inlineStr"/>
      <c r="F210" s="30" t="inlineStr"/>
      <c r="G210" s="30" t="inlineStr"/>
      <c r="H210" s="35" t="inlineStr"/>
      <c r="I210" s="34" t="inlineStr"/>
      <c r="J210" s="30" t="inlineStr"/>
      <c r="K210" s="30" t="inlineStr"/>
      <c r="L210" s="15">
        <f>IF(A210="","",H210*I210)</f>
        <v/>
      </c>
    </row>
    <row r="211">
      <c r="A211" s="30" t="inlineStr"/>
      <c r="B211" s="38" t="inlineStr"/>
      <c r="C211" s="30" t="inlineStr"/>
      <c r="D211" s="30" t="inlineStr"/>
      <c r="E211" s="30" t="inlineStr"/>
      <c r="F211" s="30" t="inlineStr"/>
      <c r="G211" s="30" t="inlineStr"/>
      <c r="H211" s="35" t="inlineStr"/>
      <c r="I211" s="34" t="inlineStr"/>
      <c r="J211" s="30" t="inlineStr"/>
      <c r="K211" s="30" t="inlineStr"/>
      <c r="L211" s="15">
        <f>IF(A211="","",H211*I211)</f>
        <v/>
      </c>
    </row>
    <row r="212">
      <c r="A212" s="30" t="inlineStr"/>
      <c r="B212" s="38" t="inlineStr"/>
      <c r="C212" s="30" t="inlineStr"/>
      <c r="D212" s="30" t="inlineStr"/>
      <c r="E212" s="30" t="inlineStr"/>
      <c r="F212" s="30" t="inlineStr"/>
      <c r="G212" s="30" t="inlineStr"/>
      <c r="H212" s="35" t="inlineStr"/>
      <c r="I212" s="34" t="inlineStr"/>
      <c r="J212" s="30" t="inlineStr"/>
      <c r="K212" s="30" t="inlineStr"/>
      <c r="L212" s="15">
        <f>IF(A212="","",H212*I212)</f>
        <v/>
      </c>
    </row>
    <row r="213">
      <c r="A213" s="30" t="inlineStr"/>
      <c r="B213" s="38" t="inlineStr"/>
      <c r="C213" s="30" t="inlineStr"/>
      <c r="D213" s="30" t="inlineStr"/>
      <c r="E213" s="30" t="inlineStr"/>
      <c r="F213" s="30" t="inlineStr"/>
      <c r="G213" s="30" t="inlineStr"/>
      <c r="H213" s="35" t="inlineStr"/>
      <c r="I213" s="34" t="inlineStr"/>
      <c r="J213" s="30" t="inlineStr"/>
      <c r="K213" s="30" t="inlineStr"/>
      <c r="L213" s="15">
        <f>IF(A213="","",H213*I213)</f>
        <v/>
      </c>
    </row>
    <row r="214">
      <c r="A214" s="30" t="inlineStr"/>
      <c r="B214" s="38" t="inlineStr"/>
      <c r="C214" s="30" t="inlineStr"/>
      <c r="D214" s="30" t="inlineStr"/>
      <c r="E214" s="30" t="inlineStr"/>
      <c r="F214" s="30" t="inlineStr"/>
      <c r="G214" s="30" t="inlineStr"/>
      <c r="H214" s="35" t="inlineStr"/>
      <c r="I214" s="34" t="inlineStr"/>
      <c r="J214" s="30" t="inlineStr"/>
      <c r="K214" s="30" t="inlineStr"/>
      <c r="L214" s="15">
        <f>IF(A214="","",H214*I214)</f>
        <v/>
      </c>
    </row>
    <row r="215">
      <c r="A215" s="30" t="inlineStr"/>
      <c r="B215" s="38" t="inlineStr"/>
      <c r="C215" s="30" t="inlineStr"/>
      <c r="D215" s="30" t="inlineStr"/>
      <c r="E215" s="30" t="inlineStr"/>
      <c r="F215" s="30" t="inlineStr"/>
      <c r="G215" s="30" t="inlineStr"/>
      <c r="H215" s="35" t="inlineStr"/>
      <c r="I215" s="34" t="inlineStr"/>
      <c r="J215" s="30" t="inlineStr"/>
      <c r="K215" s="30" t="inlineStr"/>
      <c r="L215" s="15">
        <f>IF(A215="","",H215*I215)</f>
        <v/>
      </c>
    </row>
    <row r="216">
      <c r="A216" s="30" t="inlineStr"/>
      <c r="B216" s="38" t="inlineStr"/>
      <c r="C216" s="30" t="inlineStr"/>
      <c r="D216" s="30" t="inlineStr"/>
      <c r="E216" s="30" t="inlineStr"/>
      <c r="F216" s="30" t="inlineStr"/>
      <c r="G216" s="30" t="inlineStr"/>
      <c r="H216" s="35" t="inlineStr"/>
      <c r="I216" s="34" t="inlineStr"/>
      <c r="J216" s="30" t="inlineStr"/>
      <c r="K216" s="30" t="inlineStr"/>
      <c r="L216" s="15">
        <f>IF(A216="","",H216*I216)</f>
        <v/>
      </c>
    </row>
    <row r="217">
      <c r="A217" s="30" t="inlineStr"/>
      <c r="B217" s="38" t="inlineStr"/>
      <c r="C217" s="30" t="inlineStr"/>
      <c r="D217" s="30" t="inlineStr"/>
      <c r="E217" s="30" t="inlineStr"/>
      <c r="F217" s="30" t="inlineStr"/>
      <c r="G217" s="30" t="inlineStr"/>
      <c r="H217" s="35" t="inlineStr"/>
      <c r="I217" s="34" t="inlineStr"/>
      <c r="J217" s="30" t="inlineStr"/>
      <c r="K217" s="30" t="inlineStr"/>
      <c r="L217" s="15">
        <f>IF(A217="","",H217*I217)</f>
        <v/>
      </c>
    </row>
    <row r="218">
      <c r="A218" s="30" t="inlineStr"/>
      <c r="B218" s="38" t="inlineStr"/>
      <c r="C218" s="30" t="inlineStr"/>
      <c r="D218" s="30" t="inlineStr"/>
      <c r="E218" s="30" t="inlineStr"/>
      <c r="F218" s="30" t="inlineStr"/>
      <c r="G218" s="30" t="inlineStr"/>
      <c r="H218" s="35" t="inlineStr"/>
      <c r="I218" s="34" t="inlineStr"/>
      <c r="J218" s="30" t="inlineStr"/>
      <c r="K218" s="30" t="inlineStr"/>
      <c r="L218" s="15">
        <f>IF(A218="","",H218*I218)</f>
        <v/>
      </c>
    </row>
    <row r="219">
      <c r="A219" s="30" t="inlineStr"/>
      <c r="B219" s="38" t="inlineStr"/>
      <c r="C219" s="30" t="inlineStr"/>
      <c r="D219" s="30" t="inlineStr"/>
      <c r="E219" s="30" t="inlineStr"/>
      <c r="F219" s="30" t="inlineStr"/>
      <c r="G219" s="30" t="inlineStr"/>
      <c r="H219" s="35" t="inlineStr"/>
      <c r="I219" s="34" t="inlineStr"/>
      <c r="J219" s="30" t="inlineStr"/>
      <c r="K219" s="30" t="inlineStr"/>
      <c r="L219" s="15">
        <f>IF(A219="","",H219*I219)</f>
        <v/>
      </c>
    </row>
    <row r="220">
      <c r="A220" s="30" t="inlineStr"/>
      <c r="B220" s="38" t="inlineStr"/>
      <c r="C220" s="30" t="inlineStr"/>
      <c r="D220" s="30" t="inlineStr"/>
      <c r="E220" s="30" t="inlineStr"/>
      <c r="F220" s="30" t="inlineStr"/>
      <c r="G220" s="30" t="inlineStr"/>
      <c r="H220" s="35" t="inlineStr"/>
      <c r="I220" s="34" t="inlineStr"/>
      <c r="J220" s="30" t="inlineStr"/>
      <c r="K220" s="30" t="inlineStr"/>
      <c r="L220" s="15">
        <f>IF(A220="","",H220*I220)</f>
        <v/>
      </c>
    </row>
    <row r="221">
      <c r="A221" s="30" t="inlineStr"/>
      <c r="B221" s="38" t="inlineStr"/>
      <c r="C221" s="30" t="inlineStr"/>
      <c r="D221" s="30" t="inlineStr"/>
      <c r="E221" s="30" t="inlineStr"/>
      <c r="F221" s="30" t="inlineStr"/>
      <c r="G221" s="30" t="inlineStr"/>
      <c r="H221" s="35" t="inlineStr"/>
      <c r="I221" s="34" t="inlineStr"/>
      <c r="J221" s="30" t="inlineStr"/>
      <c r="K221" s="30" t="inlineStr"/>
      <c r="L221" s="15">
        <f>IF(A221="","",H221*I221)</f>
        <v/>
      </c>
    </row>
    <row r="222">
      <c r="A222" s="30" t="inlineStr"/>
      <c r="B222" s="38" t="inlineStr"/>
      <c r="C222" s="30" t="inlineStr"/>
      <c r="D222" s="30" t="inlineStr"/>
      <c r="E222" s="30" t="inlineStr"/>
      <c r="F222" s="30" t="inlineStr"/>
      <c r="G222" s="30" t="inlineStr"/>
      <c r="H222" s="35" t="inlineStr"/>
      <c r="I222" s="34" t="inlineStr"/>
      <c r="J222" s="30" t="inlineStr"/>
      <c r="K222" s="30" t="inlineStr"/>
      <c r="L222" s="15">
        <f>IF(A222="","",H222*I222)</f>
        <v/>
      </c>
    </row>
    <row r="223">
      <c r="A223" s="30" t="inlineStr"/>
      <c r="B223" s="38" t="inlineStr"/>
      <c r="C223" s="30" t="inlineStr"/>
      <c r="D223" s="30" t="inlineStr"/>
      <c r="E223" s="30" t="inlineStr"/>
      <c r="F223" s="30" t="inlineStr"/>
      <c r="G223" s="30" t="inlineStr"/>
      <c r="H223" s="35" t="inlineStr"/>
      <c r="I223" s="34" t="inlineStr"/>
      <c r="J223" s="30" t="inlineStr"/>
      <c r="K223" s="30" t="inlineStr"/>
      <c r="L223" s="15">
        <f>IF(A223="","",H223*I223)</f>
        <v/>
      </c>
    </row>
    <row r="224">
      <c r="A224" s="30" t="inlineStr"/>
      <c r="B224" s="38" t="inlineStr"/>
      <c r="C224" s="30" t="inlineStr"/>
      <c r="D224" s="30" t="inlineStr"/>
      <c r="E224" s="30" t="inlineStr"/>
      <c r="F224" s="30" t="inlineStr"/>
      <c r="G224" s="30" t="inlineStr"/>
      <c r="H224" s="35" t="inlineStr"/>
      <c r="I224" s="34" t="inlineStr"/>
      <c r="J224" s="30" t="inlineStr"/>
      <c r="K224" s="30" t="inlineStr"/>
      <c r="L224" s="15">
        <f>IF(A224="","",H224*I224)</f>
        <v/>
      </c>
    </row>
    <row r="225">
      <c r="A225" s="30" t="inlineStr"/>
      <c r="B225" s="38" t="inlineStr"/>
      <c r="C225" s="30" t="inlineStr"/>
      <c r="D225" s="30" t="inlineStr"/>
      <c r="E225" s="30" t="inlineStr"/>
      <c r="F225" s="30" t="inlineStr"/>
      <c r="G225" s="30" t="inlineStr"/>
      <c r="H225" s="35" t="inlineStr"/>
      <c r="I225" s="34" t="inlineStr"/>
      <c r="J225" s="30" t="inlineStr"/>
      <c r="K225" s="30" t="inlineStr"/>
      <c r="L225" s="15">
        <f>IF(A225="","",H225*I225)</f>
        <v/>
      </c>
    </row>
    <row r="226">
      <c r="A226" s="30" t="inlineStr"/>
      <c r="B226" s="38" t="inlineStr"/>
      <c r="C226" s="30" t="inlineStr"/>
      <c r="D226" s="30" t="inlineStr"/>
      <c r="E226" s="30" t="inlineStr"/>
      <c r="F226" s="30" t="inlineStr"/>
      <c r="G226" s="30" t="inlineStr"/>
      <c r="H226" s="35" t="inlineStr"/>
      <c r="I226" s="34" t="inlineStr"/>
      <c r="J226" s="30" t="inlineStr"/>
      <c r="K226" s="30" t="inlineStr"/>
      <c r="L226" s="15">
        <f>IF(A226="","",H226*I226)</f>
        <v/>
      </c>
    </row>
    <row r="227">
      <c r="A227" s="30" t="inlineStr"/>
      <c r="B227" s="38" t="inlineStr"/>
      <c r="C227" s="30" t="inlineStr"/>
      <c r="D227" s="30" t="inlineStr"/>
      <c r="E227" s="30" t="inlineStr"/>
      <c r="F227" s="30" t="inlineStr"/>
      <c r="G227" s="30" t="inlineStr"/>
      <c r="H227" s="35" t="inlineStr"/>
      <c r="I227" s="34" t="inlineStr"/>
      <c r="J227" s="30" t="inlineStr"/>
      <c r="K227" s="30" t="inlineStr"/>
      <c r="L227" s="15">
        <f>IF(A227="","",H227*I227)</f>
        <v/>
      </c>
    </row>
    <row r="228">
      <c r="A228" s="30" t="inlineStr"/>
      <c r="B228" s="38" t="inlineStr"/>
      <c r="C228" s="30" t="inlineStr"/>
      <c r="D228" s="30" t="inlineStr"/>
      <c r="E228" s="30" t="inlineStr"/>
      <c r="F228" s="30" t="inlineStr"/>
      <c r="G228" s="30" t="inlineStr"/>
      <c r="H228" s="35" t="inlineStr"/>
      <c r="I228" s="34" t="inlineStr"/>
      <c r="J228" s="30" t="inlineStr"/>
      <c r="K228" s="30" t="inlineStr"/>
      <c r="L228" s="15">
        <f>IF(A228="","",H228*I228)</f>
        <v/>
      </c>
    </row>
    <row r="229">
      <c r="A229" s="30" t="inlineStr"/>
      <c r="B229" s="38" t="inlineStr"/>
      <c r="C229" s="30" t="inlineStr"/>
      <c r="D229" s="30" t="inlineStr"/>
      <c r="E229" s="30" t="inlineStr"/>
      <c r="F229" s="30" t="inlineStr"/>
      <c r="G229" s="30" t="inlineStr"/>
      <c r="H229" s="35" t="inlineStr"/>
      <c r="I229" s="34" t="inlineStr"/>
      <c r="J229" s="30" t="inlineStr"/>
      <c r="K229" s="30" t="inlineStr"/>
      <c r="L229" s="15">
        <f>IF(A229="","",H229*I229)</f>
        <v/>
      </c>
    </row>
    <row r="230">
      <c r="A230" s="30" t="inlineStr"/>
      <c r="B230" s="38" t="inlineStr"/>
      <c r="C230" s="30" t="inlineStr"/>
      <c r="D230" s="30" t="inlineStr"/>
      <c r="E230" s="30" t="inlineStr"/>
      <c r="F230" s="30" t="inlineStr"/>
      <c r="G230" s="30" t="inlineStr"/>
      <c r="H230" s="35" t="inlineStr"/>
      <c r="I230" s="34" t="inlineStr"/>
      <c r="J230" s="30" t="inlineStr"/>
      <c r="K230" s="30" t="inlineStr"/>
      <c r="L230" s="15">
        <f>IF(A230="","",H230*I230)</f>
        <v/>
      </c>
    </row>
    <row r="231">
      <c r="A231" s="30" t="inlineStr"/>
      <c r="B231" s="38" t="inlineStr"/>
      <c r="C231" s="30" t="inlineStr"/>
      <c r="D231" s="30" t="inlineStr"/>
      <c r="E231" s="30" t="inlineStr"/>
      <c r="F231" s="30" t="inlineStr"/>
      <c r="G231" s="30" t="inlineStr"/>
      <c r="H231" s="35" t="inlineStr"/>
      <c r="I231" s="34" t="inlineStr"/>
      <c r="J231" s="30" t="inlineStr"/>
      <c r="K231" s="30" t="inlineStr"/>
      <c r="L231" s="15">
        <f>IF(A231="","",H231*I231)</f>
        <v/>
      </c>
    </row>
    <row r="232">
      <c r="A232" s="30" t="inlineStr"/>
      <c r="B232" s="38" t="inlineStr"/>
      <c r="C232" s="30" t="inlineStr"/>
      <c r="D232" s="30" t="inlineStr"/>
      <c r="E232" s="30" t="inlineStr"/>
      <c r="F232" s="30" t="inlineStr"/>
      <c r="G232" s="30" t="inlineStr"/>
      <c r="H232" s="35" t="inlineStr"/>
      <c r="I232" s="34" t="inlineStr"/>
      <c r="J232" s="30" t="inlineStr"/>
      <c r="K232" s="30" t="inlineStr"/>
      <c r="L232" s="15">
        <f>IF(A232="","",H232*I232)</f>
        <v/>
      </c>
    </row>
    <row r="233">
      <c r="A233" s="30" t="inlineStr"/>
      <c r="B233" s="38" t="inlineStr"/>
      <c r="C233" s="30" t="inlineStr"/>
      <c r="D233" s="30" t="inlineStr"/>
      <c r="E233" s="30" t="inlineStr"/>
      <c r="F233" s="30" t="inlineStr"/>
      <c r="G233" s="30" t="inlineStr"/>
      <c r="H233" s="35" t="inlineStr"/>
      <c r="I233" s="34" t="inlineStr"/>
      <c r="J233" s="30" t="inlineStr"/>
      <c r="K233" s="30" t="inlineStr"/>
      <c r="L233" s="15">
        <f>IF(A233="","",H233*I233)</f>
        <v/>
      </c>
    </row>
    <row r="234">
      <c r="A234" s="30" t="inlineStr"/>
      <c r="B234" s="38" t="inlineStr"/>
      <c r="C234" s="30" t="inlineStr"/>
      <c r="D234" s="30" t="inlineStr"/>
      <c r="E234" s="30" t="inlineStr"/>
      <c r="F234" s="30" t="inlineStr"/>
      <c r="G234" s="30" t="inlineStr"/>
      <c r="H234" s="35" t="inlineStr"/>
      <c r="I234" s="34" t="inlineStr"/>
      <c r="J234" s="30" t="inlineStr"/>
      <c r="K234" s="30" t="inlineStr"/>
      <c r="L234" s="15">
        <f>IF(A234="","",H234*I234)</f>
        <v/>
      </c>
    </row>
    <row r="235">
      <c r="A235" s="30" t="inlineStr"/>
      <c r="B235" s="38" t="inlineStr"/>
      <c r="C235" s="30" t="inlineStr"/>
      <c r="D235" s="30" t="inlineStr"/>
      <c r="E235" s="30" t="inlineStr"/>
      <c r="F235" s="30" t="inlineStr"/>
      <c r="G235" s="30" t="inlineStr"/>
      <c r="H235" s="35" t="inlineStr"/>
      <c r="I235" s="34" t="inlineStr"/>
      <c r="J235" s="30" t="inlineStr"/>
      <c r="K235" s="30" t="inlineStr"/>
      <c r="L235" s="15">
        <f>IF(A235="","",H235*I235)</f>
        <v/>
      </c>
    </row>
    <row r="236">
      <c r="A236" s="30" t="inlineStr"/>
      <c r="B236" s="38" t="inlineStr"/>
      <c r="C236" s="30" t="inlineStr"/>
      <c r="D236" s="30" t="inlineStr"/>
      <c r="E236" s="30" t="inlineStr"/>
      <c r="F236" s="30" t="inlineStr"/>
      <c r="G236" s="30" t="inlineStr"/>
      <c r="H236" s="35" t="inlineStr"/>
      <c r="I236" s="34" t="inlineStr"/>
      <c r="J236" s="30" t="inlineStr"/>
      <c r="K236" s="30" t="inlineStr"/>
      <c r="L236" s="15">
        <f>IF(A236="","",H236*I236)</f>
        <v/>
      </c>
    </row>
    <row r="237">
      <c r="A237" s="30" t="inlineStr"/>
      <c r="B237" s="38" t="inlineStr"/>
      <c r="C237" s="30" t="inlineStr"/>
      <c r="D237" s="30" t="inlineStr"/>
      <c r="E237" s="30" t="inlineStr"/>
      <c r="F237" s="30" t="inlineStr"/>
      <c r="G237" s="30" t="inlineStr"/>
      <c r="H237" s="35" t="inlineStr"/>
      <c r="I237" s="34" t="inlineStr"/>
      <c r="J237" s="30" t="inlineStr"/>
      <c r="K237" s="30" t="inlineStr"/>
      <c r="L237" s="15">
        <f>IF(A237="","",H237*I237)</f>
        <v/>
      </c>
    </row>
    <row r="238">
      <c r="A238" s="30" t="inlineStr"/>
      <c r="B238" s="38" t="inlineStr"/>
      <c r="C238" s="30" t="inlineStr"/>
      <c r="D238" s="30" t="inlineStr"/>
      <c r="E238" s="30" t="inlineStr"/>
      <c r="F238" s="30" t="inlineStr"/>
      <c r="G238" s="30" t="inlineStr"/>
      <c r="H238" s="35" t="inlineStr"/>
      <c r="I238" s="34" t="inlineStr"/>
      <c r="J238" s="30" t="inlineStr"/>
      <c r="K238" s="30" t="inlineStr"/>
      <c r="L238" s="15">
        <f>IF(A238="","",H238*I238)</f>
        <v/>
      </c>
    </row>
    <row r="239">
      <c r="A239" s="30" t="inlineStr"/>
      <c r="B239" s="38" t="inlineStr"/>
      <c r="C239" s="30" t="inlineStr"/>
      <c r="D239" s="30" t="inlineStr"/>
      <c r="E239" s="30" t="inlineStr"/>
      <c r="F239" s="30" t="inlineStr"/>
      <c r="G239" s="30" t="inlineStr"/>
      <c r="H239" s="35" t="inlineStr"/>
      <c r="I239" s="34" t="inlineStr"/>
      <c r="J239" s="30" t="inlineStr"/>
      <c r="K239" s="30" t="inlineStr"/>
      <c r="L239" s="15">
        <f>IF(A239="","",H239*I239)</f>
        <v/>
      </c>
    </row>
    <row r="240">
      <c r="A240" s="30" t="inlineStr"/>
      <c r="B240" s="38" t="inlineStr"/>
      <c r="C240" s="30" t="inlineStr"/>
      <c r="D240" s="30" t="inlineStr"/>
      <c r="E240" s="30" t="inlineStr"/>
      <c r="F240" s="30" t="inlineStr"/>
      <c r="G240" s="30" t="inlineStr"/>
      <c r="H240" s="35" t="inlineStr"/>
      <c r="I240" s="34" t="inlineStr"/>
      <c r="J240" s="30" t="inlineStr"/>
      <c r="K240" s="30" t="inlineStr"/>
      <c r="L240" s="15">
        <f>IF(A240="","",H240*I240)</f>
        <v/>
      </c>
    </row>
    <row r="241">
      <c r="A241" s="30" t="inlineStr"/>
      <c r="B241" s="38" t="inlineStr"/>
      <c r="C241" s="30" t="inlineStr"/>
      <c r="D241" s="30" t="inlineStr"/>
      <c r="E241" s="30" t="inlineStr"/>
      <c r="F241" s="30" t="inlineStr"/>
      <c r="G241" s="30" t="inlineStr"/>
      <c r="H241" s="35" t="inlineStr"/>
      <c r="I241" s="34" t="inlineStr"/>
      <c r="J241" s="30" t="inlineStr"/>
      <c r="K241" s="30" t="inlineStr"/>
      <c r="L241" s="15">
        <f>IF(A241="","",H241*I241)</f>
        <v/>
      </c>
    </row>
    <row r="242">
      <c r="A242" s="30" t="inlineStr"/>
      <c r="B242" s="38" t="inlineStr"/>
      <c r="C242" s="30" t="inlineStr"/>
      <c r="D242" s="30" t="inlineStr"/>
      <c r="E242" s="30" t="inlineStr"/>
      <c r="F242" s="30" t="inlineStr"/>
      <c r="G242" s="30" t="inlineStr"/>
      <c r="H242" s="35" t="inlineStr"/>
      <c r="I242" s="34" t="inlineStr"/>
      <c r="J242" s="30" t="inlineStr"/>
      <c r="K242" s="30" t="inlineStr"/>
      <c r="L242" s="15">
        <f>IF(A242="","",H242*I242)</f>
        <v/>
      </c>
    </row>
    <row r="243">
      <c r="A243" s="30" t="inlineStr"/>
      <c r="B243" s="38" t="inlineStr"/>
      <c r="C243" s="30" t="inlineStr"/>
      <c r="D243" s="30" t="inlineStr"/>
      <c r="E243" s="30" t="inlineStr"/>
      <c r="F243" s="30" t="inlineStr"/>
      <c r="G243" s="30" t="inlineStr"/>
      <c r="H243" s="35" t="inlineStr"/>
      <c r="I243" s="34" t="inlineStr"/>
      <c r="J243" s="30" t="inlineStr"/>
      <c r="K243" s="30" t="inlineStr"/>
      <c r="L243" s="15">
        <f>IF(A243="","",H243*I243)</f>
        <v/>
      </c>
    </row>
    <row r="244">
      <c r="A244" s="30" t="inlineStr"/>
      <c r="B244" s="38" t="inlineStr"/>
      <c r="C244" s="30" t="inlineStr"/>
      <c r="D244" s="30" t="inlineStr"/>
      <c r="E244" s="30" t="inlineStr"/>
      <c r="F244" s="30" t="inlineStr"/>
      <c r="G244" s="30" t="inlineStr"/>
      <c r="H244" s="35" t="inlineStr"/>
      <c r="I244" s="34" t="inlineStr"/>
      <c r="J244" s="30" t="inlineStr"/>
      <c r="K244" s="30" t="inlineStr"/>
      <c r="L244" s="15">
        <f>IF(A244="","",H244*I244)</f>
        <v/>
      </c>
    </row>
    <row r="245">
      <c r="A245" s="30" t="inlineStr"/>
      <c r="B245" s="38" t="inlineStr"/>
      <c r="C245" s="30" t="inlineStr"/>
      <c r="D245" s="30" t="inlineStr"/>
      <c r="E245" s="30" t="inlineStr"/>
      <c r="F245" s="30" t="inlineStr"/>
      <c r="G245" s="30" t="inlineStr"/>
      <c r="H245" s="35" t="inlineStr"/>
      <c r="I245" s="34" t="inlineStr"/>
      <c r="J245" s="30" t="inlineStr"/>
      <c r="K245" s="30" t="inlineStr"/>
      <c r="L245" s="15">
        <f>IF(A245="","",H245*I245)</f>
        <v/>
      </c>
    </row>
    <row r="246">
      <c r="A246" s="30" t="inlineStr"/>
      <c r="B246" s="38" t="inlineStr"/>
      <c r="C246" s="30" t="inlineStr"/>
      <c r="D246" s="30" t="inlineStr"/>
      <c r="E246" s="30" t="inlineStr"/>
      <c r="F246" s="30" t="inlineStr"/>
      <c r="G246" s="30" t="inlineStr"/>
      <c r="H246" s="35" t="inlineStr"/>
      <c r="I246" s="34" t="inlineStr"/>
      <c r="J246" s="30" t="inlineStr"/>
      <c r="K246" s="30" t="inlineStr"/>
      <c r="L246" s="15">
        <f>IF(A246="","",H246*I246)</f>
        <v/>
      </c>
    </row>
    <row r="247">
      <c r="A247" s="30" t="inlineStr"/>
      <c r="B247" s="38" t="inlineStr"/>
      <c r="C247" s="30" t="inlineStr"/>
      <c r="D247" s="30" t="inlineStr"/>
      <c r="E247" s="30" t="inlineStr"/>
      <c r="F247" s="30" t="inlineStr"/>
      <c r="G247" s="30" t="inlineStr"/>
      <c r="H247" s="35" t="inlineStr"/>
      <c r="I247" s="34" t="inlineStr"/>
      <c r="J247" s="30" t="inlineStr"/>
      <c r="K247" s="30" t="inlineStr"/>
      <c r="L247" s="15">
        <f>IF(A247="","",H247*I247)</f>
        <v/>
      </c>
    </row>
    <row r="248">
      <c r="A248" s="30" t="inlineStr"/>
      <c r="B248" s="38" t="inlineStr"/>
      <c r="C248" s="30" t="inlineStr"/>
      <c r="D248" s="30" t="inlineStr"/>
      <c r="E248" s="30" t="inlineStr"/>
      <c r="F248" s="30" t="inlineStr"/>
      <c r="G248" s="30" t="inlineStr"/>
      <c r="H248" s="35" t="inlineStr"/>
      <c r="I248" s="34" t="inlineStr"/>
      <c r="J248" s="30" t="inlineStr"/>
      <c r="K248" s="30" t="inlineStr"/>
      <c r="L248" s="15">
        <f>IF(A248="","",H248*I248)</f>
        <v/>
      </c>
    </row>
    <row r="249">
      <c r="A249" s="30" t="inlineStr"/>
      <c r="B249" s="38" t="inlineStr"/>
      <c r="C249" s="30" t="inlineStr"/>
      <c r="D249" s="30" t="inlineStr"/>
      <c r="E249" s="30" t="inlineStr"/>
      <c r="F249" s="30" t="inlineStr"/>
      <c r="G249" s="30" t="inlineStr"/>
      <c r="H249" s="35" t="inlineStr"/>
      <c r="I249" s="34" t="inlineStr"/>
      <c r="J249" s="30" t="inlineStr"/>
      <c r="K249" s="30" t="inlineStr"/>
      <c r="L249" s="15">
        <f>IF(A249="","",H249*I249)</f>
        <v/>
      </c>
    </row>
    <row r="250">
      <c r="A250" s="30" t="inlineStr"/>
      <c r="B250" s="38" t="inlineStr"/>
      <c r="C250" s="30" t="inlineStr"/>
      <c r="D250" s="30" t="inlineStr"/>
      <c r="E250" s="30" t="inlineStr"/>
      <c r="F250" s="30" t="inlineStr"/>
      <c r="G250" s="30" t="inlineStr"/>
      <c r="H250" s="35" t="inlineStr"/>
      <c r="I250" s="34" t="inlineStr"/>
      <c r="J250" s="30" t="inlineStr"/>
      <c r="K250" s="30" t="inlineStr"/>
      <c r="L250" s="15">
        <f>IF(A250="","",H250*I250)</f>
        <v/>
      </c>
    </row>
    <row r="251">
      <c r="A251" s="30" t="inlineStr"/>
      <c r="B251" s="38" t="inlineStr"/>
      <c r="C251" s="30" t="inlineStr"/>
      <c r="D251" s="30" t="inlineStr"/>
      <c r="E251" s="30" t="inlineStr"/>
      <c r="F251" s="30" t="inlineStr"/>
      <c r="G251" s="30" t="inlineStr"/>
      <c r="H251" s="35" t="inlineStr"/>
      <c r="I251" s="34" t="inlineStr"/>
      <c r="J251" s="30" t="inlineStr"/>
      <c r="K251" s="30" t="inlineStr"/>
      <c r="L251" s="15">
        <f>IF(A251="","",H251*I251)</f>
        <v/>
      </c>
    </row>
    <row r="252">
      <c r="A252" s="30" t="inlineStr"/>
      <c r="B252" s="38" t="inlineStr"/>
      <c r="C252" s="30" t="inlineStr"/>
      <c r="D252" s="30" t="inlineStr"/>
      <c r="E252" s="30" t="inlineStr"/>
      <c r="F252" s="30" t="inlineStr"/>
      <c r="G252" s="30" t="inlineStr"/>
      <c r="H252" s="35" t="inlineStr"/>
      <c r="I252" s="34" t="inlineStr"/>
      <c r="J252" s="30" t="inlineStr"/>
      <c r="K252" s="30" t="inlineStr"/>
      <c r="L252" s="15">
        <f>IF(A252="","",H252*I252)</f>
        <v/>
      </c>
    </row>
    <row r="253">
      <c r="A253" s="30" t="inlineStr"/>
      <c r="B253" s="38" t="inlineStr"/>
      <c r="C253" s="30" t="inlineStr"/>
      <c r="D253" s="30" t="inlineStr"/>
      <c r="E253" s="30" t="inlineStr"/>
      <c r="F253" s="30" t="inlineStr"/>
      <c r="G253" s="30" t="inlineStr"/>
      <c r="H253" s="35" t="inlineStr"/>
      <c r="I253" s="34" t="inlineStr"/>
      <c r="J253" s="30" t="inlineStr"/>
      <c r="K253" s="30" t="inlineStr"/>
      <c r="L253" s="15">
        <f>IF(A253="","",H253*I253)</f>
        <v/>
      </c>
    </row>
    <row r="254">
      <c r="A254" s="30" t="inlineStr"/>
      <c r="B254" s="38" t="inlineStr"/>
      <c r="C254" s="30" t="inlineStr"/>
      <c r="D254" s="30" t="inlineStr"/>
      <c r="E254" s="30" t="inlineStr"/>
      <c r="F254" s="30" t="inlineStr"/>
      <c r="G254" s="30" t="inlineStr"/>
      <c r="H254" s="35" t="inlineStr"/>
      <c r="I254" s="34" t="inlineStr"/>
      <c r="J254" s="30" t="inlineStr"/>
      <c r="K254" s="30" t="inlineStr"/>
      <c r="L254" s="15">
        <f>IF(A254="","",H254*I254)</f>
        <v/>
      </c>
    </row>
    <row r="255">
      <c r="A255" s="30" t="inlineStr"/>
      <c r="B255" s="38" t="inlineStr"/>
      <c r="C255" s="30" t="inlineStr"/>
      <c r="D255" s="30" t="inlineStr"/>
      <c r="E255" s="30" t="inlineStr"/>
      <c r="F255" s="30" t="inlineStr"/>
      <c r="G255" s="30" t="inlineStr"/>
      <c r="H255" s="35" t="inlineStr"/>
      <c r="I255" s="34" t="inlineStr"/>
      <c r="J255" s="30" t="inlineStr"/>
      <c r="K255" s="30" t="inlineStr"/>
      <c r="L255" s="15">
        <f>IF(A255="","",H255*I255)</f>
        <v/>
      </c>
    </row>
    <row r="256">
      <c r="A256" s="30" t="inlineStr"/>
      <c r="B256" s="38" t="inlineStr"/>
      <c r="C256" s="30" t="inlineStr"/>
      <c r="D256" s="30" t="inlineStr"/>
      <c r="E256" s="30" t="inlineStr"/>
      <c r="F256" s="30" t="inlineStr"/>
      <c r="G256" s="30" t="inlineStr"/>
      <c r="H256" s="35" t="inlineStr"/>
      <c r="I256" s="34" t="inlineStr"/>
      <c r="J256" s="30" t="inlineStr"/>
      <c r="K256" s="30" t="inlineStr"/>
      <c r="L256" s="15">
        <f>IF(A256="","",H256*I256)</f>
        <v/>
      </c>
    </row>
    <row r="257">
      <c r="A257" s="30" t="inlineStr"/>
      <c r="B257" s="38" t="inlineStr"/>
      <c r="C257" s="30" t="inlineStr"/>
      <c r="D257" s="30" t="inlineStr"/>
      <c r="E257" s="30" t="inlineStr"/>
      <c r="F257" s="30" t="inlineStr"/>
      <c r="G257" s="30" t="inlineStr"/>
      <c r="H257" s="35" t="inlineStr"/>
      <c r="I257" s="34" t="inlineStr"/>
      <c r="J257" s="30" t="inlineStr"/>
      <c r="K257" s="30" t="inlineStr"/>
      <c r="L257" s="15">
        <f>IF(A257="","",H257*I257)</f>
        <v/>
      </c>
    </row>
    <row r="258">
      <c r="A258" s="30" t="inlineStr"/>
      <c r="B258" s="38" t="inlineStr"/>
      <c r="C258" s="30" t="inlineStr"/>
      <c r="D258" s="30" t="inlineStr"/>
      <c r="E258" s="30" t="inlineStr"/>
      <c r="F258" s="30" t="inlineStr"/>
      <c r="G258" s="30" t="inlineStr"/>
      <c r="H258" s="35" t="inlineStr"/>
      <c r="I258" s="34" t="inlineStr"/>
      <c r="J258" s="30" t="inlineStr"/>
      <c r="K258" s="30" t="inlineStr"/>
      <c r="L258" s="15">
        <f>IF(A258="","",H258*I258)</f>
        <v/>
      </c>
    </row>
    <row r="259">
      <c r="A259" s="30" t="inlineStr"/>
      <c r="B259" s="38" t="inlineStr"/>
      <c r="C259" s="30" t="inlineStr"/>
      <c r="D259" s="30" t="inlineStr"/>
      <c r="E259" s="30" t="inlineStr"/>
      <c r="F259" s="30" t="inlineStr"/>
      <c r="G259" s="30" t="inlineStr"/>
      <c r="H259" s="35" t="inlineStr"/>
      <c r="I259" s="34" t="inlineStr"/>
      <c r="J259" s="30" t="inlineStr"/>
      <c r="K259" s="30" t="inlineStr"/>
      <c r="L259" s="15">
        <f>IF(A259="","",H259*I259)</f>
        <v/>
      </c>
    </row>
    <row r="260">
      <c r="A260" s="30" t="inlineStr"/>
      <c r="B260" s="38" t="inlineStr"/>
      <c r="C260" s="30" t="inlineStr"/>
      <c r="D260" s="30" t="inlineStr"/>
      <c r="E260" s="30" t="inlineStr"/>
      <c r="F260" s="30" t="inlineStr"/>
      <c r="G260" s="30" t="inlineStr"/>
      <c r="H260" s="35" t="inlineStr"/>
      <c r="I260" s="34" t="inlineStr"/>
      <c r="J260" s="30" t="inlineStr"/>
      <c r="K260" s="30" t="inlineStr"/>
      <c r="L260" s="15">
        <f>IF(A260="","",H260*I260)</f>
        <v/>
      </c>
    </row>
    <row r="261">
      <c r="A261" s="30" t="inlineStr"/>
      <c r="B261" s="38" t="inlineStr"/>
      <c r="C261" s="30" t="inlineStr"/>
      <c r="D261" s="30" t="inlineStr"/>
      <c r="E261" s="30" t="inlineStr"/>
      <c r="F261" s="30" t="inlineStr"/>
      <c r="G261" s="30" t="inlineStr"/>
      <c r="H261" s="35" t="inlineStr"/>
      <c r="I261" s="34" t="inlineStr"/>
      <c r="J261" s="30" t="inlineStr"/>
      <c r="K261" s="30" t="inlineStr"/>
      <c r="L261" s="15">
        <f>IF(A261="","",H261*I261)</f>
        <v/>
      </c>
    </row>
    <row r="262">
      <c r="A262" s="30" t="inlineStr"/>
      <c r="B262" s="38" t="inlineStr"/>
      <c r="C262" s="30" t="inlineStr"/>
      <c r="D262" s="30" t="inlineStr"/>
      <c r="E262" s="30" t="inlineStr"/>
      <c r="F262" s="30" t="inlineStr"/>
      <c r="G262" s="30" t="inlineStr"/>
      <c r="H262" s="35" t="inlineStr"/>
      <c r="I262" s="34" t="inlineStr"/>
      <c r="J262" s="30" t="inlineStr"/>
      <c r="K262" s="30" t="inlineStr"/>
      <c r="L262" s="15">
        <f>IF(A262="","",H262*I262)</f>
        <v/>
      </c>
    </row>
    <row r="263">
      <c r="A263" s="30" t="inlineStr"/>
      <c r="B263" s="38" t="inlineStr"/>
      <c r="C263" s="30" t="inlineStr"/>
      <c r="D263" s="30" t="inlineStr"/>
      <c r="E263" s="30" t="inlineStr"/>
      <c r="F263" s="30" t="inlineStr"/>
      <c r="G263" s="30" t="inlineStr"/>
      <c r="H263" s="35" t="inlineStr"/>
      <c r="I263" s="34" t="inlineStr"/>
      <c r="J263" s="30" t="inlineStr"/>
      <c r="K263" s="30" t="inlineStr"/>
      <c r="L263" s="15">
        <f>IF(A263="","",H263*I263)</f>
        <v/>
      </c>
    </row>
    <row r="264">
      <c r="A264" s="30" t="inlineStr"/>
      <c r="B264" s="38" t="inlineStr"/>
      <c r="C264" s="30" t="inlineStr"/>
      <c r="D264" s="30" t="inlineStr"/>
      <c r="E264" s="30" t="inlineStr"/>
      <c r="F264" s="30" t="inlineStr"/>
      <c r="G264" s="30" t="inlineStr"/>
      <c r="H264" s="35" t="inlineStr"/>
      <c r="I264" s="34" t="inlineStr"/>
      <c r="J264" s="30" t="inlineStr"/>
      <c r="K264" s="30" t="inlineStr"/>
      <c r="L264" s="15">
        <f>IF(A264="","",H264*I264)</f>
        <v/>
      </c>
    </row>
    <row r="265">
      <c r="A265" s="30" t="inlineStr"/>
      <c r="B265" s="38" t="inlineStr"/>
      <c r="C265" s="30" t="inlineStr"/>
      <c r="D265" s="30" t="inlineStr"/>
      <c r="E265" s="30" t="inlineStr"/>
      <c r="F265" s="30" t="inlineStr"/>
      <c r="G265" s="30" t="inlineStr"/>
      <c r="H265" s="35" t="inlineStr"/>
      <c r="I265" s="34" t="inlineStr"/>
      <c r="J265" s="30" t="inlineStr"/>
      <c r="K265" s="30" t="inlineStr"/>
      <c r="L265" s="15">
        <f>IF(A265="","",H265*I265)</f>
        <v/>
      </c>
    </row>
    <row r="266">
      <c r="A266" s="30" t="inlineStr"/>
      <c r="B266" s="38" t="inlineStr"/>
      <c r="C266" s="30" t="inlineStr"/>
      <c r="D266" s="30" t="inlineStr"/>
      <c r="E266" s="30" t="inlineStr"/>
      <c r="F266" s="30" t="inlineStr"/>
      <c r="G266" s="30" t="inlineStr"/>
      <c r="H266" s="35" t="inlineStr"/>
      <c r="I266" s="34" t="inlineStr"/>
      <c r="J266" s="30" t="inlineStr"/>
      <c r="K266" s="30" t="inlineStr"/>
      <c r="L266" s="15">
        <f>IF(A266="","",H266*I266)</f>
        <v/>
      </c>
    </row>
    <row r="267">
      <c r="A267" s="30" t="inlineStr"/>
      <c r="B267" s="38" t="inlineStr"/>
      <c r="C267" s="30" t="inlineStr"/>
      <c r="D267" s="30" t="inlineStr"/>
      <c r="E267" s="30" t="inlineStr"/>
      <c r="F267" s="30" t="inlineStr"/>
      <c r="G267" s="30" t="inlineStr"/>
      <c r="H267" s="35" t="inlineStr"/>
      <c r="I267" s="34" t="inlineStr"/>
      <c r="J267" s="30" t="inlineStr"/>
      <c r="K267" s="30" t="inlineStr"/>
      <c r="L267" s="15">
        <f>IF(A267="","",H267*I267)</f>
        <v/>
      </c>
    </row>
    <row r="268">
      <c r="A268" s="30" t="inlineStr"/>
      <c r="B268" s="38" t="inlineStr"/>
      <c r="C268" s="30" t="inlineStr"/>
      <c r="D268" s="30" t="inlineStr"/>
      <c r="E268" s="30" t="inlineStr"/>
      <c r="F268" s="30" t="inlineStr"/>
      <c r="G268" s="30" t="inlineStr"/>
      <c r="H268" s="35" t="inlineStr"/>
      <c r="I268" s="34" t="inlineStr"/>
      <c r="J268" s="30" t="inlineStr"/>
      <c r="K268" s="30" t="inlineStr"/>
      <c r="L268" s="15">
        <f>IF(A268="","",H268*I268)</f>
        <v/>
      </c>
    </row>
    <row r="269">
      <c r="A269" s="30" t="inlineStr"/>
      <c r="B269" s="38" t="inlineStr"/>
      <c r="C269" s="30" t="inlineStr"/>
      <c r="D269" s="30" t="inlineStr"/>
      <c r="E269" s="30" t="inlineStr"/>
      <c r="F269" s="30" t="inlineStr"/>
      <c r="G269" s="30" t="inlineStr"/>
      <c r="H269" s="35" t="inlineStr"/>
      <c r="I269" s="34" t="inlineStr"/>
      <c r="J269" s="30" t="inlineStr"/>
      <c r="K269" s="30" t="inlineStr"/>
      <c r="L269" s="15">
        <f>IF(A269="","",H269*I269)</f>
        <v/>
      </c>
    </row>
    <row r="270">
      <c r="A270" s="30" t="inlineStr"/>
      <c r="B270" s="38" t="inlineStr"/>
      <c r="C270" s="30" t="inlineStr"/>
      <c r="D270" s="30" t="inlineStr"/>
      <c r="E270" s="30" t="inlineStr"/>
      <c r="F270" s="30" t="inlineStr"/>
      <c r="G270" s="30" t="inlineStr"/>
      <c r="H270" s="35" t="inlineStr"/>
      <c r="I270" s="34" t="inlineStr"/>
      <c r="J270" s="30" t="inlineStr"/>
      <c r="K270" s="30" t="inlineStr"/>
      <c r="L270" s="15">
        <f>IF(A270="","",H270*I270)</f>
        <v/>
      </c>
    </row>
    <row r="271">
      <c r="A271" s="30" t="inlineStr"/>
      <c r="B271" s="38" t="inlineStr"/>
      <c r="C271" s="30" t="inlineStr"/>
      <c r="D271" s="30" t="inlineStr"/>
      <c r="E271" s="30" t="inlineStr"/>
      <c r="F271" s="30" t="inlineStr"/>
      <c r="G271" s="30" t="inlineStr"/>
      <c r="H271" s="35" t="inlineStr"/>
      <c r="I271" s="34" t="inlineStr"/>
      <c r="J271" s="30" t="inlineStr"/>
      <c r="K271" s="30" t="inlineStr"/>
      <c r="L271" s="15">
        <f>IF(A271="","",H271*I271)</f>
        <v/>
      </c>
    </row>
    <row r="272">
      <c r="A272" s="30" t="inlineStr"/>
      <c r="B272" s="38" t="inlineStr"/>
      <c r="C272" s="30" t="inlineStr"/>
      <c r="D272" s="30" t="inlineStr"/>
      <c r="E272" s="30" t="inlineStr"/>
      <c r="F272" s="30" t="inlineStr"/>
      <c r="G272" s="30" t="inlineStr"/>
      <c r="H272" s="35" t="inlineStr"/>
      <c r="I272" s="34" t="inlineStr"/>
      <c r="J272" s="30" t="inlineStr"/>
      <c r="K272" s="30" t="inlineStr"/>
      <c r="L272" s="15">
        <f>IF(A272="","",H272*I272)</f>
        <v/>
      </c>
    </row>
    <row r="273">
      <c r="A273" s="30" t="inlineStr"/>
      <c r="B273" s="38" t="inlineStr"/>
      <c r="C273" s="30" t="inlineStr"/>
      <c r="D273" s="30" t="inlineStr"/>
      <c r="E273" s="30" t="inlineStr"/>
      <c r="F273" s="30" t="inlineStr"/>
      <c r="G273" s="30" t="inlineStr"/>
      <c r="H273" s="35" t="inlineStr"/>
      <c r="I273" s="34" t="inlineStr"/>
      <c r="J273" s="30" t="inlineStr"/>
      <c r="K273" s="30" t="inlineStr"/>
      <c r="L273" s="15">
        <f>IF(A273="","",H273*I273)</f>
        <v/>
      </c>
    </row>
    <row r="274">
      <c r="A274" s="30" t="inlineStr"/>
      <c r="B274" s="38" t="inlineStr"/>
      <c r="C274" s="30" t="inlineStr"/>
      <c r="D274" s="30" t="inlineStr"/>
      <c r="E274" s="30" t="inlineStr"/>
      <c r="F274" s="30" t="inlineStr"/>
      <c r="G274" s="30" t="inlineStr"/>
      <c r="H274" s="35" t="inlineStr"/>
      <c r="I274" s="34" t="inlineStr"/>
      <c r="J274" s="30" t="inlineStr"/>
      <c r="K274" s="30" t="inlineStr"/>
      <c r="L274" s="15">
        <f>IF(A274="","",H274*I274)</f>
        <v/>
      </c>
    </row>
    <row r="275">
      <c r="A275" s="30" t="inlineStr"/>
      <c r="B275" s="38" t="inlineStr"/>
      <c r="C275" s="30" t="inlineStr"/>
      <c r="D275" s="30" t="inlineStr"/>
      <c r="E275" s="30" t="inlineStr"/>
      <c r="F275" s="30" t="inlineStr"/>
      <c r="G275" s="30" t="inlineStr"/>
      <c r="H275" s="35" t="inlineStr"/>
      <c r="I275" s="34" t="inlineStr"/>
      <c r="J275" s="30" t="inlineStr"/>
      <c r="K275" s="30" t="inlineStr"/>
      <c r="L275" s="15">
        <f>IF(A275="","",H275*I275)</f>
        <v/>
      </c>
    </row>
    <row r="276">
      <c r="A276" s="30" t="inlineStr"/>
      <c r="B276" s="38" t="inlineStr"/>
      <c r="C276" s="30" t="inlineStr"/>
      <c r="D276" s="30" t="inlineStr"/>
      <c r="E276" s="30" t="inlineStr"/>
      <c r="F276" s="30" t="inlineStr"/>
      <c r="G276" s="30" t="inlineStr"/>
      <c r="H276" s="35" t="inlineStr"/>
      <c r="I276" s="34" t="inlineStr"/>
      <c r="J276" s="30" t="inlineStr"/>
      <c r="K276" s="30" t="inlineStr"/>
      <c r="L276" s="15">
        <f>IF(A276="","",H276*I276)</f>
        <v/>
      </c>
    </row>
    <row r="277">
      <c r="A277" s="30" t="inlineStr"/>
      <c r="B277" s="38" t="inlineStr"/>
      <c r="C277" s="30" t="inlineStr"/>
      <c r="D277" s="30" t="inlineStr"/>
      <c r="E277" s="30" t="inlineStr"/>
      <c r="F277" s="30" t="inlineStr"/>
      <c r="G277" s="30" t="inlineStr"/>
      <c r="H277" s="35" t="inlineStr"/>
      <c r="I277" s="34" t="inlineStr"/>
      <c r="J277" s="30" t="inlineStr"/>
      <c r="K277" s="30" t="inlineStr"/>
      <c r="L277" s="15">
        <f>IF(A277="","",H277*I277)</f>
        <v/>
      </c>
    </row>
    <row r="278">
      <c r="A278" s="30" t="inlineStr"/>
      <c r="B278" s="38" t="inlineStr"/>
      <c r="C278" s="30" t="inlineStr"/>
      <c r="D278" s="30" t="inlineStr"/>
      <c r="E278" s="30" t="inlineStr"/>
      <c r="F278" s="30" t="inlineStr"/>
      <c r="G278" s="30" t="inlineStr"/>
      <c r="H278" s="35" t="inlineStr"/>
      <c r="I278" s="34" t="inlineStr"/>
      <c r="J278" s="30" t="inlineStr"/>
      <c r="K278" s="30" t="inlineStr"/>
      <c r="L278" s="15">
        <f>IF(A278="","",H278*I278)</f>
        <v/>
      </c>
    </row>
    <row r="279">
      <c r="A279" s="30" t="inlineStr"/>
      <c r="B279" s="38" t="inlineStr"/>
      <c r="C279" s="30" t="inlineStr"/>
      <c r="D279" s="30" t="inlineStr"/>
      <c r="E279" s="30" t="inlineStr"/>
      <c r="F279" s="30" t="inlineStr"/>
      <c r="G279" s="30" t="inlineStr"/>
      <c r="H279" s="35" t="inlineStr"/>
      <c r="I279" s="34" t="inlineStr"/>
      <c r="J279" s="30" t="inlineStr"/>
      <c r="K279" s="30" t="inlineStr"/>
      <c r="L279" s="15">
        <f>IF(A279="","",H279*I279)</f>
        <v/>
      </c>
    </row>
    <row r="280">
      <c r="A280" s="30" t="inlineStr"/>
      <c r="B280" s="38" t="inlineStr"/>
      <c r="C280" s="30" t="inlineStr"/>
      <c r="D280" s="30" t="inlineStr"/>
      <c r="E280" s="30" t="inlineStr"/>
      <c r="F280" s="30" t="inlineStr"/>
      <c r="G280" s="30" t="inlineStr"/>
      <c r="H280" s="35" t="inlineStr"/>
      <c r="I280" s="34" t="inlineStr"/>
      <c r="J280" s="30" t="inlineStr"/>
      <c r="K280" s="30" t="inlineStr"/>
      <c r="L280" s="15">
        <f>IF(A280="","",H280*I280)</f>
        <v/>
      </c>
    </row>
    <row r="281">
      <c r="A281" s="30" t="inlineStr"/>
      <c r="B281" s="38" t="inlineStr"/>
      <c r="C281" s="30" t="inlineStr"/>
      <c r="D281" s="30" t="inlineStr"/>
      <c r="E281" s="30" t="inlineStr"/>
      <c r="F281" s="30" t="inlineStr"/>
      <c r="G281" s="30" t="inlineStr"/>
      <c r="H281" s="35" t="inlineStr"/>
      <c r="I281" s="34" t="inlineStr"/>
      <c r="J281" s="30" t="inlineStr"/>
      <c r="K281" s="30" t="inlineStr"/>
      <c r="L281" s="15">
        <f>IF(A281="","",H281*I281)</f>
        <v/>
      </c>
    </row>
    <row r="282">
      <c r="A282" s="30" t="inlineStr"/>
      <c r="B282" s="38" t="inlineStr"/>
      <c r="C282" s="30" t="inlineStr"/>
      <c r="D282" s="30" t="inlineStr"/>
      <c r="E282" s="30" t="inlineStr"/>
      <c r="F282" s="30" t="inlineStr"/>
      <c r="G282" s="30" t="inlineStr"/>
      <c r="H282" s="35" t="inlineStr"/>
      <c r="I282" s="34" t="inlineStr"/>
      <c r="J282" s="30" t="inlineStr"/>
      <c r="K282" s="30" t="inlineStr"/>
      <c r="L282" s="15">
        <f>IF(A282="","",H282*I282)</f>
        <v/>
      </c>
    </row>
    <row r="283">
      <c r="A283" s="30" t="inlineStr"/>
      <c r="B283" s="38" t="inlineStr"/>
      <c r="C283" s="30" t="inlineStr"/>
      <c r="D283" s="30" t="inlineStr"/>
      <c r="E283" s="30" t="inlineStr"/>
      <c r="F283" s="30" t="inlineStr"/>
      <c r="G283" s="30" t="inlineStr"/>
      <c r="H283" s="35" t="inlineStr"/>
      <c r="I283" s="34" t="inlineStr"/>
      <c r="J283" s="30" t="inlineStr"/>
      <c r="K283" s="30" t="inlineStr"/>
      <c r="L283" s="15">
        <f>IF(A283="","",H283*I283)</f>
        <v/>
      </c>
    </row>
    <row r="284">
      <c r="A284" s="30" t="inlineStr"/>
      <c r="B284" s="38" t="inlineStr"/>
      <c r="C284" s="30" t="inlineStr"/>
      <c r="D284" s="30" t="inlineStr"/>
      <c r="E284" s="30" t="inlineStr"/>
      <c r="F284" s="30" t="inlineStr"/>
      <c r="G284" s="30" t="inlineStr"/>
      <c r="H284" s="35" t="inlineStr"/>
      <c r="I284" s="34" t="inlineStr"/>
      <c r="J284" s="30" t="inlineStr"/>
      <c r="K284" s="30" t="inlineStr"/>
      <c r="L284" s="15">
        <f>IF(A284="","",H284*I284)</f>
        <v/>
      </c>
    </row>
    <row r="285">
      <c r="A285" s="30" t="inlineStr"/>
      <c r="B285" s="38" t="inlineStr"/>
      <c r="C285" s="30" t="inlineStr"/>
      <c r="D285" s="30" t="inlineStr"/>
      <c r="E285" s="30" t="inlineStr"/>
      <c r="F285" s="30" t="inlineStr"/>
      <c r="G285" s="30" t="inlineStr"/>
      <c r="H285" s="35" t="inlineStr"/>
      <c r="I285" s="34" t="inlineStr"/>
      <c r="J285" s="30" t="inlineStr"/>
      <c r="K285" s="30" t="inlineStr"/>
      <c r="L285" s="15">
        <f>IF(A285="","",H285*I285)</f>
        <v/>
      </c>
    </row>
    <row r="286">
      <c r="A286" s="30" t="inlineStr"/>
      <c r="B286" s="38" t="inlineStr"/>
      <c r="C286" s="30" t="inlineStr"/>
      <c r="D286" s="30" t="inlineStr"/>
      <c r="E286" s="30" t="inlineStr"/>
      <c r="F286" s="30" t="inlineStr"/>
      <c r="G286" s="30" t="inlineStr"/>
      <c r="H286" s="35" t="inlineStr"/>
      <c r="I286" s="34" t="inlineStr"/>
      <c r="J286" s="30" t="inlineStr"/>
      <c r="K286" s="30" t="inlineStr"/>
      <c r="L286" s="15">
        <f>IF(A286="","",H286*I286)</f>
        <v/>
      </c>
    </row>
    <row r="287">
      <c r="A287" s="30" t="inlineStr"/>
      <c r="B287" s="38" t="inlineStr"/>
      <c r="C287" s="30" t="inlineStr"/>
      <c r="D287" s="30" t="inlineStr"/>
      <c r="E287" s="30" t="inlineStr"/>
      <c r="F287" s="30" t="inlineStr"/>
      <c r="G287" s="30" t="inlineStr"/>
      <c r="H287" s="35" t="inlineStr"/>
      <c r="I287" s="34" t="inlineStr"/>
      <c r="J287" s="30" t="inlineStr"/>
      <c r="K287" s="30" t="inlineStr"/>
      <c r="L287" s="15">
        <f>IF(A287="","",H287*I287)</f>
        <v/>
      </c>
    </row>
    <row r="288">
      <c r="A288" s="30" t="inlineStr"/>
      <c r="B288" s="38" t="inlineStr"/>
      <c r="C288" s="30" t="inlineStr"/>
      <c r="D288" s="30" t="inlineStr"/>
      <c r="E288" s="30" t="inlineStr"/>
      <c r="F288" s="30" t="inlineStr"/>
      <c r="G288" s="30" t="inlineStr"/>
      <c r="H288" s="35" t="inlineStr"/>
      <c r="I288" s="34" t="inlineStr"/>
      <c r="J288" s="30" t="inlineStr"/>
      <c r="K288" s="30" t="inlineStr"/>
      <c r="L288" s="15">
        <f>IF(A288="","",H288*I288)</f>
        <v/>
      </c>
    </row>
    <row r="289">
      <c r="A289" s="30" t="inlineStr"/>
      <c r="B289" s="38" t="inlineStr"/>
      <c r="C289" s="30" t="inlineStr"/>
      <c r="D289" s="30" t="inlineStr"/>
      <c r="E289" s="30" t="inlineStr"/>
      <c r="F289" s="30" t="inlineStr"/>
      <c r="G289" s="30" t="inlineStr"/>
      <c r="H289" s="35" t="inlineStr"/>
      <c r="I289" s="34" t="inlineStr"/>
      <c r="J289" s="30" t="inlineStr"/>
      <c r="K289" s="30" t="inlineStr"/>
      <c r="L289" s="15">
        <f>IF(A289="","",H289*I289)</f>
        <v/>
      </c>
    </row>
    <row r="290">
      <c r="A290" s="30" t="inlineStr"/>
      <c r="B290" s="38" t="inlineStr"/>
      <c r="C290" s="30" t="inlineStr"/>
      <c r="D290" s="30" t="inlineStr"/>
      <c r="E290" s="30" t="inlineStr"/>
      <c r="F290" s="30" t="inlineStr"/>
      <c r="G290" s="30" t="inlineStr"/>
      <c r="H290" s="35" t="inlineStr"/>
      <c r="I290" s="34" t="inlineStr"/>
      <c r="J290" s="30" t="inlineStr"/>
      <c r="K290" s="30" t="inlineStr"/>
      <c r="L290" s="15">
        <f>IF(A290="","",H290*I290)</f>
        <v/>
      </c>
    </row>
    <row r="291">
      <c r="A291" s="30" t="inlineStr"/>
      <c r="B291" s="38" t="inlineStr"/>
      <c r="C291" s="30" t="inlineStr"/>
      <c r="D291" s="30" t="inlineStr"/>
      <c r="E291" s="30" t="inlineStr"/>
      <c r="F291" s="30" t="inlineStr"/>
      <c r="G291" s="30" t="inlineStr"/>
      <c r="H291" s="35" t="inlineStr"/>
      <c r="I291" s="34" t="inlineStr"/>
      <c r="J291" s="30" t="inlineStr"/>
      <c r="K291" s="30" t="inlineStr"/>
      <c r="L291" s="15">
        <f>IF(A291="","",H291*I291)</f>
        <v/>
      </c>
    </row>
    <row r="292">
      <c r="A292" s="30" t="inlineStr"/>
      <c r="B292" s="38" t="inlineStr"/>
      <c r="C292" s="30" t="inlineStr"/>
      <c r="D292" s="30" t="inlineStr"/>
      <c r="E292" s="30" t="inlineStr"/>
      <c r="F292" s="30" t="inlineStr"/>
      <c r="G292" s="30" t="inlineStr"/>
      <c r="H292" s="35" t="inlineStr"/>
      <c r="I292" s="34" t="inlineStr"/>
      <c r="J292" s="30" t="inlineStr"/>
      <c r="K292" s="30" t="inlineStr"/>
      <c r="L292" s="15">
        <f>IF(A292="","",H292*I292)</f>
        <v/>
      </c>
    </row>
    <row r="293">
      <c r="A293" s="30" t="inlineStr"/>
      <c r="B293" s="38" t="inlineStr"/>
      <c r="C293" s="30" t="inlineStr"/>
      <c r="D293" s="30" t="inlineStr"/>
      <c r="E293" s="30" t="inlineStr"/>
      <c r="F293" s="30" t="inlineStr"/>
      <c r="G293" s="30" t="inlineStr"/>
      <c r="H293" s="35" t="inlineStr"/>
      <c r="I293" s="34" t="inlineStr"/>
      <c r="J293" s="30" t="inlineStr"/>
      <c r="K293" s="30" t="inlineStr"/>
      <c r="L293" s="15">
        <f>IF(A293="","",H293*I293)</f>
        <v/>
      </c>
    </row>
    <row r="294">
      <c r="A294" s="30" t="inlineStr"/>
      <c r="B294" s="38" t="inlineStr"/>
      <c r="C294" s="30" t="inlineStr"/>
      <c r="D294" s="30" t="inlineStr"/>
      <c r="E294" s="30" t="inlineStr"/>
      <c r="F294" s="30" t="inlineStr"/>
      <c r="G294" s="30" t="inlineStr"/>
      <c r="H294" s="35" t="inlineStr"/>
      <c r="I294" s="34" t="inlineStr"/>
      <c r="J294" s="30" t="inlineStr"/>
      <c r="K294" s="30" t="inlineStr"/>
      <c r="L294" s="15">
        <f>IF(A294="","",H294*I294)</f>
        <v/>
      </c>
    </row>
    <row r="295">
      <c r="A295" s="30" t="inlineStr"/>
      <c r="B295" s="38" t="inlineStr"/>
      <c r="C295" s="30" t="inlineStr"/>
      <c r="D295" s="30" t="inlineStr"/>
      <c r="E295" s="30" t="inlineStr"/>
      <c r="F295" s="30" t="inlineStr"/>
      <c r="G295" s="30" t="inlineStr"/>
      <c r="H295" s="35" t="inlineStr"/>
      <c r="I295" s="34" t="inlineStr"/>
      <c r="J295" s="30" t="inlineStr"/>
      <c r="K295" s="30" t="inlineStr"/>
      <c r="L295" s="15">
        <f>IF(A295="","",H295*I295)</f>
        <v/>
      </c>
    </row>
    <row r="296">
      <c r="A296" s="30" t="inlineStr"/>
      <c r="B296" s="38" t="inlineStr"/>
      <c r="C296" s="30" t="inlineStr"/>
      <c r="D296" s="30" t="inlineStr"/>
      <c r="E296" s="30" t="inlineStr"/>
      <c r="F296" s="30" t="inlineStr"/>
      <c r="G296" s="30" t="inlineStr"/>
      <c r="H296" s="35" t="inlineStr"/>
      <c r="I296" s="34" t="inlineStr"/>
      <c r="J296" s="30" t="inlineStr"/>
      <c r="K296" s="30" t="inlineStr"/>
      <c r="L296" s="15">
        <f>IF(A296="","",H296*I296)</f>
        <v/>
      </c>
    </row>
    <row r="297">
      <c r="A297" s="30" t="inlineStr"/>
      <c r="B297" s="38" t="inlineStr"/>
      <c r="C297" s="30" t="inlineStr"/>
      <c r="D297" s="30" t="inlineStr"/>
      <c r="E297" s="30" t="inlineStr"/>
      <c r="F297" s="30" t="inlineStr"/>
      <c r="G297" s="30" t="inlineStr"/>
      <c r="H297" s="35" t="inlineStr"/>
      <c r="I297" s="34" t="inlineStr"/>
      <c r="J297" s="30" t="inlineStr"/>
      <c r="K297" s="30" t="inlineStr"/>
      <c r="L297" s="15">
        <f>IF(A297="","",H297*I297)</f>
        <v/>
      </c>
    </row>
    <row r="298">
      <c r="A298" s="30" t="inlineStr"/>
      <c r="B298" s="38" t="inlineStr"/>
      <c r="C298" s="30" t="inlineStr"/>
      <c r="D298" s="30" t="inlineStr"/>
      <c r="E298" s="30" t="inlineStr"/>
      <c r="F298" s="30" t="inlineStr"/>
      <c r="G298" s="30" t="inlineStr"/>
      <c r="H298" s="35" t="inlineStr"/>
      <c r="I298" s="34" t="inlineStr"/>
      <c r="J298" s="30" t="inlineStr"/>
      <c r="K298" s="30" t="inlineStr"/>
      <c r="L298" s="15">
        <f>IF(A298="","",H298*I298)</f>
        <v/>
      </c>
    </row>
    <row r="299">
      <c r="A299" s="30" t="inlineStr"/>
      <c r="B299" s="38" t="inlineStr"/>
      <c r="C299" s="30" t="inlineStr"/>
      <c r="D299" s="30" t="inlineStr"/>
      <c r="E299" s="30" t="inlineStr"/>
      <c r="F299" s="30" t="inlineStr"/>
      <c r="G299" s="30" t="inlineStr"/>
      <c r="H299" s="35" t="inlineStr"/>
      <c r="I299" s="34" t="inlineStr"/>
      <c r="J299" s="30" t="inlineStr"/>
      <c r="K299" s="30" t="inlineStr"/>
      <c r="L299" s="15">
        <f>IF(A299="","",H299*I299)</f>
        <v/>
      </c>
    </row>
    <row r="300">
      <c r="A300" s="30" t="inlineStr"/>
      <c r="B300" s="38" t="inlineStr"/>
      <c r="C300" s="30" t="inlineStr"/>
      <c r="D300" s="30" t="inlineStr"/>
      <c r="E300" s="30" t="inlineStr"/>
      <c r="F300" s="30" t="inlineStr"/>
      <c r="G300" s="30" t="inlineStr"/>
      <c r="H300" s="35" t="inlineStr"/>
      <c r="I300" s="34" t="inlineStr"/>
      <c r="J300" s="30" t="inlineStr"/>
      <c r="K300" s="30" t="inlineStr"/>
      <c r="L300" s="15">
        <f>IF(A300="","",H300*I300)</f>
        <v/>
      </c>
    </row>
    <row r="301">
      <c r="A301" s="30" t="inlineStr"/>
      <c r="B301" s="38" t="inlineStr"/>
      <c r="C301" s="30" t="inlineStr"/>
      <c r="D301" s="30" t="inlineStr"/>
      <c r="E301" s="30" t="inlineStr"/>
      <c r="F301" s="30" t="inlineStr"/>
      <c r="G301" s="30" t="inlineStr"/>
      <c r="H301" s="35" t="inlineStr"/>
      <c r="I301" s="34" t="inlineStr"/>
      <c r="J301" s="30" t="inlineStr"/>
      <c r="K301" s="30" t="inlineStr"/>
      <c r="L301" s="15">
        <f>IF(A301="","",H301*I301)</f>
        <v/>
      </c>
    </row>
    <row r="302">
      <c r="A302" s="30" t="inlineStr"/>
      <c r="B302" s="38" t="inlineStr"/>
      <c r="C302" s="30" t="inlineStr"/>
      <c r="D302" s="30" t="inlineStr"/>
      <c r="E302" s="30" t="inlineStr"/>
      <c r="F302" s="30" t="inlineStr"/>
      <c r="G302" s="30" t="inlineStr"/>
      <c r="H302" s="35" t="inlineStr"/>
      <c r="I302" s="34" t="inlineStr"/>
      <c r="J302" s="30" t="inlineStr"/>
      <c r="K302" s="30" t="inlineStr"/>
      <c r="L302" s="15">
        <f>IF(A302="","",H302*I302)</f>
        <v/>
      </c>
    </row>
    <row r="303">
      <c r="A303" s="30" t="inlineStr"/>
      <c r="B303" s="38" t="inlineStr"/>
      <c r="C303" s="30" t="inlineStr"/>
      <c r="D303" s="30" t="inlineStr"/>
      <c r="E303" s="30" t="inlineStr"/>
      <c r="F303" s="30" t="inlineStr"/>
      <c r="G303" s="30" t="inlineStr"/>
      <c r="H303" s="35" t="inlineStr"/>
      <c r="I303" s="34" t="inlineStr"/>
      <c r="J303" s="30" t="inlineStr"/>
      <c r="K303" s="30" t="inlineStr"/>
      <c r="L303" s="15">
        <f>IF(A303="","",H303*I303)</f>
        <v/>
      </c>
    </row>
    <row r="304">
      <c r="A304" s="30" t="inlineStr"/>
      <c r="B304" s="38" t="inlineStr"/>
      <c r="C304" s="30" t="inlineStr"/>
      <c r="D304" s="30" t="inlineStr"/>
      <c r="E304" s="30" t="inlineStr"/>
      <c r="F304" s="30" t="inlineStr"/>
      <c r="G304" s="30" t="inlineStr"/>
      <c r="H304" s="35" t="inlineStr"/>
      <c r="I304" s="34" t="inlineStr"/>
      <c r="J304" s="30" t="inlineStr"/>
      <c r="K304" s="30" t="inlineStr"/>
      <c r="L304" s="15">
        <f>IF(A304="","",H304*I304)</f>
        <v/>
      </c>
    </row>
    <row r="305">
      <c r="A305" s="30" t="inlineStr"/>
      <c r="B305" s="38" t="inlineStr"/>
      <c r="C305" s="30" t="inlineStr"/>
      <c r="D305" s="30" t="inlineStr"/>
      <c r="E305" s="30" t="inlineStr"/>
      <c r="F305" s="30" t="inlineStr"/>
      <c r="G305" s="30" t="inlineStr"/>
      <c r="H305" s="35" t="inlineStr"/>
      <c r="I305" s="34" t="inlineStr"/>
      <c r="J305" s="30" t="inlineStr"/>
      <c r="K305" s="30" t="inlineStr"/>
      <c r="L305" s="15">
        <f>IF(A305="","",H305*I305)</f>
        <v/>
      </c>
    </row>
    <row r="306">
      <c r="A306" s="30" t="inlineStr"/>
      <c r="B306" s="38" t="inlineStr"/>
      <c r="C306" s="30" t="inlineStr"/>
      <c r="D306" s="30" t="inlineStr"/>
      <c r="E306" s="30" t="inlineStr"/>
      <c r="F306" s="30" t="inlineStr"/>
      <c r="G306" s="30" t="inlineStr"/>
      <c r="H306" s="35" t="inlineStr"/>
      <c r="I306" s="34" t="inlineStr"/>
      <c r="J306" s="30" t="inlineStr"/>
      <c r="K306" s="30" t="inlineStr"/>
      <c r="L306" s="15">
        <f>IF(A306="","",H306*I306)</f>
        <v/>
      </c>
    </row>
    <row r="307">
      <c r="A307" s="30" t="inlineStr"/>
      <c r="B307" s="38" t="inlineStr"/>
      <c r="C307" s="30" t="inlineStr"/>
      <c r="D307" s="30" t="inlineStr"/>
      <c r="E307" s="30" t="inlineStr"/>
      <c r="F307" s="30" t="inlineStr"/>
      <c r="G307" s="30" t="inlineStr"/>
      <c r="H307" s="35" t="inlineStr"/>
      <c r="I307" s="34" t="inlineStr"/>
      <c r="J307" s="30" t="inlineStr"/>
      <c r="K307" s="30" t="inlineStr"/>
      <c r="L307" s="15">
        <f>IF(A307="","",H307*I307)</f>
        <v/>
      </c>
    </row>
    <row r="308">
      <c r="A308" s="30" t="inlineStr"/>
      <c r="B308" s="38" t="inlineStr"/>
      <c r="C308" s="30" t="inlineStr"/>
      <c r="D308" s="30" t="inlineStr"/>
      <c r="E308" s="30" t="inlineStr"/>
      <c r="F308" s="30" t="inlineStr"/>
      <c r="G308" s="30" t="inlineStr"/>
      <c r="H308" s="35" t="inlineStr"/>
      <c r="I308" s="34" t="inlineStr"/>
      <c r="J308" s="30" t="inlineStr"/>
      <c r="K308" s="30" t="inlineStr"/>
      <c r="L308" s="15">
        <f>IF(A308="","",H308*I308)</f>
        <v/>
      </c>
    </row>
    <row r="309">
      <c r="A309" s="30" t="inlineStr"/>
      <c r="B309" s="38" t="inlineStr"/>
      <c r="C309" s="30" t="inlineStr"/>
      <c r="D309" s="30" t="inlineStr"/>
      <c r="E309" s="30" t="inlineStr"/>
      <c r="F309" s="30" t="inlineStr"/>
      <c r="G309" s="30" t="inlineStr"/>
      <c r="H309" s="35" t="inlineStr"/>
      <c r="I309" s="34" t="inlineStr"/>
      <c r="J309" s="30" t="inlineStr"/>
      <c r="K309" s="30" t="inlineStr"/>
      <c r="L309" s="15">
        <f>IF(A309="","",H309*I309)</f>
        <v/>
      </c>
    </row>
    <row r="310">
      <c r="A310" s="30" t="inlineStr"/>
      <c r="B310" s="38" t="inlineStr"/>
      <c r="C310" s="30" t="inlineStr"/>
      <c r="D310" s="30" t="inlineStr"/>
      <c r="E310" s="30" t="inlineStr"/>
      <c r="F310" s="30" t="inlineStr"/>
      <c r="G310" s="30" t="inlineStr"/>
      <c r="H310" s="35" t="inlineStr"/>
      <c r="I310" s="34" t="inlineStr"/>
      <c r="J310" s="30" t="inlineStr"/>
      <c r="K310" s="30" t="inlineStr"/>
      <c r="L310" s="15">
        <f>IF(A310="","",H310*I310)</f>
        <v/>
      </c>
    </row>
    <row r="311">
      <c r="A311" s="30" t="inlineStr"/>
      <c r="B311" s="38" t="inlineStr"/>
      <c r="C311" s="30" t="inlineStr"/>
      <c r="D311" s="30" t="inlineStr"/>
      <c r="E311" s="30" t="inlineStr"/>
      <c r="F311" s="30" t="inlineStr"/>
      <c r="G311" s="30" t="inlineStr"/>
      <c r="H311" s="35" t="inlineStr"/>
      <c r="I311" s="34" t="inlineStr"/>
      <c r="J311" s="30" t="inlineStr"/>
      <c r="K311" s="30" t="inlineStr"/>
      <c r="L311" s="15">
        <f>IF(A311="","",H311*I311)</f>
        <v/>
      </c>
    </row>
    <row r="312">
      <c r="A312" s="30" t="inlineStr"/>
      <c r="B312" s="38" t="inlineStr"/>
      <c r="C312" s="30" t="inlineStr"/>
      <c r="D312" s="30" t="inlineStr"/>
      <c r="E312" s="30" t="inlineStr"/>
      <c r="F312" s="30" t="inlineStr"/>
      <c r="G312" s="30" t="inlineStr"/>
      <c r="H312" s="35" t="inlineStr"/>
      <c r="I312" s="34" t="inlineStr"/>
      <c r="J312" s="30" t="inlineStr"/>
      <c r="K312" s="30" t="inlineStr"/>
      <c r="L312" s="15">
        <f>IF(A312="","",H312*I312)</f>
        <v/>
      </c>
    </row>
    <row r="313">
      <c r="A313" s="30" t="inlineStr"/>
      <c r="B313" s="38" t="inlineStr"/>
      <c r="C313" s="30" t="inlineStr"/>
      <c r="D313" s="30" t="inlineStr"/>
      <c r="E313" s="30" t="inlineStr"/>
      <c r="F313" s="30" t="inlineStr"/>
      <c r="G313" s="30" t="inlineStr"/>
      <c r="H313" s="35" t="inlineStr"/>
      <c r="I313" s="34" t="inlineStr"/>
      <c r="J313" s="30" t="inlineStr"/>
      <c r="K313" s="30" t="inlineStr"/>
      <c r="L313" s="15">
        <f>IF(A313="","",H313*I313)</f>
        <v/>
      </c>
    </row>
    <row r="314">
      <c r="A314" s="30" t="inlineStr"/>
      <c r="B314" s="38" t="inlineStr"/>
      <c r="C314" s="30" t="inlineStr"/>
      <c r="D314" s="30" t="inlineStr"/>
      <c r="E314" s="30" t="inlineStr"/>
      <c r="F314" s="30" t="inlineStr"/>
      <c r="G314" s="30" t="inlineStr"/>
      <c r="H314" s="35" t="inlineStr"/>
      <c r="I314" s="34" t="inlineStr"/>
      <c r="J314" s="30" t="inlineStr"/>
      <c r="K314" s="30" t="inlineStr"/>
      <c r="L314" s="15">
        <f>IF(A314="","",H314*I314)</f>
        <v/>
      </c>
    </row>
    <row r="315">
      <c r="A315" s="30" t="inlineStr"/>
      <c r="B315" s="38" t="inlineStr"/>
      <c r="C315" s="30" t="inlineStr"/>
      <c r="D315" s="30" t="inlineStr"/>
      <c r="E315" s="30" t="inlineStr"/>
      <c r="F315" s="30" t="inlineStr"/>
      <c r="G315" s="30" t="inlineStr"/>
      <c r="H315" s="35" t="inlineStr"/>
      <c r="I315" s="34" t="inlineStr"/>
      <c r="J315" s="30" t="inlineStr"/>
      <c r="K315" s="30" t="inlineStr"/>
      <c r="L315" s="15">
        <f>IF(A315="","",H315*I315)</f>
        <v/>
      </c>
    </row>
    <row r="316">
      <c r="A316" s="30" t="inlineStr"/>
      <c r="B316" s="38" t="inlineStr"/>
      <c r="C316" s="30" t="inlineStr"/>
      <c r="D316" s="30" t="inlineStr"/>
      <c r="E316" s="30" t="inlineStr"/>
      <c r="F316" s="30" t="inlineStr"/>
      <c r="G316" s="30" t="inlineStr"/>
      <c r="H316" s="35" t="inlineStr"/>
      <c r="I316" s="34" t="inlineStr"/>
      <c r="J316" s="30" t="inlineStr"/>
      <c r="K316" s="30" t="inlineStr"/>
      <c r="L316" s="15">
        <f>IF(A316="","",H316*I316)</f>
        <v/>
      </c>
    </row>
    <row r="317">
      <c r="A317" s="30" t="inlineStr"/>
      <c r="B317" s="38" t="inlineStr"/>
      <c r="C317" s="30" t="inlineStr"/>
      <c r="D317" s="30" t="inlineStr"/>
      <c r="E317" s="30" t="inlineStr"/>
      <c r="F317" s="30" t="inlineStr"/>
      <c r="G317" s="30" t="inlineStr"/>
      <c r="H317" s="35" t="inlineStr"/>
      <c r="I317" s="34" t="inlineStr"/>
      <c r="J317" s="30" t="inlineStr"/>
      <c r="K317" s="30" t="inlineStr"/>
      <c r="L317" s="15">
        <f>IF(A317="","",H317*I317)</f>
        <v/>
      </c>
    </row>
    <row r="318">
      <c r="A318" s="30" t="inlineStr"/>
      <c r="B318" s="38" t="inlineStr"/>
      <c r="C318" s="30" t="inlineStr"/>
      <c r="D318" s="30" t="inlineStr"/>
      <c r="E318" s="30" t="inlineStr"/>
      <c r="F318" s="30" t="inlineStr"/>
      <c r="G318" s="30" t="inlineStr"/>
      <c r="H318" s="35" t="inlineStr"/>
      <c r="I318" s="34" t="inlineStr"/>
      <c r="J318" s="30" t="inlineStr"/>
      <c r="K318" s="30" t="inlineStr"/>
      <c r="L318" s="15">
        <f>IF(A318="","",H318*I318)</f>
        <v/>
      </c>
    </row>
    <row r="319">
      <c r="A319" s="30" t="inlineStr"/>
      <c r="B319" s="38" t="inlineStr"/>
      <c r="C319" s="30" t="inlineStr"/>
      <c r="D319" s="30" t="inlineStr"/>
      <c r="E319" s="30" t="inlineStr"/>
      <c r="F319" s="30" t="inlineStr"/>
      <c r="G319" s="30" t="inlineStr"/>
      <c r="H319" s="35" t="inlineStr"/>
      <c r="I319" s="34" t="inlineStr"/>
      <c r="J319" s="30" t="inlineStr"/>
      <c r="K319" s="30" t="inlineStr"/>
      <c r="L319" s="15">
        <f>IF(A319="","",H319*I319)</f>
        <v/>
      </c>
    </row>
    <row r="320">
      <c r="A320" s="30" t="inlineStr"/>
      <c r="B320" s="38" t="inlineStr"/>
      <c r="C320" s="30" t="inlineStr"/>
      <c r="D320" s="30" t="inlineStr"/>
      <c r="E320" s="30" t="inlineStr"/>
      <c r="F320" s="30" t="inlineStr"/>
      <c r="G320" s="30" t="inlineStr"/>
      <c r="H320" s="35" t="inlineStr"/>
      <c r="I320" s="34" t="inlineStr"/>
      <c r="J320" s="30" t="inlineStr"/>
      <c r="K320" s="30" t="inlineStr"/>
      <c r="L320" s="15">
        <f>IF(A320="","",H320*I320)</f>
        <v/>
      </c>
    </row>
    <row r="321">
      <c r="A321" s="30" t="inlineStr"/>
      <c r="B321" s="38" t="inlineStr"/>
      <c r="C321" s="30" t="inlineStr"/>
      <c r="D321" s="30" t="inlineStr"/>
      <c r="E321" s="30" t="inlineStr"/>
      <c r="F321" s="30" t="inlineStr"/>
      <c r="G321" s="30" t="inlineStr"/>
      <c r="H321" s="35" t="inlineStr"/>
      <c r="I321" s="34" t="inlineStr"/>
      <c r="J321" s="30" t="inlineStr"/>
      <c r="K321" s="30" t="inlineStr"/>
      <c r="L321" s="15">
        <f>IF(A321="","",H321*I321)</f>
        <v/>
      </c>
    </row>
    <row r="322">
      <c r="A322" s="30" t="inlineStr"/>
      <c r="B322" s="38" t="inlineStr"/>
      <c r="C322" s="30" t="inlineStr"/>
      <c r="D322" s="30" t="inlineStr"/>
      <c r="E322" s="30" t="inlineStr"/>
      <c r="F322" s="30" t="inlineStr"/>
      <c r="G322" s="30" t="inlineStr"/>
      <c r="H322" s="35" t="inlineStr"/>
      <c r="I322" s="34" t="inlineStr"/>
      <c r="J322" s="30" t="inlineStr"/>
      <c r="K322" s="30" t="inlineStr"/>
      <c r="L322" s="15">
        <f>IF(A322="","",H322*I322)</f>
        <v/>
      </c>
    </row>
    <row r="323">
      <c r="A323" s="30" t="inlineStr"/>
      <c r="B323" s="38" t="inlineStr"/>
      <c r="C323" s="30" t="inlineStr"/>
      <c r="D323" s="30" t="inlineStr"/>
      <c r="E323" s="30" t="inlineStr"/>
      <c r="F323" s="30" t="inlineStr"/>
      <c r="G323" s="30" t="inlineStr"/>
      <c r="H323" s="35" t="inlineStr"/>
      <c r="I323" s="34" t="inlineStr"/>
      <c r="J323" s="30" t="inlineStr"/>
      <c r="K323" s="30" t="inlineStr"/>
      <c r="L323" s="15">
        <f>IF(A323="","",H323*I323)</f>
        <v/>
      </c>
    </row>
    <row r="324">
      <c r="A324" s="30" t="inlineStr"/>
      <c r="B324" s="38" t="inlineStr"/>
      <c r="C324" s="30" t="inlineStr"/>
      <c r="D324" s="30" t="inlineStr"/>
      <c r="E324" s="30" t="inlineStr"/>
      <c r="F324" s="30" t="inlineStr"/>
      <c r="G324" s="30" t="inlineStr"/>
      <c r="H324" s="35" t="inlineStr"/>
      <c r="I324" s="34" t="inlineStr"/>
      <c r="J324" s="30" t="inlineStr"/>
      <c r="K324" s="30" t="inlineStr"/>
      <c r="L324" s="15">
        <f>IF(A324="","",H324*I324)</f>
        <v/>
      </c>
    </row>
    <row r="325">
      <c r="A325" s="30" t="inlineStr"/>
      <c r="B325" s="38" t="inlineStr"/>
      <c r="C325" s="30" t="inlineStr"/>
      <c r="D325" s="30" t="inlineStr"/>
      <c r="E325" s="30" t="inlineStr"/>
      <c r="F325" s="30" t="inlineStr"/>
      <c r="G325" s="30" t="inlineStr"/>
      <c r="H325" s="35" t="inlineStr"/>
      <c r="I325" s="34" t="inlineStr"/>
      <c r="J325" s="30" t="inlineStr"/>
      <c r="K325" s="30" t="inlineStr"/>
      <c r="L325" s="15">
        <f>IF(A325="","",H325*I325)</f>
        <v/>
      </c>
    </row>
    <row r="326">
      <c r="A326" s="30" t="inlineStr"/>
      <c r="B326" s="38" t="inlineStr"/>
      <c r="C326" s="30" t="inlineStr"/>
      <c r="D326" s="30" t="inlineStr"/>
      <c r="E326" s="30" t="inlineStr"/>
      <c r="F326" s="30" t="inlineStr"/>
      <c r="G326" s="30" t="inlineStr"/>
      <c r="H326" s="35" t="inlineStr"/>
      <c r="I326" s="34" t="inlineStr"/>
      <c r="J326" s="30" t="inlineStr"/>
      <c r="K326" s="30" t="inlineStr"/>
      <c r="L326" s="15">
        <f>IF(A326="","",H326*I326)</f>
        <v/>
      </c>
    </row>
    <row r="327">
      <c r="A327" s="30" t="inlineStr"/>
      <c r="B327" s="38" t="inlineStr"/>
      <c r="C327" s="30" t="inlineStr"/>
      <c r="D327" s="30" t="inlineStr"/>
      <c r="E327" s="30" t="inlineStr"/>
      <c r="F327" s="30" t="inlineStr"/>
      <c r="G327" s="30" t="inlineStr"/>
      <c r="H327" s="35" t="inlineStr"/>
      <c r="I327" s="34" t="inlineStr"/>
      <c r="J327" s="30" t="inlineStr"/>
      <c r="K327" s="30" t="inlineStr"/>
      <c r="L327" s="15">
        <f>IF(A327="","",H327*I327)</f>
        <v/>
      </c>
    </row>
    <row r="328">
      <c r="A328" s="30" t="inlineStr"/>
      <c r="B328" s="38" t="inlineStr"/>
      <c r="C328" s="30" t="inlineStr"/>
      <c r="D328" s="30" t="inlineStr"/>
      <c r="E328" s="30" t="inlineStr"/>
      <c r="F328" s="30" t="inlineStr"/>
      <c r="G328" s="30" t="inlineStr"/>
      <c r="H328" s="35" t="inlineStr"/>
      <c r="I328" s="34" t="inlineStr"/>
      <c r="J328" s="30" t="inlineStr"/>
      <c r="K328" s="30" t="inlineStr"/>
      <c r="L328" s="15">
        <f>IF(A328="","",H328*I328)</f>
        <v/>
      </c>
    </row>
    <row r="329">
      <c r="A329" s="30" t="inlineStr"/>
      <c r="B329" s="38" t="inlineStr"/>
      <c r="C329" s="30" t="inlineStr"/>
      <c r="D329" s="30" t="inlineStr"/>
      <c r="E329" s="30" t="inlineStr"/>
      <c r="F329" s="30" t="inlineStr"/>
      <c r="G329" s="30" t="inlineStr"/>
      <c r="H329" s="35" t="inlineStr"/>
      <c r="I329" s="34" t="inlineStr"/>
      <c r="J329" s="30" t="inlineStr"/>
      <c r="K329" s="30" t="inlineStr"/>
      <c r="L329" s="15">
        <f>IF(A329="","",H329*I329)</f>
        <v/>
      </c>
    </row>
    <row r="330">
      <c r="A330" s="30" t="inlineStr"/>
      <c r="B330" s="38" t="inlineStr"/>
      <c r="C330" s="30" t="inlineStr"/>
      <c r="D330" s="30" t="inlineStr"/>
      <c r="E330" s="30" t="inlineStr"/>
      <c r="F330" s="30" t="inlineStr"/>
      <c r="G330" s="30" t="inlineStr"/>
      <c r="H330" s="35" t="inlineStr"/>
      <c r="I330" s="34" t="inlineStr"/>
      <c r="J330" s="30" t="inlineStr"/>
      <c r="K330" s="30" t="inlineStr"/>
      <c r="L330" s="15">
        <f>IF(A330="","",H330*I330)</f>
        <v/>
      </c>
    </row>
    <row r="331">
      <c r="A331" s="30" t="inlineStr"/>
      <c r="B331" s="38" t="inlineStr"/>
      <c r="C331" s="30" t="inlineStr"/>
      <c r="D331" s="30" t="inlineStr"/>
      <c r="E331" s="30" t="inlineStr"/>
      <c r="F331" s="30" t="inlineStr"/>
      <c r="G331" s="30" t="inlineStr"/>
      <c r="H331" s="35" t="inlineStr"/>
      <c r="I331" s="34" t="inlineStr"/>
      <c r="J331" s="30" t="inlineStr"/>
      <c r="K331" s="30" t="inlineStr"/>
      <c r="L331" s="15">
        <f>IF(A331="","",H331*I331)</f>
        <v/>
      </c>
    </row>
    <row r="332">
      <c r="A332" s="30" t="inlineStr"/>
      <c r="B332" s="38" t="inlineStr"/>
      <c r="C332" s="30" t="inlineStr"/>
      <c r="D332" s="30" t="inlineStr"/>
      <c r="E332" s="30" t="inlineStr"/>
      <c r="F332" s="30" t="inlineStr"/>
      <c r="G332" s="30" t="inlineStr"/>
      <c r="H332" s="35" t="inlineStr"/>
      <c r="I332" s="34" t="inlineStr"/>
      <c r="J332" s="30" t="inlineStr"/>
      <c r="K332" s="30" t="inlineStr"/>
      <c r="L332" s="15">
        <f>IF(A332="","",H332*I332)</f>
        <v/>
      </c>
    </row>
    <row r="333">
      <c r="A333" s="30" t="inlineStr"/>
      <c r="B333" s="38" t="inlineStr"/>
      <c r="C333" s="30" t="inlineStr"/>
      <c r="D333" s="30" t="inlineStr"/>
      <c r="E333" s="30" t="inlineStr"/>
      <c r="F333" s="30" t="inlineStr"/>
      <c r="G333" s="30" t="inlineStr"/>
      <c r="H333" s="35" t="inlineStr"/>
      <c r="I333" s="34" t="inlineStr"/>
      <c r="J333" s="30" t="inlineStr"/>
      <c r="K333" s="30" t="inlineStr"/>
      <c r="L333" s="15">
        <f>IF(A333="","",H333*I333)</f>
        <v/>
      </c>
    </row>
    <row r="334">
      <c r="A334" s="30" t="inlineStr"/>
      <c r="B334" s="38" t="inlineStr"/>
      <c r="C334" s="30" t="inlineStr"/>
      <c r="D334" s="30" t="inlineStr"/>
      <c r="E334" s="30" t="inlineStr"/>
      <c r="F334" s="30" t="inlineStr"/>
      <c r="G334" s="30" t="inlineStr"/>
      <c r="H334" s="35" t="inlineStr"/>
      <c r="I334" s="34" t="inlineStr"/>
      <c r="J334" s="30" t="inlineStr"/>
      <c r="K334" s="30" t="inlineStr"/>
      <c r="L334" s="15">
        <f>IF(A334="","",H334*I334)</f>
        <v/>
      </c>
    </row>
    <row r="335">
      <c r="A335" s="30" t="inlineStr"/>
      <c r="B335" s="38" t="inlineStr"/>
      <c r="C335" s="30" t="inlineStr"/>
      <c r="D335" s="30" t="inlineStr"/>
      <c r="E335" s="30" t="inlineStr"/>
      <c r="F335" s="30" t="inlineStr"/>
      <c r="G335" s="30" t="inlineStr"/>
      <c r="H335" s="35" t="inlineStr"/>
      <c r="I335" s="34" t="inlineStr"/>
      <c r="J335" s="30" t="inlineStr"/>
      <c r="K335" s="30" t="inlineStr"/>
      <c r="L335" s="15">
        <f>IF(A335="","",H335*I335)</f>
        <v/>
      </c>
    </row>
    <row r="336">
      <c r="A336" s="30" t="inlineStr"/>
      <c r="B336" s="38" t="inlineStr"/>
      <c r="C336" s="30" t="inlineStr"/>
      <c r="D336" s="30" t="inlineStr"/>
      <c r="E336" s="30" t="inlineStr"/>
      <c r="F336" s="30" t="inlineStr"/>
      <c r="G336" s="30" t="inlineStr"/>
      <c r="H336" s="35" t="inlineStr"/>
      <c r="I336" s="34" t="inlineStr"/>
      <c r="J336" s="30" t="inlineStr"/>
      <c r="K336" s="30" t="inlineStr"/>
      <c r="L336" s="15">
        <f>IF(A336="","",H336*I336)</f>
        <v/>
      </c>
    </row>
    <row r="337">
      <c r="A337" s="30" t="inlineStr"/>
      <c r="B337" s="38" t="inlineStr"/>
      <c r="C337" s="30" t="inlineStr"/>
      <c r="D337" s="30" t="inlineStr"/>
      <c r="E337" s="30" t="inlineStr"/>
      <c r="F337" s="30" t="inlineStr"/>
      <c r="G337" s="30" t="inlineStr"/>
      <c r="H337" s="35" t="inlineStr"/>
      <c r="I337" s="34" t="inlineStr"/>
      <c r="J337" s="30" t="inlineStr"/>
      <c r="K337" s="30" t="inlineStr"/>
      <c r="L337" s="15">
        <f>IF(A337="","",H337*I337)</f>
        <v/>
      </c>
    </row>
    <row r="338">
      <c r="A338" s="30" t="inlineStr"/>
      <c r="B338" s="38" t="inlineStr"/>
      <c r="C338" s="30" t="inlineStr"/>
      <c r="D338" s="30" t="inlineStr"/>
      <c r="E338" s="30" t="inlineStr"/>
      <c r="F338" s="30" t="inlineStr"/>
      <c r="G338" s="30" t="inlineStr"/>
      <c r="H338" s="35" t="inlineStr"/>
      <c r="I338" s="34" t="inlineStr"/>
      <c r="J338" s="30" t="inlineStr"/>
      <c r="K338" s="30" t="inlineStr"/>
      <c r="L338" s="15">
        <f>IF(A338="","",H338*I338)</f>
        <v/>
      </c>
    </row>
    <row r="339">
      <c r="A339" s="30" t="inlineStr"/>
      <c r="B339" s="38" t="inlineStr"/>
      <c r="C339" s="30" t="inlineStr"/>
      <c r="D339" s="30" t="inlineStr"/>
      <c r="E339" s="30" t="inlineStr"/>
      <c r="F339" s="30" t="inlineStr"/>
      <c r="G339" s="30" t="inlineStr"/>
      <c r="H339" s="35" t="inlineStr"/>
      <c r="I339" s="34" t="inlineStr"/>
      <c r="J339" s="30" t="inlineStr"/>
      <c r="K339" s="30" t="inlineStr"/>
      <c r="L339" s="15">
        <f>IF(A339="","",H339*I339)</f>
        <v/>
      </c>
    </row>
    <row r="340">
      <c r="A340" s="30" t="inlineStr"/>
      <c r="B340" s="38" t="inlineStr"/>
      <c r="C340" s="30" t="inlineStr"/>
      <c r="D340" s="30" t="inlineStr"/>
      <c r="E340" s="30" t="inlineStr"/>
      <c r="F340" s="30" t="inlineStr"/>
      <c r="G340" s="30" t="inlineStr"/>
      <c r="H340" s="35" t="inlineStr"/>
      <c r="I340" s="34" t="inlineStr"/>
      <c r="J340" s="30" t="inlineStr"/>
      <c r="K340" s="30" t="inlineStr"/>
      <c r="L340" s="15">
        <f>IF(A340="","",H340*I340)</f>
        <v/>
      </c>
    </row>
    <row r="341">
      <c r="A341" s="30" t="inlineStr"/>
      <c r="B341" s="38" t="inlineStr"/>
      <c r="C341" s="30" t="inlineStr"/>
      <c r="D341" s="30" t="inlineStr"/>
      <c r="E341" s="30" t="inlineStr"/>
      <c r="F341" s="30" t="inlineStr"/>
      <c r="G341" s="30" t="inlineStr"/>
      <c r="H341" s="35" t="inlineStr"/>
      <c r="I341" s="34" t="inlineStr"/>
      <c r="J341" s="30" t="inlineStr"/>
      <c r="K341" s="30" t="inlineStr"/>
      <c r="L341" s="15">
        <f>IF(A341="","",H341*I341)</f>
        <v/>
      </c>
    </row>
    <row r="342">
      <c r="A342" s="30" t="inlineStr"/>
      <c r="B342" s="38" t="inlineStr"/>
      <c r="C342" s="30" t="inlineStr"/>
      <c r="D342" s="30" t="inlineStr"/>
      <c r="E342" s="30" t="inlineStr"/>
      <c r="F342" s="30" t="inlineStr"/>
      <c r="G342" s="30" t="inlineStr"/>
      <c r="H342" s="35" t="inlineStr"/>
      <c r="I342" s="34" t="inlineStr"/>
      <c r="J342" s="30" t="inlineStr"/>
      <c r="K342" s="30" t="inlineStr"/>
      <c r="L342" s="15">
        <f>IF(A342="","",H342*I342)</f>
        <v/>
      </c>
    </row>
    <row r="343">
      <c r="A343" s="30" t="inlineStr"/>
      <c r="B343" s="38" t="inlineStr"/>
      <c r="C343" s="30" t="inlineStr"/>
      <c r="D343" s="30" t="inlineStr"/>
      <c r="E343" s="30" t="inlineStr"/>
      <c r="F343" s="30" t="inlineStr"/>
      <c r="G343" s="30" t="inlineStr"/>
      <c r="H343" s="35" t="inlineStr"/>
      <c r="I343" s="34" t="inlineStr"/>
      <c r="J343" s="30" t="inlineStr"/>
      <c r="K343" s="30" t="inlineStr"/>
      <c r="L343" s="15">
        <f>IF(A343="","",H343*I343)</f>
        <v/>
      </c>
    </row>
    <row r="344">
      <c r="A344" s="30" t="inlineStr"/>
      <c r="B344" s="38" t="inlineStr"/>
      <c r="C344" s="30" t="inlineStr"/>
      <c r="D344" s="30" t="inlineStr"/>
      <c r="E344" s="30" t="inlineStr"/>
      <c r="F344" s="30" t="inlineStr"/>
      <c r="G344" s="30" t="inlineStr"/>
      <c r="H344" s="35" t="inlineStr"/>
      <c r="I344" s="34" t="inlineStr"/>
      <c r="J344" s="30" t="inlineStr"/>
      <c r="K344" s="30" t="inlineStr"/>
      <c r="L344" s="15">
        <f>IF(A344="","",H344*I344)</f>
        <v/>
      </c>
    </row>
    <row r="345">
      <c r="A345" s="30" t="inlineStr"/>
      <c r="B345" s="38" t="inlineStr"/>
      <c r="C345" s="30" t="inlineStr"/>
      <c r="D345" s="30" t="inlineStr"/>
      <c r="E345" s="30" t="inlineStr"/>
      <c r="F345" s="30" t="inlineStr"/>
      <c r="G345" s="30" t="inlineStr"/>
      <c r="H345" s="35" t="inlineStr"/>
      <c r="I345" s="34" t="inlineStr"/>
      <c r="J345" s="30" t="inlineStr"/>
      <c r="K345" s="30" t="inlineStr"/>
      <c r="L345" s="15">
        <f>IF(A345="","",H345*I345)</f>
        <v/>
      </c>
    </row>
    <row r="346">
      <c r="A346" s="30" t="inlineStr"/>
      <c r="B346" s="38" t="inlineStr"/>
      <c r="C346" s="30" t="inlineStr"/>
      <c r="D346" s="30" t="inlineStr"/>
      <c r="E346" s="30" t="inlineStr"/>
      <c r="F346" s="30" t="inlineStr"/>
      <c r="G346" s="30" t="inlineStr"/>
      <c r="H346" s="35" t="inlineStr"/>
      <c r="I346" s="34" t="inlineStr"/>
      <c r="J346" s="30" t="inlineStr"/>
      <c r="K346" s="30" t="inlineStr"/>
      <c r="L346" s="15">
        <f>IF(A346="","",H346*I346)</f>
        <v/>
      </c>
    </row>
    <row r="347">
      <c r="A347" s="30" t="inlineStr"/>
      <c r="B347" s="38" t="inlineStr"/>
      <c r="C347" s="30" t="inlineStr"/>
      <c r="D347" s="30" t="inlineStr"/>
      <c r="E347" s="30" t="inlineStr"/>
      <c r="F347" s="30" t="inlineStr"/>
      <c r="G347" s="30" t="inlineStr"/>
      <c r="H347" s="35" t="inlineStr"/>
      <c r="I347" s="34" t="inlineStr"/>
      <c r="J347" s="30" t="inlineStr"/>
      <c r="K347" s="30" t="inlineStr"/>
      <c r="L347" s="15">
        <f>IF(A347="","",H347*I347)</f>
        <v/>
      </c>
    </row>
    <row r="348">
      <c r="A348" s="30" t="inlineStr"/>
      <c r="B348" s="38" t="inlineStr"/>
      <c r="C348" s="30" t="inlineStr"/>
      <c r="D348" s="30" t="inlineStr"/>
      <c r="E348" s="30" t="inlineStr"/>
      <c r="F348" s="30" t="inlineStr"/>
      <c r="G348" s="30" t="inlineStr"/>
      <c r="H348" s="35" t="inlineStr"/>
      <c r="I348" s="34" t="inlineStr"/>
      <c r="J348" s="30" t="inlineStr"/>
      <c r="K348" s="30" t="inlineStr"/>
      <c r="L348" s="15">
        <f>IF(A348="","",H348*I348)</f>
        <v/>
      </c>
    </row>
    <row r="349">
      <c r="A349" s="30" t="inlineStr"/>
      <c r="B349" s="38" t="inlineStr"/>
      <c r="C349" s="30" t="inlineStr"/>
      <c r="D349" s="30" t="inlineStr"/>
      <c r="E349" s="30" t="inlineStr"/>
      <c r="F349" s="30" t="inlineStr"/>
      <c r="G349" s="30" t="inlineStr"/>
      <c r="H349" s="35" t="inlineStr"/>
      <c r="I349" s="34" t="inlineStr"/>
      <c r="J349" s="30" t="inlineStr"/>
      <c r="K349" s="30" t="inlineStr"/>
      <c r="L349" s="15">
        <f>IF(A349="","",H349*I349)</f>
        <v/>
      </c>
    </row>
    <row r="350">
      <c r="A350" s="30" t="inlineStr"/>
      <c r="B350" s="38" t="inlineStr"/>
      <c r="C350" s="30" t="inlineStr"/>
      <c r="D350" s="30" t="inlineStr"/>
      <c r="E350" s="30" t="inlineStr"/>
      <c r="F350" s="30" t="inlineStr"/>
      <c r="G350" s="30" t="inlineStr"/>
      <c r="H350" s="35" t="inlineStr"/>
      <c r="I350" s="34" t="inlineStr"/>
      <c r="J350" s="30" t="inlineStr"/>
      <c r="K350" s="30" t="inlineStr"/>
      <c r="L350" s="15">
        <f>IF(A350="","",H350*I350)</f>
        <v/>
      </c>
    </row>
    <row r="351">
      <c r="A351" s="30" t="inlineStr"/>
      <c r="B351" s="38" t="inlineStr"/>
      <c r="C351" s="30" t="inlineStr"/>
      <c r="D351" s="30" t="inlineStr"/>
      <c r="E351" s="30" t="inlineStr"/>
      <c r="F351" s="30" t="inlineStr"/>
      <c r="G351" s="30" t="inlineStr"/>
      <c r="H351" s="35" t="inlineStr"/>
      <c r="I351" s="34" t="inlineStr"/>
      <c r="J351" s="30" t="inlineStr"/>
      <c r="K351" s="30" t="inlineStr"/>
      <c r="L351" s="15">
        <f>IF(A351="","",H351*I351)</f>
        <v/>
      </c>
    </row>
    <row r="352">
      <c r="A352" s="30" t="inlineStr"/>
      <c r="B352" s="38" t="inlineStr"/>
      <c r="C352" s="30" t="inlineStr"/>
      <c r="D352" s="30" t="inlineStr"/>
      <c r="E352" s="30" t="inlineStr"/>
      <c r="F352" s="30" t="inlineStr"/>
      <c r="G352" s="30" t="inlineStr"/>
      <c r="H352" s="35" t="inlineStr"/>
      <c r="I352" s="34" t="inlineStr"/>
      <c r="J352" s="30" t="inlineStr"/>
      <c r="K352" s="30" t="inlineStr"/>
      <c r="L352" s="15">
        <f>IF(A352="","",H352*I352)</f>
        <v/>
      </c>
    </row>
    <row r="353">
      <c r="A353" s="30" t="inlineStr"/>
      <c r="B353" s="38" t="inlineStr"/>
      <c r="C353" s="30" t="inlineStr"/>
      <c r="D353" s="30" t="inlineStr"/>
      <c r="E353" s="30" t="inlineStr"/>
      <c r="F353" s="30" t="inlineStr"/>
      <c r="G353" s="30" t="inlineStr"/>
      <c r="H353" s="35" t="inlineStr"/>
      <c r="I353" s="34" t="inlineStr"/>
      <c r="J353" s="30" t="inlineStr"/>
      <c r="K353" s="30" t="inlineStr"/>
      <c r="L353" s="15">
        <f>IF(A353="","",H353*I353)</f>
        <v/>
      </c>
    </row>
    <row r="354">
      <c r="A354" s="30" t="inlineStr"/>
      <c r="B354" s="38" t="inlineStr"/>
      <c r="C354" s="30" t="inlineStr"/>
      <c r="D354" s="30" t="inlineStr"/>
      <c r="E354" s="30" t="inlineStr"/>
      <c r="F354" s="30" t="inlineStr"/>
      <c r="G354" s="30" t="inlineStr"/>
      <c r="H354" s="35" t="inlineStr"/>
      <c r="I354" s="34" t="inlineStr"/>
      <c r="J354" s="30" t="inlineStr"/>
      <c r="K354" s="30" t="inlineStr"/>
      <c r="L354" s="15">
        <f>IF(A354="","",H354*I354)</f>
        <v/>
      </c>
    </row>
    <row r="355">
      <c r="A355" s="30" t="inlineStr"/>
      <c r="B355" s="38" t="inlineStr"/>
      <c r="C355" s="30" t="inlineStr"/>
      <c r="D355" s="30" t="inlineStr"/>
      <c r="E355" s="30" t="inlineStr"/>
      <c r="F355" s="30" t="inlineStr"/>
      <c r="G355" s="30" t="inlineStr"/>
      <c r="H355" s="35" t="inlineStr"/>
      <c r="I355" s="34" t="inlineStr"/>
      <c r="J355" s="30" t="inlineStr"/>
      <c r="K355" s="30" t="inlineStr"/>
      <c r="L355" s="15">
        <f>IF(A355="","",H355*I355)</f>
        <v/>
      </c>
    </row>
    <row r="356">
      <c r="A356" s="30" t="inlineStr"/>
      <c r="B356" s="38" t="inlineStr"/>
      <c r="C356" s="30" t="inlineStr"/>
      <c r="D356" s="30" t="inlineStr"/>
      <c r="E356" s="30" t="inlineStr"/>
      <c r="F356" s="30" t="inlineStr"/>
      <c r="G356" s="30" t="inlineStr"/>
      <c r="H356" s="35" t="inlineStr"/>
      <c r="I356" s="34" t="inlineStr"/>
      <c r="J356" s="30" t="inlineStr"/>
      <c r="K356" s="30" t="inlineStr"/>
      <c r="L356" s="15">
        <f>IF(A356="","",H356*I356)</f>
        <v/>
      </c>
    </row>
    <row r="357">
      <c r="A357" s="30" t="inlineStr"/>
      <c r="B357" s="38" t="inlineStr"/>
      <c r="C357" s="30" t="inlineStr"/>
      <c r="D357" s="30" t="inlineStr"/>
      <c r="E357" s="30" t="inlineStr"/>
      <c r="F357" s="30" t="inlineStr"/>
      <c r="G357" s="30" t="inlineStr"/>
      <c r="H357" s="35" t="inlineStr"/>
      <c r="I357" s="34" t="inlineStr"/>
      <c r="J357" s="30" t="inlineStr"/>
      <c r="K357" s="30" t="inlineStr"/>
      <c r="L357" s="15">
        <f>IF(A357="","",H357*I357)</f>
        <v/>
      </c>
    </row>
    <row r="358">
      <c r="A358" s="30" t="inlineStr"/>
      <c r="B358" s="38" t="inlineStr"/>
      <c r="C358" s="30" t="inlineStr"/>
      <c r="D358" s="30" t="inlineStr"/>
      <c r="E358" s="30" t="inlineStr"/>
      <c r="F358" s="30" t="inlineStr"/>
      <c r="G358" s="30" t="inlineStr"/>
      <c r="H358" s="35" t="inlineStr"/>
      <c r="I358" s="34" t="inlineStr"/>
      <c r="J358" s="30" t="inlineStr"/>
      <c r="K358" s="30" t="inlineStr"/>
      <c r="L358" s="15">
        <f>IF(A358="","",H358*I358)</f>
        <v/>
      </c>
    </row>
    <row r="359">
      <c r="A359" s="30" t="inlineStr"/>
      <c r="B359" s="38" t="inlineStr"/>
      <c r="C359" s="30" t="inlineStr"/>
      <c r="D359" s="30" t="inlineStr"/>
      <c r="E359" s="30" t="inlineStr"/>
      <c r="F359" s="30" t="inlineStr"/>
      <c r="G359" s="30" t="inlineStr"/>
      <c r="H359" s="35" t="inlineStr"/>
      <c r="I359" s="34" t="inlineStr"/>
      <c r="J359" s="30" t="inlineStr"/>
      <c r="K359" s="30" t="inlineStr"/>
      <c r="L359" s="15">
        <f>IF(A359="","",H359*I359)</f>
        <v/>
      </c>
    </row>
    <row r="360">
      <c r="A360" s="30" t="inlineStr"/>
      <c r="B360" s="38" t="inlineStr"/>
      <c r="C360" s="30" t="inlineStr"/>
      <c r="D360" s="30" t="inlineStr"/>
      <c r="E360" s="30" t="inlineStr"/>
      <c r="F360" s="30" t="inlineStr"/>
      <c r="G360" s="30" t="inlineStr"/>
      <c r="H360" s="35" t="inlineStr"/>
      <c r="I360" s="34" t="inlineStr"/>
      <c r="J360" s="30" t="inlineStr"/>
      <c r="K360" s="30" t="inlineStr"/>
      <c r="L360" s="15">
        <f>IF(A360="","",H360*I360)</f>
        <v/>
      </c>
    </row>
    <row r="361">
      <c r="A361" s="30" t="inlineStr"/>
      <c r="B361" s="38" t="inlineStr"/>
      <c r="C361" s="30" t="inlineStr"/>
      <c r="D361" s="30" t="inlineStr"/>
      <c r="E361" s="30" t="inlineStr"/>
      <c r="F361" s="30" t="inlineStr"/>
      <c r="G361" s="30" t="inlineStr"/>
      <c r="H361" s="35" t="inlineStr"/>
      <c r="I361" s="34" t="inlineStr"/>
      <c r="J361" s="30" t="inlineStr"/>
      <c r="K361" s="30" t="inlineStr"/>
      <c r="L361" s="15">
        <f>IF(A361="","",H361*I361)</f>
        <v/>
      </c>
    </row>
    <row r="362">
      <c r="A362" s="30" t="inlineStr"/>
      <c r="B362" s="38" t="inlineStr"/>
      <c r="C362" s="30" t="inlineStr"/>
      <c r="D362" s="30" t="inlineStr"/>
      <c r="E362" s="30" t="inlineStr"/>
      <c r="F362" s="30" t="inlineStr"/>
      <c r="G362" s="30" t="inlineStr"/>
      <c r="H362" s="35" t="inlineStr"/>
      <c r="I362" s="34" t="inlineStr"/>
      <c r="J362" s="30" t="inlineStr"/>
      <c r="K362" s="30" t="inlineStr"/>
      <c r="L362" s="15">
        <f>IF(A362="","",H362*I362)</f>
        <v/>
      </c>
    </row>
    <row r="363">
      <c r="A363" s="30" t="inlineStr"/>
      <c r="B363" s="38" t="inlineStr"/>
      <c r="C363" s="30" t="inlineStr"/>
      <c r="D363" s="30" t="inlineStr"/>
      <c r="E363" s="30" t="inlineStr"/>
      <c r="F363" s="30" t="inlineStr"/>
      <c r="G363" s="30" t="inlineStr"/>
      <c r="H363" s="35" t="inlineStr"/>
      <c r="I363" s="34" t="inlineStr"/>
      <c r="J363" s="30" t="inlineStr"/>
      <c r="K363" s="30" t="inlineStr"/>
      <c r="L363" s="15">
        <f>IF(A363="","",H363*I363)</f>
        <v/>
      </c>
    </row>
    <row r="364">
      <c r="A364" s="30" t="inlineStr"/>
      <c r="B364" s="38" t="inlineStr"/>
      <c r="C364" s="30" t="inlineStr"/>
      <c r="D364" s="30" t="inlineStr"/>
      <c r="E364" s="30" t="inlineStr"/>
      <c r="F364" s="30" t="inlineStr"/>
      <c r="G364" s="30" t="inlineStr"/>
      <c r="H364" s="35" t="inlineStr"/>
      <c r="I364" s="34" t="inlineStr"/>
      <c r="J364" s="30" t="inlineStr"/>
      <c r="K364" s="30" t="inlineStr"/>
      <c r="L364" s="15">
        <f>IF(A364="","",H364*I364)</f>
        <v/>
      </c>
    </row>
    <row r="365">
      <c r="A365" s="30" t="inlineStr"/>
      <c r="B365" s="38" t="inlineStr"/>
      <c r="C365" s="30" t="inlineStr"/>
      <c r="D365" s="30" t="inlineStr"/>
      <c r="E365" s="30" t="inlineStr"/>
      <c r="F365" s="30" t="inlineStr"/>
      <c r="G365" s="30" t="inlineStr"/>
      <c r="H365" s="35" t="inlineStr"/>
      <c r="I365" s="34" t="inlineStr"/>
      <c r="J365" s="30" t="inlineStr"/>
      <c r="K365" s="30" t="inlineStr"/>
      <c r="L365" s="15">
        <f>IF(A365="","",H365*I365)</f>
        <v/>
      </c>
    </row>
    <row r="366">
      <c r="A366" s="30" t="inlineStr"/>
      <c r="B366" s="38" t="inlineStr"/>
      <c r="C366" s="30" t="inlineStr"/>
      <c r="D366" s="30" t="inlineStr"/>
      <c r="E366" s="30" t="inlineStr"/>
      <c r="F366" s="30" t="inlineStr"/>
      <c r="G366" s="30" t="inlineStr"/>
      <c r="H366" s="35" t="inlineStr"/>
      <c r="I366" s="34" t="inlineStr"/>
      <c r="J366" s="30" t="inlineStr"/>
      <c r="K366" s="30" t="inlineStr"/>
      <c r="L366" s="15">
        <f>IF(A366="","",H366*I366)</f>
        <v/>
      </c>
    </row>
    <row r="367">
      <c r="A367" s="30" t="inlineStr"/>
      <c r="B367" s="38" t="inlineStr"/>
      <c r="C367" s="30" t="inlineStr"/>
      <c r="D367" s="30" t="inlineStr"/>
      <c r="E367" s="30" t="inlineStr"/>
      <c r="F367" s="30" t="inlineStr"/>
      <c r="G367" s="30" t="inlineStr"/>
      <c r="H367" s="35" t="inlineStr"/>
      <c r="I367" s="34" t="inlineStr"/>
      <c r="J367" s="30" t="inlineStr"/>
      <c r="K367" s="30" t="inlineStr"/>
      <c r="L367" s="15">
        <f>IF(A367="","",H367*I367)</f>
        <v/>
      </c>
    </row>
    <row r="368">
      <c r="A368" s="30" t="inlineStr"/>
      <c r="B368" s="38" t="inlineStr"/>
      <c r="C368" s="30" t="inlineStr"/>
      <c r="D368" s="30" t="inlineStr"/>
      <c r="E368" s="30" t="inlineStr"/>
      <c r="F368" s="30" t="inlineStr"/>
      <c r="G368" s="30" t="inlineStr"/>
      <c r="H368" s="35" t="inlineStr"/>
      <c r="I368" s="34" t="inlineStr"/>
      <c r="J368" s="30" t="inlineStr"/>
      <c r="K368" s="30" t="inlineStr"/>
      <c r="L368" s="15">
        <f>IF(A368="","",H368*I368)</f>
        <v/>
      </c>
    </row>
    <row r="369">
      <c r="A369" s="30" t="inlineStr"/>
      <c r="B369" s="38" t="inlineStr"/>
      <c r="C369" s="30" t="inlineStr"/>
      <c r="D369" s="30" t="inlineStr"/>
      <c r="E369" s="30" t="inlineStr"/>
      <c r="F369" s="30" t="inlineStr"/>
      <c r="G369" s="30" t="inlineStr"/>
      <c r="H369" s="35" t="inlineStr"/>
      <c r="I369" s="34" t="inlineStr"/>
      <c r="J369" s="30" t="inlineStr"/>
      <c r="K369" s="30" t="inlineStr"/>
      <c r="L369" s="15">
        <f>IF(A369="","",H369*I369)</f>
        <v/>
      </c>
    </row>
    <row r="370">
      <c r="A370" s="30" t="inlineStr"/>
      <c r="B370" s="38" t="inlineStr"/>
      <c r="C370" s="30" t="inlineStr"/>
      <c r="D370" s="30" t="inlineStr"/>
      <c r="E370" s="30" t="inlineStr"/>
      <c r="F370" s="30" t="inlineStr"/>
      <c r="G370" s="30" t="inlineStr"/>
      <c r="H370" s="35" t="inlineStr"/>
      <c r="I370" s="34" t="inlineStr"/>
      <c r="J370" s="30" t="inlineStr"/>
      <c r="K370" s="30" t="inlineStr"/>
      <c r="L370" s="15">
        <f>IF(A370="","",H370*I370)</f>
        <v/>
      </c>
    </row>
    <row r="371">
      <c r="A371" s="30" t="inlineStr"/>
      <c r="B371" s="38" t="inlineStr"/>
      <c r="C371" s="30" t="inlineStr"/>
      <c r="D371" s="30" t="inlineStr"/>
      <c r="E371" s="30" t="inlineStr"/>
      <c r="F371" s="30" t="inlineStr"/>
      <c r="G371" s="30" t="inlineStr"/>
      <c r="H371" s="35" t="inlineStr"/>
      <c r="I371" s="34" t="inlineStr"/>
      <c r="J371" s="30" t="inlineStr"/>
      <c r="K371" s="30" t="inlineStr"/>
      <c r="L371" s="15">
        <f>IF(A371="","",H371*I371)</f>
        <v/>
      </c>
    </row>
    <row r="372">
      <c r="A372" s="30" t="inlineStr"/>
      <c r="B372" s="38" t="inlineStr"/>
      <c r="C372" s="30" t="inlineStr"/>
      <c r="D372" s="30" t="inlineStr"/>
      <c r="E372" s="30" t="inlineStr"/>
      <c r="F372" s="30" t="inlineStr"/>
      <c r="G372" s="30" t="inlineStr"/>
      <c r="H372" s="35" t="inlineStr"/>
      <c r="I372" s="34" t="inlineStr"/>
      <c r="J372" s="30" t="inlineStr"/>
      <c r="K372" s="30" t="inlineStr"/>
      <c r="L372" s="15">
        <f>IF(A372="","",H372*I372)</f>
        <v/>
      </c>
    </row>
    <row r="373">
      <c r="A373" s="30" t="inlineStr"/>
      <c r="B373" s="38" t="inlineStr"/>
      <c r="C373" s="30" t="inlineStr"/>
      <c r="D373" s="30" t="inlineStr"/>
      <c r="E373" s="30" t="inlineStr"/>
      <c r="F373" s="30" t="inlineStr"/>
      <c r="G373" s="30" t="inlineStr"/>
      <c r="H373" s="35" t="inlineStr"/>
      <c r="I373" s="34" t="inlineStr"/>
      <c r="J373" s="30" t="inlineStr"/>
      <c r="K373" s="30" t="inlineStr"/>
      <c r="L373" s="15">
        <f>IF(A373="","",H373*I373)</f>
        <v/>
      </c>
    </row>
    <row r="374">
      <c r="A374" s="30" t="inlineStr"/>
      <c r="B374" s="38" t="inlineStr"/>
      <c r="C374" s="30" t="inlineStr"/>
      <c r="D374" s="30" t="inlineStr"/>
      <c r="E374" s="30" t="inlineStr"/>
      <c r="F374" s="30" t="inlineStr"/>
      <c r="G374" s="30" t="inlineStr"/>
      <c r="H374" s="35" t="inlineStr"/>
      <c r="I374" s="34" t="inlineStr"/>
      <c r="J374" s="30" t="inlineStr"/>
      <c r="K374" s="30" t="inlineStr"/>
      <c r="L374" s="15">
        <f>IF(A374="","",H374*I374)</f>
        <v/>
      </c>
    </row>
    <row r="375">
      <c r="A375" s="30" t="inlineStr"/>
      <c r="B375" s="38" t="inlineStr"/>
      <c r="C375" s="30" t="inlineStr"/>
      <c r="D375" s="30" t="inlineStr"/>
      <c r="E375" s="30" t="inlineStr"/>
      <c r="F375" s="30" t="inlineStr"/>
      <c r="G375" s="30" t="inlineStr"/>
      <c r="H375" s="35" t="inlineStr"/>
      <c r="I375" s="34" t="inlineStr"/>
      <c r="J375" s="30" t="inlineStr"/>
      <c r="K375" s="30" t="inlineStr"/>
      <c r="L375" s="15">
        <f>IF(A375="","",H375*I375)</f>
        <v/>
      </c>
    </row>
    <row r="376">
      <c r="A376" s="30" t="inlineStr"/>
      <c r="B376" s="38" t="inlineStr"/>
      <c r="C376" s="30" t="inlineStr"/>
      <c r="D376" s="30" t="inlineStr"/>
      <c r="E376" s="30" t="inlineStr"/>
      <c r="F376" s="30" t="inlineStr"/>
      <c r="G376" s="30" t="inlineStr"/>
      <c r="H376" s="35" t="inlineStr"/>
      <c r="I376" s="34" t="inlineStr"/>
      <c r="J376" s="30" t="inlineStr"/>
      <c r="K376" s="30" t="inlineStr"/>
      <c r="L376" s="15">
        <f>IF(A376="","",H376*I376)</f>
        <v/>
      </c>
    </row>
    <row r="377">
      <c r="A377" s="30" t="inlineStr"/>
      <c r="B377" s="38" t="inlineStr"/>
      <c r="C377" s="30" t="inlineStr"/>
      <c r="D377" s="30" t="inlineStr"/>
      <c r="E377" s="30" t="inlineStr"/>
      <c r="F377" s="30" t="inlineStr"/>
      <c r="G377" s="30" t="inlineStr"/>
      <c r="H377" s="35" t="inlineStr"/>
      <c r="I377" s="34" t="inlineStr"/>
      <c r="J377" s="30" t="inlineStr"/>
      <c r="K377" s="30" t="inlineStr"/>
      <c r="L377" s="15">
        <f>IF(A377="","",H377*I377)</f>
        <v/>
      </c>
    </row>
    <row r="378">
      <c r="A378" s="30" t="inlineStr"/>
      <c r="B378" s="38" t="inlineStr"/>
      <c r="C378" s="30" t="inlineStr"/>
      <c r="D378" s="30" t="inlineStr"/>
      <c r="E378" s="30" t="inlineStr"/>
      <c r="F378" s="30" t="inlineStr"/>
      <c r="G378" s="30" t="inlineStr"/>
      <c r="H378" s="35" t="inlineStr"/>
      <c r="I378" s="34" t="inlineStr"/>
      <c r="J378" s="30" t="inlineStr"/>
      <c r="K378" s="30" t="inlineStr"/>
      <c r="L378" s="15">
        <f>IF(A378="","",H378*I378)</f>
        <v/>
      </c>
    </row>
    <row r="379">
      <c r="A379" s="30" t="inlineStr"/>
      <c r="B379" s="38" t="inlineStr"/>
      <c r="C379" s="30" t="inlineStr"/>
      <c r="D379" s="30" t="inlineStr"/>
      <c r="E379" s="30" t="inlineStr"/>
      <c r="F379" s="30" t="inlineStr"/>
      <c r="G379" s="30" t="inlineStr"/>
      <c r="H379" s="35" t="inlineStr"/>
      <c r="I379" s="34" t="inlineStr"/>
      <c r="J379" s="30" t="inlineStr"/>
      <c r="K379" s="30" t="inlineStr"/>
      <c r="L379" s="15">
        <f>IF(A379="","",H379*I379)</f>
        <v/>
      </c>
    </row>
    <row r="380">
      <c r="A380" s="30" t="inlineStr"/>
      <c r="B380" s="38" t="inlineStr"/>
      <c r="C380" s="30" t="inlineStr"/>
      <c r="D380" s="30" t="inlineStr"/>
      <c r="E380" s="30" t="inlineStr"/>
      <c r="F380" s="30" t="inlineStr"/>
      <c r="G380" s="30" t="inlineStr"/>
      <c r="H380" s="35" t="inlineStr"/>
      <c r="I380" s="34" t="inlineStr"/>
      <c r="J380" s="30" t="inlineStr"/>
      <c r="K380" s="30" t="inlineStr"/>
      <c r="L380" s="15">
        <f>IF(A380="","",H380*I380)</f>
        <v/>
      </c>
    </row>
    <row r="381">
      <c r="A381" s="30" t="inlineStr"/>
      <c r="B381" s="38" t="inlineStr"/>
      <c r="C381" s="30" t="inlineStr"/>
      <c r="D381" s="30" t="inlineStr"/>
      <c r="E381" s="30" t="inlineStr"/>
      <c r="F381" s="30" t="inlineStr"/>
      <c r="G381" s="30" t="inlineStr"/>
      <c r="H381" s="35" t="inlineStr"/>
      <c r="I381" s="34" t="inlineStr"/>
      <c r="J381" s="30" t="inlineStr"/>
      <c r="K381" s="30" t="inlineStr"/>
      <c r="L381" s="15">
        <f>IF(A381="","",H381*I381)</f>
        <v/>
      </c>
    </row>
    <row r="382">
      <c r="A382" s="30" t="inlineStr"/>
      <c r="B382" s="38" t="inlineStr"/>
      <c r="C382" s="30" t="inlineStr"/>
      <c r="D382" s="30" t="inlineStr"/>
      <c r="E382" s="30" t="inlineStr"/>
      <c r="F382" s="30" t="inlineStr"/>
      <c r="G382" s="30" t="inlineStr"/>
      <c r="H382" s="35" t="inlineStr"/>
      <c r="I382" s="34" t="inlineStr"/>
      <c r="J382" s="30" t="inlineStr"/>
      <c r="K382" s="30" t="inlineStr"/>
      <c r="L382" s="15">
        <f>IF(A382="","",H382*I382)</f>
        <v/>
      </c>
    </row>
    <row r="383">
      <c r="A383" s="30" t="inlineStr"/>
      <c r="B383" s="38" t="inlineStr"/>
      <c r="C383" s="30" t="inlineStr"/>
      <c r="D383" s="30" t="inlineStr"/>
      <c r="E383" s="30" t="inlineStr"/>
      <c r="F383" s="30" t="inlineStr"/>
      <c r="G383" s="30" t="inlineStr"/>
      <c r="H383" s="35" t="inlineStr"/>
      <c r="I383" s="34" t="inlineStr"/>
      <c r="J383" s="30" t="inlineStr"/>
      <c r="K383" s="30" t="inlineStr"/>
      <c r="L383" s="15">
        <f>IF(A383="","",H383*I383)</f>
        <v/>
      </c>
    </row>
    <row r="384">
      <c r="A384" s="30" t="inlineStr"/>
      <c r="B384" s="38" t="inlineStr"/>
      <c r="C384" s="30" t="inlineStr"/>
      <c r="D384" s="30" t="inlineStr"/>
      <c r="E384" s="30" t="inlineStr"/>
      <c r="F384" s="30" t="inlineStr"/>
      <c r="G384" s="30" t="inlineStr"/>
      <c r="H384" s="35" t="inlineStr"/>
      <c r="I384" s="34" t="inlineStr"/>
      <c r="J384" s="30" t="inlineStr"/>
      <c r="K384" s="30" t="inlineStr"/>
      <c r="L384" s="15">
        <f>IF(A384="","",H384*I384)</f>
        <v/>
      </c>
    </row>
    <row r="385">
      <c r="A385" s="30" t="inlineStr"/>
      <c r="B385" s="38" t="inlineStr"/>
      <c r="C385" s="30" t="inlineStr"/>
      <c r="D385" s="30" t="inlineStr"/>
      <c r="E385" s="30" t="inlineStr"/>
      <c r="F385" s="30" t="inlineStr"/>
      <c r="G385" s="30" t="inlineStr"/>
      <c r="H385" s="35" t="inlineStr"/>
      <c r="I385" s="34" t="inlineStr"/>
      <c r="J385" s="30" t="inlineStr"/>
      <c r="K385" s="30" t="inlineStr"/>
      <c r="L385" s="15">
        <f>IF(A385="","",H385*I385)</f>
        <v/>
      </c>
    </row>
    <row r="386">
      <c r="A386" s="30" t="inlineStr"/>
      <c r="B386" s="38" t="inlineStr"/>
      <c r="C386" s="30" t="inlineStr"/>
      <c r="D386" s="30" t="inlineStr"/>
      <c r="E386" s="30" t="inlineStr"/>
      <c r="F386" s="30" t="inlineStr"/>
      <c r="G386" s="30" t="inlineStr"/>
      <c r="H386" s="35" t="inlineStr"/>
      <c r="I386" s="34" t="inlineStr"/>
      <c r="J386" s="30" t="inlineStr"/>
      <c r="K386" s="30" t="inlineStr"/>
      <c r="L386" s="15">
        <f>IF(A386="","",H386*I386)</f>
        <v/>
      </c>
    </row>
    <row r="387">
      <c r="A387" s="30" t="inlineStr"/>
      <c r="B387" s="38" t="inlineStr"/>
      <c r="C387" s="30" t="inlineStr"/>
      <c r="D387" s="30" t="inlineStr"/>
      <c r="E387" s="30" t="inlineStr"/>
      <c r="F387" s="30" t="inlineStr"/>
      <c r="G387" s="30" t="inlineStr"/>
      <c r="H387" s="35" t="inlineStr"/>
      <c r="I387" s="34" t="inlineStr"/>
      <c r="J387" s="30" t="inlineStr"/>
      <c r="K387" s="30" t="inlineStr"/>
      <c r="L387" s="15">
        <f>IF(A387="","",H387*I387)</f>
        <v/>
      </c>
    </row>
    <row r="388">
      <c r="A388" s="30" t="inlineStr"/>
      <c r="B388" s="38" t="inlineStr"/>
      <c r="C388" s="30" t="inlineStr"/>
      <c r="D388" s="30" t="inlineStr"/>
      <c r="E388" s="30" t="inlineStr"/>
      <c r="F388" s="30" t="inlineStr"/>
      <c r="G388" s="30" t="inlineStr"/>
      <c r="H388" s="35" t="inlineStr"/>
      <c r="I388" s="34" t="inlineStr"/>
      <c r="J388" s="30" t="inlineStr"/>
      <c r="K388" s="30" t="inlineStr"/>
      <c r="L388" s="15">
        <f>IF(A388="","",H388*I388)</f>
        <v/>
      </c>
    </row>
    <row r="389">
      <c r="A389" s="30" t="inlineStr"/>
      <c r="B389" s="38" t="inlineStr"/>
      <c r="C389" s="30" t="inlineStr"/>
      <c r="D389" s="30" t="inlineStr"/>
      <c r="E389" s="30" t="inlineStr"/>
      <c r="F389" s="30" t="inlineStr"/>
      <c r="G389" s="30" t="inlineStr"/>
      <c r="H389" s="35" t="inlineStr"/>
      <c r="I389" s="34" t="inlineStr"/>
      <c r="J389" s="30" t="inlineStr"/>
      <c r="K389" s="30" t="inlineStr"/>
      <c r="L389" s="15">
        <f>IF(A389="","",H389*I389)</f>
        <v/>
      </c>
    </row>
    <row r="390">
      <c r="A390" s="30" t="inlineStr"/>
      <c r="B390" s="38" t="inlineStr"/>
      <c r="C390" s="30" t="inlineStr"/>
      <c r="D390" s="30" t="inlineStr"/>
      <c r="E390" s="30" t="inlineStr"/>
      <c r="F390" s="30" t="inlineStr"/>
      <c r="G390" s="30" t="inlineStr"/>
      <c r="H390" s="35" t="inlineStr"/>
      <c r="I390" s="34" t="inlineStr"/>
      <c r="J390" s="30" t="inlineStr"/>
      <c r="K390" s="30" t="inlineStr"/>
      <c r="L390" s="15">
        <f>IF(A390="","",H390*I390)</f>
        <v/>
      </c>
    </row>
    <row r="391">
      <c r="A391" s="30" t="inlineStr"/>
      <c r="B391" s="38" t="inlineStr"/>
      <c r="C391" s="30" t="inlineStr"/>
      <c r="D391" s="30" t="inlineStr"/>
      <c r="E391" s="30" t="inlineStr"/>
      <c r="F391" s="30" t="inlineStr"/>
      <c r="G391" s="30" t="inlineStr"/>
      <c r="H391" s="35" t="inlineStr"/>
      <c r="I391" s="34" t="inlineStr"/>
      <c r="J391" s="30" t="inlineStr"/>
      <c r="K391" s="30" t="inlineStr"/>
      <c r="L391" s="15">
        <f>IF(A391="","",H391*I391)</f>
        <v/>
      </c>
    </row>
    <row r="392">
      <c r="A392" s="30" t="inlineStr"/>
      <c r="B392" s="38" t="inlineStr"/>
      <c r="C392" s="30" t="inlineStr"/>
      <c r="D392" s="30" t="inlineStr"/>
      <c r="E392" s="30" t="inlineStr"/>
      <c r="F392" s="30" t="inlineStr"/>
      <c r="G392" s="30" t="inlineStr"/>
      <c r="H392" s="35" t="inlineStr"/>
      <c r="I392" s="34" t="inlineStr"/>
      <c r="J392" s="30" t="inlineStr"/>
      <c r="K392" s="30" t="inlineStr"/>
      <c r="L392" s="15">
        <f>IF(A392="","",H392*I392)</f>
        <v/>
      </c>
    </row>
    <row r="393">
      <c r="A393" s="30" t="inlineStr"/>
      <c r="B393" s="38" t="inlineStr"/>
      <c r="C393" s="30" t="inlineStr"/>
      <c r="D393" s="30" t="inlineStr"/>
      <c r="E393" s="30" t="inlineStr"/>
      <c r="F393" s="30" t="inlineStr"/>
      <c r="G393" s="30" t="inlineStr"/>
      <c r="H393" s="35" t="inlineStr"/>
      <c r="I393" s="34" t="inlineStr"/>
      <c r="J393" s="30" t="inlineStr"/>
      <c r="K393" s="30" t="inlineStr"/>
      <c r="L393" s="15">
        <f>IF(A393="","",H393*I393)</f>
        <v/>
      </c>
    </row>
    <row r="394">
      <c r="A394" s="30" t="inlineStr"/>
      <c r="B394" s="38" t="inlineStr"/>
      <c r="C394" s="30" t="inlineStr"/>
      <c r="D394" s="30" t="inlineStr"/>
      <c r="E394" s="30" t="inlineStr"/>
      <c r="F394" s="30" t="inlineStr"/>
      <c r="G394" s="30" t="inlineStr"/>
      <c r="H394" s="35" t="inlineStr"/>
      <c r="I394" s="34" t="inlineStr"/>
      <c r="J394" s="30" t="inlineStr"/>
      <c r="K394" s="30" t="inlineStr"/>
      <c r="L394" s="15">
        <f>IF(A394="","",H394*I394)</f>
        <v/>
      </c>
    </row>
    <row r="395">
      <c r="A395" s="30" t="inlineStr"/>
      <c r="B395" s="38" t="inlineStr"/>
      <c r="C395" s="30" t="inlineStr"/>
      <c r="D395" s="30" t="inlineStr"/>
      <c r="E395" s="30" t="inlineStr"/>
      <c r="F395" s="30" t="inlineStr"/>
      <c r="G395" s="30" t="inlineStr"/>
      <c r="H395" s="35" t="inlineStr"/>
      <c r="I395" s="34" t="inlineStr"/>
      <c r="J395" s="30" t="inlineStr"/>
      <c r="K395" s="30" t="inlineStr"/>
      <c r="L395" s="15">
        <f>IF(A395="","",H395*I395)</f>
        <v/>
      </c>
    </row>
    <row r="396">
      <c r="A396" s="30" t="inlineStr"/>
      <c r="B396" s="38" t="inlineStr"/>
      <c r="C396" s="30" t="inlineStr"/>
      <c r="D396" s="30" t="inlineStr"/>
      <c r="E396" s="30" t="inlineStr"/>
      <c r="F396" s="30" t="inlineStr"/>
      <c r="G396" s="30" t="inlineStr"/>
      <c r="H396" s="35" t="inlineStr"/>
      <c r="I396" s="34" t="inlineStr"/>
      <c r="J396" s="30" t="inlineStr"/>
      <c r="K396" s="30" t="inlineStr"/>
      <c r="L396" s="15">
        <f>IF(A396="","",H396*I396)</f>
        <v/>
      </c>
    </row>
    <row r="397">
      <c r="A397" s="30" t="inlineStr"/>
      <c r="B397" s="38" t="inlineStr"/>
      <c r="C397" s="30" t="inlineStr"/>
      <c r="D397" s="30" t="inlineStr"/>
      <c r="E397" s="30" t="inlineStr"/>
      <c r="F397" s="30" t="inlineStr"/>
      <c r="G397" s="30" t="inlineStr"/>
      <c r="H397" s="35" t="inlineStr"/>
      <c r="I397" s="34" t="inlineStr"/>
      <c r="J397" s="30" t="inlineStr"/>
      <c r="K397" s="30" t="inlineStr"/>
      <c r="L397" s="15">
        <f>IF(A397="","",H397*I397)</f>
        <v/>
      </c>
    </row>
    <row r="398">
      <c r="A398" s="30" t="inlineStr"/>
      <c r="B398" s="38" t="inlineStr"/>
      <c r="C398" s="30" t="inlineStr"/>
      <c r="D398" s="30" t="inlineStr"/>
      <c r="E398" s="30" t="inlineStr"/>
      <c r="F398" s="30" t="inlineStr"/>
      <c r="G398" s="30" t="inlineStr"/>
      <c r="H398" s="35" t="inlineStr"/>
      <c r="I398" s="34" t="inlineStr"/>
      <c r="J398" s="30" t="inlineStr"/>
      <c r="K398" s="30" t="inlineStr"/>
      <c r="L398" s="15">
        <f>IF(A398="","",H398*I398)</f>
        <v/>
      </c>
    </row>
    <row r="399">
      <c r="A399" s="30" t="inlineStr"/>
      <c r="B399" s="38" t="inlineStr"/>
      <c r="C399" s="30" t="inlineStr"/>
      <c r="D399" s="30" t="inlineStr"/>
      <c r="E399" s="30" t="inlineStr"/>
      <c r="F399" s="30" t="inlineStr"/>
      <c r="G399" s="30" t="inlineStr"/>
      <c r="H399" s="35" t="inlineStr"/>
      <c r="I399" s="34" t="inlineStr"/>
      <c r="J399" s="30" t="inlineStr"/>
      <c r="K399" s="30" t="inlineStr"/>
      <c r="L399" s="15">
        <f>IF(A399="","",H399*I399)</f>
        <v/>
      </c>
    </row>
    <row r="400">
      <c r="A400" s="30" t="inlineStr"/>
      <c r="B400" s="38" t="inlineStr"/>
      <c r="C400" s="30" t="inlineStr"/>
      <c r="D400" s="30" t="inlineStr"/>
      <c r="E400" s="30" t="inlineStr"/>
      <c r="F400" s="30" t="inlineStr"/>
      <c r="G400" s="30" t="inlineStr"/>
      <c r="H400" s="35" t="inlineStr"/>
      <c r="I400" s="34" t="inlineStr"/>
      <c r="J400" s="30" t="inlineStr"/>
      <c r="K400" s="30" t="inlineStr"/>
      <c r="L400" s="15">
        <f>IF(A400="","",H400*I400)</f>
        <v/>
      </c>
    </row>
  </sheetData>
  <mergeCells count="2">
    <mergeCell ref="A2:L2"/>
    <mergeCell ref="A1:L1"/>
  </mergeCells>
  <dataValidations count="2">
    <dataValidation sqref="C4:C400" showDropDown="0" showInputMessage="0" showErrorMessage="0" allowBlank="1" errorTitle="Ungültige Auswahl" error="Bitte einen Wert aus der Liste wählen." promptTitle="Liste" prompt="Auswahl" type="list">
      <formula1>=ProjektNr</formula1>
    </dataValidation>
    <dataValidation sqref="D4:D400" showDropDown="0" showInputMessage="0" showErrorMessage="0" allowBlank="1" errorTitle="Ungültige Auswahl" error="Bitte einen Wert aus der Liste wählen." promptTitle="Liste" prompt="Auswahl" type="list">
      <formula1>=LiefNr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5C4A1F"/>
    <outlinePr summaryBelow="1" summaryRight="1"/>
    <pageSetUpPr/>
  </sheetPr>
  <dimension ref="A1:P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  <col width="14" customWidth="1" min="9" max="9"/>
    <col width="14" customWidth="1" min="10" max="10"/>
    <col width="12" customWidth="1" min="11" max="11"/>
    <col width="16" customWidth="1" min="12" max="12"/>
  </cols>
  <sheetData>
    <row r="1" ht="28" customHeight="1">
      <c r="A1" s="1" t="inlineStr">
        <is>
          <t>Geräte und Fuhrpark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3" t="n"/>
      <c r="O1" s="3" t="n"/>
      <c r="P1" s="3" t="n"/>
    </row>
    <row r="2" ht="18" customHeight="1">
      <c r="A2" s="4" t="inlineStr">
        <is>
          <t>Lineare AfA, Restbuchwert und internem Verrechnungssatz für Kalkulation und BWA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3" t="n"/>
      <c r="N2" s="3" t="n"/>
      <c r="O2" s="3" t="n"/>
      <c r="P2" s="3" t="n"/>
    </row>
    <row r="3" ht="28" customHeight="1">
      <c r="A3" s="17" t="inlineStr">
        <is>
          <t>Nr</t>
        </is>
      </c>
      <c r="B3" s="17" t="inlineStr">
        <is>
          <t>Bezeichnung</t>
        </is>
      </c>
      <c r="C3" s="17" t="inlineStr">
        <is>
          <t>Typ</t>
        </is>
      </c>
      <c r="D3" s="17" t="inlineStr">
        <is>
          <t>Eigentum</t>
        </is>
      </c>
      <c r="E3" s="17" t="inlineStr">
        <is>
          <t>Anschaffung</t>
        </is>
      </c>
      <c r="F3" s="17" t="inlineStr">
        <is>
          <t>Inbetrieb</t>
        </is>
      </c>
      <c r="G3" s="17" t="inlineStr">
        <is>
          <t>ND Jahre</t>
        </is>
      </c>
      <c r="H3" s="17" t="inlineStr">
        <is>
          <t>Satz/h</t>
        </is>
      </c>
      <c r="I3" s="17" t="inlineStr">
        <is>
          <t>Einsatz</t>
        </is>
      </c>
      <c r="J3" s="17" t="inlineStr">
        <is>
          <t>Status</t>
        </is>
      </c>
      <c r="K3" s="17" t="inlineStr">
        <is>
          <t>AfA p.a.</t>
        </is>
      </c>
      <c r="L3" s="17" t="inlineStr">
        <is>
          <t>Restbuchwert 2026</t>
        </is>
      </c>
      <c r="M3" s="3" t="n"/>
      <c r="N3" s="3" t="n"/>
      <c r="O3" s="3" t="n"/>
      <c r="P3" s="3" t="n"/>
    </row>
    <row r="4">
      <c r="A4" s="30" t="inlineStr">
        <is>
          <t>GE-01</t>
        </is>
      </c>
      <c r="B4" s="30" t="inlineStr">
        <is>
          <t>Raupenbagger CAT 320</t>
        </is>
      </c>
      <c r="C4" s="30" t="inlineStr">
        <is>
          <t>Bagger</t>
        </is>
      </c>
      <c r="D4" s="30" t="inlineStr">
        <is>
          <t>eigen</t>
        </is>
      </c>
      <c r="E4" s="34" t="n">
        <v>185000</v>
      </c>
      <c r="F4" s="38" t="n">
        <v>44287</v>
      </c>
      <c r="G4" s="31" t="n">
        <v>8</v>
      </c>
      <c r="H4" s="34" t="n">
        <v>95</v>
      </c>
      <c r="I4" s="30" t="inlineStr">
        <is>
          <t>P-2026-004</t>
        </is>
      </c>
      <c r="J4" s="30" t="inlineStr">
        <is>
          <t>Einsatzfähig</t>
        </is>
      </c>
      <c r="K4" s="15">
        <f>IF(OR(A4="",E4="",G4=0),"",E4/G4)</f>
        <v/>
      </c>
      <c r="L4" s="15">
        <f>IF(A4="","",MAX(0,E4-K4*MAX(0,GJ-YEAR(F4))))</f>
        <v/>
      </c>
      <c r="M4" s="3" t="n"/>
      <c r="N4" s="3" t="n"/>
      <c r="O4" s="3" t="n"/>
      <c r="P4" s="3" t="n"/>
    </row>
    <row r="5">
      <c r="A5" s="30" t="inlineStr">
        <is>
          <t>GE-02</t>
        </is>
      </c>
      <c r="B5" s="30" t="inlineStr">
        <is>
          <t>Turmdrehkran Liebherr 81 K</t>
        </is>
      </c>
      <c r="C5" s="30" t="inlineStr">
        <is>
          <t>Kran</t>
        </is>
      </c>
      <c r="D5" s="30" t="inlineStr">
        <is>
          <t>Miete</t>
        </is>
      </c>
      <c r="E5" s="34" t="n">
        <v>0</v>
      </c>
      <c r="F5" s="38" t="n">
        <v>46032</v>
      </c>
      <c r="G5" s="31" t="n">
        <v>5</v>
      </c>
      <c r="H5" s="34" t="n">
        <v>210</v>
      </c>
      <c r="I5" s="30" t="inlineStr">
        <is>
          <t>P-2026-001</t>
        </is>
      </c>
      <c r="J5" s="30" t="inlineStr">
        <is>
          <t>Einsatzfähig</t>
        </is>
      </c>
      <c r="K5" s="15">
        <f>IF(OR(A5="",E5="",G5=0),"",E5/G5)</f>
        <v/>
      </c>
      <c r="L5" s="15">
        <f>IF(A5="","",MAX(0,E5-K5*MAX(0,GJ-YEAR(F5))))</f>
        <v/>
      </c>
      <c r="M5" s="3" t="n"/>
      <c r="N5" s="3" t="n"/>
      <c r="O5" s="3" t="n"/>
      <c r="P5" s="3" t="n"/>
    </row>
    <row r="6">
      <c r="A6" s="30" t="inlineStr">
        <is>
          <t>GE-03</t>
        </is>
      </c>
      <c r="B6" s="30" t="inlineStr">
        <is>
          <t>LKW MAN TGS 26.480</t>
        </is>
      </c>
      <c r="C6" s="30" t="inlineStr">
        <is>
          <t>LKW</t>
        </is>
      </c>
      <c r="D6" s="30" t="inlineStr">
        <is>
          <t>eigen</t>
        </is>
      </c>
      <c r="E6" s="34" t="n">
        <v>98000</v>
      </c>
      <c r="F6" s="38" t="n">
        <v>43617</v>
      </c>
      <c r="G6" s="31" t="n">
        <v>8</v>
      </c>
      <c r="H6" s="34" t="n">
        <v>62</v>
      </c>
      <c r="I6" s="30" t="inlineStr">
        <is>
          <t>Pool</t>
        </is>
      </c>
      <c r="J6" s="30" t="inlineStr">
        <is>
          <t>Einsatzfähig</t>
        </is>
      </c>
      <c r="K6" s="15">
        <f>IF(OR(A6="",E6="",G6=0),"",E6/G6)</f>
        <v/>
      </c>
      <c r="L6" s="15">
        <f>IF(A6="","",MAX(0,E6-K6*MAX(0,GJ-YEAR(F6))))</f>
        <v/>
      </c>
      <c r="M6" s="3" t="n"/>
      <c r="N6" s="3" t="n"/>
      <c r="O6" s="3" t="n"/>
      <c r="P6" s="3" t="n"/>
    </row>
    <row r="7">
      <c r="A7" s="30" t="inlineStr">
        <is>
          <t>GE-04</t>
        </is>
      </c>
      <c r="B7" s="30" t="inlineStr">
        <is>
          <t>Minibagger Kubota U27</t>
        </is>
      </c>
      <c r="C7" s="30" t="inlineStr">
        <is>
          <t>Bagger</t>
        </is>
      </c>
      <c r="D7" s="30" t="inlineStr">
        <is>
          <t>eigen</t>
        </is>
      </c>
      <c r="E7" s="34" t="n">
        <v>42000</v>
      </c>
      <c r="F7" s="38" t="n">
        <v>45000</v>
      </c>
      <c r="G7" s="31" t="n">
        <v>6</v>
      </c>
      <c r="H7" s="34" t="n">
        <v>48</v>
      </c>
      <c r="I7" s="30" t="inlineStr">
        <is>
          <t>P-2026-002</t>
        </is>
      </c>
      <c r="J7" s="30" t="inlineStr">
        <is>
          <t>Werkstatt</t>
        </is>
      </c>
      <c r="K7" s="15">
        <f>IF(OR(A7="",E7="",G7=0),"",E7/G7)</f>
        <v/>
      </c>
      <c r="L7" s="15">
        <f>IF(A7="","",MAX(0,E7-K7*MAX(0,GJ-YEAR(F7))))</f>
        <v/>
      </c>
    </row>
    <row r="8">
      <c r="A8" s="30" t="inlineStr">
        <is>
          <t>GE-05</t>
        </is>
      </c>
      <c r="B8" s="30" t="inlineStr">
        <is>
          <t>Gerüstsatz 800 m²</t>
        </is>
      </c>
      <c r="C8" s="30" t="inlineStr">
        <is>
          <t>Gerüst</t>
        </is>
      </c>
      <c r="D8" s="30" t="inlineStr">
        <is>
          <t>Miete</t>
        </is>
      </c>
      <c r="E8" s="34" t="n">
        <v>0</v>
      </c>
      <c r="F8" s="38" t="n">
        <v>46054</v>
      </c>
      <c r="G8" s="31" t="n">
        <v>4</v>
      </c>
      <c r="H8" s="34" t="n">
        <v>18</v>
      </c>
      <c r="I8" s="30" t="inlineStr">
        <is>
          <t>P-2026-003</t>
        </is>
      </c>
      <c r="J8" s="30" t="inlineStr">
        <is>
          <t>Einsatzfähig</t>
        </is>
      </c>
      <c r="K8" s="15">
        <f>IF(OR(A8="",E8="",G8=0),"",E8/G8)</f>
        <v/>
      </c>
      <c r="L8" s="15">
        <f>IF(A8="","",MAX(0,E8-K8*MAX(0,GJ-YEAR(F8))))</f>
        <v/>
      </c>
    </row>
    <row r="9">
      <c r="A9" s="30" t="inlineStr"/>
      <c r="B9" s="30" t="inlineStr"/>
      <c r="C9" s="30" t="inlineStr"/>
      <c r="D9" s="30" t="inlineStr"/>
      <c r="E9" s="34" t="inlineStr"/>
      <c r="F9" s="38" t="inlineStr"/>
      <c r="G9" s="31" t="inlineStr"/>
      <c r="H9" s="34" t="inlineStr"/>
      <c r="I9" s="30" t="inlineStr"/>
      <c r="J9" s="30" t="inlineStr"/>
      <c r="K9" s="15">
        <f>IF(OR(A9="",E9="",G9=0),"",E9/G9)</f>
        <v/>
      </c>
      <c r="L9" s="15">
        <f>IF(A9="","",MAX(0,E9-K9*MAX(0,GJ-YEAR(F9))))</f>
        <v/>
      </c>
    </row>
    <row r="10">
      <c r="A10" s="30" t="inlineStr"/>
      <c r="B10" s="30" t="inlineStr"/>
      <c r="C10" s="30" t="inlineStr"/>
      <c r="D10" s="30" t="inlineStr"/>
      <c r="E10" s="34" t="inlineStr"/>
      <c r="F10" s="38" t="inlineStr"/>
      <c r="G10" s="31" t="inlineStr"/>
      <c r="H10" s="34" t="inlineStr"/>
      <c r="I10" s="30" t="inlineStr"/>
      <c r="J10" s="30" t="inlineStr"/>
      <c r="K10" s="15">
        <f>IF(OR(A10="",E10="",G10=0),"",E10/G10)</f>
        <v/>
      </c>
      <c r="L10" s="15">
        <f>IF(A10="","",MAX(0,E10-K10*MAX(0,GJ-YEAR(F10))))</f>
        <v/>
      </c>
    </row>
    <row r="11">
      <c r="A11" s="30" t="inlineStr"/>
      <c r="B11" s="30" t="inlineStr"/>
      <c r="C11" s="30" t="inlineStr"/>
      <c r="D11" s="30" t="inlineStr"/>
      <c r="E11" s="34" t="inlineStr"/>
      <c r="F11" s="38" t="inlineStr"/>
      <c r="G11" s="31" t="inlineStr"/>
      <c r="H11" s="34" t="inlineStr"/>
      <c r="I11" s="30" t="inlineStr"/>
      <c r="J11" s="30" t="inlineStr"/>
      <c r="K11" s="15">
        <f>IF(OR(A11="",E11="",G11=0),"",E11/G11)</f>
        <v/>
      </c>
      <c r="L11" s="15">
        <f>IF(A11="","",MAX(0,E11-K11*MAX(0,GJ-YEAR(F11))))</f>
        <v/>
      </c>
    </row>
    <row r="12">
      <c r="A12" s="30" t="inlineStr"/>
      <c r="B12" s="30" t="inlineStr"/>
      <c r="C12" s="30" t="inlineStr"/>
      <c r="D12" s="30" t="inlineStr"/>
      <c r="E12" s="34" t="inlineStr"/>
      <c r="F12" s="38" t="inlineStr"/>
      <c r="G12" s="31" t="inlineStr"/>
      <c r="H12" s="34" t="inlineStr"/>
      <c r="I12" s="30" t="inlineStr"/>
      <c r="J12" s="30" t="inlineStr"/>
      <c r="K12" s="15">
        <f>IF(OR(A12="",E12="",G12=0),"",E12/G12)</f>
        <v/>
      </c>
      <c r="L12" s="15">
        <f>IF(A12="","",MAX(0,E12-K12*MAX(0,GJ-YEAR(F12))))</f>
        <v/>
      </c>
    </row>
    <row r="13">
      <c r="A13" s="30" t="inlineStr"/>
      <c r="B13" s="30" t="inlineStr"/>
      <c r="C13" s="30" t="inlineStr"/>
      <c r="D13" s="30" t="inlineStr"/>
      <c r="E13" s="34" t="inlineStr"/>
      <c r="F13" s="38" t="inlineStr"/>
      <c r="G13" s="31" t="inlineStr"/>
      <c r="H13" s="34" t="inlineStr"/>
      <c r="I13" s="30" t="inlineStr"/>
      <c r="J13" s="30" t="inlineStr"/>
      <c r="K13" s="15">
        <f>IF(OR(A13="",E13="",G13=0),"",E13/G13)</f>
        <v/>
      </c>
      <c r="L13" s="15">
        <f>IF(A13="","",MAX(0,E13-K13*MAX(0,GJ-YEAR(F13))))</f>
        <v/>
      </c>
    </row>
    <row r="14">
      <c r="A14" s="30" t="inlineStr"/>
      <c r="B14" s="30" t="inlineStr"/>
      <c r="C14" s="30" t="inlineStr"/>
      <c r="D14" s="30" t="inlineStr"/>
      <c r="E14" s="34" t="inlineStr"/>
      <c r="F14" s="38" t="inlineStr"/>
      <c r="G14" s="31" t="inlineStr"/>
      <c r="H14" s="34" t="inlineStr"/>
      <c r="I14" s="30" t="inlineStr"/>
      <c r="J14" s="30" t="inlineStr"/>
      <c r="K14" s="15">
        <f>IF(OR(A14="",E14="",G14=0),"",E14/G14)</f>
        <v/>
      </c>
      <c r="L14" s="15">
        <f>IF(A14="","",MAX(0,E14-K14*MAX(0,GJ-YEAR(F14))))</f>
        <v/>
      </c>
    </row>
    <row r="15">
      <c r="A15" s="30" t="inlineStr"/>
      <c r="B15" s="30" t="inlineStr"/>
      <c r="C15" s="30" t="inlineStr"/>
      <c r="D15" s="30" t="inlineStr"/>
      <c r="E15" s="34" t="inlineStr"/>
      <c r="F15" s="38" t="inlineStr"/>
      <c r="G15" s="31" t="inlineStr"/>
      <c r="H15" s="34" t="inlineStr"/>
      <c r="I15" s="30" t="inlineStr"/>
      <c r="J15" s="30" t="inlineStr"/>
      <c r="K15" s="15">
        <f>IF(OR(A15="",E15="",G15=0),"",E15/G15)</f>
        <v/>
      </c>
      <c r="L15" s="15">
        <f>IF(A15="","",MAX(0,E15-K15*MAX(0,GJ-YEAR(F15))))</f>
        <v/>
      </c>
    </row>
    <row r="16">
      <c r="A16" s="30" t="inlineStr"/>
      <c r="B16" s="30" t="inlineStr"/>
      <c r="C16" s="30" t="inlineStr"/>
      <c r="D16" s="30" t="inlineStr"/>
      <c r="E16" s="34" t="inlineStr"/>
      <c r="F16" s="38" t="inlineStr"/>
      <c r="G16" s="31" t="inlineStr"/>
      <c r="H16" s="34" t="inlineStr"/>
      <c r="I16" s="30" t="inlineStr"/>
      <c r="J16" s="30" t="inlineStr"/>
      <c r="K16" s="15">
        <f>IF(OR(A16="",E16="",G16=0),"",E16/G16)</f>
        <v/>
      </c>
      <c r="L16" s="15">
        <f>IF(A16="","",MAX(0,E16-K16*MAX(0,GJ-YEAR(F16))))</f>
        <v/>
      </c>
    </row>
    <row r="17">
      <c r="A17" s="30" t="inlineStr"/>
      <c r="B17" s="30" t="inlineStr"/>
      <c r="C17" s="30" t="inlineStr"/>
      <c r="D17" s="30" t="inlineStr"/>
      <c r="E17" s="34" t="inlineStr"/>
      <c r="F17" s="38" t="inlineStr"/>
      <c r="G17" s="31" t="inlineStr"/>
      <c r="H17" s="34" t="inlineStr"/>
      <c r="I17" s="30" t="inlineStr"/>
      <c r="J17" s="30" t="inlineStr"/>
      <c r="K17" s="15">
        <f>IF(OR(A17="",E17="",G17=0),"",E17/G17)</f>
        <v/>
      </c>
      <c r="L17" s="15">
        <f>IF(A17="","",MAX(0,E17-K17*MAX(0,GJ-YEAR(F17))))</f>
        <v/>
      </c>
    </row>
    <row r="18">
      <c r="A18" s="30" t="inlineStr"/>
      <c r="B18" s="30" t="inlineStr"/>
      <c r="C18" s="30" t="inlineStr"/>
      <c r="D18" s="30" t="inlineStr"/>
      <c r="E18" s="34" t="inlineStr"/>
      <c r="F18" s="38" t="inlineStr"/>
      <c r="G18" s="31" t="inlineStr"/>
      <c r="H18" s="34" t="inlineStr"/>
      <c r="I18" s="30" t="inlineStr"/>
      <c r="J18" s="30" t="inlineStr"/>
      <c r="K18" s="15">
        <f>IF(OR(A18="",E18="",G18=0),"",E18/G18)</f>
        <v/>
      </c>
      <c r="L18" s="15">
        <f>IF(A18="","",MAX(0,E18-K18*MAX(0,GJ-YEAR(F18))))</f>
        <v/>
      </c>
    </row>
    <row r="19">
      <c r="A19" s="30" t="inlineStr"/>
      <c r="B19" s="30" t="inlineStr"/>
      <c r="C19" s="30" t="inlineStr"/>
      <c r="D19" s="30" t="inlineStr"/>
      <c r="E19" s="34" t="inlineStr"/>
      <c r="F19" s="38" t="inlineStr"/>
      <c r="G19" s="31" t="inlineStr"/>
      <c r="H19" s="34" t="inlineStr"/>
      <c r="I19" s="30" t="inlineStr"/>
      <c r="J19" s="30" t="inlineStr"/>
      <c r="K19" s="15">
        <f>IF(OR(A19="",E19="",G19=0),"",E19/G19)</f>
        <v/>
      </c>
      <c r="L19" s="15">
        <f>IF(A19="","",MAX(0,E19-K19*MAX(0,GJ-YEAR(F19))))</f>
        <v/>
      </c>
    </row>
    <row r="20">
      <c r="A20" s="30" t="inlineStr"/>
      <c r="B20" s="30" t="inlineStr"/>
      <c r="C20" s="30" t="inlineStr"/>
      <c r="D20" s="30" t="inlineStr"/>
      <c r="E20" s="34" t="inlineStr"/>
      <c r="F20" s="38" t="inlineStr"/>
      <c r="G20" s="31" t="inlineStr"/>
      <c r="H20" s="34" t="inlineStr"/>
      <c r="I20" s="30" t="inlineStr"/>
      <c r="J20" s="30" t="inlineStr"/>
      <c r="K20" s="15">
        <f>IF(OR(A20="",E20="",G20=0),"",E20/G20)</f>
        <v/>
      </c>
      <c r="L20" s="15">
        <f>IF(A20="","",MAX(0,E20-K20*MAX(0,GJ-YEAR(F20))))</f>
        <v/>
      </c>
    </row>
    <row r="21">
      <c r="A21" s="30" t="inlineStr"/>
      <c r="B21" s="30" t="inlineStr"/>
      <c r="C21" s="30" t="inlineStr"/>
      <c r="D21" s="30" t="inlineStr"/>
      <c r="E21" s="34" t="inlineStr"/>
      <c r="F21" s="38" t="inlineStr"/>
      <c r="G21" s="31" t="inlineStr"/>
      <c r="H21" s="34" t="inlineStr"/>
      <c r="I21" s="30" t="inlineStr"/>
      <c r="J21" s="30" t="inlineStr"/>
      <c r="K21" s="15">
        <f>IF(OR(A21="",E21="",G21=0),"",E21/G21)</f>
        <v/>
      </c>
      <c r="L21" s="15">
        <f>IF(A21="","",MAX(0,E21-K21*MAX(0,GJ-YEAR(F21))))</f>
        <v/>
      </c>
    </row>
    <row r="22">
      <c r="A22" s="30" t="inlineStr"/>
      <c r="B22" s="30" t="inlineStr"/>
      <c r="C22" s="30" t="inlineStr"/>
      <c r="D22" s="30" t="inlineStr"/>
      <c r="E22" s="34" t="inlineStr"/>
      <c r="F22" s="38" t="inlineStr"/>
      <c r="G22" s="31" t="inlineStr"/>
      <c r="H22" s="34" t="inlineStr"/>
      <c r="I22" s="30" t="inlineStr"/>
      <c r="J22" s="30" t="inlineStr"/>
      <c r="K22" s="15">
        <f>IF(OR(A22="",E22="",G22=0),"",E22/G22)</f>
        <v/>
      </c>
      <c r="L22" s="15">
        <f>IF(A22="","",MAX(0,E22-K22*MAX(0,GJ-YEAR(F22))))</f>
        <v/>
      </c>
    </row>
    <row r="23">
      <c r="A23" s="30" t="inlineStr"/>
      <c r="B23" s="30" t="inlineStr"/>
      <c r="C23" s="30" t="inlineStr"/>
      <c r="D23" s="30" t="inlineStr"/>
      <c r="E23" s="34" t="inlineStr"/>
      <c r="F23" s="38" t="inlineStr"/>
      <c r="G23" s="31" t="inlineStr"/>
      <c r="H23" s="34" t="inlineStr"/>
      <c r="I23" s="30" t="inlineStr"/>
      <c r="J23" s="30" t="inlineStr"/>
      <c r="K23" s="15">
        <f>IF(OR(A23="",E23="",G23=0),"",E23/G23)</f>
        <v/>
      </c>
      <c r="L23" s="15">
        <f>IF(A23="","",MAX(0,E23-K23*MAX(0,GJ-YEAR(F23))))</f>
        <v/>
      </c>
    </row>
    <row r="24">
      <c r="A24" s="30" t="inlineStr"/>
      <c r="B24" s="30" t="inlineStr"/>
      <c r="C24" s="30" t="inlineStr"/>
      <c r="D24" s="30" t="inlineStr"/>
      <c r="E24" s="34" t="inlineStr"/>
      <c r="F24" s="38" t="inlineStr"/>
      <c r="G24" s="31" t="inlineStr"/>
      <c r="H24" s="34" t="inlineStr"/>
      <c r="I24" s="30" t="inlineStr"/>
      <c r="J24" s="30" t="inlineStr"/>
      <c r="K24" s="15">
        <f>IF(OR(A24="",E24="",G24=0),"",E24/G24)</f>
        <v/>
      </c>
      <c r="L24" s="15">
        <f>IF(A24="","",MAX(0,E24-K24*MAX(0,GJ-YEAR(F24))))</f>
        <v/>
      </c>
    </row>
    <row r="25">
      <c r="A25" s="30" t="inlineStr"/>
      <c r="B25" s="30" t="inlineStr"/>
      <c r="C25" s="30" t="inlineStr"/>
      <c r="D25" s="30" t="inlineStr"/>
      <c r="E25" s="34" t="inlineStr"/>
      <c r="F25" s="38" t="inlineStr"/>
      <c r="G25" s="31" t="inlineStr"/>
      <c r="H25" s="34" t="inlineStr"/>
      <c r="I25" s="30" t="inlineStr"/>
      <c r="J25" s="30" t="inlineStr"/>
      <c r="K25" s="15">
        <f>IF(OR(A25="",E25="",G25=0),"",E25/G25)</f>
        <v/>
      </c>
      <c r="L25" s="15">
        <f>IF(A25="","",MAX(0,E25-K25*MAX(0,GJ-YEAR(F25))))</f>
        <v/>
      </c>
    </row>
    <row r="26">
      <c r="A26" s="30" t="inlineStr"/>
      <c r="B26" s="30" t="inlineStr"/>
      <c r="C26" s="30" t="inlineStr"/>
      <c r="D26" s="30" t="inlineStr"/>
      <c r="E26" s="34" t="inlineStr"/>
      <c r="F26" s="38" t="inlineStr"/>
      <c r="G26" s="31" t="inlineStr"/>
      <c r="H26" s="34" t="inlineStr"/>
      <c r="I26" s="30" t="inlineStr"/>
      <c r="J26" s="30" t="inlineStr"/>
      <c r="K26" s="15">
        <f>IF(OR(A26="",E26="",G26=0),"",E26/G26)</f>
        <v/>
      </c>
      <c r="L26" s="15">
        <f>IF(A26="","",MAX(0,E26-K26*MAX(0,GJ-YEAR(F26))))</f>
        <v/>
      </c>
    </row>
    <row r="27">
      <c r="A27" s="30" t="inlineStr"/>
      <c r="B27" s="30" t="inlineStr"/>
      <c r="C27" s="30" t="inlineStr"/>
      <c r="D27" s="30" t="inlineStr"/>
      <c r="E27" s="34" t="inlineStr"/>
      <c r="F27" s="38" t="inlineStr"/>
      <c r="G27" s="31" t="inlineStr"/>
      <c r="H27" s="34" t="inlineStr"/>
      <c r="I27" s="30" t="inlineStr"/>
      <c r="J27" s="30" t="inlineStr"/>
      <c r="K27" s="15">
        <f>IF(OR(A27="",E27="",G27=0),"",E27/G27)</f>
        <v/>
      </c>
      <c r="L27" s="15">
        <f>IF(A27="","",MAX(0,E27-K27*MAX(0,GJ-YEAR(F27))))</f>
        <v/>
      </c>
    </row>
    <row r="28">
      <c r="A28" s="30" t="inlineStr"/>
      <c r="B28" s="30" t="inlineStr"/>
      <c r="C28" s="30" t="inlineStr"/>
      <c r="D28" s="30" t="inlineStr"/>
      <c r="E28" s="34" t="inlineStr"/>
      <c r="F28" s="38" t="inlineStr"/>
      <c r="G28" s="31" t="inlineStr"/>
      <c r="H28" s="34" t="inlineStr"/>
      <c r="I28" s="30" t="inlineStr"/>
      <c r="J28" s="30" t="inlineStr"/>
      <c r="K28" s="15">
        <f>IF(OR(A28="",E28="",G28=0),"",E28/G28)</f>
        <v/>
      </c>
      <c r="L28" s="15">
        <f>IF(A28="","",MAX(0,E28-K28*MAX(0,GJ-YEAR(F28))))</f>
        <v/>
      </c>
    </row>
    <row r="29">
      <c r="A29" s="30" t="inlineStr"/>
      <c r="B29" s="30" t="inlineStr"/>
      <c r="C29" s="30" t="inlineStr"/>
      <c r="D29" s="30" t="inlineStr"/>
      <c r="E29" s="34" t="inlineStr"/>
      <c r="F29" s="38" t="inlineStr"/>
      <c r="G29" s="31" t="inlineStr"/>
      <c r="H29" s="34" t="inlineStr"/>
      <c r="I29" s="30" t="inlineStr"/>
      <c r="J29" s="30" t="inlineStr"/>
      <c r="K29" s="15">
        <f>IF(OR(A29="",E29="",G29=0),"",E29/G29)</f>
        <v/>
      </c>
      <c r="L29" s="15">
        <f>IF(A29="","",MAX(0,E29-K29*MAX(0,GJ-YEAR(F29))))</f>
        <v/>
      </c>
    </row>
    <row r="30">
      <c r="A30" s="30" t="inlineStr"/>
      <c r="B30" s="30" t="inlineStr"/>
      <c r="C30" s="30" t="inlineStr"/>
      <c r="D30" s="30" t="inlineStr"/>
      <c r="E30" s="34" t="inlineStr"/>
      <c r="F30" s="38" t="inlineStr"/>
      <c r="G30" s="31" t="inlineStr"/>
      <c r="H30" s="34" t="inlineStr"/>
      <c r="I30" s="30" t="inlineStr"/>
      <c r="J30" s="30" t="inlineStr"/>
      <c r="K30" s="15">
        <f>IF(OR(A30="",E30="",G30=0),"",E30/G30)</f>
        <v/>
      </c>
      <c r="L30" s="15">
        <f>IF(A30="","",MAX(0,E30-K30*MAX(0,GJ-YEAR(F30))))</f>
        <v/>
      </c>
    </row>
    <row r="31">
      <c r="A31" s="30" t="inlineStr"/>
      <c r="B31" s="30" t="inlineStr"/>
      <c r="C31" s="30" t="inlineStr"/>
      <c r="D31" s="30" t="inlineStr"/>
      <c r="E31" s="34" t="inlineStr"/>
      <c r="F31" s="38" t="inlineStr"/>
      <c r="G31" s="31" t="inlineStr"/>
      <c r="H31" s="34" t="inlineStr"/>
      <c r="I31" s="30" t="inlineStr"/>
      <c r="J31" s="30" t="inlineStr"/>
      <c r="K31" s="15">
        <f>IF(OR(A31="",E31="",G31=0),"",E31/G31)</f>
        <v/>
      </c>
      <c r="L31" s="15">
        <f>IF(A31="","",MAX(0,E31-K31*MAX(0,GJ-YEAR(F31))))</f>
        <v/>
      </c>
    </row>
    <row r="32">
      <c r="A32" s="30" t="inlineStr"/>
      <c r="B32" s="30" t="inlineStr"/>
      <c r="C32" s="30" t="inlineStr"/>
      <c r="D32" s="30" t="inlineStr"/>
      <c r="E32" s="34" t="inlineStr"/>
      <c r="F32" s="38" t="inlineStr"/>
      <c r="G32" s="31" t="inlineStr"/>
      <c r="H32" s="34" t="inlineStr"/>
      <c r="I32" s="30" t="inlineStr"/>
      <c r="J32" s="30" t="inlineStr"/>
      <c r="K32" s="15">
        <f>IF(OR(A32="",E32="",G32=0),"",E32/G32)</f>
        <v/>
      </c>
      <c r="L32" s="15">
        <f>IF(A32="","",MAX(0,E32-K32*MAX(0,GJ-YEAR(F32))))</f>
        <v/>
      </c>
    </row>
    <row r="33">
      <c r="A33" s="30" t="inlineStr"/>
      <c r="B33" s="30" t="inlineStr"/>
      <c r="C33" s="30" t="inlineStr"/>
      <c r="D33" s="30" t="inlineStr"/>
      <c r="E33" s="34" t="inlineStr"/>
      <c r="F33" s="38" t="inlineStr"/>
      <c r="G33" s="31" t="inlineStr"/>
      <c r="H33" s="34" t="inlineStr"/>
      <c r="I33" s="30" t="inlineStr"/>
      <c r="J33" s="30" t="inlineStr"/>
      <c r="K33" s="15">
        <f>IF(OR(A33="",E33="",G33=0),"",E33/G33)</f>
        <v/>
      </c>
      <c r="L33" s="15">
        <f>IF(A33="","",MAX(0,E33-K33*MAX(0,GJ-YEAR(F33))))</f>
        <v/>
      </c>
    </row>
    <row r="34">
      <c r="A34" s="30" t="inlineStr"/>
      <c r="B34" s="30" t="inlineStr"/>
      <c r="C34" s="30" t="inlineStr"/>
      <c r="D34" s="30" t="inlineStr"/>
      <c r="E34" s="34" t="inlineStr"/>
      <c r="F34" s="38" t="inlineStr"/>
      <c r="G34" s="31" t="inlineStr"/>
      <c r="H34" s="34" t="inlineStr"/>
      <c r="I34" s="30" t="inlineStr"/>
      <c r="J34" s="30" t="inlineStr"/>
      <c r="K34" s="15">
        <f>IF(OR(A34="",E34="",G34=0),"",E34/G34)</f>
        <v/>
      </c>
      <c r="L34" s="15">
        <f>IF(A34="","",MAX(0,E34-K34*MAX(0,GJ-YEAR(F34))))</f>
        <v/>
      </c>
    </row>
    <row r="35">
      <c r="A35" s="30" t="inlineStr"/>
      <c r="B35" s="30" t="inlineStr"/>
      <c r="C35" s="30" t="inlineStr"/>
      <c r="D35" s="30" t="inlineStr"/>
      <c r="E35" s="34" t="inlineStr"/>
      <c r="F35" s="38" t="inlineStr"/>
      <c r="G35" s="31" t="inlineStr"/>
      <c r="H35" s="34" t="inlineStr"/>
      <c r="I35" s="30" t="inlineStr"/>
      <c r="J35" s="30" t="inlineStr"/>
      <c r="K35" s="15">
        <f>IF(OR(A35="",E35="",G35=0),"",E35/G35)</f>
        <v/>
      </c>
      <c r="L35" s="15">
        <f>IF(A35="","",MAX(0,E35-K35*MAX(0,GJ-YEAR(F35))))</f>
        <v/>
      </c>
    </row>
    <row r="36">
      <c r="A36" s="30" t="inlineStr"/>
      <c r="B36" s="30" t="inlineStr"/>
      <c r="C36" s="30" t="inlineStr"/>
      <c r="D36" s="30" t="inlineStr"/>
      <c r="E36" s="34" t="inlineStr"/>
      <c r="F36" s="38" t="inlineStr"/>
      <c r="G36" s="31" t="inlineStr"/>
      <c r="H36" s="34" t="inlineStr"/>
      <c r="I36" s="30" t="inlineStr"/>
      <c r="J36" s="30" t="inlineStr"/>
      <c r="K36" s="15">
        <f>IF(OR(A36="",E36="",G36=0),"",E36/G36)</f>
        <v/>
      </c>
      <c r="L36" s="15">
        <f>IF(A36="","",MAX(0,E36-K36*MAX(0,GJ-YEAR(F36))))</f>
        <v/>
      </c>
    </row>
    <row r="37">
      <c r="A37" s="30" t="inlineStr"/>
      <c r="B37" s="30" t="inlineStr"/>
      <c r="C37" s="30" t="inlineStr"/>
      <c r="D37" s="30" t="inlineStr"/>
      <c r="E37" s="34" t="inlineStr"/>
      <c r="F37" s="38" t="inlineStr"/>
      <c r="G37" s="31" t="inlineStr"/>
      <c r="H37" s="34" t="inlineStr"/>
      <c r="I37" s="30" t="inlineStr"/>
      <c r="J37" s="30" t="inlineStr"/>
      <c r="K37" s="15">
        <f>IF(OR(A37="",E37="",G37=0),"",E37/G37)</f>
        <v/>
      </c>
      <c r="L37" s="15">
        <f>IF(A37="","",MAX(0,E37-K37*MAX(0,GJ-YEAR(F37))))</f>
        <v/>
      </c>
    </row>
    <row r="38">
      <c r="A38" s="30" t="inlineStr"/>
      <c r="B38" s="30" t="inlineStr"/>
      <c r="C38" s="30" t="inlineStr"/>
      <c r="D38" s="30" t="inlineStr"/>
      <c r="E38" s="34" t="inlineStr"/>
      <c r="F38" s="38" t="inlineStr"/>
      <c r="G38" s="31" t="inlineStr"/>
      <c r="H38" s="34" t="inlineStr"/>
      <c r="I38" s="30" t="inlineStr"/>
      <c r="J38" s="30" t="inlineStr"/>
      <c r="K38" s="15">
        <f>IF(OR(A38="",E38="",G38=0),"",E38/G38)</f>
        <v/>
      </c>
      <c r="L38" s="15">
        <f>IF(A38="","",MAX(0,E38-K38*MAX(0,GJ-YEAR(F38))))</f>
        <v/>
      </c>
    </row>
    <row r="39">
      <c r="A39" s="30" t="inlineStr"/>
      <c r="B39" s="30" t="inlineStr"/>
      <c r="C39" s="30" t="inlineStr"/>
      <c r="D39" s="30" t="inlineStr"/>
      <c r="E39" s="34" t="inlineStr"/>
      <c r="F39" s="38" t="inlineStr"/>
      <c r="G39" s="31" t="inlineStr"/>
      <c r="H39" s="34" t="inlineStr"/>
      <c r="I39" s="30" t="inlineStr"/>
      <c r="J39" s="30" t="inlineStr"/>
      <c r="K39" s="15">
        <f>IF(OR(A39="",E39="",G39=0),"",E39/G39)</f>
        <v/>
      </c>
      <c r="L39" s="15">
        <f>IF(A39="","",MAX(0,E39-K39*MAX(0,GJ-YEAR(F39))))</f>
        <v/>
      </c>
    </row>
    <row r="40">
      <c r="A40" s="30" t="inlineStr"/>
      <c r="B40" s="30" t="inlineStr"/>
      <c r="C40" s="30" t="inlineStr"/>
      <c r="D40" s="30" t="inlineStr"/>
      <c r="E40" s="34" t="inlineStr"/>
      <c r="F40" s="38" t="inlineStr"/>
      <c r="G40" s="31" t="inlineStr"/>
      <c r="H40" s="34" t="inlineStr"/>
      <c r="I40" s="30" t="inlineStr"/>
      <c r="J40" s="30" t="inlineStr"/>
      <c r="K40" s="15">
        <f>IF(OR(A40="",E40="",G40=0),"",E40/G40)</f>
        <v/>
      </c>
      <c r="L40" s="15">
        <f>IF(A40="","",MAX(0,E40-K40*MAX(0,GJ-YEAR(F40))))</f>
        <v/>
      </c>
    </row>
    <row r="41">
      <c r="A41" s="30" t="inlineStr"/>
      <c r="B41" s="30" t="inlineStr"/>
      <c r="C41" s="30" t="inlineStr"/>
      <c r="D41" s="30" t="inlineStr"/>
      <c r="E41" s="34" t="inlineStr"/>
      <c r="F41" s="38" t="inlineStr"/>
      <c r="G41" s="31" t="inlineStr"/>
      <c r="H41" s="34" t="inlineStr"/>
      <c r="I41" s="30" t="inlineStr"/>
      <c r="J41" s="30" t="inlineStr"/>
      <c r="K41" s="15">
        <f>IF(OR(A41="",E41="",G41=0),"",E41/G41)</f>
        <v/>
      </c>
      <c r="L41" s="15">
        <f>IF(A41="","",MAX(0,E41-K41*MAX(0,GJ-YEAR(F41))))</f>
        <v/>
      </c>
    </row>
    <row r="42">
      <c r="A42" s="30" t="inlineStr"/>
      <c r="B42" s="30" t="inlineStr"/>
      <c r="C42" s="30" t="inlineStr"/>
      <c r="D42" s="30" t="inlineStr"/>
      <c r="E42" s="34" t="inlineStr"/>
      <c r="F42" s="38" t="inlineStr"/>
      <c r="G42" s="31" t="inlineStr"/>
      <c r="H42" s="34" t="inlineStr"/>
      <c r="I42" s="30" t="inlineStr"/>
      <c r="J42" s="30" t="inlineStr"/>
      <c r="K42" s="15">
        <f>IF(OR(A42="",E42="",G42=0),"",E42/G42)</f>
        <v/>
      </c>
      <c r="L42" s="15">
        <f>IF(A42="","",MAX(0,E42-K42*MAX(0,GJ-YEAR(F42))))</f>
        <v/>
      </c>
    </row>
    <row r="43">
      <c r="A43" s="30" t="inlineStr"/>
      <c r="B43" s="30" t="inlineStr"/>
      <c r="C43" s="30" t="inlineStr"/>
      <c r="D43" s="30" t="inlineStr"/>
      <c r="E43" s="34" t="inlineStr"/>
      <c r="F43" s="38" t="inlineStr"/>
      <c r="G43" s="31" t="inlineStr"/>
      <c r="H43" s="34" t="inlineStr"/>
      <c r="I43" s="30" t="inlineStr"/>
      <c r="J43" s="30" t="inlineStr"/>
      <c r="K43" s="15">
        <f>IF(OR(A43="",E43="",G43=0),"",E43/G43)</f>
        <v/>
      </c>
      <c r="L43" s="15">
        <f>IF(A43="","",MAX(0,E43-K43*MAX(0,GJ-YEAR(F43))))</f>
        <v/>
      </c>
    </row>
    <row r="44">
      <c r="A44" s="30" t="inlineStr"/>
      <c r="B44" s="30" t="inlineStr"/>
      <c r="C44" s="30" t="inlineStr"/>
      <c r="D44" s="30" t="inlineStr"/>
      <c r="E44" s="34" t="inlineStr"/>
      <c r="F44" s="38" t="inlineStr"/>
      <c r="G44" s="31" t="inlineStr"/>
      <c r="H44" s="34" t="inlineStr"/>
      <c r="I44" s="30" t="inlineStr"/>
      <c r="J44" s="30" t="inlineStr"/>
      <c r="K44" s="15">
        <f>IF(OR(A44="",E44="",G44=0),"",E44/G44)</f>
        <v/>
      </c>
      <c r="L44" s="15">
        <f>IF(A44="","",MAX(0,E44-K44*MAX(0,GJ-YEAR(F44))))</f>
        <v/>
      </c>
    </row>
    <row r="45">
      <c r="A45" s="30" t="inlineStr"/>
      <c r="B45" s="30" t="inlineStr"/>
      <c r="C45" s="30" t="inlineStr"/>
      <c r="D45" s="30" t="inlineStr"/>
      <c r="E45" s="34" t="inlineStr"/>
      <c r="F45" s="38" t="inlineStr"/>
      <c r="G45" s="31" t="inlineStr"/>
      <c r="H45" s="34" t="inlineStr"/>
      <c r="I45" s="30" t="inlineStr"/>
      <c r="J45" s="30" t="inlineStr"/>
      <c r="K45" s="15">
        <f>IF(OR(A45="",E45="",G45=0),"",E45/G45)</f>
        <v/>
      </c>
      <c r="L45" s="15">
        <f>IF(A45="","",MAX(0,E45-K45*MAX(0,GJ-YEAR(F45))))</f>
        <v/>
      </c>
    </row>
    <row r="46">
      <c r="A46" s="30" t="inlineStr"/>
      <c r="B46" s="30" t="inlineStr"/>
      <c r="C46" s="30" t="inlineStr"/>
      <c r="D46" s="30" t="inlineStr"/>
      <c r="E46" s="34" t="inlineStr"/>
      <c r="F46" s="38" t="inlineStr"/>
      <c r="G46" s="31" t="inlineStr"/>
      <c r="H46" s="34" t="inlineStr"/>
      <c r="I46" s="30" t="inlineStr"/>
      <c r="J46" s="30" t="inlineStr"/>
      <c r="K46" s="15">
        <f>IF(OR(A46="",E46="",G46=0),"",E46/G46)</f>
        <v/>
      </c>
      <c r="L46" s="15">
        <f>IF(A46="","",MAX(0,E46-K46*MAX(0,GJ-YEAR(F46))))</f>
        <v/>
      </c>
    </row>
    <row r="47">
      <c r="A47" s="30" t="inlineStr"/>
      <c r="B47" s="30" t="inlineStr"/>
      <c r="C47" s="30" t="inlineStr"/>
      <c r="D47" s="30" t="inlineStr"/>
      <c r="E47" s="34" t="inlineStr"/>
      <c r="F47" s="38" t="inlineStr"/>
      <c r="G47" s="31" t="inlineStr"/>
      <c r="H47" s="34" t="inlineStr"/>
      <c r="I47" s="30" t="inlineStr"/>
      <c r="J47" s="30" t="inlineStr"/>
      <c r="K47" s="15">
        <f>IF(OR(A47="",E47="",G47=0),"",E47/G47)</f>
        <v/>
      </c>
      <c r="L47" s="15">
        <f>IF(A47="","",MAX(0,E47-K47*MAX(0,GJ-YEAR(F47))))</f>
        <v/>
      </c>
    </row>
    <row r="48">
      <c r="A48" s="30" t="inlineStr"/>
      <c r="B48" s="30" t="inlineStr"/>
      <c r="C48" s="30" t="inlineStr"/>
      <c r="D48" s="30" t="inlineStr"/>
      <c r="E48" s="34" t="inlineStr"/>
      <c r="F48" s="38" t="inlineStr"/>
      <c r="G48" s="31" t="inlineStr"/>
      <c r="H48" s="34" t="inlineStr"/>
      <c r="I48" s="30" t="inlineStr"/>
      <c r="J48" s="30" t="inlineStr"/>
      <c r="K48" s="15">
        <f>IF(OR(A48="",E48="",G48=0),"",E48/G48)</f>
        <v/>
      </c>
      <c r="L48" s="15">
        <f>IF(A48="","",MAX(0,E48-K48*MAX(0,GJ-YEAR(F48))))</f>
        <v/>
      </c>
    </row>
    <row r="49">
      <c r="A49" s="30" t="inlineStr"/>
      <c r="B49" s="30" t="inlineStr"/>
      <c r="C49" s="30" t="inlineStr"/>
      <c r="D49" s="30" t="inlineStr"/>
      <c r="E49" s="34" t="inlineStr"/>
      <c r="F49" s="38" t="inlineStr"/>
      <c r="G49" s="31" t="inlineStr"/>
      <c r="H49" s="34" t="inlineStr"/>
      <c r="I49" s="30" t="inlineStr"/>
      <c r="J49" s="30" t="inlineStr"/>
      <c r="K49" s="15">
        <f>IF(OR(A49="",E49="",G49=0),"",E49/G49)</f>
        <v/>
      </c>
      <c r="L49" s="15">
        <f>IF(A49="","",MAX(0,E49-K49*MAX(0,GJ-YEAR(F49))))</f>
        <v/>
      </c>
    </row>
    <row r="50">
      <c r="A50" s="30" t="inlineStr"/>
      <c r="B50" s="30" t="inlineStr"/>
      <c r="C50" s="30" t="inlineStr"/>
      <c r="D50" s="30" t="inlineStr"/>
      <c r="E50" s="34" t="inlineStr"/>
      <c r="F50" s="38" t="inlineStr"/>
      <c r="G50" s="31" t="inlineStr"/>
      <c r="H50" s="34" t="inlineStr"/>
      <c r="I50" s="30" t="inlineStr"/>
      <c r="J50" s="30" t="inlineStr"/>
      <c r="K50" s="15">
        <f>IF(OR(A50="",E50="",G50=0),"",E50/G50)</f>
        <v/>
      </c>
      <c r="L50" s="15">
        <f>IF(A50="","",MAX(0,E50-K50*MAX(0,GJ-YEAR(F50))))</f>
        <v/>
      </c>
    </row>
    <row r="51">
      <c r="A51" s="30" t="inlineStr"/>
      <c r="B51" s="30" t="inlineStr"/>
      <c r="C51" s="30" t="inlineStr"/>
      <c r="D51" s="30" t="inlineStr"/>
      <c r="E51" s="34" t="inlineStr"/>
      <c r="F51" s="38" t="inlineStr"/>
      <c r="G51" s="31" t="inlineStr"/>
      <c r="H51" s="34" t="inlineStr"/>
      <c r="I51" s="30" t="inlineStr"/>
      <c r="J51" s="30" t="inlineStr"/>
      <c r="K51" s="15">
        <f>IF(OR(A51="",E51="",G51=0),"",E51/G51)</f>
        <v/>
      </c>
      <c r="L51" s="15">
        <f>IF(A51="","",MAX(0,E51-K51*MAX(0,GJ-YEAR(F51))))</f>
        <v/>
      </c>
    </row>
    <row r="52">
      <c r="A52" s="30" t="inlineStr"/>
      <c r="B52" s="30" t="inlineStr"/>
      <c r="C52" s="30" t="inlineStr"/>
      <c r="D52" s="30" t="inlineStr"/>
      <c r="E52" s="34" t="inlineStr"/>
      <c r="F52" s="38" t="inlineStr"/>
      <c r="G52" s="31" t="inlineStr"/>
      <c r="H52" s="34" t="inlineStr"/>
      <c r="I52" s="30" t="inlineStr"/>
      <c r="J52" s="30" t="inlineStr"/>
      <c r="K52" s="15">
        <f>IF(OR(A52="",E52="",G52=0),"",E52/G52)</f>
        <v/>
      </c>
      <c r="L52" s="15">
        <f>IF(A52="","",MAX(0,E52-K52*MAX(0,GJ-YEAR(F52))))</f>
        <v/>
      </c>
    </row>
    <row r="53">
      <c r="A53" s="30" t="inlineStr"/>
      <c r="B53" s="30" t="inlineStr"/>
      <c r="C53" s="30" t="inlineStr"/>
      <c r="D53" s="30" t="inlineStr"/>
      <c r="E53" s="34" t="inlineStr"/>
      <c r="F53" s="38" t="inlineStr"/>
      <c r="G53" s="31" t="inlineStr"/>
      <c r="H53" s="34" t="inlineStr"/>
      <c r="I53" s="30" t="inlineStr"/>
      <c r="J53" s="30" t="inlineStr"/>
      <c r="K53" s="15">
        <f>IF(OR(A53="",E53="",G53=0),"",E53/G53)</f>
        <v/>
      </c>
      <c r="L53" s="15">
        <f>IF(A53="","",MAX(0,E53-K53*MAX(0,GJ-YEAR(F53))))</f>
        <v/>
      </c>
    </row>
    <row r="54">
      <c r="A54" s="30" t="inlineStr"/>
      <c r="B54" s="30" t="inlineStr"/>
      <c r="C54" s="30" t="inlineStr"/>
      <c r="D54" s="30" t="inlineStr"/>
      <c r="E54" s="34" t="inlineStr"/>
      <c r="F54" s="38" t="inlineStr"/>
      <c r="G54" s="31" t="inlineStr"/>
      <c r="H54" s="34" t="inlineStr"/>
      <c r="I54" s="30" t="inlineStr"/>
      <c r="J54" s="30" t="inlineStr"/>
      <c r="K54" s="15">
        <f>IF(OR(A54="",E54="",G54=0),"",E54/G54)</f>
        <v/>
      </c>
      <c r="L54" s="15">
        <f>IF(A54="","",MAX(0,E54-K54*MAX(0,GJ-YEAR(F54))))</f>
        <v/>
      </c>
    </row>
    <row r="55">
      <c r="A55" s="30" t="inlineStr"/>
      <c r="B55" s="30" t="inlineStr"/>
      <c r="C55" s="30" t="inlineStr"/>
      <c r="D55" s="30" t="inlineStr"/>
      <c r="E55" s="34" t="inlineStr"/>
      <c r="F55" s="38" t="inlineStr"/>
      <c r="G55" s="31" t="inlineStr"/>
      <c r="H55" s="34" t="inlineStr"/>
      <c r="I55" s="30" t="inlineStr"/>
      <c r="J55" s="30" t="inlineStr"/>
      <c r="K55" s="15">
        <f>IF(OR(A55="",E55="",G55=0),"",E55/G55)</f>
        <v/>
      </c>
      <c r="L55" s="15">
        <f>IF(A55="","",MAX(0,E55-K55*MAX(0,GJ-YEAR(F55))))</f>
        <v/>
      </c>
    </row>
    <row r="56">
      <c r="A56" s="30" t="inlineStr"/>
      <c r="B56" s="30" t="inlineStr"/>
      <c r="C56" s="30" t="inlineStr"/>
      <c r="D56" s="30" t="inlineStr"/>
      <c r="E56" s="34" t="inlineStr"/>
      <c r="F56" s="38" t="inlineStr"/>
      <c r="G56" s="31" t="inlineStr"/>
      <c r="H56" s="34" t="inlineStr"/>
      <c r="I56" s="30" t="inlineStr"/>
      <c r="J56" s="30" t="inlineStr"/>
      <c r="K56" s="15">
        <f>IF(OR(A56="",E56="",G56=0),"",E56/G56)</f>
        <v/>
      </c>
      <c r="L56" s="15">
        <f>IF(A56="","",MAX(0,E56-K56*MAX(0,GJ-YEAR(F56))))</f>
        <v/>
      </c>
    </row>
    <row r="57">
      <c r="A57" s="30" t="inlineStr"/>
      <c r="B57" s="30" t="inlineStr"/>
      <c r="C57" s="30" t="inlineStr"/>
      <c r="D57" s="30" t="inlineStr"/>
      <c r="E57" s="34" t="inlineStr"/>
      <c r="F57" s="38" t="inlineStr"/>
      <c r="G57" s="31" t="inlineStr"/>
      <c r="H57" s="34" t="inlineStr"/>
      <c r="I57" s="30" t="inlineStr"/>
      <c r="J57" s="30" t="inlineStr"/>
      <c r="K57" s="15">
        <f>IF(OR(A57="",E57="",G57=0),"",E57/G57)</f>
        <v/>
      </c>
      <c r="L57" s="15">
        <f>IF(A57="","",MAX(0,E57-K57*MAX(0,GJ-YEAR(F57))))</f>
        <v/>
      </c>
    </row>
    <row r="58">
      <c r="A58" s="30" t="inlineStr"/>
      <c r="B58" s="30" t="inlineStr"/>
      <c r="C58" s="30" t="inlineStr"/>
      <c r="D58" s="30" t="inlineStr"/>
      <c r="E58" s="34" t="inlineStr"/>
      <c r="F58" s="38" t="inlineStr"/>
      <c r="G58" s="31" t="inlineStr"/>
      <c r="H58" s="34" t="inlineStr"/>
      <c r="I58" s="30" t="inlineStr"/>
      <c r="J58" s="30" t="inlineStr"/>
      <c r="K58" s="15">
        <f>IF(OR(A58="",E58="",G58=0),"",E58/G58)</f>
        <v/>
      </c>
      <c r="L58" s="15">
        <f>IF(A58="","",MAX(0,E58-K58*MAX(0,GJ-YEAR(F58))))</f>
        <v/>
      </c>
    </row>
    <row r="59">
      <c r="A59" s="30" t="inlineStr"/>
      <c r="B59" s="30" t="inlineStr"/>
      <c r="C59" s="30" t="inlineStr"/>
      <c r="D59" s="30" t="inlineStr"/>
      <c r="E59" s="34" t="inlineStr"/>
      <c r="F59" s="38" t="inlineStr"/>
      <c r="G59" s="31" t="inlineStr"/>
      <c r="H59" s="34" t="inlineStr"/>
      <c r="I59" s="30" t="inlineStr"/>
      <c r="J59" s="30" t="inlineStr"/>
      <c r="K59" s="15">
        <f>IF(OR(A59="",E59="",G59=0),"",E59/G59)</f>
        <v/>
      </c>
      <c r="L59" s="15">
        <f>IF(A59="","",MAX(0,E59-K59*MAX(0,GJ-YEAR(F59))))</f>
        <v/>
      </c>
    </row>
    <row r="60">
      <c r="A60" s="30" t="inlineStr"/>
      <c r="B60" s="30" t="inlineStr"/>
      <c r="C60" s="30" t="inlineStr"/>
      <c r="D60" s="30" t="inlineStr"/>
      <c r="E60" s="34" t="inlineStr"/>
      <c r="F60" s="38" t="inlineStr"/>
      <c r="G60" s="31" t="inlineStr"/>
      <c r="H60" s="34" t="inlineStr"/>
      <c r="I60" s="30" t="inlineStr"/>
      <c r="J60" s="30" t="inlineStr"/>
      <c r="K60" s="15">
        <f>IF(OR(A60="",E60="",G60=0),"",E60/G60)</f>
        <v/>
      </c>
      <c r="L60" s="15">
        <f>IF(A60="","",MAX(0,E60-K60*MAX(0,GJ-YEAR(F60))))</f>
        <v/>
      </c>
    </row>
    <row r="61">
      <c r="A61" s="30" t="inlineStr"/>
      <c r="B61" s="30" t="inlineStr"/>
      <c r="C61" s="30" t="inlineStr"/>
      <c r="D61" s="30" t="inlineStr"/>
      <c r="E61" s="34" t="inlineStr"/>
      <c r="F61" s="38" t="inlineStr"/>
      <c r="G61" s="31" t="inlineStr"/>
      <c r="H61" s="34" t="inlineStr"/>
      <c r="I61" s="30" t="inlineStr"/>
      <c r="J61" s="30" t="inlineStr"/>
      <c r="K61" s="15">
        <f>IF(OR(A61="",E61="",G61=0),"",E61/G61)</f>
        <v/>
      </c>
      <c r="L61" s="15">
        <f>IF(A61="","",MAX(0,E61-K61*MAX(0,GJ-YEAR(F61))))</f>
        <v/>
      </c>
    </row>
    <row r="62">
      <c r="A62" s="30" t="inlineStr"/>
      <c r="B62" s="30" t="inlineStr"/>
      <c r="C62" s="30" t="inlineStr"/>
      <c r="D62" s="30" t="inlineStr"/>
      <c r="E62" s="34" t="inlineStr"/>
      <c r="F62" s="38" t="inlineStr"/>
      <c r="G62" s="31" t="inlineStr"/>
      <c r="H62" s="34" t="inlineStr"/>
      <c r="I62" s="30" t="inlineStr"/>
      <c r="J62" s="30" t="inlineStr"/>
      <c r="K62" s="15">
        <f>IF(OR(A62="",E62="",G62=0),"",E62/G62)</f>
        <v/>
      </c>
      <c r="L62" s="15">
        <f>IF(A62="","",MAX(0,E62-K62*MAX(0,GJ-YEAR(F62))))</f>
        <v/>
      </c>
    </row>
    <row r="63">
      <c r="A63" s="30" t="inlineStr"/>
      <c r="B63" s="30" t="inlineStr"/>
      <c r="C63" s="30" t="inlineStr"/>
      <c r="D63" s="30" t="inlineStr"/>
      <c r="E63" s="34" t="inlineStr"/>
      <c r="F63" s="38" t="inlineStr"/>
      <c r="G63" s="31" t="inlineStr"/>
      <c r="H63" s="34" t="inlineStr"/>
      <c r="I63" s="30" t="inlineStr"/>
      <c r="J63" s="30" t="inlineStr"/>
      <c r="K63" s="15">
        <f>IF(OR(A63="",E63="",G63=0),"",E63/G63)</f>
        <v/>
      </c>
      <c r="L63" s="15">
        <f>IF(A63="","",MAX(0,E63-K63*MAX(0,GJ-YEAR(F63))))</f>
        <v/>
      </c>
    </row>
    <row r="64">
      <c r="A64" s="30" t="inlineStr"/>
      <c r="B64" s="30" t="inlineStr"/>
      <c r="C64" s="30" t="inlineStr"/>
      <c r="D64" s="30" t="inlineStr"/>
      <c r="E64" s="34" t="inlineStr"/>
      <c r="F64" s="38" t="inlineStr"/>
      <c r="G64" s="31" t="inlineStr"/>
      <c r="H64" s="34" t="inlineStr"/>
      <c r="I64" s="30" t="inlineStr"/>
      <c r="J64" s="30" t="inlineStr"/>
      <c r="K64" s="15">
        <f>IF(OR(A64="",E64="",G64=0),"",E64/G64)</f>
        <v/>
      </c>
      <c r="L64" s="15">
        <f>IF(A64="","",MAX(0,E64-K64*MAX(0,GJ-YEAR(F64))))</f>
        <v/>
      </c>
    </row>
    <row r="65">
      <c r="A65" s="30" t="inlineStr"/>
      <c r="B65" s="30" t="inlineStr"/>
      <c r="C65" s="30" t="inlineStr"/>
      <c r="D65" s="30" t="inlineStr"/>
      <c r="E65" s="34" t="inlineStr"/>
      <c r="F65" s="38" t="inlineStr"/>
      <c r="G65" s="31" t="inlineStr"/>
      <c r="H65" s="34" t="inlineStr"/>
      <c r="I65" s="30" t="inlineStr"/>
      <c r="J65" s="30" t="inlineStr"/>
      <c r="K65" s="15">
        <f>IF(OR(A65="",E65="",G65=0),"",E65/G65)</f>
        <v/>
      </c>
      <c r="L65" s="15">
        <f>IF(A65="","",MAX(0,E65-K65*MAX(0,GJ-YEAR(F65))))</f>
        <v/>
      </c>
    </row>
    <row r="66">
      <c r="A66" s="30" t="inlineStr"/>
      <c r="B66" s="30" t="inlineStr"/>
      <c r="C66" s="30" t="inlineStr"/>
      <c r="D66" s="30" t="inlineStr"/>
      <c r="E66" s="34" t="inlineStr"/>
      <c r="F66" s="38" t="inlineStr"/>
      <c r="G66" s="31" t="inlineStr"/>
      <c r="H66" s="34" t="inlineStr"/>
      <c r="I66" s="30" t="inlineStr"/>
      <c r="J66" s="30" t="inlineStr"/>
      <c r="K66" s="15">
        <f>IF(OR(A66="",E66="",G66=0),"",E66/G66)</f>
        <v/>
      </c>
      <c r="L66" s="15">
        <f>IF(A66="","",MAX(0,E66-K66*MAX(0,GJ-YEAR(F66))))</f>
        <v/>
      </c>
    </row>
    <row r="67">
      <c r="A67" s="30" t="inlineStr"/>
      <c r="B67" s="30" t="inlineStr"/>
      <c r="C67" s="30" t="inlineStr"/>
      <c r="D67" s="30" t="inlineStr"/>
      <c r="E67" s="34" t="inlineStr"/>
      <c r="F67" s="38" t="inlineStr"/>
      <c r="G67" s="31" t="inlineStr"/>
      <c r="H67" s="34" t="inlineStr"/>
      <c r="I67" s="30" t="inlineStr"/>
      <c r="J67" s="30" t="inlineStr"/>
      <c r="K67" s="15">
        <f>IF(OR(A67="",E67="",G67=0),"",E67/G67)</f>
        <v/>
      </c>
      <c r="L67" s="15">
        <f>IF(A67="","",MAX(0,E67-K67*MAX(0,GJ-YEAR(F67))))</f>
        <v/>
      </c>
    </row>
    <row r="68">
      <c r="A68" s="30" t="inlineStr"/>
      <c r="B68" s="30" t="inlineStr"/>
      <c r="C68" s="30" t="inlineStr"/>
      <c r="D68" s="30" t="inlineStr"/>
      <c r="E68" s="34" t="inlineStr"/>
      <c r="F68" s="38" t="inlineStr"/>
      <c r="G68" s="31" t="inlineStr"/>
      <c r="H68" s="34" t="inlineStr"/>
      <c r="I68" s="30" t="inlineStr"/>
      <c r="J68" s="30" t="inlineStr"/>
      <c r="K68" s="15">
        <f>IF(OR(A68="",E68="",G68=0),"",E68/G68)</f>
        <v/>
      </c>
      <c r="L68" s="15">
        <f>IF(A68="","",MAX(0,E68-K68*MAX(0,GJ-YEAR(F68))))</f>
        <v/>
      </c>
    </row>
    <row r="69">
      <c r="A69" s="30" t="inlineStr"/>
      <c r="B69" s="30" t="inlineStr"/>
      <c r="C69" s="30" t="inlineStr"/>
      <c r="D69" s="30" t="inlineStr"/>
      <c r="E69" s="34" t="inlineStr"/>
      <c r="F69" s="38" t="inlineStr"/>
      <c r="G69" s="31" t="inlineStr"/>
      <c r="H69" s="34" t="inlineStr"/>
      <c r="I69" s="30" t="inlineStr"/>
      <c r="J69" s="30" t="inlineStr"/>
      <c r="K69" s="15">
        <f>IF(OR(A69="",E69="",G69=0),"",E69/G69)</f>
        <v/>
      </c>
      <c r="L69" s="15">
        <f>IF(A69="","",MAX(0,E69-K69*MAX(0,GJ-YEAR(F69))))</f>
        <v/>
      </c>
    </row>
    <row r="70">
      <c r="A70" s="30" t="inlineStr"/>
      <c r="B70" s="30" t="inlineStr"/>
      <c r="C70" s="30" t="inlineStr"/>
      <c r="D70" s="30" t="inlineStr"/>
      <c r="E70" s="34" t="inlineStr"/>
      <c r="F70" s="38" t="inlineStr"/>
      <c r="G70" s="31" t="inlineStr"/>
      <c r="H70" s="34" t="inlineStr"/>
      <c r="I70" s="30" t="inlineStr"/>
      <c r="J70" s="30" t="inlineStr"/>
      <c r="K70" s="15">
        <f>IF(OR(A70="",E70="",G70=0),"",E70/G70)</f>
        <v/>
      </c>
      <c r="L70" s="15">
        <f>IF(A70="","",MAX(0,E70-K70*MAX(0,GJ-YEAR(F70))))</f>
        <v/>
      </c>
    </row>
    <row r="71">
      <c r="A71" s="30" t="inlineStr"/>
      <c r="B71" s="30" t="inlineStr"/>
      <c r="C71" s="30" t="inlineStr"/>
      <c r="D71" s="30" t="inlineStr"/>
      <c r="E71" s="34" t="inlineStr"/>
      <c r="F71" s="38" t="inlineStr"/>
      <c r="G71" s="31" t="inlineStr"/>
      <c r="H71" s="34" t="inlineStr"/>
      <c r="I71" s="30" t="inlineStr"/>
      <c r="J71" s="30" t="inlineStr"/>
      <c r="K71" s="15">
        <f>IF(OR(A71="",E71="",G71=0),"",E71/G71)</f>
        <v/>
      </c>
      <c r="L71" s="15">
        <f>IF(A71="","",MAX(0,E71-K71*MAX(0,GJ-YEAR(F71))))</f>
        <v/>
      </c>
    </row>
    <row r="72">
      <c r="A72" s="30" t="inlineStr"/>
      <c r="B72" s="30" t="inlineStr"/>
      <c r="C72" s="30" t="inlineStr"/>
      <c r="D72" s="30" t="inlineStr"/>
      <c r="E72" s="34" t="inlineStr"/>
      <c r="F72" s="38" t="inlineStr"/>
      <c r="G72" s="31" t="inlineStr"/>
      <c r="H72" s="34" t="inlineStr"/>
      <c r="I72" s="30" t="inlineStr"/>
      <c r="J72" s="30" t="inlineStr"/>
      <c r="K72" s="15">
        <f>IF(OR(A72="",E72="",G72=0),"",E72/G72)</f>
        <v/>
      </c>
      <c r="L72" s="15">
        <f>IF(A72="","",MAX(0,E72-K72*MAX(0,GJ-YEAR(F72))))</f>
        <v/>
      </c>
    </row>
    <row r="73">
      <c r="A73" s="30" t="inlineStr"/>
      <c r="B73" s="30" t="inlineStr"/>
      <c r="C73" s="30" t="inlineStr"/>
      <c r="D73" s="30" t="inlineStr"/>
      <c r="E73" s="34" t="inlineStr"/>
      <c r="F73" s="38" t="inlineStr"/>
      <c r="G73" s="31" t="inlineStr"/>
      <c r="H73" s="34" t="inlineStr"/>
      <c r="I73" s="30" t="inlineStr"/>
      <c r="J73" s="30" t="inlineStr"/>
      <c r="K73" s="15">
        <f>IF(OR(A73="",E73="",G73=0),"",E73/G73)</f>
        <v/>
      </c>
      <c r="L73" s="15">
        <f>IF(A73="","",MAX(0,E73-K73*MAX(0,GJ-YEAR(F73))))</f>
        <v/>
      </c>
    </row>
    <row r="74">
      <c r="A74" s="30" t="inlineStr"/>
      <c r="B74" s="30" t="inlineStr"/>
      <c r="C74" s="30" t="inlineStr"/>
      <c r="D74" s="30" t="inlineStr"/>
      <c r="E74" s="34" t="inlineStr"/>
      <c r="F74" s="38" t="inlineStr"/>
      <c r="G74" s="31" t="inlineStr"/>
      <c r="H74" s="34" t="inlineStr"/>
      <c r="I74" s="30" t="inlineStr"/>
      <c r="J74" s="30" t="inlineStr"/>
      <c r="K74" s="15">
        <f>IF(OR(A74="",E74="",G74=0),"",E74/G74)</f>
        <v/>
      </c>
      <c r="L74" s="15">
        <f>IF(A74="","",MAX(0,E74-K74*MAX(0,GJ-YEAR(F74))))</f>
        <v/>
      </c>
    </row>
    <row r="75">
      <c r="A75" s="30" t="inlineStr"/>
      <c r="B75" s="30" t="inlineStr"/>
      <c r="C75" s="30" t="inlineStr"/>
      <c r="D75" s="30" t="inlineStr"/>
      <c r="E75" s="34" t="inlineStr"/>
      <c r="F75" s="38" t="inlineStr"/>
      <c r="G75" s="31" t="inlineStr"/>
      <c r="H75" s="34" t="inlineStr"/>
      <c r="I75" s="30" t="inlineStr"/>
      <c r="J75" s="30" t="inlineStr"/>
      <c r="K75" s="15">
        <f>IF(OR(A75="",E75="",G75=0),"",E75/G75)</f>
        <v/>
      </c>
      <c r="L75" s="15">
        <f>IF(A75="","",MAX(0,E75-K75*MAX(0,GJ-YEAR(F75))))</f>
        <v/>
      </c>
    </row>
    <row r="76">
      <c r="A76" s="30" t="inlineStr"/>
      <c r="B76" s="30" t="inlineStr"/>
      <c r="C76" s="30" t="inlineStr"/>
      <c r="D76" s="30" t="inlineStr"/>
      <c r="E76" s="34" t="inlineStr"/>
      <c r="F76" s="38" t="inlineStr"/>
      <c r="G76" s="31" t="inlineStr"/>
      <c r="H76" s="34" t="inlineStr"/>
      <c r="I76" s="30" t="inlineStr"/>
      <c r="J76" s="30" t="inlineStr"/>
      <c r="K76" s="15">
        <f>IF(OR(A76="",E76="",G76=0),"",E76/G76)</f>
        <v/>
      </c>
      <c r="L76" s="15">
        <f>IF(A76="","",MAX(0,E76-K76*MAX(0,GJ-YEAR(F76))))</f>
        <v/>
      </c>
    </row>
    <row r="77">
      <c r="A77" s="30" t="inlineStr"/>
      <c r="B77" s="30" t="inlineStr"/>
      <c r="C77" s="30" t="inlineStr"/>
      <c r="D77" s="30" t="inlineStr"/>
      <c r="E77" s="34" t="inlineStr"/>
      <c r="F77" s="38" t="inlineStr"/>
      <c r="G77" s="31" t="inlineStr"/>
      <c r="H77" s="34" t="inlineStr"/>
      <c r="I77" s="30" t="inlineStr"/>
      <c r="J77" s="30" t="inlineStr"/>
      <c r="K77" s="15">
        <f>IF(OR(A77="",E77="",G77=0),"",E77/G77)</f>
        <v/>
      </c>
      <c r="L77" s="15">
        <f>IF(A77="","",MAX(0,E77-K77*MAX(0,GJ-YEAR(F77))))</f>
        <v/>
      </c>
    </row>
    <row r="78">
      <c r="A78" s="30" t="inlineStr"/>
      <c r="B78" s="30" t="inlineStr"/>
      <c r="C78" s="30" t="inlineStr"/>
      <c r="D78" s="30" t="inlineStr"/>
      <c r="E78" s="34" t="inlineStr"/>
      <c r="F78" s="38" t="inlineStr"/>
      <c r="G78" s="31" t="inlineStr"/>
      <c r="H78" s="34" t="inlineStr"/>
      <c r="I78" s="30" t="inlineStr"/>
      <c r="J78" s="30" t="inlineStr"/>
      <c r="K78" s="15">
        <f>IF(OR(A78="",E78="",G78=0),"",E78/G78)</f>
        <v/>
      </c>
      <c r="L78" s="15">
        <f>IF(A78="","",MAX(0,E78-K78*MAX(0,GJ-YEAR(F78))))</f>
        <v/>
      </c>
    </row>
    <row r="79">
      <c r="A79" s="30" t="inlineStr"/>
      <c r="B79" s="30" t="inlineStr"/>
      <c r="C79" s="30" t="inlineStr"/>
      <c r="D79" s="30" t="inlineStr"/>
      <c r="E79" s="34" t="inlineStr"/>
      <c r="F79" s="38" t="inlineStr"/>
      <c r="G79" s="31" t="inlineStr"/>
      <c r="H79" s="34" t="inlineStr"/>
      <c r="I79" s="30" t="inlineStr"/>
      <c r="J79" s="30" t="inlineStr"/>
      <c r="K79" s="15">
        <f>IF(OR(A79="",E79="",G79=0),"",E79/G79)</f>
        <v/>
      </c>
      <c r="L79" s="15">
        <f>IF(A79="","",MAX(0,E79-K79*MAX(0,GJ-YEAR(F79))))</f>
        <v/>
      </c>
    </row>
    <row r="80">
      <c r="A80" s="30" t="inlineStr"/>
      <c r="B80" s="30" t="inlineStr"/>
      <c r="C80" s="30" t="inlineStr"/>
      <c r="D80" s="30" t="inlineStr"/>
      <c r="E80" s="34" t="inlineStr"/>
      <c r="F80" s="38" t="inlineStr"/>
      <c r="G80" s="31" t="inlineStr"/>
      <c r="H80" s="34" t="inlineStr"/>
      <c r="I80" s="30" t="inlineStr"/>
      <c r="J80" s="30" t="inlineStr"/>
      <c r="K80" s="15">
        <f>IF(OR(A80="",E80="",G80=0),"",E80/G80)</f>
        <v/>
      </c>
      <c r="L80" s="15">
        <f>IF(A80="","",MAX(0,E80-K80*MAX(0,GJ-YEAR(F80))))</f>
        <v/>
      </c>
    </row>
    <row r="81">
      <c r="A81" s="30" t="inlineStr"/>
      <c r="B81" s="30" t="inlineStr"/>
      <c r="C81" s="30" t="inlineStr"/>
      <c r="D81" s="30" t="inlineStr"/>
      <c r="E81" s="34" t="inlineStr"/>
      <c r="F81" s="38" t="inlineStr"/>
      <c r="G81" s="31" t="inlineStr"/>
      <c r="H81" s="34" t="inlineStr"/>
      <c r="I81" s="30" t="inlineStr"/>
      <c r="J81" s="30" t="inlineStr"/>
      <c r="K81" s="15">
        <f>IF(OR(A81="",E81="",G81=0),"",E81/G81)</f>
        <v/>
      </c>
      <c r="L81" s="15">
        <f>IF(A81="","",MAX(0,E81-K81*MAX(0,GJ-YEAR(F81))))</f>
        <v/>
      </c>
    </row>
    <row r="82">
      <c r="A82" s="30" t="inlineStr"/>
      <c r="B82" s="30" t="inlineStr"/>
      <c r="C82" s="30" t="inlineStr"/>
      <c r="D82" s="30" t="inlineStr"/>
      <c r="E82" s="34" t="inlineStr"/>
      <c r="F82" s="38" t="inlineStr"/>
      <c r="G82" s="31" t="inlineStr"/>
      <c r="H82" s="34" t="inlineStr"/>
      <c r="I82" s="30" t="inlineStr"/>
      <c r="J82" s="30" t="inlineStr"/>
      <c r="K82" s="15">
        <f>IF(OR(A82="",E82="",G82=0),"",E82/G82)</f>
        <v/>
      </c>
      <c r="L82" s="15">
        <f>IF(A82="","",MAX(0,E82-K82*MAX(0,GJ-YEAR(F82))))</f>
        <v/>
      </c>
    </row>
    <row r="83">
      <c r="A83" s="30" t="inlineStr"/>
      <c r="B83" s="30" t="inlineStr"/>
      <c r="C83" s="30" t="inlineStr"/>
      <c r="D83" s="30" t="inlineStr"/>
      <c r="E83" s="34" t="inlineStr"/>
      <c r="F83" s="38" t="inlineStr"/>
      <c r="G83" s="31" t="inlineStr"/>
      <c r="H83" s="34" t="inlineStr"/>
      <c r="I83" s="30" t="inlineStr"/>
      <c r="J83" s="30" t="inlineStr"/>
      <c r="K83" s="15">
        <f>IF(OR(A83="",E83="",G83=0),"",E83/G83)</f>
        <v/>
      </c>
      <c r="L83" s="15">
        <f>IF(A83="","",MAX(0,E83-K83*MAX(0,GJ-YEAR(F83))))</f>
        <v/>
      </c>
    </row>
    <row r="84">
      <c r="A84" s="30" t="inlineStr"/>
      <c r="B84" s="30" t="inlineStr"/>
      <c r="C84" s="30" t="inlineStr"/>
      <c r="D84" s="30" t="inlineStr"/>
      <c r="E84" s="34" t="inlineStr"/>
      <c r="F84" s="38" t="inlineStr"/>
      <c r="G84" s="31" t="inlineStr"/>
      <c r="H84" s="34" t="inlineStr"/>
      <c r="I84" s="30" t="inlineStr"/>
      <c r="J84" s="30" t="inlineStr"/>
      <c r="K84" s="15">
        <f>IF(OR(A84="",E84="",G84=0),"",E84/G84)</f>
        <v/>
      </c>
      <c r="L84" s="15">
        <f>IF(A84="","",MAX(0,E84-K84*MAX(0,GJ-YEAR(F84))))</f>
        <v/>
      </c>
    </row>
    <row r="85">
      <c r="A85" s="30" t="inlineStr"/>
      <c r="B85" s="30" t="inlineStr"/>
      <c r="C85" s="30" t="inlineStr"/>
      <c r="D85" s="30" t="inlineStr"/>
      <c r="E85" s="34" t="inlineStr"/>
      <c r="F85" s="38" t="inlineStr"/>
      <c r="G85" s="31" t="inlineStr"/>
      <c r="H85" s="34" t="inlineStr"/>
      <c r="I85" s="30" t="inlineStr"/>
      <c r="J85" s="30" t="inlineStr"/>
      <c r="K85" s="15">
        <f>IF(OR(A85="",E85="",G85=0),"",E85/G85)</f>
        <v/>
      </c>
      <c r="L85" s="15">
        <f>IF(A85="","",MAX(0,E85-K85*MAX(0,GJ-YEAR(F85))))</f>
        <v/>
      </c>
    </row>
    <row r="86">
      <c r="A86" s="30" t="inlineStr"/>
      <c r="B86" s="30" t="inlineStr"/>
      <c r="C86" s="30" t="inlineStr"/>
      <c r="D86" s="30" t="inlineStr"/>
      <c r="E86" s="34" t="inlineStr"/>
      <c r="F86" s="38" t="inlineStr"/>
      <c r="G86" s="31" t="inlineStr"/>
      <c r="H86" s="34" t="inlineStr"/>
      <c r="I86" s="30" t="inlineStr"/>
      <c r="J86" s="30" t="inlineStr"/>
      <c r="K86" s="15">
        <f>IF(OR(A86="",E86="",G86=0),"",E86/G86)</f>
        <v/>
      </c>
      <c r="L86" s="15">
        <f>IF(A86="","",MAX(0,E86-K86*MAX(0,GJ-YEAR(F86))))</f>
        <v/>
      </c>
    </row>
    <row r="87">
      <c r="A87" s="30" t="inlineStr"/>
      <c r="B87" s="30" t="inlineStr"/>
      <c r="C87" s="30" t="inlineStr"/>
      <c r="D87" s="30" t="inlineStr"/>
      <c r="E87" s="34" t="inlineStr"/>
      <c r="F87" s="38" t="inlineStr"/>
      <c r="G87" s="31" t="inlineStr"/>
      <c r="H87" s="34" t="inlineStr"/>
      <c r="I87" s="30" t="inlineStr"/>
      <c r="J87" s="30" t="inlineStr"/>
      <c r="K87" s="15">
        <f>IF(OR(A87="",E87="",G87=0),"",E87/G87)</f>
        <v/>
      </c>
      <c r="L87" s="15">
        <f>IF(A87="","",MAX(0,E87-K87*MAX(0,GJ-YEAR(F87))))</f>
        <v/>
      </c>
    </row>
    <row r="88">
      <c r="A88" s="30" t="inlineStr"/>
      <c r="B88" s="30" t="inlineStr"/>
      <c r="C88" s="30" t="inlineStr"/>
      <c r="D88" s="30" t="inlineStr"/>
      <c r="E88" s="34" t="inlineStr"/>
      <c r="F88" s="38" t="inlineStr"/>
      <c r="G88" s="31" t="inlineStr"/>
      <c r="H88" s="34" t="inlineStr"/>
      <c r="I88" s="30" t="inlineStr"/>
      <c r="J88" s="30" t="inlineStr"/>
      <c r="K88" s="15">
        <f>IF(OR(A88="",E88="",G88=0),"",E88/G88)</f>
        <v/>
      </c>
      <c r="L88" s="15">
        <f>IF(A88="","",MAX(0,E88-K88*MAX(0,GJ-YEAR(F88))))</f>
        <v/>
      </c>
    </row>
    <row r="89">
      <c r="A89" s="30" t="inlineStr"/>
      <c r="B89" s="30" t="inlineStr"/>
      <c r="C89" s="30" t="inlineStr"/>
      <c r="D89" s="30" t="inlineStr"/>
      <c r="E89" s="34" t="inlineStr"/>
      <c r="F89" s="38" t="inlineStr"/>
      <c r="G89" s="31" t="inlineStr"/>
      <c r="H89" s="34" t="inlineStr"/>
      <c r="I89" s="30" t="inlineStr"/>
      <c r="J89" s="30" t="inlineStr"/>
      <c r="K89" s="15">
        <f>IF(OR(A89="",E89="",G89=0),"",E89/G89)</f>
        <v/>
      </c>
      <c r="L89" s="15">
        <f>IF(A89="","",MAX(0,E89-K89*MAX(0,GJ-YEAR(F89))))</f>
        <v/>
      </c>
    </row>
    <row r="90">
      <c r="A90" s="30" t="inlineStr"/>
      <c r="B90" s="30" t="inlineStr"/>
      <c r="C90" s="30" t="inlineStr"/>
      <c r="D90" s="30" t="inlineStr"/>
      <c r="E90" s="34" t="inlineStr"/>
      <c r="F90" s="38" t="inlineStr"/>
      <c r="G90" s="31" t="inlineStr"/>
      <c r="H90" s="34" t="inlineStr"/>
      <c r="I90" s="30" t="inlineStr"/>
      <c r="J90" s="30" t="inlineStr"/>
      <c r="K90" s="15">
        <f>IF(OR(A90="",E90="",G90=0),"",E90/G90)</f>
        <v/>
      </c>
      <c r="L90" s="15">
        <f>IF(A90="","",MAX(0,E90-K90*MAX(0,GJ-YEAR(F90))))</f>
        <v/>
      </c>
    </row>
    <row r="91">
      <c r="A91" s="30" t="inlineStr"/>
      <c r="B91" s="30" t="inlineStr"/>
      <c r="C91" s="30" t="inlineStr"/>
      <c r="D91" s="30" t="inlineStr"/>
      <c r="E91" s="34" t="inlineStr"/>
      <c r="F91" s="38" t="inlineStr"/>
      <c r="G91" s="31" t="inlineStr"/>
      <c r="H91" s="34" t="inlineStr"/>
      <c r="I91" s="30" t="inlineStr"/>
      <c r="J91" s="30" t="inlineStr"/>
      <c r="K91" s="15">
        <f>IF(OR(A91="",E91="",G91=0),"",E91/G91)</f>
        <v/>
      </c>
      <c r="L91" s="15">
        <f>IF(A91="","",MAX(0,E91-K91*MAX(0,GJ-YEAR(F91))))</f>
        <v/>
      </c>
    </row>
    <row r="92">
      <c r="A92" s="30" t="inlineStr"/>
      <c r="B92" s="30" t="inlineStr"/>
      <c r="C92" s="30" t="inlineStr"/>
      <c r="D92" s="30" t="inlineStr"/>
      <c r="E92" s="34" t="inlineStr"/>
      <c r="F92" s="38" t="inlineStr"/>
      <c r="G92" s="31" t="inlineStr"/>
      <c r="H92" s="34" t="inlineStr"/>
      <c r="I92" s="30" t="inlineStr"/>
      <c r="J92" s="30" t="inlineStr"/>
      <c r="K92" s="15">
        <f>IF(OR(A92="",E92="",G92=0),"",E92/G92)</f>
        <v/>
      </c>
      <c r="L92" s="15">
        <f>IF(A92="","",MAX(0,E92-K92*MAX(0,GJ-YEAR(F92))))</f>
        <v/>
      </c>
    </row>
    <row r="93">
      <c r="A93" s="30" t="inlineStr"/>
      <c r="B93" s="30" t="inlineStr"/>
      <c r="C93" s="30" t="inlineStr"/>
      <c r="D93" s="30" t="inlineStr"/>
      <c r="E93" s="34" t="inlineStr"/>
      <c r="F93" s="38" t="inlineStr"/>
      <c r="G93" s="31" t="inlineStr"/>
      <c r="H93" s="34" t="inlineStr"/>
      <c r="I93" s="30" t="inlineStr"/>
      <c r="J93" s="30" t="inlineStr"/>
      <c r="K93" s="15">
        <f>IF(OR(A93="",E93="",G93=0),"",E93/G93)</f>
        <v/>
      </c>
      <c r="L93" s="15">
        <f>IF(A93="","",MAX(0,E93-K93*MAX(0,GJ-YEAR(F93))))</f>
        <v/>
      </c>
    </row>
    <row r="94">
      <c r="A94" s="30" t="inlineStr"/>
      <c r="B94" s="30" t="inlineStr"/>
      <c r="C94" s="30" t="inlineStr"/>
      <c r="D94" s="30" t="inlineStr"/>
      <c r="E94" s="34" t="inlineStr"/>
      <c r="F94" s="38" t="inlineStr"/>
      <c r="G94" s="31" t="inlineStr"/>
      <c r="H94" s="34" t="inlineStr"/>
      <c r="I94" s="30" t="inlineStr"/>
      <c r="J94" s="30" t="inlineStr"/>
      <c r="K94" s="15">
        <f>IF(OR(A94="",E94="",G94=0),"",E94/G94)</f>
        <v/>
      </c>
      <c r="L94" s="15">
        <f>IF(A94="","",MAX(0,E94-K94*MAX(0,GJ-YEAR(F94))))</f>
        <v/>
      </c>
    </row>
    <row r="95">
      <c r="A95" s="30" t="inlineStr"/>
      <c r="B95" s="30" t="inlineStr"/>
      <c r="C95" s="30" t="inlineStr"/>
      <c r="D95" s="30" t="inlineStr"/>
      <c r="E95" s="34" t="inlineStr"/>
      <c r="F95" s="38" t="inlineStr"/>
      <c r="G95" s="31" t="inlineStr"/>
      <c r="H95" s="34" t="inlineStr"/>
      <c r="I95" s="30" t="inlineStr"/>
      <c r="J95" s="30" t="inlineStr"/>
      <c r="K95" s="15">
        <f>IF(OR(A95="",E95="",G95=0),"",E95/G95)</f>
        <v/>
      </c>
      <c r="L95" s="15">
        <f>IF(A95="","",MAX(0,E95-K95*MAX(0,GJ-YEAR(F95))))</f>
        <v/>
      </c>
    </row>
    <row r="96">
      <c r="A96" s="30" t="inlineStr"/>
      <c r="B96" s="30" t="inlineStr"/>
      <c r="C96" s="30" t="inlineStr"/>
      <c r="D96" s="30" t="inlineStr"/>
      <c r="E96" s="34" t="inlineStr"/>
      <c r="F96" s="38" t="inlineStr"/>
      <c r="G96" s="31" t="inlineStr"/>
      <c r="H96" s="34" t="inlineStr"/>
      <c r="I96" s="30" t="inlineStr"/>
      <c r="J96" s="30" t="inlineStr"/>
      <c r="K96" s="15">
        <f>IF(OR(A96="",E96="",G96=0),"",E96/G96)</f>
        <v/>
      </c>
      <c r="L96" s="15">
        <f>IF(A96="","",MAX(0,E96-K96*MAX(0,GJ-YEAR(F96))))</f>
        <v/>
      </c>
    </row>
    <row r="97">
      <c r="A97" s="30" t="inlineStr"/>
      <c r="B97" s="30" t="inlineStr"/>
      <c r="C97" s="30" t="inlineStr"/>
      <c r="D97" s="30" t="inlineStr"/>
      <c r="E97" s="34" t="inlineStr"/>
      <c r="F97" s="38" t="inlineStr"/>
      <c r="G97" s="31" t="inlineStr"/>
      <c r="H97" s="34" t="inlineStr"/>
      <c r="I97" s="30" t="inlineStr"/>
      <c r="J97" s="30" t="inlineStr"/>
      <c r="K97" s="15">
        <f>IF(OR(A97="",E97="",G97=0),"",E97/G97)</f>
        <v/>
      </c>
      <c r="L97" s="15">
        <f>IF(A97="","",MAX(0,E97-K97*MAX(0,GJ-YEAR(F97))))</f>
        <v/>
      </c>
    </row>
    <row r="98">
      <c r="A98" s="30" t="inlineStr"/>
      <c r="B98" s="30" t="inlineStr"/>
      <c r="C98" s="30" t="inlineStr"/>
      <c r="D98" s="30" t="inlineStr"/>
      <c r="E98" s="34" t="inlineStr"/>
      <c r="F98" s="38" t="inlineStr"/>
      <c r="G98" s="31" t="inlineStr"/>
      <c r="H98" s="34" t="inlineStr"/>
      <c r="I98" s="30" t="inlineStr"/>
      <c r="J98" s="30" t="inlineStr"/>
      <c r="K98" s="15">
        <f>IF(OR(A98="",E98="",G98=0),"",E98/G98)</f>
        <v/>
      </c>
      <c r="L98" s="15">
        <f>IF(A98="","",MAX(0,E98-K98*MAX(0,GJ-YEAR(F98))))</f>
        <v/>
      </c>
    </row>
    <row r="99">
      <c r="A99" s="30" t="inlineStr"/>
      <c r="B99" s="30" t="inlineStr"/>
      <c r="C99" s="30" t="inlineStr"/>
      <c r="D99" s="30" t="inlineStr"/>
      <c r="E99" s="34" t="inlineStr"/>
      <c r="F99" s="38" t="inlineStr"/>
      <c r="G99" s="31" t="inlineStr"/>
      <c r="H99" s="34" t="inlineStr"/>
      <c r="I99" s="30" t="inlineStr"/>
      <c r="J99" s="30" t="inlineStr"/>
      <c r="K99" s="15">
        <f>IF(OR(A99="",E99="",G99=0),"",E99/G99)</f>
        <v/>
      </c>
      <c r="L99" s="15">
        <f>IF(A99="","",MAX(0,E99-K99*MAX(0,GJ-YEAR(F99))))</f>
        <v/>
      </c>
    </row>
    <row r="100">
      <c r="A100" s="30" t="inlineStr"/>
      <c r="B100" s="30" t="inlineStr"/>
      <c r="C100" s="30" t="inlineStr"/>
      <c r="D100" s="30" t="inlineStr"/>
      <c r="E100" s="34" t="inlineStr"/>
      <c r="F100" s="38" t="inlineStr"/>
      <c r="G100" s="31" t="inlineStr"/>
      <c r="H100" s="34" t="inlineStr"/>
      <c r="I100" s="30" t="inlineStr"/>
      <c r="J100" s="30" t="inlineStr"/>
      <c r="K100" s="15">
        <f>IF(OR(A100="",E100="",G100=0),"",E100/G100)</f>
        <v/>
      </c>
      <c r="L100" s="15">
        <f>IF(A100="","",MAX(0,E100-K100*MAX(0,GJ-YEAR(F100))))</f>
        <v/>
      </c>
    </row>
    <row r="101">
      <c r="A101" s="30" t="inlineStr"/>
      <c r="B101" s="30" t="inlineStr"/>
      <c r="C101" s="30" t="inlineStr"/>
      <c r="D101" s="30" t="inlineStr"/>
      <c r="E101" s="34" t="inlineStr"/>
      <c r="F101" s="38" t="inlineStr"/>
      <c r="G101" s="31" t="inlineStr"/>
      <c r="H101" s="34" t="inlineStr"/>
      <c r="I101" s="30" t="inlineStr"/>
      <c r="J101" s="30" t="inlineStr"/>
      <c r="K101" s="15">
        <f>IF(OR(A101="",E101="",G101=0),"",E101/G101)</f>
        <v/>
      </c>
      <c r="L101" s="15">
        <f>IF(A101="","",MAX(0,E101-K101*MAX(0,GJ-YEAR(F101))))</f>
        <v/>
      </c>
    </row>
    <row r="102">
      <c r="A102" s="30" t="inlineStr"/>
      <c r="B102" s="30" t="inlineStr"/>
      <c r="C102" s="30" t="inlineStr"/>
      <c r="D102" s="30" t="inlineStr"/>
      <c r="E102" s="34" t="inlineStr"/>
      <c r="F102" s="38" t="inlineStr"/>
      <c r="G102" s="31" t="inlineStr"/>
      <c r="H102" s="34" t="inlineStr"/>
      <c r="I102" s="30" t="inlineStr"/>
      <c r="J102" s="30" t="inlineStr"/>
      <c r="K102" s="15">
        <f>IF(OR(A102="",E102="",G102=0),"",E102/G102)</f>
        <v/>
      </c>
      <c r="L102" s="15">
        <f>IF(A102="","",MAX(0,E102-K102*MAX(0,GJ-YEAR(F102))))</f>
        <v/>
      </c>
    </row>
    <row r="103">
      <c r="A103" s="30" t="inlineStr"/>
      <c r="B103" s="30" t="inlineStr"/>
      <c r="C103" s="30" t="inlineStr"/>
      <c r="D103" s="30" t="inlineStr"/>
      <c r="E103" s="34" t="inlineStr"/>
      <c r="F103" s="38" t="inlineStr"/>
      <c r="G103" s="31" t="inlineStr"/>
      <c r="H103" s="34" t="inlineStr"/>
      <c r="I103" s="30" t="inlineStr"/>
      <c r="J103" s="30" t="inlineStr"/>
      <c r="K103" s="15">
        <f>IF(OR(A103="",E103="",G103=0),"",E103/G103)</f>
        <v/>
      </c>
      <c r="L103" s="15">
        <f>IF(A103="","",MAX(0,E103-K103*MAX(0,GJ-YEAR(F103))))</f>
        <v/>
      </c>
    </row>
    <row r="104">
      <c r="A104" s="30" t="inlineStr"/>
      <c r="B104" s="30" t="inlineStr"/>
      <c r="C104" s="30" t="inlineStr"/>
      <c r="D104" s="30" t="inlineStr"/>
      <c r="E104" s="34" t="inlineStr"/>
      <c r="F104" s="38" t="inlineStr"/>
      <c r="G104" s="31" t="inlineStr"/>
      <c r="H104" s="34" t="inlineStr"/>
      <c r="I104" s="30" t="inlineStr"/>
      <c r="J104" s="30" t="inlineStr"/>
      <c r="K104" s="15">
        <f>IF(OR(A104="",E104="",G104=0),"",E104/G104)</f>
        <v/>
      </c>
      <c r="L104" s="15">
        <f>IF(A104="","",MAX(0,E104-K104*MAX(0,GJ-YEAR(F104))))</f>
        <v/>
      </c>
    </row>
    <row r="105">
      <c r="A105" s="30" t="inlineStr"/>
      <c r="B105" s="30" t="inlineStr"/>
      <c r="C105" s="30" t="inlineStr"/>
      <c r="D105" s="30" t="inlineStr"/>
      <c r="E105" s="34" t="inlineStr"/>
      <c r="F105" s="38" t="inlineStr"/>
      <c r="G105" s="31" t="inlineStr"/>
      <c r="H105" s="34" t="inlineStr"/>
      <c r="I105" s="30" t="inlineStr"/>
      <c r="J105" s="30" t="inlineStr"/>
      <c r="K105" s="15">
        <f>IF(OR(A105="",E105="",G105=0),"",E105/G105)</f>
        <v/>
      </c>
      <c r="L105" s="15">
        <f>IF(A105="","",MAX(0,E105-K105*MAX(0,GJ-YEAR(F105))))</f>
        <v/>
      </c>
    </row>
    <row r="106">
      <c r="A106" s="30" t="inlineStr"/>
      <c r="B106" s="30" t="inlineStr"/>
      <c r="C106" s="30" t="inlineStr"/>
      <c r="D106" s="30" t="inlineStr"/>
      <c r="E106" s="34" t="inlineStr"/>
      <c r="F106" s="38" t="inlineStr"/>
      <c r="G106" s="31" t="inlineStr"/>
      <c r="H106" s="34" t="inlineStr"/>
      <c r="I106" s="30" t="inlineStr"/>
      <c r="J106" s="30" t="inlineStr"/>
      <c r="K106" s="15">
        <f>IF(OR(A106="",E106="",G106=0),"",E106/G106)</f>
        <v/>
      </c>
      <c r="L106" s="15">
        <f>IF(A106="","",MAX(0,E106-K106*MAX(0,GJ-YEAR(F106))))</f>
        <v/>
      </c>
    </row>
    <row r="107">
      <c r="A107" s="30" t="inlineStr"/>
      <c r="B107" s="30" t="inlineStr"/>
      <c r="C107" s="30" t="inlineStr"/>
      <c r="D107" s="30" t="inlineStr"/>
      <c r="E107" s="34" t="inlineStr"/>
      <c r="F107" s="38" t="inlineStr"/>
      <c r="G107" s="31" t="inlineStr"/>
      <c r="H107" s="34" t="inlineStr"/>
      <c r="I107" s="30" t="inlineStr"/>
      <c r="J107" s="30" t="inlineStr"/>
      <c r="K107" s="15">
        <f>IF(OR(A107="",E107="",G107=0),"",E107/G107)</f>
        <v/>
      </c>
      <c r="L107" s="15">
        <f>IF(A107="","",MAX(0,E107-K107*MAX(0,GJ-YEAR(F107))))</f>
        <v/>
      </c>
    </row>
    <row r="108">
      <c r="A108" s="30" t="inlineStr"/>
      <c r="B108" s="30" t="inlineStr"/>
      <c r="C108" s="30" t="inlineStr"/>
      <c r="D108" s="30" t="inlineStr"/>
      <c r="E108" s="34" t="inlineStr"/>
      <c r="F108" s="38" t="inlineStr"/>
      <c r="G108" s="31" t="inlineStr"/>
      <c r="H108" s="34" t="inlineStr"/>
      <c r="I108" s="30" t="inlineStr"/>
      <c r="J108" s="30" t="inlineStr"/>
      <c r="K108" s="15">
        <f>IF(OR(A108="",E108="",G108=0),"",E108/G108)</f>
        <v/>
      </c>
      <c r="L108" s="15">
        <f>IF(A108="","",MAX(0,E108-K108*MAX(0,GJ-YEAR(F108))))</f>
        <v/>
      </c>
    </row>
    <row r="109">
      <c r="A109" s="30" t="inlineStr"/>
      <c r="B109" s="30" t="inlineStr"/>
      <c r="C109" s="30" t="inlineStr"/>
      <c r="D109" s="30" t="inlineStr"/>
      <c r="E109" s="34" t="inlineStr"/>
      <c r="F109" s="38" t="inlineStr"/>
      <c r="G109" s="31" t="inlineStr"/>
      <c r="H109" s="34" t="inlineStr"/>
      <c r="I109" s="30" t="inlineStr"/>
      <c r="J109" s="30" t="inlineStr"/>
      <c r="K109" s="15">
        <f>IF(OR(A109="",E109="",G109=0),"",E109/G109)</f>
        <v/>
      </c>
      <c r="L109" s="15">
        <f>IF(A109="","",MAX(0,E109-K109*MAX(0,GJ-YEAR(F109))))</f>
        <v/>
      </c>
    </row>
    <row r="110">
      <c r="A110" s="30" t="inlineStr"/>
      <c r="B110" s="30" t="inlineStr"/>
      <c r="C110" s="30" t="inlineStr"/>
      <c r="D110" s="30" t="inlineStr"/>
      <c r="E110" s="34" t="inlineStr"/>
      <c r="F110" s="38" t="inlineStr"/>
      <c r="G110" s="31" t="inlineStr"/>
      <c r="H110" s="34" t="inlineStr"/>
      <c r="I110" s="30" t="inlineStr"/>
      <c r="J110" s="30" t="inlineStr"/>
      <c r="K110" s="15">
        <f>IF(OR(A110="",E110="",G110=0),"",E110/G110)</f>
        <v/>
      </c>
      <c r="L110" s="15">
        <f>IF(A110="","",MAX(0,E110-K110*MAX(0,GJ-YEAR(F110))))</f>
        <v/>
      </c>
    </row>
    <row r="111">
      <c r="A111" s="30" t="inlineStr"/>
      <c r="B111" s="30" t="inlineStr"/>
      <c r="C111" s="30" t="inlineStr"/>
      <c r="D111" s="30" t="inlineStr"/>
      <c r="E111" s="34" t="inlineStr"/>
      <c r="F111" s="38" t="inlineStr"/>
      <c r="G111" s="31" t="inlineStr"/>
      <c r="H111" s="34" t="inlineStr"/>
      <c r="I111" s="30" t="inlineStr"/>
      <c r="J111" s="30" t="inlineStr"/>
      <c r="K111" s="15">
        <f>IF(OR(A111="",E111="",G111=0),"",E111/G111)</f>
        <v/>
      </c>
      <c r="L111" s="15">
        <f>IF(A111="","",MAX(0,E111-K111*MAX(0,GJ-YEAR(F111))))</f>
        <v/>
      </c>
    </row>
    <row r="112">
      <c r="A112" s="30" t="inlineStr"/>
      <c r="B112" s="30" t="inlineStr"/>
      <c r="C112" s="30" t="inlineStr"/>
      <c r="D112" s="30" t="inlineStr"/>
      <c r="E112" s="34" t="inlineStr"/>
      <c r="F112" s="38" t="inlineStr"/>
      <c r="G112" s="31" t="inlineStr"/>
      <c r="H112" s="34" t="inlineStr"/>
      <c r="I112" s="30" t="inlineStr"/>
      <c r="J112" s="30" t="inlineStr"/>
      <c r="K112" s="15">
        <f>IF(OR(A112="",E112="",G112=0),"",E112/G112)</f>
        <v/>
      </c>
      <c r="L112" s="15">
        <f>IF(A112="","",MAX(0,E112-K112*MAX(0,GJ-YEAR(F112))))</f>
        <v/>
      </c>
    </row>
    <row r="113">
      <c r="A113" s="30" t="inlineStr"/>
      <c r="B113" s="30" t="inlineStr"/>
      <c r="C113" s="30" t="inlineStr"/>
      <c r="D113" s="30" t="inlineStr"/>
      <c r="E113" s="34" t="inlineStr"/>
      <c r="F113" s="38" t="inlineStr"/>
      <c r="G113" s="31" t="inlineStr"/>
      <c r="H113" s="34" t="inlineStr"/>
      <c r="I113" s="30" t="inlineStr"/>
      <c r="J113" s="30" t="inlineStr"/>
      <c r="K113" s="15">
        <f>IF(OR(A113="",E113="",G113=0),"",E113/G113)</f>
        <v/>
      </c>
      <c r="L113" s="15">
        <f>IF(A113="","",MAX(0,E113-K113*MAX(0,GJ-YEAR(F113))))</f>
        <v/>
      </c>
    </row>
    <row r="114">
      <c r="A114" s="30" t="inlineStr"/>
      <c r="B114" s="30" t="inlineStr"/>
      <c r="C114" s="30" t="inlineStr"/>
      <c r="D114" s="30" t="inlineStr"/>
      <c r="E114" s="34" t="inlineStr"/>
      <c r="F114" s="38" t="inlineStr"/>
      <c r="G114" s="31" t="inlineStr"/>
      <c r="H114" s="34" t="inlineStr"/>
      <c r="I114" s="30" t="inlineStr"/>
      <c r="J114" s="30" t="inlineStr"/>
      <c r="K114" s="15">
        <f>IF(OR(A114="",E114="",G114=0),"",E114/G114)</f>
        <v/>
      </c>
      <c r="L114" s="15">
        <f>IF(A114="","",MAX(0,E114-K114*MAX(0,GJ-YEAR(F114))))</f>
        <v/>
      </c>
    </row>
    <row r="115">
      <c r="A115" s="30" t="inlineStr"/>
      <c r="B115" s="30" t="inlineStr"/>
      <c r="C115" s="30" t="inlineStr"/>
      <c r="D115" s="30" t="inlineStr"/>
      <c r="E115" s="34" t="inlineStr"/>
      <c r="F115" s="38" t="inlineStr"/>
      <c r="G115" s="31" t="inlineStr"/>
      <c r="H115" s="34" t="inlineStr"/>
      <c r="I115" s="30" t="inlineStr"/>
      <c r="J115" s="30" t="inlineStr"/>
      <c r="K115" s="15">
        <f>IF(OR(A115="",E115="",G115=0),"",E115/G115)</f>
        <v/>
      </c>
      <c r="L115" s="15">
        <f>IF(A115="","",MAX(0,E115-K115*MAX(0,GJ-YEAR(F115))))</f>
        <v/>
      </c>
    </row>
    <row r="116">
      <c r="A116" s="30" t="inlineStr"/>
      <c r="B116" s="30" t="inlineStr"/>
      <c r="C116" s="30" t="inlineStr"/>
      <c r="D116" s="30" t="inlineStr"/>
      <c r="E116" s="34" t="inlineStr"/>
      <c r="F116" s="38" t="inlineStr"/>
      <c r="G116" s="31" t="inlineStr"/>
      <c r="H116" s="34" t="inlineStr"/>
      <c r="I116" s="30" t="inlineStr"/>
      <c r="J116" s="30" t="inlineStr"/>
      <c r="K116" s="15">
        <f>IF(OR(A116="",E116="",G116=0),"",E116/G116)</f>
        <v/>
      </c>
      <c r="L116" s="15">
        <f>IF(A116="","",MAX(0,E116-K116*MAX(0,GJ-YEAR(F116))))</f>
        <v/>
      </c>
    </row>
    <row r="117">
      <c r="A117" s="30" t="inlineStr"/>
      <c r="B117" s="30" t="inlineStr"/>
      <c r="C117" s="30" t="inlineStr"/>
      <c r="D117" s="30" t="inlineStr"/>
      <c r="E117" s="34" t="inlineStr"/>
      <c r="F117" s="38" t="inlineStr"/>
      <c r="G117" s="31" t="inlineStr"/>
      <c r="H117" s="34" t="inlineStr"/>
      <c r="I117" s="30" t="inlineStr"/>
      <c r="J117" s="30" t="inlineStr"/>
      <c r="K117" s="15">
        <f>IF(OR(A117="",E117="",G117=0),"",E117/G117)</f>
        <v/>
      </c>
      <c r="L117" s="15">
        <f>IF(A117="","",MAX(0,E117-K117*MAX(0,GJ-YEAR(F117))))</f>
        <v/>
      </c>
    </row>
    <row r="118">
      <c r="A118" s="30" t="inlineStr"/>
      <c r="B118" s="30" t="inlineStr"/>
      <c r="C118" s="30" t="inlineStr"/>
      <c r="D118" s="30" t="inlineStr"/>
      <c r="E118" s="34" t="inlineStr"/>
      <c r="F118" s="38" t="inlineStr"/>
      <c r="G118" s="31" t="inlineStr"/>
      <c r="H118" s="34" t="inlineStr"/>
      <c r="I118" s="30" t="inlineStr"/>
      <c r="J118" s="30" t="inlineStr"/>
      <c r="K118" s="15">
        <f>IF(OR(A118="",E118="",G118=0),"",E118/G118)</f>
        <v/>
      </c>
      <c r="L118" s="15">
        <f>IF(A118="","",MAX(0,E118-K118*MAX(0,GJ-YEAR(F118))))</f>
        <v/>
      </c>
    </row>
    <row r="119">
      <c r="A119" s="30" t="inlineStr"/>
      <c r="B119" s="30" t="inlineStr"/>
      <c r="C119" s="30" t="inlineStr"/>
      <c r="D119" s="30" t="inlineStr"/>
      <c r="E119" s="34" t="inlineStr"/>
      <c r="F119" s="38" t="inlineStr"/>
      <c r="G119" s="31" t="inlineStr"/>
      <c r="H119" s="34" t="inlineStr"/>
      <c r="I119" s="30" t="inlineStr"/>
      <c r="J119" s="30" t="inlineStr"/>
      <c r="K119" s="15">
        <f>IF(OR(A119="",E119="",G119=0),"",E119/G119)</f>
        <v/>
      </c>
      <c r="L119" s="15">
        <f>IF(A119="","",MAX(0,E119-K119*MAX(0,GJ-YEAR(F119))))</f>
        <v/>
      </c>
    </row>
    <row r="120">
      <c r="A120" s="30" t="inlineStr"/>
      <c r="B120" s="30" t="inlineStr"/>
      <c r="C120" s="30" t="inlineStr"/>
      <c r="D120" s="30" t="inlineStr"/>
      <c r="E120" s="34" t="inlineStr"/>
      <c r="F120" s="38" t="inlineStr"/>
      <c r="G120" s="31" t="inlineStr"/>
      <c r="H120" s="34" t="inlineStr"/>
      <c r="I120" s="30" t="inlineStr"/>
      <c r="J120" s="30" t="inlineStr"/>
      <c r="K120" s="15">
        <f>IF(OR(A120="",E120="",G120=0),"",E120/G120)</f>
        <v/>
      </c>
      <c r="L120" s="15">
        <f>IF(A120="","",MAX(0,E120-K120*MAX(0,GJ-YEAR(F120))))</f>
        <v/>
      </c>
    </row>
    <row r="121">
      <c r="A121" s="30" t="inlineStr"/>
      <c r="B121" s="30" t="inlineStr"/>
      <c r="C121" s="30" t="inlineStr"/>
      <c r="D121" s="30" t="inlineStr"/>
      <c r="E121" s="34" t="inlineStr"/>
      <c r="F121" s="38" t="inlineStr"/>
      <c r="G121" s="31" t="inlineStr"/>
      <c r="H121" s="34" t="inlineStr"/>
      <c r="I121" s="30" t="inlineStr"/>
      <c r="J121" s="30" t="inlineStr"/>
      <c r="K121" s="15">
        <f>IF(OR(A121="",E121="",G121=0),"",E121/G121)</f>
        <v/>
      </c>
      <c r="L121" s="15">
        <f>IF(A121="","",MAX(0,E121-K121*MAX(0,GJ-YEAR(F121))))</f>
        <v/>
      </c>
    </row>
    <row r="122">
      <c r="A122" s="30" t="inlineStr"/>
      <c r="B122" s="30" t="inlineStr"/>
      <c r="C122" s="30" t="inlineStr"/>
      <c r="D122" s="30" t="inlineStr"/>
      <c r="E122" s="34" t="inlineStr"/>
      <c r="F122" s="38" t="inlineStr"/>
      <c r="G122" s="31" t="inlineStr"/>
      <c r="H122" s="34" t="inlineStr"/>
      <c r="I122" s="30" t="inlineStr"/>
      <c r="J122" s="30" t="inlineStr"/>
      <c r="K122" s="15">
        <f>IF(OR(A122="",E122="",G122=0),"",E122/G122)</f>
        <v/>
      </c>
      <c r="L122" s="15">
        <f>IF(A122="","",MAX(0,E122-K122*MAX(0,GJ-YEAR(F122))))</f>
        <v/>
      </c>
    </row>
    <row r="123">
      <c r="A123" s="30" t="inlineStr"/>
      <c r="B123" s="30" t="inlineStr"/>
      <c r="C123" s="30" t="inlineStr"/>
      <c r="D123" s="30" t="inlineStr"/>
      <c r="E123" s="34" t="inlineStr"/>
      <c r="F123" s="38" t="inlineStr"/>
      <c r="G123" s="31" t="inlineStr"/>
      <c r="H123" s="34" t="inlineStr"/>
      <c r="I123" s="30" t="inlineStr"/>
      <c r="J123" s="30" t="inlineStr"/>
      <c r="K123" s="15">
        <f>IF(OR(A123="",E123="",G123=0),"",E123/G123)</f>
        <v/>
      </c>
      <c r="L123" s="15">
        <f>IF(A123="","",MAX(0,E123-K123*MAX(0,GJ-YEAR(F123))))</f>
        <v/>
      </c>
    </row>
    <row r="124">
      <c r="A124" s="30" t="inlineStr"/>
      <c r="B124" s="30" t="inlineStr"/>
      <c r="C124" s="30" t="inlineStr"/>
      <c r="D124" s="30" t="inlineStr"/>
      <c r="E124" s="34" t="inlineStr"/>
      <c r="F124" s="38" t="inlineStr"/>
      <c r="G124" s="31" t="inlineStr"/>
      <c r="H124" s="34" t="inlineStr"/>
      <c r="I124" s="30" t="inlineStr"/>
      <c r="J124" s="30" t="inlineStr"/>
      <c r="K124" s="15">
        <f>IF(OR(A124="",E124="",G124=0),"",E124/G124)</f>
        <v/>
      </c>
      <c r="L124" s="15">
        <f>IF(A124="","",MAX(0,E124-K124*MAX(0,GJ-YEAR(F124))))</f>
        <v/>
      </c>
    </row>
    <row r="125">
      <c r="A125" s="30" t="inlineStr"/>
      <c r="B125" s="30" t="inlineStr"/>
      <c r="C125" s="30" t="inlineStr"/>
      <c r="D125" s="30" t="inlineStr"/>
      <c r="E125" s="34" t="inlineStr"/>
      <c r="F125" s="38" t="inlineStr"/>
      <c r="G125" s="31" t="inlineStr"/>
      <c r="H125" s="34" t="inlineStr"/>
      <c r="I125" s="30" t="inlineStr"/>
      <c r="J125" s="30" t="inlineStr"/>
      <c r="K125" s="15">
        <f>IF(OR(A125="",E125="",G125=0),"",E125/G125)</f>
        <v/>
      </c>
      <c r="L125" s="15">
        <f>IF(A125="","",MAX(0,E125-K125*MAX(0,GJ-YEAR(F125))))</f>
        <v/>
      </c>
    </row>
    <row r="126">
      <c r="A126" s="30" t="inlineStr"/>
      <c r="B126" s="30" t="inlineStr"/>
      <c r="C126" s="30" t="inlineStr"/>
      <c r="D126" s="30" t="inlineStr"/>
      <c r="E126" s="34" t="inlineStr"/>
      <c r="F126" s="38" t="inlineStr"/>
      <c r="G126" s="31" t="inlineStr"/>
      <c r="H126" s="34" t="inlineStr"/>
      <c r="I126" s="30" t="inlineStr"/>
      <c r="J126" s="30" t="inlineStr"/>
      <c r="K126" s="15">
        <f>IF(OR(A126="",E126="",G126=0),"",E126/G126)</f>
        <v/>
      </c>
      <c r="L126" s="15">
        <f>IF(A126="","",MAX(0,E126-K126*MAX(0,GJ-YEAR(F126))))</f>
        <v/>
      </c>
    </row>
    <row r="127">
      <c r="A127" s="30" t="inlineStr"/>
      <c r="B127" s="30" t="inlineStr"/>
      <c r="C127" s="30" t="inlineStr"/>
      <c r="D127" s="30" t="inlineStr"/>
      <c r="E127" s="34" t="inlineStr"/>
      <c r="F127" s="38" t="inlineStr"/>
      <c r="G127" s="31" t="inlineStr"/>
      <c r="H127" s="34" t="inlineStr"/>
      <c r="I127" s="30" t="inlineStr"/>
      <c r="J127" s="30" t="inlineStr"/>
      <c r="K127" s="15">
        <f>IF(OR(A127="",E127="",G127=0),"",E127/G127)</f>
        <v/>
      </c>
      <c r="L127" s="15">
        <f>IF(A127="","",MAX(0,E127-K127*MAX(0,GJ-YEAR(F127))))</f>
        <v/>
      </c>
    </row>
    <row r="128">
      <c r="A128" s="30" t="inlineStr"/>
      <c r="B128" s="30" t="inlineStr"/>
      <c r="C128" s="30" t="inlineStr"/>
      <c r="D128" s="30" t="inlineStr"/>
      <c r="E128" s="34" t="inlineStr"/>
      <c r="F128" s="38" t="inlineStr"/>
      <c r="G128" s="31" t="inlineStr"/>
      <c r="H128" s="34" t="inlineStr"/>
      <c r="I128" s="30" t="inlineStr"/>
      <c r="J128" s="30" t="inlineStr"/>
      <c r="K128" s="15">
        <f>IF(OR(A128="",E128="",G128=0),"",E128/G128)</f>
        <v/>
      </c>
      <c r="L128" s="15">
        <f>IF(A128="","",MAX(0,E128-K128*MAX(0,GJ-YEAR(F128))))</f>
        <v/>
      </c>
    </row>
    <row r="129">
      <c r="A129" s="30" t="inlineStr"/>
      <c r="B129" s="30" t="inlineStr"/>
      <c r="C129" s="30" t="inlineStr"/>
      <c r="D129" s="30" t="inlineStr"/>
      <c r="E129" s="34" t="inlineStr"/>
      <c r="F129" s="38" t="inlineStr"/>
      <c r="G129" s="31" t="inlineStr"/>
      <c r="H129" s="34" t="inlineStr"/>
      <c r="I129" s="30" t="inlineStr"/>
      <c r="J129" s="30" t="inlineStr"/>
      <c r="K129" s="15">
        <f>IF(OR(A129="",E129="",G129=0),"",E129/G129)</f>
        <v/>
      </c>
      <c r="L129" s="15">
        <f>IF(A129="","",MAX(0,E129-K129*MAX(0,GJ-YEAR(F129))))</f>
        <v/>
      </c>
    </row>
    <row r="130">
      <c r="A130" s="30" t="inlineStr"/>
      <c r="B130" s="30" t="inlineStr"/>
      <c r="C130" s="30" t="inlineStr"/>
      <c r="D130" s="30" t="inlineStr"/>
      <c r="E130" s="34" t="inlineStr"/>
      <c r="F130" s="38" t="inlineStr"/>
      <c r="G130" s="31" t="inlineStr"/>
      <c r="H130" s="34" t="inlineStr"/>
      <c r="I130" s="30" t="inlineStr"/>
      <c r="J130" s="30" t="inlineStr"/>
      <c r="K130" s="15">
        <f>IF(OR(A130="",E130="",G130=0),"",E130/G130)</f>
        <v/>
      </c>
      <c r="L130" s="15">
        <f>IF(A130="","",MAX(0,E130-K130*MAX(0,GJ-YEAR(F130))))</f>
        <v/>
      </c>
    </row>
    <row r="131">
      <c r="A131" s="30" t="inlineStr"/>
      <c r="B131" s="30" t="inlineStr"/>
      <c r="C131" s="30" t="inlineStr"/>
      <c r="D131" s="30" t="inlineStr"/>
      <c r="E131" s="34" t="inlineStr"/>
      <c r="F131" s="38" t="inlineStr"/>
      <c r="G131" s="31" t="inlineStr"/>
      <c r="H131" s="34" t="inlineStr"/>
      <c r="I131" s="30" t="inlineStr"/>
      <c r="J131" s="30" t="inlineStr"/>
      <c r="K131" s="15">
        <f>IF(OR(A131="",E131="",G131=0),"",E131/G131)</f>
        <v/>
      </c>
      <c r="L131" s="15">
        <f>IF(A131="","",MAX(0,E131-K131*MAX(0,GJ-YEAR(F131))))</f>
        <v/>
      </c>
    </row>
    <row r="132">
      <c r="A132" s="30" t="inlineStr"/>
      <c r="B132" s="30" t="inlineStr"/>
      <c r="C132" s="30" t="inlineStr"/>
      <c r="D132" s="30" t="inlineStr"/>
      <c r="E132" s="34" t="inlineStr"/>
      <c r="F132" s="38" t="inlineStr"/>
      <c r="G132" s="31" t="inlineStr"/>
      <c r="H132" s="34" t="inlineStr"/>
      <c r="I132" s="30" t="inlineStr"/>
      <c r="J132" s="30" t="inlineStr"/>
      <c r="K132" s="15">
        <f>IF(OR(A132="",E132="",G132=0),"",E132/G132)</f>
        <v/>
      </c>
      <c r="L132" s="15">
        <f>IF(A132="","",MAX(0,E132-K132*MAX(0,GJ-YEAR(F132))))</f>
        <v/>
      </c>
    </row>
    <row r="133">
      <c r="A133" s="30" t="inlineStr"/>
      <c r="B133" s="30" t="inlineStr"/>
      <c r="C133" s="30" t="inlineStr"/>
      <c r="D133" s="30" t="inlineStr"/>
      <c r="E133" s="34" t="inlineStr"/>
      <c r="F133" s="38" t="inlineStr"/>
      <c r="G133" s="31" t="inlineStr"/>
      <c r="H133" s="34" t="inlineStr"/>
      <c r="I133" s="30" t="inlineStr"/>
      <c r="J133" s="30" t="inlineStr"/>
      <c r="K133" s="15">
        <f>IF(OR(A133="",E133="",G133=0),"",E133/G133)</f>
        <v/>
      </c>
      <c r="L133" s="15">
        <f>IF(A133="","",MAX(0,E133-K133*MAX(0,GJ-YEAR(F133))))</f>
        <v/>
      </c>
    </row>
    <row r="134">
      <c r="A134" s="30" t="inlineStr"/>
      <c r="B134" s="30" t="inlineStr"/>
      <c r="C134" s="30" t="inlineStr"/>
      <c r="D134" s="30" t="inlineStr"/>
      <c r="E134" s="34" t="inlineStr"/>
      <c r="F134" s="38" t="inlineStr"/>
      <c r="G134" s="31" t="inlineStr"/>
      <c r="H134" s="34" t="inlineStr"/>
      <c r="I134" s="30" t="inlineStr"/>
      <c r="J134" s="30" t="inlineStr"/>
      <c r="K134" s="15">
        <f>IF(OR(A134="",E134="",G134=0),"",E134/G134)</f>
        <v/>
      </c>
      <c r="L134" s="15">
        <f>IF(A134="","",MAX(0,E134-K134*MAX(0,GJ-YEAR(F134))))</f>
        <v/>
      </c>
    </row>
    <row r="135">
      <c r="A135" s="30" t="inlineStr"/>
      <c r="B135" s="30" t="inlineStr"/>
      <c r="C135" s="30" t="inlineStr"/>
      <c r="D135" s="30" t="inlineStr"/>
      <c r="E135" s="34" t="inlineStr"/>
      <c r="F135" s="38" t="inlineStr"/>
      <c r="G135" s="31" t="inlineStr"/>
      <c r="H135" s="34" t="inlineStr"/>
      <c r="I135" s="30" t="inlineStr"/>
      <c r="J135" s="30" t="inlineStr"/>
      <c r="K135" s="15">
        <f>IF(OR(A135="",E135="",G135=0),"",E135/G135)</f>
        <v/>
      </c>
      <c r="L135" s="15">
        <f>IF(A135="","",MAX(0,E135-K135*MAX(0,GJ-YEAR(F135))))</f>
        <v/>
      </c>
    </row>
    <row r="136">
      <c r="A136" s="30" t="inlineStr"/>
      <c r="B136" s="30" t="inlineStr"/>
      <c r="C136" s="30" t="inlineStr"/>
      <c r="D136" s="30" t="inlineStr"/>
      <c r="E136" s="34" t="inlineStr"/>
      <c r="F136" s="38" t="inlineStr"/>
      <c r="G136" s="31" t="inlineStr"/>
      <c r="H136" s="34" t="inlineStr"/>
      <c r="I136" s="30" t="inlineStr"/>
      <c r="J136" s="30" t="inlineStr"/>
      <c r="K136" s="15">
        <f>IF(OR(A136="",E136="",G136=0),"",E136/G136)</f>
        <v/>
      </c>
      <c r="L136" s="15">
        <f>IF(A136="","",MAX(0,E136-K136*MAX(0,GJ-YEAR(F136))))</f>
        <v/>
      </c>
    </row>
    <row r="137">
      <c r="A137" s="30" t="inlineStr"/>
      <c r="B137" s="30" t="inlineStr"/>
      <c r="C137" s="30" t="inlineStr"/>
      <c r="D137" s="30" t="inlineStr"/>
      <c r="E137" s="34" t="inlineStr"/>
      <c r="F137" s="38" t="inlineStr"/>
      <c r="G137" s="31" t="inlineStr"/>
      <c r="H137" s="34" t="inlineStr"/>
      <c r="I137" s="30" t="inlineStr"/>
      <c r="J137" s="30" t="inlineStr"/>
      <c r="K137" s="15">
        <f>IF(OR(A137="",E137="",G137=0),"",E137/G137)</f>
        <v/>
      </c>
      <c r="L137" s="15">
        <f>IF(A137="","",MAX(0,E137-K137*MAX(0,GJ-YEAR(F137))))</f>
        <v/>
      </c>
    </row>
    <row r="138">
      <c r="A138" s="30" t="inlineStr"/>
      <c r="B138" s="30" t="inlineStr"/>
      <c r="C138" s="30" t="inlineStr"/>
      <c r="D138" s="30" t="inlineStr"/>
      <c r="E138" s="34" t="inlineStr"/>
      <c r="F138" s="38" t="inlineStr"/>
      <c r="G138" s="31" t="inlineStr"/>
      <c r="H138" s="34" t="inlineStr"/>
      <c r="I138" s="30" t="inlineStr"/>
      <c r="J138" s="30" t="inlineStr"/>
      <c r="K138" s="15">
        <f>IF(OR(A138="",E138="",G138=0),"",E138/G138)</f>
        <v/>
      </c>
      <c r="L138" s="15">
        <f>IF(A138="","",MAX(0,E138-K138*MAX(0,GJ-YEAR(F138))))</f>
        <v/>
      </c>
    </row>
    <row r="139">
      <c r="A139" s="30" t="inlineStr"/>
      <c r="B139" s="30" t="inlineStr"/>
      <c r="C139" s="30" t="inlineStr"/>
      <c r="D139" s="30" t="inlineStr"/>
      <c r="E139" s="34" t="inlineStr"/>
      <c r="F139" s="38" t="inlineStr"/>
      <c r="G139" s="31" t="inlineStr"/>
      <c r="H139" s="34" t="inlineStr"/>
      <c r="I139" s="30" t="inlineStr"/>
      <c r="J139" s="30" t="inlineStr"/>
      <c r="K139" s="15">
        <f>IF(OR(A139="",E139="",G139=0),"",E139/G139)</f>
        <v/>
      </c>
      <c r="L139" s="15">
        <f>IF(A139="","",MAX(0,E139-K139*MAX(0,GJ-YEAR(F139))))</f>
        <v/>
      </c>
    </row>
    <row r="140">
      <c r="A140" s="30" t="inlineStr"/>
      <c r="B140" s="30" t="inlineStr"/>
      <c r="C140" s="30" t="inlineStr"/>
      <c r="D140" s="30" t="inlineStr"/>
      <c r="E140" s="34" t="inlineStr"/>
      <c r="F140" s="38" t="inlineStr"/>
      <c r="G140" s="31" t="inlineStr"/>
      <c r="H140" s="34" t="inlineStr"/>
      <c r="I140" s="30" t="inlineStr"/>
      <c r="J140" s="30" t="inlineStr"/>
      <c r="K140" s="15">
        <f>IF(OR(A140="",E140="",G140=0),"",E140/G140)</f>
        <v/>
      </c>
      <c r="L140" s="15">
        <f>IF(A140="","",MAX(0,E140-K140*MAX(0,GJ-YEAR(F140))))</f>
        <v/>
      </c>
    </row>
    <row r="141">
      <c r="A141" s="30" t="inlineStr"/>
      <c r="B141" s="30" t="inlineStr"/>
      <c r="C141" s="30" t="inlineStr"/>
      <c r="D141" s="30" t="inlineStr"/>
      <c r="E141" s="34" t="inlineStr"/>
      <c r="F141" s="38" t="inlineStr"/>
      <c r="G141" s="31" t="inlineStr"/>
      <c r="H141" s="34" t="inlineStr"/>
      <c r="I141" s="30" t="inlineStr"/>
      <c r="J141" s="30" t="inlineStr"/>
      <c r="K141" s="15">
        <f>IF(OR(A141="",E141="",G141=0),"",E141/G141)</f>
        <v/>
      </c>
      <c r="L141" s="15">
        <f>IF(A141="","",MAX(0,E141-K141*MAX(0,GJ-YEAR(F141))))</f>
        <v/>
      </c>
    </row>
    <row r="142">
      <c r="A142" s="30" t="inlineStr"/>
      <c r="B142" s="30" t="inlineStr"/>
      <c r="C142" s="30" t="inlineStr"/>
      <c r="D142" s="30" t="inlineStr"/>
      <c r="E142" s="34" t="inlineStr"/>
      <c r="F142" s="38" t="inlineStr"/>
      <c r="G142" s="31" t="inlineStr"/>
      <c r="H142" s="34" t="inlineStr"/>
      <c r="I142" s="30" t="inlineStr"/>
      <c r="J142" s="30" t="inlineStr"/>
      <c r="K142" s="15">
        <f>IF(OR(A142="",E142="",G142=0),"",E142/G142)</f>
        <v/>
      </c>
      <c r="L142" s="15">
        <f>IF(A142="","",MAX(0,E142-K142*MAX(0,GJ-YEAR(F142))))</f>
        <v/>
      </c>
    </row>
    <row r="143">
      <c r="A143" s="30" t="inlineStr"/>
      <c r="B143" s="30" t="inlineStr"/>
      <c r="C143" s="30" t="inlineStr"/>
      <c r="D143" s="30" t="inlineStr"/>
      <c r="E143" s="34" t="inlineStr"/>
      <c r="F143" s="38" t="inlineStr"/>
      <c r="G143" s="31" t="inlineStr"/>
      <c r="H143" s="34" t="inlineStr"/>
      <c r="I143" s="30" t="inlineStr"/>
      <c r="J143" s="30" t="inlineStr"/>
      <c r="K143" s="15">
        <f>IF(OR(A143="",E143="",G143=0),"",E143/G143)</f>
        <v/>
      </c>
      <c r="L143" s="15">
        <f>IF(A143="","",MAX(0,E143-K143*MAX(0,GJ-YEAR(F143))))</f>
        <v/>
      </c>
    </row>
    <row r="144">
      <c r="A144" s="30" t="inlineStr"/>
      <c r="B144" s="30" t="inlineStr"/>
      <c r="C144" s="30" t="inlineStr"/>
      <c r="D144" s="30" t="inlineStr"/>
      <c r="E144" s="34" t="inlineStr"/>
      <c r="F144" s="38" t="inlineStr"/>
      <c r="G144" s="31" t="inlineStr"/>
      <c r="H144" s="34" t="inlineStr"/>
      <c r="I144" s="30" t="inlineStr"/>
      <c r="J144" s="30" t="inlineStr"/>
      <c r="K144" s="15">
        <f>IF(OR(A144="",E144="",G144=0),"",E144/G144)</f>
        <v/>
      </c>
      <c r="L144" s="15">
        <f>IF(A144="","",MAX(0,E144-K144*MAX(0,GJ-YEAR(F144))))</f>
        <v/>
      </c>
    </row>
    <row r="145">
      <c r="A145" s="30" t="inlineStr"/>
      <c r="B145" s="30" t="inlineStr"/>
      <c r="C145" s="30" t="inlineStr"/>
      <c r="D145" s="30" t="inlineStr"/>
      <c r="E145" s="34" t="inlineStr"/>
      <c r="F145" s="38" t="inlineStr"/>
      <c r="G145" s="31" t="inlineStr"/>
      <c r="H145" s="34" t="inlineStr"/>
      <c r="I145" s="30" t="inlineStr"/>
      <c r="J145" s="30" t="inlineStr"/>
      <c r="K145" s="15">
        <f>IF(OR(A145="",E145="",G145=0),"",E145/G145)</f>
        <v/>
      </c>
      <c r="L145" s="15">
        <f>IF(A145="","",MAX(0,E145-K145*MAX(0,GJ-YEAR(F145))))</f>
        <v/>
      </c>
    </row>
    <row r="146">
      <c r="A146" s="30" t="inlineStr"/>
      <c r="B146" s="30" t="inlineStr"/>
      <c r="C146" s="30" t="inlineStr"/>
      <c r="D146" s="30" t="inlineStr"/>
      <c r="E146" s="34" t="inlineStr"/>
      <c r="F146" s="38" t="inlineStr"/>
      <c r="G146" s="31" t="inlineStr"/>
      <c r="H146" s="34" t="inlineStr"/>
      <c r="I146" s="30" t="inlineStr"/>
      <c r="J146" s="30" t="inlineStr"/>
      <c r="K146" s="15">
        <f>IF(OR(A146="",E146="",G146=0),"",E146/G146)</f>
        <v/>
      </c>
      <c r="L146" s="15">
        <f>IF(A146="","",MAX(0,E146-K146*MAX(0,GJ-YEAR(F146))))</f>
        <v/>
      </c>
    </row>
    <row r="147">
      <c r="A147" s="30" t="inlineStr"/>
      <c r="B147" s="30" t="inlineStr"/>
      <c r="C147" s="30" t="inlineStr"/>
      <c r="D147" s="30" t="inlineStr"/>
      <c r="E147" s="34" t="inlineStr"/>
      <c r="F147" s="38" t="inlineStr"/>
      <c r="G147" s="31" t="inlineStr"/>
      <c r="H147" s="34" t="inlineStr"/>
      <c r="I147" s="30" t="inlineStr"/>
      <c r="J147" s="30" t="inlineStr"/>
      <c r="K147" s="15">
        <f>IF(OR(A147="",E147="",G147=0),"",E147/G147)</f>
        <v/>
      </c>
      <c r="L147" s="15">
        <f>IF(A147="","",MAX(0,E147-K147*MAX(0,GJ-YEAR(F147))))</f>
        <v/>
      </c>
    </row>
    <row r="148">
      <c r="A148" s="30" t="inlineStr"/>
      <c r="B148" s="30" t="inlineStr"/>
      <c r="C148" s="30" t="inlineStr"/>
      <c r="D148" s="30" t="inlineStr"/>
      <c r="E148" s="34" t="inlineStr"/>
      <c r="F148" s="38" t="inlineStr"/>
      <c r="G148" s="31" t="inlineStr"/>
      <c r="H148" s="34" t="inlineStr"/>
      <c r="I148" s="30" t="inlineStr"/>
      <c r="J148" s="30" t="inlineStr"/>
      <c r="K148" s="15">
        <f>IF(OR(A148="",E148="",G148=0),"",E148/G148)</f>
        <v/>
      </c>
      <c r="L148" s="15">
        <f>IF(A148="","",MAX(0,E148-K148*MAX(0,GJ-YEAR(F148))))</f>
        <v/>
      </c>
    </row>
    <row r="149">
      <c r="A149" s="30" t="inlineStr"/>
      <c r="B149" s="30" t="inlineStr"/>
      <c r="C149" s="30" t="inlineStr"/>
      <c r="D149" s="30" t="inlineStr"/>
      <c r="E149" s="34" t="inlineStr"/>
      <c r="F149" s="38" t="inlineStr"/>
      <c r="G149" s="31" t="inlineStr"/>
      <c r="H149" s="34" t="inlineStr"/>
      <c r="I149" s="30" t="inlineStr"/>
      <c r="J149" s="30" t="inlineStr"/>
      <c r="K149" s="15">
        <f>IF(OR(A149="",E149="",G149=0),"",E149/G149)</f>
        <v/>
      </c>
      <c r="L149" s="15">
        <f>IF(A149="","",MAX(0,E149-K149*MAX(0,GJ-YEAR(F149))))</f>
        <v/>
      </c>
    </row>
    <row r="150">
      <c r="A150" s="30" t="inlineStr"/>
      <c r="B150" s="30" t="inlineStr"/>
      <c r="C150" s="30" t="inlineStr"/>
      <c r="D150" s="30" t="inlineStr"/>
      <c r="E150" s="34" t="inlineStr"/>
      <c r="F150" s="38" t="inlineStr"/>
      <c r="G150" s="31" t="inlineStr"/>
      <c r="H150" s="34" t="inlineStr"/>
      <c r="I150" s="30" t="inlineStr"/>
      <c r="J150" s="30" t="inlineStr"/>
      <c r="K150" s="15">
        <f>IF(OR(A150="",E150="",G150=0),"",E150/G150)</f>
        <v/>
      </c>
      <c r="L150" s="15">
        <f>IF(A150="","",MAX(0,E150-K150*MAX(0,GJ-YEAR(F150))))</f>
        <v/>
      </c>
    </row>
    <row r="151">
      <c r="A151" s="30" t="inlineStr"/>
      <c r="B151" s="30" t="inlineStr"/>
      <c r="C151" s="30" t="inlineStr"/>
      <c r="D151" s="30" t="inlineStr"/>
      <c r="E151" s="34" t="inlineStr"/>
      <c r="F151" s="38" t="inlineStr"/>
      <c r="G151" s="31" t="inlineStr"/>
      <c r="H151" s="34" t="inlineStr"/>
      <c r="I151" s="30" t="inlineStr"/>
      <c r="J151" s="30" t="inlineStr"/>
      <c r="K151" s="15">
        <f>IF(OR(A151="",E151="",G151=0),"",E151/G151)</f>
        <v/>
      </c>
      <c r="L151" s="15">
        <f>IF(A151="","",MAX(0,E151-K151*MAX(0,GJ-YEAR(F151))))</f>
        <v/>
      </c>
    </row>
    <row r="152">
      <c r="A152" s="30" t="inlineStr"/>
      <c r="B152" s="30" t="inlineStr"/>
      <c r="C152" s="30" t="inlineStr"/>
      <c r="D152" s="30" t="inlineStr"/>
      <c r="E152" s="34" t="inlineStr"/>
      <c r="F152" s="38" t="inlineStr"/>
      <c r="G152" s="31" t="inlineStr"/>
      <c r="H152" s="34" t="inlineStr"/>
      <c r="I152" s="30" t="inlineStr"/>
      <c r="J152" s="30" t="inlineStr"/>
      <c r="K152" s="15">
        <f>IF(OR(A152="",E152="",G152=0),"",E152/G152)</f>
        <v/>
      </c>
      <c r="L152" s="15">
        <f>IF(A152="","",MAX(0,E152-K152*MAX(0,GJ-YEAR(F152))))</f>
        <v/>
      </c>
    </row>
    <row r="153">
      <c r="A153" s="30" t="inlineStr"/>
      <c r="B153" s="30" t="inlineStr"/>
      <c r="C153" s="30" t="inlineStr"/>
      <c r="D153" s="30" t="inlineStr"/>
      <c r="E153" s="34" t="inlineStr"/>
      <c r="F153" s="38" t="inlineStr"/>
      <c r="G153" s="31" t="inlineStr"/>
      <c r="H153" s="34" t="inlineStr"/>
      <c r="I153" s="30" t="inlineStr"/>
      <c r="J153" s="30" t="inlineStr"/>
      <c r="K153" s="15">
        <f>IF(OR(A153="",E153="",G153=0),"",E153/G153)</f>
        <v/>
      </c>
      <c r="L153" s="15">
        <f>IF(A153="","",MAX(0,E153-K153*MAX(0,GJ-YEAR(F153))))</f>
        <v/>
      </c>
    </row>
    <row r="154">
      <c r="A154" s="30" t="inlineStr"/>
      <c r="B154" s="30" t="inlineStr"/>
      <c r="C154" s="30" t="inlineStr"/>
      <c r="D154" s="30" t="inlineStr"/>
      <c r="E154" s="34" t="inlineStr"/>
      <c r="F154" s="38" t="inlineStr"/>
      <c r="G154" s="31" t="inlineStr"/>
      <c r="H154" s="34" t="inlineStr"/>
      <c r="I154" s="30" t="inlineStr"/>
      <c r="J154" s="30" t="inlineStr"/>
      <c r="K154" s="15">
        <f>IF(OR(A154="",E154="",G154=0),"",E154/G154)</f>
        <v/>
      </c>
      <c r="L154" s="15">
        <f>IF(A154="","",MAX(0,E154-K154*MAX(0,GJ-YEAR(F154))))</f>
        <v/>
      </c>
    </row>
    <row r="155">
      <c r="A155" s="30" t="inlineStr"/>
      <c r="B155" s="30" t="inlineStr"/>
      <c r="C155" s="30" t="inlineStr"/>
      <c r="D155" s="30" t="inlineStr"/>
      <c r="E155" s="34" t="inlineStr"/>
      <c r="F155" s="38" t="inlineStr"/>
      <c r="G155" s="31" t="inlineStr"/>
      <c r="H155" s="34" t="inlineStr"/>
      <c r="I155" s="30" t="inlineStr"/>
      <c r="J155" s="30" t="inlineStr"/>
      <c r="K155" s="15">
        <f>IF(OR(A155="",E155="",G155=0),"",E155/G155)</f>
        <v/>
      </c>
      <c r="L155" s="15">
        <f>IF(A155="","",MAX(0,E155-K155*MAX(0,GJ-YEAR(F155))))</f>
        <v/>
      </c>
    </row>
    <row r="156">
      <c r="A156" s="30" t="inlineStr"/>
      <c r="B156" s="30" t="inlineStr"/>
      <c r="C156" s="30" t="inlineStr"/>
      <c r="D156" s="30" t="inlineStr"/>
      <c r="E156" s="34" t="inlineStr"/>
      <c r="F156" s="38" t="inlineStr"/>
      <c r="G156" s="31" t="inlineStr"/>
      <c r="H156" s="34" t="inlineStr"/>
      <c r="I156" s="30" t="inlineStr"/>
      <c r="J156" s="30" t="inlineStr"/>
      <c r="K156" s="15">
        <f>IF(OR(A156="",E156="",G156=0),"",E156/G156)</f>
        <v/>
      </c>
      <c r="L156" s="15">
        <f>IF(A156="","",MAX(0,E156-K156*MAX(0,GJ-YEAR(F156))))</f>
        <v/>
      </c>
    </row>
    <row r="157">
      <c r="A157" s="30" t="inlineStr"/>
      <c r="B157" s="30" t="inlineStr"/>
      <c r="C157" s="30" t="inlineStr"/>
      <c r="D157" s="30" t="inlineStr"/>
      <c r="E157" s="34" t="inlineStr"/>
      <c r="F157" s="38" t="inlineStr"/>
      <c r="G157" s="31" t="inlineStr"/>
      <c r="H157" s="34" t="inlineStr"/>
      <c r="I157" s="30" t="inlineStr"/>
      <c r="J157" s="30" t="inlineStr"/>
      <c r="K157" s="15">
        <f>IF(OR(A157="",E157="",G157=0),"",E157/G157)</f>
        <v/>
      </c>
      <c r="L157" s="15">
        <f>IF(A157="","",MAX(0,E157-K157*MAX(0,GJ-YEAR(F157))))</f>
        <v/>
      </c>
    </row>
    <row r="158">
      <c r="A158" s="30" t="inlineStr"/>
      <c r="B158" s="30" t="inlineStr"/>
      <c r="C158" s="30" t="inlineStr"/>
      <c r="D158" s="30" t="inlineStr"/>
      <c r="E158" s="34" t="inlineStr"/>
      <c r="F158" s="38" t="inlineStr"/>
      <c r="G158" s="31" t="inlineStr"/>
      <c r="H158" s="34" t="inlineStr"/>
      <c r="I158" s="30" t="inlineStr"/>
      <c r="J158" s="30" t="inlineStr"/>
      <c r="K158" s="15">
        <f>IF(OR(A158="",E158="",G158=0),"",E158/G158)</f>
        <v/>
      </c>
      <c r="L158" s="15">
        <f>IF(A158="","",MAX(0,E158-K158*MAX(0,GJ-YEAR(F158))))</f>
        <v/>
      </c>
    </row>
    <row r="159">
      <c r="A159" s="30" t="inlineStr"/>
      <c r="B159" s="30" t="inlineStr"/>
      <c r="C159" s="30" t="inlineStr"/>
      <c r="D159" s="30" t="inlineStr"/>
      <c r="E159" s="34" t="inlineStr"/>
      <c r="F159" s="38" t="inlineStr"/>
      <c r="G159" s="31" t="inlineStr"/>
      <c r="H159" s="34" t="inlineStr"/>
      <c r="I159" s="30" t="inlineStr"/>
      <c r="J159" s="30" t="inlineStr"/>
      <c r="K159" s="15">
        <f>IF(OR(A159="",E159="",G159=0),"",E159/G159)</f>
        <v/>
      </c>
      <c r="L159" s="15">
        <f>IF(A159="","",MAX(0,E159-K159*MAX(0,GJ-YEAR(F159))))</f>
        <v/>
      </c>
    </row>
    <row r="160">
      <c r="A160" s="30" t="inlineStr"/>
      <c r="B160" s="30" t="inlineStr"/>
      <c r="C160" s="30" t="inlineStr"/>
      <c r="D160" s="30" t="inlineStr"/>
      <c r="E160" s="34" t="inlineStr"/>
      <c r="F160" s="38" t="inlineStr"/>
      <c r="G160" s="31" t="inlineStr"/>
      <c r="H160" s="34" t="inlineStr"/>
      <c r="I160" s="30" t="inlineStr"/>
      <c r="J160" s="30" t="inlineStr"/>
      <c r="K160" s="15">
        <f>IF(OR(A160="",E160="",G160=0),"",E160/G160)</f>
        <v/>
      </c>
      <c r="L160" s="15">
        <f>IF(A160="","",MAX(0,E160-K160*MAX(0,GJ-YEAR(F160))))</f>
        <v/>
      </c>
    </row>
    <row r="161">
      <c r="A161" s="30" t="inlineStr"/>
      <c r="B161" s="30" t="inlineStr"/>
      <c r="C161" s="30" t="inlineStr"/>
      <c r="D161" s="30" t="inlineStr"/>
      <c r="E161" s="34" t="inlineStr"/>
      <c r="F161" s="38" t="inlineStr"/>
      <c r="G161" s="31" t="inlineStr"/>
      <c r="H161" s="34" t="inlineStr"/>
      <c r="I161" s="30" t="inlineStr"/>
      <c r="J161" s="30" t="inlineStr"/>
      <c r="K161" s="15">
        <f>IF(OR(A161="",E161="",G161=0),"",E161/G161)</f>
        <v/>
      </c>
      <c r="L161" s="15">
        <f>IF(A161="","",MAX(0,E161-K161*MAX(0,GJ-YEAR(F161))))</f>
        <v/>
      </c>
    </row>
    <row r="162">
      <c r="A162" s="30" t="inlineStr"/>
      <c r="B162" s="30" t="inlineStr"/>
      <c r="C162" s="30" t="inlineStr"/>
      <c r="D162" s="30" t="inlineStr"/>
      <c r="E162" s="34" t="inlineStr"/>
      <c r="F162" s="38" t="inlineStr"/>
      <c r="G162" s="31" t="inlineStr"/>
      <c r="H162" s="34" t="inlineStr"/>
      <c r="I162" s="30" t="inlineStr"/>
      <c r="J162" s="30" t="inlineStr"/>
      <c r="K162" s="15">
        <f>IF(OR(A162="",E162="",G162=0),"",E162/G162)</f>
        <v/>
      </c>
      <c r="L162" s="15">
        <f>IF(A162="","",MAX(0,E162-K162*MAX(0,GJ-YEAR(F162))))</f>
        <v/>
      </c>
    </row>
    <row r="163">
      <c r="A163" s="30" t="inlineStr"/>
      <c r="B163" s="30" t="inlineStr"/>
      <c r="C163" s="30" t="inlineStr"/>
      <c r="D163" s="30" t="inlineStr"/>
      <c r="E163" s="34" t="inlineStr"/>
      <c r="F163" s="38" t="inlineStr"/>
      <c r="G163" s="31" t="inlineStr"/>
      <c r="H163" s="34" t="inlineStr"/>
      <c r="I163" s="30" t="inlineStr"/>
      <c r="J163" s="30" t="inlineStr"/>
      <c r="K163" s="15">
        <f>IF(OR(A163="",E163="",G163=0),"",E163/G163)</f>
        <v/>
      </c>
      <c r="L163" s="15">
        <f>IF(A163="","",MAX(0,E163-K163*MAX(0,GJ-YEAR(F163))))</f>
        <v/>
      </c>
    </row>
    <row r="164">
      <c r="A164" s="30" t="inlineStr"/>
      <c r="B164" s="30" t="inlineStr"/>
      <c r="C164" s="30" t="inlineStr"/>
      <c r="D164" s="30" t="inlineStr"/>
      <c r="E164" s="34" t="inlineStr"/>
      <c r="F164" s="38" t="inlineStr"/>
      <c r="G164" s="31" t="inlineStr"/>
      <c r="H164" s="34" t="inlineStr"/>
      <c r="I164" s="30" t="inlineStr"/>
      <c r="J164" s="30" t="inlineStr"/>
      <c r="K164" s="15">
        <f>IF(OR(A164="",E164="",G164=0),"",E164/G164)</f>
        <v/>
      </c>
      <c r="L164" s="15">
        <f>IF(A164="","",MAX(0,E164-K164*MAX(0,GJ-YEAR(F164))))</f>
        <v/>
      </c>
    </row>
    <row r="165">
      <c r="A165" s="30" t="inlineStr"/>
      <c r="B165" s="30" t="inlineStr"/>
      <c r="C165" s="30" t="inlineStr"/>
      <c r="D165" s="30" t="inlineStr"/>
      <c r="E165" s="34" t="inlineStr"/>
      <c r="F165" s="38" t="inlineStr"/>
      <c r="G165" s="31" t="inlineStr"/>
      <c r="H165" s="34" t="inlineStr"/>
      <c r="I165" s="30" t="inlineStr"/>
      <c r="J165" s="30" t="inlineStr"/>
      <c r="K165" s="15">
        <f>IF(OR(A165="",E165="",G165=0),"",E165/G165)</f>
        <v/>
      </c>
      <c r="L165" s="15">
        <f>IF(A165="","",MAX(0,E165-K165*MAX(0,GJ-YEAR(F165))))</f>
        <v/>
      </c>
    </row>
    <row r="166">
      <c r="A166" s="30" t="inlineStr"/>
      <c r="B166" s="30" t="inlineStr"/>
      <c r="C166" s="30" t="inlineStr"/>
      <c r="D166" s="30" t="inlineStr"/>
      <c r="E166" s="34" t="inlineStr"/>
      <c r="F166" s="38" t="inlineStr"/>
      <c r="G166" s="31" t="inlineStr"/>
      <c r="H166" s="34" t="inlineStr"/>
      <c r="I166" s="30" t="inlineStr"/>
      <c r="J166" s="30" t="inlineStr"/>
      <c r="K166" s="15">
        <f>IF(OR(A166="",E166="",G166=0),"",E166/G166)</f>
        <v/>
      </c>
      <c r="L166" s="15">
        <f>IF(A166="","",MAX(0,E166-K166*MAX(0,GJ-YEAR(F166))))</f>
        <v/>
      </c>
    </row>
    <row r="167">
      <c r="A167" s="30" t="inlineStr"/>
      <c r="B167" s="30" t="inlineStr"/>
      <c r="C167" s="30" t="inlineStr"/>
      <c r="D167" s="30" t="inlineStr"/>
      <c r="E167" s="34" t="inlineStr"/>
      <c r="F167" s="38" t="inlineStr"/>
      <c r="G167" s="31" t="inlineStr"/>
      <c r="H167" s="34" t="inlineStr"/>
      <c r="I167" s="30" t="inlineStr"/>
      <c r="J167" s="30" t="inlineStr"/>
      <c r="K167" s="15">
        <f>IF(OR(A167="",E167="",G167=0),"",E167/G167)</f>
        <v/>
      </c>
      <c r="L167" s="15">
        <f>IF(A167="","",MAX(0,E167-K167*MAX(0,GJ-YEAR(F167))))</f>
        <v/>
      </c>
    </row>
    <row r="168">
      <c r="A168" s="30" t="inlineStr"/>
      <c r="B168" s="30" t="inlineStr"/>
      <c r="C168" s="30" t="inlineStr"/>
      <c r="D168" s="30" t="inlineStr"/>
      <c r="E168" s="34" t="inlineStr"/>
      <c r="F168" s="38" t="inlineStr"/>
      <c r="G168" s="31" t="inlineStr"/>
      <c r="H168" s="34" t="inlineStr"/>
      <c r="I168" s="30" t="inlineStr"/>
      <c r="J168" s="30" t="inlineStr"/>
      <c r="K168" s="15">
        <f>IF(OR(A168="",E168="",G168=0),"",E168/G168)</f>
        <v/>
      </c>
      <c r="L168" s="15">
        <f>IF(A168="","",MAX(0,E168-K168*MAX(0,GJ-YEAR(F168))))</f>
        <v/>
      </c>
    </row>
    <row r="169">
      <c r="A169" s="30" t="inlineStr"/>
      <c r="B169" s="30" t="inlineStr"/>
      <c r="C169" s="30" t="inlineStr"/>
      <c r="D169" s="30" t="inlineStr"/>
      <c r="E169" s="34" t="inlineStr"/>
      <c r="F169" s="38" t="inlineStr"/>
      <c r="G169" s="31" t="inlineStr"/>
      <c r="H169" s="34" t="inlineStr"/>
      <c r="I169" s="30" t="inlineStr"/>
      <c r="J169" s="30" t="inlineStr"/>
      <c r="K169" s="15">
        <f>IF(OR(A169="",E169="",G169=0),"",E169/G169)</f>
        <v/>
      </c>
      <c r="L169" s="15">
        <f>IF(A169="","",MAX(0,E169-K169*MAX(0,GJ-YEAR(F169))))</f>
        <v/>
      </c>
    </row>
    <row r="170">
      <c r="A170" s="30" t="inlineStr"/>
      <c r="B170" s="30" t="inlineStr"/>
      <c r="C170" s="30" t="inlineStr"/>
      <c r="D170" s="30" t="inlineStr"/>
      <c r="E170" s="34" t="inlineStr"/>
      <c r="F170" s="38" t="inlineStr"/>
      <c r="G170" s="31" t="inlineStr"/>
      <c r="H170" s="34" t="inlineStr"/>
      <c r="I170" s="30" t="inlineStr"/>
      <c r="J170" s="30" t="inlineStr"/>
      <c r="K170" s="15">
        <f>IF(OR(A170="",E170="",G170=0),"",E170/G170)</f>
        <v/>
      </c>
      <c r="L170" s="15">
        <f>IF(A170="","",MAX(0,E170-K170*MAX(0,GJ-YEAR(F170))))</f>
        <v/>
      </c>
    </row>
    <row r="171">
      <c r="A171" s="30" t="inlineStr"/>
      <c r="B171" s="30" t="inlineStr"/>
      <c r="C171" s="30" t="inlineStr"/>
      <c r="D171" s="30" t="inlineStr"/>
      <c r="E171" s="34" t="inlineStr"/>
      <c r="F171" s="38" t="inlineStr"/>
      <c r="G171" s="31" t="inlineStr"/>
      <c r="H171" s="34" t="inlineStr"/>
      <c r="I171" s="30" t="inlineStr"/>
      <c r="J171" s="30" t="inlineStr"/>
      <c r="K171" s="15">
        <f>IF(OR(A171="",E171="",G171=0),"",E171/G171)</f>
        <v/>
      </c>
      <c r="L171" s="15">
        <f>IF(A171="","",MAX(0,E171-K171*MAX(0,GJ-YEAR(F171))))</f>
        <v/>
      </c>
    </row>
    <row r="172">
      <c r="A172" s="30" t="inlineStr"/>
      <c r="B172" s="30" t="inlineStr"/>
      <c r="C172" s="30" t="inlineStr"/>
      <c r="D172" s="30" t="inlineStr"/>
      <c r="E172" s="34" t="inlineStr"/>
      <c r="F172" s="38" t="inlineStr"/>
      <c r="G172" s="31" t="inlineStr"/>
      <c r="H172" s="34" t="inlineStr"/>
      <c r="I172" s="30" t="inlineStr"/>
      <c r="J172" s="30" t="inlineStr"/>
      <c r="K172" s="15">
        <f>IF(OR(A172="",E172="",G172=0),"",E172/G172)</f>
        <v/>
      </c>
      <c r="L172" s="15">
        <f>IF(A172="","",MAX(0,E172-K172*MAX(0,GJ-YEAR(F172))))</f>
        <v/>
      </c>
    </row>
    <row r="173">
      <c r="A173" s="30" t="inlineStr"/>
      <c r="B173" s="30" t="inlineStr"/>
      <c r="C173" s="30" t="inlineStr"/>
      <c r="D173" s="30" t="inlineStr"/>
      <c r="E173" s="34" t="inlineStr"/>
      <c r="F173" s="38" t="inlineStr"/>
      <c r="G173" s="31" t="inlineStr"/>
      <c r="H173" s="34" t="inlineStr"/>
      <c r="I173" s="30" t="inlineStr"/>
      <c r="J173" s="30" t="inlineStr"/>
      <c r="K173" s="15">
        <f>IF(OR(A173="",E173="",G173=0),"",E173/G173)</f>
        <v/>
      </c>
      <c r="L173" s="15">
        <f>IF(A173="","",MAX(0,E173-K173*MAX(0,GJ-YEAR(F173))))</f>
        <v/>
      </c>
    </row>
    <row r="174">
      <c r="A174" s="30" t="inlineStr"/>
      <c r="B174" s="30" t="inlineStr"/>
      <c r="C174" s="30" t="inlineStr"/>
      <c r="D174" s="30" t="inlineStr"/>
      <c r="E174" s="34" t="inlineStr"/>
      <c r="F174" s="38" t="inlineStr"/>
      <c r="G174" s="31" t="inlineStr"/>
      <c r="H174" s="34" t="inlineStr"/>
      <c r="I174" s="30" t="inlineStr"/>
      <c r="J174" s="30" t="inlineStr"/>
      <c r="K174" s="15">
        <f>IF(OR(A174="",E174="",G174=0),"",E174/G174)</f>
        <v/>
      </c>
      <c r="L174" s="15">
        <f>IF(A174="","",MAX(0,E174-K174*MAX(0,GJ-YEAR(F174))))</f>
        <v/>
      </c>
    </row>
    <row r="175">
      <c r="A175" s="30" t="inlineStr"/>
      <c r="B175" s="30" t="inlineStr"/>
      <c r="C175" s="30" t="inlineStr"/>
      <c r="D175" s="30" t="inlineStr"/>
      <c r="E175" s="34" t="inlineStr"/>
      <c r="F175" s="38" t="inlineStr"/>
      <c r="G175" s="31" t="inlineStr"/>
      <c r="H175" s="34" t="inlineStr"/>
      <c r="I175" s="30" t="inlineStr"/>
      <c r="J175" s="30" t="inlineStr"/>
      <c r="K175" s="15">
        <f>IF(OR(A175="",E175="",G175=0),"",E175/G175)</f>
        <v/>
      </c>
      <c r="L175" s="15">
        <f>IF(A175="","",MAX(0,E175-K175*MAX(0,GJ-YEAR(F175))))</f>
        <v/>
      </c>
    </row>
    <row r="176">
      <c r="A176" s="30" t="inlineStr"/>
      <c r="B176" s="30" t="inlineStr"/>
      <c r="C176" s="30" t="inlineStr"/>
      <c r="D176" s="30" t="inlineStr"/>
      <c r="E176" s="34" t="inlineStr"/>
      <c r="F176" s="38" t="inlineStr"/>
      <c r="G176" s="31" t="inlineStr"/>
      <c r="H176" s="34" t="inlineStr"/>
      <c r="I176" s="30" t="inlineStr"/>
      <c r="J176" s="30" t="inlineStr"/>
      <c r="K176" s="15">
        <f>IF(OR(A176="",E176="",G176=0),"",E176/G176)</f>
        <v/>
      </c>
      <c r="L176" s="15">
        <f>IF(A176="","",MAX(0,E176-K176*MAX(0,GJ-YEAR(F176))))</f>
        <v/>
      </c>
    </row>
    <row r="177">
      <c r="A177" s="30" t="inlineStr"/>
      <c r="B177" s="30" t="inlineStr"/>
      <c r="C177" s="30" t="inlineStr"/>
      <c r="D177" s="30" t="inlineStr"/>
      <c r="E177" s="34" t="inlineStr"/>
      <c r="F177" s="38" t="inlineStr"/>
      <c r="G177" s="31" t="inlineStr"/>
      <c r="H177" s="34" t="inlineStr"/>
      <c r="I177" s="30" t="inlineStr"/>
      <c r="J177" s="30" t="inlineStr"/>
      <c r="K177" s="15">
        <f>IF(OR(A177="",E177="",G177=0),"",E177/G177)</f>
        <v/>
      </c>
      <c r="L177" s="15">
        <f>IF(A177="","",MAX(0,E177-K177*MAX(0,GJ-YEAR(F177))))</f>
        <v/>
      </c>
    </row>
    <row r="178">
      <c r="A178" s="30" t="inlineStr"/>
      <c r="B178" s="30" t="inlineStr"/>
      <c r="C178" s="30" t="inlineStr"/>
      <c r="D178" s="30" t="inlineStr"/>
      <c r="E178" s="34" t="inlineStr"/>
      <c r="F178" s="38" t="inlineStr"/>
      <c r="G178" s="31" t="inlineStr"/>
      <c r="H178" s="34" t="inlineStr"/>
      <c r="I178" s="30" t="inlineStr"/>
      <c r="J178" s="30" t="inlineStr"/>
      <c r="K178" s="15">
        <f>IF(OR(A178="",E178="",G178=0),"",E178/G178)</f>
        <v/>
      </c>
      <c r="L178" s="15">
        <f>IF(A178="","",MAX(0,E178-K178*MAX(0,GJ-YEAR(F178))))</f>
        <v/>
      </c>
    </row>
    <row r="179">
      <c r="A179" s="30" t="inlineStr"/>
      <c r="B179" s="30" t="inlineStr"/>
      <c r="C179" s="30" t="inlineStr"/>
      <c r="D179" s="30" t="inlineStr"/>
      <c r="E179" s="34" t="inlineStr"/>
      <c r="F179" s="38" t="inlineStr"/>
      <c r="G179" s="31" t="inlineStr"/>
      <c r="H179" s="34" t="inlineStr"/>
      <c r="I179" s="30" t="inlineStr"/>
      <c r="J179" s="30" t="inlineStr"/>
      <c r="K179" s="15">
        <f>IF(OR(A179="",E179="",G179=0),"",E179/G179)</f>
        <v/>
      </c>
      <c r="L179" s="15">
        <f>IF(A179="","",MAX(0,E179-K179*MAX(0,GJ-YEAR(F179))))</f>
        <v/>
      </c>
    </row>
    <row r="180">
      <c r="A180" s="30" t="inlineStr"/>
      <c r="B180" s="30" t="inlineStr"/>
      <c r="C180" s="30" t="inlineStr"/>
      <c r="D180" s="30" t="inlineStr"/>
      <c r="E180" s="34" t="inlineStr"/>
      <c r="F180" s="38" t="inlineStr"/>
      <c r="G180" s="31" t="inlineStr"/>
      <c r="H180" s="34" t="inlineStr"/>
      <c r="I180" s="30" t="inlineStr"/>
      <c r="J180" s="30" t="inlineStr"/>
      <c r="K180" s="15">
        <f>IF(OR(A180="",E180="",G180=0),"",E180/G180)</f>
        <v/>
      </c>
      <c r="L180" s="15">
        <f>IF(A180="","",MAX(0,E180-K180*MAX(0,GJ-YEAR(F180))))</f>
        <v/>
      </c>
    </row>
    <row r="181">
      <c r="A181" s="30" t="inlineStr"/>
      <c r="B181" s="30" t="inlineStr"/>
      <c r="C181" s="30" t="inlineStr"/>
      <c r="D181" s="30" t="inlineStr"/>
      <c r="E181" s="34" t="inlineStr"/>
      <c r="F181" s="38" t="inlineStr"/>
      <c r="G181" s="31" t="inlineStr"/>
      <c r="H181" s="34" t="inlineStr"/>
      <c r="I181" s="30" t="inlineStr"/>
      <c r="J181" s="30" t="inlineStr"/>
      <c r="K181" s="15">
        <f>IF(OR(A181="",E181="",G181=0),"",E181/G181)</f>
        <v/>
      </c>
      <c r="L181" s="15">
        <f>IF(A181="","",MAX(0,E181-K181*MAX(0,GJ-YEAR(F181))))</f>
        <v/>
      </c>
    </row>
    <row r="182">
      <c r="A182" s="30" t="inlineStr"/>
      <c r="B182" s="30" t="inlineStr"/>
      <c r="C182" s="30" t="inlineStr"/>
      <c r="D182" s="30" t="inlineStr"/>
      <c r="E182" s="34" t="inlineStr"/>
      <c r="F182" s="38" t="inlineStr"/>
      <c r="G182" s="31" t="inlineStr"/>
      <c r="H182" s="34" t="inlineStr"/>
      <c r="I182" s="30" t="inlineStr"/>
      <c r="J182" s="30" t="inlineStr"/>
      <c r="K182" s="15">
        <f>IF(OR(A182="",E182="",G182=0),"",E182/G182)</f>
        <v/>
      </c>
      <c r="L182" s="15">
        <f>IF(A182="","",MAX(0,E182-K182*MAX(0,GJ-YEAR(F182))))</f>
        <v/>
      </c>
    </row>
    <row r="183">
      <c r="A183" s="30" t="inlineStr"/>
      <c r="B183" s="30" t="inlineStr"/>
      <c r="C183" s="30" t="inlineStr"/>
      <c r="D183" s="30" t="inlineStr"/>
      <c r="E183" s="34" t="inlineStr"/>
      <c r="F183" s="38" t="inlineStr"/>
      <c r="G183" s="31" t="inlineStr"/>
      <c r="H183" s="34" t="inlineStr"/>
      <c r="I183" s="30" t="inlineStr"/>
      <c r="J183" s="30" t="inlineStr"/>
      <c r="K183" s="15">
        <f>IF(OR(A183="",E183="",G183=0),"",E183/G183)</f>
        <v/>
      </c>
      <c r="L183" s="15">
        <f>IF(A183="","",MAX(0,E183-K183*MAX(0,GJ-YEAR(F183))))</f>
        <v/>
      </c>
    </row>
    <row r="184">
      <c r="A184" s="30" t="inlineStr"/>
      <c r="B184" s="30" t="inlineStr"/>
      <c r="C184" s="30" t="inlineStr"/>
      <c r="D184" s="30" t="inlineStr"/>
      <c r="E184" s="34" t="inlineStr"/>
      <c r="F184" s="38" t="inlineStr"/>
      <c r="G184" s="31" t="inlineStr"/>
      <c r="H184" s="34" t="inlineStr"/>
      <c r="I184" s="30" t="inlineStr"/>
      <c r="J184" s="30" t="inlineStr"/>
      <c r="K184" s="15">
        <f>IF(OR(A184="",E184="",G184=0),"",E184/G184)</f>
        <v/>
      </c>
      <c r="L184" s="15">
        <f>IF(A184="","",MAX(0,E184-K184*MAX(0,GJ-YEAR(F184))))</f>
        <v/>
      </c>
    </row>
    <row r="185">
      <c r="A185" s="30" t="inlineStr"/>
      <c r="B185" s="30" t="inlineStr"/>
      <c r="C185" s="30" t="inlineStr"/>
      <c r="D185" s="30" t="inlineStr"/>
      <c r="E185" s="34" t="inlineStr"/>
      <c r="F185" s="38" t="inlineStr"/>
      <c r="G185" s="31" t="inlineStr"/>
      <c r="H185" s="34" t="inlineStr"/>
      <c r="I185" s="30" t="inlineStr"/>
      <c r="J185" s="30" t="inlineStr"/>
      <c r="K185" s="15">
        <f>IF(OR(A185="",E185="",G185=0),"",E185/G185)</f>
        <v/>
      </c>
      <c r="L185" s="15">
        <f>IF(A185="","",MAX(0,E185-K185*MAX(0,GJ-YEAR(F185))))</f>
        <v/>
      </c>
    </row>
    <row r="186">
      <c r="A186" s="30" t="inlineStr"/>
      <c r="B186" s="30" t="inlineStr"/>
      <c r="C186" s="30" t="inlineStr"/>
      <c r="D186" s="30" t="inlineStr"/>
      <c r="E186" s="34" t="inlineStr"/>
      <c r="F186" s="38" t="inlineStr"/>
      <c r="G186" s="31" t="inlineStr"/>
      <c r="H186" s="34" t="inlineStr"/>
      <c r="I186" s="30" t="inlineStr"/>
      <c r="J186" s="30" t="inlineStr"/>
      <c r="K186" s="15">
        <f>IF(OR(A186="",E186="",G186=0),"",E186/G186)</f>
        <v/>
      </c>
      <c r="L186" s="15">
        <f>IF(A186="","",MAX(0,E186-K186*MAX(0,GJ-YEAR(F186))))</f>
        <v/>
      </c>
    </row>
    <row r="187">
      <c r="A187" s="30" t="inlineStr"/>
      <c r="B187" s="30" t="inlineStr"/>
      <c r="C187" s="30" t="inlineStr"/>
      <c r="D187" s="30" t="inlineStr"/>
      <c r="E187" s="34" t="inlineStr"/>
      <c r="F187" s="38" t="inlineStr"/>
      <c r="G187" s="31" t="inlineStr"/>
      <c r="H187" s="34" t="inlineStr"/>
      <c r="I187" s="30" t="inlineStr"/>
      <c r="J187" s="30" t="inlineStr"/>
      <c r="K187" s="15">
        <f>IF(OR(A187="",E187="",G187=0),"",E187/G187)</f>
        <v/>
      </c>
      <c r="L187" s="15">
        <f>IF(A187="","",MAX(0,E187-K187*MAX(0,GJ-YEAR(F187))))</f>
        <v/>
      </c>
    </row>
    <row r="188">
      <c r="A188" s="30" t="inlineStr"/>
      <c r="B188" s="30" t="inlineStr"/>
      <c r="C188" s="30" t="inlineStr"/>
      <c r="D188" s="30" t="inlineStr"/>
      <c r="E188" s="34" t="inlineStr"/>
      <c r="F188" s="38" t="inlineStr"/>
      <c r="G188" s="31" t="inlineStr"/>
      <c r="H188" s="34" t="inlineStr"/>
      <c r="I188" s="30" t="inlineStr"/>
      <c r="J188" s="30" t="inlineStr"/>
      <c r="K188" s="15">
        <f>IF(OR(A188="",E188="",G188=0),"",E188/G188)</f>
        <v/>
      </c>
      <c r="L188" s="15">
        <f>IF(A188="","",MAX(0,E188-K188*MAX(0,GJ-YEAR(F188))))</f>
        <v/>
      </c>
    </row>
    <row r="189">
      <c r="A189" s="30" t="inlineStr"/>
      <c r="B189" s="30" t="inlineStr"/>
      <c r="C189" s="30" t="inlineStr"/>
      <c r="D189" s="30" t="inlineStr"/>
      <c r="E189" s="34" t="inlineStr"/>
      <c r="F189" s="38" t="inlineStr"/>
      <c r="G189" s="31" t="inlineStr"/>
      <c r="H189" s="34" t="inlineStr"/>
      <c r="I189" s="30" t="inlineStr"/>
      <c r="J189" s="30" t="inlineStr"/>
      <c r="K189" s="15">
        <f>IF(OR(A189="",E189="",G189=0),"",E189/G189)</f>
        <v/>
      </c>
      <c r="L189" s="15">
        <f>IF(A189="","",MAX(0,E189-K189*MAX(0,GJ-YEAR(F189))))</f>
        <v/>
      </c>
    </row>
    <row r="190">
      <c r="A190" s="30" t="inlineStr"/>
      <c r="B190" s="30" t="inlineStr"/>
      <c r="C190" s="30" t="inlineStr"/>
      <c r="D190" s="30" t="inlineStr"/>
      <c r="E190" s="34" t="inlineStr"/>
      <c r="F190" s="38" t="inlineStr"/>
      <c r="G190" s="31" t="inlineStr"/>
      <c r="H190" s="34" t="inlineStr"/>
      <c r="I190" s="30" t="inlineStr"/>
      <c r="J190" s="30" t="inlineStr"/>
      <c r="K190" s="15">
        <f>IF(OR(A190="",E190="",G190=0),"",E190/G190)</f>
        <v/>
      </c>
      <c r="L190" s="15">
        <f>IF(A190="","",MAX(0,E190-K190*MAX(0,GJ-YEAR(F190))))</f>
        <v/>
      </c>
    </row>
    <row r="191">
      <c r="A191" s="30" t="inlineStr"/>
      <c r="B191" s="30" t="inlineStr"/>
      <c r="C191" s="30" t="inlineStr"/>
      <c r="D191" s="30" t="inlineStr"/>
      <c r="E191" s="34" t="inlineStr"/>
      <c r="F191" s="38" t="inlineStr"/>
      <c r="G191" s="31" t="inlineStr"/>
      <c r="H191" s="34" t="inlineStr"/>
      <c r="I191" s="30" t="inlineStr"/>
      <c r="J191" s="30" t="inlineStr"/>
      <c r="K191" s="15">
        <f>IF(OR(A191="",E191="",G191=0),"",E191/G191)</f>
        <v/>
      </c>
      <c r="L191" s="15">
        <f>IF(A191="","",MAX(0,E191-K191*MAX(0,GJ-YEAR(F191))))</f>
        <v/>
      </c>
    </row>
    <row r="192">
      <c r="A192" s="30" t="inlineStr"/>
      <c r="B192" s="30" t="inlineStr"/>
      <c r="C192" s="30" t="inlineStr"/>
      <c r="D192" s="30" t="inlineStr"/>
      <c r="E192" s="34" t="inlineStr"/>
      <c r="F192" s="38" t="inlineStr"/>
      <c r="G192" s="31" t="inlineStr"/>
      <c r="H192" s="34" t="inlineStr"/>
      <c r="I192" s="30" t="inlineStr"/>
      <c r="J192" s="30" t="inlineStr"/>
      <c r="K192" s="15">
        <f>IF(OR(A192="",E192="",G192=0),"",E192/G192)</f>
        <v/>
      </c>
      <c r="L192" s="15">
        <f>IF(A192="","",MAX(0,E192-K192*MAX(0,GJ-YEAR(F192))))</f>
        <v/>
      </c>
    </row>
    <row r="193">
      <c r="A193" s="30" t="inlineStr"/>
      <c r="B193" s="30" t="inlineStr"/>
      <c r="C193" s="30" t="inlineStr"/>
      <c r="D193" s="30" t="inlineStr"/>
      <c r="E193" s="34" t="inlineStr"/>
      <c r="F193" s="38" t="inlineStr"/>
      <c r="G193" s="31" t="inlineStr"/>
      <c r="H193" s="34" t="inlineStr"/>
      <c r="I193" s="30" t="inlineStr"/>
      <c r="J193" s="30" t="inlineStr"/>
      <c r="K193" s="15">
        <f>IF(OR(A193="",E193="",G193=0),"",E193/G193)</f>
        <v/>
      </c>
      <c r="L193" s="15">
        <f>IF(A193="","",MAX(0,E193-K193*MAX(0,GJ-YEAR(F193))))</f>
        <v/>
      </c>
    </row>
    <row r="194">
      <c r="A194" s="30" t="inlineStr"/>
      <c r="B194" s="30" t="inlineStr"/>
      <c r="C194" s="30" t="inlineStr"/>
      <c r="D194" s="30" t="inlineStr"/>
      <c r="E194" s="34" t="inlineStr"/>
      <c r="F194" s="38" t="inlineStr"/>
      <c r="G194" s="31" t="inlineStr"/>
      <c r="H194" s="34" t="inlineStr"/>
      <c r="I194" s="30" t="inlineStr"/>
      <c r="J194" s="30" t="inlineStr"/>
      <c r="K194" s="15">
        <f>IF(OR(A194="",E194="",G194=0),"",E194/G194)</f>
        <v/>
      </c>
      <c r="L194" s="15">
        <f>IF(A194="","",MAX(0,E194-K194*MAX(0,GJ-YEAR(F194))))</f>
        <v/>
      </c>
    </row>
    <row r="195">
      <c r="A195" s="30" t="inlineStr"/>
      <c r="B195" s="30" t="inlineStr"/>
      <c r="C195" s="30" t="inlineStr"/>
      <c r="D195" s="30" t="inlineStr"/>
      <c r="E195" s="34" t="inlineStr"/>
      <c r="F195" s="38" t="inlineStr"/>
      <c r="G195" s="31" t="inlineStr"/>
      <c r="H195" s="34" t="inlineStr"/>
      <c r="I195" s="30" t="inlineStr"/>
      <c r="J195" s="30" t="inlineStr"/>
      <c r="K195" s="15">
        <f>IF(OR(A195="",E195="",G195=0),"",E195/G195)</f>
        <v/>
      </c>
      <c r="L195" s="15">
        <f>IF(A195="","",MAX(0,E195-K195*MAX(0,GJ-YEAR(F195))))</f>
        <v/>
      </c>
    </row>
    <row r="196">
      <c r="A196" s="30" t="inlineStr"/>
      <c r="B196" s="30" t="inlineStr"/>
      <c r="C196" s="30" t="inlineStr"/>
      <c r="D196" s="30" t="inlineStr"/>
      <c r="E196" s="34" t="inlineStr"/>
      <c r="F196" s="38" t="inlineStr"/>
      <c r="G196" s="31" t="inlineStr"/>
      <c r="H196" s="34" t="inlineStr"/>
      <c r="I196" s="30" t="inlineStr"/>
      <c r="J196" s="30" t="inlineStr"/>
      <c r="K196" s="15">
        <f>IF(OR(A196="",E196="",G196=0),"",E196/G196)</f>
        <v/>
      </c>
      <c r="L196" s="15">
        <f>IF(A196="","",MAX(0,E196-K196*MAX(0,GJ-YEAR(F196))))</f>
        <v/>
      </c>
    </row>
    <row r="197">
      <c r="A197" s="30" t="inlineStr"/>
      <c r="B197" s="30" t="inlineStr"/>
      <c r="C197" s="30" t="inlineStr"/>
      <c r="D197" s="30" t="inlineStr"/>
      <c r="E197" s="34" t="inlineStr"/>
      <c r="F197" s="38" t="inlineStr"/>
      <c r="G197" s="31" t="inlineStr"/>
      <c r="H197" s="34" t="inlineStr"/>
      <c r="I197" s="30" t="inlineStr"/>
      <c r="J197" s="30" t="inlineStr"/>
      <c r="K197" s="15">
        <f>IF(OR(A197="",E197="",G197=0),"",E197/G197)</f>
        <v/>
      </c>
      <c r="L197" s="15">
        <f>IF(A197="","",MAX(0,E197-K197*MAX(0,GJ-YEAR(F197))))</f>
        <v/>
      </c>
    </row>
    <row r="198">
      <c r="A198" s="30" t="inlineStr"/>
      <c r="B198" s="30" t="inlineStr"/>
      <c r="C198" s="30" t="inlineStr"/>
      <c r="D198" s="30" t="inlineStr"/>
      <c r="E198" s="34" t="inlineStr"/>
      <c r="F198" s="38" t="inlineStr"/>
      <c r="G198" s="31" t="inlineStr"/>
      <c r="H198" s="34" t="inlineStr"/>
      <c r="I198" s="30" t="inlineStr"/>
      <c r="J198" s="30" t="inlineStr"/>
      <c r="K198" s="15">
        <f>IF(OR(A198="",E198="",G198=0),"",E198/G198)</f>
        <v/>
      </c>
      <c r="L198" s="15">
        <f>IF(A198="","",MAX(0,E198-K198*MAX(0,GJ-YEAR(F198))))</f>
        <v/>
      </c>
    </row>
    <row r="199">
      <c r="A199" s="30" t="inlineStr"/>
      <c r="B199" s="30" t="inlineStr"/>
      <c r="C199" s="30" t="inlineStr"/>
      <c r="D199" s="30" t="inlineStr"/>
      <c r="E199" s="34" t="inlineStr"/>
      <c r="F199" s="38" t="inlineStr"/>
      <c r="G199" s="31" t="inlineStr"/>
      <c r="H199" s="34" t="inlineStr"/>
      <c r="I199" s="30" t="inlineStr"/>
      <c r="J199" s="30" t="inlineStr"/>
      <c r="K199" s="15">
        <f>IF(OR(A199="",E199="",G199=0),"",E199/G199)</f>
        <v/>
      </c>
      <c r="L199" s="15">
        <f>IF(A199="","",MAX(0,E199-K199*MAX(0,GJ-YEAR(F199))))</f>
        <v/>
      </c>
    </row>
    <row r="200">
      <c r="A200" s="30" t="inlineStr"/>
      <c r="B200" s="30" t="inlineStr"/>
      <c r="C200" s="30" t="inlineStr"/>
      <c r="D200" s="30" t="inlineStr"/>
      <c r="E200" s="34" t="inlineStr"/>
      <c r="F200" s="38" t="inlineStr"/>
      <c r="G200" s="31" t="inlineStr"/>
      <c r="H200" s="34" t="inlineStr"/>
      <c r="I200" s="30" t="inlineStr"/>
      <c r="J200" s="30" t="inlineStr"/>
      <c r="K200" s="15">
        <f>IF(OR(A200="",E200="",G200=0),"",E200/G200)</f>
        <v/>
      </c>
      <c r="L200" s="15">
        <f>IF(A200="","",MAX(0,E200-K200*MAX(0,GJ-YEAR(F200))))</f>
        <v/>
      </c>
    </row>
    <row r="201">
      <c r="A201" s="30" t="inlineStr"/>
      <c r="B201" s="30" t="inlineStr"/>
      <c r="C201" s="30" t="inlineStr"/>
      <c r="D201" s="30" t="inlineStr"/>
      <c r="E201" s="34" t="inlineStr"/>
      <c r="F201" s="38" t="inlineStr"/>
      <c r="G201" s="31" t="inlineStr"/>
      <c r="H201" s="34" t="inlineStr"/>
      <c r="I201" s="30" t="inlineStr"/>
      <c r="J201" s="30" t="inlineStr"/>
      <c r="K201" s="15">
        <f>IF(OR(A201="",E201="",G201=0),"",E201/G201)</f>
        <v/>
      </c>
      <c r="L201" s="15">
        <f>IF(A201="","",MAX(0,E201-K201*MAX(0,GJ-YEAR(F201))))</f>
        <v/>
      </c>
    </row>
    <row r="202">
      <c r="A202" s="30" t="inlineStr"/>
      <c r="B202" s="30" t="inlineStr"/>
      <c r="C202" s="30" t="inlineStr"/>
      <c r="D202" s="30" t="inlineStr"/>
      <c r="E202" s="34" t="inlineStr"/>
      <c r="F202" s="38" t="inlineStr"/>
      <c r="G202" s="31" t="inlineStr"/>
      <c r="H202" s="34" t="inlineStr"/>
      <c r="I202" s="30" t="inlineStr"/>
      <c r="J202" s="30" t="inlineStr"/>
      <c r="K202" s="15">
        <f>IF(OR(A202="",E202="",G202=0),"",E202/G202)</f>
        <v/>
      </c>
      <c r="L202" s="15">
        <f>IF(A202="","",MAX(0,E202-K202*MAX(0,GJ-YEAR(F202))))</f>
        <v/>
      </c>
    </row>
    <row r="203">
      <c r="A203" s="30" t="inlineStr"/>
      <c r="B203" s="30" t="inlineStr"/>
      <c r="C203" s="30" t="inlineStr"/>
      <c r="D203" s="30" t="inlineStr"/>
      <c r="E203" s="34" t="inlineStr"/>
      <c r="F203" s="38" t="inlineStr"/>
      <c r="G203" s="31" t="inlineStr"/>
      <c r="H203" s="34" t="inlineStr"/>
      <c r="I203" s="30" t="inlineStr"/>
      <c r="J203" s="30" t="inlineStr"/>
      <c r="K203" s="15">
        <f>IF(OR(A203="",E203="",G203=0),"",E203/G203)</f>
        <v/>
      </c>
      <c r="L203" s="15">
        <f>IF(A203="","",MAX(0,E203-K203*MAX(0,GJ-YEAR(F203))))</f>
        <v/>
      </c>
    </row>
    <row r="204">
      <c r="A204" s="30" t="inlineStr"/>
      <c r="B204" s="30" t="inlineStr"/>
      <c r="C204" s="30" t="inlineStr"/>
      <c r="D204" s="30" t="inlineStr"/>
      <c r="E204" s="34" t="inlineStr"/>
      <c r="F204" s="38" t="inlineStr"/>
      <c r="G204" s="31" t="inlineStr"/>
      <c r="H204" s="34" t="inlineStr"/>
      <c r="I204" s="30" t="inlineStr"/>
      <c r="J204" s="30" t="inlineStr"/>
      <c r="K204" s="15">
        <f>IF(OR(A204="",E204="",G204=0),"",E204/G204)</f>
        <v/>
      </c>
      <c r="L204" s="15">
        <f>IF(A204="","",MAX(0,E204-K204*MAX(0,GJ-YEAR(F204))))</f>
        <v/>
      </c>
    </row>
    <row r="205">
      <c r="A205" s="30" t="inlineStr"/>
      <c r="B205" s="30" t="inlineStr"/>
      <c r="C205" s="30" t="inlineStr"/>
      <c r="D205" s="30" t="inlineStr"/>
      <c r="E205" s="34" t="inlineStr"/>
      <c r="F205" s="38" t="inlineStr"/>
      <c r="G205" s="31" t="inlineStr"/>
      <c r="H205" s="34" t="inlineStr"/>
      <c r="I205" s="30" t="inlineStr"/>
      <c r="J205" s="30" t="inlineStr"/>
      <c r="K205" s="15">
        <f>IF(OR(A205="",E205="",G205=0),"",E205/G205)</f>
        <v/>
      </c>
      <c r="L205" s="15">
        <f>IF(A205="","",MAX(0,E205-K205*MAX(0,GJ-YEAR(F205))))</f>
        <v/>
      </c>
    </row>
    <row r="206">
      <c r="A206" s="30" t="inlineStr"/>
      <c r="B206" s="30" t="inlineStr"/>
      <c r="C206" s="30" t="inlineStr"/>
      <c r="D206" s="30" t="inlineStr"/>
      <c r="E206" s="34" t="inlineStr"/>
      <c r="F206" s="38" t="inlineStr"/>
      <c r="G206" s="31" t="inlineStr"/>
      <c r="H206" s="34" t="inlineStr"/>
      <c r="I206" s="30" t="inlineStr"/>
      <c r="J206" s="30" t="inlineStr"/>
      <c r="K206" s="15">
        <f>IF(OR(A206="",E206="",G206=0),"",E206/G206)</f>
        <v/>
      </c>
      <c r="L206" s="15">
        <f>IF(A206="","",MAX(0,E206-K206*MAX(0,GJ-YEAR(F206))))</f>
        <v/>
      </c>
    </row>
    <row r="207">
      <c r="A207" s="30" t="inlineStr"/>
      <c r="B207" s="30" t="inlineStr"/>
      <c r="C207" s="30" t="inlineStr"/>
      <c r="D207" s="30" t="inlineStr"/>
      <c r="E207" s="34" t="inlineStr"/>
      <c r="F207" s="38" t="inlineStr"/>
      <c r="G207" s="31" t="inlineStr"/>
      <c r="H207" s="34" t="inlineStr"/>
      <c r="I207" s="30" t="inlineStr"/>
      <c r="J207" s="30" t="inlineStr"/>
      <c r="K207" s="15">
        <f>IF(OR(A207="",E207="",G207=0),"",E207/G207)</f>
        <v/>
      </c>
      <c r="L207" s="15">
        <f>IF(A207="","",MAX(0,E207-K207*MAX(0,GJ-YEAR(F207))))</f>
        <v/>
      </c>
    </row>
    <row r="208">
      <c r="A208" s="30" t="inlineStr"/>
      <c r="B208" s="30" t="inlineStr"/>
      <c r="C208" s="30" t="inlineStr"/>
      <c r="D208" s="30" t="inlineStr"/>
      <c r="E208" s="34" t="inlineStr"/>
      <c r="F208" s="38" t="inlineStr"/>
      <c r="G208" s="31" t="inlineStr"/>
      <c r="H208" s="34" t="inlineStr"/>
      <c r="I208" s="30" t="inlineStr"/>
      <c r="J208" s="30" t="inlineStr"/>
      <c r="K208" s="15">
        <f>IF(OR(A208="",E208="",G208=0),"",E208/G208)</f>
        <v/>
      </c>
      <c r="L208" s="15">
        <f>IF(A208="","",MAX(0,E208-K208*MAX(0,GJ-YEAR(F208))))</f>
        <v/>
      </c>
    </row>
    <row r="209">
      <c r="A209" s="30" t="inlineStr"/>
      <c r="B209" s="30" t="inlineStr"/>
      <c r="C209" s="30" t="inlineStr"/>
      <c r="D209" s="30" t="inlineStr"/>
      <c r="E209" s="34" t="inlineStr"/>
      <c r="F209" s="38" t="inlineStr"/>
      <c r="G209" s="31" t="inlineStr"/>
      <c r="H209" s="34" t="inlineStr"/>
      <c r="I209" s="30" t="inlineStr"/>
      <c r="J209" s="30" t="inlineStr"/>
      <c r="K209" s="15">
        <f>IF(OR(A209="",E209="",G209=0),"",E209/G209)</f>
        <v/>
      </c>
      <c r="L209" s="15">
        <f>IF(A209="","",MAX(0,E209-K209*MAX(0,GJ-YEAR(F209))))</f>
        <v/>
      </c>
    </row>
    <row r="210">
      <c r="A210" s="30" t="inlineStr"/>
      <c r="B210" s="30" t="inlineStr"/>
      <c r="C210" s="30" t="inlineStr"/>
      <c r="D210" s="30" t="inlineStr"/>
      <c r="E210" s="34" t="inlineStr"/>
      <c r="F210" s="38" t="inlineStr"/>
      <c r="G210" s="31" t="inlineStr"/>
      <c r="H210" s="34" t="inlineStr"/>
      <c r="I210" s="30" t="inlineStr"/>
      <c r="J210" s="30" t="inlineStr"/>
      <c r="K210" s="15">
        <f>IF(OR(A210="",E210="",G210=0),"",E210/G210)</f>
        <v/>
      </c>
      <c r="L210" s="15">
        <f>IF(A210="","",MAX(0,E210-K210*MAX(0,GJ-YEAR(F210))))</f>
        <v/>
      </c>
    </row>
    <row r="211">
      <c r="A211" s="30" t="inlineStr"/>
      <c r="B211" s="30" t="inlineStr"/>
      <c r="C211" s="30" t="inlineStr"/>
      <c r="D211" s="30" t="inlineStr"/>
      <c r="E211" s="34" t="inlineStr"/>
      <c r="F211" s="38" t="inlineStr"/>
      <c r="G211" s="31" t="inlineStr"/>
      <c r="H211" s="34" t="inlineStr"/>
      <c r="I211" s="30" t="inlineStr"/>
      <c r="J211" s="30" t="inlineStr"/>
      <c r="K211" s="15">
        <f>IF(OR(A211="",E211="",G211=0),"",E211/G211)</f>
        <v/>
      </c>
      <c r="L211" s="15">
        <f>IF(A211="","",MAX(0,E211-K211*MAX(0,GJ-YEAR(F211))))</f>
        <v/>
      </c>
    </row>
    <row r="212">
      <c r="A212" s="30" t="inlineStr"/>
      <c r="B212" s="30" t="inlineStr"/>
      <c r="C212" s="30" t="inlineStr"/>
      <c r="D212" s="30" t="inlineStr"/>
      <c r="E212" s="34" t="inlineStr"/>
      <c r="F212" s="38" t="inlineStr"/>
      <c r="G212" s="31" t="inlineStr"/>
      <c r="H212" s="34" t="inlineStr"/>
      <c r="I212" s="30" t="inlineStr"/>
      <c r="J212" s="30" t="inlineStr"/>
      <c r="K212" s="15">
        <f>IF(OR(A212="",E212="",G212=0),"",E212/G212)</f>
        <v/>
      </c>
      <c r="L212" s="15">
        <f>IF(A212="","",MAX(0,E212-K212*MAX(0,GJ-YEAR(F212))))</f>
        <v/>
      </c>
    </row>
    <row r="213">
      <c r="A213" s="30" t="inlineStr"/>
      <c r="B213" s="30" t="inlineStr"/>
      <c r="C213" s="30" t="inlineStr"/>
      <c r="D213" s="30" t="inlineStr"/>
      <c r="E213" s="34" t="inlineStr"/>
      <c r="F213" s="38" t="inlineStr"/>
      <c r="G213" s="31" t="inlineStr"/>
      <c r="H213" s="34" t="inlineStr"/>
      <c r="I213" s="30" t="inlineStr"/>
      <c r="J213" s="30" t="inlineStr"/>
      <c r="K213" s="15">
        <f>IF(OR(A213="",E213="",G213=0),"",E213/G213)</f>
        <v/>
      </c>
      <c r="L213" s="15">
        <f>IF(A213="","",MAX(0,E213-K213*MAX(0,GJ-YEAR(F213))))</f>
        <v/>
      </c>
    </row>
    <row r="214">
      <c r="A214" s="30" t="inlineStr"/>
      <c r="B214" s="30" t="inlineStr"/>
      <c r="C214" s="30" t="inlineStr"/>
      <c r="D214" s="30" t="inlineStr"/>
      <c r="E214" s="34" t="inlineStr"/>
      <c r="F214" s="38" t="inlineStr"/>
      <c r="G214" s="31" t="inlineStr"/>
      <c r="H214" s="34" t="inlineStr"/>
      <c r="I214" s="30" t="inlineStr"/>
      <c r="J214" s="30" t="inlineStr"/>
      <c r="K214" s="15">
        <f>IF(OR(A214="",E214="",G214=0),"",E214/G214)</f>
        <v/>
      </c>
      <c r="L214" s="15">
        <f>IF(A214="","",MAX(0,E214-K214*MAX(0,GJ-YEAR(F214))))</f>
        <v/>
      </c>
    </row>
    <row r="215">
      <c r="A215" s="30" t="inlineStr"/>
      <c r="B215" s="30" t="inlineStr"/>
      <c r="C215" s="30" t="inlineStr"/>
      <c r="D215" s="30" t="inlineStr"/>
      <c r="E215" s="34" t="inlineStr"/>
      <c r="F215" s="38" t="inlineStr"/>
      <c r="G215" s="31" t="inlineStr"/>
      <c r="H215" s="34" t="inlineStr"/>
      <c r="I215" s="30" t="inlineStr"/>
      <c r="J215" s="30" t="inlineStr"/>
      <c r="K215" s="15">
        <f>IF(OR(A215="",E215="",G215=0),"",E215/G215)</f>
        <v/>
      </c>
      <c r="L215" s="15">
        <f>IF(A215="","",MAX(0,E215-K215*MAX(0,GJ-YEAR(F215))))</f>
        <v/>
      </c>
    </row>
    <row r="216">
      <c r="A216" s="30" t="inlineStr"/>
      <c r="B216" s="30" t="inlineStr"/>
      <c r="C216" s="30" t="inlineStr"/>
      <c r="D216" s="30" t="inlineStr"/>
      <c r="E216" s="34" t="inlineStr"/>
      <c r="F216" s="38" t="inlineStr"/>
      <c r="G216" s="31" t="inlineStr"/>
      <c r="H216" s="34" t="inlineStr"/>
      <c r="I216" s="30" t="inlineStr"/>
      <c r="J216" s="30" t="inlineStr"/>
      <c r="K216" s="15">
        <f>IF(OR(A216="",E216="",G216=0),"",E216/G216)</f>
        <v/>
      </c>
      <c r="L216" s="15">
        <f>IF(A216="","",MAX(0,E216-K216*MAX(0,GJ-YEAR(F216))))</f>
        <v/>
      </c>
    </row>
    <row r="217">
      <c r="A217" s="30" t="inlineStr"/>
      <c r="B217" s="30" t="inlineStr"/>
      <c r="C217" s="30" t="inlineStr"/>
      <c r="D217" s="30" t="inlineStr"/>
      <c r="E217" s="34" t="inlineStr"/>
      <c r="F217" s="38" t="inlineStr"/>
      <c r="G217" s="31" t="inlineStr"/>
      <c r="H217" s="34" t="inlineStr"/>
      <c r="I217" s="30" t="inlineStr"/>
      <c r="J217" s="30" t="inlineStr"/>
      <c r="K217" s="15">
        <f>IF(OR(A217="",E217="",G217=0),"",E217/G217)</f>
        <v/>
      </c>
      <c r="L217" s="15">
        <f>IF(A217="","",MAX(0,E217-K217*MAX(0,GJ-YEAR(F217))))</f>
        <v/>
      </c>
    </row>
    <row r="218">
      <c r="A218" s="30" t="inlineStr"/>
      <c r="B218" s="30" t="inlineStr"/>
      <c r="C218" s="30" t="inlineStr"/>
      <c r="D218" s="30" t="inlineStr"/>
      <c r="E218" s="34" t="inlineStr"/>
      <c r="F218" s="38" t="inlineStr"/>
      <c r="G218" s="31" t="inlineStr"/>
      <c r="H218" s="34" t="inlineStr"/>
      <c r="I218" s="30" t="inlineStr"/>
      <c r="J218" s="30" t="inlineStr"/>
      <c r="K218" s="15">
        <f>IF(OR(A218="",E218="",G218=0),"",E218/G218)</f>
        <v/>
      </c>
      <c r="L218" s="15">
        <f>IF(A218="","",MAX(0,E218-K218*MAX(0,GJ-YEAR(F218))))</f>
        <v/>
      </c>
    </row>
    <row r="219">
      <c r="A219" s="30" t="inlineStr"/>
      <c r="B219" s="30" t="inlineStr"/>
      <c r="C219" s="30" t="inlineStr"/>
      <c r="D219" s="30" t="inlineStr"/>
      <c r="E219" s="34" t="inlineStr"/>
      <c r="F219" s="38" t="inlineStr"/>
      <c r="G219" s="31" t="inlineStr"/>
      <c r="H219" s="34" t="inlineStr"/>
      <c r="I219" s="30" t="inlineStr"/>
      <c r="J219" s="30" t="inlineStr"/>
      <c r="K219" s="15">
        <f>IF(OR(A219="",E219="",G219=0),"",E219/G219)</f>
        <v/>
      </c>
      <c r="L219" s="15">
        <f>IF(A219="","",MAX(0,E219-K219*MAX(0,GJ-YEAR(F219))))</f>
        <v/>
      </c>
    </row>
    <row r="220">
      <c r="A220" s="30" t="inlineStr"/>
      <c r="B220" s="30" t="inlineStr"/>
      <c r="C220" s="30" t="inlineStr"/>
      <c r="D220" s="30" t="inlineStr"/>
      <c r="E220" s="34" t="inlineStr"/>
      <c r="F220" s="38" t="inlineStr"/>
      <c r="G220" s="31" t="inlineStr"/>
      <c r="H220" s="34" t="inlineStr"/>
      <c r="I220" s="30" t="inlineStr"/>
      <c r="J220" s="30" t="inlineStr"/>
      <c r="K220" s="15">
        <f>IF(OR(A220="",E220="",G220=0),"",E220/G220)</f>
        <v/>
      </c>
      <c r="L220" s="15">
        <f>IF(A220="","",MAX(0,E220-K220*MAX(0,GJ-YEAR(F220))))</f>
        <v/>
      </c>
    </row>
    <row r="221">
      <c r="A221" s="30" t="inlineStr"/>
      <c r="B221" s="30" t="inlineStr"/>
      <c r="C221" s="30" t="inlineStr"/>
      <c r="D221" s="30" t="inlineStr"/>
      <c r="E221" s="34" t="inlineStr"/>
      <c r="F221" s="38" t="inlineStr"/>
      <c r="G221" s="31" t="inlineStr"/>
      <c r="H221" s="34" t="inlineStr"/>
      <c r="I221" s="30" t="inlineStr"/>
      <c r="J221" s="30" t="inlineStr"/>
      <c r="K221" s="15">
        <f>IF(OR(A221="",E221="",G221=0),"",E221/G221)</f>
        <v/>
      </c>
      <c r="L221" s="15">
        <f>IF(A221="","",MAX(0,E221-K221*MAX(0,GJ-YEAR(F221))))</f>
        <v/>
      </c>
    </row>
    <row r="222">
      <c r="A222" s="30" t="inlineStr"/>
      <c r="B222" s="30" t="inlineStr"/>
      <c r="C222" s="30" t="inlineStr"/>
      <c r="D222" s="30" t="inlineStr"/>
      <c r="E222" s="34" t="inlineStr"/>
      <c r="F222" s="38" t="inlineStr"/>
      <c r="G222" s="31" t="inlineStr"/>
      <c r="H222" s="34" t="inlineStr"/>
      <c r="I222" s="30" t="inlineStr"/>
      <c r="J222" s="30" t="inlineStr"/>
      <c r="K222" s="15">
        <f>IF(OR(A222="",E222="",G222=0),"",E222/G222)</f>
        <v/>
      </c>
      <c r="L222" s="15">
        <f>IF(A222="","",MAX(0,E222-K222*MAX(0,GJ-YEAR(F222))))</f>
        <v/>
      </c>
    </row>
    <row r="223">
      <c r="A223" s="30" t="inlineStr"/>
      <c r="B223" s="30" t="inlineStr"/>
      <c r="C223" s="30" t="inlineStr"/>
      <c r="D223" s="30" t="inlineStr"/>
      <c r="E223" s="34" t="inlineStr"/>
      <c r="F223" s="38" t="inlineStr"/>
      <c r="G223" s="31" t="inlineStr"/>
      <c r="H223" s="34" t="inlineStr"/>
      <c r="I223" s="30" t="inlineStr"/>
      <c r="J223" s="30" t="inlineStr"/>
      <c r="K223" s="15">
        <f>IF(OR(A223="",E223="",G223=0),"",E223/G223)</f>
        <v/>
      </c>
      <c r="L223" s="15">
        <f>IF(A223="","",MAX(0,E223-K223*MAX(0,GJ-YEAR(F223))))</f>
        <v/>
      </c>
    </row>
    <row r="224">
      <c r="A224" s="30" t="inlineStr"/>
      <c r="B224" s="30" t="inlineStr"/>
      <c r="C224" s="30" t="inlineStr"/>
      <c r="D224" s="30" t="inlineStr"/>
      <c r="E224" s="34" t="inlineStr"/>
      <c r="F224" s="38" t="inlineStr"/>
      <c r="G224" s="31" t="inlineStr"/>
      <c r="H224" s="34" t="inlineStr"/>
      <c r="I224" s="30" t="inlineStr"/>
      <c r="J224" s="30" t="inlineStr"/>
      <c r="K224" s="15">
        <f>IF(OR(A224="",E224="",G224=0),"",E224/G224)</f>
        <v/>
      </c>
      <c r="L224" s="15">
        <f>IF(A224="","",MAX(0,E224-K224*MAX(0,GJ-YEAR(F224))))</f>
        <v/>
      </c>
    </row>
    <row r="225">
      <c r="A225" s="30" t="inlineStr"/>
      <c r="B225" s="30" t="inlineStr"/>
      <c r="C225" s="30" t="inlineStr"/>
      <c r="D225" s="30" t="inlineStr"/>
      <c r="E225" s="34" t="inlineStr"/>
      <c r="F225" s="38" t="inlineStr"/>
      <c r="G225" s="31" t="inlineStr"/>
      <c r="H225" s="34" t="inlineStr"/>
      <c r="I225" s="30" t="inlineStr"/>
      <c r="J225" s="30" t="inlineStr"/>
      <c r="K225" s="15">
        <f>IF(OR(A225="",E225="",G225=0),"",E225/G225)</f>
        <v/>
      </c>
      <c r="L225" s="15">
        <f>IF(A225="","",MAX(0,E225-K225*MAX(0,GJ-YEAR(F225))))</f>
        <v/>
      </c>
    </row>
    <row r="226">
      <c r="A226" s="30" t="inlineStr"/>
      <c r="B226" s="30" t="inlineStr"/>
      <c r="C226" s="30" t="inlineStr"/>
      <c r="D226" s="30" t="inlineStr"/>
      <c r="E226" s="34" t="inlineStr"/>
      <c r="F226" s="38" t="inlineStr"/>
      <c r="G226" s="31" t="inlineStr"/>
      <c r="H226" s="34" t="inlineStr"/>
      <c r="I226" s="30" t="inlineStr"/>
      <c r="J226" s="30" t="inlineStr"/>
      <c r="K226" s="15">
        <f>IF(OR(A226="",E226="",G226=0),"",E226/G226)</f>
        <v/>
      </c>
      <c r="L226" s="15">
        <f>IF(A226="","",MAX(0,E226-K226*MAX(0,GJ-YEAR(F226))))</f>
        <v/>
      </c>
    </row>
    <row r="227">
      <c r="A227" s="30" t="inlineStr"/>
      <c r="B227" s="30" t="inlineStr"/>
      <c r="C227" s="30" t="inlineStr"/>
      <c r="D227" s="30" t="inlineStr"/>
      <c r="E227" s="34" t="inlineStr"/>
      <c r="F227" s="38" t="inlineStr"/>
      <c r="G227" s="31" t="inlineStr"/>
      <c r="H227" s="34" t="inlineStr"/>
      <c r="I227" s="30" t="inlineStr"/>
      <c r="J227" s="30" t="inlineStr"/>
      <c r="K227" s="15">
        <f>IF(OR(A227="",E227="",G227=0),"",E227/G227)</f>
        <v/>
      </c>
      <c r="L227" s="15">
        <f>IF(A227="","",MAX(0,E227-K227*MAX(0,GJ-YEAR(F227))))</f>
        <v/>
      </c>
    </row>
    <row r="228">
      <c r="A228" s="30" t="inlineStr"/>
      <c r="B228" s="30" t="inlineStr"/>
      <c r="C228" s="30" t="inlineStr"/>
      <c r="D228" s="30" t="inlineStr"/>
      <c r="E228" s="34" t="inlineStr"/>
      <c r="F228" s="38" t="inlineStr"/>
      <c r="G228" s="31" t="inlineStr"/>
      <c r="H228" s="34" t="inlineStr"/>
      <c r="I228" s="30" t="inlineStr"/>
      <c r="J228" s="30" t="inlineStr"/>
      <c r="K228" s="15">
        <f>IF(OR(A228="",E228="",G228=0),"",E228/G228)</f>
        <v/>
      </c>
      <c r="L228" s="15">
        <f>IF(A228="","",MAX(0,E228-K228*MAX(0,GJ-YEAR(F228))))</f>
        <v/>
      </c>
    </row>
    <row r="229">
      <c r="A229" s="30" t="inlineStr"/>
      <c r="B229" s="30" t="inlineStr"/>
      <c r="C229" s="30" t="inlineStr"/>
      <c r="D229" s="30" t="inlineStr"/>
      <c r="E229" s="34" t="inlineStr"/>
      <c r="F229" s="38" t="inlineStr"/>
      <c r="G229" s="31" t="inlineStr"/>
      <c r="H229" s="34" t="inlineStr"/>
      <c r="I229" s="30" t="inlineStr"/>
      <c r="J229" s="30" t="inlineStr"/>
      <c r="K229" s="15">
        <f>IF(OR(A229="",E229="",G229=0),"",E229/G229)</f>
        <v/>
      </c>
      <c r="L229" s="15">
        <f>IF(A229="","",MAX(0,E229-K229*MAX(0,GJ-YEAR(F229))))</f>
        <v/>
      </c>
    </row>
    <row r="230">
      <c r="A230" s="30" t="inlineStr"/>
      <c r="B230" s="30" t="inlineStr"/>
      <c r="C230" s="30" t="inlineStr"/>
      <c r="D230" s="30" t="inlineStr"/>
      <c r="E230" s="34" t="inlineStr"/>
      <c r="F230" s="38" t="inlineStr"/>
      <c r="G230" s="31" t="inlineStr"/>
      <c r="H230" s="34" t="inlineStr"/>
      <c r="I230" s="30" t="inlineStr"/>
      <c r="J230" s="30" t="inlineStr"/>
      <c r="K230" s="15">
        <f>IF(OR(A230="",E230="",G230=0),"",E230/G230)</f>
        <v/>
      </c>
      <c r="L230" s="15">
        <f>IF(A230="","",MAX(0,E230-K230*MAX(0,GJ-YEAR(F230))))</f>
        <v/>
      </c>
    </row>
    <row r="231">
      <c r="A231" s="30" t="inlineStr"/>
      <c r="B231" s="30" t="inlineStr"/>
      <c r="C231" s="30" t="inlineStr"/>
      <c r="D231" s="30" t="inlineStr"/>
      <c r="E231" s="34" t="inlineStr"/>
      <c r="F231" s="38" t="inlineStr"/>
      <c r="G231" s="31" t="inlineStr"/>
      <c r="H231" s="34" t="inlineStr"/>
      <c r="I231" s="30" t="inlineStr"/>
      <c r="J231" s="30" t="inlineStr"/>
      <c r="K231" s="15">
        <f>IF(OR(A231="",E231="",G231=0),"",E231/G231)</f>
        <v/>
      </c>
      <c r="L231" s="15">
        <f>IF(A231="","",MAX(0,E231-K231*MAX(0,GJ-YEAR(F231))))</f>
        <v/>
      </c>
    </row>
    <row r="232">
      <c r="A232" s="30" t="inlineStr"/>
      <c r="B232" s="30" t="inlineStr"/>
      <c r="C232" s="30" t="inlineStr"/>
      <c r="D232" s="30" t="inlineStr"/>
      <c r="E232" s="34" t="inlineStr"/>
      <c r="F232" s="38" t="inlineStr"/>
      <c r="G232" s="31" t="inlineStr"/>
      <c r="H232" s="34" t="inlineStr"/>
      <c r="I232" s="30" t="inlineStr"/>
      <c r="J232" s="30" t="inlineStr"/>
      <c r="K232" s="15">
        <f>IF(OR(A232="",E232="",G232=0),"",E232/G232)</f>
        <v/>
      </c>
      <c r="L232" s="15">
        <f>IF(A232="","",MAX(0,E232-K232*MAX(0,GJ-YEAR(F232))))</f>
        <v/>
      </c>
    </row>
    <row r="233">
      <c r="A233" s="30" t="inlineStr"/>
      <c r="B233" s="30" t="inlineStr"/>
      <c r="C233" s="30" t="inlineStr"/>
      <c r="D233" s="30" t="inlineStr"/>
      <c r="E233" s="34" t="inlineStr"/>
      <c r="F233" s="38" t="inlineStr"/>
      <c r="G233" s="31" t="inlineStr"/>
      <c r="H233" s="34" t="inlineStr"/>
      <c r="I233" s="30" t="inlineStr"/>
      <c r="J233" s="30" t="inlineStr"/>
      <c r="K233" s="15">
        <f>IF(OR(A233="",E233="",G233=0),"",E233/G233)</f>
        <v/>
      </c>
      <c r="L233" s="15">
        <f>IF(A233="","",MAX(0,E233-K233*MAX(0,GJ-YEAR(F233))))</f>
        <v/>
      </c>
    </row>
    <row r="234">
      <c r="A234" s="30" t="inlineStr"/>
      <c r="B234" s="30" t="inlineStr"/>
      <c r="C234" s="30" t="inlineStr"/>
      <c r="D234" s="30" t="inlineStr"/>
      <c r="E234" s="34" t="inlineStr"/>
      <c r="F234" s="38" t="inlineStr"/>
      <c r="G234" s="31" t="inlineStr"/>
      <c r="H234" s="34" t="inlineStr"/>
      <c r="I234" s="30" t="inlineStr"/>
      <c r="J234" s="30" t="inlineStr"/>
      <c r="K234" s="15">
        <f>IF(OR(A234="",E234="",G234=0),"",E234/G234)</f>
        <v/>
      </c>
      <c r="L234" s="15">
        <f>IF(A234="","",MAX(0,E234-K234*MAX(0,GJ-YEAR(F234))))</f>
        <v/>
      </c>
    </row>
    <row r="235">
      <c r="A235" s="30" t="inlineStr"/>
      <c r="B235" s="30" t="inlineStr"/>
      <c r="C235" s="30" t="inlineStr"/>
      <c r="D235" s="30" t="inlineStr"/>
      <c r="E235" s="34" t="inlineStr"/>
      <c r="F235" s="38" t="inlineStr"/>
      <c r="G235" s="31" t="inlineStr"/>
      <c r="H235" s="34" t="inlineStr"/>
      <c r="I235" s="30" t="inlineStr"/>
      <c r="J235" s="30" t="inlineStr"/>
      <c r="K235" s="15">
        <f>IF(OR(A235="",E235="",G235=0),"",E235/G235)</f>
        <v/>
      </c>
      <c r="L235" s="15">
        <f>IF(A235="","",MAX(0,E235-K235*MAX(0,GJ-YEAR(F235))))</f>
        <v/>
      </c>
    </row>
    <row r="236">
      <c r="A236" s="30" t="inlineStr"/>
      <c r="B236" s="30" t="inlineStr"/>
      <c r="C236" s="30" t="inlineStr"/>
      <c r="D236" s="30" t="inlineStr"/>
      <c r="E236" s="34" t="inlineStr"/>
      <c r="F236" s="38" t="inlineStr"/>
      <c r="G236" s="31" t="inlineStr"/>
      <c r="H236" s="34" t="inlineStr"/>
      <c r="I236" s="30" t="inlineStr"/>
      <c r="J236" s="30" t="inlineStr"/>
      <c r="K236" s="15">
        <f>IF(OR(A236="",E236="",G236=0),"",E236/G236)</f>
        <v/>
      </c>
      <c r="L236" s="15">
        <f>IF(A236="","",MAX(0,E236-K236*MAX(0,GJ-YEAR(F236))))</f>
        <v/>
      </c>
    </row>
    <row r="237">
      <c r="A237" s="30" t="inlineStr"/>
      <c r="B237" s="30" t="inlineStr"/>
      <c r="C237" s="30" t="inlineStr"/>
      <c r="D237" s="30" t="inlineStr"/>
      <c r="E237" s="34" t="inlineStr"/>
      <c r="F237" s="38" t="inlineStr"/>
      <c r="G237" s="31" t="inlineStr"/>
      <c r="H237" s="34" t="inlineStr"/>
      <c r="I237" s="30" t="inlineStr"/>
      <c r="J237" s="30" t="inlineStr"/>
      <c r="K237" s="15">
        <f>IF(OR(A237="",E237="",G237=0),"",E237/G237)</f>
        <v/>
      </c>
      <c r="L237" s="15">
        <f>IF(A237="","",MAX(0,E237-K237*MAX(0,GJ-YEAR(F237))))</f>
        <v/>
      </c>
    </row>
    <row r="238">
      <c r="A238" s="30" t="inlineStr"/>
      <c r="B238" s="30" t="inlineStr"/>
      <c r="C238" s="30" t="inlineStr"/>
      <c r="D238" s="30" t="inlineStr"/>
      <c r="E238" s="34" t="inlineStr"/>
      <c r="F238" s="38" t="inlineStr"/>
      <c r="G238" s="31" t="inlineStr"/>
      <c r="H238" s="34" t="inlineStr"/>
      <c r="I238" s="30" t="inlineStr"/>
      <c r="J238" s="30" t="inlineStr"/>
      <c r="K238" s="15">
        <f>IF(OR(A238="",E238="",G238=0),"",E238/G238)</f>
        <v/>
      </c>
      <c r="L238" s="15">
        <f>IF(A238="","",MAX(0,E238-K238*MAX(0,GJ-YEAR(F238))))</f>
        <v/>
      </c>
    </row>
    <row r="239">
      <c r="A239" s="30" t="inlineStr"/>
      <c r="B239" s="30" t="inlineStr"/>
      <c r="C239" s="30" t="inlineStr"/>
      <c r="D239" s="30" t="inlineStr"/>
      <c r="E239" s="34" t="inlineStr"/>
      <c r="F239" s="38" t="inlineStr"/>
      <c r="G239" s="31" t="inlineStr"/>
      <c r="H239" s="34" t="inlineStr"/>
      <c r="I239" s="30" t="inlineStr"/>
      <c r="J239" s="30" t="inlineStr"/>
      <c r="K239" s="15">
        <f>IF(OR(A239="",E239="",G239=0),"",E239/G239)</f>
        <v/>
      </c>
      <c r="L239" s="15">
        <f>IF(A239="","",MAX(0,E239-K239*MAX(0,GJ-YEAR(F239))))</f>
        <v/>
      </c>
    </row>
    <row r="240">
      <c r="A240" s="30" t="inlineStr"/>
      <c r="B240" s="30" t="inlineStr"/>
      <c r="C240" s="30" t="inlineStr"/>
      <c r="D240" s="30" t="inlineStr"/>
      <c r="E240" s="34" t="inlineStr"/>
      <c r="F240" s="38" t="inlineStr"/>
      <c r="G240" s="31" t="inlineStr"/>
      <c r="H240" s="34" t="inlineStr"/>
      <c r="I240" s="30" t="inlineStr"/>
      <c r="J240" s="30" t="inlineStr"/>
      <c r="K240" s="15">
        <f>IF(OR(A240="",E240="",G240=0),"",E240/G240)</f>
        <v/>
      </c>
      <c r="L240" s="15">
        <f>IF(A240="","",MAX(0,E240-K240*MAX(0,GJ-YEAR(F240))))</f>
        <v/>
      </c>
    </row>
    <row r="241">
      <c r="A241" s="30" t="inlineStr"/>
      <c r="B241" s="30" t="inlineStr"/>
      <c r="C241" s="30" t="inlineStr"/>
      <c r="D241" s="30" t="inlineStr"/>
      <c r="E241" s="34" t="inlineStr"/>
      <c r="F241" s="38" t="inlineStr"/>
      <c r="G241" s="31" t="inlineStr"/>
      <c r="H241" s="34" t="inlineStr"/>
      <c r="I241" s="30" t="inlineStr"/>
      <c r="J241" s="30" t="inlineStr"/>
      <c r="K241" s="15">
        <f>IF(OR(A241="",E241="",G241=0),"",E241/G241)</f>
        <v/>
      </c>
      <c r="L241" s="15">
        <f>IF(A241="","",MAX(0,E241-K241*MAX(0,GJ-YEAR(F241))))</f>
        <v/>
      </c>
    </row>
    <row r="242">
      <c r="A242" s="30" t="inlineStr"/>
      <c r="B242" s="30" t="inlineStr"/>
      <c r="C242" s="30" t="inlineStr"/>
      <c r="D242" s="30" t="inlineStr"/>
      <c r="E242" s="34" t="inlineStr"/>
      <c r="F242" s="38" t="inlineStr"/>
      <c r="G242" s="31" t="inlineStr"/>
      <c r="H242" s="34" t="inlineStr"/>
      <c r="I242" s="30" t="inlineStr"/>
      <c r="J242" s="30" t="inlineStr"/>
      <c r="K242" s="15">
        <f>IF(OR(A242="",E242="",G242=0),"",E242/G242)</f>
        <v/>
      </c>
      <c r="L242" s="15">
        <f>IF(A242="","",MAX(0,E242-K242*MAX(0,GJ-YEAR(F242))))</f>
        <v/>
      </c>
    </row>
    <row r="243">
      <c r="A243" s="30" t="inlineStr"/>
      <c r="B243" s="30" t="inlineStr"/>
      <c r="C243" s="30" t="inlineStr"/>
      <c r="D243" s="30" t="inlineStr"/>
      <c r="E243" s="34" t="inlineStr"/>
      <c r="F243" s="38" t="inlineStr"/>
      <c r="G243" s="31" t="inlineStr"/>
      <c r="H243" s="34" t="inlineStr"/>
      <c r="I243" s="30" t="inlineStr"/>
      <c r="J243" s="30" t="inlineStr"/>
      <c r="K243" s="15">
        <f>IF(OR(A243="",E243="",G243=0),"",E243/G243)</f>
        <v/>
      </c>
      <c r="L243" s="15">
        <f>IF(A243="","",MAX(0,E243-K243*MAX(0,GJ-YEAR(F243))))</f>
        <v/>
      </c>
    </row>
    <row r="244">
      <c r="A244" s="30" t="inlineStr"/>
      <c r="B244" s="30" t="inlineStr"/>
      <c r="C244" s="30" t="inlineStr"/>
      <c r="D244" s="30" t="inlineStr"/>
      <c r="E244" s="34" t="inlineStr"/>
      <c r="F244" s="38" t="inlineStr"/>
      <c r="G244" s="31" t="inlineStr"/>
      <c r="H244" s="34" t="inlineStr"/>
      <c r="I244" s="30" t="inlineStr"/>
      <c r="J244" s="30" t="inlineStr"/>
      <c r="K244" s="15">
        <f>IF(OR(A244="",E244="",G244=0),"",E244/G244)</f>
        <v/>
      </c>
      <c r="L244" s="15">
        <f>IF(A244="","",MAX(0,E244-K244*MAX(0,GJ-YEAR(F244))))</f>
        <v/>
      </c>
    </row>
    <row r="245">
      <c r="A245" s="30" t="inlineStr"/>
      <c r="B245" s="30" t="inlineStr"/>
      <c r="C245" s="30" t="inlineStr"/>
      <c r="D245" s="30" t="inlineStr"/>
      <c r="E245" s="34" t="inlineStr"/>
      <c r="F245" s="38" t="inlineStr"/>
      <c r="G245" s="31" t="inlineStr"/>
      <c r="H245" s="34" t="inlineStr"/>
      <c r="I245" s="30" t="inlineStr"/>
      <c r="J245" s="30" t="inlineStr"/>
      <c r="K245" s="15">
        <f>IF(OR(A245="",E245="",G245=0),"",E245/G245)</f>
        <v/>
      </c>
      <c r="L245" s="15">
        <f>IF(A245="","",MAX(0,E245-K245*MAX(0,GJ-YEAR(F245))))</f>
        <v/>
      </c>
    </row>
    <row r="246">
      <c r="A246" s="30" t="inlineStr"/>
      <c r="B246" s="30" t="inlineStr"/>
      <c r="C246" s="30" t="inlineStr"/>
      <c r="D246" s="30" t="inlineStr"/>
      <c r="E246" s="34" t="inlineStr"/>
      <c r="F246" s="38" t="inlineStr"/>
      <c r="G246" s="31" t="inlineStr"/>
      <c r="H246" s="34" t="inlineStr"/>
      <c r="I246" s="30" t="inlineStr"/>
      <c r="J246" s="30" t="inlineStr"/>
      <c r="K246" s="15">
        <f>IF(OR(A246="",E246="",G246=0),"",E246/G246)</f>
        <v/>
      </c>
      <c r="L246" s="15">
        <f>IF(A246="","",MAX(0,E246-K246*MAX(0,GJ-YEAR(F246))))</f>
        <v/>
      </c>
    </row>
    <row r="247">
      <c r="A247" s="30" t="inlineStr"/>
      <c r="B247" s="30" t="inlineStr"/>
      <c r="C247" s="30" t="inlineStr"/>
      <c r="D247" s="30" t="inlineStr"/>
      <c r="E247" s="34" t="inlineStr"/>
      <c r="F247" s="38" t="inlineStr"/>
      <c r="G247" s="31" t="inlineStr"/>
      <c r="H247" s="34" t="inlineStr"/>
      <c r="I247" s="30" t="inlineStr"/>
      <c r="J247" s="30" t="inlineStr"/>
      <c r="K247" s="15">
        <f>IF(OR(A247="",E247="",G247=0),"",E247/G247)</f>
        <v/>
      </c>
      <c r="L247" s="15">
        <f>IF(A247="","",MAX(0,E247-K247*MAX(0,GJ-YEAR(F247))))</f>
        <v/>
      </c>
    </row>
    <row r="248">
      <c r="A248" s="30" t="inlineStr"/>
      <c r="B248" s="30" t="inlineStr"/>
      <c r="C248" s="30" t="inlineStr"/>
      <c r="D248" s="30" t="inlineStr"/>
      <c r="E248" s="34" t="inlineStr"/>
      <c r="F248" s="38" t="inlineStr"/>
      <c r="G248" s="31" t="inlineStr"/>
      <c r="H248" s="34" t="inlineStr"/>
      <c r="I248" s="30" t="inlineStr"/>
      <c r="J248" s="30" t="inlineStr"/>
      <c r="K248" s="15">
        <f>IF(OR(A248="",E248="",G248=0),"",E248/G248)</f>
        <v/>
      </c>
      <c r="L248" s="15">
        <f>IF(A248="","",MAX(0,E248-K248*MAX(0,GJ-YEAR(F248))))</f>
        <v/>
      </c>
    </row>
    <row r="249">
      <c r="A249" s="30" t="inlineStr"/>
      <c r="B249" s="30" t="inlineStr"/>
      <c r="C249" s="30" t="inlineStr"/>
      <c r="D249" s="30" t="inlineStr"/>
      <c r="E249" s="34" t="inlineStr"/>
      <c r="F249" s="38" t="inlineStr"/>
      <c r="G249" s="31" t="inlineStr"/>
      <c r="H249" s="34" t="inlineStr"/>
      <c r="I249" s="30" t="inlineStr"/>
      <c r="J249" s="30" t="inlineStr"/>
      <c r="K249" s="15">
        <f>IF(OR(A249="",E249="",G249=0),"",E249/G249)</f>
        <v/>
      </c>
      <c r="L249" s="15">
        <f>IF(A249="","",MAX(0,E249-K249*MAX(0,GJ-YEAR(F249))))</f>
        <v/>
      </c>
    </row>
    <row r="250">
      <c r="A250" s="30" t="inlineStr"/>
      <c r="B250" s="30" t="inlineStr"/>
      <c r="C250" s="30" t="inlineStr"/>
      <c r="D250" s="30" t="inlineStr"/>
      <c r="E250" s="34" t="inlineStr"/>
      <c r="F250" s="38" t="inlineStr"/>
      <c r="G250" s="31" t="inlineStr"/>
      <c r="H250" s="34" t="inlineStr"/>
      <c r="I250" s="30" t="inlineStr"/>
      <c r="J250" s="30" t="inlineStr"/>
      <c r="K250" s="15">
        <f>IF(OR(A250="",E250="",G250=0),"",E250/G250)</f>
        <v/>
      </c>
      <c r="L250" s="15">
        <f>IF(A250="","",MAX(0,E250-K250*MAX(0,GJ-YEAR(F250))))</f>
        <v/>
      </c>
    </row>
    <row r="251">
      <c r="A251" s="30" t="inlineStr"/>
      <c r="B251" s="30" t="inlineStr"/>
      <c r="C251" s="30" t="inlineStr"/>
      <c r="D251" s="30" t="inlineStr"/>
      <c r="E251" s="34" t="inlineStr"/>
      <c r="F251" s="38" t="inlineStr"/>
      <c r="G251" s="31" t="inlineStr"/>
      <c r="H251" s="34" t="inlineStr"/>
      <c r="I251" s="30" t="inlineStr"/>
      <c r="J251" s="30" t="inlineStr"/>
      <c r="K251" s="15">
        <f>IF(OR(A251="",E251="",G251=0),"",E251/G251)</f>
        <v/>
      </c>
      <c r="L251" s="15">
        <f>IF(A251="","",MAX(0,E251-K251*MAX(0,GJ-YEAR(F251))))</f>
        <v/>
      </c>
    </row>
    <row r="252">
      <c r="A252" s="30" t="inlineStr"/>
      <c r="B252" s="30" t="inlineStr"/>
      <c r="C252" s="30" t="inlineStr"/>
      <c r="D252" s="30" t="inlineStr"/>
      <c r="E252" s="34" t="inlineStr"/>
      <c r="F252" s="38" t="inlineStr"/>
      <c r="G252" s="31" t="inlineStr"/>
      <c r="H252" s="34" t="inlineStr"/>
      <c r="I252" s="30" t="inlineStr"/>
      <c r="J252" s="30" t="inlineStr"/>
      <c r="K252" s="15">
        <f>IF(OR(A252="",E252="",G252=0),"",E252/G252)</f>
        <v/>
      </c>
      <c r="L252" s="15">
        <f>IF(A252="","",MAX(0,E252-K252*MAX(0,GJ-YEAR(F252))))</f>
        <v/>
      </c>
    </row>
    <row r="253">
      <c r="A253" s="30" t="inlineStr"/>
      <c r="B253" s="30" t="inlineStr"/>
      <c r="C253" s="30" t="inlineStr"/>
      <c r="D253" s="30" t="inlineStr"/>
      <c r="E253" s="34" t="inlineStr"/>
      <c r="F253" s="38" t="inlineStr"/>
      <c r="G253" s="31" t="inlineStr"/>
      <c r="H253" s="34" t="inlineStr"/>
      <c r="I253" s="30" t="inlineStr"/>
      <c r="J253" s="30" t="inlineStr"/>
      <c r="K253" s="15">
        <f>IF(OR(A253="",E253="",G253=0),"",E253/G253)</f>
        <v/>
      </c>
      <c r="L253" s="15">
        <f>IF(A253="","",MAX(0,E253-K253*MAX(0,GJ-YEAR(F253))))</f>
        <v/>
      </c>
    </row>
    <row r="254">
      <c r="A254" s="30" t="inlineStr"/>
      <c r="B254" s="30" t="inlineStr"/>
      <c r="C254" s="30" t="inlineStr"/>
      <c r="D254" s="30" t="inlineStr"/>
      <c r="E254" s="34" t="inlineStr"/>
      <c r="F254" s="38" t="inlineStr"/>
      <c r="G254" s="31" t="inlineStr"/>
      <c r="H254" s="34" t="inlineStr"/>
      <c r="I254" s="30" t="inlineStr"/>
      <c r="J254" s="30" t="inlineStr"/>
      <c r="K254" s="15">
        <f>IF(OR(A254="",E254="",G254=0),"",E254/G254)</f>
        <v/>
      </c>
      <c r="L254" s="15">
        <f>IF(A254="","",MAX(0,E254-K254*MAX(0,GJ-YEAR(F254))))</f>
        <v/>
      </c>
    </row>
    <row r="255">
      <c r="A255" s="30" t="inlineStr"/>
      <c r="B255" s="30" t="inlineStr"/>
      <c r="C255" s="30" t="inlineStr"/>
      <c r="D255" s="30" t="inlineStr"/>
      <c r="E255" s="34" t="inlineStr"/>
      <c r="F255" s="38" t="inlineStr"/>
      <c r="G255" s="31" t="inlineStr"/>
      <c r="H255" s="34" t="inlineStr"/>
      <c r="I255" s="30" t="inlineStr"/>
      <c r="J255" s="30" t="inlineStr"/>
      <c r="K255" s="15">
        <f>IF(OR(A255="",E255="",G255=0),"",E255/G255)</f>
        <v/>
      </c>
      <c r="L255" s="15">
        <f>IF(A255="","",MAX(0,E255-K255*MAX(0,GJ-YEAR(F255))))</f>
        <v/>
      </c>
    </row>
    <row r="256">
      <c r="A256" s="30" t="inlineStr"/>
      <c r="B256" s="30" t="inlineStr"/>
      <c r="C256" s="30" t="inlineStr"/>
      <c r="D256" s="30" t="inlineStr"/>
      <c r="E256" s="34" t="inlineStr"/>
      <c r="F256" s="38" t="inlineStr"/>
      <c r="G256" s="31" t="inlineStr"/>
      <c r="H256" s="34" t="inlineStr"/>
      <c r="I256" s="30" t="inlineStr"/>
      <c r="J256" s="30" t="inlineStr"/>
      <c r="K256" s="15">
        <f>IF(OR(A256="",E256="",G256=0),"",E256/G256)</f>
        <v/>
      </c>
      <c r="L256" s="15">
        <f>IF(A256="","",MAX(0,E256-K256*MAX(0,GJ-YEAR(F256))))</f>
        <v/>
      </c>
    </row>
    <row r="257">
      <c r="A257" s="30" t="inlineStr"/>
      <c r="B257" s="30" t="inlineStr"/>
      <c r="C257" s="30" t="inlineStr"/>
      <c r="D257" s="30" t="inlineStr"/>
      <c r="E257" s="34" t="inlineStr"/>
      <c r="F257" s="38" t="inlineStr"/>
      <c r="G257" s="31" t="inlineStr"/>
      <c r="H257" s="34" t="inlineStr"/>
      <c r="I257" s="30" t="inlineStr"/>
      <c r="J257" s="30" t="inlineStr"/>
      <c r="K257" s="15">
        <f>IF(OR(A257="",E257="",G257=0),"",E257/G257)</f>
        <v/>
      </c>
      <c r="L257" s="15">
        <f>IF(A257="","",MAX(0,E257-K257*MAX(0,GJ-YEAR(F257))))</f>
        <v/>
      </c>
    </row>
    <row r="258">
      <c r="A258" s="30" t="inlineStr"/>
      <c r="B258" s="30" t="inlineStr"/>
      <c r="C258" s="30" t="inlineStr"/>
      <c r="D258" s="30" t="inlineStr"/>
      <c r="E258" s="34" t="inlineStr"/>
      <c r="F258" s="38" t="inlineStr"/>
      <c r="G258" s="31" t="inlineStr"/>
      <c r="H258" s="34" t="inlineStr"/>
      <c r="I258" s="30" t="inlineStr"/>
      <c r="J258" s="30" t="inlineStr"/>
      <c r="K258" s="15">
        <f>IF(OR(A258="",E258="",G258=0),"",E258/G258)</f>
        <v/>
      </c>
      <c r="L258" s="15">
        <f>IF(A258="","",MAX(0,E258-K258*MAX(0,GJ-YEAR(F258))))</f>
        <v/>
      </c>
    </row>
    <row r="259">
      <c r="A259" s="30" t="inlineStr"/>
      <c r="B259" s="30" t="inlineStr"/>
      <c r="C259" s="30" t="inlineStr"/>
      <c r="D259" s="30" t="inlineStr"/>
      <c r="E259" s="34" t="inlineStr"/>
      <c r="F259" s="38" t="inlineStr"/>
      <c r="G259" s="31" t="inlineStr"/>
      <c r="H259" s="34" t="inlineStr"/>
      <c r="I259" s="30" t="inlineStr"/>
      <c r="J259" s="30" t="inlineStr"/>
      <c r="K259" s="15">
        <f>IF(OR(A259="",E259="",G259=0),"",E259/G259)</f>
        <v/>
      </c>
      <c r="L259" s="15">
        <f>IF(A259="","",MAX(0,E259-K259*MAX(0,GJ-YEAR(F259))))</f>
        <v/>
      </c>
    </row>
    <row r="260">
      <c r="A260" s="30" t="inlineStr"/>
      <c r="B260" s="30" t="inlineStr"/>
      <c r="C260" s="30" t="inlineStr"/>
      <c r="D260" s="30" t="inlineStr"/>
      <c r="E260" s="34" t="inlineStr"/>
      <c r="F260" s="38" t="inlineStr"/>
      <c r="G260" s="31" t="inlineStr"/>
      <c r="H260" s="34" t="inlineStr"/>
      <c r="I260" s="30" t="inlineStr"/>
      <c r="J260" s="30" t="inlineStr"/>
      <c r="K260" s="15">
        <f>IF(OR(A260="",E260="",G260=0),"",E260/G260)</f>
        <v/>
      </c>
      <c r="L260" s="15">
        <f>IF(A260="","",MAX(0,E260-K260*MAX(0,GJ-YEAR(F260))))</f>
        <v/>
      </c>
    </row>
    <row r="261">
      <c r="A261" s="30" t="inlineStr"/>
      <c r="B261" s="30" t="inlineStr"/>
      <c r="C261" s="30" t="inlineStr"/>
      <c r="D261" s="30" t="inlineStr"/>
      <c r="E261" s="34" t="inlineStr"/>
      <c r="F261" s="38" t="inlineStr"/>
      <c r="G261" s="31" t="inlineStr"/>
      <c r="H261" s="34" t="inlineStr"/>
      <c r="I261" s="30" t="inlineStr"/>
      <c r="J261" s="30" t="inlineStr"/>
      <c r="K261" s="15">
        <f>IF(OR(A261="",E261="",G261=0),"",E261/G261)</f>
        <v/>
      </c>
      <c r="L261" s="15">
        <f>IF(A261="","",MAX(0,E261-K261*MAX(0,GJ-YEAR(F261))))</f>
        <v/>
      </c>
    </row>
    <row r="262">
      <c r="A262" s="30" t="inlineStr"/>
      <c r="B262" s="30" t="inlineStr"/>
      <c r="C262" s="30" t="inlineStr"/>
      <c r="D262" s="30" t="inlineStr"/>
      <c r="E262" s="34" t="inlineStr"/>
      <c r="F262" s="38" t="inlineStr"/>
      <c r="G262" s="31" t="inlineStr"/>
      <c r="H262" s="34" t="inlineStr"/>
      <c r="I262" s="30" t="inlineStr"/>
      <c r="J262" s="30" t="inlineStr"/>
      <c r="K262" s="15">
        <f>IF(OR(A262="",E262="",G262=0),"",E262/G262)</f>
        <v/>
      </c>
      <c r="L262" s="15">
        <f>IF(A262="","",MAX(0,E262-K262*MAX(0,GJ-YEAR(F262))))</f>
        <v/>
      </c>
    </row>
    <row r="263">
      <c r="A263" s="30" t="inlineStr"/>
      <c r="B263" s="30" t="inlineStr"/>
      <c r="C263" s="30" t="inlineStr"/>
      <c r="D263" s="30" t="inlineStr"/>
      <c r="E263" s="34" t="inlineStr"/>
      <c r="F263" s="38" t="inlineStr"/>
      <c r="G263" s="31" t="inlineStr"/>
      <c r="H263" s="34" t="inlineStr"/>
      <c r="I263" s="30" t="inlineStr"/>
      <c r="J263" s="30" t="inlineStr"/>
      <c r="K263" s="15">
        <f>IF(OR(A263="",E263="",G263=0),"",E263/G263)</f>
        <v/>
      </c>
      <c r="L263" s="15">
        <f>IF(A263="","",MAX(0,E263-K263*MAX(0,GJ-YEAR(F263))))</f>
        <v/>
      </c>
    </row>
    <row r="264">
      <c r="A264" s="30" t="inlineStr"/>
      <c r="B264" s="30" t="inlineStr"/>
      <c r="C264" s="30" t="inlineStr"/>
      <c r="D264" s="30" t="inlineStr"/>
      <c r="E264" s="34" t="inlineStr"/>
      <c r="F264" s="38" t="inlineStr"/>
      <c r="G264" s="31" t="inlineStr"/>
      <c r="H264" s="34" t="inlineStr"/>
      <c r="I264" s="30" t="inlineStr"/>
      <c r="J264" s="30" t="inlineStr"/>
      <c r="K264" s="15">
        <f>IF(OR(A264="",E264="",G264=0),"",E264/G264)</f>
        <v/>
      </c>
      <c r="L264" s="15">
        <f>IF(A264="","",MAX(0,E264-K264*MAX(0,GJ-YEAR(F264))))</f>
        <v/>
      </c>
    </row>
    <row r="265">
      <c r="A265" s="30" t="inlineStr"/>
      <c r="B265" s="30" t="inlineStr"/>
      <c r="C265" s="30" t="inlineStr"/>
      <c r="D265" s="30" t="inlineStr"/>
      <c r="E265" s="34" t="inlineStr"/>
      <c r="F265" s="38" t="inlineStr"/>
      <c r="G265" s="31" t="inlineStr"/>
      <c r="H265" s="34" t="inlineStr"/>
      <c r="I265" s="30" t="inlineStr"/>
      <c r="J265" s="30" t="inlineStr"/>
      <c r="K265" s="15">
        <f>IF(OR(A265="",E265="",G265=0),"",E265/G265)</f>
        <v/>
      </c>
      <c r="L265" s="15">
        <f>IF(A265="","",MAX(0,E265-K265*MAX(0,GJ-YEAR(F265))))</f>
        <v/>
      </c>
    </row>
    <row r="266">
      <c r="A266" s="30" t="inlineStr"/>
      <c r="B266" s="30" t="inlineStr"/>
      <c r="C266" s="30" t="inlineStr"/>
      <c r="D266" s="30" t="inlineStr"/>
      <c r="E266" s="34" t="inlineStr"/>
      <c r="F266" s="38" t="inlineStr"/>
      <c r="G266" s="31" t="inlineStr"/>
      <c r="H266" s="34" t="inlineStr"/>
      <c r="I266" s="30" t="inlineStr"/>
      <c r="J266" s="30" t="inlineStr"/>
      <c r="K266" s="15">
        <f>IF(OR(A266="",E266="",G266=0),"",E266/G266)</f>
        <v/>
      </c>
      <c r="L266" s="15">
        <f>IF(A266="","",MAX(0,E266-K266*MAX(0,GJ-YEAR(F266))))</f>
        <v/>
      </c>
    </row>
    <row r="267">
      <c r="A267" s="30" t="inlineStr"/>
      <c r="B267" s="30" t="inlineStr"/>
      <c r="C267" s="30" t="inlineStr"/>
      <c r="D267" s="30" t="inlineStr"/>
      <c r="E267" s="34" t="inlineStr"/>
      <c r="F267" s="38" t="inlineStr"/>
      <c r="G267" s="31" t="inlineStr"/>
      <c r="H267" s="34" t="inlineStr"/>
      <c r="I267" s="30" t="inlineStr"/>
      <c r="J267" s="30" t="inlineStr"/>
      <c r="K267" s="15">
        <f>IF(OR(A267="",E267="",G267=0),"",E267/G267)</f>
        <v/>
      </c>
      <c r="L267" s="15">
        <f>IF(A267="","",MAX(0,E267-K267*MAX(0,GJ-YEAR(F267))))</f>
        <v/>
      </c>
    </row>
    <row r="268">
      <c r="A268" s="30" t="inlineStr"/>
      <c r="B268" s="30" t="inlineStr"/>
      <c r="C268" s="30" t="inlineStr"/>
      <c r="D268" s="30" t="inlineStr"/>
      <c r="E268" s="34" t="inlineStr"/>
      <c r="F268" s="38" t="inlineStr"/>
      <c r="G268" s="31" t="inlineStr"/>
      <c r="H268" s="34" t="inlineStr"/>
      <c r="I268" s="30" t="inlineStr"/>
      <c r="J268" s="30" t="inlineStr"/>
      <c r="K268" s="15">
        <f>IF(OR(A268="",E268="",G268=0),"",E268/G268)</f>
        <v/>
      </c>
      <c r="L268" s="15">
        <f>IF(A268="","",MAX(0,E268-K268*MAX(0,GJ-YEAR(F268))))</f>
        <v/>
      </c>
    </row>
    <row r="269">
      <c r="A269" s="30" t="inlineStr"/>
      <c r="B269" s="30" t="inlineStr"/>
      <c r="C269" s="30" t="inlineStr"/>
      <c r="D269" s="30" t="inlineStr"/>
      <c r="E269" s="34" t="inlineStr"/>
      <c r="F269" s="38" t="inlineStr"/>
      <c r="G269" s="31" t="inlineStr"/>
      <c r="H269" s="34" t="inlineStr"/>
      <c r="I269" s="30" t="inlineStr"/>
      <c r="J269" s="30" t="inlineStr"/>
      <c r="K269" s="15">
        <f>IF(OR(A269="",E269="",G269=0),"",E269/G269)</f>
        <v/>
      </c>
      <c r="L269" s="15">
        <f>IF(A269="","",MAX(0,E269-K269*MAX(0,GJ-YEAR(F269))))</f>
        <v/>
      </c>
    </row>
    <row r="270">
      <c r="A270" s="30" t="inlineStr"/>
      <c r="B270" s="30" t="inlineStr"/>
      <c r="C270" s="30" t="inlineStr"/>
      <c r="D270" s="30" t="inlineStr"/>
      <c r="E270" s="34" t="inlineStr"/>
      <c r="F270" s="38" t="inlineStr"/>
      <c r="G270" s="31" t="inlineStr"/>
      <c r="H270" s="34" t="inlineStr"/>
      <c r="I270" s="30" t="inlineStr"/>
      <c r="J270" s="30" t="inlineStr"/>
      <c r="K270" s="15">
        <f>IF(OR(A270="",E270="",G270=0),"",E270/G270)</f>
        <v/>
      </c>
      <c r="L270" s="15">
        <f>IF(A270="","",MAX(0,E270-K270*MAX(0,GJ-YEAR(F270))))</f>
        <v/>
      </c>
    </row>
    <row r="271">
      <c r="A271" s="30" t="inlineStr"/>
      <c r="B271" s="30" t="inlineStr"/>
      <c r="C271" s="30" t="inlineStr"/>
      <c r="D271" s="30" t="inlineStr"/>
      <c r="E271" s="34" t="inlineStr"/>
      <c r="F271" s="38" t="inlineStr"/>
      <c r="G271" s="31" t="inlineStr"/>
      <c r="H271" s="34" t="inlineStr"/>
      <c r="I271" s="30" t="inlineStr"/>
      <c r="J271" s="30" t="inlineStr"/>
      <c r="K271" s="15">
        <f>IF(OR(A271="",E271="",G271=0),"",E271/G271)</f>
        <v/>
      </c>
      <c r="L271" s="15">
        <f>IF(A271="","",MAX(0,E271-K271*MAX(0,GJ-YEAR(F271))))</f>
        <v/>
      </c>
    </row>
    <row r="272">
      <c r="A272" s="30" t="inlineStr"/>
      <c r="B272" s="30" t="inlineStr"/>
      <c r="C272" s="30" t="inlineStr"/>
      <c r="D272" s="30" t="inlineStr"/>
      <c r="E272" s="34" t="inlineStr"/>
      <c r="F272" s="38" t="inlineStr"/>
      <c r="G272" s="31" t="inlineStr"/>
      <c r="H272" s="34" t="inlineStr"/>
      <c r="I272" s="30" t="inlineStr"/>
      <c r="J272" s="30" t="inlineStr"/>
      <c r="K272" s="15">
        <f>IF(OR(A272="",E272="",G272=0),"",E272/G272)</f>
        <v/>
      </c>
      <c r="L272" s="15">
        <f>IF(A272="","",MAX(0,E272-K272*MAX(0,GJ-YEAR(F272))))</f>
        <v/>
      </c>
    </row>
    <row r="273">
      <c r="A273" s="30" t="inlineStr"/>
      <c r="B273" s="30" t="inlineStr"/>
      <c r="C273" s="30" t="inlineStr"/>
      <c r="D273" s="30" t="inlineStr"/>
      <c r="E273" s="34" t="inlineStr"/>
      <c r="F273" s="38" t="inlineStr"/>
      <c r="G273" s="31" t="inlineStr"/>
      <c r="H273" s="34" t="inlineStr"/>
      <c r="I273" s="30" t="inlineStr"/>
      <c r="J273" s="30" t="inlineStr"/>
      <c r="K273" s="15">
        <f>IF(OR(A273="",E273="",G273=0),"",E273/G273)</f>
        <v/>
      </c>
      <c r="L273" s="15">
        <f>IF(A273="","",MAX(0,E273-K273*MAX(0,GJ-YEAR(F273))))</f>
        <v/>
      </c>
    </row>
    <row r="274">
      <c r="A274" s="30" t="inlineStr"/>
      <c r="B274" s="30" t="inlineStr"/>
      <c r="C274" s="30" t="inlineStr"/>
      <c r="D274" s="30" t="inlineStr"/>
      <c r="E274" s="34" t="inlineStr"/>
      <c r="F274" s="38" t="inlineStr"/>
      <c r="G274" s="31" t="inlineStr"/>
      <c r="H274" s="34" t="inlineStr"/>
      <c r="I274" s="30" t="inlineStr"/>
      <c r="J274" s="30" t="inlineStr"/>
      <c r="K274" s="15">
        <f>IF(OR(A274="",E274="",G274=0),"",E274/G274)</f>
        <v/>
      </c>
      <c r="L274" s="15">
        <f>IF(A274="","",MAX(0,E274-K274*MAX(0,GJ-YEAR(F274))))</f>
        <v/>
      </c>
    </row>
    <row r="275">
      <c r="A275" s="30" t="inlineStr"/>
      <c r="B275" s="30" t="inlineStr"/>
      <c r="C275" s="30" t="inlineStr"/>
      <c r="D275" s="30" t="inlineStr"/>
      <c r="E275" s="34" t="inlineStr"/>
      <c r="F275" s="38" t="inlineStr"/>
      <c r="G275" s="31" t="inlineStr"/>
      <c r="H275" s="34" t="inlineStr"/>
      <c r="I275" s="30" t="inlineStr"/>
      <c r="J275" s="30" t="inlineStr"/>
      <c r="K275" s="15">
        <f>IF(OR(A275="",E275="",G275=0),"",E275/G275)</f>
        <v/>
      </c>
      <c r="L275" s="15">
        <f>IF(A275="","",MAX(0,E275-K275*MAX(0,GJ-YEAR(F275))))</f>
        <v/>
      </c>
    </row>
    <row r="276">
      <c r="A276" s="30" t="inlineStr"/>
      <c r="B276" s="30" t="inlineStr"/>
      <c r="C276" s="30" t="inlineStr"/>
      <c r="D276" s="30" t="inlineStr"/>
      <c r="E276" s="34" t="inlineStr"/>
      <c r="F276" s="38" t="inlineStr"/>
      <c r="G276" s="31" t="inlineStr"/>
      <c r="H276" s="34" t="inlineStr"/>
      <c r="I276" s="30" t="inlineStr"/>
      <c r="J276" s="30" t="inlineStr"/>
      <c r="K276" s="15">
        <f>IF(OR(A276="",E276="",G276=0),"",E276/G276)</f>
        <v/>
      </c>
      <c r="L276" s="15">
        <f>IF(A276="","",MAX(0,E276-K276*MAX(0,GJ-YEAR(F276))))</f>
        <v/>
      </c>
    </row>
    <row r="277">
      <c r="A277" s="30" t="inlineStr"/>
      <c r="B277" s="30" t="inlineStr"/>
      <c r="C277" s="30" t="inlineStr"/>
      <c r="D277" s="30" t="inlineStr"/>
      <c r="E277" s="34" t="inlineStr"/>
      <c r="F277" s="38" t="inlineStr"/>
      <c r="G277" s="31" t="inlineStr"/>
      <c r="H277" s="34" t="inlineStr"/>
      <c r="I277" s="30" t="inlineStr"/>
      <c r="J277" s="30" t="inlineStr"/>
      <c r="K277" s="15">
        <f>IF(OR(A277="",E277="",G277=0),"",E277/G277)</f>
        <v/>
      </c>
      <c r="L277" s="15">
        <f>IF(A277="","",MAX(0,E277-K277*MAX(0,GJ-YEAR(F277))))</f>
        <v/>
      </c>
    </row>
    <row r="278">
      <c r="A278" s="30" t="inlineStr"/>
      <c r="B278" s="30" t="inlineStr"/>
      <c r="C278" s="30" t="inlineStr"/>
      <c r="D278" s="30" t="inlineStr"/>
      <c r="E278" s="34" t="inlineStr"/>
      <c r="F278" s="38" t="inlineStr"/>
      <c r="G278" s="31" t="inlineStr"/>
      <c r="H278" s="34" t="inlineStr"/>
      <c r="I278" s="30" t="inlineStr"/>
      <c r="J278" s="30" t="inlineStr"/>
      <c r="K278" s="15">
        <f>IF(OR(A278="",E278="",G278=0),"",E278/G278)</f>
        <v/>
      </c>
      <c r="L278" s="15">
        <f>IF(A278="","",MAX(0,E278-K278*MAX(0,GJ-YEAR(F278))))</f>
        <v/>
      </c>
    </row>
    <row r="279">
      <c r="A279" s="30" t="inlineStr"/>
      <c r="B279" s="30" t="inlineStr"/>
      <c r="C279" s="30" t="inlineStr"/>
      <c r="D279" s="30" t="inlineStr"/>
      <c r="E279" s="34" t="inlineStr"/>
      <c r="F279" s="38" t="inlineStr"/>
      <c r="G279" s="31" t="inlineStr"/>
      <c r="H279" s="34" t="inlineStr"/>
      <c r="I279" s="30" t="inlineStr"/>
      <c r="J279" s="30" t="inlineStr"/>
      <c r="K279" s="15">
        <f>IF(OR(A279="",E279="",G279=0),"",E279/G279)</f>
        <v/>
      </c>
      <c r="L279" s="15">
        <f>IF(A279="","",MAX(0,E279-K279*MAX(0,GJ-YEAR(F279))))</f>
        <v/>
      </c>
    </row>
    <row r="280">
      <c r="A280" s="30" t="inlineStr"/>
      <c r="B280" s="30" t="inlineStr"/>
      <c r="C280" s="30" t="inlineStr"/>
      <c r="D280" s="30" t="inlineStr"/>
      <c r="E280" s="34" t="inlineStr"/>
      <c r="F280" s="38" t="inlineStr"/>
      <c r="G280" s="31" t="inlineStr"/>
      <c r="H280" s="34" t="inlineStr"/>
      <c r="I280" s="30" t="inlineStr"/>
      <c r="J280" s="30" t="inlineStr"/>
      <c r="K280" s="15">
        <f>IF(OR(A280="",E280="",G280=0),"",E280/G280)</f>
        <v/>
      </c>
      <c r="L280" s="15">
        <f>IF(A280="","",MAX(0,E280-K280*MAX(0,GJ-YEAR(F280))))</f>
        <v/>
      </c>
    </row>
    <row r="281">
      <c r="A281" s="30" t="inlineStr"/>
      <c r="B281" s="30" t="inlineStr"/>
      <c r="C281" s="30" t="inlineStr"/>
      <c r="D281" s="30" t="inlineStr"/>
      <c r="E281" s="34" t="inlineStr"/>
      <c r="F281" s="38" t="inlineStr"/>
      <c r="G281" s="31" t="inlineStr"/>
      <c r="H281" s="34" t="inlineStr"/>
      <c r="I281" s="30" t="inlineStr"/>
      <c r="J281" s="30" t="inlineStr"/>
      <c r="K281" s="15">
        <f>IF(OR(A281="",E281="",G281=0),"",E281/G281)</f>
        <v/>
      </c>
      <c r="L281" s="15">
        <f>IF(A281="","",MAX(0,E281-K281*MAX(0,GJ-YEAR(F281))))</f>
        <v/>
      </c>
    </row>
    <row r="282">
      <c r="A282" s="30" t="inlineStr"/>
      <c r="B282" s="30" t="inlineStr"/>
      <c r="C282" s="30" t="inlineStr"/>
      <c r="D282" s="30" t="inlineStr"/>
      <c r="E282" s="34" t="inlineStr"/>
      <c r="F282" s="38" t="inlineStr"/>
      <c r="G282" s="31" t="inlineStr"/>
      <c r="H282" s="34" t="inlineStr"/>
      <c r="I282" s="30" t="inlineStr"/>
      <c r="J282" s="30" t="inlineStr"/>
      <c r="K282" s="15">
        <f>IF(OR(A282="",E282="",G282=0),"",E282/G282)</f>
        <v/>
      </c>
      <c r="L282" s="15">
        <f>IF(A282="","",MAX(0,E282-K282*MAX(0,GJ-YEAR(F282))))</f>
        <v/>
      </c>
    </row>
    <row r="283">
      <c r="A283" s="30" t="inlineStr"/>
      <c r="B283" s="30" t="inlineStr"/>
      <c r="C283" s="30" t="inlineStr"/>
      <c r="D283" s="30" t="inlineStr"/>
      <c r="E283" s="34" t="inlineStr"/>
      <c r="F283" s="38" t="inlineStr"/>
      <c r="G283" s="31" t="inlineStr"/>
      <c r="H283" s="34" t="inlineStr"/>
      <c r="I283" s="30" t="inlineStr"/>
      <c r="J283" s="30" t="inlineStr"/>
      <c r="K283" s="15">
        <f>IF(OR(A283="",E283="",G283=0),"",E283/G283)</f>
        <v/>
      </c>
      <c r="L283" s="15">
        <f>IF(A283="","",MAX(0,E283-K283*MAX(0,GJ-YEAR(F283))))</f>
        <v/>
      </c>
    </row>
    <row r="284">
      <c r="A284" s="30" t="inlineStr"/>
      <c r="B284" s="30" t="inlineStr"/>
      <c r="C284" s="30" t="inlineStr"/>
      <c r="D284" s="30" t="inlineStr"/>
      <c r="E284" s="34" t="inlineStr"/>
      <c r="F284" s="38" t="inlineStr"/>
      <c r="G284" s="31" t="inlineStr"/>
      <c r="H284" s="34" t="inlineStr"/>
      <c r="I284" s="30" t="inlineStr"/>
      <c r="J284" s="30" t="inlineStr"/>
      <c r="K284" s="15">
        <f>IF(OR(A284="",E284="",G284=0),"",E284/G284)</f>
        <v/>
      </c>
      <c r="L284" s="15">
        <f>IF(A284="","",MAX(0,E284-K284*MAX(0,GJ-YEAR(F284))))</f>
        <v/>
      </c>
    </row>
    <row r="285">
      <c r="A285" s="30" t="inlineStr"/>
      <c r="B285" s="30" t="inlineStr"/>
      <c r="C285" s="30" t="inlineStr"/>
      <c r="D285" s="30" t="inlineStr"/>
      <c r="E285" s="34" t="inlineStr"/>
      <c r="F285" s="38" t="inlineStr"/>
      <c r="G285" s="31" t="inlineStr"/>
      <c r="H285" s="34" t="inlineStr"/>
      <c r="I285" s="30" t="inlineStr"/>
      <c r="J285" s="30" t="inlineStr"/>
      <c r="K285" s="15">
        <f>IF(OR(A285="",E285="",G285=0),"",E285/G285)</f>
        <v/>
      </c>
      <c r="L285" s="15">
        <f>IF(A285="","",MAX(0,E285-K285*MAX(0,GJ-YEAR(F285))))</f>
        <v/>
      </c>
    </row>
    <row r="286">
      <c r="A286" s="30" t="inlineStr"/>
      <c r="B286" s="30" t="inlineStr"/>
      <c r="C286" s="30" t="inlineStr"/>
      <c r="D286" s="30" t="inlineStr"/>
      <c r="E286" s="34" t="inlineStr"/>
      <c r="F286" s="38" t="inlineStr"/>
      <c r="G286" s="31" t="inlineStr"/>
      <c r="H286" s="34" t="inlineStr"/>
      <c r="I286" s="30" t="inlineStr"/>
      <c r="J286" s="30" t="inlineStr"/>
      <c r="K286" s="15">
        <f>IF(OR(A286="",E286="",G286=0),"",E286/G286)</f>
        <v/>
      </c>
      <c r="L286" s="15">
        <f>IF(A286="","",MAX(0,E286-K286*MAX(0,GJ-YEAR(F286))))</f>
        <v/>
      </c>
    </row>
    <row r="287">
      <c r="A287" s="30" t="inlineStr"/>
      <c r="B287" s="30" t="inlineStr"/>
      <c r="C287" s="30" t="inlineStr"/>
      <c r="D287" s="30" t="inlineStr"/>
      <c r="E287" s="34" t="inlineStr"/>
      <c r="F287" s="38" t="inlineStr"/>
      <c r="G287" s="31" t="inlineStr"/>
      <c r="H287" s="34" t="inlineStr"/>
      <c r="I287" s="30" t="inlineStr"/>
      <c r="J287" s="30" t="inlineStr"/>
      <c r="K287" s="15">
        <f>IF(OR(A287="",E287="",G287=0),"",E287/G287)</f>
        <v/>
      </c>
      <c r="L287" s="15">
        <f>IF(A287="","",MAX(0,E287-K287*MAX(0,GJ-YEAR(F287))))</f>
        <v/>
      </c>
    </row>
    <row r="288">
      <c r="A288" s="30" t="inlineStr"/>
      <c r="B288" s="30" t="inlineStr"/>
      <c r="C288" s="30" t="inlineStr"/>
      <c r="D288" s="30" t="inlineStr"/>
      <c r="E288" s="34" t="inlineStr"/>
      <c r="F288" s="38" t="inlineStr"/>
      <c r="G288" s="31" t="inlineStr"/>
      <c r="H288" s="34" t="inlineStr"/>
      <c r="I288" s="30" t="inlineStr"/>
      <c r="J288" s="30" t="inlineStr"/>
      <c r="K288" s="15">
        <f>IF(OR(A288="",E288="",G288=0),"",E288/G288)</f>
        <v/>
      </c>
      <c r="L288" s="15">
        <f>IF(A288="","",MAX(0,E288-K288*MAX(0,GJ-YEAR(F288))))</f>
        <v/>
      </c>
    </row>
    <row r="289">
      <c r="A289" s="30" t="inlineStr"/>
      <c r="B289" s="30" t="inlineStr"/>
      <c r="C289" s="30" t="inlineStr"/>
      <c r="D289" s="30" t="inlineStr"/>
      <c r="E289" s="34" t="inlineStr"/>
      <c r="F289" s="38" t="inlineStr"/>
      <c r="G289" s="31" t="inlineStr"/>
      <c r="H289" s="34" t="inlineStr"/>
      <c r="I289" s="30" t="inlineStr"/>
      <c r="J289" s="30" t="inlineStr"/>
      <c r="K289" s="15">
        <f>IF(OR(A289="",E289="",G289=0),"",E289/G289)</f>
        <v/>
      </c>
      <c r="L289" s="15">
        <f>IF(A289="","",MAX(0,E289-K289*MAX(0,GJ-YEAR(F289))))</f>
        <v/>
      </c>
    </row>
    <row r="290">
      <c r="A290" s="30" t="inlineStr"/>
      <c r="B290" s="30" t="inlineStr"/>
      <c r="C290" s="30" t="inlineStr"/>
      <c r="D290" s="30" t="inlineStr"/>
      <c r="E290" s="34" t="inlineStr"/>
      <c r="F290" s="38" t="inlineStr"/>
      <c r="G290" s="31" t="inlineStr"/>
      <c r="H290" s="34" t="inlineStr"/>
      <c r="I290" s="30" t="inlineStr"/>
      <c r="J290" s="30" t="inlineStr"/>
      <c r="K290" s="15">
        <f>IF(OR(A290="",E290="",G290=0),"",E290/G290)</f>
        <v/>
      </c>
      <c r="L290" s="15">
        <f>IF(A290="","",MAX(0,E290-K290*MAX(0,GJ-YEAR(F290))))</f>
        <v/>
      </c>
    </row>
    <row r="291">
      <c r="A291" s="30" t="inlineStr"/>
      <c r="B291" s="30" t="inlineStr"/>
      <c r="C291" s="30" t="inlineStr"/>
      <c r="D291" s="30" t="inlineStr"/>
      <c r="E291" s="34" t="inlineStr"/>
      <c r="F291" s="38" t="inlineStr"/>
      <c r="G291" s="31" t="inlineStr"/>
      <c r="H291" s="34" t="inlineStr"/>
      <c r="I291" s="30" t="inlineStr"/>
      <c r="J291" s="30" t="inlineStr"/>
      <c r="K291" s="15">
        <f>IF(OR(A291="",E291="",G291=0),"",E291/G291)</f>
        <v/>
      </c>
      <c r="L291" s="15">
        <f>IF(A291="","",MAX(0,E291-K291*MAX(0,GJ-YEAR(F291))))</f>
        <v/>
      </c>
    </row>
    <row r="292">
      <c r="A292" s="30" t="inlineStr"/>
      <c r="B292" s="30" t="inlineStr"/>
      <c r="C292" s="30" t="inlineStr"/>
      <c r="D292" s="30" t="inlineStr"/>
      <c r="E292" s="34" t="inlineStr"/>
      <c r="F292" s="38" t="inlineStr"/>
      <c r="G292" s="31" t="inlineStr"/>
      <c r="H292" s="34" t="inlineStr"/>
      <c r="I292" s="30" t="inlineStr"/>
      <c r="J292" s="30" t="inlineStr"/>
      <c r="K292" s="15">
        <f>IF(OR(A292="",E292="",G292=0),"",E292/G292)</f>
        <v/>
      </c>
      <c r="L292" s="15">
        <f>IF(A292="","",MAX(0,E292-K292*MAX(0,GJ-YEAR(F292))))</f>
        <v/>
      </c>
    </row>
    <row r="293">
      <c r="A293" s="30" t="inlineStr"/>
      <c r="B293" s="30" t="inlineStr"/>
      <c r="C293" s="30" t="inlineStr"/>
      <c r="D293" s="30" t="inlineStr"/>
      <c r="E293" s="34" t="inlineStr"/>
      <c r="F293" s="38" t="inlineStr"/>
      <c r="G293" s="31" t="inlineStr"/>
      <c r="H293" s="34" t="inlineStr"/>
      <c r="I293" s="30" t="inlineStr"/>
      <c r="J293" s="30" t="inlineStr"/>
      <c r="K293" s="15">
        <f>IF(OR(A293="",E293="",G293=0),"",E293/G293)</f>
        <v/>
      </c>
      <c r="L293" s="15">
        <f>IF(A293="","",MAX(0,E293-K293*MAX(0,GJ-YEAR(F293))))</f>
        <v/>
      </c>
    </row>
    <row r="294">
      <c r="A294" s="30" t="inlineStr"/>
      <c r="B294" s="30" t="inlineStr"/>
      <c r="C294" s="30" t="inlineStr"/>
      <c r="D294" s="30" t="inlineStr"/>
      <c r="E294" s="34" t="inlineStr"/>
      <c r="F294" s="38" t="inlineStr"/>
      <c r="G294" s="31" t="inlineStr"/>
      <c r="H294" s="34" t="inlineStr"/>
      <c r="I294" s="30" t="inlineStr"/>
      <c r="J294" s="30" t="inlineStr"/>
      <c r="K294" s="15">
        <f>IF(OR(A294="",E294="",G294=0),"",E294/G294)</f>
        <v/>
      </c>
      <c r="L294" s="15">
        <f>IF(A294="","",MAX(0,E294-K294*MAX(0,GJ-YEAR(F294))))</f>
        <v/>
      </c>
    </row>
    <row r="295">
      <c r="A295" s="30" t="inlineStr"/>
      <c r="B295" s="30" t="inlineStr"/>
      <c r="C295" s="30" t="inlineStr"/>
      <c r="D295" s="30" t="inlineStr"/>
      <c r="E295" s="34" t="inlineStr"/>
      <c r="F295" s="38" t="inlineStr"/>
      <c r="G295" s="31" t="inlineStr"/>
      <c r="H295" s="34" t="inlineStr"/>
      <c r="I295" s="30" t="inlineStr"/>
      <c r="J295" s="30" t="inlineStr"/>
      <c r="K295" s="15">
        <f>IF(OR(A295="",E295="",G295=0),"",E295/G295)</f>
        <v/>
      </c>
      <c r="L295" s="15">
        <f>IF(A295="","",MAX(0,E295-K295*MAX(0,GJ-YEAR(F295))))</f>
        <v/>
      </c>
    </row>
    <row r="296">
      <c r="A296" s="30" t="inlineStr"/>
      <c r="B296" s="30" t="inlineStr"/>
      <c r="C296" s="30" t="inlineStr"/>
      <c r="D296" s="30" t="inlineStr"/>
      <c r="E296" s="34" t="inlineStr"/>
      <c r="F296" s="38" t="inlineStr"/>
      <c r="G296" s="31" t="inlineStr"/>
      <c r="H296" s="34" t="inlineStr"/>
      <c r="I296" s="30" t="inlineStr"/>
      <c r="J296" s="30" t="inlineStr"/>
      <c r="K296" s="15">
        <f>IF(OR(A296="",E296="",G296=0),"",E296/G296)</f>
        <v/>
      </c>
      <c r="L296" s="15">
        <f>IF(A296="","",MAX(0,E296-K296*MAX(0,GJ-YEAR(F296))))</f>
        <v/>
      </c>
    </row>
    <row r="297">
      <c r="A297" s="30" t="inlineStr"/>
      <c r="B297" s="30" t="inlineStr"/>
      <c r="C297" s="30" t="inlineStr"/>
      <c r="D297" s="30" t="inlineStr"/>
      <c r="E297" s="34" t="inlineStr"/>
      <c r="F297" s="38" t="inlineStr"/>
      <c r="G297" s="31" t="inlineStr"/>
      <c r="H297" s="34" t="inlineStr"/>
      <c r="I297" s="30" t="inlineStr"/>
      <c r="J297" s="30" t="inlineStr"/>
      <c r="K297" s="15">
        <f>IF(OR(A297="",E297="",G297=0),"",E297/G297)</f>
        <v/>
      </c>
      <c r="L297" s="15">
        <f>IF(A297="","",MAX(0,E297-K297*MAX(0,GJ-YEAR(F297))))</f>
        <v/>
      </c>
    </row>
    <row r="298">
      <c r="A298" s="30" t="inlineStr"/>
      <c r="B298" s="30" t="inlineStr"/>
      <c r="C298" s="30" t="inlineStr"/>
      <c r="D298" s="30" t="inlineStr"/>
      <c r="E298" s="34" t="inlineStr"/>
      <c r="F298" s="38" t="inlineStr"/>
      <c r="G298" s="31" t="inlineStr"/>
      <c r="H298" s="34" t="inlineStr"/>
      <c r="I298" s="30" t="inlineStr"/>
      <c r="J298" s="30" t="inlineStr"/>
      <c r="K298" s="15">
        <f>IF(OR(A298="",E298="",G298=0),"",E298/G298)</f>
        <v/>
      </c>
      <c r="L298" s="15">
        <f>IF(A298="","",MAX(0,E298-K298*MAX(0,GJ-YEAR(F298))))</f>
        <v/>
      </c>
    </row>
    <row r="299">
      <c r="A299" s="30" t="inlineStr"/>
      <c r="B299" s="30" t="inlineStr"/>
      <c r="C299" s="30" t="inlineStr"/>
      <c r="D299" s="30" t="inlineStr"/>
      <c r="E299" s="34" t="inlineStr"/>
      <c r="F299" s="38" t="inlineStr"/>
      <c r="G299" s="31" t="inlineStr"/>
      <c r="H299" s="34" t="inlineStr"/>
      <c r="I299" s="30" t="inlineStr"/>
      <c r="J299" s="30" t="inlineStr"/>
      <c r="K299" s="15">
        <f>IF(OR(A299="",E299="",G299=0),"",E299/G299)</f>
        <v/>
      </c>
      <c r="L299" s="15">
        <f>IF(A299="","",MAX(0,E299-K299*MAX(0,GJ-YEAR(F299))))</f>
        <v/>
      </c>
    </row>
    <row r="300">
      <c r="A300" s="30" t="inlineStr"/>
      <c r="B300" s="30" t="inlineStr"/>
      <c r="C300" s="30" t="inlineStr"/>
      <c r="D300" s="30" t="inlineStr"/>
      <c r="E300" s="34" t="inlineStr"/>
      <c r="F300" s="38" t="inlineStr"/>
      <c r="G300" s="31" t="inlineStr"/>
      <c r="H300" s="34" t="inlineStr"/>
      <c r="I300" s="30" t="inlineStr"/>
      <c r="J300" s="30" t="inlineStr"/>
      <c r="K300" s="15">
        <f>IF(OR(A300="",E300="",G300=0),"",E300/G300)</f>
        <v/>
      </c>
      <c r="L300" s="15">
        <f>IF(A300="","",MAX(0,E300-K300*MAX(0,GJ-YEAR(F300))))</f>
        <v/>
      </c>
    </row>
    <row r="301">
      <c r="A301" s="30" t="inlineStr"/>
      <c r="B301" s="30" t="inlineStr"/>
      <c r="C301" s="30" t="inlineStr"/>
      <c r="D301" s="30" t="inlineStr"/>
      <c r="E301" s="34" t="inlineStr"/>
      <c r="F301" s="38" t="inlineStr"/>
      <c r="G301" s="31" t="inlineStr"/>
      <c r="H301" s="34" t="inlineStr"/>
      <c r="I301" s="30" t="inlineStr"/>
      <c r="J301" s="30" t="inlineStr"/>
      <c r="K301" s="15">
        <f>IF(OR(A301="",E301="",G301=0),"",E301/G301)</f>
        <v/>
      </c>
      <c r="L301" s="15">
        <f>IF(A301="","",MAX(0,E301-K301*MAX(0,GJ-YEAR(F301))))</f>
        <v/>
      </c>
    </row>
    <row r="302">
      <c r="A302" s="30" t="inlineStr"/>
      <c r="B302" s="30" t="inlineStr"/>
      <c r="C302" s="30" t="inlineStr"/>
      <c r="D302" s="30" t="inlineStr"/>
      <c r="E302" s="34" t="inlineStr"/>
      <c r="F302" s="38" t="inlineStr"/>
      <c r="G302" s="31" t="inlineStr"/>
      <c r="H302" s="34" t="inlineStr"/>
      <c r="I302" s="30" t="inlineStr"/>
      <c r="J302" s="30" t="inlineStr"/>
      <c r="K302" s="15">
        <f>IF(OR(A302="",E302="",G302=0),"",E302/G302)</f>
        <v/>
      </c>
      <c r="L302" s="15">
        <f>IF(A302="","",MAX(0,E302-K302*MAX(0,GJ-YEAR(F302))))</f>
        <v/>
      </c>
    </row>
    <row r="303">
      <c r="A303" s="30" t="inlineStr"/>
      <c r="B303" s="30" t="inlineStr"/>
      <c r="C303" s="30" t="inlineStr"/>
      <c r="D303" s="30" t="inlineStr"/>
      <c r="E303" s="34" t="inlineStr"/>
      <c r="F303" s="38" t="inlineStr"/>
      <c r="G303" s="31" t="inlineStr"/>
      <c r="H303" s="34" t="inlineStr"/>
      <c r="I303" s="30" t="inlineStr"/>
      <c r="J303" s="30" t="inlineStr"/>
      <c r="K303" s="15">
        <f>IF(OR(A303="",E303="",G303=0),"",E303/G303)</f>
        <v/>
      </c>
      <c r="L303" s="15">
        <f>IF(A303="","",MAX(0,E303-K303*MAX(0,GJ-YEAR(F303))))</f>
        <v/>
      </c>
    </row>
    <row r="304">
      <c r="A304" s="30" t="inlineStr"/>
      <c r="B304" s="30" t="inlineStr"/>
      <c r="C304" s="30" t="inlineStr"/>
      <c r="D304" s="30" t="inlineStr"/>
      <c r="E304" s="34" t="inlineStr"/>
      <c r="F304" s="38" t="inlineStr"/>
      <c r="G304" s="31" t="inlineStr"/>
      <c r="H304" s="34" t="inlineStr"/>
      <c r="I304" s="30" t="inlineStr"/>
      <c r="J304" s="30" t="inlineStr"/>
      <c r="K304" s="15">
        <f>IF(OR(A304="",E304="",G304=0),"",E304/G304)</f>
        <v/>
      </c>
      <c r="L304" s="15">
        <f>IF(A304="","",MAX(0,E304-K304*MAX(0,GJ-YEAR(F304))))</f>
        <v/>
      </c>
    </row>
    <row r="305">
      <c r="A305" s="30" t="inlineStr"/>
      <c r="B305" s="30" t="inlineStr"/>
      <c r="C305" s="30" t="inlineStr"/>
      <c r="D305" s="30" t="inlineStr"/>
      <c r="E305" s="34" t="inlineStr"/>
      <c r="F305" s="38" t="inlineStr"/>
      <c r="G305" s="31" t="inlineStr"/>
      <c r="H305" s="34" t="inlineStr"/>
      <c r="I305" s="30" t="inlineStr"/>
      <c r="J305" s="30" t="inlineStr"/>
      <c r="K305" s="15">
        <f>IF(OR(A305="",E305="",G305=0),"",E305/G305)</f>
        <v/>
      </c>
      <c r="L305" s="15">
        <f>IF(A305="","",MAX(0,E305-K305*MAX(0,GJ-YEAR(F305))))</f>
        <v/>
      </c>
    </row>
    <row r="306">
      <c r="A306" s="30" t="inlineStr"/>
      <c r="B306" s="30" t="inlineStr"/>
      <c r="C306" s="30" t="inlineStr"/>
      <c r="D306" s="30" t="inlineStr"/>
      <c r="E306" s="34" t="inlineStr"/>
      <c r="F306" s="38" t="inlineStr"/>
      <c r="G306" s="31" t="inlineStr"/>
      <c r="H306" s="34" t="inlineStr"/>
      <c r="I306" s="30" t="inlineStr"/>
      <c r="J306" s="30" t="inlineStr"/>
      <c r="K306" s="15">
        <f>IF(OR(A306="",E306="",G306=0),"",E306/G306)</f>
        <v/>
      </c>
      <c r="L306" s="15">
        <f>IF(A306="","",MAX(0,E306-K306*MAX(0,GJ-YEAR(F306))))</f>
        <v/>
      </c>
    </row>
    <row r="307">
      <c r="A307" s="30" t="inlineStr"/>
      <c r="B307" s="30" t="inlineStr"/>
      <c r="C307" s="30" t="inlineStr"/>
      <c r="D307" s="30" t="inlineStr"/>
      <c r="E307" s="34" t="inlineStr"/>
      <c r="F307" s="38" t="inlineStr"/>
      <c r="G307" s="31" t="inlineStr"/>
      <c r="H307" s="34" t="inlineStr"/>
      <c r="I307" s="30" t="inlineStr"/>
      <c r="J307" s="30" t="inlineStr"/>
      <c r="K307" s="15">
        <f>IF(OR(A307="",E307="",G307=0),"",E307/G307)</f>
        <v/>
      </c>
      <c r="L307" s="15">
        <f>IF(A307="","",MAX(0,E307-K307*MAX(0,GJ-YEAR(F307))))</f>
        <v/>
      </c>
    </row>
    <row r="308">
      <c r="A308" s="30" t="inlineStr"/>
      <c r="B308" s="30" t="inlineStr"/>
      <c r="C308" s="30" t="inlineStr"/>
      <c r="D308" s="30" t="inlineStr"/>
      <c r="E308" s="34" t="inlineStr"/>
      <c r="F308" s="38" t="inlineStr"/>
      <c r="G308" s="31" t="inlineStr"/>
      <c r="H308" s="34" t="inlineStr"/>
      <c r="I308" s="30" t="inlineStr"/>
      <c r="J308" s="30" t="inlineStr"/>
      <c r="K308" s="15">
        <f>IF(OR(A308="",E308="",G308=0),"",E308/G308)</f>
        <v/>
      </c>
      <c r="L308" s="15">
        <f>IF(A308="","",MAX(0,E308-K308*MAX(0,GJ-YEAR(F308))))</f>
        <v/>
      </c>
    </row>
    <row r="309">
      <c r="A309" s="30" t="inlineStr"/>
      <c r="B309" s="30" t="inlineStr"/>
      <c r="C309" s="30" t="inlineStr"/>
      <c r="D309" s="30" t="inlineStr"/>
      <c r="E309" s="34" t="inlineStr"/>
      <c r="F309" s="38" t="inlineStr"/>
      <c r="G309" s="31" t="inlineStr"/>
      <c r="H309" s="34" t="inlineStr"/>
      <c r="I309" s="30" t="inlineStr"/>
      <c r="J309" s="30" t="inlineStr"/>
      <c r="K309" s="15">
        <f>IF(OR(A309="",E309="",G309=0),"",E309/G309)</f>
        <v/>
      </c>
      <c r="L309" s="15">
        <f>IF(A309="","",MAX(0,E309-K309*MAX(0,GJ-YEAR(F309))))</f>
        <v/>
      </c>
    </row>
    <row r="310">
      <c r="A310" s="30" t="inlineStr"/>
      <c r="B310" s="30" t="inlineStr"/>
      <c r="C310" s="30" t="inlineStr"/>
      <c r="D310" s="30" t="inlineStr"/>
      <c r="E310" s="34" t="inlineStr"/>
      <c r="F310" s="38" t="inlineStr"/>
      <c r="G310" s="31" t="inlineStr"/>
      <c r="H310" s="34" t="inlineStr"/>
      <c r="I310" s="30" t="inlineStr"/>
      <c r="J310" s="30" t="inlineStr"/>
      <c r="K310" s="15">
        <f>IF(OR(A310="",E310="",G310=0),"",E310/G310)</f>
        <v/>
      </c>
      <c r="L310" s="15">
        <f>IF(A310="","",MAX(0,E310-K310*MAX(0,GJ-YEAR(F310))))</f>
        <v/>
      </c>
    </row>
    <row r="311">
      <c r="A311" s="30" t="inlineStr"/>
      <c r="B311" s="30" t="inlineStr"/>
      <c r="C311" s="30" t="inlineStr"/>
      <c r="D311" s="30" t="inlineStr"/>
      <c r="E311" s="34" t="inlineStr"/>
      <c r="F311" s="38" t="inlineStr"/>
      <c r="G311" s="31" t="inlineStr"/>
      <c r="H311" s="34" t="inlineStr"/>
      <c r="I311" s="30" t="inlineStr"/>
      <c r="J311" s="30" t="inlineStr"/>
      <c r="K311" s="15">
        <f>IF(OR(A311="",E311="",G311=0),"",E311/G311)</f>
        <v/>
      </c>
      <c r="L311" s="15">
        <f>IF(A311="","",MAX(0,E311-K311*MAX(0,GJ-YEAR(F311))))</f>
        <v/>
      </c>
    </row>
    <row r="312">
      <c r="A312" s="30" t="inlineStr"/>
      <c r="B312" s="30" t="inlineStr"/>
      <c r="C312" s="30" t="inlineStr"/>
      <c r="D312" s="30" t="inlineStr"/>
      <c r="E312" s="34" t="inlineStr"/>
      <c r="F312" s="38" t="inlineStr"/>
      <c r="G312" s="31" t="inlineStr"/>
      <c r="H312" s="34" t="inlineStr"/>
      <c r="I312" s="30" t="inlineStr"/>
      <c r="J312" s="30" t="inlineStr"/>
      <c r="K312" s="15">
        <f>IF(OR(A312="",E312="",G312=0),"",E312/G312)</f>
        <v/>
      </c>
      <c r="L312" s="15">
        <f>IF(A312="","",MAX(0,E312-K312*MAX(0,GJ-YEAR(F312))))</f>
        <v/>
      </c>
    </row>
    <row r="313">
      <c r="A313" s="30" t="inlineStr"/>
      <c r="B313" s="30" t="inlineStr"/>
      <c r="C313" s="30" t="inlineStr"/>
      <c r="D313" s="30" t="inlineStr"/>
      <c r="E313" s="34" t="inlineStr"/>
      <c r="F313" s="38" t="inlineStr"/>
      <c r="G313" s="31" t="inlineStr"/>
      <c r="H313" s="34" t="inlineStr"/>
      <c r="I313" s="30" t="inlineStr"/>
      <c r="J313" s="30" t="inlineStr"/>
      <c r="K313" s="15">
        <f>IF(OR(A313="",E313="",G313=0),"",E313/G313)</f>
        <v/>
      </c>
      <c r="L313" s="15">
        <f>IF(A313="","",MAX(0,E313-K313*MAX(0,GJ-YEAR(F313))))</f>
        <v/>
      </c>
    </row>
    <row r="314">
      <c r="A314" s="30" t="inlineStr"/>
      <c r="B314" s="30" t="inlineStr"/>
      <c r="C314" s="30" t="inlineStr"/>
      <c r="D314" s="30" t="inlineStr"/>
      <c r="E314" s="34" t="inlineStr"/>
      <c r="F314" s="38" t="inlineStr"/>
      <c r="G314" s="31" t="inlineStr"/>
      <c r="H314" s="34" t="inlineStr"/>
      <c r="I314" s="30" t="inlineStr"/>
      <c r="J314" s="30" t="inlineStr"/>
      <c r="K314" s="15">
        <f>IF(OR(A314="",E314="",G314=0),"",E314/G314)</f>
        <v/>
      </c>
      <c r="L314" s="15">
        <f>IF(A314="","",MAX(0,E314-K314*MAX(0,GJ-YEAR(F314))))</f>
        <v/>
      </c>
    </row>
    <row r="315">
      <c r="A315" s="30" t="inlineStr"/>
      <c r="B315" s="30" t="inlineStr"/>
      <c r="C315" s="30" t="inlineStr"/>
      <c r="D315" s="30" t="inlineStr"/>
      <c r="E315" s="34" t="inlineStr"/>
      <c r="F315" s="38" t="inlineStr"/>
      <c r="G315" s="31" t="inlineStr"/>
      <c r="H315" s="34" t="inlineStr"/>
      <c r="I315" s="30" t="inlineStr"/>
      <c r="J315" s="30" t="inlineStr"/>
      <c r="K315" s="15">
        <f>IF(OR(A315="",E315="",G315=0),"",E315/G315)</f>
        <v/>
      </c>
      <c r="L315" s="15">
        <f>IF(A315="","",MAX(0,E315-K315*MAX(0,GJ-YEAR(F315))))</f>
        <v/>
      </c>
    </row>
    <row r="316">
      <c r="A316" s="30" t="inlineStr"/>
      <c r="B316" s="30" t="inlineStr"/>
      <c r="C316" s="30" t="inlineStr"/>
      <c r="D316" s="30" t="inlineStr"/>
      <c r="E316" s="34" t="inlineStr"/>
      <c r="F316" s="38" t="inlineStr"/>
      <c r="G316" s="31" t="inlineStr"/>
      <c r="H316" s="34" t="inlineStr"/>
      <c r="I316" s="30" t="inlineStr"/>
      <c r="J316" s="30" t="inlineStr"/>
      <c r="K316" s="15">
        <f>IF(OR(A316="",E316="",G316=0),"",E316/G316)</f>
        <v/>
      </c>
      <c r="L316" s="15">
        <f>IF(A316="","",MAX(0,E316-K316*MAX(0,GJ-YEAR(F316))))</f>
        <v/>
      </c>
    </row>
    <row r="317">
      <c r="A317" s="30" t="inlineStr"/>
      <c r="B317" s="30" t="inlineStr"/>
      <c r="C317" s="30" t="inlineStr"/>
      <c r="D317" s="30" t="inlineStr"/>
      <c r="E317" s="34" t="inlineStr"/>
      <c r="F317" s="38" t="inlineStr"/>
      <c r="G317" s="31" t="inlineStr"/>
      <c r="H317" s="34" t="inlineStr"/>
      <c r="I317" s="30" t="inlineStr"/>
      <c r="J317" s="30" t="inlineStr"/>
      <c r="K317" s="15">
        <f>IF(OR(A317="",E317="",G317=0),"",E317/G317)</f>
        <v/>
      </c>
      <c r="L317" s="15">
        <f>IF(A317="","",MAX(0,E317-K317*MAX(0,GJ-YEAR(F317))))</f>
        <v/>
      </c>
    </row>
    <row r="318">
      <c r="A318" s="30" t="inlineStr"/>
      <c r="B318" s="30" t="inlineStr"/>
      <c r="C318" s="30" t="inlineStr"/>
      <c r="D318" s="30" t="inlineStr"/>
      <c r="E318" s="34" t="inlineStr"/>
      <c r="F318" s="38" t="inlineStr"/>
      <c r="G318" s="31" t="inlineStr"/>
      <c r="H318" s="34" t="inlineStr"/>
      <c r="I318" s="30" t="inlineStr"/>
      <c r="J318" s="30" t="inlineStr"/>
      <c r="K318" s="15">
        <f>IF(OR(A318="",E318="",G318=0),"",E318/G318)</f>
        <v/>
      </c>
      <c r="L318" s="15">
        <f>IF(A318="","",MAX(0,E318-K318*MAX(0,GJ-YEAR(F318))))</f>
        <v/>
      </c>
    </row>
    <row r="319">
      <c r="A319" s="30" t="inlineStr"/>
      <c r="B319" s="30" t="inlineStr"/>
      <c r="C319" s="30" t="inlineStr"/>
      <c r="D319" s="30" t="inlineStr"/>
      <c r="E319" s="34" t="inlineStr"/>
      <c r="F319" s="38" t="inlineStr"/>
      <c r="G319" s="31" t="inlineStr"/>
      <c r="H319" s="34" t="inlineStr"/>
      <c r="I319" s="30" t="inlineStr"/>
      <c r="J319" s="30" t="inlineStr"/>
      <c r="K319" s="15">
        <f>IF(OR(A319="",E319="",G319=0),"",E319/G319)</f>
        <v/>
      </c>
      <c r="L319" s="15">
        <f>IF(A319="","",MAX(0,E319-K319*MAX(0,GJ-YEAR(F319))))</f>
        <v/>
      </c>
    </row>
    <row r="320">
      <c r="A320" s="30" t="inlineStr"/>
      <c r="B320" s="30" t="inlineStr"/>
      <c r="C320" s="30" t="inlineStr"/>
      <c r="D320" s="30" t="inlineStr"/>
      <c r="E320" s="34" t="inlineStr"/>
      <c r="F320" s="38" t="inlineStr"/>
      <c r="G320" s="31" t="inlineStr"/>
      <c r="H320" s="34" t="inlineStr"/>
      <c r="I320" s="30" t="inlineStr"/>
      <c r="J320" s="30" t="inlineStr"/>
      <c r="K320" s="15">
        <f>IF(OR(A320="",E320="",G320=0),"",E320/G320)</f>
        <v/>
      </c>
      <c r="L320" s="15">
        <f>IF(A320="","",MAX(0,E320-K320*MAX(0,GJ-YEAR(F320))))</f>
        <v/>
      </c>
    </row>
    <row r="321">
      <c r="A321" s="30" t="inlineStr"/>
      <c r="B321" s="30" t="inlineStr"/>
      <c r="C321" s="30" t="inlineStr"/>
      <c r="D321" s="30" t="inlineStr"/>
      <c r="E321" s="34" t="inlineStr"/>
      <c r="F321" s="38" t="inlineStr"/>
      <c r="G321" s="31" t="inlineStr"/>
      <c r="H321" s="34" t="inlineStr"/>
      <c r="I321" s="30" t="inlineStr"/>
      <c r="J321" s="30" t="inlineStr"/>
      <c r="K321" s="15">
        <f>IF(OR(A321="",E321="",G321=0),"",E321/G321)</f>
        <v/>
      </c>
      <c r="L321" s="15">
        <f>IF(A321="","",MAX(0,E321-K321*MAX(0,GJ-YEAR(F321))))</f>
        <v/>
      </c>
    </row>
    <row r="322">
      <c r="A322" s="30" t="inlineStr"/>
      <c r="B322" s="30" t="inlineStr"/>
      <c r="C322" s="30" t="inlineStr"/>
      <c r="D322" s="30" t="inlineStr"/>
      <c r="E322" s="34" t="inlineStr"/>
      <c r="F322" s="38" t="inlineStr"/>
      <c r="G322" s="31" t="inlineStr"/>
      <c r="H322" s="34" t="inlineStr"/>
      <c r="I322" s="30" t="inlineStr"/>
      <c r="J322" s="30" t="inlineStr"/>
      <c r="K322" s="15">
        <f>IF(OR(A322="",E322="",G322=0),"",E322/G322)</f>
        <v/>
      </c>
      <c r="L322" s="15">
        <f>IF(A322="","",MAX(0,E322-K322*MAX(0,GJ-YEAR(F322))))</f>
        <v/>
      </c>
    </row>
    <row r="323">
      <c r="A323" s="30" t="inlineStr"/>
      <c r="B323" s="30" t="inlineStr"/>
      <c r="C323" s="30" t="inlineStr"/>
      <c r="D323" s="30" t="inlineStr"/>
      <c r="E323" s="34" t="inlineStr"/>
      <c r="F323" s="38" t="inlineStr"/>
      <c r="G323" s="31" t="inlineStr"/>
      <c r="H323" s="34" t="inlineStr"/>
      <c r="I323" s="30" t="inlineStr"/>
      <c r="J323" s="30" t="inlineStr"/>
      <c r="K323" s="15">
        <f>IF(OR(A323="",E323="",G323=0),"",E323/G323)</f>
        <v/>
      </c>
      <c r="L323" s="15">
        <f>IF(A323="","",MAX(0,E323-K323*MAX(0,GJ-YEAR(F323))))</f>
        <v/>
      </c>
    </row>
    <row r="324">
      <c r="A324" s="30" t="inlineStr"/>
      <c r="B324" s="30" t="inlineStr"/>
      <c r="C324" s="30" t="inlineStr"/>
      <c r="D324" s="30" t="inlineStr"/>
      <c r="E324" s="34" t="inlineStr"/>
      <c r="F324" s="38" t="inlineStr"/>
      <c r="G324" s="31" t="inlineStr"/>
      <c r="H324" s="34" t="inlineStr"/>
      <c r="I324" s="30" t="inlineStr"/>
      <c r="J324" s="30" t="inlineStr"/>
      <c r="K324" s="15">
        <f>IF(OR(A324="",E324="",G324=0),"",E324/G324)</f>
        <v/>
      </c>
      <c r="L324" s="15">
        <f>IF(A324="","",MAX(0,E324-K324*MAX(0,GJ-YEAR(F324))))</f>
        <v/>
      </c>
    </row>
    <row r="325">
      <c r="A325" s="30" t="inlineStr"/>
      <c r="B325" s="30" t="inlineStr"/>
      <c r="C325" s="30" t="inlineStr"/>
      <c r="D325" s="30" t="inlineStr"/>
      <c r="E325" s="34" t="inlineStr"/>
      <c r="F325" s="38" t="inlineStr"/>
      <c r="G325" s="31" t="inlineStr"/>
      <c r="H325" s="34" t="inlineStr"/>
      <c r="I325" s="30" t="inlineStr"/>
      <c r="J325" s="30" t="inlineStr"/>
      <c r="K325" s="15">
        <f>IF(OR(A325="",E325="",G325=0),"",E325/G325)</f>
        <v/>
      </c>
      <c r="L325" s="15">
        <f>IF(A325="","",MAX(0,E325-K325*MAX(0,GJ-YEAR(F325))))</f>
        <v/>
      </c>
    </row>
    <row r="326">
      <c r="A326" s="30" t="inlineStr"/>
      <c r="B326" s="30" t="inlineStr"/>
      <c r="C326" s="30" t="inlineStr"/>
      <c r="D326" s="30" t="inlineStr"/>
      <c r="E326" s="34" t="inlineStr"/>
      <c r="F326" s="38" t="inlineStr"/>
      <c r="G326" s="31" t="inlineStr"/>
      <c r="H326" s="34" t="inlineStr"/>
      <c r="I326" s="30" t="inlineStr"/>
      <c r="J326" s="30" t="inlineStr"/>
      <c r="K326" s="15">
        <f>IF(OR(A326="",E326="",G326=0),"",E326/G326)</f>
        <v/>
      </c>
      <c r="L326" s="15">
        <f>IF(A326="","",MAX(0,E326-K326*MAX(0,GJ-YEAR(F326))))</f>
        <v/>
      </c>
    </row>
    <row r="327">
      <c r="A327" s="30" t="inlineStr"/>
      <c r="B327" s="30" t="inlineStr"/>
      <c r="C327" s="30" t="inlineStr"/>
      <c r="D327" s="30" t="inlineStr"/>
      <c r="E327" s="34" t="inlineStr"/>
      <c r="F327" s="38" t="inlineStr"/>
      <c r="G327" s="31" t="inlineStr"/>
      <c r="H327" s="34" t="inlineStr"/>
      <c r="I327" s="30" t="inlineStr"/>
      <c r="J327" s="30" t="inlineStr"/>
      <c r="K327" s="15">
        <f>IF(OR(A327="",E327="",G327=0),"",E327/G327)</f>
        <v/>
      </c>
      <c r="L327" s="15">
        <f>IF(A327="","",MAX(0,E327-K327*MAX(0,GJ-YEAR(F327))))</f>
        <v/>
      </c>
    </row>
    <row r="328">
      <c r="A328" s="30" t="inlineStr"/>
      <c r="B328" s="30" t="inlineStr"/>
      <c r="C328" s="30" t="inlineStr"/>
      <c r="D328" s="30" t="inlineStr"/>
      <c r="E328" s="34" t="inlineStr"/>
      <c r="F328" s="38" t="inlineStr"/>
      <c r="G328" s="31" t="inlineStr"/>
      <c r="H328" s="34" t="inlineStr"/>
      <c r="I328" s="30" t="inlineStr"/>
      <c r="J328" s="30" t="inlineStr"/>
      <c r="K328" s="15">
        <f>IF(OR(A328="",E328="",G328=0),"",E328/G328)</f>
        <v/>
      </c>
      <c r="L328" s="15">
        <f>IF(A328="","",MAX(0,E328-K328*MAX(0,GJ-YEAR(F328))))</f>
        <v/>
      </c>
    </row>
    <row r="329">
      <c r="A329" s="30" t="inlineStr"/>
      <c r="B329" s="30" t="inlineStr"/>
      <c r="C329" s="30" t="inlineStr"/>
      <c r="D329" s="30" t="inlineStr"/>
      <c r="E329" s="34" t="inlineStr"/>
      <c r="F329" s="38" t="inlineStr"/>
      <c r="G329" s="31" t="inlineStr"/>
      <c r="H329" s="34" t="inlineStr"/>
      <c r="I329" s="30" t="inlineStr"/>
      <c r="J329" s="30" t="inlineStr"/>
      <c r="K329" s="15">
        <f>IF(OR(A329="",E329="",G329=0),"",E329/G329)</f>
        <v/>
      </c>
      <c r="L329" s="15">
        <f>IF(A329="","",MAX(0,E329-K329*MAX(0,GJ-YEAR(F329))))</f>
        <v/>
      </c>
    </row>
    <row r="330">
      <c r="A330" s="30" t="inlineStr"/>
      <c r="B330" s="30" t="inlineStr"/>
      <c r="C330" s="30" t="inlineStr"/>
      <c r="D330" s="30" t="inlineStr"/>
      <c r="E330" s="34" t="inlineStr"/>
      <c r="F330" s="38" t="inlineStr"/>
      <c r="G330" s="31" t="inlineStr"/>
      <c r="H330" s="34" t="inlineStr"/>
      <c r="I330" s="30" t="inlineStr"/>
      <c r="J330" s="30" t="inlineStr"/>
      <c r="K330" s="15">
        <f>IF(OR(A330="",E330="",G330=0),"",E330/G330)</f>
        <v/>
      </c>
      <c r="L330" s="15">
        <f>IF(A330="","",MAX(0,E330-K330*MAX(0,GJ-YEAR(F330))))</f>
        <v/>
      </c>
    </row>
    <row r="331">
      <c r="A331" s="30" t="inlineStr"/>
      <c r="B331" s="30" t="inlineStr"/>
      <c r="C331" s="30" t="inlineStr"/>
      <c r="D331" s="30" t="inlineStr"/>
      <c r="E331" s="34" t="inlineStr"/>
      <c r="F331" s="38" t="inlineStr"/>
      <c r="G331" s="31" t="inlineStr"/>
      <c r="H331" s="34" t="inlineStr"/>
      <c r="I331" s="30" t="inlineStr"/>
      <c r="J331" s="30" t="inlineStr"/>
      <c r="K331" s="15">
        <f>IF(OR(A331="",E331="",G331=0),"",E331/G331)</f>
        <v/>
      </c>
      <c r="L331" s="15">
        <f>IF(A331="","",MAX(0,E331-K331*MAX(0,GJ-YEAR(F331))))</f>
        <v/>
      </c>
    </row>
    <row r="332">
      <c r="A332" s="30" t="inlineStr"/>
      <c r="B332" s="30" t="inlineStr"/>
      <c r="C332" s="30" t="inlineStr"/>
      <c r="D332" s="30" t="inlineStr"/>
      <c r="E332" s="34" t="inlineStr"/>
      <c r="F332" s="38" t="inlineStr"/>
      <c r="G332" s="31" t="inlineStr"/>
      <c r="H332" s="34" t="inlineStr"/>
      <c r="I332" s="30" t="inlineStr"/>
      <c r="J332" s="30" t="inlineStr"/>
      <c r="K332" s="15">
        <f>IF(OR(A332="",E332="",G332=0),"",E332/G332)</f>
        <v/>
      </c>
      <c r="L332" s="15">
        <f>IF(A332="","",MAX(0,E332-K332*MAX(0,GJ-YEAR(F332))))</f>
        <v/>
      </c>
    </row>
    <row r="333">
      <c r="A333" s="30" t="inlineStr"/>
      <c r="B333" s="30" t="inlineStr"/>
      <c r="C333" s="30" t="inlineStr"/>
      <c r="D333" s="30" t="inlineStr"/>
      <c r="E333" s="34" t="inlineStr"/>
      <c r="F333" s="38" t="inlineStr"/>
      <c r="G333" s="31" t="inlineStr"/>
      <c r="H333" s="34" t="inlineStr"/>
      <c r="I333" s="30" t="inlineStr"/>
      <c r="J333" s="30" t="inlineStr"/>
      <c r="K333" s="15">
        <f>IF(OR(A333="",E333="",G333=0),"",E333/G333)</f>
        <v/>
      </c>
      <c r="L333" s="15">
        <f>IF(A333="","",MAX(0,E333-K333*MAX(0,GJ-YEAR(F333))))</f>
        <v/>
      </c>
    </row>
    <row r="334">
      <c r="A334" s="30" t="inlineStr"/>
      <c r="B334" s="30" t="inlineStr"/>
      <c r="C334" s="30" t="inlineStr"/>
      <c r="D334" s="30" t="inlineStr"/>
      <c r="E334" s="34" t="inlineStr"/>
      <c r="F334" s="38" t="inlineStr"/>
      <c r="G334" s="31" t="inlineStr"/>
      <c r="H334" s="34" t="inlineStr"/>
      <c r="I334" s="30" t="inlineStr"/>
      <c r="J334" s="30" t="inlineStr"/>
      <c r="K334" s="15">
        <f>IF(OR(A334="",E334="",G334=0),"",E334/G334)</f>
        <v/>
      </c>
      <c r="L334" s="15">
        <f>IF(A334="","",MAX(0,E334-K334*MAX(0,GJ-YEAR(F334))))</f>
        <v/>
      </c>
    </row>
    <row r="335">
      <c r="A335" s="30" t="inlineStr"/>
      <c r="B335" s="30" t="inlineStr"/>
      <c r="C335" s="30" t="inlineStr"/>
      <c r="D335" s="30" t="inlineStr"/>
      <c r="E335" s="34" t="inlineStr"/>
      <c r="F335" s="38" t="inlineStr"/>
      <c r="G335" s="31" t="inlineStr"/>
      <c r="H335" s="34" t="inlineStr"/>
      <c r="I335" s="30" t="inlineStr"/>
      <c r="J335" s="30" t="inlineStr"/>
      <c r="K335" s="15">
        <f>IF(OR(A335="",E335="",G335=0),"",E335/G335)</f>
        <v/>
      </c>
      <c r="L335" s="15">
        <f>IF(A335="","",MAX(0,E335-K335*MAX(0,GJ-YEAR(F335))))</f>
        <v/>
      </c>
    </row>
    <row r="336">
      <c r="A336" s="30" t="inlineStr"/>
      <c r="B336" s="30" t="inlineStr"/>
      <c r="C336" s="30" t="inlineStr"/>
      <c r="D336" s="30" t="inlineStr"/>
      <c r="E336" s="34" t="inlineStr"/>
      <c r="F336" s="38" t="inlineStr"/>
      <c r="G336" s="31" t="inlineStr"/>
      <c r="H336" s="34" t="inlineStr"/>
      <c r="I336" s="30" t="inlineStr"/>
      <c r="J336" s="30" t="inlineStr"/>
      <c r="K336" s="15">
        <f>IF(OR(A336="",E336="",G336=0),"",E336/G336)</f>
        <v/>
      </c>
      <c r="L336" s="15">
        <f>IF(A336="","",MAX(0,E336-K336*MAX(0,GJ-YEAR(F336))))</f>
        <v/>
      </c>
    </row>
    <row r="337">
      <c r="A337" s="30" t="inlineStr"/>
      <c r="B337" s="30" t="inlineStr"/>
      <c r="C337" s="30" t="inlineStr"/>
      <c r="D337" s="30" t="inlineStr"/>
      <c r="E337" s="34" t="inlineStr"/>
      <c r="F337" s="38" t="inlineStr"/>
      <c r="G337" s="31" t="inlineStr"/>
      <c r="H337" s="34" t="inlineStr"/>
      <c r="I337" s="30" t="inlineStr"/>
      <c r="J337" s="30" t="inlineStr"/>
      <c r="K337" s="15">
        <f>IF(OR(A337="",E337="",G337=0),"",E337/G337)</f>
        <v/>
      </c>
      <c r="L337" s="15">
        <f>IF(A337="","",MAX(0,E337-K337*MAX(0,GJ-YEAR(F337))))</f>
        <v/>
      </c>
    </row>
    <row r="338">
      <c r="A338" s="30" t="inlineStr"/>
      <c r="B338" s="30" t="inlineStr"/>
      <c r="C338" s="30" t="inlineStr"/>
      <c r="D338" s="30" t="inlineStr"/>
      <c r="E338" s="34" t="inlineStr"/>
      <c r="F338" s="38" t="inlineStr"/>
      <c r="G338" s="31" t="inlineStr"/>
      <c r="H338" s="34" t="inlineStr"/>
      <c r="I338" s="30" t="inlineStr"/>
      <c r="J338" s="30" t="inlineStr"/>
      <c r="K338" s="15">
        <f>IF(OR(A338="",E338="",G338=0),"",E338/G338)</f>
        <v/>
      </c>
      <c r="L338" s="15">
        <f>IF(A338="","",MAX(0,E338-K338*MAX(0,GJ-YEAR(F338))))</f>
        <v/>
      </c>
    </row>
    <row r="339">
      <c r="A339" s="30" t="inlineStr"/>
      <c r="B339" s="30" t="inlineStr"/>
      <c r="C339" s="30" t="inlineStr"/>
      <c r="D339" s="30" t="inlineStr"/>
      <c r="E339" s="34" t="inlineStr"/>
      <c r="F339" s="38" t="inlineStr"/>
      <c r="G339" s="31" t="inlineStr"/>
      <c r="H339" s="34" t="inlineStr"/>
      <c r="I339" s="30" t="inlineStr"/>
      <c r="J339" s="30" t="inlineStr"/>
      <c r="K339" s="15">
        <f>IF(OR(A339="",E339="",G339=0),"",E339/G339)</f>
        <v/>
      </c>
      <c r="L339" s="15">
        <f>IF(A339="","",MAX(0,E339-K339*MAX(0,GJ-YEAR(F339))))</f>
        <v/>
      </c>
    </row>
    <row r="340">
      <c r="A340" s="30" t="inlineStr"/>
      <c r="B340" s="30" t="inlineStr"/>
      <c r="C340" s="30" t="inlineStr"/>
      <c r="D340" s="30" t="inlineStr"/>
      <c r="E340" s="34" t="inlineStr"/>
      <c r="F340" s="38" t="inlineStr"/>
      <c r="G340" s="31" t="inlineStr"/>
      <c r="H340" s="34" t="inlineStr"/>
      <c r="I340" s="30" t="inlineStr"/>
      <c r="J340" s="30" t="inlineStr"/>
      <c r="K340" s="15">
        <f>IF(OR(A340="",E340="",G340=0),"",E340/G340)</f>
        <v/>
      </c>
      <c r="L340" s="15">
        <f>IF(A340="","",MAX(0,E340-K340*MAX(0,GJ-YEAR(F340))))</f>
        <v/>
      </c>
    </row>
    <row r="341">
      <c r="A341" s="30" t="inlineStr"/>
      <c r="B341" s="30" t="inlineStr"/>
      <c r="C341" s="30" t="inlineStr"/>
      <c r="D341" s="30" t="inlineStr"/>
      <c r="E341" s="34" t="inlineStr"/>
      <c r="F341" s="38" t="inlineStr"/>
      <c r="G341" s="31" t="inlineStr"/>
      <c r="H341" s="34" t="inlineStr"/>
      <c r="I341" s="30" t="inlineStr"/>
      <c r="J341" s="30" t="inlineStr"/>
      <c r="K341" s="15">
        <f>IF(OR(A341="",E341="",G341=0),"",E341/G341)</f>
        <v/>
      </c>
      <c r="L341" s="15">
        <f>IF(A341="","",MAX(0,E341-K341*MAX(0,GJ-YEAR(F341))))</f>
        <v/>
      </c>
    </row>
    <row r="342">
      <c r="A342" s="30" t="inlineStr"/>
      <c r="B342" s="30" t="inlineStr"/>
      <c r="C342" s="30" t="inlineStr"/>
      <c r="D342" s="30" t="inlineStr"/>
      <c r="E342" s="34" t="inlineStr"/>
      <c r="F342" s="38" t="inlineStr"/>
      <c r="G342" s="31" t="inlineStr"/>
      <c r="H342" s="34" t="inlineStr"/>
      <c r="I342" s="30" t="inlineStr"/>
      <c r="J342" s="30" t="inlineStr"/>
      <c r="K342" s="15">
        <f>IF(OR(A342="",E342="",G342=0),"",E342/G342)</f>
        <v/>
      </c>
      <c r="L342" s="15">
        <f>IF(A342="","",MAX(0,E342-K342*MAX(0,GJ-YEAR(F342))))</f>
        <v/>
      </c>
    </row>
    <row r="343">
      <c r="A343" s="30" t="inlineStr"/>
      <c r="B343" s="30" t="inlineStr"/>
      <c r="C343" s="30" t="inlineStr"/>
      <c r="D343" s="30" t="inlineStr"/>
      <c r="E343" s="34" t="inlineStr"/>
      <c r="F343" s="38" t="inlineStr"/>
      <c r="G343" s="31" t="inlineStr"/>
      <c r="H343" s="34" t="inlineStr"/>
      <c r="I343" s="30" t="inlineStr"/>
      <c r="J343" s="30" t="inlineStr"/>
      <c r="K343" s="15">
        <f>IF(OR(A343="",E343="",G343=0),"",E343/G343)</f>
        <v/>
      </c>
      <c r="L343" s="15">
        <f>IF(A343="","",MAX(0,E343-K343*MAX(0,GJ-YEAR(F343))))</f>
        <v/>
      </c>
    </row>
    <row r="344">
      <c r="A344" s="30" t="inlineStr"/>
      <c r="B344" s="30" t="inlineStr"/>
      <c r="C344" s="30" t="inlineStr"/>
      <c r="D344" s="30" t="inlineStr"/>
      <c r="E344" s="34" t="inlineStr"/>
      <c r="F344" s="38" t="inlineStr"/>
      <c r="G344" s="31" t="inlineStr"/>
      <c r="H344" s="34" t="inlineStr"/>
      <c r="I344" s="30" t="inlineStr"/>
      <c r="J344" s="30" t="inlineStr"/>
      <c r="K344" s="15">
        <f>IF(OR(A344="",E344="",G344=0),"",E344/G344)</f>
        <v/>
      </c>
      <c r="L344" s="15">
        <f>IF(A344="","",MAX(0,E344-K344*MAX(0,GJ-YEAR(F344))))</f>
        <v/>
      </c>
    </row>
    <row r="345">
      <c r="A345" s="30" t="inlineStr"/>
      <c r="B345" s="30" t="inlineStr"/>
      <c r="C345" s="30" t="inlineStr"/>
      <c r="D345" s="30" t="inlineStr"/>
      <c r="E345" s="34" t="inlineStr"/>
      <c r="F345" s="38" t="inlineStr"/>
      <c r="G345" s="31" t="inlineStr"/>
      <c r="H345" s="34" t="inlineStr"/>
      <c r="I345" s="30" t="inlineStr"/>
      <c r="J345" s="30" t="inlineStr"/>
      <c r="K345" s="15">
        <f>IF(OR(A345="",E345="",G345=0),"",E345/G345)</f>
        <v/>
      </c>
      <c r="L345" s="15">
        <f>IF(A345="","",MAX(0,E345-K345*MAX(0,GJ-YEAR(F345))))</f>
        <v/>
      </c>
    </row>
    <row r="346">
      <c r="A346" s="30" t="inlineStr"/>
      <c r="B346" s="30" t="inlineStr"/>
      <c r="C346" s="30" t="inlineStr"/>
      <c r="D346" s="30" t="inlineStr"/>
      <c r="E346" s="34" t="inlineStr"/>
      <c r="F346" s="38" t="inlineStr"/>
      <c r="G346" s="31" t="inlineStr"/>
      <c r="H346" s="34" t="inlineStr"/>
      <c r="I346" s="30" t="inlineStr"/>
      <c r="J346" s="30" t="inlineStr"/>
      <c r="K346" s="15">
        <f>IF(OR(A346="",E346="",G346=0),"",E346/G346)</f>
        <v/>
      </c>
      <c r="L346" s="15">
        <f>IF(A346="","",MAX(0,E346-K346*MAX(0,GJ-YEAR(F346))))</f>
        <v/>
      </c>
    </row>
    <row r="347">
      <c r="A347" s="30" t="inlineStr"/>
      <c r="B347" s="30" t="inlineStr"/>
      <c r="C347" s="30" t="inlineStr"/>
      <c r="D347" s="30" t="inlineStr"/>
      <c r="E347" s="34" t="inlineStr"/>
      <c r="F347" s="38" t="inlineStr"/>
      <c r="G347" s="31" t="inlineStr"/>
      <c r="H347" s="34" t="inlineStr"/>
      <c r="I347" s="30" t="inlineStr"/>
      <c r="J347" s="30" t="inlineStr"/>
      <c r="K347" s="15">
        <f>IF(OR(A347="",E347="",G347=0),"",E347/G347)</f>
        <v/>
      </c>
      <c r="L347" s="15">
        <f>IF(A347="","",MAX(0,E347-K347*MAX(0,GJ-YEAR(F347))))</f>
        <v/>
      </c>
    </row>
    <row r="348">
      <c r="A348" s="30" t="inlineStr"/>
      <c r="B348" s="30" t="inlineStr"/>
      <c r="C348" s="30" t="inlineStr"/>
      <c r="D348" s="30" t="inlineStr"/>
      <c r="E348" s="34" t="inlineStr"/>
      <c r="F348" s="38" t="inlineStr"/>
      <c r="G348" s="31" t="inlineStr"/>
      <c r="H348" s="34" t="inlineStr"/>
      <c r="I348" s="30" t="inlineStr"/>
      <c r="J348" s="30" t="inlineStr"/>
      <c r="K348" s="15">
        <f>IF(OR(A348="",E348="",G348=0),"",E348/G348)</f>
        <v/>
      </c>
      <c r="L348" s="15">
        <f>IF(A348="","",MAX(0,E348-K348*MAX(0,GJ-YEAR(F348))))</f>
        <v/>
      </c>
    </row>
    <row r="349">
      <c r="A349" s="30" t="inlineStr"/>
      <c r="B349" s="30" t="inlineStr"/>
      <c r="C349" s="30" t="inlineStr"/>
      <c r="D349" s="30" t="inlineStr"/>
      <c r="E349" s="34" t="inlineStr"/>
      <c r="F349" s="38" t="inlineStr"/>
      <c r="G349" s="31" t="inlineStr"/>
      <c r="H349" s="34" t="inlineStr"/>
      <c r="I349" s="30" t="inlineStr"/>
      <c r="J349" s="30" t="inlineStr"/>
      <c r="K349" s="15">
        <f>IF(OR(A349="",E349="",G349=0),"",E349/G349)</f>
        <v/>
      </c>
      <c r="L349" s="15">
        <f>IF(A349="","",MAX(0,E349-K349*MAX(0,GJ-YEAR(F349))))</f>
        <v/>
      </c>
    </row>
    <row r="350">
      <c r="A350" s="30" t="inlineStr"/>
      <c r="B350" s="30" t="inlineStr"/>
      <c r="C350" s="30" t="inlineStr"/>
      <c r="D350" s="30" t="inlineStr"/>
      <c r="E350" s="34" t="inlineStr"/>
      <c r="F350" s="38" t="inlineStr"/>
      <c r="G350" s="31" t="inlineStr"/>
      <c r="H350" s="34" t="inlineStr"/>
      <c r="I350" s="30" t="inlineStr"/>
      <c r="J350" s="30" t="inlineStr"/>
      <c r="K350" s="15">
        <f>IF(OR(A350="",E350="",G350=0),"",E350/G350)</f>
        <v/>
      </c>
      <c r="L350" s="15">
        <f>IF(A350="","",MAX(0,E350-K350*MAX(0,GJ-YEAR(F350))))</f>
        <v/>
      </c>
    </row>
    <row r="351">
      <c r="A351" s="30" t="inlineStr"/>
      <c r="B351" s="30" t="inlineStr"/>
      <c r="C351" s="30" t="inlineStr"/>
      <c r="D351" s="30" t="inlineStr"/>
      <c r="E351" s="34" t="inlineStr"/>
      <c r="F351" s="38" t="inlineStr"/>
      <c r="G351" s="31" t="inlineStr"/>
      <c r="H351" s="34" t="inlineStr"/>
      <c r="I351" s="30" t="inlineStr"/>
      <c r="J351" s="30" t="inlineStr"/>
      <c r="K351" s="15">
        <f>IF(OR(A351="",E351="",G351=0),"",E351/G351)</f>
        <v/>
      </c>
      <c r="L351" s="15">
        <f>IF(A351="","",MAX(0,E351-K351*MAX(0,GJ-YEAR(F351))))</f>
        <v/>
      </c>
    </row>
    <row r="352">
      <c r="A352" s="30" t="inlineStr"/>
      <c r="B352" s="30" t="inlineStr"/>
      <c r="C352" s="30" t="inlineStr"/>
      <c r="D352" s="30" t="inlineStr"/>
      <c r="E352" s="34" t="inlineStr"/>
      <c r="F352" s="38" t="inlineStr"/>
      <c r="G352" s="31" t="inlineStr"/>
      <c r="H352" s="34" t="inlineStr"/>
      <c r="I352" s="30" t="inlineStr"/>
      <c r="J352" s="30" t="inlineStr"/>
      <c r="K352" s="15">
        <f>IF(OR(A352="",E352="",G352=0),"",E352/G352)</f>
        <v/>
      </c>
      <c r="L352" s="15">
        <f>IF(A352="","",MAX(0,E352-K352*MAX(0,GJ-YEAR(F352))))</f>
        <v/>
      </c>
    </row>
    <row r="353">
      <c r="A353" s="30" t="inlineStr"/>
      <c r="B353" s="30" t="inlineStr"/>
      <c r="C353" s="30" t="inlineStr"/>
      <c r="D353" s="30" t="inlineStr"/>
      <c r="E353" s="34" t="inlineStr"/>
      <c r="F353" s="38" t="inlineStr"/>
      <c r="G353" s="31" t="inlineStr"/>
      <c r="H353" s="34" t="inlineStr"/>
      <c r="I353" s="30" t="inlineStr"/>
      <c r="J353" s="30" t="inlineStr"/>
      <c r="K353" s="15">
        <f>IF(OR(A353="",E353="",G353=0),"",E353/G353)</f>
        <v/>
      </c>
      <c r="L353" s="15">
        <f>IF(A353="","",MAX(0,E353-K353*MAX(0,GJ-YEAR(F353))))</f>
        <v/>
      </c>
    </row>
    <row r="354">
      <c r="A354" s="30" t="inlineStr"/>
      <c r="B354" s="30" t="inlineStr"/>
      <c r="C354" s="30" t="inlineStr"/>
      <c r="D354" s="30" t="inlineStr"/>
      <c r="E354" s="34" t="inlineStr"/>
      <c r="F354" s="38" t="inlineStr"/>
      <c r="G354" s="31" t="inlineStr"/>
      <c r="H354" s="34" t="inlineStr"/>
      <c r="I354" s="30" t="inlineStr"/>
      <c r="J354" s="30" t="inlineStr"/>
      <c r="K354" s="15">
        <f>IF(OR(A354="",E354="",G354=0),"",E354/G354)</f>
        <v/>
      </c>
      <c r="L354" s="15">
        <f>IF(A354="","",MAX(0,E354-K354*MAX(0,GJ-YEAR(F354))))</f>
        <v/>
      </c>
    </row>
    <row r="355">
      <c r="A355" s="30" t="inlineStr"/>
      <c r="B355" s="30" t="inlineStr"/>
      <c r="C355" s="30" t="inlineStr"/>
      <c r="D355" s="30" t="inlineStr"/>
      <c r="E355" s="34" t="inlineStr"/>
      <c r="F355" s="38" t="inlineStr"/>
      <c r="G355" s="31" t="inlineStr"/>
      <c r="H355" s="34" t="inlineStr"/>
      <c r="I355" s="30" t="inlineStr"/>
      <c r="J355" s="30" t="inlineStr"/>
      <c r="K355" s="15">
        <f>IF(OR(A355="",E355="",G355=0),"",E355/G355)</f>
        <v/>
      </c>
      <c r="L355" s="15">
        <f>IF(A355="","",MAX(0,E355-K355*MAX(0,GJ-YEAR(F355))))</f>
        <v/>
      </c>
    </row>
    <row r="356">
      <c r="A356" s="30" t="inlineStr"/>
      <c r="B356" s="30" t="inlineStr"/>
      <c r="C356" s="30" t="inlineStr"/>
      <c r="D356" s="30" t="inlineStr"/>
      <c r="E356" s="34" t="inlineStr"/>
      <c r="F356" s="38" t="inlineStr"/>
      <c r="G356" s="31" t="inlineStr"/>
      <c r="H356" s="34" t="inlineStr"/>
      <c r="I356" s="30" t="inlineStr"/>
      <c r="J356" s="30" t="inlineStr"/>
      <c r="K356" s="15">
        <f>IF(OR(A356="",E356="",G356=0),"",E356/G356)</f>
        <v/>
      </c>
      <c r="L356" s="15">
        <f>IF(A356="","",MAX(0,E356-K356*MAX(0,GJ-YEAR(F356))))</f>
        <v/>
      </c>
    </row>
    <row r="357">
      <c r="A357" s="30" t="inlineStr"/>
      <c r="B357" s="30" t="inlineStr"/>
      <c r="C357" s="30" t="inlineStr"/>
      <c r="D357" s="30" t="inlineStr"/>
      <c r="E357" s="34" t="inlineStr"/>
      <c r="F357" s="38" t="inlineStr"/>
      <c r="G357" s="31" t="inlineStr"/>
      <c r="H357" s="34" t="inlineStr"/>
      <c r="I357" s="30" t="inlineStr"/>
      <c r="J357" s="30" t="inlineStr"/>
      <c r="K357" s="15">
        <f>IF(OR(A357="",E357="",G357=0),"",E357/G357)</f>
        <v/>
      </c>
      <c r="L357" s="15">
        <f>IF(A357="","",MAX(0,E357-K357*MAX(0,GJ-YEAR(F357))))</f>
        <v/>
      </c>
    </row>
    <row r="358">
      <c r="A358" s="30" t="inlineStr"/>
      <c r="B358" s="30" t="inlineStr"/>
      <c r="C358" s="30" t="inlineStr"/>
      <c r="D358" s="30" t="inlineStr"/>
      <c r="E358" s="34" t="inlineStr"/>
      <c r="F358" s="38" t="inlineStr"/>
      <c r="G358" s="31" t="inlineStr"/>
      <c r="H358" s="34" t="inlineStr"/>
      <c r="I358" s="30" t="inlineStr"/>
      <c r="J358" s="30" t="inlineStr"/>
      <c r="K358" s="15">
        <f>IF(OR(A358="",E358="",G358=0),"",E358/G358)</f>
        <v/>
      </c>
      <c r="L358" s="15">
        <f>IF(A358="","",MAX(0,E358-K358*MAX(0,GJ-YEAR(F358))))</f>
        <v/>
      </c>
    </row>
    <row r="359">
      <c r="A359" s="30" t="inlineStr"/>
      <c r="B359" s="30" t="inlineStr"/>
      <c r="C359" s="30" t="inlineStr"/>
      <c r="D359" s="30" t="inlineStr"/>
      <c r="E359" s="34" t="inlineStr"/>
      <c r="F359" s="38" t="inlineStr"/>
      <c r="G359" s="31" t="inlineStr"/>
      <c r="H359" s="34" t="inlineStr"/>
      <c r="I359" s="30" t="inlineStr"/>
      <c r="J359" s="30" t="inlineStr"/>
      <c r="K359" s="15">
        <f>IF(OR(A359="",E359="",G359=0),"",E359/G359)</f>
        <v/>
      </c>
      <c r="L359" s="15">
        <f>IF(A359="","",MAX(0,E359-K359*MAX(0,GJ-YEAR(F359))))</f>
        <v/>
      </c>
    </row>
    <row r="360">
      <c r="A360" s="30" t="inlineStr"/>
      <c r="B360" s="30" t="inlineStr"/>
      <c r="C360" s="30" t="inlineStr"/>
      <c r="D360" s="30" t="inlineStr"/>
      <c r="E360" s="34" t="inlineStr"/>
      <c r="F360" s="38" t="inlineStr"/>
      <c r="G360" s="31" t="inlineStr"/>
      <c r="H360" s="34" t="inlineStr"/>
      <c r="I360" s="30" t="inlineStr"/>
      <c r="J360" s="30" t="inlineStr"/>
      <c r="K360" s="15">
        <f>IF(OR(A360="",E360="",G360=0),"",E360/G360)</f>
        <v/>
      </c>
      <c r="L360" s="15">
        <f>IF(A360="","",MAX(0,E360-K360*MAX(0,GJ-YEAR(F360))))</f>
        <v/>
      </c>
    </row>
    <row r="361">
      <c r="A361" s="30" t="inlineStr"/>
      <c r="B361" s="30" t="inlineStr"/>
      <c r="C361" s="30" t="inlineStr"/>
      <c r="D361" s="30" t="inlineStr"/>
      <c r="E361" s="34" t="inlineStr"/>
      <c r="F361" s="38" t="inlineStr"/>
      <c r="G361" s="31" t="inlineStr"/>
      <c r="H361" s="34" t="inlineStr"/>
      <c r="I361" s="30" t="inlineStr"/>
      <c r="J361" s="30" t="inlineStr"/>
      <c r="K361" s="15">
        <f>IF(OR(A361="",E361="",G361=0),"",E361/G361)</f>
        <v/>
      </c>
      <c r="L361" s="15">
        <f>IF(A361="","",MAX(0,E361-K361*MAX(0,GJ-YEAR(F361))))</f>
        <v/>
      </c>
    </row>
    <row r="362">
      <c r="A362" s="30" t="inlineStr"/>
      <c r="B362" s="30" t="inlineStr"/>
      <c r="C362" s="30" t="inlineStr"/>
      <c r="D362" s="30" t="inlineStr"/>
      <c r="E362" s="34" t="inlineStr"/>
      <c r="F362" s="38" t="inlineStr"/>
      <c r="G362" s="31" t="inlineStr"/>
      <c r="H362" s="34" t="inlineStr"/>
      <c r="I362" s="30" t="inlineStr"/>
      <c r="J362" s="30" t="inlineStr"/>
      <c r="K362" s="15">
        <f>IF(OR(A362="",E362="",G362=0),"",E362/G362)</f>
        <v/>
      </c>
      <c r="L362" s="15">
        <f>IF(A362="","",MAX(0,E362-K362*MAX(0,GJ-YEAR(F362))))</f>
        <v/>
      </c>
    </row>
    <row r="363">
      <c r="A363" s="30" t="inlineStr"/>
      <c r="B363" s="30" t="inlineStr"/>
      <c r="C363" s="30" t="inlineStr"/>
      <c r="D363" s="30" t="inlineStr"/>
      <c r="E363" s="34" t="inlineStr"/>
      <c r="F363" s="38" t="inlineStr"/>
      <c r="G363" s="31" t="inlineStr"/>
      <c r="H363" s="34" t="inlineStr"/>
      <c r="I363" s="30" t="inlineStr"/>
      <c r="J363" s="30" t="inlineStr"/>
      <c r="K363" s="15">
        <f>IF(OR(A363="",E363="",G363=0),"",E363/G363)</f>
        <v/>
      </c>
      <c r="L363" s="15">
        <f>IF(A363="","",MAX(0,E363-K363*MAX(0,GJ-YEAR(F363))))</f>
        <v/>
      </c>
    </row>
    <row r="364">
      <c r="A364" s="30" t="inlineStr"/>
      <c r="B364" s="30" t="inlineStr"/>
      <c r="C364" s="30" t="inlineStr"/>
      <c r="D364" s="30" t="inlineStr"/>
      <c r="E364" s="34" t="inlineStr"/>
      <c r="F364" s="38" t="inlineStr"/>
      <c r="G364" s="31" t="inlineStr"/>
      <c r="H364" s="34" t="inlineStr"/>
      <c r="I364" s="30" t="inlineStr"/>
      <c r="J364" s="30" t="inlineStr"/>
      <c r="K364" s="15">
        <f>IF(OR(A364="",E364="",G364=0),"",E364/G364)</f>
        <v/>
      </c>
      <c r="L364" s="15">
        <f>IF(A364="","",MAX(0,E364-K364*MAX(0,GJ-YEAR(F364))))</f>
        <v/>
      </c>
    </row>
    <row r="365">
      <c r="A365" s="30" t="inlineStr"/>
      <c r="B365" s="30" t="inlineStr"/>
      <c r="C365" s="30" t="inlineStr"/>
      <c r="D365" s="30" t="inlineStr"/>
      <c r="E365" s="34" t="inlineStr"/>
      <c r="F365" s="38" t="inlineStr"/>
      <c r="G365" s="31" t="inlineStr"/>
      <c r="H365" s="34" t="inlineStr"/>
      <c r="I365" s="30" t="inlineStr"/>
      <c r="J365" s="30" t="inlineStr"/>
      <c r="K365" s="15">
        <f>IF(OR(A365="",E365="",G365=0),"",E365/G365)</f>
        <v/>
      </c>
      <c r="L365" s="15">
        <f>IF(A365="","",MAX(0,E365-K365*MAX(0,GJ-YEAR(F365))))</f>
        <v/>
      </c>
    </row>
    <row r="366">
      <c r="A366" s="30" t="inlineStr"/>
      <c r="B366" s="30" t="inlineStr"/>
      <c r="C366" s="30" t="inlineStr"/>
      <c r="D366" s="30" t="inlineStr"/>
      <c r="E366" s="34" t="inlineStr"/>
      <c r="F366" s="38" t="inlineStr"/>
      <c r="G366" s="31" t="inlineStr"/>
      <c r="H366" s="34" t="inlineStr"/>
      <c r="I366" s="30" t="inlineStr"/>
      <c r="J366" s="30" t="inlineStr"/>
      <c r="K366" s="15">
        <f>IF(OR(A366="",E366="",G366=0),"",E366/G366)</f>
        <v/>
      </c>
      <c r="L366" s="15">
        <f>IF(A366="","",MAX(0,E366-K366*MAX(0,GJ-YEAR(F366))))</f>
        <v/>
      </c>
    </row>
    <row r="367">
      <c r="A367" s="30" t="inlineStr"/>
      <c r="B367" s="30" t="inlineStr"/>
      <c r="C367" s="30" t="inlineStr"/>
      <c r="D367" s="30" t="inlineStr"/>
      <c r="E367" s="34" t="inlineStr"/>
      <c r="F367" s="38" t="inlineStr"/>
      <c r="G367" s="31" t="inlineStr"/>
      <c r="H367" s="34" t="inlineStr"/>
      <c r="I367" s="30" t="inlineStr"/>
      <c r="J367" s="30" t="inlineStr"/>
      <c r="K367" s="15">
        <f>IF(OR(A367="",E367="",G367=0),"",E367/G367)</f>
        <v/>
      </c>
      <c r="L367" s="15">
        <f>IF(A367="","",MAX(0,E367-K367*MAX(0,GJ-YEAR(F367))))</f>
        <v/>
      </c>
    </row>
    <row r="368">
      <c r="A368" s="30" t="inlineStr"/>
      <c r="B368" s="30" t="inlineStr"/>
      <c r="C368" s="30" t="inlineStr"/>
      <c r="D368" s="30" t="inlineStr"/>
      <c r="E368" s="34" t="inlineStr"/>
      <c r="F368" s="38" t="inlineStr"/>
      <c r="G368" s="31" t="inlineStr"/>
      <c r="H368" s="34" t="inlineStr"/>
      <c r="I368" s="30" t="inlineStr"/>
      <c r="J368" s="30" t="inlineStr"/>
      <c r="K368" s="15">
        <f>IF(OR(A368="",E368="",G368=0),"",E368/G368)</f>
        <v/>
      </c>
      <c r="L368" s="15">
        <f>IF(A368="","",MAX(0,E368-K368*MAX(0,GJ-YEAR(F368))))</f>
        <v/>
      </c>
    </row>
    <row r="369">
      <c r="A369" s="30" t="inlineStr"/>
      <c r="B369" s="30" t="inlineStr"/>
      <c r="C369" s="30" t="inlineStr"/>
      <c r="D369" s="30" t="inlineStr"/>
      <c r="E369" s="34" t="inlineStr"/>
      <c r="F369" s="38" t="inlineStr"/>
      <c r="G369" s="31" t="inlineStr"/>
      <c r="H369" s="34" t="inlineStr"/>
      <c r="I369" s="30" t="inlineStr"/>
      <c r="J369" s="30" t="inlineStr"/>
      <c r="K369" s="15">
        <f>IF(OR(A369="",E369="",G369=0),"",E369/G369)</f>
        <v/>
      </c>
      <c r="L369" s="15">
        <f>IF(A369="","",MAX(0,E369-K369*MAX(0,GJ-YEAR(F369))))</f>
        <v/>
      </c>
    </row>
    <row r="370">
      <c r="A370" s="30" t="inlineStr"/>
      <c r="B370" s="30" t="inlineStr"/>
      <c r="C370" s="30" t="inlineStr"/>
      <c r="D370" s="30" t="inlineStr"/>
      <c r="E370" s="34" t="inlineStr"/>
      <c r="F370" s="38" t="inlineStr"/>
      <c r="G370" s="31" t="inlineStr"/>
      <c r="H370" s="34" t="inlineStr"/>
      <c r="I370" s="30" t="inlineStr"/>
      <c r="J370" s="30" t="inlineStr"/>
      <c r="K370" s="15">
        <f>IF(OR(A370="",E370="",G370=0),"",E370/G370)</f>
        <v/>
      </c>
      <c r="L370" s="15">
        <f>IF(A370="","",MAX(0,E370-K370*MAX(0,GJ-YEAR(F370))))</f>
        <v/>
      </c>
    </row>
    <row r="371">
      <c r="A371" s="30" t="inlineStr"/>
      <c r="B371" s="30" t="inlineStr"/>
      <c r="C371" s="30" t="inlineStr"/>
      <c r="D371" s="30" t="inlineStr"/>
      <c r="E371" s="34" t="inlineStr"/>
      <c r="F371" s="38" t="inlineStr"/>
      <c r="G371" s="31" t="inlineStr"/>
      <c r="H371" s="34" t="inlineStr"/>
      <c r="I371" s="30" t="inlineStr"/>
      <c r="J371" s="30" t="inlineStr"/>
      <c r="K371" s="15">
        <f>IF(OR(A371="",E371="",G371=0),"",E371/G371)</f>
        <v/>
      </c>
      <c r="L371" s="15">
        <f>IF(A371="","",MAX(0,E371-K371*MAX(0,GJ-YEAR(F371))))</f>
        <v/>
      </c>
    </row>
    <row r="372">
      <c r="A372" s="30" t="inlineStr"/>
      <c r="B372" s="30" t="inlineStr"/>
      <c r="C372" s="30" t="inlineStr"/>
      <c r="D372" s="30" t="inlineStr"/>
      <c r="E372" s="34" t="inlineStr"/>
      <c r="F372" s="38" t="inlineStr"/>
      <c r="G372" s="31" t="inlineStr"/>
      <c r="H372" s="34" t="inlineStr"/>
      <c r="I372" s="30" t="inlineStr"/>
      <c r="J372" s="30" t="inlineStr"/>
      <c r="K372" s="15">
        <f>IF(OR(A372="",E372="",G372=0),"",E372/G372)</f>
        <v/>
      </c>
      <c r="L372" s="15">
        <f>IF(A372="","",MAX(0,E372-K372*MAX(0,GJ-YEAR(F372))))</f>
        <v/>
      </c>
    </row>
    <row r="373">
      <c r="A373" s="30" t="inlineStr"/>
      <c r="B373" s="30" t="inlineStr"/>
      <c r="C373" s="30" t="inlineStr"/>
      <c r="D373" s="30" t="inlineStr"/>
      <c r="E373" s="34" t="inlineStr"/>
      <c r="F373" s="38" t="inlineStr"/>
      <c r="G373" s="31" t="inlineStr"/>
      <c r="H373" s="34" t="inlineStr"/>
      <c r="I373" s="30" t="inlineStr"/>
      <c r="J373" s="30" t="inlineStr"/>
      <c r="K373" s="15">
        <f>IF(OR(A373="",E373="",G373=0),"",E373/G373)</f>
        <v/>
      </c>
      <c r="L373" s="15">
        <f>IF(A373="","",MAX(0,E373-K373*MAX(0,GJ-YEAR(F373))))</f>
        <v/>
      </c>
    </row>
    <row r="374">
      <c r="A374" s="30" t="inlineStr"/>
      <c r="B374" s="30" t="inlineStr"/>
      <c r="C374" s="30" t="inlineStr"/>
      <c r="D374" s="30" t="inlineStr"/>
      <c r="E374" s="34" t="inlineStr"/>
      <c r="F374" s="38" t="inlineStr"/>
      <c r="G374" s="31" t="inlineStr"/>
      <c r="H374" s="34" t="inlineStr"/>
      <c r="I374" s="30" t="inlineStr"/>
      <c r="J374" s="30" t="inlineStr"/>
      <c r="K374" s="15">
        <f>IF(OR(A374="",E374="",G374=0),"",E374/G374)</f>
        <v/>
      </c>
      <c r="L374" s="15">
        <f>IF(A374="","",MAX(0,E374-K374*MAX(0,GJ-YEAR(F374))))</f>
        <v/>
      </c>
    </row>
    <row r="375">
      <c r="A375" s="30" t="inlineStr"/>
      <c r="B375" s="30" t="inlineStr"/>
      <c r="C375" s="30" t="inlineStr"/>
      <c r="D375" s="30" t="inlineStr"/>
      <c r="E375" s="34" t="inlineStr"/>
      <c r="F375" s="38" t="inlineStr"/>
      <c r="G375" s="31" t="inlineStr"/>
      <c r="H375" s="34" t="inlineStr"/>
      <c r="I375" s="30" t="inlineStr"/>
      <c r="J375" s="30" t="inlineStr"/>
      <c r="K375" s="15">
        <f>IF(OR(A375="",E375="",G375=0),"",E375/G375)</f>
        <v/>
      </c>
      <c r="L375" s="15">
        <f>IF(A375="","",MAX(0,E375-K375*MAX(0,GJ-YEAR(F375))))</f>
        <v/>
      </c>
    </row>
    <row r="376">
      <c r="A376" s="30" t="inlineStr"/>
      <c r="B376" s="30" t="inlineStr"/>
      <c r="C376" s="30" t="inlineStr"/>
      <c r="D376" s="30" t="inlineStr"/>
      <c r="E376" s="34" t="inlineStr"/>
      <c r="F376" s="38" t="inlineStr"/>
      <c r="G376" s="31" t="inlineStr"/>
      <c r="H376" s="34" t="inlineStr"/>
      <c r="I376" s="30" t="inlineStr"/>
      <c r="J376" s="30" t="inlineStr"/>
      <c r="K376" s="15">
        <f>IF(OR(A376="",E376="",G376=0),"",E376/G376)</f>
        <v/>
      </c>
      <c r="L376" s="15">
        <f>IF(A376="","",MAX(0,E376-K376*MAX(0,GJ-YEAR(F376))))</f>
        <v/>
      </c>
    </row>
    <row r="377">
      <c r="A377" s="30" t="inlineStr"/>
      <c r="B377" s="30" t="inlineStr"/>
      <c r="C377" s="30" t="inlineStr"/>
      <c r="D377" s="30" t="inlineStr"/>
      <c r="E377" s="34" t="inlineStr"/>
      <c r="F377" s="38" t="inlineStr"/>
      <c r="G377" s="31" t="inlineStr"/>
      <c r="H377" s="34" t="inlineStr"/>
      <c r="I377" s="30" t="inlineStr"/>
      <c r="J377" s="30" t="inlineStr"/>
      <c r="K377" s="15">
        <f>IF(OR(A377="",E377="",G377=0),"",E377/G377)</f>
        <v/>
      </c>
      <c r="L377" s="15">
        <f>IF(A377="","",MAX(0,E377-K377*MAX(0,GJ-YEAR(F377))))</f>
        <v/>
      </c>
    </row>
    <row r="378">
      <c r="A378" s="30" t="inlineStr"/>
      <c r="B378" s="30" t="inlineStr"/>
      <c r="C378" s="30" t="inlineStr"/>
      <c r="D378" s="30" t="inlineStr"/>
      <c r="E378" s="34" t="inlineStr"/>
      <c r="F378" s="38" t="inlineStr"/>
      <c r="G378" s="31" t="inlineStr"/>
      <c r="H378" s="34" t="inlineStr"/>
      <c r="I378" s="30" t="inlineStr"/>
      <c r="J378" s="30" t="inlineStr"/>
      <c r="K378" s="15">
        <f>IF(OR(A378="",E378="",G378=0),"",E378/G378)</f>
        <v/>
      </c>
      <c r="L378" s="15">
        <f>IF(A378="","",MAX(0,E378-K378*MAX(0,GJ-YEAR(F378))))</f>
        <v/>
      </c>
    </row>
    <row r="379">
      <c r="A379" s="30" t="inlineStr"/>
      <c r="B379" s="30" t="inlineStr"/>
      <c r="C379" s="30" t="inlineStr"/>
      <c r="D379" s="30" t="inlineStr"/>
      <c r="E379" s="34" t="inlineStr"/>
      <c r="F379" s="38" t="inlineStr"/>
      <c r="G379" s="31" t="inlineStr"/>
      <c r="H379" s="34" t="inlineStr"/>
      <c r="I379" s="30" t="inlineStr"/>
      <c r="J379" s="30" t="inlineStr"/>
      <c r="K379" s="15">
        <f>IF(OR(A379="",E379="",G379=0),"",E379/G379)</f>
        <v/>
      </c>
      <c r="L379" s="15">
        <f>IF(A379="","",MAX(0,E379-K379*MAX(0,GJ-YEAR(F379))))</f>
        <v/>
      </c>
    </row>
    <row r="380">
      <c r="A380" s="30" t="inlineStr"/>
      <c r="B380" s="30" t="inlineStr"/>
      <c r="C380" s="30" t="inlineStr"/>
      <c r="D380" s="30" t="inlineStr"/>
      <c r="E380" s="34" t="inlineStr"/>
      <c r="F380" s="38" t="inlineStr"/>
      <c r="G380" s="31" t="inlineStr"/>
      <c r="H380" s="34" t="inlineStr"/>
      <c r="I380" s="30" t="inlineStr"/>
      <c r="J380" s="30" t="inlineStr"/>
      <c r="K380" s="15">
        <f>IF(OR(A380="",E380="",G380=0),"",E380/G380)</f>
        <v/>
      </c>
      <c r="L380" s="15">
        <f>IF(A380="","",MAX(0,E380-K380*MAX(0,GJ-YEAR(F380))))</f>
        <v/>
      </c>
    </row>
    <row r="381">
      <c r="A381" s="30" t="inlineStr"/>
      <c r="B381" s="30" t="inlineStr"/>
      <c r="C381" s="30" t="inlineStr"/>
      <c r="D381" s="30" t="inlineStr"/>
      <c r="E381" s="34" t="inlineStr"/>
      <c r="F381" s="38" t="inlineStr"/>
      <c r="G381" s="31" t="inlineStr"/>
      <c r="H381" s="34" t="inlineStr"/>
      <c r="I381" s="30" t="inlineStr"/>
      <c r="J381" s="30" t="inlineStr"/>
      <c r="K381" s="15">
        <f>IF(OR(A381="",E381="",G381=0),"",E381/G381)</f>
        <v/>
      </c>
      <c r="L381" s="15">
        <f>IF(A381="","",MAX(0,E381-K381*MAX(0,GJ-YEAR(F381))))</f>
        <v/>
      </c>
    </row>
    <row r="382">
      <c r="A382" s="30" t="inlineStr"/>
      <c r="B382" s="30" t="inlineStr"/>
      <c r="C382" s="30" t="inlineStr"/>
      <c r="D382" s="30" t="inlineStr"/>
      <c r="E382" s="34" t="inlineStr"/>
      <c r="F382" s="38" t="inlineStr"/>
      <c r="G382" s="31" t="inlineStr"/>
      <c r="H382" s="34" t="inlineStr"/>
      <c r="I382" s="30" t="inlineStr"/>
      <c r="J382" s="30" t="inlineStr"/>
      <c r="K382" s="15">
        <f>IF(OR(A382="",E382="",G382=0),"",E382/G382)</f>
        <v/>
      </c>
      <c r="L382" s="15">
        <f>IF(A382="","",MAX(0,E382-K382*MAX(0,GJ-YEAR(F382))))</f>
        <v/>
      </c>
    </row>
    <row r="383">
      <c r="A383" s="30" t="inlineStr"/>
      <c r="B383" s="30" t="inlineStr"/>
      <c r="C383" s="30" t="inlineStr"/>
      <c r="D383" s="30" t="inlineStr"/>
      <c r="E383" s="34" t="inlineStr"/>
      <c r="F383" s="38" t="inlineStr"/>
      <c r="G383" s="31" t="inlineStr"/>
      <c r="H383" s="34" t="inlineStr"/>
      <c r="I383" s="30" t="inlineStr"/>
      <c r="J383" s="30" t="inlineStr"/>
      <c r="K383" s="15">
        <f>IF(OR(A383="",E383="",G383=0),"",E383/G383)</f>
        <v/>
      </c>
      <c r="L383" s="15">
        <f>IF(A383="","",MAX(0,E383-K383*MAX(0,GJ-YEAR(F383))))</f>
        <v/>
      </c>
    </row>
    <row r="384">
      <c r="A384" s="30" t="inlineStr"/>
      <c r="B384" s="30" t="inlineStr"/>
      <c r="C384" s="30" t="inlineStr"/>
      <c r="D384" s="30" t="inlineStr"/>
      <c r="E384" s="34" t="inlineStr"/>
      <c r="F384" s="38" t="inlineStr"/>
      <c r="G384" s="31" t="inlineStr"/>
      <c r="H384" s="34" t="inlineStr"/>
      <c r="I384" s="30" t="inlineStr"/>
      <c r="J384" s="30" t="inlineStr"/>
      <c r="K384" s="15">
        <f>IF(OR(A384="",E384="",G384=0),"",E384/G384)</f>
        <v/>
      </c>
      <c r="L384" s="15">
        <f>IF(A384="","",MAX(0,E384-K384*MAX(0,GJ-YEAR(F384))))</f>
        <v/>
      </c>
    </row>
    <row r="385">
      <c r="A385" s="30" t="inlineStr"/>
      <c r="B385" s="30" t="inlineStr"/>
      <c r="C385" s="30" t="inlineStr"/>
      <c r="D385" s="30" t="inlineStr"/>
      <c r="E385" s="34" t="inlineStr"/>
      <c r="F385" s="38" t="inlineStr"/>
      <c r="G385" s="31" t="inlineStr"/>
      <c r="H385" s="34" t="inlineStr"/>
      <c r="I385" s="30" t="inlineStr"/>
      <c r="J385" s="30" t="inlineStr"/>
      <c r="K385" s="15">
        <f>IF(OR(A385="",E385="",G385=0),"",E385/G385)</f>
        <v/>
      </c>
      <c r="L385" s="15">
        <f>IF(A385="","",MAX(0,E385-K385*MAX(0,GJ-YEAR(F385))))</f>
        <v/>
      </c>
    </row>
    <row r="386">
      <c r="A386" s="30" t="inlineStr"/>
      <c r="B386" s="30" t="inlineStr"/>
      <c r="C386" s="30" t="inlineStr"/>
      <c r="D386" s="30" t="inlineStr"/>
      <c r="E386" s="34" t="inlineStr"/>
      <c r="F386" s="38" t="inlineStr"/>
      <c r="G386" s="31" t="inlineStr"/>
      <c r="H386" s="34" t="inlineStr"/>
      <c r="I386" s="30" t="inlineStr"/>
      <c r="J386" s="30" t="inlineStr"/>
      <c r="K386" s="15">
        <f>IF(OR(A386="",E386="",G386=0),"",E386/G386)</f>
        <v/>
      </c>
      <c r="L386" s="15">
        <f>IF(A386="","",MAX(0,E386-K386*MAX(0,GJ-YEAR(F386))))</f>
        <v/>
      </c>
    </row>
    <row r="387">
      <c r="A387" s="30" t="inlineStr"/>
      <c r="B387" s="30" t="inlineStr"/>
      <c r="C387" s="30" t="inlineStr"/>
      <c r="D387" s="30" t="inlineStr"/>
      <c r="E387" s="34" t="inlineStr"/>
      <c r="F387" s="38" t="inlineStr"/>
      <c r="G387" s="31" t="inlineStr"/>
      <c r="H387" s="34" t="inlineStr"/>
      <c r="I387" s="30" t="inlineStr"/>
      <c r="J387" s="30" t="inlineStr"/>
      <c r="K387" s="15">
        <f>IF(OR(A387="",E387="",G387=0),"",E387/G387)</f>
        <v/>
      </c>
      <c r="L387" s="15">
        <f>IF(A387="","",MAX(0,E387-K387*MAX(0,GJ-YEAR(F387))))</f>
        <v/>
      </c>
    </row>
    <row r="388">
      <c r="A388" s="30" t="inlineStr"/>
      <c r="B388" s="30" t="inlineStr"/>
      <c r="C388" s="30" t="inlineStr"/>
      <c r="D388" s="30" t="inlineStr"/>
      <c r="E388" s="34" t="inlineStr"/>
      <c r="F388" s="38" t="inlineStr"/>
      <c r="G388" s="31" t="inlineStr"/>
      <c r="H388" s="34" t="inlineStr"/>
      <c r="I388" s="30" t="inlineStr"/>
      <c r="J388" s="30" t="inlineStr"/>
      <c r="K388" s="15">
        <f>IF(OR(A388="",E388="",G388=0),"",E388/G388)</f>
        <v/>
      </c>
      <c r="L388" s="15">
        <f>IF(A388="","",MAX(0,E388-K388*MAX(0,GJ-YEAR(F388))))</f>
        <v/>
      </c>
    </row>
    <row r="389">
      <c r="A389" s="30" t="inlineStr"/>
      <c r="B389" s="30" t="inlineStr"/>
      <c r="C389" s="30" t="inlineStr"/>
      <c r="D389" s="30" t="inlineStr"/>
      <c r="E389" s="34" t="inlineStr"/>
      <c r="F389" s="38" t="inlineStr"/>
      <c r="G389" s="31" t="inlineStr"/>
      <c r="H389" s="34" t="inlineStr"/>
      <c r="I389" s="30" t="inlineStr"/>
      <c r="J389" s="30" t="inlineStr"/>
      <c r="K389" s="15">
        <f>IF(OR(A389="",E389="",G389=0),"",E389/G389)</f>
        <v/>
      </c>
      <c r="L389" s="15">
        <f>IF(A389="","",MAX(0,E389-K389*MAX(0,GJ-YEAR(F389))))</f>
        <v/>
      </c>
    </row>
    <row r="390">
      <c r="A390" s="30" t="inlineStr"/>
      <c r="B390" s="30" t="inlineStr"/>
      <c r="C390" s="30" t="inlineStr"/>
      <c r="D390" s="30" t="inlineStr"/>
      <c r="E390" s="34" t="inlineStr"/>
      <c r="F390" s="38" t="inlineStr"/>
      <c r="G390" s="31" t="inlineStr"/>
      <c r="H390" s="34" t="inlineStr"/>
      <c r="I390" s="30" t="inlineStr"/>
      <c r="J390" s="30" t="inlineStr"/>
      <c r="K390" s="15">
        <f>IF(OR(A390="",E390="",G390=0),"",E390/G390)</f>
        <v/>
      </c>
      <c r="L390" s="15">
        <f>IF(A390="","",MAX(0,E390-K390*MAX(0,GJ-YEAR(F390))))</f>
        <v/>
      </c>
    </row>
    <row r="391">
      <c r="A391" s="30" t="inlineStr"/>
      <c r="B391" s="30" t="inlineStr"/>
      <c r="C391" s="30" t="inlineStr"/>
      <c r="D391" s="30" t="inlineStr"/>
      <c r="E391" s="34" t="inlineStr"/>
      <c r="F391" s="38" t="inlineStr"/>
      <c r="G391" s="31" t="inlineStr"/>
      <c r="H391" s="34" t="inlineStr"/>
      <c r="I391" s="30" t="inlineStr"/>
      <c r="J391" s="30" t="inlineStr"/>
      <c r="K391" s="15">
        <f>IF(OR(A391="",E391="",G391=0),"",E391/G391)</f>
        <v/>
      </c>
      <c r="L391" s="15">
        <f>IF(A391="","",MAX(0,E391-K391*MAX(0,GJ-YEAR(F391))))</f>
        <v/>
      </c>
    </row>
    <row r="392">
      <c r="A392" s="30" t="inlineStr"/>
      <c r="B392" s="30" t="inlineStr"/>
      <c r="C392" s="30" t="inlineStr"/>
      <c r="D392" s="30" t="inlineStr"/>
      <c r="E392" s="34" t="inlineStr"/>
      <c r="F392" s="38" t="inlineStr"/>
      <c r="G392" s="31" t="inlineStr"/>
      <c r="H392" s="34" t="inlineStr"/>
      <c r="I392" s="30" t="inlineStr"/>
      <c r="J392" s="30" t="inlineStr"/>
      <c r="K392" s="15">
        <f>IF(OR(A392="",E392="",G392=0),"",E392/G392)</f>
        <v/>
      </c>
      <c r="L392" s="15">
        <f>IF(A392="","",MAX(0,E392-K392*MAX(0,GJ-YEAR(F392))))</f>
        <v/>
      </c>
    </row>
    <row r="393">
      <c r="A393" s="30" t="inlineStr"/>
      <c r="B393" s="30" t="inlineStr"/>
      <c r="C393" s="30" t="inlineStr"/>
      <c r="D393" s="30" t="inlineStr"/>
      <c r="E393" s="34" t="inlineStr"/>
      <c r="F393" s="38" t="inlineStr"/>
      <c r="G393" s="31" t="inlineStr"/>
      <c r="H393" s="34" t="inlineStr"/>
      <c r="I393" s="30" t="inlineStr"/>
      <c r="J393" s="30" t="inlineStr"/>
      <c r="K393" s="15">
        <f>IF(OR(A393="",E393="",G393=0),"",E393/G393)</f>
        <v/>
      </c>
      <c r="L393" s="15">
        <f>IF(A393="","",MAX(0,E393-K393*MAX(0,GJ-YEAR(F393))))</f>
        <v/>
      </c>
    </row>
    <row r="394">
      <c r="A394" s="30" t="inlineStr"/>
      <c r="B394" s="30" t="inlineStr"/>
      <c r="C394" s="30" t="inlineStr"/>
      <c r="D394" s="30" t="inlineStr"/>
      <c r="E394" s="34" t="inlineStr"/>
      <c r="F394" s="38" t="inlineStr"/>
      <c r="G394" s="31" t="inlineStr"/>
      <c r="H394" s="34" t="inlineStr"/>
      <c r="I394" s="30" t="inlineStr"/>
      <c r="J394" s="30" t="inlineStr"/>
      <c r="K394" s="15">
        <f>IF(OR(A394="",E394="",G394=0),"",E394/G394)</f>
        <v/>
      </c>
      <c r="L394" s="15">
        <f>IF(A394="","",MAX(0,E394-K394*MAX(0,GJ-YEAR(F394))))</f>
        <v/>
      </c>
    </row>
    <row r="395">
      <c r="A395" s="30" t="inlineStr"/>
      <c r="B395" s="30" t="inlineStr"/>
      <c r="C395" s="30" t="inlineStr"/>
      <c r="D395" s="30" t="inlineStr"/>
      <c r="E395" s="34" t="inlineStr"/>
      <c r="F395" s="38" t="inlineStr"/>
      <c r="G395" s="31" t="inlineStr"/>
      <c r="H395" s="34" t="inlineStr"/>
      <c r="I395" s="30" t="inlineStr"/>
      <c r="J395" s="30" t="inlineStr"/>
      <c r="K395" s="15">
        <f>IF(OR(A395="",E395="",G395=0),"",E395/G395)</f>
        <v/>
      </c>
      <c r="L395" s="15">
        <f>IF(A395="","",MAX(0,E395-K395*MAX(0,GJ-YEAR(F395))))</f>
        <v/>
      </c>
    </row>
    <row r="396">
      <c r="A396" s="30" t="inlineStr"/>
      <c r="B396" s="30" t="inlineStr"/>
      <c r="C396" s="30" t="inlineStr"/>
      <c r="D396" s="30" t="inlineStr"/>
      <c r="E396" s="34" t="inlineStr"/>
      <c r="F396" s="38" t="inlineStr"/>
      <c r="G396" s="31" t="inlineStr"/>
      <c r="H396" s="34" t="inlineStr"/>
      <c r="I396" s="30" t="inlineStr"/>
      <c r="J396" s="30" t="inlineStr"/>
      <c r="K396" s="15">
        <f>IF(OR(A396="",E396="",G396=0),"",E396/G396)</f>
        <v/>
      </c>
      <c r="L396" s="15">
        <f>IF(A396="","",MAX(0,E396-K396*MAX(0,GJ-YEAR(F396))))</f>
        <v/>
      </c>
    </row>
    <row r="397">
      <c r="A397" s="30" t="inlineStr"/>
      <c r="B397" s="30" t="inlineStr"/>
      <c r="C397" s="30" t="inlineStr"/>
      <c r="D397" s="30" t="inlineStr"/>
      <c r="E397" s="34" t="inlineStr"/>
      <c r="F397" s="38" t="inlineStr"/>
      <c r="G397" s="31" t="inlineStr"/>
      <c r="H397" s="34" t="inlineStr"/>
      <c r="I397" s="30" t="inlineStr"/>
      <c r="J397" s="30" t="inlineStr"/>
      <c r="K397" s="15">
        <f>IF(OR(A397="",E397="",G397=0),"",E397/G397)</f>
        <v/>
      </c>
      <c r="L397" s="15">
        <f>IF(A397="","",MAX(0,E397-K397*MAX(0,GJ-YEAR(F397))))</f>
        <v/>
      </c>
    </row>
    <row r="398">
      <c r="A398" s="30" t="inlineStr"/>
      <c r="B398" s="30" t="inlineStr"/>
      <c r="C398" s="30" t="inlineStr"/>
      <c r="D398" s="30" t="inlineStr"/>
      <c r="E398" s="34" t="inlineStr"/>
      <c r="F398" s="38" t="inlineStr"/>
      <c r="G398" s="31" t="inlineStr"/>
      <c r="H398" s="34" t="inlineStr"/>
      <c r="I398" s="30" t="inlineStr"/>
      <c r="J398" s="30" t="inlineStr"/>
      <c r="K398" s="15">
        <f>IF(OR(A398="",E398="",G398=0),"",E398/G398)</f>
        <v/>
      </c>
      <c r="L398" s="15">
        <f>IF(A398="","",MAX(0,E398-K398*MAX(0,GJ-YEAR(F398))))</f>
        <v/>
      </c>
    </row>
    <row r="399">
      <c r="A399" s="30" t="inlineStr"/>
      <c r="B399" s="30" t="inlineStr"/>
      <c r="C399" s="30" t="inlineStr"/>
      <c r="D399" s="30" t="inlineStr"/>
      <c r="E399" s="34" t="inlineStr"/>
      <c r="F399" s="38" t="inlineStr"/>
      <c r="G399" s="31" t="inlineStr"/>
      <c r="H399" s="34" t="inlineStr"/>
      <c r="I399" s="30" t="inlineStr"/>
      <c r="J399" s="30" t="inlineStr"/>
      <c r="K399" s="15">
        <f>IF(OR(A399="",E399="",G399=0),"",E399/G399)</f>
        <v/>
      </c>
      <c r="L399" s="15">
        <f>IF(A399="","",MAX(0,E399-K399*MAX(0,GJ-YEAR(F399))))</f>
        <v/>
      </c>
    </row>
    <row r="400">
      <c r="A400" s="30" t="inlineStr"/>
      <c r="B400" s="30" t="inlineStr"/>
      <c r="C400" s="30" t="inlineStr"/>
      <c r="D400" s="30" t="inlineStr"/>
      <c r="E400" s="34" t="inlineStr"/>
      <c r="F400" s="38" t="inlineStr"/>
      <c r="G400" s="31" t="inlineStr"/>
      <c r="H400" s="34" t="inlineStr"/>
      <c r="I400" s="30" t="inlineStr"/>
      <c r="J400" s="30" t="inlineStr"/>
      <c r="K400" s="15">
        <f>IF(OR(A400="",E400="",G400=0),"",E400/G400)</f>
        <v/>
      </c>
      <c r="L400" s="15">
        <f>IF(A400="","",MAX(0,E400-K400*MAX(0,GJ-YEAR(F400))))</f>
        <v/>
      </c>
    </row>
  </sheetData>
  <mergeCells count="2">
    <mergeCell ref="A2:L2"/>
    <mergeCell ref="A1:L1"/>
  </mergeCells>
  <dataValidations count="1">
    <dataValidation sqref="I4:I400" showDropDown="0" showInputMessage="0" showErrorMessage="0" allowBlank="1" errorTitle="Ungültige Auswahl" error="Bitte einen Wert aus der Liste wählen." promptTitle="Liste" prompt="Auswahl" type="list">
      <formula1>=ProjektNr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2C5282"/>
    <outlinePr summaryBelow="1" summaryRight="1"/>
    <pageSetUpPr/>
  </sheetPr>
  <dimension ref="A1:P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1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Kunden / Auftraggeber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P1" s="3" t="n"/>
    </row>
    <row r="2" ht="18" customHeight="1">
      <c r="A2" s="4" t="inlineStr">
        <is>
          <t>Debitorenstamm für Angebote, Aufträge, Rechnungen und Mahnungen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3" t="n"/>
      <c r="P2" s="3" t="n"/>
    </row>
    <row r="3" ht="28" customHeight="1">
      <c r="A3" s="17" t="inlineStr">
        <is>
          <t>Nr</t>
        </is>
      </c>
      <c r="B3" s="17" t="inlineStr">
        <is>
          <t>Name</t>
        </is>
      </c>
      <c r="C3" s="17" t="inlineStr">
        <is>
          <t>Typ</t>
        </is>
      </c>
      <c r="D3" s="17" t="inlineStr">
        <is>
          <t>Ansprechpartner</t>
        </is>
      </c>
      <c r="E3" s="17" t="inlineStr">
        <is>
          <t>Straße</t>
        </is>
      </c>
      <c r="F3" s="17" t="inlineStr">
        <is>
          <t>PLZ</t>
        </is>
      </c>
      <c r="G3" s="17" t="inlineStr">
        <is>
          <t>Ort</t>
        </is>
      </c>
      <c r="H3" s="17" t="inlineStr">
        <is>
          <t>Telefon</t>
        </is>
      </c>
      <c r="I3" s="17" t="inlineStr">
        <is>
          <t>E-Mail</t>
        </is>
      </c>
      <c r="J3" s="17" t="inlineStr">
        <is>
          <t>Zahlungsziel</t>
        </is>
      </c>
      <c r="K3" s="17" t="inlineStr">
        <is>
          <t>Skonto</t>
        </is>
      </c>
      <c r="L3" s="17" t="inlineStr">
        <is>
          <t>ABC</t>
        </is>
      </c>
      <c r="M3" s="17" t="inlineStr">
        <is>
          <t>Status</t>
        </is>
      </c>
      <c r="N3" s="17" t="inlineStr">
        <is>
          <t>Notiz</t>
        </is>
      </c>
      <c r="O3" s="3" t="n"/>
      <c r="P3" s="3" t="n"/>
    </row>
    <row r="4">
      <c r="A4" s="30" t="inlineStr">
        <is>
          <t>K-1001</t>
        </is>
      </c>
      <c r="B4" s="30" t="inlineStr">
        <is>
          <t>Wohnbau Alpenland AG</t>
        </is>
      </c>
      <c r="C4" s="30" t="inlineStr">
        <is>
          <t>Firma</t>
        </is>
      </c>
      <c r="D4" s="30" t="inlineStr">
        <is>
          <t>Lisa Hartmann</t>
        </is>
      </c>
      <c r="E4" s="30" t="inlineStr">
        <is>
          <t>Prinzregentenstr. 22</t>
        </is>
      </c>
      <c r="F4" s="30" t="inlineStr">
        <is>
          <t>80538</t>
        </is>
      </c>
      <c r="G4" s="30" t="inlineStr">
        <is>
          <t>München</t>
        </is>
      </c>
      <c r="H4" s="30" t="inlineStr">
        <is>
          <t>089 1200 440</t>
        </is>
      </c>
      <c r="I4" s="30" t="inlineStr">
        <is>
          <t>l.hartmann@wohnbau-alpenland.de</t>
        </is>
      </c>
      <c r="J4" s="31" t="n">
        <v>30</v>
      </c>
      <c r="K4" s="32" t="n">
        <v>0.02</v>
      </c>
      <c r="L4" s="30" t="inlineStr">
        <is>
          <t>A</t>
        </is>
      </c>
      <c r="M4" s="30" t="inlineStr">
        <is>
          <t>Aktiv</t>
        </is>
      </c>
      <c r="N4" s="30" t="inlineStr">
        <is>
          <t>Großkunde Wohnungsbau</t>
        </is>
      </c>
      <c r="O4" s="3" t="n"/>
      <c r="P4" s="3" t="n"/>
    </row>
    <row r="5">
      <c r="A5" s="30" t="inlineStr">
        <is>
          <t>K-1002</t>
        </is>
      </c>
      <c r="B5" s="30" t="inlineStr">
        <is>
          <t>Stadt Freising</t>
        </is>
      </c>
      <c r="C5" s="30" t="inlineStr">
        <is>
          <t>Kommune</t>
        </is>
      </c>
      <c r="D5" s="30" t="inlineStr">
        <is>
          <t>Amt Hochbau</t>
        </is>
      </c>
      <c r="E5" s="30" t="inlineStr">
        <is>
          <t>Obere Hauptstr. 2</t>
        </is>
      </c>
      <c r="F5" s="30" t="inlineStr">
        <is>
          <t>85354</t>
        </is>
      </c>
      <c r="G5" s="30" t="inlineStr">
        <is>
          <t>Freising</t>
        </is>
      </c>
      <c r="H5" s="30" t="inlineStr">
        <is>
          <t>08161 17-0</t>
        </is>
      </c>
      <c r="I5" s="30" t="inlineStr">
        <is>
          <t>hochbau@freising.de</t>
        </is>
      </c>
      <c r="J5" s="31" t="n">
        <v>45</v>
      </c>
      <c r="K5" s="32" t="n">
        <v>0</v>
      </c>
      <c r="L5" s="30" t="inlineStr">
        <is>
          <t>A</t>
        </is>
      </c>
      <c r="M5" s="30" t="inlineStr">
        <is>
          <t>Aktiv</t>
        </is>
      </c>
      <c r="N5" s="30" t="inlineStr">
        <is>
          <t>Öffentlicher Auftraggeber VOB/A</t>
        </is>
      </c>
      <c r="O5" s="3" t="n"/>
      <c r="P5" s="3" t="n"/>
    </row>
    <row r="6">
      <c r="A6" s="30" t="inlineStr">
        <is>
          <t>K-1003</t>
        </is>
      </c>
      <c r="B6" s="30" t="inlineStr">
        <is>
          <t>Kita Träger Freising e.V.</t>
        </is>
      </c>
      <c r="C6" s="30" t="inlineStr">
        <is>
          <t>Verein</t>
        </is>
      </c>
      <c r="D6" s="30" t="inlineStr">
        <is>
          <t>Sabine Kohl</t>
        </is>
      </c>
      <c r="E6" s="30" t="inlineStr">
        <is>
          <t>Sonnenweg 4</t>
        </is>
      </c>
      <c r="F6" s="30" t="inlineStr">
        <is>
          <t>85354</t>
        </is>
      </c>
      <c r="G6" s="30" t="inlineStr">
        <is>
          <t>Freising</t>
        </is>
      </c>
      <c r="H6" s="30" t="inlineStr">
        <is>
          <t>08161 88910</t>
        </is>
      </c>
      <c r="I6" s="30" t="inlineStr">
        <is>
          <t>verwaltung@kita-freising.de</t>
        </is>
      </c>
      <c r="J6" s="31" t="n">
        <v>21</v>
      </c>
      <c r="K6" s="32" t="n">
        <v>0.02</v>
      </c>
      <c r="L6" s="30" t="inlineStr">
        <is>
          <t>B</t>
        </is>
      </c>
      <c r="M6" s="30" t="inlineStr">
        <is>
          <t>Aktiv</t>
        </is>
      </c>
      <c r="N6" s="30" t="inlineStr">
        <is>
          <t>Sozialer Träger</t>
        </is>
      </c>
      <c r="O6" s="3" t="n"/>
      <c r="P6" s="3" t="n"/>
    </row>
    <row r="7">
      <c r="A7" s="30" t="inlineStr">
        <is>
          <t>K-1004</t>
        </is>
      </c>
      <c r="B7" s="30" t="inlineStr">
        <is>
          <t>Nordpark Gewerbe GmbH</t>
        </is>
      </c>
      <c r="C7" s="30" t="inlineStr">
        <is>
          <t>Firma</t>
        </is>
      </c>
      <c r="D7" s="30" t="inlineStr">
        <is>
          <t>Thomas Reiter</t>
        </is>
      </c>
      <c r="E7" s="30" t="inlineStr">
        <is>
          <t>Am Nordpark 9</t>
        </is>
      </c>
      <c r="F7" s="30" t="inlineStr">
        <is>
          <t>85221</t>
        </is>
      </c>
      <c r="G7" s="30" t="inlineStr">
        <is>
          <t>Dachau</t>
        </is>
      </c>
      <c r="H7" s="30" t="inlineStr">
        <is>
          <t>08131 55620</t>
        </is>
      </c>
      <c r="I7" s="30" t="inlineStr">
        <is>
          <t>t.reiter@nordpark-gewerbe.de</t>
        </is>
      </c>
      <c r="J7" s="31" t="n">
        <v>30</v>
      </c>
      <c r="K7" s="32" t="n">
        <v>0.02</v>
      </c>
      <c r="L7" s="30" t="inlineStr">
        <is>
          <t>A</t>
        </is>
      </c>
      <c r="M7" s="30" t="inlineStr">
        <is>
          <t>Aktiv</t>
        </is>
      </c>
      <c r="N7" s="30" t="inlineStr">
        <is>
          <t>Industrie / Halle</t>
        </is>
      </c>
    </row>
    <row r="8">
      <c r="A8" s="30" t="inlineStr">
        <is>
          <t>K-1005</t>
        </is>
      </c>
      <c r="B8" s="30" t="inlineStr">
        <is>
          <t>Familie Huber</t>
        </is>
      </c>
      <c r="C8" s="30" t="inlineStr">
        <is>
          <t>Privat</t>
        </is>
      </c>
      <c r="D8" s="30" t="inlineStr">
        <is>
          <t>Martin Huber</t>
        </is>
      </c>
      <c r="E8" s="30" t="inlineStr">
        <is>
          <t>Lindenweg 7</t>
        </is>
      </c>
      <c r="F8" s="30" t="inlineStr">
        <is>
          <t>85435</t>
        </is>
      </c>
      <c r="G8" s="30" t="inlineStr">
        <is>
          <t>Erding</t>
        </is>
      </c>
      <c r="H8" s="30" t="inlineStr">
        <is>
          <t>08122 9912</t>
        </is>
      </c>
      <c r="I8" s="30" t="inlineStr">
        <is>
          <t>martin.huber@web.de</t>
        </is>
      </c>
      <c r="J8" s="31" t="n">
        <v>14</v>
      </c>
      <c r="K8" s="32" t="n">
        <v>0</v>
      </c>
      <c r="L8" s="30" t="inlineStr">
        <is>
          <t>C</t>
        </is>
      </c>
      <c r="M8" s="30" t="inlineStr">
        <is>
          <t>Aktiv</t>
        </is>
      </c>
      <c r="N8" s="30" t="inlineStr">
        <is>
          <t>EFH Privatkunde</t>
        </is>
      </c>
    </row>
    <row r="9">
      <c r="A9" s="30" t="inlineStr">
        <is>
          <t>K-1006</t>
        </is>
      </c>
      <c r="B9" s="30" t="inlineStr">
        <is>
          <t>Staatliches Bauamt Freising</t>
        </is>
      </c>
      <c r="C9" s="30" t="inlineStr">
        <is>
          <t>Behörde</t>
        </is>
      </c>
      <c r="D9" s="30" t="inlineStr">
        <is>
          <t>Vergabestelle</t>
        </is>
      </c>
      <c r="E9" s="30" t="inlineStr">
        <is>
          <t>Landshuter Str. 31</t>
        </is>
      </c>
      <c r="F9" s="30" t="inlineStr">
        <is>
          <t>85356</t>
        </is>
      </c>
      <c r="G9" s="30" t="inlineStr">
        <is>
          <t>Freising</t>
        </is>
      </c>
      <c r="H9" s="30" t="inlineStr">
        <is>
          <t>08161 403-0</t>
        </is>
      </c>
      <c r="I9" s="30" t="inlineStr">
        <is>
          <t>vergabe@stba-fs.bayern.de</t>
        </is>
      </c>
      <c r="J9" s="31" t="n">
        <v>60</v>
      </c>
      <c r="K9" s="32" t="n">
        <v>0</v>
      </c>
      <c r="L9" s="30" t="inlineStr">
        <is>
          <t>A</t>
        </is>
      </c>
      <c r="M9" s="30" t="inlineStr">
        <is>
          <t>Aktiv</t>
        </is>
      </c>
      <c r="N9" s="30" t="inlineStr">
        <is>
          <t>Straßen- und Tiefbau</t>
        </is>
      </c>
    </row>
    <row r="10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1" t="n"/>
      <c r="K10" s="32" t="n"/>
      <c r="L10" s="30" t="n"/>
      <c r="M10" s="30" t="n"/>
      <c r="N10" s="30" t="n"/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1" t="n"/>
      <c r="K11" s="32" t="n"/>
      <c r="L11" s="30" t="n"/>
      <c r="M11" s="30" t="n"/>
      <c r="N11" s="30" t="n"/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1" t="n"/>
      <c r="K12" s="32" t="n"/>
      <c r="L12" s="30" t="n"/>
      <c r="M12" s="30" t="n"/>
      <c r="N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1" t="n"/>
      <c r="K13" s="32" t="n"/>
      <c r="L13" s="30" t="n"/>
      <c r="M13" s="30" t="n"/>
      <c r="N13" s="30" t="n"/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1" t="n"/>
      <c r="K14" s="32" t="n"/>
      <c r="L14" s="30" t="n"/>
      <c r="M14" s="30" t="n"/>
      <c r="N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1" t="n"/>
      <c r="K15" s="32" t="n"/>
      <c r="L15" s="30" t="n"/>
      <c r="M15" s="30" t="n"/>
      <c r="N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1" t="n"/>
      <c r="K16" s="32" t="n"/>
      <c r="L16" s="30" t="n"/>
      <c r="M16" s="30" t="n"/>
      <c r="N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1" t="n"/>
      <c r="K17" s="32" t="n"/>
      <c r="L17" s="30" t="n"/>
      <c r="M17" s="30" t="n"/>
      <c r="N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1" t="n"/>
      <c r="K18" s="32" t="n"/>
      <c r="L18" s="30" t="n"/>
      <c r="M18" s="30" t="n"/>
      <c r="N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1" t="n"/>
      <c r="K19" s="32" t="n"/>
      <c r="L19" s="30" t="n"/>
      <c r="M19" s="30" t="n"/>
      <c r="N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1" t="n"/>
      <c r="K20" s="32" t="n"/>
      <c r="L20" s="30" t="n"/>
      <c r="M20" s="30" t="n"/>
      <c r="N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1" t="n"/>
      <c r="K21" s="32" t="n"/>
      <c r="L21" s="30" t="n"/>
      <c r="M21" s="30" t="n"/>
      <c r="N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1" t="n"/>
      <c r="K22" s="32" t="n"/>
      <c r="L22" s="30" t="n"/>
      <c r="M22" s="30" t="n"/>
      <c r="N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1" t="n"/>
      <c r="K23" s="32" t="n"/>
      <c r="L23" s="30" t="n"/>
      <c r="M23" s="30" t="n"/>
      <c r="N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1" t="n"/>
      <c r="K24" s="32" t="n"/>
      <c r="L24" s="30" t="n"/>
      <c r="M24" s="30" t="n"/>
      <c r="N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1" t="n"/>
      <c r="K25" s="32" t="n"/>
      <c r="L25" s="30" t="n"/>
      <c r="M25" s="30" t="n"/>
      <c r="N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1" t="n"/>
      <c r="K26" s="32" t="n"/>
      <c r="L26" s="30" t="n"/>
      <c r="M26" s="30" t="n"/>
      <c r="N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1" t="n"/>
      <c r="K27" s="32" t="n"/>
      <c r="L27" s="30" t="n"/>
      <c r="M27" s="30" t="n"/>
      <c r="N27" s="30" t="n"/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1" t="n"/>
      <c r="K28" s="32" t="n"/>
      <c r="L28" s="30" t="n"/>
      <c r="M28" s="30" t="n"/>
      <c r="N28" s="30" t="n"/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1" t="n"/>
      <c r="K29" s="32" t="n"/>
      <c r="L29" s="30" t="n"/>
      <c r="M29" s="30" t="n"/>
      <c r="N29" s="30" t="n"/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1" t="n"/>
      <c r="K30" s="32" t="n"/>
      <c r="L30" s="30" t="n"/>
      <c r="M30" s="30" t="n"/>
      <c r="N30" s="30" t="n"/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1" t="n"/>
      <c r="K31" s="32" t="n"/>
      <c r="L31" s="30" t="n"/>
      <c r="M31" s="30" t="n"/>
      <c r="N31" s="30" t="n"/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1" t="n"/>
      <c r="K32" s="32" t="n"/>
      <c r="L32" s="30" t="n"/>
      <c r="M32" s="30" t="n"/>
      <c r="N32" s="30" t="n"/>
    </row>
    <row r="33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1" t="n"/>
      <c r="K33" s="32" t="n"/>
      <c r="L33" s="30" t="n"/>
      <c r="M33" s="30" t="n"/>
      <c r="N33" s="30" t="n"/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1" t="n"/>
      <c r="K34" s="32" t="n"/>
      <c r="L34" s="30" t="n"/>
      <c r="M34" s="30" t="n"/>
      <c r="N34" s="30" t="n"/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1" t="n"/>
      <c r="K35" s="32" t="n"/>
      <c r="L35" s="30" t="n"/>
      <c r="M35" s="30" t="n"/>
      <c r="N35" s="30" t="n"/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1" t="n"/>
      <c r="K36" s="32" t="n"/>
      <c r="L36" s="30" t="n"/>
      <c r="M36" s="30" t="n"/>
      <c r="N36" s="30" t="n"/>
    </row>
    <row r="37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1" t="n"/>
      <c r="K37" s="32" t="n"/>
      <c r="L37" s="30" t="n"/>
      <c r="M37" s="30" t="n"/>
      <c r="N37" s="30" t="n"/>
    </row>
    <row r="38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1" t="n"/>
      <c r="K38" s="32" t="n"/>
      <c r="L38" s="30" t="n"/>
      <c r="M38" s="30" t="n"/>
      <c r="N38" s="30" t="n"/>
    </row>
    <row r="3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1" t="n"/>
      <c r="K39" s="32" t="n"/>
      <c r="L39" s="30" t="n"/>
      <c r="M39" s="30" t="n"/>
      <c r="N39" s="30" t="n"/>
    </row>
    <row r="4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1" t="n"/>
      <c r="K40" s="32" t="n"/>
      <c r="L40" s="30" t="n"/>
      <c r="M40" s="30" t="n"/>
      <c r="N40" s="30" t="n"/>
    </row>
    <row r="4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1" t="n"/>
      <c r="K41" s="32" t="n"/>
      <c r="L41" s="30" t="n"/>
      <c r="M41" s="30" t="n"/>
      <c r="N41" s="30" t="n"/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1" t="n"/>
      <c r="K42" s="32" t="n"/>
      <c r="L42" s="30" t="n"/>
      <c r="M42" s="30" t="n"/>
      <c r="N42" s="30" t="n"/>
    </row>
    <row r="43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1" t="n"/>
      <c r="K43" s="32" t="n"/>
      <c r="L43" s="30" t="n"/>
      <c r="M43" s="30" t="n"/>
      <c r="N43" s="30" t="n"/>
    </row>
    <row r="44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1" t="n"/>
      <c r="K44" s="32" t="n"/>
      <c r="L44" s="30" t="n"/>
      <c r="M44" s="30" t="n"/>
      <c r="N44" s="30" t="n"/>
    </row>
    <row r="4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1" t="n"/>
      <c r="K45" s="32" t="n"/>
      <c r="L45" s="30" t="n"/>
      <c r="M45" s="30" t="n"/>
      <c r="N45" s="30" t="n"/>
    </row>
    <row r="46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1" t="n"/>
      <c r="K46" s="32" t="n"/>
      <c r="L46" s="30" t="n"/>
      <c r="M46" s="30" t="n"/>
      <c r="N46" s="30" t="n"/>
    </row>
    <row r="47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1" t="n"/>
      <c r="K47" s="32" t="n"/>
      <c r="L47" s="30" t="n"/>
      <c r="M47" s="30" t="n"/>
      <c r="N47" s="30" t="n"/>
    </row>
    <row r="48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1" t="n"/>
      <c r="K48" s="32" t="n"/>
      <c r="L48" s="30" t="n"/>
      <c r="M48" s="30" t="n"/>
      <c r="N48" s="30" t="n"/>
    </row>
    <row r="4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1" t="n"/>
      <c r="K49" s="32" t="n"/>
      <c r="L49" s="30" t="n"/>
      <c r="M49" s="30" t="n"/>
      <c r="N49" s="30" t="n"/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1" t="n"/>
      <c r="K50" s="32" t="n"/>
      <c r="L50" s="30" t="n"/>
      <c r="M50" s="30" t="n"/>
      <c r="N50" s="30" t="n"/>
    </row>
    <row r="5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1" t="n"/>
      <c r="K51" s="32" t="n"/>
      <c r="L51" s="30" t="n"/>
      <c r="M51" s="30" t="n"/>
      <c r="N51" s="30" t="n"/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1" t="n"/>
      <c r="K52" s="32" t="n"/>
      <c r="L52" s="30" t="n"/>
      <c r="M52" s="30" t="n"/>
      <c r="N52" s="30" t="n"/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1" t="n"/>
      <c r="K53" s="32" t="n"/>
      <c r="L53" s="30" t="n"/>
      <c r="M53" s="30" t="n"/>
      <c r="N53" s="30" t="n"/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1" t="n"/>
      <c r="K54" s="32" t="n"/>
      <c r="L54" s="30" t="n"/>
      <c r="M54" s="30" t="n"/>
      <c r="N54" s="30" t="n"/>
    </row>
    <row r="5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1" t="n"/>
      <c r="K55" s="32" t="n"/>
      <c r="L55" s="30" t="n"/>
      <c r="M55" s="30" t="n"/>
      <c r="N55" s="30" t="n"/>
    </row>
    <row r="56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1" t="n"/>
      <c r="K56" s="32" t="n"/>
      <c r="L56" s="30" t="n"/>
      <c r="M56" s="30" t="n"/>
      <c r="N56" s="30" t="n"/>
    </row>
    <row r="57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1" t="n"/>
      <c r="K57" s="32" t="n"/>
      <c r="L57" s="30" t="n"/>
      <c r="M57" s="30" t="n"/>
      <c r="N57" s="30" t="n"/>
    </row>
    <row r="58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1" t="n"/>
      <c r="K58" s="32" t="n"/>
      <c r="L58" s="30" t="n"/>
      <c r="M58" s="30" t="n"/>
      <c r="N58" s="30" t="n"/>
    </row>
    <row r="59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1" t="n"/>
      <c r="K59" s="32" t="n"/>
      <c r="L59" s="30" t="n"/>
      <c r="M59" s="30" t="n"/>
      <c r="N59" s="30" t="n"/>
    </row>
    <row r="60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1" t="n"/>
      <c r="K60" s="32" t="n"/>
      <c r="L60" s="30" t="n"/>
      <c r="M60" s="30" t="n"/>
      <c r="N60" s="30" t="n"/>
    </row>
    <row r="6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1" t="n"/>
      <c r="K61" s="32" t="n"/>
      <c r="L61" s="30" t="n"/>
      <c r="M61" s="30" t="n"/>
      <c r="N61" s="30" t="n"/>
    </row>
    <row r="62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1" t="n"/>
      <c r="K62" s="32" t="n"/>
      <c r="L62" s="30" t="n"/>
      <c r="M62" s="30" t="n"/>
      <c r="N62" s="30" t="n"/>
    </row>
    <row r="63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1" t="n"/>
      <c r="K63" s="32" t="n"/>
      <c r="L63" s="30" t="n"/>
      <c r="M63" s="30" t="n"/>
      <c r="N63" s="30" t="n"/>
    </row>
    <row r="64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1" t="n"/>
      <c r="K64" s="32" t="n"/>
      <c r="L64" s="30" t="n"/>
      <c r="M64" s="30" t="n"/>
      <c r="N64" s="30" t="n"/>
    </row>
    <row r="65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1" t="n"/>
      <c r="K65" s="32" t="n"/>
      <c r="L65" s="30" t="n"/>
      <c r="M65" s="30" t="n"/>
      <c r="N65" s="30" t="n"/>
    </row>
    <row r="66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1" t="n"/>
      <c r="K66" s="32" t="n"/>
      <c r="L66" s="30" t="n"/>
      <c r="M66" s="30" t="n"/>
      <c r="N66" s="30" t="n"/>
    </row>
    <row r="67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1" t="n"/>
      <c r="K67" s="32" t="n"/>
      <c r="L67" s="30" t="n"/>
      <c r="M67" s="30" t="n"/>
      <c r="N67" s="30" t="n"/>
    </row>
    <row r="68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1" t="n"/>
      <c r="K68" s="32" t="n"/>
      <c r="L68" s="30" t="n"/>
      <c r="M68" s="30" t="n"/>
      <c r="N68" s="30" t="n"/>
    </row>
    <row r="69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1" t="n"/>
      <c r="K69" s="32" t="n"/>
      <c r="L69" s="30" t="n"/>
      <c r="M69" s="30" t="n"/>
      <c r="N69" s="30" t="n"/>
    </row>
    <row r="70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1" t="n"/>
      <c r="K70" s="32" t="n"/>
      <c r="L70" s="30" t="n"/>
      <c r="M70" s="30" t="n"/>
      <c r="N70" s="30" t="n"/>
    </row>
    <row r="7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1" t="n"/>
      <c r="K71" s="32" t="n"/>
      <c r="L71" s="30" t="n"/>
      <c r="M71" s="30" t="n"/>
      <c r="N71" s="30" t="n"/>
    </row>
    <row r="72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1" t="n"/>
      <c r="K72" s="32" t="n"/>
      <c r="L72" s="30" t="n"/>
      <c r="M72" s="30" t="n"/>
      <c r="N72" s="30" t="n"/>
    </row>
    <row r="73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1" t="n"/>
      <c r="K73" s="32" t="n"/>
      <c r="L73" s="30" t="n"/>
      <c r="M73" s="30" t="n"/>
      <c r="N73" s="30" t="n"/>
    </row>
    <row r="74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1" t="n"/>
      <c r="K74" s="32" t="n"/>
      <c r="L74" s="30" t="n"/>
      <c r="M74" s="30" t="n"/>
      <c r="N74" s="30" t="n"/>
    </row>
    <row r="75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1" t="n"/>
      <c r="K75" s="32" t="n"/>
      <c r="L75" s="30" t="n"/>
      <c r="M75" s="30" t="n"/>
      <c r="N75" s="30" t="n"/>
    </row>
    <row r="76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1" t="n"/>
      <c r="K76" s="32" t="n"/>
      <c r="L76" s="30" t="n"/>
      <c r="M76" s="30" t="n"/>
      <c r="N76" s="30" t="n"/>
    </row>
    <row r="77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1" t="n"/>
      <c r="K77" s="32" t="n"/>
      <c r="L77" s="30" t="n"/>
      <c r="M77" s="30" t="n"/>
      <c r="N77" s="30" t="n"/>
    </row>
    <row r="78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1" t="n"/>
      <c r="K78" s="32" t="n"/>
      <c r="L78" s="30" t="n"/>
      <c r="M78" s="30" t="n"/>
      <c r="N78" s="30" t="n"/>
    </row>
    <row r="79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1" t="n"/>
      <c r="K79" s="32" t="n"/>
      <c r="L79" s="30" t="n"/>
      <c r="M79" s="30" t="n"/>
      <c r="N79" s="30" t="n"/>
    </row>
    <row r="80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1" t="n"/>
      <c r="K80" s="32" t="n"/>
      <c r="L80" s="30" t="n"/>
      <c r="M80" s="30" t="n"/>
      <c r="N80" s="30" t="n"/>
    </row>
    <row r="81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1" t="n"/>
      <c r="K81" s="32" t="n"/>
      <c r="L81" s="30" t="n"/>
      <c r="M81" s="30" t="n"/>
      <c r="N81" s="30" t="n"/>
    </row>
    <row r="82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1" t="n"/>
      <c r="K82" s="32" t="n"/>
      <c r="L82" s="30" t="n"/>
      <c r="M82" s="30" t="n"/>
      <c r="N82" s="30" t="n"/>
    </row>
    <row r="83">
      <c r="A83" s="30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31" t="n"/>
      <c r="K83" s="32" t="n"/>
      <c r="L83" s="30" t="n"/>
      <c r="M83" s="30" t="n"/>
      <c r="N83" s="30" t="n"/>
    </row>
    <row r="84">
      <c r="A84" s="30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1" t="n"/>
      <c r="K84" s="32" t="n"/>
      <c r="L84" s="30" t="n"/>
      <c r="M84" s="30" t="n"/>
      <c r="N84" s="30" t="n"/>
    </row>
    <row r="85">
      <c r="A85" s="30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31" t="n"/>
      <c r="K85" s="32" t="n"/>
      <c r="L85" s="30" t="n"/>
      <c r="M85" s="30" t="n"/>
      <c r="N85" s="30" t="n"/>
    </row>
    <row r="86">
      <c r="A86" s="30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1" t="n"/>
      <c r="K86" s="32" t="n"/>
      <c r="L86" s="30" t="n"/>
      <c r="M86" s="30" t="n"/>
      <c r="N86" s="30" t="n"/>
    </row>
    <row r="87">
      <c r="A87" s="30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31" t="n"/>
      <c r="K87" s="32" t="n"/>
      <c r="L87" s="30" t="n"/>
      <c r="M87" s="30" t="n"/>
      <c r="N87" s="30" t="n"/>
    </row>
    <row r="88">
      <c r="A88" s="30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1" t="n"/>
      <c r="K88" s="32" t="n"/>
      <c r="L88" s="30" t="n"/>
      <c r="M88" s="30" t="n"/>
      <c r="N88" s="30" t="n"/>
    </row>
    <row r="89">
      <c r="A89" s="30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31" t="n"/>
      <c r="K89" s="32" t="n"/>
      <c r="L89" s="30" t="n"/>
      <c r="M89" s="30" t="n"/>
      <c r="N89" s="30" t="n"/>
    </row>
    <row r="90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1" t="n"/>
      <c r="K90" s="32" t="n"/>
      <c r="L90" s="30" t="n"/>
      <c r="M90" s="30" t="n"/>
      <c r="N90" s="30" t="n"/>
    </row>
    <row r="91">
      <c r="A91" s="30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31" t="n"/>
      <c r="K91" s="32" t="n"/>
      <c r="L91" s="30" t="n"/>
      <c r="M91" s="30" t="n"/>
      <c r="N91" s="30" t="n"/>
    </row>
    <row r="92">
      <c r="A92" s="30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1" t="n"/>
      <c r="K92" s="32" t="n"/>
      <c r="L92" s="30" t="n"/>
      <c r="M92" s="30" t="n"/>
      <c r="N92" s="30" t="n"/>
    </row>
    <row r="93">
      <c r="A93" s="30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31" t="n"/>
      <c r="K93" s="32" t="n"/>
      <c r="L93" s="30" t="n"/>
      <c r="M93" s="30" t="n"/>
      <c r="N93" s="30" t="n"/>
    </row>
    <row r="94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1" t="n"/>
      <c r="K94" s="32" t="n"/>
      <c r="L94" s="30" t="n"/>
      <c r="M94" s="30" t="n"/>
      <c r="N94" s="30" t="n"/>
    </row>
    <row r="95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31" t="n"/>
      <c r="K95" s="32" t="n"/>
      <c r="L95" s="30" t="n"/>
      <c r="M95" s="30" t="n"/>
      <c r="N95" s="30" t="n"/>
    </row>
    <row r="96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1" t="n"/>
      <c r="K96" s="32" t="n"/>
      <c r="L96" s="30" t="n"/>
      <c r="M96" s="30" t="n"/>
      <c r="N96" s="30" t="n"/>
    </row>
    <row r="97">
      <c r="A97" s="30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31" t="n"/>
      <c r="K97" s="32" t="n"/>
      <c r="L97" s="30" t="n"/>
      <c r="M97" s="30" t="n"/>
      <c r="N97" s="30" t="n"/>
    </row>
    <row r="98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1" t="n"/>
      <c r="K98" s="32" t="n"/>
      <c r="L98" s="30" t="n"/>
      <c r="M98" s="30" t="n"/>
      <c r="N98" s="30" t="n"/>
    </row>
    <row r="99">
      <c r="A99" s="30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31" t="n"/>
      <c r="K99" s="32" t="n"/>
      <c r="L99" s="30" t="n"/>
      <c r="M99" s="30" t="n"/>
      <c r="N99" s="30" t="n"/>
    </row>
    <row r="100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1" t="n"/>
      <c r="K100" s="32" t="n"/>
      <c r="L100" s="30" t="n"/>
      <c r="M100" s="30" t="n"/>
      <c r="N100" s="30" t="n"/>
    </row>
    <row r="101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1" t="n"/>
      <c r="K101" s="32" t="n"/>
      <c r="L101" s="30" t="n"/>
      <c r="M101" s="30" t="n"/>
      <c r="N101" s="30" t="n"/>
    </row>
    <row r="102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1" t="n"/>
      <c r="K102" s="32" t="n"/>
      <c r="L102" s="30" t="n"/>
      <c r="M102" s="30" t="n"/>
      <c r="N102" s="30" t="n"/>
    </row>
    <row r="103">
      <c r="A103" s="30" t="n"/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1" t="n"/>
      <c r="K103" s="32" t="n"/>
      <c r="L103" s="30" t="n"/>
      <c r="M103" s="30" t="n"/>
      <c r="N103" s="30" t="n"/>
    </row>
    <row r="104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1" t="n"/>
      <c r="K104" s="32" t="n"/>
      <c r="L104" s="30" t="n"/>
      <c r="M104" s="30" t="n"/>
      <c r="N104" s="30" t="n"/>
    </row>
    <row r="105">
      <c r="A105" s="30" t="n"/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1" t="n"/>
      <c r="K105" s="32" t="n"/>
      <c r="L105" s="30" t="n"/>
      <c r="M105" s="30" t="n"/>
      <c r="N105" s="30" t="n"/>
    </row>
    <row r="106">
      <c r="A106" s="30" t="n"/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1" t="n"/>
      <c r="K106" s="32" t="n"/>
      <c r="L106" s="30" t="n"/>
      <c r="M106" s="30" t="n"/>
      <c r="N106" s="30" t="n"/>
    </row>
    <row r="107">
      <c r="A107" s="30" t="n"/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1" t="n"/>
      <c r="K107" s="32" t="n"/>
      <c r="L107" s="30" t="n"/>
      <c r="M107" s="30" t="n"/>
      <c r="N107" s="30" t="n"/>
    </row>
    <row r="108">
      <c r="A108" s="30" t="n"/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1" t="n"/>
      <c r="K108" s="32" t="n"/>
      <c r="L108" s="30" t="n"/>
      <c r="M108" s="30" t="n"/>
      <c r="N108" s="30" t="n"/>
    </row>
    <row r="109">
      <c r="A109" s="30" t="n"/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1" t="n"/>
      <c r="K109" s="32" t="n"/>
      <c r="L109" s="30" t="n"/>
      <c r="M109" s="30" t="n"/>
      <c r="N109" s="30" t="n"/>
    </row>
    <row r="110">
      <c r="A110" s="30" t="n"/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1" t="n"/>
      <c r="K110" s="32" t="n"/>
      <c r="L110" s="30" t="n"/>
      <c r="M110" s="30" t="n"/>
      <c r="N110" s="30" t="n"/>
    </row>
    <row r="111">
      <c r="A111" s="30" t="n"/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1" t="n"/>
      <c r="K111" s="32" t="n"/>
      <c r="L111" s="30" t="n"/>
      <c r="M111" s="30" t="n"/>
      <c r="N111" s="30" t="n"/>
    </row>
    <row r="112">
      <c r="A112" s="30" t="n"/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1" t="n"/>
      <c r="K112" s="32" t="n"/>
      <c r="L112" s="30" t="n"/>
      <c r="M112" s="30" t="n"/>
      <c r="N112" s="30" t="n"/>
    </row>
    <row r="113">
      <c r="A113" s="30" t="n"/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31" t="n"/>
      <c r="K113" s="32" t="n"/>
      <c r="L113" s="30" t="n"/>
      <c r="M113" s="30" t="n"/>
      <c r="N113" s="30" t="n"/>
    </row>
    <row r="114">
      <c r="A114" s="30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1" t="n"/>
      <c r="K114" s="32" t="n"/>
      <c r="L114" s="30" t="n"/>
      <c r="M114" s="30" t="n"/>
      <c r="N114" s="30" t="n"/>
    </row>
    <row r="115">
      <c r="A115" s="30" t="n"/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31" t="n"/>
      <c r="K115" s="32" t="n"/>
      <c r="L115" s="30" t="n"/>
      <c r="M115" s="30" t="n"/>
      <c r="N115" s="30" t="n"/>
    </row>
    <row r="116">
      <c r="A116" s="30" t="n"/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31" t="n"/>
      <c r="K116" s="32" t="n"/>
      <c r="L116" s="30" t="n"/>
      <c r="M116" s="30" t="n"/>
      <c r="N116" s="30" t="n"/>
    </row>
    <row r="117">
      <c r="A117" s="30" t="n"/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31" t="n"/>
      <c r="K117" s="32" t="n"/>
      <c r="L117" s="30" t="n"/>
      <c r="M117" s="30" t="n"/>
      <c r="N117" s="30" t="n"/>
    </row>
    <row r="118">
      <c r="A118" s="30" t="n"/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31" t="n"/>
      <c r="K118" s="32" t="n"/>
      <c r="L118" s="30" t="n"/>
      <c r="M118" s="30" t="n"/>
      <c r="N118" s="30" t="n"/>
    </row>
    <row r="119">
      <c r="A119" s="30" t="n"/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31" t="n"/>
      <c r="K119" s="32" t="n"/>
      <c r="L119" s="30" t="n"/>
      <c r="M119" s="30" t="n"/>
      <c r="N119" s="30" t="n"/>
    </row>
    <row r="120">
      <c r="A120" s="30" t="n"/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31" t="n"/>
      <c r="K120" s="32" t="n"/>
      <c r="L120" s="30" t="n"/>
      <c r="M120" s="30" t="n"/>
      <c r="N120" s="30" t="n"/>
    </row>
    <row r="121">
      <c r="A121" s="30" t="n"/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31" t="n"/>
      <c r="K121" s="32" t="n"/>
      <c r="L121" s="30" t="n"/>
      <c r="M121" s="30" t="n"/>
      <c r="N121" s="30" t="n"/>
    </row>
    <row r="122">
      <c r="A122" s="30" t="n"/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31" t="n"/>
      <c r="K122" s="32" t="n"/>
      <c r="L122" s="30" t="n"/>
      <c r="M122" s="30" t="n"/>
      <c r="N122" s="30" t="n"/>
    </row>
    <row r="123">
      <c r="A123" s="30" t="n"/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31" t="n"/>
      <c r="K123" s="32" t="n"/>
      <c r="L123" s="30" t="n"/>
      <c r="M123" s="30" t="n"/>
      <c r="N123" s="30" t="n"/>
    </row>
    <row r="124">
      <c r="A124" s="30" t="n"/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1" t="n"/>
      <c r="K124" s="32" t="n"/>
      <c r="L124" s="30" t="n"/>
      <c r="M124" s="30" t="n"/>
      <c r="N124" s="30" t="n"/>
    </row>
    <row r="125">
      <c r="A125" s="30" t="n"/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31" t="n"/>
      <c r="K125" s="32" t="n"/>
      <c r="L125" s="30" t="n"/>
      <c r="M125" s="30" t="n"/>
      <c r="N125" s="30" t="n"/>
    </row>
    <row r="126">
      <c r="A126" s="30" t="n"/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31" t="n"/>
      <c r="K126" s="32" t="n"/>
      <c r="L126" s="30" t="n"/>
      <c r="M126" s="30" t="n"/>
      <c r="N126" s="30" t="n"/>
    </row>
    <row r="127">
      <c r="A127" s="30" t="n"/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31" t="n"/>
      <c r="K127" s="32" t="n"/>
      <c r="L127" s="30" t="n"/>
      <c r="M127" s="30" t="n"/>
      <c r="N127" s="30" t="n"/>
    </row>
    <row r="128">
      <c r="A128" s="30" t="n"/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1" t="n"/>
      <c r="K128" s="32" t="n"/>
      <c r="L128" s="30" t="n"/>
      <c r="M128" s="30" t="n"/>
      <c r="N128" s="30" t="n"/>
    </row>
    <row r="129">
      <c r="A129" s="30" t="n"/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31" t="n"/>
      <c r="K129" s="32" t="n"/>
      <c r="L129" s="30" t="n"/>
      <c r="M129" s="30" t="n"/>
      <c r="N129" s="30" t="n"/>
    </row>
    <row r="130">
      <c r="A130" s="30" t="n"/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31" t="n"/>
      <c r="K130" s="32" t="n"/>
      <c r="L130" s="30" t="n"/>
      <c r="M130" s="30" t="n"/>
      <c r="N130" s="30" t="n"/>
    </row>
    <row r="131">
      <c r="A131" s="30" t="n"/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31" t="n"/>
      <c r="K131" s="32" t="n"/>
      <c r="L131" s="30" t="n"/>
      <c r="M131" s="30" t="n"/>
      <c r="N131" s="30" t="n"/>
    </row>
    <row r="132">
      <c r="A132" s="30" t="n"/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31" t="n"/>
      <c r="K132" s="32" t="n"/>
      <c r="L132" s="30" t="n"/>
      <c r="M132" s="30" t="n"/>
      <c r="N132" s="30" t="n"/>
    </row>
    <row r="133">
      <c r="A133" s="30" t="n"/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31" t="n"/>
      <c r="K133" s="32" t="n"/>
      <c r="L133" s="30" t="n"/>
      <c r="M133" s="30" t="n"/>
      <c r="N133" s="30" t="n"/>
    </row>
    <row r="134">
      <c r="A134" s="30" t="n"/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31" t="n"/>
      <c r="K134" s="32" t="n"/>
      <c r="L134" s="30" t="n"/>
      <c r="M134" s="30" t="n"/>
      <c r="N134" s="30" t="n"/>
    </row>
    <row r="135">
      <c r="A135" s="30" t="n"/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31" t="n"/>
      <c r="K135" s="32" t="n"/>
      <c r="L135" s="30" t="n"/>
      <c r="M135" s="30" t="n"/>
      <c r="N135" s="30" t="n"/>
    </row>
    <row r="136">
      <c r="A136" s="30" t="n"/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31" t="n"/>
      <c r="K136" s="32" t="n"/>
      <c r="L136" s="30" t="n"/>
      <c r="M136" s="30" t="n"/>
      <c r="N136" s="30" t="n"/>
    </row>
    <row r="137">
      <c r="A137" s="30" t="n"/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31" t="n"/>
      <c r="K137" s="32" t="n"/>
      <c r="L137" s="30" t="n"/>
      <c r="M137" s="30" t="n"/>
      <c r="N137" s="30" t="n"/>
    </row>
    <row r="138">
      <c r="A138" s="30" t="n"/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31" t="n"/>
      <c r="K138" s="32" t="n"/>
      <c r="L138" s="30" t="n"/>
      <c r="M138" s="30" t="n"/>
      <c r="N138" s="30" t="n"/>
    </row>
    <row r="139">
      <c r="A139" s="30" t="n"/>
      <c r="B139" s="30" t="n"/>
      <c r="C139" s="30" t="n"/>
      <c r="D139" s="30" t="n"/>
      <c r="E139" s="30" t="n"/>
      <c r="F139" s="30" t="n"/>
      <c r="G139" s="30" t="n"/>
      <c r="H139" s="30" t="n"/>
      <c r="I139" s="30" t="n"/>
      <c r="J139" s="31" t="n"/>
      <c r="K139" s="32" t="n"/>
      <c r="L139" s="30" t="n"/>
      <c r="M139" s="30" t="n"/>
      <c r="N139" s="30" t="n"/>
    </row>
    <row r="140">
      <c r="A140" s="30" t="n"/>
      <c r="B140" s="30" t="n"/>
      <c r="C140" s="30" t="n"/>
      <c r="D140" s="30" t="n"/>
      <c r="E140" s="30" t="n"/>
      <c r="F140" s="30" t="n"/>
      <c r="G140" s="30" t="n"/>
      <c r="H140" s="30" t="n"/>
      <c r="I140" s="30" t="n"/>
      <c r="J140" s="31" t="n"/>
      <c r="K140" s="32" t="n"/>
      <c r="L140" s="30" t="n"/>
      <c r="M140" s="30" t="n"/>
      <c r="N140" s="30" t="n"/>
    </row>
    <row r="141">
      <c r="A141" s="30" t="n"/>
      <c r="B141" s="30" t="n"/>
      <c r="C141" s="30" t="n"/>
      <c r="D141" s="30" t="n"/>
      <c r="E141" s="30" t="n"/>
      <c r="F141" s="30" t="n"/>
      <c r="G141" s="30" t="n"/>
      <c r="H141" s="30" t="n"/>
      <c r="I141" s="30" t="n"/>
      <c r="J141" s="31" t="n"/>
      <c r="K141" s="32" t="n"/>
      <c r="L141" s="30" t="n"/>
      <c r="M141" s="30" t="n"/>
      <c r="N141" s="30" t="n"/>
    </row>
    <row r="142">
      <c r="A142" s="30" t="n"/>
      <c r="B142" s="30" t="n"/>
      <c r="C142" s="30" t="n"/>
      <c r="D142" s="30" t="n"/>
      <c r="E142" s="30" t="n"/>
      <c r="F142" s="30" t="n"/>
      <c r="G142" s="30" t="n"/>
      <c r="H142" s="30" t="n"/>
      <c r="I142" s="30" t="n"/>
      <c r="J142" s="31" t="n"/>
      <c r="K142" s="32" t="n"/>
      <c r="L142" s="30" t="n"/>
      <c r="M142" s="30" t="n"/>
      <c r="N142" s="30" t="n"/>
    </row>
    <row r="143">
      <c r="A143" s="30" t="n"/>
      <c r="B143" s="30" t="n"/>
      <c r="C143" s="30" t="n"/>
      <c r="D143" s="30" t="n"/>
      <c r="E143" s="30" t="n"/>
      <c r="F143" s="30" t="n"/>
      <c r="G143" s="30" t="n"/>
      <c r="H143" s="30" t="n"/>
      <c r="I143" s="30" t="n"/>
      <c r="J143" s="31" t="n"/>
      <c r="K143" s="32" t="n"/>
      <c r="L143" s="30" t="n"/>
      <c r="M143" s="30" t="n"/>
      <c r="N143" s="30" t="n"/>
    </row>
    <row r="144">
      <c r="A144" s="30" t="n"/>
      <c r="B144" s="30" t="n"/>
      <c r="C144" s="30" t="n"/>
      <c r="D144" s="30" t="n"/>
      <c r="E144" s="30" t="n"/>
      <c r="F144" s="30" t="n"/>
      <c r="G144" s="30" t="n"/>
      <c r="H144" s="30" t="n"/>
      <c r="I144" s="30" t="n"/>
      <c r="J144" s="31" t="n"/>
      <c r="K144" s="32" t="n"/>
      <c r="L144" s="30" t="n"/>
      <c r="M144" s="30" t="n"/>
      <c r="N144" s="30" t="n"/>
    </row>
    <row r="145">
      <c r="A145" s="30" t="n"/>
      <c r="B145" s="30" t="n"/>
      <c r="C145" s="30" t="n"/>
      <c r="D145" s="30" t="n"/>
      <c r="E145" s="30" t="n"/>
      <c r="F145" s="30" t="n"/>
      <c r="G145" s="30" t="n"/>
      <c r="H145" s="30" t="n"/>
      <c r="I145" s="30" t="n"/>
      <c r="J145" s="31" t="n"/>
      <c r="K145" s="32" t="n"/>
      <c r="L145" s="30" t="n"/>
      <c r="M145" s="30" t="n"/>
      <c r="N145" s="30" t="n"/>
    </row>
    <row r="146">
      <c r="A146" s="30" t="n"/>
      <c r="B146" s="30" t="n"/>
      <c r="C146" s="30" t="n"/>
      <c r="D146" s="30" t="n"/>
      <c r="E146" s="30" t="n"/>
      <c r="F146" s="30" t="n"/>
      <c r="G146" s="30" t="n"/>
      <c r="H146" s="30" t="n"/>
      <c r="I146" s="30" t="n"/>
      <c r="J146" s="31" t="n"/>
      <c r="K146" s="32" t="n"/>
      <c r="L146" s="30" t="n"/>
      <c r="M146" s="30" t="n"/>
      <c r="N146" s="30" t="n"/>
    </row>
    <row r="147">
      <c r="A147" s="30" t="n"/>
      <c r="B147" s="30" t="n"/>
      <c r="C147" s="30" t="n"/>
      <c r="D147" s="30" t="n"/>
      <c r="E147" s="30" t="n"/>
      <c r="F147" s="30" t="n"/>
      <c r="G147" s="30" t="n"/>
      <c r="H147" s="30" t="n"/>
      <c r="I147" s="30" t="n"/>
      <c r="J147" s="31" t="n"/>
      <c r="K147" s="32" t="n"/>
      <c r="L147" s="30" t="n"/>
      <c r="M147" s="30" t="n"/>
      <c r="N147" s="30" t="n"/>
    </row>
    <row r="148">
      <c r="A148" s="30" t="n"/>
      <c r="B148" s="30" t="n"/>
      <c r="C148" s="30" t="n"/>
      <c r="D148" s="30" t="n"/>
      <c r="E148" s="30" t="n"/>
      <c r="F148" s="30" t="n"/>
      <c r="G148" s="30" t="n"/>
      <c r="H148" s="30" t="n"/>
      <c r="I148" s="30" t="n"/>
      <c r="J148" s="31" t="n"/>
      <c r="K148" s="32" t="n"/>
      <c r="L148" s="30" t="n"/>
      <c r="M148" s="30" t="n"/>
      <c r="N148" s="30" t="n"/>
    </row>
    <row r="149">
      <c r="A149" s="30" t="n"/>
      <c r="B149" s="30" t="n"/>
      <c r="C149" s="30" t="n"/>
      <c r="D149" s="30" t="n"/>
      <c r="E149" s="30" t="n"/>
      <c r="F149" s="30" t="n"/>
      <c r="G149" s="30" t="n"/>
      <c r="H149" s="30" t="n"/>
      <c r="I149" s="30" t="n"/>
      <c r="J149" s="31" t="n"/>
      <c r="K149" s="32" t="n"/>
      <c r="L149" s="30" t="n"/>
      <c r="M149" s="30" t="n"/>
      <c r="N149" s="30" t="n"/>
    </row>
    <row r="150">
      <c r="A150" s="30" t="n"/>
      <c r="B150" s="30" t="n"/>
      <c r="C150" s="30" t="n"/>
      <c r="D150" s="30" t="n"/>
      <c r="E150" s="30" t="n"/>
      <c r="F150" s="30" t="n"/>
      <c r="G150" s="30" t="n"/>
      <c r="H150" s="30" t="n"/>
      <c r="I150" s="30" t="n"/>
      <c r="J150" s="31" t="n"/>
      <c r="K150" s="32" t="n"/>
      <c r="L150" s="30" t="n"/>
      <c r="M150" s="30" t="n"/>
      <c r="N150" s="30" t="n"/>
    </row>
    <row r="151">
      <c r="A151" s="30" t="n"/>
      <c r="B151" s="30" t="n"/>
      <c r="C151" s="30" t="n"/>
      <c r="D151" s="30" t="n"/>
      <c r="E151" s="30" t="n"/>
      <c r="F151" s="30" t="n"/>
      <c r="G151" s="30" t="n"/>
      <c r="H151" s="30" t="n"/>
      <c r="I151" s="30" t="n"/>
      <c r="J151" s="31" t="n"/>
      <c r="K151" s="32" t="n"/>
      <c r="L151" s="30" t="n"/>
      <c r="M151" s="30" t="n"/>
      <c r="N151" s="30" t="n"/>
    </row>
    <row r="152">
      <c r="A152" s="30" t="n"/>
      <c r="B152" s="30" t="n"/>
      <c r="C152" s="30" t="n"/>
      <c r="D152" s="30" t="n"/>
      <c r="E152" s="30" t="n"/>
      <c r="F152" s="30" t="n"/>
      <c r="G152" s="30" t="n"/>
      <c r="H152" s="30" t="n"/>
      <c r="I152" s="30" t="n"/>
      <c r="J152" s="31" t="n"/>
      <c r="K152" s="32" t="n"/>
      <c r="L152" s="30" t="n"/>
      <c r="M152" s="30" t="n"/>
      <c r="N152" s="30" t="n"/>
    </row>
    <row r="153">
      <c r="A153" s="30" t="n"/>
      <c r="B153" s="30" t="n"/>
      <c r="C153" s="30" t="n"/>
      <c r="D153" s="30" t="n"/>
      <c r="E153" s="30" t="n"/>
      <c r="F153" s="30" t="n"/>
      <c r="G153" s="30" t="n"/>
      <c r="H153" s="30" t="n"/>
      <c r="I153" s="30" t="n"/>
      <c r="J153" s="31" t="n"/>
      <c r="K153" s="32" t="n"/>
      <c r="L153" s="30" t="n"/>
      <c r="M153" s="30" t="n"/>
      <c r="N153" s="30" t="n"/>
    </row>
    <row r="154">
      <c r="A154" s="30" t="n"/>
      <c r="B154" s="30" t="n"/>
      <c r="C154" s="30" t="n"/>
      <c r="D154" s="30" t="n"/>
      <c r="E154" s="30" t="n"/>
      <c r="F154" s="30" t="n"/>
      <c r="G154" s="30" t="n"/>
      <c r="H154" s="30" t="n"/>
      <c r="I154" s="30" t="n"/>
      <c r="J154" s="31" t="n"/>
      <c r="K154" s="32" t="n"/>
      <c r="L154" s="30" t="n"/>
      <c r="M154" s="30" t="n"/>
      <c r="N154" s="30" t="n"/>
    </row>
    <row r="155">
      <c r="A155" s="30" t="n"/>
      <c r="B155" s="30" t="n"/>
      <c r="C155" s="30" t="n"/>
      <c r="D155" s="30" t="n"/>
      <c r="E155" s="30" t="n"/>
      <c r="F155" s="30" t="n"/>
      <c r="G155" s="30" t="n"/>
      <c r="H155" s="30" t="n"/>
      <c r="I155" s="30" t="n"/>
      <c r="J155" s="31" t="n"/>
      <c r="K155" s="32" t="n"/>
      <c r="L155" s="30" t="n"/>
      <c r="M155" s="30" t="n"/>
      <c r="N155" s="30" t="n"/>
    </row>
    <row r="156">
      <c r="A156" s="30" t="n"/>
      <c r="B156" s="30" t="n"/>
      <c r="C156" s="30" t="n"/>
      <c r="D156" s="30" t="n"/>
      <c r="E156" s="30" t="n"/>
      <c r="F156" s="30" t="n"/>
      <c r="G156" s="30" t="n"/>
      <c r="H156" s="30" t="n"/>
      <c r="I156" s="30" t="n"/>
      <c r="J156" s="31" t="n"/>
      <c r="K156" s="32" t="n"/>
      <c r="L156" s="30" t="n"/>
      <c r="M156" s="30" t="n"/>
      <c r="N156" s="30" t="n"/>
    </row>
    <row r="157">
      <c r="A157" s="30" t="n"/>
      <c r="B157" s="30" t="n"/>
      <c r="C157" s="30" t="n"/>
      <c r="D157" s="30" t="n"/>
      <c r="E157" s="30" t="n"/>
      <c r="F157" s="30" t="n"/>
      <c r="G157" s="30" t="n"/>
      <c r="H157" s="30" t="n"/>
      <c r="I157" s="30" t="n"/>
      <c r="J157" s="31" t="n"/>
      <c r="K157" s="32" t="n"/>
      <c r="L157" s="30" t="n"/>
      <c r="M157" s="30" t="n"/>
      <c r="N157" s="30" t="n"/>
    </row>
    <row r="158">
      <c r="A158" s="30" t="n"/>
      <c r="B158" s="30" t="n"/>
      <c r="C158" s="30" t="n"/>
      <c r="D158" s="30" t="n"/>
      <c r="E158" s="30" t="n"/>
      <c r="F158" s="30" t="n"/>
      <c r="G158" s="30" t="n"/>
      <c r="H158" s="30" t="n"/>
      <c r="I158" s="30" t="n"/>
      <c r="J158" s="31" t="n"/>
      <c r="K158" s="32" t="n"/>
      <c r="L158" s="30" t="n"/>
      <c r="M158" s="30" t="n"/>
      <c r="N158" s="30" t="n"/>
    </row>
    <row r="159">
      <c r="A159" s="30" t="n"/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1" t="n"/>
      <c r="K159" s="32" t="n"/>
      <c r="L159" s="30" t="n"/>
      <c r="M159" s="30" t="n"/>
      <c r="N159" s="30" t="n"/>
    </row>
    <row r="160">
      <c r="A160" s="30" t="n"/>
      <c r="B160" s="30" t="n"/>
      <c r="C160" s="30" t="n"/>
      <c r="D160" s="30" t="n"/>
      <c r="E160" s="30" t="n"/>
      <c r="F160" s="30" t="n"/>
      <c r="G160" s="30" t="n"/>
      <c r="H160" s="30" t="n"/>
      <c r="I160" s="30" t="n"/>
      <c r="J160" s="31" t="n"/>
      <c r="K160" s="32" t="n"/>
      <c r="L160" s="30" t="n"/>
      <c r="M160" s="30" t="n"/>
      <c r="N160" s="30" t="n"/>
    </row>
    <row r="161">
      <c r="A161" s="30" t="n"/>
      <c r="B161" s="30" t="n"/>
      <c r="C161" s="30" t="n"/>
      <c r="D161" s="30" t="n"/>
      <c r="E161" s="30" t="n"/>
      <c r="F161" s="30" t="n"/>
      <c r="G161" s="30" t="n"/>
      <c r="H161" s="30" t="n"/>
      <c r="I161" s="30" t="n"/>
      <c r="J161" s="31" t="n"/>
      <c r="K161" s="32" t="n"/>
      <c r="L161" s="30" t="n"/>
      <c r="M161" s="30" t="n"/>
      <c r="N161" s="30" t="n"/>
    </row>
    <row r="162">
      <c r="A162" s="30" t="n"/>
      <c r="B162" s="30" t="n"/>
      <c r="C162" s="30" t="n"/>
      <c r="D162" s="30" t="n"/>
      <c r="E162" s="30" t="n"/>
      <c r="F162" s="30" t="n"/>
      <c r="G162" s="30" t="n"/>
      <c r="H162" s="30" t="n"/>
      <c r="I162" s="30" t="n"/>
      <c r="J162" s="31" t="n"/>
      <c r="K162" s="32" t="n"/>
      <c r="L162" s="30" t="n"/>
      <c r="M162" s="30" t="n"/>
      <c r="N162" s="30" t="n"/>
    </row>
    <row r="163">
      <c r="A163" s="30" t="n"/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1" t="n"/>
      <c r="K163" s="32" t="n"/>
      <c r="L163" s="30" t="n"/>
      <c r="M163" s="30" t="n"/>
      <c r="N163" s="30" t="n"/>
    </row>
    <row r="164">
      <c r="A164" s="30" t="n"/>
      <c r="B164" s="30" t="n"/>
      <c r="C164" s="30" t="n"/>
      <c r="D164" s="30" t="n"/>
      <c r="E164" s="30" t="n"/>
      <c r="F164" s="30" t="n"/>
      <c r="G164" s="30" t="n"/>
      <c r="H164" s="30" t="n"/>
      <c r="I164" s="30" t="n"/>
      <c r="J164" s="31" t="n"/>
      <c r="K164" s="32" t="n"/>
      <c r="L164" s="30" t="n"/>
      <c r="M164" s="30" t="n"/>
      <c r="N164" s="30" t="n"/>
    </row>
    <row r="165">
      <c r="A165" s="30" t="n"/>
      <c r="B165" s="30" t="n"/>
      <c r="C165" s="30" t="n"/>
      <c r="D165" s="30" t="n"/>
      <c r="E165" s="30" t="n"/>
      <c r="F165" s="30" t="n"/>
      <c r="G165" s="30" t="n"/>
      <c r="H165" s="30" t="n"/>
      <c r="I165" s="30" t="n"/>
      <c r="J165" s="31" t="n"/>
      <c r="K165" s="32" t="n"/>
      <c r="L165" s="30" t="n"/>
      <c r="M165" s="30" t="n"/>
      <c r="N165" s="30" t="n"/>
    </row>
    <row r="166">
      <c r="A166" s="30" t="n"/>
      <c r="B166" s="30" t="n"/>
      <c r="C166" s="30" t="n"/>
      <c r="D166" s="30" t="n"/>
      <c r="E166" s="30" t="n"/>
      <c r="F166" s="30" t="n"/>
      <c r="G166" s="30" t="n"/>
      <c r="H166" s="30" t="n"/>
      <c r="I166" s="30" t="n"/>
      <c r="J166" s="31" t="n"/>
      <c r="K166" s="32" t="n"/>
      <c r="L166" s="30" t="n"/>
      <c r="M166" s="30" t="n"/>
      <c r="N166" s="30" t="n"/>
    </row>
    <row r="167">
      <c r="A167" s="30" t="n"/>
      <c r="B167" s="30" t="n"/>
      <c r="C167" s="30" t="n"/>
      <c r="D167" s="30" t="n"/>
      <c r="E167" s="30" t="n"/>
      <c r="F167" s="30" t="n"/>
      <c r="G167" s="30" t="n"/>
      <c r="H167" s="30" t="n"/>
      <c r="I167" s="30" t="n"/>
      <c r="J167" s="31" t="n"/>
      <c r="K167" s="32" t="n"/>
      <c r="L167" s="30" t="n"/>
      <c r="M167" s="30" t="n"/>
      <c r="N167" s="30" t="n"/>
    </row>
    <row r="168">
      <c r="A168" s="30" t="n"/>
      <c r="B168" s="30" t="n"/>
      <c r="C168" s="30" t="n"/>
      <c r="D168" s="30" t="n"/>
      <c r="E168" s="30" t="n"/>
      <c r="F168" s="30" t="n"/>
      <c r="G168" s="30" t="n"/>
      <c r="H168" s="30" t="n"/>
      <c r="I168" s="30" t="n"/>
      <c r="J168" s="31" t="n"/>
      <c r="K168" s="32" t="n"/>
      <c r="L168" s="30" t="n"/>
      <c r="M168" s="30" t="n"/>
      <c r="N168" s="30" t="n"/>
    </row>
    <row r="169">
      <c r="A169" s="30" t="n"/>
      <c r="B169" s="30" t="n"/>
      <c r="C169" s="30" t="n"/>
      <c r="D169" s="30" t="n"/>
      <c r="E169" s="30" t="n"/>
      <c r="F169" s="30" t="n"/>
      <c r="G169" s="30" t="n"/>
      <c r="H169" s="30" t="n"/>
      <c r="I169" s="30" t="n"/>
      <c r="J169" s="31" t="n"/>
      <c r="K169" s="32" t="n"/>
      <c r="L169" s="30" t="n"/>
      <c r="M169" s="30" t="n"/>
      <c r="N169" s="30" t="n"/>
    </row>
    <row r="170">
      <c r="A170" s="30" t="n"/>
      <c r="B170" s="30" t="n"/>
      <c r="C170" s="30" t="n"/>
      <c r="D170" s="30" t="n"/>
      <c r="E170" s="30" t="n"/>
      <c r="F170" s="30" t="n"/>
      <c r="G170" s="30" t="n"/>
      <c r="H170" s="30" t="n"/>
      <c r="I170" s="30" t="n"/>
      <c r="J170" s="31" t="n"/>
      <c r="K170" s="32" t="n"/>
      <c r="L170" s="30" t="n"/>
      <c r="M170" s="30" t="n"/>
      <c r="N170" s="30" t="n"/>
    </row>
    <row r="171">
      <c r="A171" s="30" t="n"/>
      <c r="B171" s="30" t="n"/>
      <c r="C171" s="30" t="n"/>
      <c r="D171" s="30" t="n"/>
      <c r="E171" s="30" t="n"/>
      <c r="F171" s="30" t="n"/>
      <c r="G171" s="30" t="n"/>
      <c r="H171" s="30" t="n"/>
      <c r="I171" s="30" t="n"/>
      <c r="J171" s="31" t="n"/>
      <c r="K171" s="32" t="n"/>
      <c r="L171" s="30" t="n"/>
      <c r="M171" s="30" t="n"/>
      <c r="N171" s="30" t="n"/>
    </row>
    <row r="172">
      <c r="A172" s="30" t="n"/>
      <c r="B172" s="30" t="n"/>
      <c r="C172" s="30" t="n"/>
      <c r="D172" s="30" t="n"/>
      <c r="E172" s="30" t="n"/>
      <c r="F172" s="30" t="n"/>
      <c r="G172" s="30" t="n"/>
      <c r="H172" s="30" t="n"/>
      <c r="I172" s="30" t="n"/>
      <c r="J172" s="31" t="n"/>
      <c r="K172" s="32" t="n"/>
      <c r="L172" s="30" t="n"/>
      <c r="M172" s="30" t="n"/>
      <c r="N172" s="30" t="n"/>
    </row>
    <row r="173">
      <c r="A173" s="30" t="n"/>
      <c r="B173" s="30" t="n"/>
      <c r="C173" s="30" t="n"/>
      <c r="D173" s="30" t="n"/>
      <c r="E173" s="30" t="n"/>
      <c r="F173" s="30" t="n"/>
      <c r="G173" s="30" t="n"/>
      <c r="H173" s="30" t="n"/>
      <c r="I173" s="30" t="n"/>
      <c r="J173" s="31" t="n"/>
      <c r="K173" s="32" t="n"/>
      <c r="L173" s="30" t="n"/>
      <c r="M173" s="30" t="n"/>
      <c r="N173" s="30" t="n"/>
    </row>
    <row r="174">
      <c r="A174" s="30" t="n"/>
      <c r="B174" s="30" t="n"/>
      <c r="C174" s="30" t="n"/>
      <c r="D174" s="30" t="n"/>
      <c r="E174" s="30" t="n"/>
      <c r="F174" s="30" t="n"/>
      <c r="G174" s="30" t="n"/>
      <c r="H174" s="30" t="n"/>
      <c r="I174" s="30" t="n"/>
      <c r="J174" s="31" t="n"/>
      <c r="K174" s="32" t="n"/>
      <c r="L174" s="30" t="n"/>
      <c r="M174" s="30" t="n"/>
      <c r="N174" s="30" t="n"/>
    </row>
    <row r="175">
      <c r="A175" s="30" t="n"/>
      <c r="B175" s="30" t="n"/>
      <c r="C175" s="30" t="n"/>
      <c r="D175" s="30" t="n"/>
      <c r="E175" s="30" t="n"/>
      <c r="F175" s="30" t="n"/>
      <c r="G175" s="30" t="n"/>
      <c r="H175" s="30" t="n"/>
      <c r="I175" s="30" t="n"/>
      <c r="J175" s="31" t="n"/>
      <c r="K175" s="32" t="n"/>
      <c r="L175" s="30" t="n"/>
      <c r="M175" s="30" t="n"/>
      <c r="N175" s="30" t="n"/>
    </row>
    <row r="176">
      <c r="A176" s="30" t="n"/>
      <c r="B176" s="30" t="n"/>
      <c r="C176" s="30" t="n"/>
      <c r="D176" s="30" t="n"/>
      <c r="E176" s="30" t="n"/>
      <c r="F176" s="30" t="n"/>
      <c r="G176" s="30" t="n"/>
      <c r="H176" s="30" t="n"/>
      <c r="I176" s="30" t="n"/>
      <c r="J176" s="31" t="n"/>
      <c r="K176" s="32" t="n"/>
      <c r="L176" s="30" t="n"/>
      <c r="M176" s="30" t="n"/>
      <c r="N176" s="30" t="n"/>
    </row>
    <row r="177">
      <c r="A177" s="30" t="n"/>
      <c r="B177" s="30" t="n"/>
      <c r="C177" s="30" t="n"/>
      <c r="D177" s="30" t="n"/>
      <c r="E177" s="30" t="n"/>
      <c r="F177" s="30" t="n"/>
      <c r="G177" s="30" t="n"/>
      <c r="H177" s="30" t="n"/>
      <c r="I177" s="30" t="n"/>
      <c r="J177" s="31" t="n"/>
      <c r="K177" s="32" t="n"/>
      <c r="L177" s="30" t="n"/>
      <c r="M177" s="30" t="n"/>
      <c r="N177" s="30" t="n"/>
    </row>
    <row r="178">
      <c r="A178" s="30" t="n"/>
      <c r="B178" s="30" t="n"/>
      <c r="C178" s="30" t="n"/>
      <c r="D178" s="30" t="n"/>
      <c r="E178" s="30" t="n"/>
      <c r="F178" s="30" t="n"/>
      <c r="G178" s="30" t="n"/>
      <c r="H178" s="30" t="n"/>
      <c r="I178" s="30" t="n"/>
      <c r="J178" s="31" t="n"/>
      <c r="K178" s="32" t="n"/>
      <c r="L178" s="30" t="n"/>
      <c r="M178" s="30" t="n"/>
      <c r="N178" s="30" t="n"/>
    </row>
    <row r="179">
      <c r="A179" s="30" t="n"/>
      <c r="B179" s="30" t="n"/>
      <c r="C179" s="30" t="n"/>
      <c r="D179" s="30" t="n"/>
      <c r="E179" s="30" t="n"/>
      <c r="F179" s="30" t="n"/>
      <c r="G179" s="30" t="n"/>
      <c r="H179" s="30" t="n"/>
      <c r="I179" s="30" t="n"/>
      <c r="J179" s="31" t="n"/>
      <c r="K179" s="32" t="n"/>
      <c r="L179" s="30" t="n"/>
      <c r="M179" s="30" t="n"/>
      <c r="N179" s="30" t="n"/>
    </row>
    <row r="180">
      <c r="A180" s="30" t="n"/>
      <c r="B180" s="30" t="n"/>
      <c r="C180" s="30" t="n"/>
      <c r="D180" s="30" t="n"/>
      <c r="E180" s="30" t="n"/>
      <c r="F180" s="30" t="n"/>
      <c r="G180" s="30" t="n"/>
      <c r="H180" s="30" t="n"/>
      <c r="I180" s="30" t="n"/>
      <c r="J180" s="31" t="n"/>
      <c r="K180" s="32" t="n"/>
      <c r="L180" s="30" t="n"/>
      <c r="M180" s="30" t="n"/>
      <c r="N180" s="30" t="n"/>
    </row>
    <row r="181">
      <c r="A181" s="30" t="n"/>
      <c r="B181" s="30" t="n"/>
      <c r="C181" s="30" t="n"/>
      <c r="D181" s="30" t="n"/>
      <c r="E181" s="30" t="n"/>
      <c r="F181" s="30" t="n"/>
      <c r="G181" s="30" t="n"/>
      <c r="H181" s="30" t="n"/>
      <c r="I181" s="30" t="n"/>
      <c r="J181" s="31" t="n"/>
      <c r="K181" s="32" t="n"/>
      <c r="L181" s="30" t="n"/>
      <c r="M181" s="30" t="n"/>
      <c r="N181" s="30" t="n"/>
    </row>
    <row r="182">
      <c r="A182" s="30" t="n"/>
      <c r="B182" s="30" t="n"/>
      <c r="C182" s="30" t="n"/>
      <c r="D182" s="30" t="n"/>
      <c r="E182" s="30" t="n"/>
      <c r="F182" s="30" t="n"/>
      <c r="G182" s="30" t="n"/>
      <c r="H182" s="30" t="n"/>
      <c r="I182" s="30" t="n"/>
      <c r="J182" s="31" t="n"/>
      <c r="K182" s="32" t="n"/>
      <c r="L182" s="30" t="n"/>
      <c r="M182" s="30" t="n"/>
      <c r="N182" s="30" t="n"/>
    </row>
    <row r="183">
      <c r="A183" s="30" t="n"/>
      <c r="B183" s="30" t="n"/>
      <c r="C183" s="30" t="n"/>
      <c r="D183" s="30" t="n"/>
      <c r="E183" s="30" t="n"/>
      <c r="F183" s="30" t="n"/>
      <c r="G183" s="30" t="n"/>
      <c r="H183" s="30" t="n"/>
      <c r="I183" s="30" t="n"/>
      <c r="J183" s="31" t="n"/>
      <c r="K183" s="32" t="n"/>
      <c r="L183" s="30" t="n"/>
      <c r="M183" s="30" t="n"/>
      <c r="N183" s="30" t="n"/>
    </row>
    <row r="184">
      <c r="A184" s="30" t="n"/>
      <c r="B184" s="30" t="n"/>
      <c r="C184" s="30" t="n"/>
      <c r="D184" s="30" t="n"/>
      <c r="E184" s="30" t="n"/>
      <c r="F184" s="30" t="n"/>
      <c r="G184" s="30" t="n"/>
      <c r="H184" s="30" t="n"/>
      <c r="I184" s="30" t="n"/>
      <c r="J184" s="31" t="n"/>
      <c r="K184" s="32" t="n"/>
      <c r="L184" s="30" t="n"/>
      <c r="M184" s="30" t="n"/>
      <c r="N184" s="30" t="n"/>
    </row>
    <row r="185">
      <c r="A185" s="30" t="n"/>
      <c r="B185" s="30" t="n"/>
      <c r="C185" s="30" t="n"/>
      <c r="D185" s="30" t="n"/>
      <c r="E185" s="30" t="n"/>
      <c r="F185" s="30" t="n"/>
      <c r="G185" s="30" t="n"/>
      <c r="H185" s="30" t="n"/>
      <c r="I185" s="30" t="n"/>
      <c r="J185" s="31" t="n"/>
      <c r="K185" s="32" t="n"/>
      <c r="L185" s="30" t="n"/>
      <c r="M185" s="30" t="n"/>
      <c r="N185" s="30" t="n"/>
    </row>
    <row r="186">
      <c r="A186" s="30" t="n"/>
      <c r="B186" s="30" t="n"/>
      <c r="C186" s="30" t="n"/>
      <c r="D186" s="30" t="n"/>
      <c r="E186" s="30" t="n"/>
      <c r="F186" s="30" t="n"/>
      <c r="G186" s="30" t="n"/>
      <c r="H186" s="30" t="n"/>
      <c r="I186" s="30" t="n"/>
      <c r="J186" s="31" t="n"/>
      <c r="K186" s="32" t="n"/>
      <c r="L186" s="30" t="n"/>
      <c r="M186" s="30" t="n"/>
      <c r="N186" s="30" t="n"/>
    </row>
    <row r="187">
      <c r="A187" s="30" t="n"/>
      <c r="B187" s="30" t="n"/>
      <c r="C187" s="30" t="n"/>
      <c r="D187" s="30" t="n"/>
      <c r="E187" s="30" t="n"/>
      <c r="F187" s="30" t="n"/>
      <c r="G187" s="30" t="n"/>
      <c r="H187" s="30" t="n"/>
      <c r="I187" s="30" t="n"/>
      <c r="J187" s="31" t="n"/>
      <c r="K187" s="32" t="n"/>
      <c r="L187" s="30" t="n"/>
      <c r="M187" s="30" t="n"/>
      <c r="N187" s="30" t="n"/>
    </row>
    <row r="188">
      <c r="A188" s="30" t="n"/>
      <c r="B188" s="30" t="n"/>
      <c r="C188" s="30" t="n"/>
      <c r="D188" s="30" t="n"/>
      <c r="E188" s="30" t="n"/>
      <c r="F188" s="30" t="n"/>
      <c r="G188" s="30" t="n"/>
      <c r="H188" s="30" t="n"/>
      <c r="I188" s="30" t="n"/>
      <c r="J188" s="31" t="n"/>
      <c r="K188" s="32" t="n"/>
      <c r="L188" s="30" t="n"/>
      <c r="M188" s="30" t="n"/>
      <c r="N188" s="30" t="n"/>
    </row>
    <row r="189">
      <c r="A189" s="30" t="n"/>
      <c r="B189" s="30" t="n"/>
      <c r="C189" s="30" t="n"/>
      <c r="D189" s="30" t="n"/>
      <c r="E189" s="30" t="n"/>
      <c r="F189" s="30" t="n"/>
      <c r="G189" s="30" t="n"/>
      <c r="H189" s="30" t="n"/>
      <c r="I189" s="30" t="n"/>
      <c r="J189" s="31" t="n"/>
      <c r="K189" s="32" t="n"/>
      <c r="L189" s="30" t="n"/>
      <c r="M189" s="30" t="n"/>
      <c r="N189" s="30" t="n"/>
    </row>
    <row r="190">
      <c r="A190" s="30" t="n"/>
      <c r="B190" s="30" t="n"/>
      <c r="C190" s="30" t="n"/>
      <c r="D190" s="30" t="n"/>
      <c r="E190" s="30" t="n"/>
      <c r="F190" s="30" t="n"/>
      <c r="G190" s="30" t="n"/>
      <c r="H190" s="30" t="n"/>
      <c r="I190" s="30" t="n"/>
      <c r="J190" s="31" t="n"/>
      <c r="K190" s="32" t="n"/>
      <c r="L190" s="30" t="n"/>
      <c r="M190" s="30" t="n"/>
      <c r="N190" s="30" t="n"/>
    </row>
    <row r="191">
      <c r="A191" s="30" t="n"/>
      <c r="B191" s="30" t="n"/>
      <c r="C191" s="30" t="n"/>
      <c r="D191" s="30" t="n"/>
      <c r="E191" s="30" t="n"/>
      <c r="F191" s="30" t="n"/>
      <c r="G191" s="30" t="n"/>
      <c r="H191" s="30" t="n"/>
      <c r="I191" s="30" t="n"/>
      <c r="J191" s="31" t="n"/>
      <c r="K191" s="32" t="n"/>
      <c r="L191" s="30" t="n"/>
      <c r="M191" s="30" t="n"/>
      <c r="N191" s="30" t="n"/>
    </row>
    <row r="192">
      <c r="A192" s="30" t="n"/>
      <c r="B192" s="30" t="n"/>
      <c r="C192" s="30" t="n"/>
      <c r="D192" s="30" t="n"/>
      <c r="E192" s="30" t="n"/>
      <c r="F192" s="30" t="n"/>
      <c r="G192" s="30" t="n"/>
      <c r="H192" s="30" t="n"/>
      <c r="I192" s="30" t="n"/>
      <c r="J192" s="31" t="n"/>
      <c r="K192" s="32" t="n"/>
      <c r="L192" s="30" t="n"/>
      <c r="M192" s="30" t="n"/>
      <c r="N192" s="30" t="n"/>
    </row>
    <row r="193">
      <c r="A193" s="30" t="n"/>
      <c r="B193" s="30" t="n"/>
      <c r="C193" s="30" t="n"/>
      <c r="D193" s="30" t="n"/>
      <c r="E193" s="30" t="n"/>
      <c r="F193" s="30" t="n"/>
      <c r="G193" s="30" t="n"/>
      <c r="H193" s="30" t="n"/>
      <c r="I193" s="30" t="n"/>
      <c r="J193" s="31" t="n"/>
      <c r="K193" s="32" t="n"/>
      <c r="L193" s="30" t="n"/>
      <c r="M193" s="30" t="n"/>
      <c r="N193" s="30" t="n"/>
    </row>
    <row r="194">
      <c r="A194" s="30" t="n"/>
      <c r="B194" s="30" t="n"/>
      <c r="C194" s="30" t="n"/>
      <c r="D194" s="30" t="n"/>
      <c r="E194" s="30" t="n"/>
      <c r="F194" s="30" t="n"/>
      <c r="G194" s="30" t="n"/>
      <c r="H194" s="30" t="n"/>
      <c r="I194" s="30" t="n"/>
      <c r="J194" s="31" t="n"/>
      <c r="K194" s="32" t="n"/>
      <c r="L194" s="30" t="n"/>
      <c r="M194" s="30" t="n"/>
      <c r="N194" s="30" t="n"/>
    </row>
    <row r="195">
      <c r="A195" s="30" t="n"/>
      <c r="B195" s="30" t="n"/>
      <c r="C195" s="30" t="n"/>
      <c r="D195" s="30" t="n"/>
      <c r="E195" s="30" t="n"/>
      <c r="F195" s="30" t="n"/>
      <c r="G195" s="30" t="n"/>
      <c r="H195" s="30" t="n"/>
      <c r="I195" s="30" t="n"/>
      <c r="J195" s="31" t="n"/>
      <c r="K195" s="32" t="n"/>
      <c r="L195" s="30" t="n"/>
      <c r="M195" s="30" t="n"/>
      <c r="N195" s="30" t="n"/>
    </row>
    <row r="196">
      <c r="A196" s="30" t="n"/>
      <c r="B196" s="30" t="n"/>
      <c r="C196" s="30" t="n"/>
      <c r="D196" s="30" t="n"/>
      <c r="E196" s="30" t="n"/>
      <c r="F196" s="30" t="n"/>
      <c r="G196" s="30" t="n"/>
      <c r="H196" s="30" t="n"/>
      <c r="I196" s="30" t="n"/>
      <c r="J196" s="31" t="n"/>
      <c r="K196" s="32" t="n"/>
      <c r="L196" s="30" t="n"/>
      <c r="M196" s="30" t="n"/>
      <c r="N196" s="30" t="n"/>
    </row>
    <row r="197">
      <c r="A197" s="30" t="n"/>
      <c r="B197" s="30" t="n"/>
      <c r="C197" s="30" t="n"/>
      <c r="D197" s="30" t="n"/>
      <c r="E197" s="30" t="n"/>
      <c r="F197" s="30" t="n"/>
      <c r="G197" s="30" t="n"/>
      <c r="H197" s="30" t="n"/>
      <c r="I197" s="30" t="n"/>
      <c r="J197" s="31" t="n"/>
      <c r="K197" s="32" t="n"/>
      <c r="L197" s="30" t="n"/>
      <c r="M197" s="30" t="n"/>
      <c r="N197" s="30" t="n"/>
    </row>
    <row r="198">
      <c r="A198" s="30" t="n"/>
      <c r="B198" s="30" t="n"/>
      <c r="C198" s="30" t="n"/>
      <c r="D198" s="30" t="n"/>
      <c r="E198" s="30" t="n"/>
      <c r="F198" s="30" t="n"/>
      <c r="G198" s="30" t="n"/>
      <c r="H198" s="30" t="n"/>
      <c r="I198" s="30" t="n"/>
      <c r="J198" s="31" t="n"/>
      <c r="K198" s="32" t="n"/>
      <c r="L198" s="30" t="n"/>
      <c r="M198" s="30" t="n"/>
      <c r="N198" s="30" t="n"/>
    </row>
    <row r="199">
      <c r="A199" s="30" t="n"/>
      <c r="B199" s="30" t="n"/>
      <c r="C199" s="30" t="n"/>
      <c r="D199" s="30" t="n"/>
      <c r="E199" s="30" t="n"/>
      <c r="F199" s="30" t="n"/>
      <c r="G199" s="30" t="n"/>
      <c r="H199" s="30" t="n"/>
      <c r="I199" s="30" t="n"/>
      <c r="J199" s="31" t="n"/>
      <c r="K199" s="32" t="n"/>
      <c r="L199" s="30" t="n"/>
      <c r="M199" s="30" t="n"/>
      <c r="N199" s="30" t="n"/>
    </row>
    <row r="200">
      <c r="A200" s="30" t="n"/>
      <c r="B200" s="30" t="n"/>
      <c r="C200" s="30" t="n"/>
      <c r="D200" s="30" t="n"/>
      <c r="E200" s="30" t="n"/>
      <c r="F200" s="30" t="n"/>
      <c r="G200" s="30" t="n"/>
      <c r="H200" s="30" t="n"/>
      <c r="I200" s="30" t="n"/>
      <c r="J200" s="31" t="n"/>
      <c r="K200" s="32" t="n"/>
      <c r="L200" s="30" t="n"/>
      <c r="M200" s="30" t="n"/>
      <c r="N200" s="30" t="n"/>
    </row>
    <row r="201">
      <c r="A201" s="30" t="n"/>
      <c r="B201" s="30" t="n"/>
      <c r="C201" s="30" t="n"/>
      <c r="D201" s="30" t="n"/>
      <c r="E201" s="30" t="n"/>
      <c r="F201" s="30" t="n"/>
      <c r="G201" s="30" t="n"/>
      <c r="H201" s="30" t="n"/>
      <c r="I201" s="30" t="n"/>
      <c r="J201" s="31" t="n"/>
      <c r="K201" s="32" t="n"/>
      <c r="L201" s="30" t="n"/>
      <c r="M201" s="30" t="n"/>
      <c r="N201" s="30" t="n"/>
    </row>
    <row r="202">
      <c r="A202" s="30" t="n"/>
      <c r="B202" s="30" t="n"/>
      <c r="C202" s="30" t="n"/>
      <c r="D202" s="30" t="n"/>
      <c r="E202" s="30" t="n"/>
      <c r="F202" s="30" t="n"/>
      <c r="G202" s="30" t="n"/>
      <c r="H202" s="30" t="n"/>
      <c r="I202" s="30" t="n"/>
      <c r="J202" s="31" t="n"/>
      <c r="K202" s="32" t="n"/>
      <c r="L202" s="30" t="n"/>
      <c r="M202" s="30" t="n"/>
      <c r="N202" s="30" t="n"/>
    </row>
    <row r="203">
      <c r="A203" s="30" t="n"/>
      <c r="B203" s="30" t="n"/>
      <c r="C203" s="30" t="n"/>
      <c r="D203" s="30" t="n"/>
      <c r="E203" s="30" t="n"/>
      <c r="F203" s="30" t="n"/>
      <c r="G203" s="30" t="n"/>
      <c r="H203" s="30" t="n"/>
      <c r="I203" s="30" t="n"/>
      <c r="J203" s="31" t="n"/>
      <c r="K203" s="32" t="n"/>
      <c r="L203" s="30" t="n"/>
      <c r="M203" s="30" t="n"/>
      <c r="N203" s="30" t="n"/>
    </row>
    <row r="204">
      <c r="A204" s="30" t="n"/>
      <c r="B204" s="30" t="n"/>
      <c r="C204" s="30" t="n"/>
      <c r="D204" s="30" t="n"/>
      <c r="E204" s="30" t="n"/>
      <c r="F204" s="30" t="n"/>
      <c r="G204" s="30" t="n"/>
      <c r="H204" s="30" t="n"/>
      <c r="I204" s="30" t="n"/>
      <c r="J204" s="31" t="n"/>
      <c r="K204" s="32" t="n"/>
      <c r="L204" s="30" t="n"/>
      <c r="M204" s="30" t="n"/>
      <c r="N204" s="30" t="n"/>
    </row>
    <row r="205">
      <c r="A205" s="30" t="n"/>
      <c r="B205" s="30" t="n"/>
      <c r="C205" s="30" t="n"/>
      <c r="D205" s="30" t="n"/>
      <c r="E205" s="30" t="n"/>
      <c r="F205" s="30" t="n"/>
      <c r="G205" s="30" t="n"/>
      <c r="H205" s="30" t="n"/>
      <c r="I205" s="30" t="n"/>
      <c r="J205" s="31" t="n"/>
      <c r="K205" s="32" t="n"/>
      <c r="L205" s="30" t="n"/>
      <c r="M205" s="30" t="n"/>
      <c r="N205" s="30" t="n"/>
    </row>
    <row r="206">
      <c r="A206" s="30" t="n"/>
      <c r="B206" s="30" t="n"/>
      <c r="C206" s="30" t="n"/>
      <c r="D206" s="30" t="n"/>
      <c r="E206" s="30" t="n"/>
      <c r="F206" s="30" t="n"/>
      <c r="G206" s="30" t="n"/>
      <c r="H206" s="30" t="n"/>
      <c r="I206" s="30" t="n"/>
      <c r="J206" s="31" t="n"/>
      <c r="K206" s="32" t="n"/>
      <c r="L206" s="30" t="n"/>
      <c r="M206" s="30" t="n"/>
      <c r="N206" s="30" t="n"/>
    </row>
    <row r="207">
      <c r="A207" s="30" t="n"/>
      <c r="B207" s="30" t="n"/>
      <c r="C207" s="30" t="n"/>
      <c r="D207" s="30" t="n"/>
      <c r="E207" s="30" t="n"/>
      <c r="F207" s="30" t="n"/>
      <c r="G207" s="30" t="n"/>
      <c r="H207" s="30" t="n"/>
      <c r="I207" s="30" t="n"/>
      <c r="J207" s="31" t="n"/>
      <c r="K207" s="32" t="n"/>
      <c r="L207" s="30" t="n"/>
      <c r="M207" s="30" t="n"/>
      <c r="N207" s="30" t="n"/>
    </row>
    <row r="208">
      <c r="A208" s="30" t="n"/>
      <c r="B208" s="30" t="n"/>
      <c r="C208" s="30" t="n"/>
      <c r="D208" s="30" t="n"/>
      <c r="E208" s="30" t="n"/>
      <c r="F208" s="30" t="n"/>
      <c r="G208" s="30" t="n"/>
      <c r="H208" s="30" t="n"/>
      <c r="I208" s="30" t="n"/>
      <c r="J208" s="31" t="n"/>
      <c r="K208" s="32" t="n"/>
      <c r="L208" s="30" t="n"/>
      <c r="M208" s="30" t="n"/>
      <c r="N208" s="30" t="n"/>
    </row>
    <row r="209">
      <c r="A209" s="30" t="n"/>
      <c r="B209" s="30" t="n"/>
      <c r="C209" s="30" t="n"/>
      <c r="D209" s="30" t="n"/>
      <c r="E209" s="30" t="n"/>
      <c r="F209" s="30" t="n"/>
      <c r="G209" s="30" t="n"/>
      <c r="H209" s="30" t="n"/>
      <c r="I209" s="30" t="n"/>
      <c r="J209" s="31" t="n"/>
      <c r="K209" s="32" t="n"/>
      <c r="L209" s="30" t="n"/>
      <c r="M209" s="30" t="n"/>
      <c r="N209" s="30" t="n"/>
    </row>
    <row r="210">
      <c r="A210" s="30" t="n"/>
      <c r="B210" s="30" t="n"/>
      <c r="C210" s="30" t="n"/>
      <c r="D210" s="30" t="n"/>
      <c r="E210" s="30" t="n"/>
      <c r="F210" s="30" t="n"/>
      <c r="G210" s="30" t="n"/>
      <c r="H210" s="30" t="n"/>
      <c r="I210" s="30" t="n"/>
      <c r="J210" s="31" t="n"/>
      <c r="K210" s="32" t="n"/>
      <c r="L210" s="30" t="n"/>
      <c r="M210" s="30" t="n"/>
      <c r="N210" s="30" t="n"/>
    </row>
    <row r="211">
      <c r="A211" s="30" t="n"/>
      <c r="B211" s="30" t="n"/>
      <c r="C211" s="30" t="n"/>
      <c r="D211" s="30" t="n"/>
      <c r="E211" s="30" t="n"/>
      <c r="F211" s="30" t="n"/>
      <c r="G211" s="30" t="n"/>
      <c r="H211" s="30" t="n"/>
      <c r="I211" s="30" t="n"/>
      <c r="J211" s="31" t="n"/>
      <c r="K211" s="32" t="n"/>
      <c r="L211" s="30" t="n"/>
      <c r="M211" s="30" t="n"/>
      <c r="N211" s="30" t="n"/>
    </row>
    <row r="212">
      <c r="A212" s="30" t="n"/>
      <c r="B212" s="30" t="n"/>
      <c r="C212" s="30" t="n"/>
      <c r="D212" s="30" t="n"/>
      <c r="E212" s="30" t="n"/>
      <c r="F212" s="30" t="n"/>
      <c r="G212" s="30" t="n"/>
      <c r="H212" s="30" t="n"/>
      <c r="I212" s="30" t="n"/>
      <c r="J212" s="31" t="n"/>
      <c r="K212" s="32" t="n"/>
      <c r="L212" s="30" t="n"/>
      <c r="M212" s="30" t="n"/>
      <c r="N212" s="30" t="n"/>
    </row>
    <row r="213">
      <c r="A213" s="30" t="n"/>
      <c r="B213" s="30" t="n"/>
      <c r="C213" s="30" t="n"/>
      <c r="D213" s="30" t="n"/>
      <c r="E213" s="30" t="n"/>
      <c r="F213" s="30" t="n"/>
      <c r="G213" s="30" t="n"/>
      <c r="H213" s="30" t="n"/>
      <c r="I213" s="30" t="n"/>
      <c r="J213" s="31" t="n"/>
      <c r="K213" s="32" t="n"/>
      <c r="L213" s="30" t="n"/>
      <c r="M213" s="30" t="n"/>
      <c r="N213" s="30" t="n"/>
    </row>
    <row r="214">
      <c r="A214" s="30" t="n"/>
      <c r="B214" s="30" t="n"/>
      <c r="C214" s="30" t="n"/>
      <c r="D214" s="30" t="n"/>
      <c r="E214" s="30" t="n"/>
      <c r="F214" s="30" t="n"/>
      <c r="G214" s="30" t="n"/>
      <c r="H214" s="30" t="n"/>
      <c r="I214" s="30" t="n"/>
      <c r="J214" s="31" t="n"/>
      <c r="K214" s="32" t="n"/>
      <c r="L214" s="30" t="n"/>
      <c r="M214" s="30" t="n"/>
      <c r="N214" s="30" t="n"/>
    </row>
    <row r="215">
      <c r="A215" s="30" t="n"/>
      <c r="B215" s="30" t="n"/>
      <c r="C215" s="30" t="n"/>
      <c r="D215" s="30" t="n"/>
      <c r="E215" s="30" t="n"/>
      <c r="F215" s="30" t="n"/>
      <c r="G215" s="30" t="n"/>
      <c r="H215" s="30" t="n"/>
      <c r="I215" s="30" t="n"/>
      <c r="J215" s="31" t="n"/>
      <c r="K215" s="32" t="n"/>
      <c r="L215" s="30" t="n"/>
      <c r="M215" s="30" t="n"/>
      <c r="N215" s="30" t="n"/>
    </row>
    <row r="216">
      <c r="A216" s="30" t="n"/>
      <c r="B216" s="30" t="n"/>
      <c r="C216" s="30" t="n"/>
      <c r="D216" s="30" t="n"/>
      <c r="E216" s="30" t="n"/>
      <c r="F216" s="30" t="n"/>
      <c r="G216" s="30" t="n"/>
      <c r="H216" s="30" t="n"/>
      <c r="I216" s="30" t="n"/>
      <c r="J216" s="31" t="n"/>
      <c r="K216" s="32" t="n"/>
      <c r="L216" s="30" t="n"/>
      <c r="M216" s="30" t="n"/>
      <c r="N216" s="30" t="n"/>
    </row>
    <row r="217">
      <c r="A217" s="30" t="n"/>
      <c r="B217" s="30" t="n"/>
      <c r="C217" s="30" t="n"/>
      <c r="D217" s="30" t="n"/>
      <c r="E217" s="30" t="n"/>
      <c r="F217" s="30" t="n"/>
      <c r="G217" s="30" t="n"/>
      <c r="H217" s="30" t="n"/>
      <c r="I217" s="30" t="n"/>
      <c r="J217" s="31" t="n"/>
      <c r="K217" s="32" t="n"/>
      <c r="L217" s="30" t="n"/>
      <c r="M217" s="30" t="n"/>
      <c r="N217" s="30" t="n"/>
    </row>
    <row r="218">
      <c r="A218" s="30" t="n"/>
      <c r="B218" s="30" t="n"/>
      <c r="C218" s="30" t="n"/>
      <c r="D218" s="30" t="n"/>
      <c r="E218" s="30" t="n"/>
      <c r="F218" s="30" t="n"/>
      <c r="G218" s="30" t="n"/>
      <c r="H218" s="30" t="n"/>
      <c r="I218" s="30" t="n"/>
      <c r="J218" s="31" t="n"/>
      <c r="K218" s="32" t="n"/>
      <c r="L218" s="30" t="n"/>
      <c r="M218" s="30" t="n"/>
      <c r="N218" s="30" t="n"/>
    </row>
    <row r="219">
      <c r="A219" s="30" t="n"/>
      <c r="B219" s="30" t="n"/>
      <c r="C219" s="30" t="n"/>
      <c r="D219" s="30" t="n"/>
      <c r="E219" s="30" t="n"/>
      <c r="F219" s="30" t="n"/>
      <c r="G219" s="30" t="n"/>
      <c r="H219" s="30" t="n"/>
      <c r="I219" s="30" t="n"/>
      <c r="J219" s="31" t="n"/>
      <c r="K219" s="32" t="n"/>
      <c r="L219" s="30" t="n"/>
      <c r="M219" s="30" t="n"/>
      <c r="N219" s="30" t="n"/>
    </row>
    <row r="220">
      <c r="A220" s="30" t="n"/>
      <c r="B220" s="30" t="n"/>
      <c r="C220" s="30" t="n"/>
      <c r="D220" s="30" t="n"/>
      <c r="E220" s="30" t="n"/>
      <c r="F220" s="30" t="n"/>
      <c r="G220" s="30" t="n"/>
      <c r="H220" s="30" t="n"/>
      <c r="I220" s="30" t="n"/>
      <c r="J220" s="31" t="n"/>
      <c r="K220" s="32" t="n"/>
      <c r="L220" s="30" t="n"/>
      <c r="M220" s="30" t="n"/>
      <c r="N220" s="30" t="n"/>
    </row>
    <row r="221">
      <c r="A221" s="30" t="n"/>
      <c r="B221" s="30" t="n"/>
      <c r="C221" s="30" t="n"/>
      <c r="D221" s="30" t="n"/>
      <c r="E221" s="30" t="n"/>
      <c r="F221" s="30" t="n"/>
      <c r="G221" s="30" t="n"/>
      <c r="H221" s="30" t="n"/>
      <c r="I221" s="30" t="n"/>
      <c r="J221" s="31" t="n"/>
      <c r="K221" s="32" t="n"/>
      <c r="L221" s="30" t="n"/>
      <c r="M221" s="30" t="n"/>
      <c r="N221" s="30" t="n"/>
    </row>
    <row r="222">
      <c r="A222" s="30" t="n"/>
      <c r="B222" s="30" t="n"/>
      <c r="C222" s="30" t="n"/>
      <c r="D222" s="30" t="n"/>
      <c r="E222" s="30" t="n"/>
      <c r="F222" s="30" t="n"/>
      <c r="G222" s="30" t="n"/>
      <c r="H222" s="30" t="n"/>
      <c r="I222" s="30" t="n"/>
      <c r="J222" s="31" t="n"/>
      <c r="K222" s="32" t="n"/>
      <c r="L222" s="30" t="n"/>
      <c r="M222" s="30" t="n"/>
      <c r="N222" s="30" t="n"/>
    </row>
    <row r="223">
      <c r="A223" s="30" t="n"/>
      <c r="B223" s="30" t="n"/>
      <c r="C223" s="30" t="n"/>
      <c r="D223" s="30" t="n"/>
      <c r="E223" s="30" t="n"/>
      <c r="F223" s="30" t="n"/>
      <c r="G223" s="30" t="n"/>
      <c r="H223" s="30" t="n"/>
      <c r="I223" s="30" t="n"/>
      <c r="J223" s="31" t="n"/>
      <c r="K223" s="32" t="n"/>
      <c r="L223" s="30" t="n"/>
      <c r="M223" s="30" t="n"/>
      <c r="N223" s="30" t="n"/>
    </row>
    <row r="224">
      <c r="A224" s="30" t="n"/>
      <c r="B224" s="30" t="n"/>
      <c r="C224" s="30" t="n"/>
      <c r="D224" s="30" t="n"/>
      <c r="E224" s="30" t="n"/>
      <c r="F224" s="30" t="n"/>
      <c r="G224" s="30" t="n"/>
      <c r="H224" s="30" t="n"/>
      <c r="I224" s="30" t="n"/>
      <c r="J224" s="31" t="n"/>
      <c r="K224" s="32" t="n"/>
      <c r="L224" s="30" t="n"/>
      <c r="M224" s="30" t="n"/>
      <c r="N224" s="30" t="n"/>
    </row>
    <row r="225">
      <c r="A225" s="30" t="n"/>
      <c r="B225" s="30" t="n"/>
      <c r="C225" s="30" t="n"/>
      <c r="D225" s="30" t="n"/>
      <c r="E225" s="30" t="n"/>
      <c r="F225" s="30" t="n"/>
      <c r="G225" s="30" t="n"/>
      <c r="H225" s="30" t="n"/>
      <c r="I225" s="30" t="n"/>
      <c r="J225" s="31" t="n"/>
      <c r="K225" s="32" t="n"/>
      <c r="L225" s="30" t="n"/>
      <c r="M225" s="30" t="n"/>
      <c r="N225" s="30" t="n"/>
    </row>
    <row r="226">
      <c r="A226" s="30" t="n"/>
      <c r="B226" s="30" t="n"/>
      <c r="C226" s="30" t="n"/>
      <c r="D226" s="30" t="n"/>
      <c r="E226" s="30" t="n"/>
      <c r="F226" s="30" t="n"/>
      <c r="G226" s="30" t="n"/>
      <c r="H226" s="30" t="n"/>
      <c r="I226" s="30" t="n"/>
      <c r="J226" s="31" t="n"/>
      <c r="K226" s="32" t="n"/>
      <c r="L226" s="30" t="n"/>
      <c r="M226" s="30" t="n"/>
      <c r="N226" s="30" t="n"/>
    </row>
    <row r="227">
      <c r="A227" s="30" t="n"/>
      <c r="B227" s="30" t="n"/>
      <c r="C227" s="30" t="n"/>
      <c r="D227" s="30" t="n"/>
      <c r="E227" s="30" t="n"/>
      <c r="F227" s="30" t="n"/>
      <c r="G227" s="30" t="n"/>
      <c r="H227" s="30" t="n"/>
      <c r="I227" s="30" t="n"/>
      <c r="J227" s="31" t="n"/>
      <c r="K227" s="32" t="n"/>
      <c r="L227" s="30" t="n"/>
      <c r="M227" s="30" t="n"/>
      <c r="N227" s="30" t="n"/>
    </row>
    <row r="228">
      <c r="A228" s="30" t="n"/>
      <c r="B228" s="30" t="n"/>
      <c r="C228" s="30" t="n"/>
      <c r="D228" s="30" t="n"/>
      <c r="E228" s="30" t="n"/>
      <c r="F228" s="30" t="n"/>
      <c r="G228" s="30" t="n"/>
      <c r="H228" s="30" t="n"/>
      <c r="I228" s="30" t="n"/>
      <c r="J228" s="31" t="n"/>
      <c r="K228" s="32" t="n"/>
      <c r="L228" s="30" t="n"/>
      <c r="M228" s="30" t="n"/>
      <c r="N228" s="30" t="n"/>
    </row>
    <row r="229">
      <c r="A229" s="30" t="n"/>
      <c r="B229" s="30" t="n"/>
      <c r="C229" s="30" t="n"/>
      <c r="D229" s="30" t="n"/>
      <c r="E229" s="30" t="n"/>
      <c r="F229" s="30" t="n"/>
      <c r="G229" s="30" t="n"/>
      <c r="H229" s="30" t="n"/>
      <c r="I229" s="30" t="n"/>
      <c r="J229" s="31" t="n"/>
      <c r="K229" s="32" t="n"/>
      <c r="L229" s="30" t="n"/>
      <c r="M229" s="30" t="n"/>
      <c r="N229" s="30" t="n"/>
    </row>
    <row r="230">
      <c r="A230" s="30" t="n"/>
      <c r="B230" s="30" t="n"/>
      <c r="C230" s="30" t="n"/>
      <c r="D230" s="30" t="n"/>
      <c r="E230" s="30" t="n"/>
      <c r="F230" s="30" t="n"/>
      <c r="G230" s="30" t="n"/>
      <c r="H230" s="30" t="n"/>
      <c r="I230" s="30" t="n"/>
      <c r="J230" s="31" t="n"/>
      <c r="K230" s="32" t="n"/>
      <c r="L230" s="30" t="n"/>
      <c r="M230" s="30" t="n"/>
      <c r="N230" s="30" t="n"/>
    </row>
    <row r="231">
      <c r="A231" s="30" t="n"/>
      <c r="B231" s="30" t="n"/>
      <c r="C231" s="30" t="n"/>
      <c r="D231" s="30" t="n"/>
      <c r="E231" s="30" t="n"/>
      <c r="F231" s="30" t="n"/>
      <c r="G231" s="30" t="n"/>
      <c r="H231" s="30" t="n"/>
      <c r="I231" s="30" t="n"/>
      <c r="J231" s="31" t="n"/>
      <c r="K231" s="32" t="n"/>
      <c r="L231" s="30" t="n"/>
      <c r="M231" s="30" t="n"/>
      <c r="N231" s="30" t="n"/>
    </row>
    <row r="232">
      <c r="A232" s="30" t="n"/>
      <c r="B232" s="30" t="n"/>
      <c r="C232" s="30" t="n"/>
      <c r="D232" s="30" t="n"/>
      <c r="E232" s="30" t="n"/>
      <c r="F232" s="30" t="n"/>
      <c r="G232" s="30" t="n"/>
      <c r="H232" s="30" t="n"/>
      <c r="I232" s="30" t="n"/>
      <c r="J232" s="31" t="n"/>
      <c r="K232" s="32" t="n"/>
      <c r="L232" s="30" t="n"/>
      <c r="M232" s="30" t="n"/>
      <c r="N232" s="30" t="n"/>
    </row>
    <row r="233">
      <c r="A233" s="30" t="n"/>
      <c r="B233" s="30" t="n"/>
      <c r="C233" s="30" t="n"/>
      <c r="D233" s="30" t="n"/>
      <c r="E233" s="30" t="n"/>
      <c r="F233" s="30" t="n"/>
      <c r="G233" s="30" t="n"/>
      <c r="H233" s="30" t="n"/>
      <c r="I233" s="30" t="n"/>
      <c r="J233" s="31" t="n"/>
      <c r="K233" s="32" t="n"/>
      <c r="L233" s="30" t="n"/>
      <c r="M233" s="30" t="n"/>
      <c r="N233" s="30" t="n"/>
    </row>
    <row r="234">
      <c r="A234" s="30" t="n"/>
      <c r="B234" s="30" t="n"/>
      <c r="C234" s="30" t="n"/>
      <c r="D234" s="30" t="n"/>
      <c r="E234" s="30" t="n"/>
      <c r="F234" s="30" t="n"/>
      <c r="G234" s="30" t="n"/>
      <c r="H234" s="30" t="n"/>
      <c r="I234" s="30" t="n"/>
      <c r="J234" s="31" t="n"/>
      <c r="K234" s="32" t="n"/>
      <c r="L234" s="30" t="n"/>
      <c r="M234" s="30" t="n"/>
      <c r="N234" s="30" t="n"/>
    </row>
    <row r="235">
      <c r="A235" s="30" t="n"/>
      <c r="B235" s="30" t="n"/>
      <c r="C235" s="30" t="n"/>
      <c r="D235" s="30" t="n"/>
      <c r="E235" s="30" t="n"/>
      <c r="F235" s="30" t="n"/>
      <c r="G235" s="30" t="n"/>
      <c r="H235" s="30" t="n"/>
      <c r="I235" s="30" t="n"/>
      <c r="J235" s="31" t="n"/>
      <c r="K235" s="32" t="n"/>
      <c r="L235" s="30" t="n"/>
      <c r="M235" s="30" t="n"/>
      <c r="N235" s="30" t="n"/>
    </row>
    <row r="236">
      <c r="A236" s="30" t="n"/>
      <c r="B236" s="30" t="n"/>
      <c r="C236" s="30" t="n"/>
      <c r="D236" s="30" t="n"/>
      <c r="E236" s="30" t="n"/>
      <c r="F236" s="30" t="n"/>
      <c r="G236" s="30" t="n"/>
      <c r="H236" s="30" t="n"/>
      <c r="I236" s="30" t="n"/>
      <c r="J236" s="31" t="n"/>
      <c r="K236" s="32" t="n"/>
      <c r="L236" s="30" t="n"/>
      <c r="M236" s="30" t="n"/>
      <c r="N236" s="30" t="n"/>
    </row>
    <row r="237">
      <c r="A237" s="30" t="n"/>
      <c r="B237" s="30" t="n"/>
      <c r="C237" s="30" t="n"/>
      <c r="D237" s="30" t="n"/>
      <c r="E237" s="30" t="n"/>
      <c r="F237" s="30" t="n"/>
      <c r="G237" s="30" t="n"/>
      <c r="H237" s="30" t="n"/>
      <c r="I237" s="30" t="n"/>
      <c r="J237" s="31" t="n"/>
      <c r="K237" s="32" t="n"/>
      <c r="L237" s="30" t="n"/>
      <c r="M237" s="30" t="n"/>
      <c r="N237" s="30" t="n"/>
    </row>
    <row r="238">
      <c r="A238" s="30" t="n"/>
      <c r="B238" s="30" t="n"/>
      <c r="C238" s="30" t="n"/>
      <c r="D238" s="30" t="n"/>
      <c r="E238" s="30" t="n"/>
      <c r="F238" s="30" t="n"/>
      <c r="G238" s="30" t="n"/>
      <c r="H238" s="30" t="n"/>
      <c r="I238" s="30" t="n"/>
      <c r="J238" s="31" t="n"/>
      <c r="K238" s="32" t="n"/>
      <c r="L238" s="30" t="n"/>
      <c r="M238" s="30" t="n"/>
      <c r="N238" s="30" t="n"/>
    </row>
    <row r="239">
      <c r="A239" s="30" t="n"/>
      <c r="B239" s="30" t="n"/>
      <c r="C239" s="30" t="n"/>
      <c r="D239" s="30" t="n"/>
      <c r="E239" s="30" t="n"/>
      <c r="F239" s="30" t="n"/>
      <c r="G239" s="30" t="n"/>
      <c r="H239" s="30" t="n"/>
      <c r="I239" s="30" t="n"/>
      <c r="J239" s="31" t="n"/>
      <c r="K239" s="32" t="n"/>
      <c r="L239" s="30" t="n"/>
      <c r="M239" s="30" t="n"/>
      <c r="N239" s="30" t="n"/>
    </row>
    <row r="240">
      <c r="A240" s="30" t="n"/>
      <c r="B240" s="30" t="n"/>
      <c r="C240" s="30" t="n"/>
      <c r="D240" s="30" t="n"/>
      <c r="E240" s="30" t="n"/>
      <c r="F240" s="30" t="n"/>
      <c r="G240" s="30" t="n"/>
      <c r="H240" s="30" t="n"/>
      <c r="I240" s="30" t="n"/>
      <c r="J240" s="31" t="n"/>
      <c r="K240" s="32" t="n"/>
      <c r="L240" s="30" t="n"/>
      <c r="M240" s="30" t="n"/>
      <c r="N240" s="30" t="n"/>
    </row>
    <row r="241">
      <c r="A241" s="30" t="n"/>
      <c r="B241" s="30" t="n"/>
      <c r="C241" s="30" t="n"/>
      <c r="D241" s="30" t="n"/>
      <c r="E241" s="30" t="n"/>
      <c r="F241" s="30" t="n"/>
      <c r="G241" s="30" t="n"/>
      <c r="H241" s="30" t="n"/>
      <c r="I241" s="30" t="n"/>
      <c r="J241" s="31" t="n"/>
      <c r="K241" s="32" t="n"/>
      <c r="L241" s="30" t="n"/>
      <c r="M241" s="30" t="n"/>
      <c r="N241" s="30" t="n"/>
    </row>
    <row r="242">
      <c r="A242" s="30" t="n"/>
      <c r="B242" s="30" t="n"/>
      <c r="C242" s="30" t="n"/>
      <c r="D242" s="30" t="n"/>
      <c r="E242" s="30" t="n"/>
      <c r="F242" s="30" t="n"/>
      <c r="G242" s="30" t="n"/>
      <c r="H242" s="30" t="n"/>
      <c r="I242" s="30" t="n"/>
      <c r="J242" s="31" t="n"/>
      <c r="K242" s="32" t="n"/>
      <c r="L242" s="30" t="n"/>
      <c r="M242" s="30" t="n"/>
      <c r="N242" s="30" t="n"/>
    </row>
    <row r="243">
      <c r="A243" s="30" t="n"/>
      <c r="B243" s="30" t="n"/>
      <c r="C243" s="30" t="n"/>
      <c r="D243" s="30" t="n"/>
      <c r="E243" s="30" t="n"/>
      <c r="F243" s="30" t="n"/>
      <c r="G243" s="30" t="n"/>
      <c r="H243" s="30" t="n"/>
      <c r="I243" s="30" t="n"/>
      <c r="J243" s="31" t="n"/>
      <c r="K243" s="32" t="n"/>
      <c r="L243" s="30" t="n"/>
      <c r="M243" s="30" t="n"/>
      <c r="N243" s="30" t="n"/>
    </row>
    <row r="244">
      <c r="A244" s="30" t="n"/>
      <c r="B244" s="30" t="n"/>
      <c r="C244" s="30" t="n"/>
      <c r="D244" s="30" t="n"/>
      <c r="E244" s="30" t="n"/>
      <c r="F244" s="30" t="n"/>
      <c r="G244" s="30" t="n"/>
      <c r="H244" s="30" t="n"/>
      <c r="I244" s="30" t="n"/>
      <c r="J244" s="31" t="n"/>
      <c r="K244" s="32" t="n"/>
      <c r="L244" s="30" t="n"/>
      <c r="M244" s="30" t="n"/>
      <c r="N244" s="30" t="n"/>
    </row>
    <row r="245">
      <c r="A245" s="30" t="n"/>
      <c r="B245" s="30" t="n"/>
      <c r="C245" s="30" t="n"/>
      <c r="D245" s="30" t="n"/>
      <c r="E245" s="30" t="n"/>
      <c r="F245" s="30" t="n"/>
      <c r="G245" s="30" t="n"/>
      <c r="H245" s="30" t="n"/>
      <c r="I245" s="30" t="n"/>
      <c r="J245" s="31" t="n"/>
      <c r="K245" s="32" t="n"/>
      <c r="L245" s="30" t="n"/>
      <c r="M245" s="30" t="n"/>
      <c r="N245" s="30" t="n"/>
    </row>
    <row r="246">
      <c r="A246" s="30" t="n"/>
      <c r="B246" s="30" t="n"/>
      <c r="C246" s="30" t="n"/>
      <c r="D246" s="30" t="n"/>
      <c r="E246" s="30" t="n"/>
      <c r="F246" s="30" t="n"/>
      <c r="G246" s="30" t="n"/>
      <c r="H246" s="30" t="n"/>
      <c r="I246" s="30" t="n"/>
      <c r="J246" s="31" t="n"/>
      <c r="K246" s="32" t="n"/>
      <c r="L246" s="30" t="n"/>
      <c r="M246" s="30" t="n"/>
      <c r="N246" s="30" t="n"/>
    </row>
    <row r="247">
      <c r="A247" s="30" t="n"/>
      <c r="B247" s="30" t="n"/>
      <c r="C247" s="30" t="n"/>
      <c r="D247" s="30" t="n"/>
      <c r="E247" s="30" t="n"/>
      <c r="F247" s="30" t="n"/>
      <c r="G247" s="30" t="n"/>
      <c r="H247" s="30" t="n"/>
      <c r="I247" s="30" t="n"/>
      <c r="J247" s="31" t="n"/>
      <c r="K247" s="32" t="n"/>
      <c r="L247" s="30" t="n"/>
      <c r="M247" s="30" t="n"/>
      <c r="N247" s="30" t="n"/>
    </row>
    <row r="248">
      <c r="A248" s="30" t="n"/>
      <c r="B248" s="30" t="n"/>
      <c r="C248" s="30" t="n"/>
      <c r="D248" s="30" t="n"/>
      <c r="E248" s="30" t="n"/>
      <c r="F248" s="30" t="n"/>
      <c r="G248" s="30" t="n"/>
      <c r="H248" s="30" t="n"/>
      <c r="I248" s="30" t="n"/>
      <c r="J248" s="31" t="n"/>
      <c r="K248" s="32" t="n"/>
      <c r="L248" s="30" t="n"/>
      <c r="M248" s="30" t="n"/>
      <c r="N248" s="30" t="n"/>
    </row>
    <row r="249">
      <c r="A249" s="30" t="n"/>
      <c r="B249" s="30" t="n"/>
      <c r="C249" s="30" t="n"/>
      <c r="D249" s="30" t="n"/>
      <c r="E249" s="30" t="n"/>
      <c r="F249" s="30" t="n"/>
      <c r="G249" s="30" t="n"/>
      <c r="H249" s="30" t="n"/>
      <c r="I249" s="30" t="n"/>
      <c r="J249" s="31" t="n"/>
      <c r="K249" s="32" t="n"/>
      <c r="L249" s="30" t="n"/>
      <c r="M249" s="30" t="n"/>
      <c r="N249" s="30" t="n"/>
    </row>
    <row r="250">
      <c r="A250" s="30" t="n"/>
      <c r="B250" s="30" t="n"/>
      <c r="C250" s="30" t="n"/>
      <c r="D250" s="30" t="n"/>
      <c r="E250" s="30" t="n"/>
      <c r="F250" s="30" t="n"/>
      <c r="G250" s="30" t="n"/>
      <c r="H250" s="30" t="n"/>
      <c r="I250" s="30" t="n"/>
      <c r="J250" s="31" t="n"/>
      <c r="K250" s="32" t="n"/>
      <c r="L250" s="30" t="n"/>
      <c r="M250" s="30" t="n"/>
      <c r="N250" s="30" t="n"/>
    </row>
    <row r="251">
      <c r="A251" s="30" t="n"/>
      <c r="B251" s="30" t="n"/>
      <c r="C251" s="30" t="n"/>
      <c r="D251" s="30" t="n"/>
      <c r="E251" s="30" t="n"/>
      <c r="F251" s="30" t="n"/>
      <c r="G251" s="30" t="n"/>
      <c r="H251" s="30" t="n"/>
      <c r="I251" s="30" t="n"/>
      <c r="J251" s="31" t="n"/>
      <c r="K251" s="32" t="n"/>
      <c r="L251" s="30" t="n"/>
      <c r="M251" s="30" t="n"/>
      <c r="N251" s="30" t="n"/>
    </row>
    <row r="252">
      <c r="A252" s="30" t="n"/>
      <c r="B252" s="30" t="n"/>
      <c r="C252" s="30" t="n"/>
      <c r="D252" s="30" t="n"/>
      <c r="E252" s="30" t="n"/>
      <c r="F252" s="30" t="n"/>
      <c r="G252" s="30" t="n"/>
      <c r="H252" s="30" t="n"/>
      <c r="I252" s="30" t="n"/>
      <c r="J252" s="31" t="n"/>
      <c r="K252" s="32" t="n"/>
      <c r="L252" s="30" t="n"/>
      <c r="M252" s="30" t="n"/>
      <c r="N252" s="30" t="n"/>
    </row>
    <row r="253">
      <c r="A253" s="30" t="n"/>
      <c r="B253" s="30" t="n"/>
      <c r="C253" s="30" t="n"/>
      <c r="D253" s="30" t="n"/>
      <c r="E253" s="30" t="n"/>
      <c r="F253" s="30" t="n"/>
      <c r="G253" s="30" t="n"/>
      <c r="H253" s="30" t="n"/>
      <c r="I253" s="30" t="n"/>
      <c r="J253" s="31" t="n"/>
      <c r="K253" s="32" t="n"/>
      <c r="L253" s="30" t="n"/>
      <c r="M253" s="30" t="n"/>
      <c r="N253" s="30" t="n"/>
    </row>
    <row r="254">
      <c r="A254" s="30" t="n"/>
      <c r="B254" s="30" t="n"/>
      <c r="C254" s="30" t="n"/>
      <c r="D254" s="30" t="n"/>
      <c r="E254" s="30" t="n"/>
      <c r="F254" s="30" t="n"/>
      <c r="G254" s="30" t="n"/>
      <c r="H254" s="30" t="n"/>
      <c r="I254" s="30" t="n"/>
      <c r="J254" s="31" t="n"/>
      <c r="K254" s="32" t="n"/>
      <c r="L254" s="30" t="n"/>
      <c r="M254" s="30" t="n"/>
      <c r="N254" s="30" t="n"/>
    </row>
    <row r="255">
      <c r="A255" s="30" t="n"/>
      <c r="B255" s="30" t="n"/>
      <c r="C255" s="30" t="n"/>
      <c r="D255" s="30" t="n"/>
      <c r="E255" s="30" t="n"/>
      <c r="F255" s="30" t="n"/>
      <c r="G255" s="30" t="n"/>
      <c r="H255" s="30" t="n"/>
      <c r="I255" s="30" t="n"/>
      <c r="J255" s="31" t="n"/>
      <c r="K255" s="32" t="n"/>
      <c r="L255" s="30" t="n"/>
      <c r="M255" s="30" t="n"/>
      <c r="N255" s="30" t="n"/>
    </row>
    <row r="256">
      <c r="A256" s="30" t="n"/>
      <c r="B256" s="30" t="n"/>
      <c r="C256" s="30" t="n"/>
      <c r="D256" s="30" t="n"/>
      <c r="E256" s="30" t="n"/>
      <c r="F256" s="30" t="n"/>
      <c r="G256" s="30" t="n"/>
      <c r="H256" s="30" t="n"/>
      <c r="I256" s="30" t="n"/>
      <c r="J256" s="31" t="n"/>
      <c r="K256" s="32" t="n"/>
      <c r="L256" s="30" t="n"/>
      <c r="M256" s="30" t="n"/>
      <c r="N256" s="30" t="n"/>
    </row>
    <row r="257">
      <c r="A257" s="30" t="n"/>
      <c r="B257" s="30" t="n"/>
      <c r="C257" s="30" t="n"/>
      <c r="D257" s="30" t="n"/>
      <c r="E257" s="30" t="n"/>
      <c r="F257" s="30" t="n"/>
      <c r="G257" s="30" t="n"/>
      <c r="H257" s="30" t="n"/>
      <c r="I257" s="30" t="n"/>
      <c r="J257" s="31" t="n"/>
      <c r="K257" s="32" t="n"/>
      <c r="L257" s="30" t="n"/>
      <c r="M257" s="30" t="n"/>
      <c r="N257" s="30" t="n"/>
    </row>
    <row r="258">
      <c r="A258" s="30" t="n"/>
      <c r="B258" s="30" t="n"/>
      <c r="C258" s="30" t="n"/>
      <c r="D258" s="30" t="n"/>
      <c r="E258" s="30" t="n"/>
      <c r="F258" s="30" t="n"/>
      <c r="G258" s="30" t="n"/>
      <c r="H258" s="30" t="n"/>
      <c r="I258" s="30" t="n"/>
      <c r="J258" s="31" t="n"/>
      <c r="K258" s="32" t="n"/>
      <c r="L258" s="30" t="n"/>
      <c r="M258" s="30" t="n"/>
      <c r="N258" s="30" t="n"/>
    </row>
    <row r="259">
      <c r="A259" s="30" t="n"/>
      <c r="B259" s="30" t="n"/>
      <c r="C259" s="30" t="n"/>
      <c r="D259" s="30" t="n"/>
      <c r="E259" s="30" t="n"/>
      <c r="F259" s="30" t="n"/>
      <c r="G259" s="30" t="n"/>
      <c r="H259" s="30" t="n"/>
      <c r="I259" s="30" t="n"/>
      <c r="J259" s="31" t="n"/>
      <c r="K259" s="32" t="n"/>
      <c r="L259" s="30" t="n"/>
      <c r="M259" s="30" t="n"/>
      <c r="N259" s="30" t="n"/>
    </row>
    <row r="260">
      <c r="A260" s="30" t="n"/>
      <c r="B260" s="30" t="n"/>
      <c r="C260" s="30" t="n"/>
      <c r="D260" s="30" t="n"/>
      <c r="E260" s="30" t="n"/>
      <c r="F260" s="30" t="n"/>
      <c r="G260" s="30" t="n"/>
      <c r="H260" s="30" t="n"/>
      <c r="I260" s="30" t="n"/>
      <c r="J260" s="31" t="n"/>
      <c r="K260" s="32" t="n"/>
      <c r="L260" s="30" t="n"/>
      <c r="M260" s="30" t="n"/>
      <c r="N260" s="30" t="n"/>
    </row>
    <row r="261">
      <c r="A261" s="30" t="n"/>
      <c r="B261" s="30" t="n"/>
      <c r="C261" s="30" t="n"/>
      <c r="D261" s="30" t="n"/>
      <c r="E261" s="30" t="n"/>
      <c r="F261" s="30" t="n"/>
      <c r="G261" s="30" t="n"/>
      <c r="H261" s="30" t="n"/>
      <c r="I261" s="30" t="n"/>
      <c r="J261" s="31" t="n"/>
      <c r="K261" s="32" t="n"/>
      <c r="L261" s="30" t="n"/>
      <c r="M261" s="30" t="n"/>
      <c r="N261" s="30" t="n"/>
    </row>
    <row r="262">
      <c r="A262" s="30" t="n"/>
      <c r="B262" s="30" t="n"/>
      <c r="C262" s="30" t="n"/>
      <c r="D262" s="30" t="n"/>
      <c r="E262" s="30" t="n"/>
      <c r="F262" s="30" t="n"/>
      <c r="G262" s="30" t="n"/>
      <c r="H262" s="30" t="n"/>
      <c r="I262" s="30" t="n"/>
      <c r="J262" s="31" t="n"/>
      <c r="K262" s="32" t="n"/>
      <c r="L262" s="30" t="n"/>
      <c r="M262" s="30" t="n"/>
      <c r="N262" s="30" t="n"/>
    </row>
    <row r="263">
      <c r="A263" s="30" t="n"/>
      <c r="B263" s="30" t="n"/>
      <c r="C263" s="30" t="n"/>
      <c r="D263" s="30" t="n"/>
      <c r="E263" s="30" t="n"/>
      <c r="F263" s="30" t="n"/>
      <c r="G263" s="30" t="n"/>
      <c r="H263" s="30" t="n"/>
      <c r="I263" s="30" t="n"/>
      <c r="J263" s="31" t="n"/>
      <c r="K263" s="32" t="n"/>
      <c r="L263" s="30" t="n"/>
      <c r="M263" s="30" t="n"/>
      <c r="N263" s="30" t="n"/>
    </row>
    <row r="264">
      <c r="A264" s="30" t="n"/>
      <c r="B264" s="30" t="n"/>
      <c r="C264" s="30" t="n"/>
      <c r="D264" s="30" t="n"/>
      <c r="E264" s="30" t="n"/>
      <c r="F264" s="30" t="n"/>
      <c r="G264" s="30" t="n"/>
      <c r="H264" s="30" t="n"/>
      <c r="I264" s="30" t="n"/>
      <c r="J264" s="31" t="n"/>
      <c r="K264" s="32" t="n"/>
      <c r="L264" s="30" t="n"/>
      <c r="M264" s="30" t="n"/>
      <c r="N264" s="30" t="n"/>
    </row>
    <row r="265">
      <c r="A265" s="30" t="n"/>
      <c r="B265" s="30" t="n"/>
      <c r="C265" s="30" t="n"/>
      <c r="D265" s="30" t="n"/>
      <c r="E265" s="30" t="n"/>
      <c r="F265" s="30" t="n"/>
      <c r="G265" s="30" t="n"/>
      <c r="H265" s="30" t="n"/>
      <c r="I265" s="30" t="n"/>
      <c r="J265" s="31" t="n"/>
      <c r="K265" s="32" t="n"/>
      <c r="L265" s="30" t="n"/>
      <c r="M265" s="30" t="n"/>
      <c r="N265" s="30" t="n"/>
    </row>
    <row r="266">
      <c r="A266" s="30" t="n"/>
      <c r="B266" s="30" t="n"/>
      <c r="C266" s="30" t="n"/>
      <c r="D266" s="30" t="n"/>
      <c r="E266" s="30" t="n"/>
      <c r="F266" s="30" t="n"/>
      <c r="G266" s="30" t="n"/>
      <c r="H266" s="30" t="n"/>
      <c r="I266" s="30" t="n"/>
      <c r="J266" s="31" t="n"/>
      <c r="K266" s="32" t="n"/>
      <c r="L266" s="30" t="n"/>
      <c r="M266" s="30" t="n"/>
      <c r="N266" s="30" t="n"/>
    </row>
    <row r="267">
      <c r="A267" s="30" t="n"/>
      <c r="B267" s="30" t="n"/>
      <c r="C267" s="30" t="n"/>
      <c r="D267" s="30" t="n"/>
      <c r="E267" s="30" t="n"/>
      <c r="F267" s="30" t="n"/>
      <c r="G267" s="30" t="n"/>
      <c r="H267" s="30" t="n"/>
      <c r="I267" s="30" t="n"/>
      <c r="J267" s="31" t="n"/>
      <c r="K267" s="32" t="n"/>
      <c r="L267" s="30" t="n"/>
      <c r="M267" s="30" t="n"/>
      <c r="N267" s="30" t="n"/>
    </row>
    <row r="268">
      <c r="A268" s="30" t="n"/>
      <c r="B268" s="30" t="n"/>
      <c r="C268" s="30" t="n"/>
      <c r="D268" s="30" t="n"/>
      <c r="E268" s="30" t="n"/>
      <c r="F268" s="30" t="n"/>
      <c r="G268" s="30" t="n"/>
      <c r="H268" s="30" t="n"/>
      <c r="I268" s="30" t="n"/>
      <c r="J268" s="31" t="n"/>
      <c r="K268" s="32" t="n"/>
      <c r="L268" s="30" t="n"/>
      <c r="M268" s="30" t="n"/>
      <c r="N268" s="30" t="n"/>
    </row>
    <row r="269">
      <c r="A269" s="30" t="n"/>
      <c r="B269" s="30" t="n"/>
      <c r="C269" s="30" t="n"/>
      <c r="D269" s="30" t="n"/>
      <c r="E269" s="30" t="n"/>
      <c r="F269" s="30" t="n"/>
      <c r="G269" s="30" t="n"/>
      <c r="H269" s="30" t="n"/>
      <c r="I269" s="30" t="n"/>
      <c r="J269" s="31" t="n"/>
      <c r="K269" s="32" t="n"/>
      <c r="L269" s="30" t="n"/>
      <c r="M269" s="30" t="n"/>
      <c r="N269" s="30" t="n"/>
    </row>
    <row r="270">
      <c r="A270" s="30" t="n"/>
      <c r="B270" s="30" t="n"/>
      <c r="C270" s="30" t="n"/>
      <c r="D270" s="30" t="n"/>
      <c r="E270" s="30" t="n"/>
      <c r="F270" s="30" t="n"/>
      <c r="G270" s="30" t="n"/>
      <c r="H270" s="30" t="n"/>
      <c r="I270" s="30" t="n"/>
      <c r="J270" s="31" t="n"/>
      <c r="K270" s="32" t="n"/>
      <c r="L270" s="30" t="n"/>
      <c r="M270" s="30" t="n"/>
      <c r="N270" s="30" t="n"/>
    </row>
    <row r="271">
      <c r="A271" s="30" t="n"/>
      <c r="B271" s="30" t="n"/>
      <c r="C271" s="30" t="n"/>
      <c r="D271" s="30" t="n"/>
      <c r="E271" s="30" t="n"/>
      <c r="F271" s="30" t="n"/>
      <c r="G271" s="30" t="n"/>
      <c r="H271" s="30" t="n"/>
      <c r="I271" s="30" t="n"/>
      <c r="J271" s="31" t="n"/>
      <c r="K271" s="32" t="n"/>
      <c r="L271" s="30" t="n"/>
      <c r="M271" s="30" t="n"/>
      <c r="N271" s="30" t="n"/>
    </row>
    <row r="272">
      <c r="A272" s="30" t="n"/>
      <c r="B272" s="30" t="n"/>
      <c r="C272" s="30" t="n"/>
      <c r="D272" s="30" t="n"/>
      <c r="E272" s="30" t="n"/>
      <c r="F272" s="30" t="n"/>
      <c r="G272" s="30" t="n"/>
      <c r="H272" s="30" t="n"/>
      <c r="I272" s="30" t="n"/>
      <c r="J272" s="31" t="n"/>
      <c r="K272" s="32" t="n"/>
      <c r="L272" s="30" t="n"/>
      <c r="M272" s="30" t="n"/>
      <c r="N272" s="30" t="n"/>
    </row>
    <row r="273">
      <c r="A273" s="30" t="n"/>
      <c r="B273" s="30" t="n"/>
      <c r="C273" s="30" t="n"/>
      <c r="D273" s="30" t="n"/>
      <c r="E273" s="30" t="n"/>
      <c r="F273" s="30" t="n"/>
      <c r="G273" s="30" t="n"/>
      <c r="H273" s="30" t="n"/>
      <c r="I273" s="30" t="n"/>
      <c r="J273" s="31" t="n"/>
      <c r="K273" s="32" t="n"/>
      <c r="L273" s="30" t="n"/>
      <c r="M273" s="30" t="n"/>
      <c r="N273" s="30" t="n"/>
    </row>
    <row r="274">
      <c r="A274" s="30" t="n"/>
      <c r="B274" s="30" t="n"/>
      <c r="C274" s="30" t="n"/>
      <c r="D274" s="30" t="n"/>
      <c r="E274" s="30" t="n"/>
      <c r="F274" s="30" t="n"/>
      <c r="G274" s="30" t="n"/>
      <c r="H274" s="30" t="n"/>
      <c r="I274" s="30" t="n"/>
      <c r="J274" s="31" t="n"/>
      <c r="K274" s="32" t="n"/>
      <c r="L274" s="30" t="n"/>
      <c r="M274" s="30" t="n"/>
      <c r="N274" s="30" t="n"/>
    </row>
    <row r="275">
      <c r="A275" s="30" t="n"/>
      <c r="B275" s="30" t="n"/>
      <c r="C275" s="30" t="n"/>
      <c r="D275" s="30" t="n"/>
      <c r="E275" s="30" t="n"/>
      <c r="F275" s="30" t="n"/>
      <c r="G275" s="30" t="n"/>
      <c r="H275" s="30" t="n"/>
      <c r="I275" s="30" t="n"/>
      <c r="J275" s="31" t="n"/>
      <c r="K275" s="32" t="n"/>
      <c r="L275" s="30" t="n"/>
      <c r="M275" s="30" t="n"/>
      <c r="N275" s="30" t="n"/>
    </row>
    <row r="276">
      <c r="A276" s="30" t="n"/>
      <c r="B276" s="30" t="n"/>
      <c r="C276" s="30" t="n"/>
      <c r="D276" s="30" t="n"/>
      <c r="E276" s="30" t="n"/>
      <c r="F276" s="30" t="n"/>
      <c r="G276" s="30" t="n"/>
      <c r="H276" s="30" t="n"/>
      <c r="I276" s="30" t="n"/>
      <c r="J276" s="31" t="n"/>
      <c r="K276" s="32" t="n"/>
      <c r="L276" s="30" t="n"/>
      <c r="M276" s="30" t="n"/>
      <c r="N276" s="30" t="n"/>
    </row>
    <row r="277">
      <c r="A277" s="30" t="n"/>
      <c r="B277" s="30" t="n"/>
      <c r="C277" s="30" t="n"/>
      <c r="D277" s="30" t="n"/>
      <c r="E277" s="30" t="n"/>
      <c r="F277" s="30" t="n"/>
      <c r="G277" s="30" t="n"/>
      <c r="H277" s="30" t="n"/>
      <c r="I277" s="30" t="n"/>
      <c r="J277" s="31" t="n"/>
      <c r="K277" s="32" t="n"/>
      <c r="L277" s="30" t="n"/>
      <c r="M277" s="30" t="n"/>
      <c r="N277" s="30" t="n"/>
    </row>
    <row r="278">
      <c r="A278" s="30" t="n"/>
      <c r="B278" s="30" t="n"/>
      <c r="C278" s="30" t="n"/>
      <c r="D278" s="30" t="n"/>
      <c r="E278" s="30" t="n"/>
      <c r="F278" s="30" t="n"/>
      <c r="G278" s="30" t="n"/>
      <c r="H278" s="30" t="n"/>
      <c r="I278" s="30" t="n"/>
      <c r="J278" s="31" t="n"/>
      <c r="K278" s="32" t="n"/>
      <c r="L278" s="30" t="n"/>
      <c r="M278" s="30" t="n"/>
      <c r="N278" s="30" t="n"/>
    </row>
    <row r="279">
      <c r="A279" s="30" t="n"/>
      <c r="B279" s="30" t="n"/>
      <c r="C279" s="30" t="n"/>
      <c r="D279" s="30" t="n"/>
      <c r="E279" s="30" t="n"/>
      <c r="F279" s="30" t="n"/>
      <c r="G279" s="30" t="n"/>
      <c r="H279" s="30" t="n"/>
      <c r="I279" s="30" t="n"/>
      <c r="J279" s="31" t="n"/>
      <c r="K279" s="32" t="n"/>
      <c r="L279" s="30" t="n"/>
      <c r="M279" s="30" t="n"/>
      <c r="N279" s="30" t="n"/>
    </row>
    <row r="280">
      <c r="A280" s="30" t="n"/>
      <c r="B280" s="30" t="n"/>
      <c r="C280" s="30" t="n"/>
      <c r="D280" s="30" t="n"/>
      <c r="E280" s="30" t="n"/>
      <c r="F280" s="30" t="n"/>
      <c r="G280" s="30" t="n"/>
      <c r="H280" s="30" t="n"/>
      <c r="I280" s="30" t="n"/>
      <c r="J280" s="31" t="n"/>
      <c r="K280" s="32" t="n"/>
      <c r="L280" s="30" t="n"/>
      <c r="M280" s="30" t="n"/>
      <c r="N280" s="30" t="n"/>
    </row>
    <row r="281">
      <c r="A281" s="30" t="n"/>
      <c r="B281" s="30" t="n"/>
      <c r="C281" s="30" t="n"/>
      <c r="D281" s="30" t="n"/>
      <c r="E281" s="30" t="n"/>
      <c r="F281" s="30" t="n"/>
      <c r="G281" s="30" t="n"/>
      <c r="H281" s="30" t="n"/>
      <c r="I281" s="30" t="n"/>
      <c r="J281" s="31" t="n"/>
      <c r="K281" s="32" t="n"/>
      <c r="L281" s="30" t="n"/>
      <c r="M281" s="30" t="n"/>
      <c r="N281" s="30" t="n"/>
    </row>
    <row r="282">
      <c r="A282" s="30" t="n"/>
      <c r="B282" s="30" t="n"/>
      <c r="C282" s="30" t="n"/>
      <c r="D282" s="30" t="n"/>
      <c r="E282" s="30" t="n"/>
      <c r="F282" s="30" t="n"/>
      <c r="G282" s="30" t="n"/>
      <c r="H282" s="30" t="n"/>
      <c r="I282" s="30" t="n"/>
      <c r="J282" s="31" t="n"/>
      <c r="K282" s="32" t="n"/>
      <c r="L282" s="30" t="n"/>
      <c r="M282" s="30" t="n"/>
      <c r="N282" s="30" t="n"/>
    </row>
    <row r="283">
      <c r="A283" s="30" t="n"/>
      <c r="B283" s="30" t="n"/>
      <c r="C283" s="30" t="n"/>
      <c r="D283" s="30" t="n"/>
      <c r="E283" s="30" t="n"/>
      <c r="F283" s="30" t="n"/>
      <c r="G283" s="30" t="n"/>
      <c r="H283" s="30" t="n"/>
      <c r="I283" s="30" t="n"/>
      <c r="J283" s="31" t="n"/>
      <c r="K283" s="32" t="n"/>
      <c r="L283" s="30" t="n"/>
      <c r="M283" s="30" t="n"/>
      <c r="N283" s="30" t="n"/>
    </row>
    <row r="284">
      <c r="A284" s="30" t="n"/>
      <c r="B284" s="30" t="n"/>
      <c r="C284" s="30" t="n"/>
      <c r="D284" s="30" t="n"/>
      <c r="E284" s="30" t="n"/>
      <c r="F284" s="30" t="n"/>
      <c r="G284" s="30" t="n"/>
      <c r="H284" s="30" t="n"/>
      <c r="I284" s="30" t="n"/>
      <c r="J284" s="31" t="n"/>
      <c r="K284" s="32" t="n"/>
      <c r="L284" s="30" t="n"/>
      <c r="M284" s="30" t="n"/>
      <c r="N284" s="30" t="n"/>
    </row>
    <row r="285">
      <c r="A285" s="30" t="n"/>
      <c r="B285" s="30" t="n"/>
      <c r="C285" s="30" t="n"/>
      <c r="D285" s="30" t="n"/>
      <c r="E285" s="30" t="n"/>
      <c r="F285" s="30" t="n"/>
      <c r="G285" s="30" t="n"/>
      <c r="H285" s="30" t="n"/>
      <c r="I285" s="30" t="n"/>
      <c r="J285" s="31" t="n"/>
      <c r="K285" s="32" t="n"/>
      <c r="L285" s="30" t="n"/>
      <c r="M285" s="30" t="n"/>
      <c r="N285" s="30" t="n"/>
    </row>
    <row r="286">
      <c r="A286" s="30" t="n"/>
      <c r="B286" s="30" t="n"/>
      <c r="C286" s="30" t="n"/>
      <c r="D286" s="30" t="n"/>
      <c r="E286" s="30" t="n"/>
      <c r="F286" s="30" t="n"/>
      <c r="G286" s="30" t="n"/>
      <c r="H286" s="30" t="n"/>
      <c r="I286" s="30" t="n"/>
      <c r="J286" s="31" t="n"/>
      <c r="K286" s="32" t="n"/>
      <c r="L286" s="30" t="n"/>
      <c r="M286" s="30" t="n"/>
      <c r="N286" s="30" t="n"/>
    </row>
    <row r="287">
      <c r="A287" s="30" t="n"/>
      <c r="B287" s="30" t="n"/>
      <c r="C287" s="30" t="n"/>
      <c r="D287" s="30" t="n"/>
      <c r="E287" s="30" t="n"/>
      <c r="F287" s="30" t="n"/>
      <c r="G287" s="30" t="n"/>
      <c r="H287" s="30" t="n"/>
      <c r="I287" s="30" t="n"/>
      <c r="J287" s="31" t="n"/>
      <c r="K287" s="32" t="n"/>
      <c r="L287" s="30" t="n"/>
      <c r="M287" s="30" t="n"/>
      <c r="N287" s="30" t="n"/>
    </row>
    <row r="288">
      <c r="A288" s="30" t="n"/>
      <c r="B288" s="30" t="n"/>
      <c r="C288" s="30" t="n"/>
      <c r="D288" s="30" t="n"/>
      <c r="E288" s="30" t="n"/>
      <c r="F288" s="30" t="n"/>
      <c r="G288" s="30" t="n"/>
      <c r="H288" s="30" t="n"/>
      <c r="I288" s="30" t="n"/>
      <c r="J288" s="31" t="n"/>
      <c r="K288" s="32" t="n"/>
      <c r="L288" s="30" t="n"/>
      <c r="M288" s="30" t="n"/>
      <c r="N288" s="30" t="n"/>
    </row>
    <row r="289">
      <c r="A289" s="30" t="n"/>
      <c r="B289" s="30" t="n"/>
      <c r="C289" s="30" t="n"/>
      <c r="D289" s="30" t="n"/>
      <c r="E289" s="30" t="n"/>
      <c r="F289" s="30" t="n"/>
      <c r="G289" s="30" t="n"/>
      <c r="H289" s="30" t="n"/>
      <c r="I289" s="30" t="n"/>
      <c r="J289" s="31" t="n"/>
      <c r="K289" s="32" t="n"/>
      <c r="L289" s="30" t="n"/>
      <c r="M289" s="30" t="n"/>
      <c r="N289" s="30" t="n"/>
    </row>
    <row r="290">
      <c r="A290" s="30" t="n"/>
      <c r="B290" s="30" t="n"/>
      <c r="C290" s="30" t="n"/>
      <c r="D290" s="30" t="n"/>
      <c r="E290" s="30" t="n"/>
      <c r="F290" s="30" t="n"/>
      <c r="G290" s="30" t="n"/>
      <c r="H290" s="30" t="n"/>
      <c r="I290" s="30" t="n"/>
      <c r="J290" s="31" t="n"/>
      <c r="K290" s="32" t="n"/>
      <c r="L290" s="30" t="n"/>
      <c r="M290" s="30" t="n"/>
      <c r="N290" s="30" t="n"/>
    </row>
    <row r="291">
      <c r="A291" s="30" t="n"/>
      <c r="B291" s="30" t="n"/>
      <c r="C291" s="30" t="n"/>
      <c r="D291" s="30" t="n"/>
      <c r="E291" s="30" t="n"/>
      <c r="F291" s="30" t="n"/>
      <c r="G291" s="30" t="n"/>
      <c r="H291" s="30" t="n"/>
      <c r="I291" s="30" t="n"/>
      <c r="J291" s="31" t="n"/>
      <c r="K291" s="32" t="n"/>
      <c r="L291" s="30" t="n"/>
      <c r="M291" s="30" t="n"/>
      <c r="N291" s="30" t="n"/>
    </row>
    <row r="292">
      <c r="A292" s="30" t="n"/>
      <c r="B292" s="30" t="n"/>
      <c r="C292" s="30" t="n"/>
      <c r="D292" s="30" t="n"/>
      <c r="E292" s="30" t="n"/>
      <c r="F292" s="30" t="n"/>
      <c r="G292" s="30" t="n"/>
      <c r="H292" s="30" t="n"/>
      <c r="I292" s="30" t="n"/>
      <c r="J292" s="31" t="n"/>
      <c r="K292" s="32" t="n"/>
      <c r="L292" s="30" t="n"/>
      <c r="M292" s="30" t="n"/>
      <c r="N292" s="30" t="n"/>
    </row>
    <row r="293">
      <c r="A293" s="30" t="n"/>
      <c r="B293" s="30" t="n"/>
      <c r="C293" s="30" t="n"/>
      <c r="D293" s="30" t="n"/>
      <c r="E293" s="30" t="n"/>
      <c r="F293" s="30" t="n"/>
      <c r="G293" s="30" t="n"/>
      <c r="H293" s="30" t="n"/>
      <c r="I293" s="30" t="n"/>
      <c r="J293" s="31" t="n"/>
      <c r="K293" s="32" t="n"/>
      <c r="L293" s="30" t="n"/>
      <c r="M293" s="30" t="n"/>
      <c r="N293" s="30" t="n"/>
    </row>
    <row r="294">
      <c r="A294" s="30" t="n"/>
      <c r="B294" s="30" t="n"/>
      <c r="C294" s="30" t="n"/>
      <c r="D294" s="30" t="n"/>
      <c r="E294" s="30" t="n"/>
      <c r="F294" s="30" t="n"/>
      <c r="G294" s="30" t="n"/>
      <c r="H294" s="30" t="n"/>
      <c r="I294" s="30" t="n"/>
      <c r="J294" s="31" t="n"/>
      <c r="K294" s="32" t="n"/>
      <c r="L294" s="30" t="n"/>
      <c r="M294" s="30" t="n"/>
      <c r="N294" s="30" t="n"/>
    </row>
    <row r="295">
      <c r="A295" s="30" t="n"/>
      <c r="B295" s="30" t="n"/>
      <c r="C295" s="30" t="n"/>
      <c r="D295" s="30" t="n"/>
      <c r="E295" s="30" t="n"/>
      <c r="F295" s="30" t="n"/>
      <c r="G295" s="30" t="n"/>
      <c r="H295" s="30" t="n"/>
      <c r="I295" s="30" t="n"/>
      <c r="J295" s="31" t="n"/>
      <c r="K295" s="32" t="n"/>
      <c r="L295" s="30" t="n"/>
      <c r="M295" s="30" t="n"/>
      <c r="N295" s="30" t="n"/>
    </row>
    <row r="296">
      <c r="A296" s="30" t="n"/>
      <c r="B296" s="30" t="n"/>
      <c r="C296" s="30" t="n"/>
      <c r="D296" s="30" t="n"/>
      <c r="E296" s="30" t="n"/>
      <c r="F296" s="30" t="n"/>
      <c r="G296" s="30" t="n"/>
      <c r="H296" s="30" t="n"/>
      <c r="I296" s="30" t="n"/>
      <c r="J296" s="31" t="n"/>
      <c r="K296" s="32" t="n"/>
      <c r="L296" s="30" t="n"/>
      <c r="M296" s="30" t="n"/>
      <c r="N296" s="30" t="n"/>
    </row>
    <row r="297">
      <c r="A297" s="30" t="n"/>
      <c r="B297" s="30" t="n"/>
      <c r="C297" s="30" t="n"/>
      <c r="D297" s="30" t="n"/>
      <c r="E297" s="30" t="n"/>
      <c r="F297" s="30" t="n"/>
      <c r="G297" s="30" t="n"/>
      <c r="H297" s="30" t="n"/>
      <c r="I297" s="30" t="n"/>
      <c r="J297" s="31" t="n"/>
      <c r="K297" s="32" t="n"/>
      <c r="L297" s="30" t="n"/>
      <c r="M297" s="30" t="n"/>
      <c r="N297" s="30" t="n"/>
    </row>
    <row r="298">
      <c r="A298" s="30" t="n"/>
      <c r="B298" s="30" t="n"/>
      <c r="C298" s="30" t="n"/>
      <c r="D298" s="30" t="n"/>
      <c r="E298" s="30" t="n"/>
      <c r="F298" s="30" t="n"/>
      <c r="G298" s="30" t="n"/>
      <c r="H298" s="30" t="n"/>
      <c r="I298" s="30" t="n"/>
      <c r="J298" s="31" t="n"/>
      <c r="K298" s="32" t="n"/>
      <c r="L298" s="30" t="n"/>
      <c r="M298" s="30" t="n"/>
      <c r="N298" s="30" t="n"/>
    </row>
    <row r="299">
      <c r="A299" s="30" t="n"/>
      <c r="B299" s="30" t="n"/>
      <c r="C299" s="30" t="n"/>
      <c r="D299" s="30" t="n"/>
      <c r="E299" s="30" t="n"/>
      <c r="F299" s="30" t="n"/>
      <c r="G299" s="30" t="n"/>
      <c r="H299" s="30" t="n"/>
      <c r="I299" s="30" t="n"/>
      <c r="J299" s="31" t="n"/>
      <c r="K299" s="32" t="n"/>
      <c r="L299" s="30" t="n"/>
      <c r="M299" s="30" t="n"/>
      <c r="N299" s="30" t="n"/>
    </row>
    <row r="300">
      <c r="A300" s="30" t="n"/>
      <c r="B300" s="30" t="n"/>
      <c r="C300" s="30" t="n"/>
      <c r="D300" s="30" t="n"/>
      <c r="E300" s="30" t="n"/>
      <c r="F300" s="30" t="n"/>
      <c r="G300" s="30" t="n"/>
      <c r="H300" s="30" t="n"/>
      <c r="I300" s="30" t="n"/>
      <c r="J300" s="31" t="n"/>
      <c r="K300" s="32" t="n"/>
      <c r="L300" s="30" t="n"/>
      <c r="M300" s="30" t="n"/>
      <c r="N300" s="30" t="n"/>
    </row>
    <row r="301">
      <c r="A301" s="30" t="n"/>
      <c r="B301" s="30" t="n"/>
      <c r="C301" s="30" t="n"/>
      <c r="D301" s="30" t="n"/>
      <c r="E301" s="30" t="n"/>
      <c r="F301" s="30" t="n"/>
      <c r="G301" s="30" t="n"/>
      <c r="H301" s="30" t="n"/>
      <c r="I301" s="30" t="n"/>
      <c r="J301" s="31" t="n"/>
      <c r="K301" s="32" t="n"/>
      <c r="L301" s="30" t="n"/>
      <c r="M301" s="30" t="n"/>
      <c r="N301" s="30" t="n"/>
    </row>
    <row r="302">
      <c r="A302" s="30" t="n"/>
      <c r="B302" s="30" t="n"/>
      <c r="C302" s="30" t="n"/>
      <c r="D302" s="30" t="n"/>
      <c r="E302" s="30" t="n"/>
      <c r="F302" s="30" t="n"/>
      <c r="G302" s="30" t="n"/>
      <c r="H302" s="30" t="n"/>
      <c r="I302" s="30" t="n"/>
      <c r="J302" s="31" t="n"/>
      <c r="K302" s="32" t="n"/>
      <c r="L302" s="30" t="n"/>
      <c r="M302" s="30" t="n"/>
      <c r="N302" s="30" t="n"/>
    </row>
    <row r="303">
      <c r="A303" s="30" t="n"/>
      <c r="B303" s="30" t="n"/>
      <c r="C303" s="30" t="n"/>
      <c r="D303" s="30" t="n"/>
      <c r="E303" s="30" t="n"/>
      <c r="F303" s="30" t="n"/>
      <c r="G303" s="30" t="n"/>
      <c r="H303" s="30" t="n"/>
      <c r="I303" s="30" t="n"/>
      <c r="J303" s="31" t="n"/>
      <c r="K303" s="32" t="n"/>
      <c r="L303" s="30" t="n"/>
      <c r="M303" s="30" t="n"/>
      <c r="N303" s="30" t="n"/>
    </row>
    <row r="304">
      <c r="A304" s="30" t="n"/>
      <c r="B304" s="30" t="n"/>
      <c r="C304" s="30" t="n"/>
      <c r="D304" s="30" t="n"/>
      <c r="E304" s="30" t="n"/>
      <c r="F304" s="30" t="n"/>
      <c r="G304" s="30" t="n"/>
      <c r="H304" s="30" t="n"/>
      <c r="I304" s="30" t="n"/>
      <c r="J304" s="31" t="n"/>
      <c r="K304" s="32" t="n"/>
      <c r="L304" s="30" t="n"/>
      <c r="M304" s="30" t="n"/>
      <c r="N304" s="30" t="n"/>
    </row>
    <row r="305">
      <c r="A305" s="30" t="n"/>
      <c r="B305" s="30" t="n"/>
      <c r="C305" s="30" t="n"/>
      <c r="D305" s="30" t="n"/>
      <c r="E305" s="30" t="n"/>
      <c r="F305" s="30" t="n"/>
      <c r="G305" s="30" t="n"/>
      <c r="H305" s="30" t="n"/>
      <c r="I305" s="30" t="n"/>
      <c r="J305" s="31" t="n"/>
      <c r="K305" s="32" t="n"/>
      <c r="L305" s="30" t="n"/>
      <c r="M305" s="30" t="n"/>
      <c r="N305" s="30" t="n"/>
    </row>
    <row r="306">
      <c r="A306" s="30" t="n"/>
      <c r="B306" s="30" t="n"/>
      <c r="C306" s="30" t="n"/>
      <c r="D306" s="30" t="n"/>
      <c r="E306" s="30" t="n"/>
      <c r="F306" s="30" t="n"/>
      <c r="G306" s="30" t="n"/>
      <c r="H306" s="30" t="n"/>
      <c r="I306" s="30" t="n"/>
      <c r="J306" s="31" t="n"/>
      <c r="K306" s="32" t="n"/>
      <c r="L306" s="30" t="n"/>
      <c r="M306" s="30" t="n"/>
      <c r="N306" s="30" t="n"/>
    </row>
    <row r="307">
      <c r="A307" s="30" t="n"/>
      <c r="B307" s="30" t="n"/>
      <c r="C307" s="30" t="n"/>
      <c r="D307" s="30" t="n"/>
      <c r="E307" s="30" t="n"/>
      <c r="F307" s="30" t="n"/>
      <c r="G307" s="30" t="n"/>
      <c r="H307" s="30" t="n"/>
      <c r="I307" s="30" t="n"/>
      <c r="J307" s="31" t="n"/>
      <c r="K307" s="32" t="n"/>
      <c r="L307" s="30" t="n"/>
      <c r="M307" s="30" t="n"/>
      <c r="N307" s="30" t="n"/>
    </row>
    <row r="308">
      <c r="A308" s="30" t="n"/>
      <c r="B308" s="30" t="n"/>
      <c r="C308" s="30" t="n"/>
      <c r="D308" s="30" t="n"/>
      <c r="E308" s="30" t="n"/>
      <c r="F308" s="30" t="n"/>
      <c r="G308" s="30" t="n"/>
      <c r="H308" s="30" t="n"/>
      <c r="I308" s="30" t="n"/>
      <c r="J308" s="31" t="n"/>
      <c r="K308" s="32" t="n"/>
      <c r="L308" s="30" t="n"/>
      <c r="M308" s="30" t="n"/>
      <c r="N308" s="30" t="n"/>
    </row>
    <row r="309">
      <c r="A309" s="30" t="n"/>
      <c r="B309" s="30" t="n"/>
      <c r="C309" s="30" t="n"/>
      <c r="D309" s="30" t="n"/>
      <c r="E309" s="30" t="n"/>
      <c r="F309" s="30" t="n"/>
      <c r="G309" s="30" t="n"/>
      <c r="H309" s="30" t="n"/>
      <c r="I309" s="30" t="n"/>
      <c r="J309" s="31" t="n"/>
      <c r="K309" s="32" t="n"/>
      <c r="L309" s="30" t="n"/>
      <c r="M309" s="30" t="n"/>
      <c r="N309" s="30" t="n"/>
    </row>
    <row r="310">
      <c r="A310" s="30" t="n"/>
      <c r="B310" s="30" t="n"/>
      <c r="C310" s="30" t="n"/>
      <c r="D310" s="30" t="n"/>
      <c r="E310" s="30" t="n"/>
      <c r="F310" s="30" t="n"/>
      <c r="G310" s="30" t="n"/>
      <c r="H310" s="30" t="n"/>
      <c r="I310" s="30" t="n"/>
      <c r="J310" s="31" t="n"/>
      <c r="K310" s="32" t="n"/>
      <c r="L310" s="30" t="n"/>
      <c r="M310" s="30" t="n"/>
      <c r="N310" s="30" t="n"/>
    </row>
    <row r="311">
      <c r="A311" s="30" t="n"/>
      <c r="B311" s="30" t="n"/>
      <c r="C311" s="30" t="n"/>
      <c r="D311" s="30" t="n"/>
      <c r="E311" s="30" t="n"/>
      <c r="F311" s="30" t="n"/>
      <c r="G311" s="30" t="n"/>
      <c r="H311" s="30" t="n"/>
      <c r="I311" s="30" t="n"/>
      <c r="J311" s="31" t="n"/>
      <c r="K311" s="32" t="n"/>
      <c r="L311" s="30" t="n"/>
      <c r="M311" s="30" t="n"/>
      <c r="N311" s="30" t="n"/>
    </row>
    <row r="312">
      <c r="A312" s="30" t="n"/>
      <c r="B312" s="30" t="n"/>
      <c r="C312" s="30" t="n"/>
      <c r="D312" s="30" t="n"/>
      <c r="E312" s="30" t="n"/>
      <c r="F312" s="30" t="n"/>
      <c r="G312" s="30" t="n"/>
      <c r="H312" s="30" t="n"/>
      <c r="I312" s="30" t="n"/>
      <c r="J312" s="31" t="n"/>
      <c r="K312" s="32" t="n"/>
      <c r="L312" s="30" t="n"/>
      <c r="M312" s="30" t="n"/>
      <c r="N312" s="30" t="n"/>
    </row>
    <row r="313">
      <c r="A313" s="30" t="n"/>
      <c r="B313" s="30" t="n"/>
      <c r="C313" s="30" t="n"/>
      <c r="D313" s="30" t="n"/>
      <c r="E313" s="30" t="n"/>
      <c r="F313" s="30" t="n"/>
      <c r="G313" s="30" t="n"/>
      <c r="H313" s="30" t="n"/>
      <c r="I313" s="30" t="n"/>
      <c r="J313" s="31" t="n"/>
      <c r="K313" s="32" t="n"/>
      <c r="L313" s="30" t="n"/>
      <c r="M313" s="30" t="n"/>
      <c r="N313" s="30" t="n"/>
    </row>
    <row r="314">
      <c r="A314" s="30" t="n"/>
      <c r="B314" s="30" t="n"/>
      <c r="C314" s="30" t="n"/>
      <c r="D314" s="30" t="n"/>
      <c r="E314" s="30" t="n"/>
      <c r="F314" s="30" t="n"/>
      <c r="G314" s="30" t="n"/>
      <c r="H314" s="30" t="n"/>
      <c r="I314" s="30" t="n"/>
      <c r="J314" s="31" t="n"/>
      <c r="K314" s="32" t="n"/>
      <c r="L314" s="30" t="n"/>
      <c r="M314" s="30" t="n"/>
      <c r="N314" s="30" t="n"/>
    </row>
    <row r="315">
      <c r="A315" s="30" t="n"/>
      <c r="B315" s="30" t="n"/>
      <c r="C315" s="30" t="n"/>
      <c r="D315" s="30" t="n"/>
      <c r="E315" s="30" t="n"/>
      <c r="F315" s="30" t="n"/>
      <c r="G315" s="30" t="n"/>
      <c r="H315" s="30" t="n"/>
      <c r="I315" s="30" t="n"/>
      <c r="J315" s="31" t="n"/>
      <c r="K315" s="32" t="n"/>
      <c r="L315" s="30" t="n"/>
      <c r="M315" s="30" t="n"/>
      <c r="N315" s="30" t="n"/>
    </row>
    <row r="316">
      <c r="A316" s="30" t="n"/>
      <c r="B316" s="30" t="n"/>
      <c r="C316" s="30" t="n"/>
      <c r="D316" s="30" t="n"/>
      <c r="E316" s="30" t="n"/>
      <c r="F316" s="30" t="n"/>
      <c r="G316" s="30" t="n"/>
      <c r="H316" s="30" t="n"/>
      <c r="I316" s="30" t="n"/>
      <c r="J316" s="31" t="n"/>
      <c r="K316" s="32" t="n"/>
      <c r="L316" s="30" t="n"/>
      <c r="M316" s="30" t="n"/>
      <c r="N316" s="30" t="n"/>
    </row>
    <row r="317">
      <c r="A317" s="30" t="n"/>
      <c r="B317" s="30" t="n"/>
      <c r="C317" s="30" t="n"/>
      <c r="D317" s="30" t="n"/>
      <c r="E317" s="30" t="n"/>
      <c r="F317" s="30" t="n"/>
      <c r="G317" s="30" t="n"/>
      <c r="H317" s="30" t="n"/>
      <c r="I317" s="30" t="n"/>
      <c r="J317" s="31" t="n"/>
      <c r="K317" s="32" t="n"/>
      <c r="L317" s="30" t="n"/>
      <c r="M317" s="30" t="n"/>
      <c r="N317" s="30" t="n"/>
    </row>
    <row r="318">
      <c r="A318" s="30" t="n"/>
      <c r="B318" s="30" t="n"/>
      <c r="C318" s="30" t="n"/>
      <c r="D318" s="30" t="n"/>
      <c r="E318" s="30" t="n"/>
      <c r="F318" s="30" t="n"/>
      <c r="G318" s="30" t="n"/>
      <c r="H318" s="30" t="n"/>
      <c r="I318" s="30" t="n"/>
      <c r="J318" s="31" t="n"/>
      <c r="K318" s="32" t="n"/>
      <c r="L318" s="30" t="n"/>
      <c r="M318" s="30" t="n"/>
      <c r="N318" s="30" t="n"/>
    </row>
    <row r="319">
      <c r="A319" s="30" t="n"/>
      <c r="B319" s="30" t="n"/>
      <c r="C319" s="30" t="n"/>
      <c r="D319" s="30" t="n"/>
      <c r="E319" s="30" t="n"/>
      <c r="F319" s="30" t="n"/>
      <c r="G319" s="30" t="n"/>
      <c r="H319" s="30" t="n"/>
      <c r="I319" s="30" t="n"/>
      <c r="J319" s="31" t="n"/>
      <c r="K319" s="32" t="n"/>
      <c r="L319" s="30" t="n"/>
      <c r="M319" s="30" t="n"/>
      <c r="N319" s="30" t="n"/>
    </row>
    <row r="320">
      <c r="A320" s="30" t="n"/>
      <c r="B320" s="30" t="n"/>
      <c r="C320" s="30" t="n"/>
      <c r="D320" s="30" t="n"/>
      <c r="E320" s="30" t="n"/>
      <c r="F320" s="30" t="n"/>
      <c r="G320" s="30" t="n"/>
      <c r="H320" s="30" t="n"/>
      <c r="I320" s="30" t="n"/>
      <c r="J320" s="31" t="n"/>
      <c r="K320" s="32" t="n"/>
      <c r="L320" s="30" t="n"/>
      <c r="M320" s="30" t="n"/>
      <c r="N320" s="30" t="n"/>
    </row>
    <row r="321">
      <c r="A321" s="30" t="n"/>
      <c r="B321" s="30" t="n"/>
      <c r="C321" s="30" t="n"/>
      <c r="D321" s="30" t="n"/>
      <c r="E321" s="30" t="n"/>
      <c r="F321" s="30" t="n"/>
      <c r="G321" s="30" t="n"/>
      <c r="H321" s="30" t="n"/>
      <c r="I321" s="30" t="n"/>
      <c r="J321" s="31" t="n"/>
      <c r="K321" s="32" t="n"/>
      <c r="L321" s="30" t="n"/>
      <c r="M321" s="30" t="n"/>
      <c r="N321" s="30" t="n"/>
    </row>
    <row r="322">
      <c r="A322" s="30" t="n"/>
      <c r="B322" s="30" t="n"/>
      <c r="C322" s="30" t="n"/>
      <c r="D322" s="30" t="n"/>
      <c r="E322" s="30" t="n"/>
      <c r="F322" s="30" t="n"/>
      <c r="G322" s="30" t="n"/>
      <c r="H322" s="30" t="n"/>
      <c r="I322" s="30" t="n"/>
      <c r="J322" s="31" t="n"/>
      <c r="K322" s="32" t="n"/>
      <c r="L322" s="30" t="n"/>
      <c r="M322" s="30" t="n"/>
      <c r="N322" s="30" t="n"/>
    </row>
    <row r="323">
      <c r="A323" s="30" t="n"/>
      <c r="B323" s="30" t="n"/>
      <c r="C323" s="30" t="n"/>
      <c r="D323" s="30" t="n"/>
      <c r="E323" s="30" t="n"/>
      <c r="F323" s="30" t="n"/>
      <c r="G323" s="30" t="n"/>
      <c r="H323" s="30" t="n"/>
      <c r="I323" s="30" t="n"/>
      <c r="J323" s="31" t="n"/>
      <c r="K323" s="32" t="n"/>
      <c r="L323" s="30" t="n"/>
      <c r="M323" s="30" t="n"/>
      <c r="N323" s="30" t="n"/>
    </row>
    <row r="324">
      <c r="A324" s="30" t="n"/>
      <c r="B324" s="30" t="n"/>
      <c r="C324" s="30" t="n"/>
      <c r="D324" s="30" t="n"/>
      <c r="E324" s="30" t="n"/>
      <c r="F324" s="30" t="n"/>
      <c r="G324" s="30" t="n"/>
      <c r="H324" s="30" t="n"/>
      <c r="I324" s="30" t="n"/>
      <c r="J324" s="31" t="n"/>
      <c r="K324" s="32" t="n"/>
      <c r="L324" s="30" t="n"/>
      <c r="M324" s="30" t="n"/>
      <c r="N324" s="30" t="n"/>
    </row>
    <row r="325">
      <c r="A325" s="30" t="n"/>
      <c r="B325" s="30" t="n"/>
      <c r="C325" s="30" t="n"/>
      <c r="D325" s="30" t="n"/>
      <c r="E325" s="30" t="n"/>
      <c r="F325" s="30" t="n"/>
      <c r="G325" s="30" t="n"/>
      <c r="H325" s="30" t="n"/>
      <c r="I325" s="30" t="n"/>
      <c r="J325" s="31" t="n"/>
      <c r="K325" s="32" t="n"/>
      <c r="L325" s="30" t="n"/>
      <c r="M325" s="30" t="n"/>
      <c r="N325" s="30" t="n"/>
    </row>
    <row r="326">
      <c r="A326" s="30" t="n"/>
      <c r="B326" s="30" t="n"/>
      <c r="C326" s="30" t="n"/>
      <c r="D326" s="30" t="n"/>
      <c r="E326" s="30" t="n"/>
      <c r="F326" s="30" t="n"/>
      <c r="G326" s="30" t="n"/>
      <c r="H326" s="30" t="n"/>
      <c r="I326" s="30" t="n"/>
      <c r="J326" s="31" t="n"/>
      <c r="K326" s="32" t="n"/>
      <c r="L326" s="30" t="n"/>
      <c r="M326" s="30" t="n"/>
      <c r="N326" s="30" t="n"/>
    </row>
    <row r="327">
      <c r="A327" s="30" t="n"/>
      <c r="B327" s="30" t="n"/>
      <c r="C327" s="30" t="n"/>
      <c r="D327" s="30" t="n"/>
      <c r="E327" s="30" t="n"/>
      <c r="F327" s="30" t="n"/>
      <c r="G327" s="30" t="n"/>
      <c r="H327" s="30" t="n"/>
      <c r="I327" s="30" t="n"/>
      <c r="J327" s="31" t="n"/>
      <c r="K327" s="32" t="n"/>
      <c r="L327" s="30" t="n"/>
      <c r="M327" s="30" t="n"/>
      <c r="N327" s="30" t="n"/>
    </row>
    <row r="328">
      <c r="A328" s="30" t="n"/>
      <c r="B328" s="30" t="n"/>
      <c r="C328" s="30" t="n"/>
      <c r="D328" s="30" t="n"/>
      <c r="E328" s="30" t="n"/>
      <c r="F328" s="30" t="n"/>
      <c r="G328" s="30" t="n"/>
      <c r="H328" s="30" t="n"/>
      <c r="I328" s="30" t="n"/>
      <c r="J328" s="31" t="n"/>
      <c r="K328" s="32" t="n"/>
      <c r="L328" s="30" t="n"/>
      <c r="M328" s="30" t="n"/>
      <c r="N328" s="30" t="n"/>
    </row>
    <row r="329">
      <c r="A329" s="30" t="n"/>
      <c r="B329" s="30" t="n"/>
      <c r="C329" s="30" t="n"/>
      <c r="D329" s="30" t="n"/>
      <c r="E329" s="30" t="n"/>
      <c r="F329" s="30" t="n"/>
      <c r="G329" s="30" t="n"/>
      <c r="H329" s="30" t="n"/>
      <c r="I329" s="30" t="n"/>
      <c r="J329" s="31" t="n"/>
      <c r="K329" s="32" t="n"/>
      <c r="L329" s="30" t="n"/>
      <c r="M329" s="30" t="n"/>
      <c r="N329" s="30" t="n"/>
    </row>
    <row r="330">
      <c r="A330" s="30" t="n"/>
      <c r="B330" s="30" t="n"/>
      <c r="C330" s="30" t="n"/>
      <c r="D330" s="30" t="n"/>
      <c r="E330" s="30" t="n"/>
      <c r="F330" s="30" t="n"/>
      <c r="G330" s="30" t="n"/>
      <c r="H330" s="30" t="n"/>
      <c r="I330" s="30" t="n"/>
      <c r="J330" s="31" t="n"/>
      <c r="K330" s="32" t="n"/>
      <c r="L330" s="30" t="n"/>
      <c r="M330" s="30" t="n"/>
      <c r="N330" s="30" t="n"/>
    </row>
    <row r="331">
      <c r="A331" s="30" t="n"/>
      <c r="B331" s="30" t="n"/>
      <c r="C331" s="30" t="n"/>
      <c r="D331" s="30" t="n"/>
      <c r="E331" s="30" t="n"/>
      <c r="F331" s="30" t="n"/>
      <c r="G331" s="30" t="n"/>
      <c r="H331" s="30" t="n"/>
      <c r="I331" s="30" t="n"/>
      <c r="J331" s="31" t="n"/>
      <c r="K331" s="32" t="n"/>
      <c r="L331" s="30" t="n"/>
      <c r="M331" s="30" t="n"/>
      <c r="N331" s="30" t="n"/>
    </row>
    <row r="332">
      <c r="A332" s="30" t="n"/>
      <c r="B332" s="30" t="n"/>
      <c r="C332" s="30" t="n"/>
      <c r="D332" s="30" t="n"/>
      <c r="E332" s="30" t="n"/>
      <c r="F332" s="30" t="n"/>
      <c r="G332" s="30" t="n"/>
      <c r="H332" s="30" t="n"/>
      <c r="I332" s="30" t="n"/>
      <c r="J332" s="31" t="n"/>
      <c r="K332" s="32" t="n"/>
      <c r="L332" s="30" t="n"/>
      <c r="M332" s="30" t="n"/>
      <c r="N332" s="30" t="n"/>
    </row>
    <row r="333">
      <c r="A333" s="30" t="n"/>
      <c r="B333" s="30" t="n"/>
      <c r="C333" s="30" t="n"/>
      <c r="D333" s="30" t="n"/>
      <c r="E333" s="30" t="n"/>
      <c r="F333" s="30" t="n"/>
      <c r="G333" s="30" t="n"/>
      <c r="H333" s="30" t="n"/>
      <c r="I333" s="30" t="n"/>
      <c r="J333" s="31" t="n"/>
      <c r="K333" s="32" t="n"/>
      <c r="L333" s="30" t="n"/>
      <c r="M333" s="30" t="n"/>
      <c r="N333" s="30" t="n"/>
    </row>
    <row r="334">
      <c r="A334" s="30" t="n"/>
      <c r="B334" s="30" t="n"/>
      <c r="C334" s="30" t="n"/>
      <c r="D334" s="30" t="n"/>
      <c r="E334" s="30" t="n"/>
      <c r="F334" s="30" t="n"/>
      <c r="G334" s="30" t="n"/>
      <c r="H334" s="30" t="n"/>
      <c r="I334" s="30" t="n"/>
      <c r="J334" s="31" t="n"/>
      <c r="K334" s="32" t="n"/>
      <c r="L334" s="30" t="n"/>
      <c r="M334" s="30" t="n"/>
      <c r="N334" s="30" t="n"/>
    </row>
    <row r="335">
      <c r="A335" s="30" t="n"/>
      <c r="B335" s="30" t="n"/>
      <c r="C335" s="30" t="n"/>
      <c r="D335" s="30" t="n"/>
      <c r="E335" s="30" t="n"/>
      <c r="F335" s="30" t="n"/>
      <c r="G335" s="30" t="n"/>
      <c r="H335" s="30" t="n"/>
      <c r="I335" s="30" t="n"/>
      <c r="J335" s="31" t="n"/>
      <c r="K335" s="32" t="n"/>
      <c r="L335" s="30" t="n"/>
      <c r="M335" s="30" t="n"/>
      <c r="N335" s="30" t="n"/>
    </row>
    <row r="336">
      <c r="A336" s="30" t="n"/>
      <c r="B336" s="30" t="n"/>
      <c r="C336" s="30" t="n"/>
      <c r="D336" s="30" t="n"/>
      <c r="E336" s="30" t="n"/>
      <c r="F336" s="30" t="n"/>
      <c r="G336" s="30" t="n"/>
      <c r="H336" s="30" t="n"/>
      <c r="I336" s="30" t="n"/>
      <c r="J336" s="31" t="n"/>
      <c r="K336" s="32" t="n"/>
      <c r="L336" s="30" t="n"/>
      <c r="M336" s="30" t="n"/>
      <c r="N336" s="30" t="n"/>
    </row>
    <row r="337">
      <c r="A337" s="30" t="n"/>
      <c r="B337" s="30" t="n"/>
      <c r="C337" s="30" t="n"/>
      <c r="D337" s="30" t="n"/>
      <c r="E337" s="30" t="n"/>
      <c r="F337" s="30" t="n"/>
      <c r="G337" s="30" t="n"/>
      <c r="H337" s="30" t="n"/>
      <c r="I337" s="30" t="n"/>
      <c r="J337" s="31" t="n"/>
      <c r="K337" s="32" t="n"/>
      <c r="L337" s="30" t="n"/>
      <c r="M337" s="30" t="n"/>
      <c r="N337" s="30" t="n"/>
    </row>
    <row r="338">
      <c r="A338" s="30" t="n"/>
      <c r="B338" s="30" t="n"/>
      <c r="C338" s="30" t="n"/>
      <c r="D338" s="30" t="n"/>
      <c r="E338" s="30" t="n"/>
      <c r="F338" s="30" t="n"/>
      <c r="G338" s="30" t="n"/>
      <c r="H338" s="30" t="n"/>
      <c r="I338" s="30" t="n"/>
      <c r="J338" s="31" t="n"/>
      <c r="K338" s="32" t="n"/>
      <c r="L338" s="30" t="n"/>
      <c r="M338" s="30" t="n"/>
      <c r="N338" s="30" t="n"/>
    </row>
    <row r="339">
      <c r="A339" s="30" t="n"/>
      <c r="B339" s="30" t="n"/>
      <c r="C339" s="30" t="n"/>
      <c r="D339" s="30" t="n"/>
      <c r="E339" s="30" t="n"/>
      <c r="F339" s="30" t="n"/>
      <c r="G339" s="30" t="n"/>
      <c r="H339" s="30" t="n"/>
      <c r="I339" s="30" t="n"/>
      <c r="J339" s="31" t="n"/>
      <c r="K339" s="32" t="n"/>
      <c r="L339" s="30" t="n"/>
      <c r="M339" s="30" t="n"/>
      <c r="N339" s="30" t="n"/>
    </row>
    <row r="340">
      <c r="A340" s="30" t="n"/>
      <c r="B340" s="30" t="n"/>
      <c r="C340" s="30" t="n"/>
      <c r="D340" s="30" t="n"/>
      <c r="E340" s="30" t="n"/>
      <c r="F340" s="30" t="n"/>
      <c r="G340" s="30" t="n"/>
      <c r="H340" s="30" t="n"/>
      <c r="I340" s="30" t="n"/>
      <c r="J340" s="31" t="n"/>
      <c r="K340" s="32" t="n"/>
      <c r="L340" s="30" t="n"/>
      <c r="M340" s="30" t="n"/>
      <c r="N340" s="30" t="n"/>
    </row>
    <row r="341">
      <c r="A341" s="30" t="n"/>
      <c r="B341" s="30" t="n"/>
      <c r="C341" s="30" t="n"/>
      <c r="D341" s="30" t="n"/>
      <c r="E341" s="30" t="n"/>
      <c r="F341" s="30" t="n"/>
      <c r="G341" s="30" t="n"/>
      <c r="H341" s="30" t="n"/>
      <c r="I341" s="30" t="n"/>
      <c r="J341" s="31" t="n"/>
      <c r="K341" s="32" t="n"/>
      <c r="L341" s="30" t="n"/>
      <c r="M341" s="30" t="n"/>
      <c r="N341" s="30" t="n"/>
    </row>
    <row r="342">
      <c r="A342" s="30" t="n"/>
      <c r="B342" s="30" t="n"/>
      <c r="C342" s="30" t="n"/>
      <c r="D342" s="30" t="n"/>
      <c r="E342" s="30" t="n"/>
      <c r="F342" s="30" t="n"/>
      <c r="G342" s="30" t="n"/>
      <c r="H342" s="30" t="n"/>
      <c r="I342" s="30" t="n"/>
      <c r="J342" s="31" t="n"/>
      <c r="K342" s="32" t="n"/>
      <c r="L342" s="30" t="n"/>
      <c r="M342" s="30" t="n"/>
      <c r="N342" s="30" t="n"/>
    </row>
    <row r="343">
      <c r="A343" s="30" t="n"/>
      <c r="B343" s="30" t="n"/>
      <c r="C343" s="30" t="n"/>
      <c r="D343" s="30" t="n"/>
      <c r="E343" s="30" t="n"/>
      <c r="F343" s="30" t="n"/>
      <c r="G343" s="30" t="n"/>
      <c r="H343" s="30" t="n"/>
      <c r="I343" s="30" t="n"/>
      <c r="J343" s="31" t="n"/>
      <c r="K343" s="32" t="n"/>
      <c r="L343" s="30" t="n"/>
      <c r="M343" s="30" t="n"/>
      <c r="N343" s="30" t="n"/>
    </row>
    <row r="344">
      <c r="A344" s="30" t="n"/>
      <c r="B344" s="30" t="n"/>
      <c r="C344" s="30" t="n"/>
      <c r="D344" s="30" t="n"/>
      <c r="E344" s="30" t="n"/>
      <c r="F344" s="30" t="n"/>
      <c r="G344" s="30" t="n"/>
      <c r="H344" s="30" t="n"/>
      <c r="I344" s="30" t="n"/>
      <c r="J344" s="31" t="n"/>
      <c r="K344" s="32" t="n"/>
      <c r="L344" s="30" t="n"/>
      <c r="M344" s="30" t="n"/>
      <c r="N344" s="30" t="n"/>
    </row>
    <row r="345">
      <c r="A345" s="30" t="n"/>
      <c r="B345" s="30" t="n"/>
      <c r="C345" s="30" t="n"/>
      <c r="D345" s="30" t="n"/>
      <c r="E345" s="30" t="n"/>
      <c r="F345" s="30" t="n"/>
      <c r="G345" s="30" t="n"/>
      <c r="H345" s="30" t="n"/>
      <c r="I345" s="30" t="n"/>
      <c r="J345" s="31" t="n"/>
      <c r="K345" s="32" t="n"/>
      <c r="L345" s="30" t="n"/>
      <c r="M345" s="30" t="n"/>
      <c r="N345" s="30" t="n"/>
    </row>
    <row r="346">
      <c r="A346" s="30" t="n"/>
      <c r="B346" s="30" t="n"/>
      <c r="C346" s="30" t="n"/>
      <c r="D346" s="30" t="n"/>
      <c r="E346" s="30" t="n"/>
      <c r="F346" s="30" t="n"/>
      <c r="G346" s="30" t="n"/>
      <c r="H346" s="30" t="n"/>
      <c r="I346" s="30" t="n"/>
      <c r="J346" s="31" t="n"/>
      <c r="K346" s="32" t="n"/>
      <c r="L346" s="30" t="n"/>
      <c r="M346" s="30" t="n"/>
      <c r="N346" s="30" t="n"/>
    </row>
    <row r="347">
      <c r="A347" s="30" t="n"/>
      <c r="B347" s="30" t="n"/>
      <c r="C347" s="30" t="n"/>
      <c r="D347" s="30" t="n"/>
      <c r="E347" s="30" t="n"/>
      <c r="F347" s="30" t="n"/>
      <c r="G347" s="30" t="n"/>
      <c r="H347" s="30" t="n"/>
      <c r="I347" s="30" t="n"/>
      <c r="J347" s="31" t="n"/>
      <c r="K347" s="32" t="n"/>
      <c r="L347" s="30" t="n"/>
      <c r="M347" s="30" t="n"/>
      <c r="N347" s="30" t="n"/>
    </row>
    <row r="348">
      <c r="A348" s="30" t="n"/>
      <c r="B348" s="30" t="n"/>
      <c r="C348" s="30" t="n"/>
      <c r="D348" s="30" t="n"/>
      <c r="E348" s="30" t="n"/>
      <c r="F348" s="30" t="n"/>
      <c r="G348" s="30" t="n"/>
      <c r="H348" s="30" t="n"/>
      <c r="I348" s="30" t="n"/>
      <c r="J348" s="31" t="n"/>
      <c r="K348" s="32" t="n"/>
      <c r="L348" s="30" t="n"/>
      <c r="M348" s="30" t="n"/>
      <c r="N348" s="30" t="n"/>
    </row>
    <row r="349">
      <c r="A349" s="30" t="n"/>
      <c r="B349" s="30" t="n"/>
      <c r="C349" s="30" t="n"/>
      <c r="D349" s="30" t="n"/>
      <c r="E349" s="30" t="n"/>
      <c r="F349" s="30" t="n"/>
      <c r="G349" s="30" t="n"/>
      <c r="H349" s="30" t="n"/>
      <c r="I349" s="30" t="n"/>
      <c r="J349" s="31" t="n"/>
      <c r="K349" s="32" t="n"/>
      <c r="L349" s="30" t="n"/>
      <c r="M349" s="30" t="n"/>
      <c r="N349" s="30" t="n"/>
    </row>
    <row r="350">
      <c r="A350" s="30" t="n"/>
      <c r="B350" s="30" t="n"/>
      <c r="C350" s="30" t="n"/>
      <c r="D350" s="30" t="n"/>
      <c r="E350" s="30" t="n"/>
      <c r="F350" s="30" t="n"/>
      <c r="G350" s="30" t="n"/>
      <c r="H350" s="30" t="n"/>
      <c r="I350" s="30" t="n"/>
      <c r="J350" s="31" t="n"/>
      <c r="K350" s="32" t="n"/>
      <c r="L350" s="30" t="n"/>
      <c r="M350" s="30" t="n"/>
      <c r="N350" s="30" t="n"/>
    </row>
    <row r="351">
      <c r="A351" s="30" t="n"/>
      <c r="B351" s="30" t="n"/>
      <c r="C351" s="30" t="n"/>
      <c r="D351" s="30" t="n"/>
      <c r="E351" s="30" t="n"/>
      <c r="F351" s="30" t="n"/>
      <c r="G351" s="30" t="n"/>
      <c r="H351" s="30" t="n"/>
      <c r="I351" s="30" t="n"/>
      <c r="J351" s="31" t="n"/>
      <c r="K351" s="32" t="n"/>
      <c r="L351" s="30" t="n"/>
      <c r="M351" s="30" t="n"/>
      <c r="N351" s="30" t="n"/>
    </row>
    <row r="352">
      <c r="A352" s="30" t="n"/>
      <c r="B352" s="30" t="n"/>
      <c r="C352" s="30" t="n"/>
      <c r="D352" s="30" t="n"/>
      <c r="E352" s="30" t="n"/>
      <c r="F352" s="30" t="n"/>
      <c r="G352" s="30" t="n"/>
      <c r="H352" s="30" t="n"/>
      <c r="I352" s="30" t="n"/>
      <c r="J352" s="31" t="n"/>
      <c r="K352" s="32" t="n"/>
      <c r="L352" s="30" t="n"/>
      <c r="M352" s="30" t="n"/>
      <c r="N352" s="30" t="n"/>
    </row>
    <row r="353">
      <c r="A353" s="30" t="n"/>
      <c r="B353" s="30" t="n"/>
      <c r="C353" s="30" t="n"/>
      <c r="D353" s="30" t="n"/>
      <c r="E353" s="30" t="n"/>
      <c r="F353" s="30" t="n"/>
      <c r="G353" s="30" t="n"/>
      <c r="H353" s="30" t="n"/>
      <c r="I353" s="30" t="n"/>
      <c r="J353" s="31" t="n"/>
      <c r="K353" s="32" t="n"/>
      <c r="L353" s="30" t="n"/>
      <c r="M353" s="30" t="n"/>
      <c r="N353" s="30" t="n"/>
    </row>
    <row r="354">
      <c r="A354" s="30" t="n"/>
      <c r="B354" s="30" t="n"/>
      <c r="C354" s="30" t="n"/>
      <c r="D354" s="30" t="n"/>
      <c r="E354" s="30" t="n"/>
      <c r="F354" s="30" t="n"/>
      <c r="G354" s="30" t="n"/>
      <c r="H354" s="30" t="n"/>
      <c r="I354" s="30" t="n"/>
      <c r="J354" s="31" t="n"/>
      <c r="K354" s="32" t="n"/>
      <c r="L354" s="30" t="n"/>
      <c r="M354" s="30" t="n"/>
      <c r="N354" s="30" t="n"/>
    </row>
    <row r="355">
      <c r="A355" s="30" t="n"/>
      <c r="B355" s="30" t="n"/>
      <c r="C355" s="30" t="n"/>
      <c r="D355" s="30" t="n"/>
      <c r="E355" s="30" t="n"/>
      <c r="F355" s="30" t="n"/>
      <c r="G355" s="30" t="n"/>
      <c r="H355" s="30" t="n"/>
      <c r="I355" s="30" t="n"/>
      <c r="J355" s="31" t="n"/>
      <c r="K355" s="32" t="n"/>
      <c r="L355" s="30" t="n"/>
      <c r="M355" s="30" t="n"/>
      <c r="N355" s="30" t="n"/>
    </row>
    <row r="356">
      <c r="A356" s="30" t="n"/>
      <c r="B356" s="30" t="n"/>
      <c r="C356" s="30" t="n"/>
      <c r="D356" s="30" t="n"/>
      <c r="E356" s="30" t="n"/>
      <c r="F356" s="30" t="n"/>
      <c r="G356" s="30" t="n"/>
      <c r="H356" s="30" t="n"/>
      <c r="I356" s="30" t="n"/>
      <c r="J356" s="31" t="n"/>
      <c r="K356" s="32" t="n"/>
      <c r="L356" s="30" t="n"/>
      <c r="M356" s="30" t="n"/>
      <c r="N356" s="30" t="n"/>
    </row>
    <row r="357">
      <c r="A357" s="30" t="n"/>
      <c r="B357" s="30" t="n"/>
      <c r="C357" s="30" t="n"/>
      <c r="D357" s="30" t="n"/>
      <c r="E357" s="30" t="n"/>
      <c r="F357" s="30" t="n"/>
      <c r="G357" s="30" t="n"/>
      <c r="H357" s="30" t="n"/>
      <c r="I357" s="30" t="n"/>
      <c r="J357" s="31" t="n"/>
      <c r="K357" s="32" t="n"/>
      <c r="L357" s="30" t="n"/>
      <c r="M357" s="30" t="n"/>
      <c r="N357" s="30" t="n"/>
    </row>
    <row r="358">
      <c r="A358" s="30" t="n"/>
      <c r="B358" s="30" t="n"/>
      <c r="C358" s="30" t="n"/>
      <c r="D358" s="30" t="n"/>
      <c r="E358" s="30" t="n"/>
      <c r="F358" s="30" t="n"/>
      <c r="G358" s="30" t="n"/>
      <c r="H358" s="30" t="n"/>
      <c r="I358" s="30" t="n"/>
      <c r="J358" s="31" t="n"/>
      <c r="K358" s="32" t="n"/>
      <c r="L358" s="30" t="n"/>
      <c r="M358" s="30" t="n"/>
      <c r="N358" s="30" t="n"/>
    </row>
    <row r="359">
      <c r="A359" s="30" t="n"/>
      <c r="B359" s="30" t="n"/>
      <c r="C359" s="30" t="n"/>
      <c r="D359" s="30" t="n"/>
      <c r="E359" s="30" t="n"/>
      <c r="F359" s="30" t="n"/>
      <c r="G359" s="30" t="n"/>
      <c r="H359" s="30" t="n"/>
      <c r="I359" s="30" t="n"/>
      <c r="J359" s="31" t="n"/>
      <c r="K359" s="32" t="n"/>
      <c r="L359" s="30" t="n"/>
      <c r="M359" s="30" t="n"/>
      <c r="N359" s="30" t="n"/>
    </row>
    <row r="360">
      <c r="A360" s="30" t="n"/>
      <c r="B360" s="30" t="n"/>
      <c r="C360" s="30" t="n"/>
      <c r="D360" s="30" t="n"/>
      <c r="E360" s="30" t="n"/>
      <c r="F360" s="30" t="n"/>
      <c r="G360" s="30" t="n"/>
      <c r="H360" s="30" t="n"/>
      <c r="I360" s="30" t="n"/>
      <c r="J360" s="31" t="n"/>
      <c r="K360" s="32" t="n"/>
      <c r="L360" s="30" t="n"/>
      <c r="M360" s="30" t="n"/>
      <c r="N360" s="30" t="n"/>
    </row>
    <row r="361">
      <c r="A361" s="30" t="n"/>
      <c r="B361" s="30" t="n"/>
      <c r="C361" s="30" t="n"/>
      <c r="D361" s="30" t="n"/>
      <c r="E361" s="30" t="n"/>
      <c r="F361" s="30" t="n"/>
      <c r="G361" s="30" t="n"/>
      <c r="H361" s="30" t="n"/>
      <c r="I361" s="30" t="n"/>
      <c r="J361" s="31" t="n"/>
      <c r="K361" s="32" t="n"/>
      <c r="L361" s="30" t="n"/>
      <c r="M361" s="30" t="n"/>
      <c r="N361" s="30" t="n"/>
    </row>
    <row r="362">
      <c r="A362" s="30" t="n"/>
      <c r="B362" s="30" t="n"/>
      <c r="C362" s="30" t="n"/>
      <c r="D362" s="30" t="n"/>
      <c r="E362" s="30" t="n"/>
      <c r="F362" s="30" t="n"/>
      <c r="G362" s="30" t="n"/>
      <c r="H362" s="30" t="n"/>
      <c r="I362" s="30" t="n"/>
      <c r="J362" s="31" t="n"/>
      <c r="K362" s="32" t="n"/>
      <c r="L362" s="30" t="n"/>
      <c r="M362" s="30" t="n"/>
      <c r="N362" s="30" t="n"/>
    </row>
    <row r="363">
      <c r="A363" s="30" t="n"/>
      <c r="B363" s="30" t="n"/>
      <c r="C363" s="30" t="n"/>
      <c r="D363" s="30" t="n"/>
      <c r="E363" s="30" t="n"/>
      <c r="F363" s="30" t="n"/>
      <c r="G363" s="30" t="n"/>
      <c r="H363" s="30" t="n"/>
      <c r="I363" s="30" t="n"/>
      <c r="J363" s="31" t="n"/>
      <c r="K363" s="32" t="n"/>
      <c r="L363" s="30" t="n"/>
      <c r="M363" s="30" t="n"/>
      <c r="N363" s="30" t="n"/>
    </row>
    <row r="364">
      <c r="A364" s="30" t="n"/>
      <c r="B364" s="30" t="n"/>
      <c r="C364" s="30" t="n"/>
      <c r="D364" s="30" t="n"/>
      <c r="E364" s="30" t="n"/>
      <c r="F364" s="30" t="n"/>
      <c r="G364" s="30" t="n"/>
      <c r="H364" s="30" t="n"/>
      <c r="I364" s="30" t="n"/>
      <c r="J364" s="31" t="n"/>
      <c r="K364" s="32" t="n"/>
      <c r="L364" s="30" t="n"/>
      <c r="M364" s="30" t="n"/>
      <c r="N364" s="30" t="n"/>
    </row>
    <row r="365">
      <c r="A365" s="30" t="n"/>
      <c r="B365" s="30" t="n"/>
      <c r="C365" s="30" t="n"/>
      <c r="D365" s="30" t="n"/>
      <c r="E365" s="30" t="n"/>
      <c r="F365" s="30" t="n"/>
      <c r="G365" s="30" t="n"/>
      <c r="H365" s="30" t="n"/>
      <c r="I365" s="30" t="n"/>
      <c r="J365" s="31" t="n"/>
      <c r="K365" s="32" t="n"/>
      <c r="L365" s="30" t="n"/>
      <c r="M365" s="30" t="n"/>
      <c r="N365" s="30" t="n"/>
    </row>
    <row r="366">
      <c r="A366" s="30" t="n"/>
      <c r="B366" s="30" t="n"/>
      <c r="C366" s="30" t="n"/>
      <c r="D366" s="30" t="n"/>
      <c r="E366" s="30" t="n"/>
      <c r="F366" s="30" t="n"/>
      <c r="G366" s="30" t="n"/>
      <c r="H366" s="30" t="n"/>
      <c r="I366" s="30" t="n"/>
      <c r="J366" s="31" t="n"/>
      <c r="K366" s="32" t="n"/>
      <c r="L366" s="30" t="n"/>
      <c r="M366" s="30" t="n"/>
      <c r="N366" s="30" t="n"/>
    </row>
    <row r="367">
      <c r="A367" s="30" t="n"/>
      <c r="B367" s="30" t="n"/>
      <c r="C367" s="30" t="n"/>
      <c r="D367" s="30" t="n"/>
      <c r="E367" s="30" t="n"/>
      <c r="F367" s="30" t="n"/>
      <c r="G367" s="30" t="n"/>
      <c r="H367" s="30" t="n"/>
      <c r="I367" s="30" t="n"/>
      <c r="J367" s="31" t="n"/>
      <c r="K367" s="32" t="n"/>
      <c r="L367" s="30" t="n"/>
      <c r="M367" s="30" t="n"/>
      <c r="N367" s="30" t="n"/>
    </row>
    <row r="368">
      <c r="A368" s="30" t="n"/>
      <c r="B368" s="30" t="n"/>
      <c r="C368" s="30" t="n"/>
      <c r="D368" s="30" t="n"/>
      <c r="E368" s="30" t="n"/>
      <c r="F368" s="30" t="n"/>
      <c r="G368" s="30" t="n"/>
      <c r="H368" s="30" t="n"/>
      <c r="I368" s="30" t="n"/>
      <c r="J368" s="31" t="n"/>
      <c r="K368" s="32" t="n"/>
      <c r="L368" s="30" t="n"/>
      <c r="M368" s="30" t="n"/>
      <c r="N368" s="30" t="n"/>
    </row>
    <row r="369">
      <c r="A369" s="30" t="n"/>
      <c r="B369" s="30" t="n"/>
      <c r="C369" s="30" t="n"/>
      <c r="D369" s="30" t="n"/>
      <c r="E369" s="30" t="n"/>
      <c r="F369" s="30" t="n"/>
      <c r="G369" s="30" t="n"/>
      <c r="H369" s="30" t="n"/>
      <c r="I369" s="30" t="n"/>
      <c r="J369" s="31" t="n"/>
      <c r="K369" s="32" t="n"/>
      <c r="L369" s="30" t="n"/>
      <c r="M369" s="30" t="n"/>
      <c r="N369" s="30" t="n"/>
    </row>
    <row r="370">
      <c r="A370" s="30" t="n"/>
      <c r="B370" s="30" t="n"/>
      <c r="C370" s="30" t="n"/>
      <c r="D370" s="30" t="n"/>
      <c r="E370" s="30" t="n"/>
      <c r="F370" s="30" t="n"/>
      <c r="G370" s="30" t="n"/>
      <c r="H370" s="30" t="n"/>
      <c r="I370" s="30" t="n"/>
      <c r="J370" s="31" t="n"/>
      <c r="K370" s="32" t="n"/>
      <c r="L370" s="30" t="n"/>
      <c r="M370" s="30" t="n"/>
      <c r="N370" s="30" t="n"/>
    </row>
    <row r="371">
      <c r="A371" s="30" t="n"/>
      <c r="B371" s="30" t="n"/>
      <c r="C371" s="30" t="n"/>
      <c r="D371" s="30" t="n"/>
      <c r="E371" s="30" t="n"/>
      <c r="F371" s="30" t="n"/>
      <c r="G371" s="30" t="n"/>
      <c r="H371" s="30" t="n"/>
      <c r="I371" s="30" t="n"/>
      <c r="J371" s="31" t="n"/>
      <c r="K371" s="32" t="n"/>
      <c r="L371" s="30" t="n"/>
      <c r="M371" s="30" t="n"/>
      <c r="N371" s="30" t="n"/>
    </row>
    <row r="372">
      <c r="A372" s="30" t="n"/>
      <c r="B372" s="30" t="n"/>
      <c r="C372" s="30" t="n"/>
      <c r="D372" s="30" t="n"/>
      <c r="E372" s="30" t="n"/>
      <c r="F372" s="30" t="n"/>
      <c r="G372" s="30" t="n"/>
      <c r="H372" s="30" t="n"/>
      <c r="I372" s="30" t="n"/>
      <c r="J372" s="31" t="n"/>
      <c r="K372" s="32" t="n"/>
      <c r="L372" s="30" t="n"/>
      <c r="M372" s="30" t="n"/>
      <c r="N372" s="30" t="n"/>
    </row>
    <row r="373">
      <c r="A373" s="30" t="n"/>
      <c r="B373" s="30" t="n"/>
      <c r="C373" s="30" t="n"/>
      <c r="D373" s="30" t="n"/>
      <c r="E373" s="30" t="n"/>
      <c r="F373" s="30" t="n"/>
      <c r="G373" s="30" t="n"/>
      <c r="H373" s="30" t="n"/>
      <c r="I373" s="30" t="n"/>
      <c r="J373" s="31" t="n"/>
      <c r="K373" s="32" t="n"/>
      <c r="L373" s="30" t="n"/>
      <c r="M373" s="30" t="n"/>
      <c r="N373" s="30" t="n"/>
    </row>
    <row r="374">
      <c r="A374" s="30" t="n"/>
      <c r="B374" s="30" t="n"/>
      <c r="C374" s="30" t="n"/>
      <c r="D374" s="30" t="n"/>
      <c r="E374" s="30" t="n"/>
      <c r="F374" s="30" t="n"/>
      <c r="G374" s="30" t="n"/>
      <c r="H374" s="30" t="n"/>
      <c r="I374" s="30" t="n"/>
      <c r="J374" s="31" t="n"/>
      <c r="K374" s="32" t="n"/>
      <c r="L374" s="30" t="n"/>
      <c r="M374" s="30" t="n"/>
      <c r="N374" s="30" t="n"/>
    </row>
    <row r="375">
      <c r="A375" s="30" t="n"/>
      <c r="B375" s="30" t="n"/>
      <c r="C375" s="30" t="n"/>
      <c r="D375" s="30" t="n"/>
      <c r="E375" s="30" t="n"/>
      <c r="F375" s="30" t="n"/>
      <c r="G375" s="30" t="n"/>
      <c r="H375" s="30" t="n"/>
      <c r="I375" s="30" t="n"/>
      <c r="J375" s="31" t="n"/>
      <c r="K375" s="32" t="n"/>
      <c r="L375" s="30" t="n"/>
      <c r="M375" s="30" t="n"/>
      <c r="N375" s="30" t="n"/>
    </row>
    <row r="376">
      <c r="A376" s="30" t="n"/>
      <c r="B376" s="30" t="n"/>
      <c r="C376" s="30" t="n"/>
      <c r="D376" s="30" t="n"/>
      <c r="E376" s="30" t="n"/>
      <c r="F376" s="30" t="n"/>
      <c r="G376" s="30" t="n"/>
      <c r="H376" s="30" t="n"/>
      <c r="I376" s="30" t="n"/>
      <c r="J376" s="31" t="n"/>
      <c r="K376" s="32" t="n"/>
      <c r="L376" s="30" t="n"/>
      <c r="M376" s="30" t="n"/>
      <c r="N376" s="30" t="n"/>
    </row>
    <row r="377">
      <c r="A377" s="30" t="n"/>
      <c r="B377" s="30" t="n"/>
      <c r="C377" s="30" t="n"/>
      <c r="D377" s="30" t="n"/>
      <c r="E377" s="30" t="n"/>
      <c r="F377" s="30" t="n"/>
      <c r="G377" s="30" t="n"/>
      <c r="H377" s="30" t="n"/>
      <c r="I377" s="30" t="n"/>
      <c r="J377" s="31" t="n"/>
      <c r="K377" s="32" t="n"/>
      <c r="L377" s="30" t="n"/>
      <c r="M377" s="30" t="n"/>
      <c r="N377" s="30" t="n"/>
    </row>
    <row r="378">
      <c r="A378" s="30" t="n"/>
      <c r="B378" s="30" t="n"/>
      <c r="C378" s="30" t="n"/>
      <c r="D378" s="30" t="n"/>
      <c r="E378" s="30" t="n"/>
      <c r="F378" s="30" t="n"/>
      <c r="G378" s="30" t="n"/>
      <c r="H378" s="30" t="n"/>
      <c r="I378" s="30" t="n"/>
      <c r="J378" s="31" t="n"/>
      <c r="K378" s="32" t="n"/>
      <c r="L378" s="30" t="n"/>
      <c r="M378" s="30" t="n"/>
      <c r="N378" s="30" t="n"/>
    </row>
    <row r="379">
      <c r="A379" s="30" t="n"/>
      <c r="B379" s="30" t="n"/>
      <c r="C379" s="30" t="n"/>
      <c r="D379" s="30" t="n"/>
      <c r="E379" s="30" t="n"/>
      <c r="F379" s="30" t="n"/>
      <c r="G379" s="30" t="n"/>
      <c r="H379" s="30" t="n"/>
      <c r="I379" s="30" t="n"/>
      <c r="J379" s="31" t="n"/>
      <c r="K379" s="32" t="n"/>
      <c r="L379" s="30" t="n"/>
      <c r="M379" s="30" t="n"/>
      <c r="N379" s="30" t="n"/>
    </row>
    <row r="380">
      <c r="A380" s="30" t="n"/>
      <c r="B380" s="30" t="n"/>
      <c r="C380" s="30" t="n"/>
      <c r="D380" s="30" t="n"/>
      <c r="E380" s="30" t="n"/>
      <c r="F380" s="30" t="n"/>
      <c r="G380" s="30" t="n"/>
      <c r="H380" s="30" t="n"/>
      <c r="I380" s="30" t="n"/>
      <c r="J380" s="31" t="n"/>
      <c r="K380" s="32" t="n"/>
      <c r="L380" s="30" t="n"/>
      <c r="M380" s="30" t="n"/>
      <c r="N380" s="30" t="n"/>
    </row>
    <row r="381">
      <c r="A381" s="30" t="n"/>
      <c r="B381" s="30" t="n"/>
      <c r="C381" s="30" t="n"/>
      <c r="D381" s="30" t="n"/>
      <c r="E381" s="30" t="n"/>
      <c r="F381" s="30" t="n"/>
      <c r="G381" s="30" t="n"/>
      <c r="H381" s="30" t="n"/>
      <c r="I381" s="30" t="n"/>
      <c r="J381" s="31" t="n"/>
      <c r="K381" s="32" t="n"/>
      <c r="L381" s="30" t="n"/>
      <c r="M381" s="30" t="n"/>
      <c r="N381" s="30" t="n"/>
    </row>
    <row r="382">
      <c r="A382" s="30" t="n"/>
      <c r="B382" s="30" t="n"/>
      <c r="C382" s="30" t="n"/>
      <c r="D382" s="30" t="n"/>
      <c r="E382" s="30" t="n"/>
      <c r="F382" s="30" t="n"/>
      <c r="G382" s="30" t="n"/>
      <c r="H382" s="30" t="n"/>
      <c r="I382" s="30" t="n"/>
      <c r="J382" s="31" t="n"/>
      <c r="K382" s="32" t="n"/>
      <c r="L382" s="30" t="n"/>
      <c r="M382" s="30" t="n"/>
      <c r="N382" s="30" t="n"/>
    </row>
    <row r="383">
      <c r="A383" s="30" t="n"/>
      <c r="B383" s="30" t="n"/>
      <c r="C383" s="30" t="n"/>
      <c r="D383" s="30" t="n"/>
      <c r="E383" s="30" t="n"/>
      <c r="F383" s="30" t="n"/>
      <c r="G383" s="30" t="n"/>
      <c r="H383" s="30" t="n"/>
      <c r="I383" s="30" t="n"/>
      <c r="J383" s="31" t="n"/>
      <c r="K383" s="32" t="n"/>
      <c r="L383" s="30" t="n"/>
      <c r="M383" s="30" t="n"/>
      <c r="N383" s="30" t="n"/>
    </row>
    <row r="384">
      <c r="A384" s="30" t="n"/>
      <c r="B384" s="30" t="n"/>
      <c r="C384" s="30" t="n"/>
      <c r="D384" s="30" t="n"/>
      <c r="E384" s="30" t="n"/>
      <c r="F384" s="30" t="n"/>
      <c r="G384" s="30" t="n"/>
      <c r="H384" s="30" t="n"/>
      <c r="I384" s="30" t="n"/>
      <c r="J384" s="31" t="n"/>
      <c r="K384" s="32" t="n"/>
      <c r="L384" s="30" t="n"/>
      <c r="M384" s="30" t="n"/>
      <c r="N384" s="30" t="n"/>
    </row>
    <row r="385">
      <c r="A385" s="30" t="n"/>
      <c r="B385" s="30" t="n"/>
      <c r="C385" s="30" t="n"/>
      <c r="D385" s="30" t="n"/>
      <c r="E385" s="30" t="n"/>
      <c r="F385" s="30" t="n"/>
      <c r="G385" s="30" t="n"/>
      <c r="H385" s="30" t="n"/>
      <c r="I385" s="30" t="n"/>
      <c r="J385" s="31" t="n"/>
      <c r="K385" s="32" t="n"/>
      <c r="L385" s="30" t="n"/>
      <c r="M385" s="30" t="n"/>
      <c r="N385" s="30" t="n"/>
    </row>
    <row r="386">
      <c r="A386" s="30" t="n"/>
      <c r="B386" s="30" t="n"/>
      <c r="C386" s="30" t="n"/>
      <c r="D386" s="30" t="n"/>
      <c r="E386" s="30" t="n"/>
      <c r="F386" s="30" t="n"/>
      <c r="G386" s="30" t="n"/>
      <c r="H386" s="30" t="n"/>
      <c r="I386" s="30" t="n"/>
      <c r="J386" s="31" t="n"/>
      <c r="K386" s="32" t="n"/>
      <c r="L386" s="30" t="n"/>
      <c r="M386" s="30" t="n"/>
      <c r="N386" s="30" t="n"/>
    </row>
    <row r="387">
      <c r="A387" s="30" t="n"/>
      <c r="B387" s="30" t="n"/>
      <c r="C387" s="30" t="n"/>
      <c r="D387" s="30" t="n"/>
      <c r="E387" s="30" t="n"/>
      <c r="F387" s="30" t="n"/>
      <c r="G387" s="30" t="n"/>
      <c r="H387" s="30" t="n"/>
      <c r="I387" s="30" t="n"/>
      <c r="J387" s="31" t="n"/>
      <c r="K387" s="32" t="n"/>
      <c r="L387" s="30" t="n"/>
      <c r="M387" s="30" t="n"/>
      <c r="N387" s="30" t="n"/>
    </row>
    <row r="388">
      <c r="A388" s="30" t="n"/>
      <c r="B388" s="30" t="n"/>
      <c r="C388" s="30" t="n"/>
      <c r="D388" s="30" t="n"/>
      <c r="E388" s="30" t="n"/>
      <c r="F388" s="30" t="n"/>
      <c r="G388" s="30" t="n"/>
      <c r="H388" s="30" t="n"/>
      <c r="I388" s="30" t="n"/>
      <c r="J388" s="31" t="n"/>
      <c r="K388" s="32" t="n"/>
      <c r="L388" s="30" t="n"/>
      <c r="M388" s="30" t="n"/>
      <c r="N388" s="30" t="n"/>
    </row>
    <row r="389">
      <c r="A389" s="30" t="n"/>
      <c r="B389" s="30" t="n"/>
      <c r="C389" s="30" t="n"/>
      <c r="D389" s="30" t="n"/>
      <c r="E389" s="30" t="n"/>
      <c r="F389" s="30" t="n"/>
      <c r="G389" s="30" t="n"/>
      <c r="H389" s="30" t="n"/>
      <c r="I389" s="30" t="n"/>
      <c r="J389" s="31" t="n"/>
      <c r="K389" s="32" t="n"/>
      <c r="L389" s="30" t="n"/>
      <c r="M389" s="30" t="n"/>
      <c r="N389" s="30" t="n"/>
    </row>
    <row r="390">
      <c r="A390" s="30" t="n"/>
      <c r="B390" s="30" t="n"/>
      <c r="C390" s="30" t="n"/>
      <c r="D390" s="30" t="n"/>
      <c r="E390" s="30" t="n"/>
      <c r="F390" s="30" t="n"/>
      <c r="G390" s="30" t="n"/>
      <c r="H390" s="30" t="n"/>
      <c r="I390" s="30" t="n"/>
      <c r="J390" s="31" t="n"/>
      <c r="K390" s="32" t="n"/>
      <c r="L390" s="30" t="n"/>
      <c r="M390" s="30" t="n"/>
      <c r="N390" s="30" t="n"/>
    </row>
    <row r="391">
      <c r="A391" s="30" t="n"/>
      <c r="B391" s="30" t="n"/>
      <c r="C391" s="30" t="n"/>
      <c r="D391" s="30" t="n"/>
      <c r="E391" s="30" t="n"/>
      <c r="F391" s="30" t="n"/>
      <c r="G391" s="30" t="n"/>
      <c r="H391" s="30" t="n"/>
      <c r="I391" s="30" t="n"/>
      <c r="J391" s="31" t="n"/>
      <c r="K391" s="32" t="n"/>
      <c r="L391" s="30" t="n"/>
      <c r="M391" s="30" t="n"/>
      <c r="N391" s="30" t="n"/>
    </row>
    <row r="392">
      <c r="A392" s="30" t="n"/>
      <c r="B392" s="30" t="n"/>
      <c r="C392" s="30" t="n"/>
      <c r="D392" s="30" t="n"/>
      <c r="E392" s="30" t="n"/>
      <c r="F392" s="30" t="n"/>
      <c r="G392" s="30" t="n"/>
      <c r="H392" s="30" t="n"/>
      <c r="I392" s="30" t="n"/>
      <c r="J392" s="31" t="n"/>
      <c r="K392" s="32" t="n"/>
      <c r="L392" s="30" t="n"/>
      <c r="M392" s="30" t="n"/>
      <c r="N392" s="30" t="n"/>
    </row>
    <row r="393">
      <c r="A393" s="30" t="n"/>
      <c r="B393" s="30" t="n"/>
      <c r="C393" s="30" t="n"/>
      <c r="D393" s="30" t="n"/>
      <c r="E393" s="30" t="n"/>
      <c r="F393" s="30" t="n"/>
      <c r="G393" s="30" t="n"/>
      <c r="H393" s="30" t="n"/>
      <c r="I393" s="30" t="n"/>
      <c r="J393" s="31" t="n"/>
      <c r="K393" s="32" t="n"/>
      <c r="L393" s="30" t="n"/>
      <c r="M393" s="30" t="n"/>
      <c r="N393" s="30" t="n"/>
    </row>
    <row r="394">
      <c r="A394" s="30" t="n"/>
      <c r="B394" s="30" t="n"/>
      <c r="C394" s="30" t="n"/>
      <c r="D394" s="30" t="n"/>
      <c r="E394" s="30" t="n"/>
      <c r="F394" s="30" t="n"/>
      <c r="G394" s="30" t="n"/>
      <c r="H394" s="30" t="n"/>
      <c r="I394" s="30" t="n"/>
      <c r="J394" s="31" t="n"/>
      <c r="K394" s="32" t="n"/>
      <c r="L394" s="30" t="n"/>
      <c r="M394" s="30" t="n"/>
      <c r="N394" s="30" t="n"/>
    </row>
    <row r="395">
      <c r="A395" s="30" t="n"/>
      <c r="B395" s="30" t="n"/>
      <c r="C395" s="30" t="n"/>
      <c r="D395" s="30" t="n"/>
      <c r="E395" s="30" t="n"/>
      <c r="F395" s="30" t="n"/>
      <c r="G395" s="30" t="n"/>
      <c r="H395" s="30" t="n"/>
      <c r="I395" s="30" t="n"/>
      <c r="J395" s="31" t="n"/>
      <c r="K395" s="32" t="n"/>
      <c r="L395" s="30" t="n"/>
      <c r="M395" s="30" t="n"/>
      <c r="N395" s="30" t="n"/>
    </row>
    <row r="396">
      <c r="A396" s="30" t="n"/>
      <c r="B396" s="30" t="n"/>
      <c r="C396" s="30" t="n"/>
      <c r="D396" s="30" t="n"/>
      <c r="E396" s="30" t="n"/>
      <c r="F396" s="30" t="n"/>
      <c r="G396" s="30" t="n"/>
      <c r="H396" s="30" t="n"/>
      <c r="I396" s="30" t="n"/>
      <c r="J396" s="31" t="n"/>
      <c r="K396" s="32" t="n"/>
      <c r="L396" s="30" t="n"/>
      <c r="M396" s="30" t="n"/>
      <c r="N396" s="30" t="n"/>
    </row>
    <row r="397">
      <c r="A397" s="30" t="n"/>
      <c r="B397" s="30" t="n"/>
      <c r="C397" s="30" t="n"/>
      <c r="D397" s="30" t="n"/>
      <c r="E397" s="30" t="n"/>
      <c r="F397" s="30" t="n"/>
      <c r="G397" s="30" t="n"/>
      <c r="H397" s="30" t="n"/>
      <c r="I397" s="30" t="n"/>
      <c r="J397" s="31" t="n"/>
      <c r="K397" s="32" t="n"/>
      <c r="L397" s="30" t="n"/>
      <c r="M397" s="30" t="n"/>
      <c r="N397" s="30" t="n"/>
    </row>
    <row r="398">
      <c r="A398" s="30" t="n"/>
      <c r="B398" s="30" t="n"/>
      <c r="C398" s="30" t="n"/>
      <c r="D398" s="30" t="n"/>
      <c r="E398" s="30" t="n"/>
      <c r="F398" s="30" t="n"/>
      <c r="G398" s="30" t="n"/>
      <c r="H398" s="30" t="n"/>
      <c r="I398" s="30" t="n"/>
      <c r="J398" s="31" t="n"/>
      <c r="K398" s="32" t="n"/>
      <c r="L398" s="30" t="n"/>
      <c r="M398" s="30" t="n"/>
      <c r="N398" s="30" t="n"/>
    </row>
    <row r="399">
      <c r="A399" s="30" t="n"/>
      <c r="B399" s="30" t="n"/>
      <c r="C399" s="30" t="n"/>
      <c r="D399" s="30" t="n"/>
      <c r="E399" s="30" t="n"/>
      <c r="F399" s="30" t="n"/>
      <c r="G399" s="30" t="n"/>
      <c r="H399" s="30" t="n"/>
      <c r="I399" s="30" t="n"/>
      <c r="J399" s="31" t="n"/>
      <c r="K399" s="32" t="n"/>
      <c r="L399" s="30" t="n"/>
      <c r="M399" s="30" t="n"/>
      <c r="N399" s="30" t="n"/>
    </row>
    <row r="400">
      <c r="A400" s="30" t="n"/>
      <c r="B400" s="30" t="n"/>
      <c r="C400" s="30" t="n"/>
      <c r="D400" s="30" t="n"/>
      <c r="E400" s="30" t="n"/>
      <c r="F400" s="30" t="n"/>
      <c r="G400" s="30" t="n"/>
      <c r="H400" s="30" t="n"/>
      <c r="I400" s="30" t="n"/>
      <c r="J400" s="31" t="n"/>
      <c r="K400" s="32" t="n"/>
      <c r="L400" s="30" t="n"/>
      <c r="M400" s="30" t="n"/>
      <c r="N400" s="30" t="n"/>
    </row>
  </sheetData>
  <mergeCells count="2">
    <mergeCell ref="A2:N2"/>
    <mergeCell ref="A1:N1"/>
  </mergeCells>
  <dataValidations count="2">
    <dataValidation sqref="L4:L400" showDropDown="0" showInputMessage="0" showErrorMessage="0" allowBlank="1" errorTitle="Ungültige Auswahl" error="Bitte einen Wert aus der Liste wählen." promptTitle="Liste" prompt="Auswahl" type="list">
      <formula1>=lstABC</formula1>
    </dataValidation>
    <dataValidation sqref="M4:M400" showDropDown="0" showInputMessage="0" showErrorMessage="0" allowBlank="1" errorTitle="Ungültige Auswahl" error="Bitte einen Wert aus der Liste wählen." promptTitle="Liste" prompt="Auswahl" type="list">
      <formula1>=lstBelegStatus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2C5282"/>
    <outlinePr summaryBelow="1" summaryRight="1"/>
    <pageSetUpPr/>
  </sheetPr>
  <dimension ref="A1:P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1" customWidth="1" min="4" max="4"/>
    <col width="12" customWidth="1" min="5" max="5"/>
    <col width="17" customWidth="1" min="6" max="6"/>
    <col width="14" customWidth="1" min="7" max="7"/>
    <col width="18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1" t="inlineStr">
        <is>
          <t>Lieferanten und Nachunternehmer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M1" s="3" t="n"/>
      <c r="N1" s="3" t="n"/>
      <c r="O1" s="3" t="n"/>
      <c r="P1" s="3" t="n"/>
    </row>
    <row r="2" ht="18" customHeight="1">
      <c r="A2" s="4" t="inlineStr">
        <is>
          <t>Kreditorenstamm inkl. Skonto und Zahlungsziel für Liquiditätsplanung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3" t="n"/>
      <c r="M2" s="3" t="n"/>
      <c r="N2" s="3" t="n"/>
      <c r="O2" s="3" t="n"/>
      <c r="P2" s="3" t="n"/>
    </row>
    <row r="3" ht="28" customHeight="1">
      <c r="A3" s="17" t="inlineStr">
        <is>
          <t>Nr</t>
        </is>
      </c>
      <c r="B3" s="17" t="inlineStr">
        <is>
          <t>Name</t>
        </is>
      </c>
      <c r="C3" s="17" t="inlineStr">
        <is>
          <t>Art</t>
        </is>
      </c>
      <c r="D3" s="17" t="inlineStr">
        <is>
          <t>Ansprechpartner</t>
        </is>
      </c>
      <c r="E3" s="17" t="inlineStr">
        <is>
          <t>IBAN</t>
        </is>
      </c>
      <c r="F3" s="17" t="inlineStr">
        <is>
          <t>Skonto Tage</t>
        </is>
      </c>
      <c r="G3" s="17" t="inlineStr">
        <is>
          <t>Skonto %</t>
        </is>
      </c>
      <c r="H3" s="17" t="inlineStr">
        <is>
          <t>Zahlungsziel</t>
        </is>
      </c>
      <c r="I3" s="17" t="inlineStr">
        <is>
          <t>E-Mail</t>
        </is>
      </c>
      <c r="J3" s="17" t="inlineStr">
        <is>
          <t>Status</t>
        </is>
      </c>
      <c r="K3" s="17" t="inlineStr">
        <is>
          <t>Notiz</t>
        </is>
      </c>
      <c r="L3" s="3" t="n"/>
      <c r="M3" s="3" t="n"/>
      <c r="N3" s="3" t="n"/>
      <c r="O3" s="3" t="n"/>
      <c r="P3" s="3" t="n"/>
    </row>
    <row r="4">
      <c r="A4" s="30" t="inlineStr">
        <is>
          <t>L-2001</t>
        </is>
      </c>
      <c r="B4" s="30" t="inlineStr">
        <is>
          <t>BayernZement GmbH</t>
        </is>
      </c>
      <c r="C4" s="30" t="inlineStr">
        <is>
          <t>Material</t>
        </is>
      </c>
      <c r="D4" s="30" t="inlineStr">
        <is>
          <t>Einkauf</t>
        </is>
      </c>
      <c r="E4" s="30" t="inlineStr">
        <is>
          <t>DE14 7015 0000 0000 3321 09</t>
        </is>
      </c>
      <c r="F4" s="31" t="inlineStr">
        <is>
          <t>14</t>
        </is>
      </c>
      <c r="G4" s="32" t="n">
        <v>0.02</v>
      </c>
      <c r="H4" s="31" t="n">
        <v>30</v>
      </c>
      <c r="I4" s="30" t="inlineStr">
        <is>
          <t>zement@bayernzement.de</t>
        </is>
      </c>
      <c r="J4" s="30" t="inlineStr">
        <is>
          <t>Aktiv</t>
        </is>
      </c>
      <c r="K4" s="30" t="inlineStr">
        <is>
          <t>Beton / Zement</t>
        </is>
      </c>
      <c r="L4" s="3" t="n"/>
      <c r="M4" s="3" t="n"/>
      <c r="N4" s="3" t="n"/>
      <c r="O4" s="3" t="n"/>
      <c r="P4" s="3" t="n"/>
    </row>
    <row r="5">
      <c r="A5" s="30" t="inlineStr">
        <is>
          <t>L-2002</t>
        </is>
      </c>
      <c r="B5" s="30" t="inlineStr">
        <is>
          <t>Holz &amp; Stahl Süd AG</t>
        </is>
      </c>
      <c r="C5" s="30" t="inlineStr">
        <is>
          <t>Material</t>
        </is>
      </c>
      <c r="D5" s="30" t="inlineStr">
        <is>
          <t>Vertrieb Süd</t>
        </is>
      </c>
      <c r="E5" s="30" t="inlineStr">
        <is>
          <t>DE22 7605 0101 0000 8841 33</t>
        </is>
      </c>
      <c r="F5" s="31" t="inlineStr">
        <is>
          <t>10</t>
        </is>
      </c>
      <c r="G5" s="32" t="n">
        <v>0.03</v>
      </c>
      <c r="H5" s="31" t="n">
        <v>30</v>
      </c>
      <c r="I5" s="30" t="inlineStr">
        <is>
          <t>auftrag@holzstahl-sued.de</t>
        </is>
      </c>
      <c r="J5" s="30" t="inlineStr">
        <is>
          <t>Aktiv</t>
        </is>
      </c>
      <c r="K5" s="30" t="inlineStr">
        <is>
          <t>Bewehrung / Stahl</t>
        </is>
      </c>
      <c r="L5" s="3" t="n"/>
      <c r="M5" s="3" t="n"/>
      <c r="N5" s="3" t="n"/>
      <c r="O5" s="3" t="n"/>
      <c r="P5" s="3" t="n"/>
    </row>
    <row r="6">
      <c r="A6" s="30" t="inlineStr">
        <is>
          <t>L-2003</t>
        </is>
      </c>
      <c r="B6" s="30" t="inlineStr">
        <is>
          <t>Elektro Fuchs GmbH</t>
        </is>
      </c>
      <c r="C6" s="30" t="inlineStr">
        <is>
          <t>Nachunternehmer</t>
        </is>
      </c>
      <c r="D6" s="30" t="inlineStr">
        <is>
          <t>Werner Fuchs</t>
        </is>
      </c>
      <c r="E6" s="30" t="inlineStr">
        <is>
          <t>DE77 7001 0080 0012 4455 01</t>
        </is>
      </c>
      <c r="F6" s="31" t="inlineStr">
        <is>
          <t>10</t>
        </is>
      </c>
      <c r="G6" s="32" t="n">
        <v>0.02</v>
      </c>
      <c r="H6" s="31" t="n">
        <v>21</v>
      </c>
      <c r="I6" s="30" t="inlineStr">
        <is>
          <t>office@elektro-fuchs.de</t>
        </is>
      </c>
      <c r="J6" s="30" t="inlineStr">
        <is>
          <t>Aktiv</t>
        </is>
      </c>
      <c r="K6" s="30" t="inlineStr">
        <is>
          <t>Elektroinstallation</t>
        </is>
      </c>
      <c r="L6" s="3" t="n"/>
      <c r="M6" s="3" t="n"/>
      <c r="N6" s="3" t="n"/>
      <c r="O6" s="3" t="n"/>
      <c r="P6" s="3" t="n"/>
    </row>
    <row r="7">
      <c r="A7" s="30" t="inlineStr">
        <is>
          <t>L-2004</t>
        </is>
      </c>
      <c r="B7" s="30" t="inlineStr">
        <is>
          <t>Haustechnik Lang KG</t>
        </is>
      </c>
      <c r="C7" s="30" t="inlineStr">
        <is>
          <t>Nachunternehmer</t>
        </is>
      </c>
      <c r="D7" s="30" t="inlineStr">
        <is>
          <t>Petra Lang</t>
        </is>
      </c>
      <c r="E7" s="30" t="inlineStr">
        <is>
          <t>DE55 7602 0070 0019 3300 18</t>
        </is>
      </c>
      <c r="F7" s="31" t="inlineStr">
        <is>
          <t>14</t>
        </is>
      </c>
      <c r="G7" s="32" t="n">
        <v>0.02</v>
      </c>
      <c r="H7" s="31" t="n">
        <v>21</v>
      </c>
      <c r="I7" s="30" t="inlineStr">
        <is>
          <t>info@ht-lang.de</t>
        </is>
      </c>
      <c r="J7" s="30" t="inlineStr">
        <is>
          <t>Aktiv</t>
        </is>
      </c>
      <c r="K7" s="30" t="inlineStr">
        <is>
          <t>HLS / Sanitär</t>
        </is>
      </c>
    </row>
    <row r="8">
      <c r="A8" s="30" t="inlineStr">
        <is>
          <t>L-2005</t>
        </is>
      </c>
      <c r="B8" s="30" t="inlineStr">
        <is>
          <t>Mietpark Geräte GmbH</t>
        </is>
      </c>
      <c r="C8" s="30" t="inlineStr">
        <is>
          <t>Gerät</t>
        </is>
      </c>
      <c r="D8" s="30" t="inlineStr">
        <is>
          <t>Disposition</t>
        </is>
      </c>
      <c r="E8" s="30" t="inlineStr">
        <is>
          <t>DE33 7015 0000 0099 1200 44</t>
        </is>
      </c>
      <c r="F8" s="31" t="inlineStr">
        <is>
          <t>7</t>
        </is>
      </c>
      <c r="G8" s="32" t="n">
        <v>0</v>
      </c>
      <c r="H8" s="31" t="n">
        <v>14</v>
      </c>
      <c r="I8" s="30" t="inlineStr">
        <is>
          <t>dispo@mietpark-geraete.de</t>
        </is>
      </c>
      <c r="J8" s="30" t="inlineStr">
        <is>
          <t>Aktiv</t>
        </is>
      </c>
      <c r="K8" s="30" t="inlineStr">
        <is>
          <t>Bagger / Kran / Gerüst</t>
        </is>
      </c>
    </row>
    <row r="9">
      <c r="A9" s="30" t="inlineStr">
        <is>
          <t>L-2006</t>
        </is>
      </c>
      <c r="B9" s="30" t="inlineStr">
        <is>
          <t>Spedition Huber</t>
        </is>
      </c>
      <c r="C9" s="30" t="inlineStr">
        <is>
          <t>Dienstleistung</t>
        </is>
      </c>
      <c r="D9" s="30" t="inlineStr">
        <is>
          <t>Fuhrpark</t>
        </is>
      </c>
      <c r="E9" s="30" t="inlineStr">
        <is>
          <t>DE10 7005 0000 0044 2210 87</t>
        </is>
      </c>
      <c r="F9" s="31" t="inlineStr">
        <is>
          <t>7</t>
        </is>
      </c>
      <c r="G9" s="32" t="n">
        <v>0</v>
      </c>
      <c r="H9" s="31" t="n">
        <v>14</v>
      </c>
      <c r="I9" s="30" t="inlineStr">
        <is>
          <t>disposition@spedition-huber.de</t>
        </is>
      </c>
      <c r="J9" s="30" t="inlineStr">
        <is>
          <t>Aktiv</t>
        </is>
      </c>
      <c r="K9" s="30" t="inlineStr">
        <is>
          <t>Aushub / Entsorgung</t>
        </is>
      </c>
    </row>
    <row r="10">
      <c r="A10" s="30" t="inlineStr">
        <is>
          <t>L-2007</t>
        </is>
      </c>
      <c r="B10" s="30" t="inlineStr">
        <is>
          <t>Gerüstbau Huber</t>
        </is>
      </c>
      <c r="C10" s="30" t="inlineStr">
        <is>
          <t>Nachunternehmer</t>
        </is>
      </c>
      <c r="D10" s="30" t="inlineStr">
        <is>
          <t>Josef Huber</t>
        </is>
      </c>
      <c r="E10" s="30" t="inlineStr">
        <is>
          <t>DE41 7016 0000 0008 7712 55</t>
        </is>
      </c>
      <c r="F10" s="31" t="inlineStr">
        <is>
          <t>10</t>
        </is>
      </c>
      <c r="G10" s="32" t="n">
        <v>0.02</v>
      </c>
      <c r="H10" s="31" t="n">
        <v>21</v>
      </c>
      <c r="I10" s="30" t="inlineStr">
        <is>
          <t>buero@geruestbau-huber.de</t>
        </is>
      </c>
      <c r="J10" s="30" t="inlineStr">
        <is>
          <t>Aktiv</t>
        </is>
      </c>
      <c r="K10" s="30" t="inlineStr">
        <is>
          <t>Fassade / Gerüst</t>
        </is>
      </c>
    </row>
    <row r="11">
      <c r="A11" s="30" t="n"/>
      <c r="B11" s="30" t="n"/>
      <c r="C11" s="30" t="n"/>
      <c r="D11" s="30" t="n"/>
      <c r="E11" s="30" t="n"/>
      <c r="F11" s="31" t="n"/>
      <c r="G11" s="32" t="n"/>
      <c r="H11" s="31" t="n"/>
      <c r="I11" s="30" t="n"/>
      <c r="J11" s="30" t="n"/>
      <c r="K11" s="30" t="n"/>
    </row>
    <row r="12">
      <c r="A12" s="30" t="n"/>
      <c r="B12" s="30" t="n"/>
      <c r="C12" s="30" t="n"/>
      <c r="D12" s="30" t="n"/>
      <c r="E12" s="30" t="n"/>
      <c r="F12" s="31" t="n"/>
      <c r="G12" s="32" t="n"/>
      <c r="H12" s="31" t="n"/>
      <c r="I12" s="30" t="n"/>
      <c r="J12" s="30" t="n"/>
      <c r="K12" s="30" t="n"/>
    </row>
    <row r="13">
      <c r="A13" s="30" t="n"/>
      <c r="B13" s="30" t="n"/>
      <c r="C13" s="30" t="n"/>
      <c r="D13" s="30" t="n"/>
      <c r="E13" s="30" t="n"/>
      <c r="F13" s="31" t="n"/>
      <c r="G13" s="32" t="n"/>
      <c r="H13" s="31" t="n"/>
      <c r="I13" s="30" t="n"/>
      <c r="J13" s="30" t="n"/>
      <c r="K13" s="30" t="n"/>
    </row>
    <row r="14">
      <c r="A14" s="30" t="n"/>
      <c r="B14" s="30" t="n"/>
      <c r="C14" s="30" t="n"/>
      <c r="D14" s="30" t="n"/>
      <c r="E14" s="30" t="n"/>
      <c r="F14" s="31" t="n"/>
      <c r="G14" s="32" t="n"/>
      <c r="H14" s="31" t="n"/>
      <c r="I14" s="30" t="n"/>
      <c r="J14" s="30" t="n"/>
      <c r="K14" s="30" t="n"/>
    </row>
    <row r="15">
      <c r="A15" s="30" t="n"/>
      <c r="B15" s="30" t="n"/>
      <c r="C15" s="30" t="n"/>
      <c r="D15" s="30" t="n"/>
      <c r="E15" s="30" t="n"/>
      <c r="F15" s="31" t="n"/>
      <c r="G15" s="32" t="n"/>
      <c r="H15" s="31" t="n"/>
      <c r="I15" s="30" t="n"/>
      <c r="J15" s="30" t="n"/>
      <c r="K15" s="30" t="n"/>
    </row>
    <row r="16">
      <c r="A16" s="30" t="n"/>
      <c r="B16" s="30" t="n"/>
      <c r="C16" s="30" t="n"/>
      <c r="D16" s="30" t="n"/>
      <c r="E16" s="30" t="n"/>
      <c r="F16" s="31" t="n"/>
      <c r="G16" s="32" t="n"/>
      <c r="H16" s="31" t="n"/>
      <c r="I16" s="30" t="n"/>
      <c r="J16" s="30" t="n"/>
      <c r="K16" s="30" t="n"/>
    </row>
    <row r="17">
      <c r="A17" s="30" t="n"/>
      <c r="B17" s="30" t="n"/>
      <c r="C17" s="30" t="n"/>
      <c r="D17" s="30" t="n"/>
      <c r="E17" s="30" t="n"/>
      <c r="F17" s="31" t="n"/>
      <c r="G17" s="32" t="n"/>
      <c r="H17" s="31" t="n"/>
      <c r="I17" s="30" t="n"/>
      <c r="J17" s="30" t="n"/>
      <c r="K17" s="30" t="n"/>
    </row>
    <row r="18">
      <c r="A18" s="30" t="n"/>
      <c r="B18" s="30" t="n"/>
      <c r="C18" s="30" t="n"/>
      <c r="D18" s="30" t="n"/>
      <c r="E18" s="30" t="n"/>
      <c r="F18" s="31" t="n"/>
      <c r="G18" s="32" t="n"/>
      <c r="H18" s="31" t="n"/>
      <c r="I18" s="30" t="n"/>
      <c r="J18" s="30" t="n"/>
      <c r="K18" s="30" t="n"/>
    </row>
    <row r="19">
      <c r="A19" s="30" t="n"/>
      <c r="B19" s="30" t="n"/>
      <c r="C19" s="30" t="n"/>
      <c r="D19" s="30" t="n"/>
      <c r="E19" s="30" t="n"/>
      <c r="F19" s="31" t="n"/>
      <c r="G19" s="32" t="n"/>
      <c r="H19" s="31" t="n"/>
      <c r="I19" s="30" t="n"/>
      <c r="J19" s="30" t="n"/>
      <c r="K19" s="30" t="n"/>
    </row>
    <row r="20">
      <c r="A20" s="30" t="n"/>
      <c r="B20" s="30" t="n"/>
      <c r="C20" s="30" t="n"/>
      <c r="D20" s="30" t="n"/>
      <c r="E20" s="30" t="n"/>
      <c r="F20" s="31" t="n"/>
      <c r="G20" s="32" t="n"/>
      <c r="H20" s="31" t="n"/>
      <c r="I20" s="30" t="n"/>
      <c r="J20" s="30" t="n"/>
      <c r="K20" s="30" t="n"/>
    </row>
    <row r="21">
      <c r="A21" s="30" t="n"/>
      <c r="B21" s="30" t="n"/>
      <c r="C21" s="30" t="n"/>
      <c r="D21" s="30" t="n"/>
      <c r="E21" s="30" t="n"/>
      <c r="F21" s="31" t="n"/>
      <c r="G21" s="32" t="n"/>
      <c r="H21" s="31" t="n"/>
      <c r="I21" s="30" t="n"/>
      <c r="J21" s="30" t="n"/>
      <c r="K21" s="30" t="n"/>
    </row>
    <row r="22">
      <c r="A22" s="30" t="n"/>
      <c r="B22" s="30" t="n"/>
      <c r="C22" s="30" t="n"/>
      <c r="D22" s="30" t="n"/>
      <c r="E22" s="30" t="n"/>
      <c r="F22" s="31" t="n"/>
      <c r="G22" s="32" t="n"/>
      <c r="H22" s="31" t="n"/>
      <c r="I22" s="30" t="n"/>
      <c r="J22" s="30" t="n"/>
      <c r="K22" s="30" t="n"/>
    </row>
    <row r="23">
      <c r="A23" s="30" t="n"/>
      <c r="B23" s="30" t="n"/>
      <c r="C23" s="30" t="n"/>
      <c r="D23" s="30" t="n"/>
      <c r="E23" s="30" t="n"/>
      <c r="F23" s="31" t="n"/>
      <c r="G23" s="32" t="n"/>
      <c r="H23" s="31" t="n"/>
      <c r="I23" s="30" t="n"/>
      <c r="J23" s="30" t="n"/>
      <c r="K23" s="30" t="n"/>
    </row>
    <row r="24">
      <c r="A24" s="30" t="n"/>
      <c r="B24" s="30" t="n"/>
      <c r="C24" s="30" t="n"/>
      <c r="D24" s="30" t="n"/>
      <c r="E24" s="30" t="n"/>
      <c r="F24" s="31" t="n"/>
      <c r="G24" s="32" t="n"/>
      <c r="H24" s="31" t="n"/>
      <c r="I24" s="30" t="n"/>
      <c r="J24" s="30" t="n"/>
      <c r="K24" s="30" t="n"/>
    </row>
    <row r="25">
      <c r="A25" s="30" t="n"/>
      <c r="B25" s="30" t="n"/>
      <c r="C25" s="30" t="n"/>
      <c r="D25" s="30" t="n"/>
      <c r="E25" s="30" t="n"/>
      <c r="F25" s="31" t="n"/>
      <c r="G25" s="32" t="n"/>
      <c r="H25" s="31" t="n"/>
      <c r="I25" s="30" t="n"/>
      <c r="J25" s="30" t="n"/>
      <c r="K25" s="30" t="n"/>
    </row>
    <row r="26">
      <c r="A26" s="30" t="n"/>
      <c r="B26" s="30" t="n"/>
      <c r="C26" s="30" t="n"/>
      <c r="D26" s="30" t="n"/>
      <c r="E26" s="30" t="n"/>
      <c r="F26" s="31" t="n"/>
      <c r="G26" s="32" t="n"/>
      <c r="H26" s="31" t="n"/>
      <c r="I26" s="30" t="n"/>
      <c r="J26" s="30" t="n"/>
      <c r="K26" s="30" t="n"/>
    </row>
    <row r="27">
      <c r="A27" s="30" t="n"/>
      <c r="B27" s="30" t="n"/>
      <c r="C27" s="30" t="n"/>
      <c r="D27" s="30" t="n"/>
      <c r="E27" s="30" t="n"/>
      <c r="F27" s="31" t="n"/>
      <c r="G27" s="32" t="n"/>
      <c r="H27" s="31" t="n"/>
      <c r="I27" s="30" t="n"/>
      <c r="J27" s="30" t="n"/>
      <c r="K27" s="30" t="n"/>
    </row>
    <row r="28">
      <c r="A28" s="30" t="n"/>
      <c r="B28" s="30" t="n"/>
      <c r="C28" s="30" t="n"/>
      <c r="D28" s="30" t="n"/>
      <c r="E28" s="30" t="n"/>
      <c r="F28" s="31" t="n"/>
      <c r="G28" s="32" t="n"/>
      <c r="H28" s="31" t="n"/>
      <c r="I28" s="30" t="n"/>
      <c r="J28" s="30" t="n"/>
      <c r="K28" s="30" t="n"/>
    </row>
    <row r="29">
      <c r="A29" s="30" t="n"/>
      <c r="B29" s="30" t="n"/>
      <c r="C29" s="30" t="n"/>
      <c r="D29" s="30" t="n"/>
      <c r="E29" s="30" t="n"/>
      <c r="F29" s="31" t="n"/>
      <c r="G29" s="32" t="n"/>
      <c r="H29" s="31" t="n"/>
      <c r="I29" s="30" t="n"/>
      <c r="J29" s="30" t="n"/>
      <c r="K29" s="30" t="n"/>
    </row>
    <row r="30">
      <c r="A30" s="30" t="n"/>
      <c r="B30" s="30" t="n"/>
      <c r="C30" s="30" t="n"/>
      <c r="D30" s="30" t="n"/>
      <c r="E30" s="30" t="n"/>
      <c r="F30" s="31" t="n"/>
      <c r="G30" s="32" t="n"/>
      <c r="H30" s="31" t="n"/>
      <c r="I30" s="30" t="n"/>
      <c r="J30" s="30" t="n"/>
      <c r="K30" s="30" t="n"/>
    </row>
    <row r="31">
      <c r="A31" s="30" t="n"/>
      <c r="B31" s="30" t="n"/>
      <c r="C31" s="30" t="n"/>
      <c r="D31" s="30" t="n"/>
      <c r="E31" s="30" t="n"/>
      <c r="F31" s="31" t="n"/>
      <c r="G31" s="32" t="n"/>
      <c r="H31" s="31" t="n"/>
      <c r="I31" s="30" t="n"/>
      <c r="J31" s="30" t="n"/>
      <c r="K31" s="30" t="n"/>
    </row>
    <row r="32">
      <c r="A32" s="30" t="n"/>
      <c r="B32" s="30" t="n"/>
      <c r="C32" s="30" t="n"/>
      <c r="D32" s="30" t="n"/>
      <c r="E32" s="30" t="n"/>
      <c r="F32" s="31" t="n"/>
      <c r="G32" s="32" t="n"/>
      <c r="H32" s="31" t="n"/>
      <c r="I32" s="30" t="n"/>
      <c r="J32" s="30" t="n"/>
      <c r="K32" s="30" t="n"/>
    </row>
    <row r="33">
      <c r="A33" s="30" t="n"/>
      <c r="B33" s="30" t="n"/>
      <c r="C33" s="30" t="n"/>
      <c r="D33" s="30" t="n"/>
      <c r="E33" s="30" t="n"/>
      <c r="F33" s="31" t="n"/>
      <c r="G33" s="32" t="n"/>
      <c r="H33" s="31" t="n"/>
      <c r="I33" s="30" t="n"/>
      <c r="J33" s="30" t="n"/>
      <c r="K33" s="30" t="n"/>
    </row>
    <row r="34">
      <c r="A34" s="30" t="n"/>
      <c r="B34" s="30" t="n"/>
      <c r="C34" s="30" t="n"/>
      <c r="D34" s="30" t="n"/>
      <c r="E34" s="30" t="n"/>
      <c r="F34" s="31" t="n"/>
      <c r="G34" s="32" t="n"/>
      <c r="H34" s="31" t="n"/>
      <c r="I34" s="30" t="n"/>
      <c r="J34" s="30" t="n"/>
      <c r="K34" s="30" t="n"/>
    </row>
    <row r="35">
      <c r="A35" s="30" t="n"/>
      <c r="B35" s="30" t="n"/>
      <c r="C35" s="30" t="n"/>
      <c r="D35" s="30" t="n"/>
      <c r="E35" s="30" t="n"/>
      <c r="F35" s="31" t="n"/>
      <c r="G35" s="32" t="n"/>
      <c r="H35" s="31" t="n"/>
      <c r="I35" s="30" t="n"/>
      <c r="J35" s="30" t="n"/>
      <c r="K35" s="30" t="n"/>
    </row>
    <row r="36">
      <c r="A36" s="30" t="n"/>
      <c r="B36" s="30" t="n"/>
      <c r="C36" s="30" t="n"/>
      <c r="D36" s="30" t="n"/>
      <c r="E36" s="30" t="n"/>
      <c r="F36" s="31" t="n"/>
      <c r="G36" s="32" t="n"/>
      <c r="H36" s="31" t="n"/>
      <c r="I36" s="30" t="n"/>
      <c r="J36" s="30" t="n"/>
      <c r="K36" s="30" t="n"/>
    </row>
    <row r="37">
      <c r="A37" s="30" t="n"/>
      <c r="B37" s="30" t="n"/>
      <c r="C37" s="30" t="n"/>
      <c r="D37" s="30" t="n"/>
      <c r="E37" s="30" t="n"/>
      <c r="F37" s="31" t="n"/>
      <c r="G37" s="32" t="n"/>
      <c r="H37" s="31" t="n"/>
      <c r="I37" s="30" t="n"/>
      <c r="J37" s="30" t="n"/>
      <c r="K37" s="30" t="n"/>
    </row>
    <row r="38">
      <c r="A38" s="30" t="n"/>
      <c r="B38" s="30" t="n"/>
      <c r="C38" s="30" t="n"/>
      <c r="D38" s="30" t="n"/>
      <c r="E38" s="30" t="n"/>
      <c r="F38" s="31" t="n"/>
      <c r="G38" s="32" t="n"/>
      <c r="H38" s="31" t="n"/>
      <c r="I38" s="30" t="n"/>
      <c r="J38" s="30" t="n"/>
      <c r="K38" s="30" t="n"/>
    </row>
    <row r="39">
      <c r="A39" s="30" t="n"/>
      <c r="B39" s="30" t="n"/>
      <c r="C39" s="30" t="n"/>
      <c r="D39" s="30" t="n"/>
      <c r="E39" s="30" t="n"/>
      <c r="F39" s="31" t="n"/>
      <c r="G39" s="32" t="n"/>
      <c r="H39" s="31" t="n"/>
      <c r="I39" s="30" t="n"/>
      <c r="J39" s="30" t="n"/>
      <c r="K39" s="30" t="n"/>
    </row>
    <row r="40">
      <c r="A40" s="30" t="n"/>
      <c r="B40" s="30" t="n"/>
      <c r="C40" s="30" t="n"/>
      <c r="D40" s="30" t="n"/>
      <c r="E40" s="30" t="n"/>
      <c r="F40" s="31" t="n"/>
      <c r="G40" s="32" t="n"/>
      <c r="H40" s="31" t="n"/>
      <c r="I40" s="30" t="n"/>
      <c r="J40" s="30" t="n"/>
      <c r="K40" s="30" t="n"/>
    </row>
    <row r="41">
      <c r="A41" s="30" t="n"/>
      <c r="B41" s="30" t="n"/>
      <c r="C41" s="30" t="n"/>
      <c r="D41" s="30" t="n"/>
      <c r="E41" s="30" t="n"/>
      <c r="F41" s="31" t="n"/>
      <c r="G41" s="32" t="n"/>
      <c r="H41" s="31" t="n"/>
      <c r="I41" s="30" t="n"/>
      <c r="J41" s="30" t="n"/>
      <c r="K41" s="30" t="n"/>
    </row>
    <row r="42">
      <c r="A42" s="30" t="n"/>
      <c r="B42" s="30" t="n"/>
      <c r="C42" s="30" t="n"/>
      <c r="D42" s="30" t="n"/>
      <c r="E42" s="30" t="n"/>
      <c r="F42" s="31" t="n"/>
      <c r="G42" s="32" t="n"/>
      <c r="H42" s="31" t="n"/>
      <c r="I42" s="30" t="n"/>
      <c r="J42" s="30" t="n"/>
      <c r="K42" s="30" t="n"/>
    </row>
    <row r="43">
      <c r="A43" s="30" t="n"/>
      <c r="B43" s="30" t="n"/>
      <c r="C43" s="30" t="n"/>
      <c r="D43" s="30" t="n"/>
      <c r="E43" s="30" t="n"/>
      <c r="F43" s="31" t="n"/>
      <c r="G43" s="32" t="n"/>
      <c r="H43" s="31" t="n"/>
      <c r="I43" s="30" t="n"/>
      <c r="J43" s="30" t="n"/>
      <c r="K43" s="30" t="n"/>
    </row>
    <row r="44">
      <c r="A44" s="30" t="n"/>
      <c r="B44" s="30" t="n"/>
      <c r="C44" s="30" t="n"/>
      <c r="D44" s="30" t="n"/>
      <c r="E44" s="30" t="n"/>
      <c r="F44" s="31" t="n"/>
      <c r="G44" s="32" t="n"/>
      <c r="H44" s="31" t="n"/>
      <c r="I44" s="30" t="n"/>
      <c r="J44" s="30" t="n"/>
      <c r="K44" s="30" t="n"/>
    </row>
    <row r="45">
      <c r="A45" s="30" t="n"/>
      <c r="B45" s="30" t="n"/>
      <c r="C45" s="30" t="n"/>
      <c r="D45" s="30" t="n"/>
      <c r="E45" s="30" t="n"/>
      <c r="F45" s="31" t="n"/>
      <c r="G45" s="32" t="n"/>
      <c r="H45" s="31" t="n"/>
      <c r="I45" s="30" t="n"/>
      <c r="J45" s="30" t="n"/>
      <c r="K45" s="30" t="n"/>
    </row>
    <row r="46">
      <c r="A46" s="30" t="n"/>
      <c r="B46" s="30" t="n"/>
      <c r="C46" s="30" t="n"/>
      <c r="D46" s="30" t="n"/>
      <c r="E46" s="30" t="n"/>
      <c r="F46" s="31" t="n"/>
      <c r="G46" s="32" t="n"/>
      <c r="H46" s="31" t="n"/>
      <c r="I46" s="30" t="n"/>
      <c r="J46" s="30" t="n"/>
      <c r="K46" s="30" t="n"/>
    </row>
    <row r="47">
      <c r="A47" s="30" t="n"/>
      <c r="B47" s="30" t="n"/>
      <c r="C47" s="30" t="n"/>
      <c r="D47" s="30" t="n"/>
      <c r="E47" s="30" t="n"/>
      <c r="F47" s="31" t="n"/>
      <c r="G47" s="32" t="n"/>
      <c r="H47" s="31" t="n"/>
      <c r="I47" s="30" t="n"/>
      <c r="J47" s="30" t="n"/>
      <c r="K47" s="30" t="n"/>
    </row>
    <row r="48">
      <c r="A48" s="30" t="n"/>
      <c r="B48" s="30" t="n"/>
      <c r="C48" s="30" t="n"/>
      <c r="D48" s="30" t="n"/>
      <c r="E48" s="30" t="n"/>
      <c r="F48" s="31" t="n"/>
      <c r="G48" s="32" t="n"/>
      <c r="H48" s="31" t="n"/>
      <c r="I48" s="30" t="n"/>
      <c r="J48" s="30" t="n"/>
      <c r="K48" s="30" t="n"/>
    </row>
    <row r="49">
      <c r="A49" s="30" t="n"/>
      <c r="B49" s="30" t="n"/>
      <c r="C49" s="30" t="n"/>
      <c r="D49" s="30" t="n"/>
      <c r="E49" s="30" t="n"/>
      <c r="F49" s="31" t="n"/>
      <c r="G49" s="32" t="n"/>
      <c r="H49" s="31" t="n"/>
      <c r="I49" s="30" t="n"/>
      <c r="J49" s="30" t="n"/>
      <c r="K49" s="30" t="n"/>
    </row>
    <row r="50">
      <c r="A50" s="30" t="n"/>
      <c r="B50" s="30" t="n"/>
      <c r="C50" s="30" t="n"/>
      <c r="D50" s="30" t="n"/>
      <c r="E50" s="30" t="n"/>
      <c r="F50" s="31" t="n"/>
      <c r="G50" s="32" t="n"/>
      <c r="H50" s="31" t="n"/>
      <c r="I50" s="30" t="n"/>
      <c r="J50" s="30" t="n"/>
      <c r="K50" s="30" t="n"/>
    </row>
    <row r="51">
      <c r="A51" s="30" t="n"/>
      <c r="B51" s="30" t="n"/>
      <c r="C51" s="30" t="n"/>
      <c r="D51" s="30" t="n"/>
      <c r="E51" s="30" t="n"/>
      <c r="F51" s="31" t="n"/>
      <c r="G51" s="32" t="n"/>
      <c r="H51" s="31" t="n"/>
      <c r="I51" s="30" t="n"/>
      <c r="J51" s="30" t="n"/>
      <c r="K51" s="30" t="n"/>
    </row>
    <row r="52">
      <c r="A52" s="30" t="n"/>
      <c r="B52" s="30" t="n"/>
      <c r="C52" s="30" t="n"/>
      <c r="D52" s="30" t="n"/>
      <c r="E52" s="30" t="n"/>
      <c r="F52" s="31" t="n"/>
      <c r="G52" s="32" t="n"/>
      <c r="H52" s="31" t="n"/>
      <c r="I52" s="30" t="n"/>
      <c r="J52" s="30" t="n"/>
      <c r="K52" s="30" t="n"/>
    </row>
    <row r="53">
      <c r="A53" s="30" t="n"/>
      <c r="B53" s="30" t="n"/>
      <c r="C53" s="30" t="n"/>
      <c r="D53" s="30" t="n"/>
      <c r="E53" s="30" t="n"/>
      <c r="F53" s="31" t="n"/>
      <c r="G53" s="32" t="n"/>
      <c r="H53" s="31" t="n"/>
      <c r="I53" s="30" t="n"/>
      <c r="J53" s="30" t="n"/>
      <c r="K53" s="30" t="n"/>
    </row>
    <row r="54">
      <c r="A54" s="30" t="n"/>
      <c r="B54" s="30" t="n"/>
      <c r="C54" s="30" t="n"/>
      <c r="D54" s="30" t="n"/>
      <c r="E54" s="30" t="n"/>
      <c r="F54" s="31" t="n"/>
      <c r="G54" s="32" t="n"/>
      <c r="H54" s="31" t="n"/>
      <c r="I54" s="30" t="n"/>
      <c r="J54" s="30" t="n"/>
      <c r="K54" s="30" t="n"/>
    </row>
    <row r="55">
      <c r="A55" s="30" t="n"/>
      <c r="B55" s="30" t="n"/>
      <c r="C55" s="30" t="n"/>
      <c r="D55" s="30" t="n"/>
      <c r="E55" s="30" t="n"/>
      <c r="F55" s="31" t="n"/>
      <c r="G55" s="32" t="n"/>
      <c r="H55" s="31" t="n"/>
      <c r="I55" s="30" t="n"/>
      <c r="J55" s="30" t="n"/>
      <c r="K55" s="30" t="n"/>
    </row>
    <row r="56">
      <c r="A56" s="30" t="n"/>
      <c r="B56" s="30" t="n"/>
      <c r="C56" s="30" t="n"/>
      <c r="D56" s="30" t="n"/>
      <c r="E56" s="30" t="n"/>
      <c r="F56" s="31" t="n"/>
      <c r="G56" s="32" t="n"/>
      <c r="H56" s="31" t="n"/>
      <c r="I56" s="30" t="n"/>
      <c r="J56" s="30" t="n"/>
      <c r="K56" s="30" t="n"/>
    </row>
    <row r="57">
      <c r="A57" s="30" t="n"/>
      <c r="B57" s="30" t="n"/>
      <c r="C57" s="30" t="n"/>
      <c r="D57" s="30" t="n"/>
      <c r="E57" s="30" t="n"/>
      <c r="F57" s="31" t="n"/>
      <c r="G57" s="32" t="n"/>
      <c r="H57" s="31" t="n"/>
      <c r="I57" s="30" t="n"/>
      <c r="J57" s="30" t="n"/>
      <c r="K57" s="30" t="n"/>
    </row>
    <row r="58">
      <c r="A58" s="30" t="n"/>
      <c r="B58" s="30" t="n"/>
      <c r="C58" s="30" t="n"/>
      <c r="D58" s="30" t="n"/>
      <c r="E58" s="30" t="n"/>
      <c r="F58" s="31" t="n"/>
      <c r="G58" s="32" t="n"/>
      <c r="H58" s="31" t="n"/>
      <c r="I58" s="30" t="n"/>
      <c r="J58" s="30" t="n"/>
      <c r="K58" s="30" t="n"/>
    </row>
    <row r="59">
      <c r="A59" s="30" t="n"/>
      <c r="B59" s="30" t="n"/>
      <c r="C59" s="30" t="n"/>
      <c r="D59" s="30" t="n"/>
      <c r="E59" s="30" t="n"/>
      <c r="F59" s="31" t="n"/>
      <c r="G59" s="32" t="n"/>
      <c r="H59" s="31" t="n"/>
      <c r="I59" s="30" t="n"/>
      <c r="J59" s="30" t="n"/>
      <c r="K59" s="30" t="n"/>
    </row>
    <row r="60">
      <c r="A60" s="30" t="n"/>
      <c r="B60" s="30" t="n"/>
      <c r="C60" s="30" t="n"/>
      <c r="D60" s="30" t="n"/>
      <c r="E60" s="30" t="n"/>
      <c r="F60" s="31" t="n"/>
      <c r="G60" s="32" t="n"/>
      <c r="H60" s="31" t="n"/>
      <c r="I60" s="30" t="n"/>
      <c r="J60" s="30" t="n"/>
      <c r="K60" s="30" t="n"/>
    </row>
    <row r="61">
      <c r="A61" s="30" t="n"/>
      <c r="B61" s="30" t="n"/>
      <c r="C61" s="30" t="n"/>
      <c r="D61" s="30" t="n"/>
      <c r="E61" s="30" t="n"/>
      <c r="F61" s="31" t="n"/>
      <c r="G61" s="32" t="n"/>
      <c r="H61" s="31" t="n"/>
      <c r="I61" s="30" t="n"/>
      <c r="J61" s="30" t="n"/>
      <c r="K61" s="30" t="n"/>
    </row>
    <row r="62">
      <c r="A62" s="30" t="n"/>
      <c r="B62" s="30" t="n"/>
      <c r="C62" s="30" t="n"/>
      <c r="D62" s="30" t="n"/>
      <c r="E62" s="30" t="n"/>
      <c r="F62" s="31" t="n"/>
      <c r="G62" s="32" t="n"/>
      <c r="H62" s="31" t="n"/>
      <c r="I62" s="30" t="n"/>
      <c r="J62" s="30" t="n"/>
      <c r="K62" s="30" t="n"/>
    </row>
    <row r="63">
      <c r="A63" s="30" t="n"/>
      <c r="B63" s="30" t="n"/>
      <c r="C63" s="30" t="n"/>
      <c r="D63" s="30" t="n"/>
      <c r="E63" s="30" t="n"/>
      <c r="F63" s="31" t="n"/>
      <c r="G63" s="32" t="n"/>
      <c r="H63" s="31" t="n"/>
      <c r="I63" s="30" t="n"/>
      <c r="J63" s="30" t="n"/>
      <c r="K63" s="30" t="n"/>
    </row>
    <row r="64">
      <c r="A64" s="30" t="n"/>
      <c r="B64" s="30" t="n"/>
      <c r="C64" s="30" t="n"/>
      <c r="D64" s="30" t="n"/>
      <c r="E64" s="30" t="n"/>
      <c r="F64" s="31" t="n"/>
      <c r="G64" s="32" t="n"/>
      <c r="H64" s="31" t="n"/>
      <c r="I64" s="30" t="n"/>
      <c r="J64" s="30" t="n"/>
      <c r="K64" s="30" t="n"/>
    </row>
    <row r="65">
      <c r="A65" s="30" t="n"/>
      <c r="B65" s="30" t="n"/>
      <c r="C65" s="30" t="n"/>
      <c r="D65" s="30" t="n"/>
      <c r="E65" s="30" t="n"/>
      <c r="F65" s="31" t="n"/>
      <c r="G65" s="32" t="n"/>
      <c r="H65" s="31" t="n"/>
      <c r="I65" s="30" t="n"/>
      <c r="J65" s="30" t="n"/>
      <c r="K65" s="30" t="n"/>
    </row>
    <row r="66">
      <c r="A66" s="30" t="n"/>
      <c r="B66" s="30" t="n"/>
      <c r="C66" s="30" t="n"/>
      <c r="D66" s="30" t="n"/>
      <c r="E66" s="30" t="n"/>
      <c r="F66" s="31" t="n"/>
      <c r="G66" s="32" t="n"/>
      <c r="H66" s="31" t="n"/>
      <c r="I66" s="30" t="n"/>
      <c r="J66" s="30" t="n"/>
      <c r="K66" s="30" t="n"/>
    </row>
    <row r="67">
      <c r="A67" s="30" t="n"/>
      <c r="B67" s="30" t="n"/>
      <c r="C67" s="30" t="n"/>
      <c r="D67" s="30" t="n"/>
      <c r="E67" s="30" t="n"/>
      <c r="F67" s="31" t="n"/>
      <c r="G67" s="32" t="n"/>
      <c r="H67" s="31" t="n"/>
      <c r="I67" s="30" t="n"/>
      <c r="J67" s="30" t="n"/>
      <c r="K67" s="30" t="n"/>
    </row>
    <row r="68">
      <c r="A68" s="30" t="n"/>
      <c r="B68" s="30" t="n"/>
      <c r="C68" s="30" t="n"/>
      <c r="D68" s="30" t="n"/>
      <c r="E68" s="30" t="n"/>
      <c r="F68" s="31" t="n"/>
      <c r="G68" s="32" t="n"/>
      <c r="H68" s="31" t="n"/>
      <c r="I68" s="30" t="n"/>
      <c r="J68" s="30" t="n"/>
      <c r="K68" s="30" t="n"/>
    </row>
    <row r="69">
      <c r="A69" s="30" t="n"/>
      <c r="B69" s="30" t="n"/>
      <c r="C69" s="30" t="n"/>
      <c r="D69" s="30" t="n"/>
      <c r="E69" s="30" t="n"/>
      <c r="F69" s="31" t="n"/>
      <c r="G69" s="32" t="n"/>
      <c r="H69" s="31" t="n"/>
      <c r="I69" s="30" t="n"/>
      <c r="J69" s="30" t="n"/>
      <c r="K69" s="30" t="n"/>
    </row>
    <row r="70">
      <c r="A70" s="30" t="n"/>
      <c r="B70" s="30" t="n"/>
      <c r="C70" s="30" t="n"/>
      <c r="D70" s="30" t="n"/>
      <c r="E70" s="30" t="n"/>
      <c r="F70" s="31" t="n"/>
      <c r="G70" s="32" t="n"/>
      <c r="H70" s="31" t="n"/>
      <c r="I70" s="30" t="n"/>
      <c r="J70" s="30" t="n"/>
      <c r="K70" s="30" t="n"/>
    </row>
    <row r="71">
      <c r="A71" s="30" t="n"/>
      <c r="B71" s="30" t="n"/>
      <c r="C71" s="30" t="n"/>
      <c r="D71" s="30" t="n"/>
      <c r="E71" s="30" t="n"/>
      <c r="F71" s="31" t="n"/>
      <c r="G71" s="32" t="n"/>
      <c r="H71" s="31" t="n"/>
      <c r="I71" s="30" t="n"/>
      <c r="J71" s="30" t="n"/>
      <c r="K71" s="30" t="n"/>
    </row>
    <row r="72">
      <c r="A72" s="30" t="n"/>
      <c r="B72" s="30" t="n"/>
      <c r="C72" s="30" t="n"/>
      <c r="D72" s="30" t="n"/>
      <c r="E72" s="30" t="n"/>
      <c r="F72" s="31" t="n"/>
      <c r="G72" s="32" t="n"/>
      <c r="H72" s="31" t="n"/>
      <c r="I72" s="30" t="n"/>
      <c r="J72" s="30" t="n"/>
      <c r="K72" s="30" t="n"/>
    </row>
    <row r="73">
      <c r="A73" s="30" t="n"/>
      <c r="B73" s="30" t="n"/>
      <c r="C73" s="30" t="n"/>
      <c r="D73" s="30" t="n"/>
      <c r="E73" s="30" t="n"/>
      <c r="F73" s="31" t="n"/>
      <c r="G73" s="32" t="n"/>
      <c r="H73" s="31" t="n"/>
      <c r="I73" s="30" t="n"/>
      <c r="J73" s="30" t="n"/>
      <c r="K73" s="30" t="n"/>
    </row>
    <row r="74">
      <c r="A74" s="30" t="n"/>
      <c r="B74" s="30" t="n"/>
      <c r="C74" s="30" t="n"/>
      <c r="D74" s="30" t="n"/>
      <c r="E74" s="30" t="n"/>
      <c r="F74" s="31" t="n"/>
      <c r="G74" s="32" t="n"/>
      <c r="H74" s="31" t="n"/>
      <c r="I74" s="30" t="n"/>
      <c r="J74" s="30" t="n"/>
      <c r="K74" s="30" t="n"/>
    </row>
    <row r="75">
      <c r="A75" s="30" t="n"/>
      <c r="B75" s="30" t="n"/>
      <c r="C75" s="30" t="n"/>
      <c r="D75" s="30" t="n"/>
      <c r="E75" s="30" t="n"/>
      <c r="F75" s="31" t="n"/>
      <c r="G75" s="32" t="n"/>
      <c r="H75" s="31" t="n"/>
      <c r="I75" s="30" t="n"/>
      <c r="J75" s="30" t="n"/>
      <c r="K75" s="30" t="n"/>
    </row>
    <row r="76">
      <c r="A76" s="30" t="n"/>
      <c r="B76" s="30" t="n"/>
      <c r="C76" s="30" t="n"/>
      <c r="D76" s="30" t="n"/>
      <c r="E76" s="30" t="n"/>
      <c r="F76" s="31" t="n"/>
      <c r="G76" s="32" t="n"/>
      <c r="H76" s="31" t="n"/>
      <c r="I76" s="30" t="n"/>
      <c r="J76" s="30" t="n"/>
      <c r="K76" s="30" t="n"/>
    </row>
    <row r="77">
      <c r="A77" s="30" t="n"/>
      <c r="B77" s="30" t="n"/>
      <c r="C77" s="30" t="n"/>
      <c r="D77" s="30" t="n"/>
      <c r="E77" s="30" t="n"/>
      <c r="F77" s="31" t="n"/>
      <c r="G77" s="32" t="n"/>
      <c r="H77" s="31" t="n"/>
      <c r="I77" s="30" t="n"/>
      <c r="J77" s="30" t="n"/>
      <c r="K77" s="30" t="n"/>
    </row>
    <row r="78">
      <c r="A78" s="30" t="n"/>
      <c r="B78" s="30" t="n"/>
      <c r="C78" s="30" t="n"/>
      <c r="D78" s="30" t="n"/>
      <c r="E78" s="30" t="n"/>
      <c r="F78" s="31" t="n"/>
      <c r="G78" s="32" t="n"/>
      <c r="H78" s="31" t="n"/>
      <c r="I78" s="30" t="n"/>
      <c r="J78" s="30" t="n"/>
      <c r="K78" s="30" t="n"/>
    </row>
    <row r="79">
      <c r="A79" s="30" t="n"/>
      <c r="B79" s="30" t="n"/>
      <c r="C79" s="30" t="n"/>
      <c r="D79" s="30" t="n"/>
      <c r="E79" s="30" t="n"/>
      <c r="F79" s="31" t="n"/>
      <c r="G79" s="32" t="n"/>
      <c r="H79" s="31" t="n"/>
      <c r="I79" s="30" t="n"/>
      <c r="J79" s="30" t="n"/>
      <c r="K79" s="30" t="n"/>
    </row>
    <row r="80">
      <c r="A80" s="30" t="n"/>
      <c r="B80" s="30" t="n"/>
      <c r="C80" s="30" t="n"/>
      <c r="D80" s="30" t="n"/>
      <c r="E80" s="30" t="n"/>
      <c r="F80" s="31" t="n"/>
      <c r="G80" s="32" t="n"/>
      <c r="H80" s="31" t="n"/>
      <c r="I80" s="30" t="n"/>
      <c r="J80" s="30" t="n"/>
      <c r="K80" s="30" t="n"/>
    </row>
    <row r="81">
      <c r="A81" s="30" t="n"/>
      <c r="B81" s="30" t="n"/>
      <c r="C81" s="30" t="n"/>
      <c r="D81" s="30" t="n"/>
      <c r="E81" s="30" t="n"/>
      <c r="F81" s="31" t="n"/>
      <c r="G81" s="32" t="n"/>
      <c r="H81" s="31" t="n"/>
      <c r="I81" s="30" t="n"/>
      <c r="J81" s="30" t="n"/>
      <c r="K81" s="30" t="n"/>
    </row>
    <row r="82">
      <c r="A82" s="30" t="n"/>
      <c r="B82" s="30" t="n"/>
      <c r="C82" s="30" t="n"/>
      <c r="D82" s="30" t="n"/>
      <c r="E82" s="30" t="n"/>
      <c r="F82" s="31" t="n"/>
      <c r="G82" s="32" t="n"/>
      <c r="H82" s="31" t="n"/>
      <c r="I82" s="30" t="n"/>
      <c r="J82" s="30" t="n"/>
      <c r="K82" s="30" t="n"/>
    </row>
    <row r="83">
      <c r="A83" s="30" t="n"/>
      <c r="B83" s="30" t="n"/>
      <c r="C83" s="30" t="n"/>
      <c r="D83" s="30" t="n"/>
      <c r="E83" s="30" t="n"/>
      <c r="F83" s="31" t="n"/>
      <c r="G83" s="32" t="n"/>
      <c r="H83" s="31" t="n"/>
      <c r="I83" s="30" t="n"/>
      <c r="J83" s="30" t="n"/>
      <c r="K83" s="30" t="n"/>
    </row>
    <row r="84">
      <c r="A84" s="30" t="n"/>
      <c r="B84" s="30" t="n"/>
      <c r="C84" s="30" t="n"/>
      <c r="D84" s="30" t="n"/>
      <c r="E84" s="30" t="n"/>
      <c r="F84" s="31" t="n"/>
      <c r="G84" s="32" t="n"/>
      <c r="H84" s="31" t="n"/>
      <c r="I84" s="30" t="n"/>
      <c r="J84" s="30" t="n"/>
      <c r="K84" s="30" t="n"/>
    </row>
    <row r="85">
      <c r="A85" s="30" t="n"/>
      <c r="B85" s="30" t="n"/>
      <c r="C85" s="30" t="n"/>
      <c r="D85" s="30" t="n"/>
      <c r="E85" s="30" t="n"/>
      <c r="F85" s="31" t="n"/>
      <c r="G85" s="32" t="n"/>
      <c r="H85" s="31" t="n"/>
      <c r="I85" s="30" t="n"/>
      <c r="J85" s="30" t="n"/>
      <c r="K85" s="30" t="n"/>
    </row>
    <row r="86">
      <c r="A86" s="30" t="n"/>
      <c r="B86" s="30" t="n"/>
      <c r="C86" s="30" t="n"/>
      <c r="D86" s="30" t="n"/>
      <c r="E86" s="30" t="n"/>
      <c r="F86" s="31" t="n"/>
      <c r="G86" s="32" t="n"/>
      <c r="H86" s="31" t="n"/>
      <c r="I86" s="30" t="n"/>
      <c r="J86" s="30" t="n"/>
      <c r="K86" s="30" t="n"/>
    </row>
    <row r="87">
      <c r="A87" s="30" t="n"/>
      <c r="B87" s="30" t="n"/>
      <c r="C87" s="30" t="n"/>
      <c r="D87" s="30" t="n"/>
      <c r="E87" s="30" t="n"/>
      <c r="F87" s="31" t="n"/>
      <c r="G87" s="32" t="n"/>
      <c r="H87" s="31" t="n"/>
      <c r="I87" s="30" t="n"/>
      <c r="J87" s="30" t="n"/>
      <c r="K87" s="30" t="n"/>
    </row>
    <row r="88">
      <c r="A88" s="30" t="n"/>
      <c r="B88" s="30" t="n"/>
      <c r="C88" s="30" t="n"/>
      <c r="D88" s="30" t="n"/>
      <c r="E88" s="30" t="n"/>
      <c r="F88" s="31" t="n"/>
      <c r="G88" s="32" t="n"/>
      <c r="H88" s="31" t="n"/>
      <c r="I88" s="30" t="n"/>
      <c r="J88" s="30" t="n"/>
      <c r="K88" s="30" t="n"/>
    </row>
    <row r="89">
      <c r="A89" s="30" t="n"/>
      <c r="B89" s="30" t="n"/>
      <c r="C89" s="30" t="n"/>
      <c r="D89" s="30" t="n"/>
      <c r="E89" s="30" t="n"/>
      <c r="F89" s="31" t="n"/>
      <c r="G89" s="32" t="n"/>
      <c r="H89" s="31" t="n"/>
      <c r="I89" s="30" t="n"/>
      <c r="J89" s="30" t="n"/>
      <c r="K89" s="30" t="n"/>
    </row>
    <row r="90">
      <c r="A90" s="30" t="n"/>
      <c r="B90" s="30" t="n"/>
      <c r="C90" s="30" t="n"/>
      <c r="D90" s="30" t="n"/>
      <c r="E90" s="30" t="n"/>
      <c r="F90" s="31" t="n"/>
      <c r="G90" s="32" t="n"/>
      <c r="H90" s="31" t="n"/>
      <c r="I90" s="30" t="n"/>
      <c r="J90" s="30" t="n"/>
      <c r="K90" s="30" t="n"/>
    </row>
    <row r="91">
      <c r="A91" s="30" t="n"/>
      <c r="B91" s="30" t="n"/>
      <c r="C91" s="30" t="n"/>
      <c r="D91" s="30" t="n"/>
      <c r="E91" s="30" t="n"/>
      <c r="F91" s="31" t="n"/>
      <c r="G91" s="32" t="n"/>
      <c r="H91" s="31" t="n"/>
      <c r="I91" s="30" t="n"/>
      <c r="J91" s="30" t="n"/>
      <c r="K91" s="30" t="n"/>
    </row>
    <row r="92">
      <c r="A92" s="30" t="n"/>
      <c r="B92" s="30" t="n"/>
      <c r="C92" s="30" t="n"/>
      <c r="D92" s="30" t="n"/>
      <c r="E92" s="30" t="n"/>
      <c r="F92" s="31" t="n"/>
      <c r="G92" s="32" t="n"/>
      <c r="H92" s="31" t="n"/>
      <c r="I92" s="30" t="n"/>
      <c r="J92" s="30" t="n"/>
      <c r="K92" s="30" t="n"/>
    </row>
    <row r="93">
      <c r="A93" s="30" t="n"/>
      <c r="B93" s="30" t="n"/>
      <c r="C93" s="30" t="n"/>
      <c r="D93" s="30" t="n"/>
      <c r="E93" s="30" t="n"/>
      <c r="F93" s="31" t="n"/>
      <c r="G93" s="32" t="n"/>
      <c r="H93" s="31" t="n"/>
      <c r="I93" s="30" t="n"/>
      <c r="J93" s="30" t="n"/>
      <c r="K93" s="30" t="n"/>
    </row>
    <row r="94">
      <c r="A94" s="30" t="n"/>
      <c r="B94" s="30" t="n"/>
      <c r="C94" s="30" t="n"/>
      <c r="D94" s="30" t="n"/>
      <c r="E94" s="30" t="n"/>
      <c r="F94" s="31" t="n"/>
      <c r="G94" s="32" t="n"/>
      <c r="H94" s="31" t="n"/>
      <c r="I94" s="30" t="n"/>
      <c r="J94" s="30" t="n"/>
      <c r="K94" s="30" t="n"/>
    </row>
    <row r="95">
      <c r="A95" s="30" t="n"/>
      <c r="B95" s="30" t="n"/>
      <c r="C95" s="30" t="n"/>
      <c r="D95" s="30" t="n"/>
      <c r="E95" s="30" t="n"/>
      <c r="F95" s="31" t="n"/>
      <c r="G95" s="32" t="n"/>
      <c r="H95" s="31" t="n"/>
      <c r="I95" s="30" t="n"/>
      <c r="J95" s="30" t="n"/>
      <c r="K95" s="30" t="n"/>
    </row>
    <row r="96">
      <c r="A96" s="30" t="n"/>
      <c r="B96" s="30" t="n"/>
      <c r="C96" s="30" t="n"/>
      <c r="D96" s="30" t="n"/>
      <c r="E96" s="30" t="n"/>
      <c r="F96" s="31" t="n"/>
      <c r="G96" s="32" t="n"/>
      <c r="H96" s="31" t="n"/>
      <c r="I96" s="30" t="n"/>
      <c r="J96" s="30" t="n"/>
      <c r="K96" s="30" t="n"/>
    </row>
    <row r="97">
      <c r="A97" s="30" t="n"/>
      <c r="B97" s="30" t="n"/>
      <c r="C97" s="30" t="n"/>
      <c r="D97" s="30" t="n"/>
      <c r="E97" s="30" t="n"/>
      <c r="F97" s="31" t="n"/>
      <c r="G97" s="32" t="n"/>
      <c r="H97" s="31" t="n"/>
      <c r="I97" s="30" t="n"/>
      <c r="J97" s="30" t="n"/>
      <c r="K97" s="30" t="n"/>
    </row>
    <row r="98">
      <c r="A98" s="30" t="n"/>
      <c r="B98" s="30" t="n"/>
      <c r="C98" s="30" t="n"/>
      <c r="D98" s="30" t="n"/>
      <c r="E98" s="30" t="n"/>
      <c r="F98" s="31" t="n"/>
      <c r="G98" s="32" t="n"/>
      <c r="H98" s="31" t="n"/>
      <c r="I98" s="30" t="n"/>
      <c r="J98" s="30" t="n"/>
      <c r="K98" s="30" t="n"/>
    </row>
    <row r="99">
      <c r="A99" s="30" t="n"/>
      <c r="B99" s="30" t="n"/>
      <c r="C99" s="30" t="n"/>
      <c r="D99" s="30" t="n"/>
      <c r="E99" s="30" t="n"/>
      <c r="F99" s="31" t="n"/>
      <c r="G99" s="32" t="n"/>
      <c r="H99" s="31" t="n"/>
      <c r="I99" s="30" t="n"/>
      <c r="J99" s="30" t="n"/>
      <c r="K99" s="30" t="n"/>
    </row>
    <row r="100">
      <c r="A100" s="30" t="n"/>
      <c r="B100" s="30" t="n"/>
      <c r="C100" s="30" t="n"/>
      <c r="D100" s="30" t="n"/>
      <c r="E100" s="30" t="n"/>
      <c r="F100" s="31" t="n"/>
      <c r="G100" s="32" t="n"/>
      <c r="H100" s="31" t="n"/>
      <c r="I100" s="30" t="n"/>
      <c r="J100" s="30" t="n"/>
      <c r="K100" s="30" t="n"/>
    </row>
    <row r="101">
      <c r="A101" s="30" t="n"/>
      <c r="B101" s="30" t="n"/>
      <c r="C101" s="30" t="n"/>
      <c r="D101" s="30" t="n"/>
      <c r="E101" s="30" t="n"/>
      <c r="F101" s="31" t="n"/>
      <c r="G101" s="32" t="n"/>
      <c r="H101" s="31" t="n"/>
      <c r="I101" s="30" t="n"/>
      <c r="J101" s="30" t="n"/>
      <c r="K101" s="30" t="n"/>
    </row>
    <row r="102">
      <c r="A102" s="30" t="n"/>
      <c r="B102" s="30" t="n"/>
      <c r="C102" s="30" t="n"/>
      <c r="D102" s="30" t="n"/>
      <c r="E102" s="30" t="n"/>
      <c r="F102" s="31" t="n"/>
      <c r="G102" s="32" t="n"/>
      <c r="H102" s="31" t="n"/>
      <c r="I102" s="30" t="n"/>
      <c r="J102" s="30" t="n"/>
      <c r="K102" s="30" t="n"/>
    </row>
    <row r="103">
      <c r="A103" s="30" t="n"/>
      <c r="B103" s="30" t="n"/>
      <c r="C103" s="30" t="n"/>
      <c r="D103" s="30" t="n"/>
      <c r="E103" s="30" t="n"/>
      <c r="F103" s="31" t="n"/>
      <c r="G103" s="32" t="n"/>
      <c r="H103" s="31" t="n"/>
      <c r="I103" s="30" t="n"/>
      <c r="J103" s="30" t="n"/>
      <c r="K103" s="30" t="n"/>
    </row>
    <row r="104">
      <c r="A104" s="30" t="n"/>
      <c r="B104" s="30" t="n"/>
      <c r="C104" s="30" t="n"/>
      <c r="D104" s="30" t="n"/>
      <c r="E104" s="30" t="n"/>
      <c r="F104" s="31" t="n"/>
      <c r="G104" s="32" t="n"/>
      <c r="H104" s="31" t="n"/>
      <c r="I104" s="30" t="n"/>
      <c r="J104" s="30" t="n"/>
      <c r="K104" s="30" t="n"/>
    </row>
    <row r="105">
      <c r="A105" s="30" t="n"/>
      <c r="B105" s="30" t="n"/>
      <c r="C105" s="30" t="n"/>
      <c r="D105" s="30" t="n"/>
      <c r="E105" s="30" t="n"/>
      <c r="F105" s="31" t="n"/>
      <c r="G105" s="32" t="n"/>
      <c r="H105" s="31" t="n"/>
      <c r="I105" s="30" t="n"/>
      <c r="J105" s="30" t="n"/>
      <c r="K105" s="30" t="n"/>
    </row>
    <row r="106">
      <c r="A106" s="30" t="n"/>
      <c r="B106" s="30" t="n"/>
      <c r="C106" s="30" t="n"/>
      <c r="D106" s="30" t="n"/>
      <c r="E106" s="30" t="n"/>
      <c r="F106" s="31" t="n"/>
      <c r="G106" s="32" t="n"/>
      <c r="H106" s="31" t="n"/>
      <c r="I106" s="30" t="n"/>
      <c r="J106" s="30" t="n"/>
      <c r="K106" s="30" t="n"/>
    </row>
    <row r="107">
      <c r="A107" s="30" t="n"/>
      <c r="B107" s="30" t="n"/>
      <c r="C107" s="30" t="n"/>
      <c r="D107" s="30" t="n"/>
      <c r="E107" s="30" t="n"/>
      <c r="F107" s="31" t="n"/>
      <c r="G107" s="32" t="n"/>
      <c r="H107" s="31" t="n"/>
      <c r="I107" s="30" t="n"/>
      <c r="J107" s="30" t="n"/>
      <c r="K107" s="30" t="n"/>
    </row>
    <row r="108">
      <c r="A108" s="30" t="n"/>
      <c r="B108" s="30" t="n"/>
      <c r="C108" s="30" t="n"/>
      <c r="D108" s="30" t="n"/>
      <c r="E108" s="30" t="n"/>
      <c r="F108" s="31" t="n"/>
      <c r="G108" s="32" t="n"/>
      <c r="H108" s="31" t="n"/>
      <c r="I108" s="30" t="n"/>
      <c r="J108" s="30" t="n"/>
      <c r="K108" s="30" t="n"/>
    </row>
    <row r="109">
      <c r="A109" s="30" t="n"/>
      <c r="B109" s="30" t="n"/>
      <c r="C109" s="30" t="n"/>
      <c r="D109" s="30" t="n"/>
      <c r="E109" s="30" t="n"/>
      <c r="F109" s="31" t="n"/>
      <c r="G109" s="32" t="n"/>
      <c r="H109" s="31" t="n"/>
      <c r="I109" s="30" t="n"/>
      <c r="J109" s="30" t="n"/>
      <c r="K109" s="30" t="n"/>
    </row>
    <row r="110">
      <c r="A110" s="30" t="n"/>
      <c r="B110" s="30" t="n"/>
      <c r="C110" s="30" t="n"/>
      <c r="D110" s="30" t="n"/>
      <c r="E110" s="30" t="n"/>
      <c r="F110" s="31" t="n"/>
      <c r="G110" s="32" t="n"/>
      <c r="H110" s="31" t="n"/>
      <c r="I110" s="30" t="n"/>
      <c r="J110" s="30" t="n"/>
      <c r="K110" s="30" t="n"/>
    </row>
    <row r="111">
      <c r="A111" s="30" t="n"/>
      <c r="B111" s="30" t="n"/>
      <c r="C111" s="30" t="n"/>
      <c r="D111" s="30" t="n"/>
      <c r="E111" s="30" t="n"/>
      <c r="F111" s="31" t="n"/>
      <c r="G111" s="32" t="n"/>
      <c r="H111" s="31" t="n"/>
      <c r="I111" s="30" t="n"/>
      <c r="J111" s="30" t="n"/>
      <c r="K111" s="30" t="n"/>
    </row>
    <row r="112">
      <c r="A112" s="30" t="n"/>
      <c r="B112" s="30" t="n"/>
      <c r="C112" s="30" t="n"/>
      <c r="D112" s="30" t="n"/>
      <c r="E112" s="30" t="n"/>
      <c r="F112" s="31" t="n"/>
      <c r="G112" s="32" t="n"/>
      <c r="H112" s="31" t="n"/>
      <c r="I112" s="30" t="n"/>
      <c r="J112" s="30" t="n"/>
      <c r="K112" s="30" t="n"/>
    </row>
    <row r="113">
      <c r="A113" s="30" t="n"/>
      <c r="B113" s="30" t="n"/>
      <c r="C113" s="30" t="n"/>
      <c r="D113" s="30" t="n"/>
      <c r="E113" s="30" t="n"/>
      <c r="F113" s="31" t="n"/>
      <c r="G113" s="32" t="n"/>
      <c r="H113" s="31" t="n"/>
      <c r="I113" s="30" t="n"/>
      <c r="J113" s="30" t="n"/>
      <c r="K113" s="30" t="n"/>
    </row>
    <row r="114">
      <c r="A114" s="30" t="n"/>
      <c r="B114" s="30" t="n"/>
      <c r="C114" s="30" t="n"/>
      <c r="D114" s="30" t="n"/>
      <c r="E114" s="30" t="n"/>
      <c r="F114" s="31" t="n"/>
      <c r="G114" s="32" t="n"/>
      <c r="H114" s="31" t="n"/>
      <c r="I114" s="30" t="n"/>
      <c r="J114" s="30" t="n"/>
      <c r="K114" s="30" t="n"/>
    </row>
    <row r="115">
      <c r="A115" s="30" t="n"/>
      <c r="B115" s="30" t="n"/>
      <c r="C115" s="30" t="n"/>
      <c r="D115" s="30" t="n"/>
      <c r="E115" s="30" t="n"/>
      <c r="F115" s="31" t="n"/>
      <c r="G115" s="32" t="n"/>
      <c r="H115" s="31" t="n"/>
      <c r="I115" s="30" t="n"/>
      <c r="J115" s="30" t="n"/>
      <c r="K115" s="30" t="n"/>
    </row>
    <row r="116">
      <c r="A116" s="30" t="n"/>
      <c r="B116" s="30" t="n"/>
      <c r="C116" s="30" t="n"/>
      <c r="D116" s="30" t="n"/>
      <c r="E116" s="30" t="n"/>
      <c r="F116" s="31" t="n"/>
      <c r="G116" s="32" t="n"/>
      <c r="H116" s="31" t="n"/>
      <c r="I116" s="30" t="n"/>
      <c r="J116" s="30" t="n"/>
      <c r="K116" s="30" t="n"/>
    </row>
    <row r="117">
      <c r="A117" s="30" t="n"/>
      <c r="B117" s="30" t="n"/>
      <c r="C117" s="30" t="n"/>
      <c r="D117" s="30" t="n"/>
      <c r="E117" s="30" t="n"/>
      <c r="F117" s="31" t="n"/>
      <c r="G117" s="32" t="n"/>
      <c r="H117" s="31" t="n"/>
      <c r="I117" s="30" t="n"/>
      <c r="J117" s="30" t="n"/>
      <c r="K117" s="30" t="n"/>
    </row>
    <row r="118">
      <c r="A118" s="30" t="n"/>
      <c r="B118" s="30" t="n"/>
      <c r="C118" s="30" t="n"/>
      <c r="D118" s="30" t="n"/>
      <c r="E118" s="30" t="n"/>
      <c r="F118" s="31" t="n"/>
      <c r="G118" s="32" t="n"/>
      <c r="H118" s="31" t="n"/>
      <c r="I118" s="30" t="n"/>
      <c r="J118" s="30" t="n"/>
      <c r="K118" s="30" t="n"/>
    </row>
    <row r="119">
      <c r="A119" s="30" t="n"/>
      <c r="B119" s="30" t="n"/>
      <c r="C119" s="30" t="n"/>
      <c r="D119" s="30" t="n"/>
      <c r="E119" s="30" t="n"/>
      <c r="F119" s="31" t="n"/>
      <c r="G119" s="32" t="n"/>
      <c r="H119" s="31" t="n"/>
      <c r="I119" s="30" t="n"/>
      <c r="J119" s="30" t="n"/>
      <c r="K119" s="30" t="n"/>
    </row>
    <row r="120">
      <c r="A120" s="30" t="n"/>
      <c r="B120" s="30" t="n"/>
      <c r="C120" s="30" t="n"/>
      <c r="D120" s="30" t="n"/>
      <c r="E120" s="30" t="n"/>
      <c r="F120" s="31" t="n"/>
      <c r="G120" s="32" t="n"/>
      <c r="H120" s="31" t="n"/>
      <c r="I120" s="30" t="n"/>
      <c r="J120" s="30" t="n"/>
      <c r="K120" s="30" t="n"/>
    </row>
    <row r="121">
      <c r="A121" s="30" t="n"/>
      <c r="B121" s="30" t="n"/>
      <c r="C121" s="30" t="n"/>
      <c r="D121" s="30" t="n"/>
      <c r="E121" s="30" t="n"/>
      <c r="F121" s="31" t="n"/>
      <c r="G121" s="32" t="n"/>
      <c r="H121" s="31" t="n"/>
      <c r="I121" s="30" t="n"/>
      <c r="J121" s="30" t="n"/>
      <c r="K121" s="30" t="n"/>
    </row>
    <row r="122">
      <c r="A122" s="30" t="n"/>
      <c r="B122" s="30" t="n"/>
      <c r="C122" s="30" t="n"/>
      <c r="D122" s="30" t="n"/>
      <c r="E122" s="30" t="n"/>
      <c r="F122" s="31" t="n"/>
      <c r="G122" s="32" t="n"/>
      <c r="H122" s="31" t="n"/>
      <c r="I122" s="30" t="n"/>
      <c r="J122" s="30" t="n"/>
      <c r="K122" s="30" t="n"/>
    </row>
    <row r="123">
      <c r="A123" s="30" t="n"/>
      <c r="B123" s="30" t="n"/>
      <c r="C123" s="30" t="n"/>
      <c r="D123" s="30" t="n"/>
      <c r="E123" s="30" t="n"/>
      <c r="F123" s="31" t="n"/>
      <c r="G123" s="32" t="n"/>
      <c r="H123" s="31" t="n"/>
      <c r="I123" s="30" t="n"/>
      <c r="J123" s="30" t="n"/>
      <c r="K123" s="30" t="n"/>
    </row>
    <row r="124">
      <c r="A124" s="30" t="n"/>
      <c r="B124" s="30" t="n"/>
      <c r="C124" s="30" t="n"/>
      <c r="D124" s="30" t="n"/>
      <c r="E124" s="30" t="n"/>
      <c r="F124" s="31" t="n"/>
      <c r="G124" s="32" t="n"/>
      <c r="H124" s="31" t="n"/>
      <c r="I124" s="30" t="n"/>
      <c r="J124" s="30" t="n"/>
      <c r="K124" s="30" t="n"/>
    </row>
    <row r="125">
      <c r="A125" s="30" t="n"/>
      <c r="B125" s="30" t="n"/>
      <c r="C125" s="30" t="n"/>
      <c r="D125" s="30" t="n"/>
      <c r="E125" s="30" t="n"/>
      <c r="F125" s="31" t="n"/>
      <c r="G125" s="32" t="n"/>
      <c r="H125" s="31" t="n"/>
      <c r="I125" s="30" t="n"/>
      <c r="J125" s="30" t="n"/>
      <c r="K125" s="30" t="n"/>
    </row>
    <row r="126">
      <c r="A126" s="30" t="n"/>
      <c r="B126" s="30" t="n"/>
      <c r="C126" s="30" t="n"/>
      <c r="D126" s="30" t="n"/>
      <c r="E126" s="30" t="n"/>
      <c r="F126" s="31" t="n"/>
      <c r="G126" s="32" t="n"/>
      <c r="H126" s="31" t="n"/>
      <c r="I126" s="30" t="n"/>
      <c r="J126" s="30" t="n"/>
      <c r="K126" s="30" t="n"/>
    </row>
    <row r="127">
      <c r="A127" s="30" t="n"/>
      <c r="B127" s="30" t="n"/>
      <c r="C127" s="30" t="n"/>
      <c r="D127" s="30" t="n"/>
      <c r="E127" s="30" t="n"/>
      <c r="F127" s="31" t="n"/>
      <c r="G127" s="32" t="n"/>
      <c r="H127" s="31" t="n"/>
      <c r="I127" s="30" t="n"/>
      <c r="J127" s="30" t="n"/>
      <c r="K127" s="30" t="n"/>
    </row>
    <row r="128">
      <c r="A128" s="30" t="n"/>
      <c r="B128" s="30" t="n"/>
      <c r="C128" s="30" t="n"/>
      <c r="D128" s="30" t="n"/>
      <c r="E128" s="30" t="n"/>
      <c r="F128" s="31" t="n"/>
      <c r="G128" s="32" t="n"/>
      <c r="H128" s="31" t="n"/>
      <c r="I128" s="30" t="n"/>
      <c r="J128" s="30" t="n"/>
      <c r="K128" s="30" t="n"/>
    </row>
    <row r="129">
      <c r="A129" s="30" t="n"/>
      <c r="B129" s="30" t="n"/>
      <c r="C129" s="30" t="n"/>
      <c r="D129" s="30" t="n"/>
      <c r="E129" s="30" t="n"/>
      <c r="F129" s="31" t="n"/>
      <c r="G129" s="32" t="n"/>
      <c r="H129" s="31" t="n"/>
      <c r="I129" s="30" t="n"/>
      <c r="J129" s="30" t="n"/>
      <c r="K129" s="30" t="n"/>
    </row>
    <row r="130">
      <c r="A130" s="30" t="n"/>
      <c r="B130" s="30" t="n"/>
      <c r="C130" s="30" t="n"/>
      <c r="D130" s="30" t="n"/>
      <c r="E130" s="30" t="n"/>
      <c r="F130" s="31" t="n"/>
      <c r="G130" s="32" t="n"/>
      <c r="H130" s="31" t="n"/>
      <c r="I130" s="30" t="n"/>
      <c r="J130" s="30" t="n"/>
      <c r="K130" s="30" t="n"/>
    </row>
    <row r="131">
      <c r="A131" s="30" t="n"/>
      <c r="B131" s="30" t="n"/>
      <c r="C131" s="30" t="n"/>
      <c r="D131" s="30" t="n"/>
      <c r="E131" s="30" t="n"/>
      <c r="F131" s="31" t="n"/>
      <c r="G131" s="32" t="n"/>
      <c r="H131" s="31" t="n"/>
      <c r="I131" s="30" t="n"/>
      <c r="J131" s="30" t="n"/>
      <c r="K131" s="30" t="n"/>
    </row>
    <row r="132">
      <c r="A132" s="30" t="n"/>
      <c r="B132" s="30" t="n"/>
      <c r="C132" s="30" t="n"/>
      <c r="D132" s="30" t="n"/>
      <c r="E132" s="30" t="n"/>
      <c r="F132" s="31" t="n"/>
      <c r="G132" s="32" t="n"/>
      <c r="H132" s="31" t="n"/>
      <c r="I132" s="30" t="n"/>
      <c r="J132" s="30" t="n"/>
      <c r="K132" s="30" t="n"/>
    </row>
    <row r="133">
      <c r="A133" s="30" t="n"/>
      <c r="B133" s="30" t="n"/>
      <c r="C133" s="30" t="n"/>
      <c r="D133" s="30" t="n"/>
      <c r="E133" s="30" t="n"/>
      <c r="F133" s="31" t="n"/>
      <c r="G133" s="32" t="n"/>
      <c r="H133" s="31" t="n"/>
      <c r="I133" s="30" t="n"/>
      <c r="J133" s="30" t="n"/>
      <c r="K133" s="30" t="n"/>
    </row>
    <row r="134">
      <c r="A134" s="30" t="n"/>
      <c r="B134" s="30" t="n"/>
      <c r="C134" s="30" t="n"/>
      <c r="D134" s="30" t="n"/>
      <c r="E134" s="30" t="n"/>
      <c r="F134" s="31" t="n"/>
      <c r="G134" s="32" t="n"/>
      <c r="H134" s="31" t="n"/>
      <c r="I134" s="30" t="n"/>
      <c r="J134" s="30" t="n"/>
      <c r="K134" s="30" t="n"/>
    </row>
    <row r="135">
      <c r="A135" s="30" t="n"/>
      <c r="B135" s="30" t="n"/>
      <c r="C135" s="30" t="n"/>
      <c r="D135" s="30" t="n"/>
      <c r="E135" s="30" t="n"/>
      <c r="F135" s="31" t="n"/>
      <c r="G135" s="32" t="n"/>
      <c r="H135" s="31" t="n"/>
      <c r="I135" s="30" t="n"/>
      <c r="J135" s="30" t="n"/>
      <c r="K135" s="30" t="n"/>
    </row>
    <row r="136">
      <c r="A136" s="30" t="n"/>
      <c r="B136" s="30" t="n"/>
      <c r="C136" s="30" t="n"/>
      <c r="D136" s="30" t="n"/>
      <c r="E136" s="30" t="n"/>
      <c r="F136" s="31" t="n"/>
      <c r="G136" s="32" t="n"/>
      <c r="H136" s="31" t="n"/>
      <c r="I136" s="30" t="n"/>
      <c r="J136" s="30" t="n"/>
      <c r="K136" s="30" t="n"/>
    </row>
    <row r="137">
      <c r="A137" s="30" t="n"/>
      <c r="B137" s="30" t="n"/>
      <c r="C137" s="30" t="n"/>
      <c r="D137" s="30" t="n"/>
      <c r="E137" s="30" t="n"/>
      <c r="F137" s="31" t="n"/>
      <c r="G137" s="32" t="n"/>
      <c r="H137" s="31" t="n"/>
      <c r="I137" s="30" t="n"/>
      <c r="J137" s="30" t="n"/>
      <c r="K137" s="30" t="n"/>
    </row>
    <row r="138">
      <c r="A138" s="30" t="n"/>
      <c r="B138" s="30" t="n"/>
      <c r="C138" s="30" t="n"/>
      <c r="D138" s="30" t="n"/>
      <c r="E138" s="30" t="n"/>
      <c r="F138" s="31" t="n"/>
      <c r="G138" s="32" t="n"/>
      <c r="H138" s="31" t="n"/>
      <c r="I138" s="30" t="n"/>
      <c r="J138" s="30" t="n"/>
      <c r="K138" s="30" t="n"/>
    </row>
    <row r="139">
      <c r="A139" s="30" t="n"/>
      <c r="B139" s="30" t="n"/>
      <c r="C139" s="30" t="n"/>
      <c r="D139" s="30" t="n"/>
      <c r="E139" s="30" t="n"/>
      <c r="F139" s="31" t="n"/>
      <c r="G139" s="32" t="n"/>
      <c r="H139" s="31" t="n"/>
      <c r="I139" s="30" t="n"/>
      <c r="J139" s="30" t="n"/>
      <c r="K139" s="30" t="n"/>
    </row>
    <row r="140">
      <c r="A140" s="30" t="n"/>
      <c r="B140" s="30" t="n"/>
      <c r="C140" s="30" t="n"/>
      <c r="D140" s="30" t="n"/>
      <c r="E140" s="30" t="n"/>
      <c r="F140" s="31" t="n"/>
      <c r="G140" s="32" t="n"/>
      <c r="H140" s="31" t="n"/>
      <c r="I140" s="30" t="n"/>
      <c r="J140" s="30" t="n"/>
      <c r="K140" s="30" t="n"/>
    </row>
    <row r="141">
      <c r="A141" s="30" t="n"/>
      <c r="B141" s="30" t="n"/>
      <c r="C141" s="30" t="n"/>
      <c r="D141" s="30" t="n"/>
      <c r="E141" s="30" t="n"/>
      <c r="F141" s="31" t="n"/>
      <c r="G141" s="32" t="n"/>
      <c r="H141" s="31" t="n"/>
      <c r="I141" s="30" t="n"/>
      <c r="J141" s="30" t="n"/>
      <c r="K141" s="30" t="n"/>
    </row>
    <row r="142">
      <c r="A142" s="30" t="n"/>
      <c r="B142" s="30" t="n"/>
      <c r="C142" s="30" t="n"/>
      <c r="D142" s="30" t="n"/>
      <c r="E142" s="30" t="n"/>
      <c r="F142" s="31" t="n"/>
      <c r="G142" s="32" t="n"/>
      <c r="H142" s="31" t="n"/>
      <c r="I142" s="30" t="n"/>
      <c r="J142" s="30" t="n"/>
      <c r="K142" s="30" t="n"/>
    </row>
    <row r="143">
      <c r="A143" s="30" t="n"/>
      <c r="B143" s="30" t="n"/>
      <c r="C143" s="30" t="n"/>
      <c r="D143" s="30" t="n"/>
      <c r="E143" s="30" t="n"/>
      <c r="F143" s="31" t="n"/>
      <c r="G143" s="32" t="n"/>
      <c r="H143" s="31" t="n"/>
      <c r="I143" s="30" t="n"/>
      <c r="J143" s="30" t="n"/>
      <c r="K143" s="30" t="n"/>
    </row>
    <row r="144">
      <c r="A144" s="30" t="n"/>
      <c r="B144" s="30" t="n"/>
      <c r="C144" s="30" t="n"/>
      <c r="D144" s="30" t="n"/>
      <c r="E144" s="30" t="n"/>
      <c r="F144" s="31" t="n"/>
      <c r="G144" s="32" t="n"/>
      <c r="H144" s="31" t="n"/>
      <c r="I144" s="30" t="n"/>
      <c r="J144" s="30" t="n"/>
      <c r="K144" s="30" t="n"/>
    </row>
    <row r="145">
      <c r="A145" s="30" t="n"/>
      <c r="B145" s="30" t="n"/>
      <c r="C145" s="30" t="n"/>
      <c r="D145" s="30" t="n"/>
      <c r="E145" s="30" t="n"/>
      <c r="F145" s="31" t="n"/>
      <c r="G145" s="32" t="n"/>
      <c r="H145" s="31" t="n"/>
      <c r="I145" s="30" t="n"/>
      <c r="J145" s="30" t="n"/>
      <c r="K145" s="30" t="n"/>
    </row>
    <row r="146">
      <c r="A146" s="30" t="n"/>
      <c r="B146" s="30" t="n"/>
      <c r="C146" s="30" t="n"/>
      <c r="D146" s="30" t="n"/>
      <c r="E146" s="30" t="n"/>
      <c r="F146" s="31" t="n"/>
      <c r="G146" s="32" t="n"/>
      <c r="H146" s="31" t="n"/>
      <c r="I146" s="30" t="n"/>
      <c r="J146" s="30" t="n"/>
      <c r="K146" s="30" t="n"/>
    </row>
    <row r="147">
      <c r="A147" s="30" t="n"/>
      <c r="B147" s="30" t="n"/>
      <c r="C147" s="30" t="n"/>
      <c r="D147" s="30" t="n"/>
      <c r="E147" s="30" t="n"/>
      <c r="F147" s="31" t="n"/>
      <c r="G147" s="32" t="n"/>
      <c r="H147" s="31" t="n"/>
      <c r="I147" s="30" t="n"/>
      <c r="J147" s="30" t="n"/>
      <c r="K147" s="30" t="n"/>
    </row>
    <row r="148">
      <c r="A148" s="30" t="n"/>
      <c r="B148" s="30" t="n"/>
      <c r="C148" s="30" t="n"/>
      <c r="D148" s="30" t="n"/>
      <c r="E148" s="30" t="n"/>
      <c r="F148" s="31" t="n"/>
      <c r="G148" s="32" t="n"/>
      <c r="H148" s="31" t="n"/>
      <c r="I148" s="30" t="n"/>
      <c r="J148" s="30" t="n"/>
      <c r="K148" s="30" t="n"/>
    </row>
    <row r="149">
      <c r="A149" s="30" t="n"/>
      <c r="B149" s="30" t="n"/>
      <c r="C149" s="30" t="n"/>
      <c r="D149" s="30" t="n"/>
      <c r="E149" s="30" t="n"/>
      <c r="F149" s="31" t="n"/>
      <c r="G149" s="32" t="n"/>
      <c r="H149" s="31" t="n"/>
      <c r="I149" s="30" t="n"/>
      <c r="J149" s="30" t="n"/>
      <c r="K149" s="30" t="n"/>
    </row>
    <row r="150">
      <c r="A150" s="30" t="n"/>
      <c r="B150" s="30" t="n"/>
      <c r="C150" s="30" t="n"/>
      <c r="D150" s="30" t="n"/>
      <c r="E150" s="30" t="n"/>
      <c r="F150" s="31" t="n"/>
      <c r="G150" s="32" t="n"/>
      <c r="H150" s="31" t="n"/>
      <c r="I150" s="30" t="n"/>
      <c r="J150" s="30" t="n"/>
      <c r="K150" s="30" t="n"/>
    </row>
    <row r="151">
      <c r="A151" s="30" t="n"/>
      <c r="B151" s="30" t="n"/>
      <c r="C151" s="30" t="n"/>
      <c r="D151" s="30" t="n"/>
      <c r="E151" s="30" t="n"/>
      <c r="F151" s="31" t="n"/>
      <c r="G151" s="32" t="n"/>
      <c r="H151" s="31" t="n"/>
      <c r="I151" s="30" t="n"/>
      <c r="J151" s="30" t="n"/>
      <c r="K151" s="30" t="n"/>
    </row>
    <row r="152">
      <c r="A152" s="30" t="n"/>
      <c r="B152" s="30" t="n"/>
      <c r="C152" s="30" t="n"/>
      <c r="D152" s="30" t="n"/>
      <c r="E152" s="30" t="n"/>
      <c r="F152" s="31" t="n"/>
      <c r="G152" s="32" t="n"/>
      <c r="H152" s="31" t="n"/>
      <c r="I152" s="30" t="n"/>
      <c r="J152" s="30" t="n"/>
      <c r="K152" s="30" t="n"/>
    </row>
    <row r="153">
      <c r="A153" s="30" t="n"/>
      <c r="B153" s="30" t="n"/>
      <c r="C153" s="30" t="n"/>
      <c r="D153" s="30" t="n"/>
      <c r="E153" s="30" t="n"/>
      <c r="F153" s="31" t="n"/>
      <c r="G153" s="32" t="n"/>
      <c r="H153" s="31" t="n"/>
      <c r="I153" s="30" t="n"/>
      <c r="J153" s="30" t="n"/>
      <c r="K153" s="30" t="n"/>
    </row>
    <row r="154">
      <c r="A154" s="30" t="n"/>
      <c r="B154" s="30" t="n"/>
      <c r="C154" s="30" t="n"/>
      <c r="D154" s="30" t="n"/>
      <c r="E154" s="30" t="n"/>
      <c r="F154" s="31" t="n"/>
      <c r="G154" s="32" t="n"/>
      <c r="H154" s="31" t="n"/>
      <c r="I154" s="30" t="n"/>
      <c r="J154" s="30" t="n"/>
      <c r="K154" s="30" t="n"/>
    </row>
    <row r="155">
      <c r="A155" s="30" t="n"/>
      <c r="B155" s="30" t="n"/>
      <c r="C155" s="30" t="n"/>
      <c r="D155" s="30" t="n"/>
      <c r="E155" s="30" t="n"/>
      <c r="F155" s="31" t="n"/>
      <c r="G155" s="32" t="n"/>
      <c r="H155" s="31" t="n"/>
      <c r="I155" s="30" t="n"/>
      <c r="J155" s="30" t="n"/>
      <c r="K155" s="30" t="n"/>
    </row>
    <row r="156">
      <c r="A156" s="30" t="n"/>
      <c r="B156" s="30" t="n"/>
      <c r="C156" s="30" t="n"/>
      <c r="D156" s="30" t="n"/>
      <c r="E156" s="30" t="n"/>
      <c r="F156" s="31" t="n"/>
      <c r="G156" s="32" t="n"/>
      <c r="H156" s="31" t="n"/>
      <c r="I156" s="30" t="n"/>
      <c r="J156" s="30" t="n"/>
      <c r="K156" s="30" t="n"/>
    </row>
    <row r="157">
      <c r="A157" s="30" t="n"/>
      <c r="B157" s="30" t="n"/>
      <c r="C157" s="30" t="n"/>
      <c r="D157" s="30" t="n"/>
      <c r="E157" s="30" t="n"/>
      <c r="F157" s="31" t="n"/>
      <c r="G157" s="32" t="n"/>
      <c r="H157" s="31" t="n"/>
      <c r="I157" s="30" t="n"/>
      <c r="J157" s="30" t="n"/>
      <c r="K157" s="30" t="n"/>
    </row>
    <row r="158">
      <c r="A158" s="30" t="n"/>
      <c r="B158" s="30" t="n"/>
      <c r="C158" s="30" t="n"/>
      <c r="D158" s="30" t="n"/>
      <c r="E158" s="30" t="n"/>
      <c r="F158" s="31" t="n"/>
      <c r="G158" s="32" t="n"/>
      <c r="H158" s="31" t="n"/>
      <c r="I158" s="30" t="n"/>
      <c r="J158" s="30" t="n"/>
      <c r="K158" s="30" t="n"/>
    </row>
    <row r="159">
      <c r="A159" s="30" t="n"/>
      <c r="B159" s="30" t="n"/>
      <c r="C159" s="30" t="n"/>
      <c r="D159" s="30" t="n"/>
      <c r="E159" s="30" t="n"/>
      <c r="F159" s="31" t="n"/>
      <c r="G159" s="32" t="n"/>
      <c r="H159" s="31" t="n"/>
      <c r="I159" s="30" t="n"/>
      <c r="J159" s="30" t="n"/>
      <c r="K159" s="30" t="n"/>
    </row>
    <row r="160">
      <c r="A160" s="30" t="n"/>
      <c r="B160" s="30" t="n"/>
      <c r="C160" s="30" t="n"/>
      <c r="D160" s="30" t="n"/>
      <c r="E160" s="30" t="n"/>
      <c r="F160" s="31" t="n"/>
      <c r="G160" s="32" t="n"/>
      <c r="H160" s="31" t="n"/>
      <c r="I160" s="30" t="n"/>
      <c r="J160" s="30" t="n"/>
      <c r="K160" s="30" t="n"/>
    </row>
    <row r="161">
      <c r="A161" s="30" t="n"/>
      <c r="B161" s="30" t="n"/>
      <c r="C161" s="30" t="n"/>
      <c r="D161" s="30" t="n"/>
      <c r="E161" s="30" t="n"/>
      <c r="F161" s="31" t="n"/>
      <c r="G161" s="32" t="n"/>
      <c r="H161" s="31" t="n"/>
      <c r="I161" s="30" t="n"/>
      <c r="J161" s="30" t="n"/>
      <c r="K161" s="30" t="n"/>
    </row>
    <row r="162">
      <c r="A162" s="30" t="n"/>
      <c r="B162" s="30" t="n"/>
      <c r="C162" s="30" t="n"/>
      <c r="D162" s="30" t="n"/>
      <c r="E162" s="30" t="n"/>
      <c r="F162" s="31" t="n"/>
      <c r="G162" s="32" t="n"/>
      <c r="H162" s="31" t="n"/>
      <c r="I162" s="30" t="n"/>
      <c r="J162" s="30" t="n"/>
      <c r="K162" s="30" t="n"/>
    </row>
    <row r="163">
      <c r="A163" s="30" t="n"/>
      <c r="B163" s="30" t="n"/>
      <c r="C163" s="30" t="n"/>
      <c r="D163" s="30" t="n"/>
      <c r="E163" s="30" t="n"/>
      <c r="F163" s="31" t="n"/>
      <c r="G163" s="32" t="n"/>
      <c r="H163" s="31" t="n"/>
      <c r="I163" s="30" t="n"/>
      <c r="J163" s="30" t="n"/>
      <c r="K163" s="30" t="n"/>
    </row>
    <row r="164">
      <c r="A164" s="30" t="n"/>
      <c r="B164" s="30" t="n"/>
      <c r="C164" s="30" t="n"/>
      <c r="D164" s="30" t="n"/>
      <c r="E164" s="30" t="n"/>
      <c r="F164" s="31" t="n"/>
      <c r="G164" s="32" t="n"/>
      <c r="H164" s="31" t="n"/>
      <c r="I164" s="30" t="n"/>
      <c r="J164" s="30" t="n"/>
      <c r="K164" s="30" t="n"/>
    </row>
    <row r="165">
      <c r="A165" s="30" t="n"/>
      <c r="B165" s="30" t="n"/>
      <c r="C165" s="30" t="n"/>
      <c r="D165" s="30" t="n"/>
      <c r="E165" s="30" t="n"/>
      <c r="F165" s="31" t="n"/>
      <c r="G165" s="32" t="n"/>
      <c r="H165" s="31" t="n"/>
      <c r="I165" s="30" t="n"/>
      <c r="J165" s="30" t="n"/>
      <c r="K165" s="30" t="n"/>
    </row>
    <row r="166">
      <c r="A166" s="30" t="n"/>
      <c r="B166" s="30" t="n"/>
      <c r="C166" s="30" t="n"/>
      <c r="D166" s="30" t="n"/>
      <c r="E166" s="30" t="n"/>
      <c r="F166" s="31" t="n"/>
      <c r="G166" s="32" t="n"/>
      <c r="H166" s="31" t="n"/>
      <c r="I166" s="30" t="n"/>
      <c r="J166" s="30" t="n"/>
      <c r="K166" s="30" t="n"/>
    </row>
    <row r="167">
      <c r="A167" s="30" t="n"/>
      <c r="B167" s="30" t="n"/>
      <c r="C167" s="30" t="n"/>
      <c r="D167" s="30" t="n"/>
      <c r="E167" s="30" t="n"/>
      <c r="F167" s="31" t="n"/>
      <c r="G167" s="32" t="n"/>
      <c r="H167" s="31" t="n"/>
      <c r="I167" s="30" t="n"/>
      <c r="J167" s="30" t="n"/>
      <c r="K167" s="30" t="n"/>
    </row>
    <row r="168">
      <c r="A168" s="30" t="n"/>
      <c r="B168" s="30" t="n"/>
      <c r="C168" s="30" t="n"/>
      <c r="D168" s="30" t="n"/>
      <c r="E168" s="30" t="n"/>
      <c r="F168" s="31" t="n"/>
      <c r="G168" s="32" t="n"/>
      <c r="H168" s="31" t="n"/>
      <c r="I168" s="30" t="n"/>
      <c r="J168" s="30" t="n"/>
      <c r="K168" s="30" t="n"/>
    </row>
    <row r="169">
      <c r="A169" s="30" t="n"/>
      <c r="B169" s="30" t="n"/>
      <c r="C169" s="30" t="n"/>
      <c r="D169" s="30" t="n"/>
      <c r="E169" s="30" t="n"/>
      <c r="F169" s="31" t="n"/>
      <c r="G169" s="32" t="n"/>
      <c r="H169" s="31" t="n"/>
      <c r="I169" s="30" t="n"/>
      <c r="J169" s="30" t="n"/>
      <c r="K169" s="30" t="n"/>
    </row>
    <row r="170">
      <c r="A170" s="30" t="n"/>
      <c r="B170" s="30" t="n"/>
      <c r="C170" s="30" t="n"/>
      <c r="D170" s="30" t="n"/>
      <c r="E170" s="30" t="n"/>
      <c r="F170" s="31" t="n"/>
      <c r="G170" s="32" t="n"/>
      <c r="H170" s="31" t="n"/>
      <c r="I170" s="30" t="n"/>
      <c r="J170" s="30" t="n"/>
      <c r="K170" s="30" t="n"/>
    </row>
    <row r="171">
      <c r="A171" s="30" t="n"/>
      <c r="B171" s="30" t="n"/>
      <c r="C171" s="30" t="n"/>
      <c r="D171" s="30" t="n"/>
      <c r="E171" s="30" t="n"/>
      <c r="F171" s="31" t="n"/>
      <c r="G171" s="32" t="n"/>
      <c r="H171" s="31" t="n"/>
      <c r="I171" s="30" t="n"/>
      <c r="J171" s="30" t="n"/>
      <c r="K171" s="30" t="n"/>
    </row>
    <row r="172">
      <c r="A172" s="30" t="n"/>
      <c r="B172" s="30" t="n"/>
      <c r="C172" s="30" t="n"/>
      <c r="D172" s="30" t="n"/>
      <c r="E172" s="30" t="n"/>
      <c r="F172" s="31" t="n"/>
      <c r="G172" s="32" t="n"/>
      <c r="H172" s="31" t="n"/>
      <c r="I172" s="30" t="n"/>
      <c r="J172" s="30" t="n"/>
      <c r="K172" s="30" t="n"/>
    </row>
    <row r="173">
      <c r="A173" s="30" t="n"/>
      <c r="B173" s="30" t="n"/>
      <c r="C173" s="30" t="n"/>
      <c r="D173" s="30" t="n"/>
      <c r="E173" s="30" t="n"/>
      <c r="F173" s="31" t="n"/>
      <c r="G173" s="32" t="n"/>
      <c r="H173" s="31" t="n"/>
      <c r="I173" s="30" t="n"/>
      <c r="J173" s="30" t="n"/>
      <c r="K173" s="30" t="n"/>
    </row>
    <row r="174">
      <c r="A174" s="30" t="n"/>
      <c r="B174" s="30" t="n"/>
      <c r="C174" s="30" t="n"/>
      <c r="D174" s="30" t="n"/>
      <c r="E174" s="30" t="n"/>
      <c r="F174" s="31" t="n"/>
      <c r="G174" s="32" t="n"/>
      <c r="H174" s="31" t="n"/>
      <c r="I174" s="30" t="n"/>
      <c r="J174" s="30" t="n"/>
      <c r="K174" s="30" t="n"/>
    </row>
    <row r="175">
      <c r="A175" s="30" t="n"/>
      <c r="B175" s="30" t="n"/>
      <c r="C175" s="30" t="n"/>
      <c r="D175" s="30" t="n"/>
      <c r="E175" s="30" t="n"/>
      <c r="F175" s="31" t="n"/>
      <c r="G175" s="32" t="n"/>
      <c r="H175" s="31" t="n"/>
      <c r="I175" s="30" t="n"/>
      <c r="J175" s="30" t="n"/>
      <c r="K175" s="30" t="n"/>
    </row>
    <row r="176">
      <c r="A176" s="30" t="n"/>
      <c r="B176" s="30" t="n"/>
      <c r="C176" s="30" t="n"/>
      <c r="D176" s="30" t="n"/>
      <c r="E176" s="30" t="n"/>
      <c r="F176" s="31" t="n"/>
      <c r="G176" s="32" t="n"/>
      <c r="H176" s="31" t="n"/>
      <c r="I176" s="30" t="n"/>
      <c r="J176" s="30" t="n"/>
      <c r="K176" s="30" t="n"/>
    </row>
    <row r="177">
      <c r="A177" s="30" t="n"/>
      <c r="B177" s="30" t="n"/>
      <c r="C177" s="30" t="n"/>
      <c r="D177" s="30" t="n"/>
      <c r="E177" s="30" t="n"/>
      <c r="F177" s="31" t="n"/>
      <c r="G177" s="32" t="n"/>
      <c r="H177" s="31" t="n"/>
      <c r="I177" s="30" t="n"/>
      <c r="J177" s="30" t="n"/>
      <c r="K177" s="30" t="n"/>
    </row>
    <row r="178">
      <c r="A178" s="30" t="n"/>
      <c r="B178" s="30" t="n"/>
      <c r="C178" s="30" t="n"/>
      <c r="D178" s="30" t="n"/>
      <c r="E178" s="30" t="n"/>
      <c r="F178" s="31" t="n"/>
      <c r="G178" s="32" t="n"/>
      <c r="H178" s="31" t="n"/>
      <c r="I178" s="30" t="n"/>
      <c r="J178" s="30" t="n"/>
      <c r="K178" s="30" t="n"/>
    </row>
    <row r="179">
      <c r="A179" s="30" t="n"/>
      <c r="B179" s="30" t="n"/>
      <c r="C179" s="30" t="n"/>
      <c r="D179" s="30" t="n"/>
      <c r="E179" s="30" t="n"/>
      <c r="F179" s="31" t="n"/>
      <c r="G179" s="32" t="n"/>
      <c r="H179" s="31" t="n"/>
      <c r="I179" s="30" t="n"/>
      <c r="J179" s="30" t="n"/>
      <c r="K179" s="30" t="n"/>
    </row>
    <row r="180">
      <c r="A180" s="30" t="n"/>
      <c r="B180" s="30" t="n"/>
      <c r="C180" s="30" t="n"/>
      <c r="D180" s="30" t="n"/>
      <c r="E180" s="30" t="n"/>
      <c r="F180" s="31" t="n"/>
      <c r="G180" s="32" t="n"/>
      <c r="H180" s="31" t="n"/>
      <c r="I180" s="30" t="n"/>
      <c r="J180" s="30" t="n"/>
      <c r="K180" s="30" t="n"/>
    </row>
    <row r="181">
      <c r="A181" s="30" t="n"/>
      <c r="B181" s="30" t="n"/>
      <c r="C181" s="30" t="n"/>
      <c r="D181" s="30" t="n"/>
      <c r="E181" s="30" t="n"/>
      <c r="F181" s="31" t="n"/>
      <c r="G181" s="32" t="n"/>
      <c r="H181" s="31" t="n"/>
      <c r="I181" s="30" t="n"/>
      <c r="J181" s="30" t="n"/>
      <c r="K181" s="30" t="n"/>
    </row>
    <row r="182">
      <c r="A182" s="30" t="n"/>
      <c r="B182" s="30" t="n"/>
      <c r="C182" s="30" t="n"/>
      <c r="D182" s="30" t="n"/>
      <c r="E182" s="30" t="n"/>
      <c r="F182" s="31" t="n"/>
      <c r="G182" s="32" t="n"/>
      <c r="H182" s="31" t="n"/>
      <c r="I182" s="30" t="n"/>
      <c r="J182" s="30" t="n"/>
      <c r="K182" s="30" t="n"/>
    </row>
    <row r="183">
      <c r="A183" s="30" t="n"/>
      <c r="B183" s="30" t="n"/>
      <c r="C183" s="30" t="n"/>
      <c r="D183" s="30" t="n"/>
      <c r="E183" s="30" t="n"/>
      <c r="F183" s="31" t="n"/>
      <c r="G183" s="32" t="n"/>
      <c r="H183" s="31" t="n"/>
      <c r="I183" s="30" t="n"/>
      <c r="J183" s="30" t="n"/>
      <c r="K183" s="30" t="n"/>
    </row>
    <row r="184">
      <c r="A184" s="30" t="n"/>
      <c r="B184" s="30" t="n"/>
      <c r="C184" s="30" t="n"/>
      <c r="D184" s="30" t="n"/>
      <c r="E184" s="30" t="n"/>
      <c r="F184" s="31" t="n"/>
      <c r="G184" s="32" t="n"/>
      <c r="H184" s="31" t="n"/>
      <c r="I184" s="30" t="n"/>
      <c r="J184" s="30" t="n"/>
      <c r="K184" s="30" t="n"/>
    </row>
    <row r="185">
      <c r="A185" s="30" t="n"/>
      <c r="B185" s="30" t="n"/>
      <c r="C185" s="30" t="n"/>
      <c r="D185" s="30" t="n"/>
      <c r="E185" s="30" t="n"/>
      <c r="F185" s="31" t="n"/>
      <c r="G185" s="32" t="n"/>
      <c r="H185" s="31" t="n"/>
      <c r="I185" s="30" t="n"/>
      <c r="J185" s="30" t="n"/>
      <c r="K185" s="30" t="n"/>
    </row>
    <row r="186">
      <c r="A186" s="30" t="n"/>
      <c r="B186" s="30" t="n"/>
      <c r="C186" s="30" t="n"/>
      <c r="D186" s="30" t="n"/>
      <c r="E186" s="30" t="n"/>
      <c r="F186" s="31" t="n"/>
      <c r="G186" s="32" t="n"/>
      <c r="H186" s="31" t="n"/>
      <c r="I186" s="30" t="n"/>
      <c r="J186" s="30" t="n"/>
      <c r="K186" s="30" t="n"/>
    </row>
    <row r="187">
      <c r="A187" s="30" t="n"/>
      <c r="B187" s="30" t="n"/>
      <c r="C187" s="30" t="n"/>
      <c r="D187" s="30" t="n"/>
      <c r="E187" s="30" t="n"/>
      <c r="F187" s="31" t="n"/>
      <c r="G187" s="32" t="n"/>
      <c r="H187" s="31" t="n"/>
      <c r="I187" s="30" t="n"/>
      <c r="J187" s="30" t="n"/>
      <c r="K187" s="30" t="n"/>
    </row>
    <row r="188">
      <c r="A188" s="30" t="n"/>
      <c r="B188" s="30" t="n"/>
      <c r="C188" s="30" t="n"/>
      <c r="D188" s="30" t="n"/>
      <c r="E188" s="30" t="n"/>
      <c r="F188" s="31" t="n"/>
      <c r="G188" s="32" t="n"/>
      <c r="H188" s="31" t="n"/>
      <c r="I188" s="30" t="n"/>
      <c r="J188" s="30" t="n"/>
      <c r="K188" s="30" t="n"/>
    </row>
    <row r="189">
      <c r="A189" s="30" t="n"/>
      <c r="B189" s="30" t="n"/>
      <c r="C189" s="30" t="n"/>
      <c r="D189" s="30" t="n"/>
      <c r="E189" s="30" t="n"/>
      <c r="F189" s="31" t="n"/>
      <c r="G189" s="32" t="n"/>
      <c r="H189" s="31" t="n"/>
      <c r="I189" s="30" t="n"/>
      <c r="J189" s="30" t="n"/>
      <c r="K189" s="30" t="n"/>
    </row>
    <row r="190">
      <c r="A190" s="30" t="n"/>
      <c r="B190" s="30" t="n"/>
      <c r="C190" s="30" t="n"/>
      <c r="D190" s="30" t="n"/>
      <c r="E190" s="30" t="n"/>
      <c r="F190" s="31" t="n"/>
      <c r="G190" s="32" t="n"/>
      <c r="H190" s="31" t="n"/>
      <c r="I190" s="30" t="n"/>
      <c r="J190" s="30" t="n"/>
      <c r="K190" s="30" t="n"/>
    </row>
    <row r="191">
      <c r="A191" s="30" t="n"/>
      <c r="B191" s="30" t="n"/>
      <c r="C191" s="30" t="n"/>
      <c r="D191" s="30" t="n"/>
      <c r="E191" s="30" t="n"/>
      <c r="F191" s="31" t="n"/>
      <c r="G191" s="32" t="n"/>
      <c r="H191" s="31" t="n"/>
      <c r="I191" s="30" t="n"/>
      <c r="J191" s="30" t="n"/>
      <c r="K191" s="30" t="n"/>
    </row>
    <row r="192">
      <c r="A192" s="30" t="n"/>
      <c r="B192" s="30" t="n"/>
      <c r="C192" s="30" t="n"/>
      <c r="D192" s="30" t="n"/>
      <c r="E192" s="30" t="n"/>
      <c r="F192" s="31" t="n"/>
      <c r="G192" s="32" t="n"/>
      <c r="H192" s="31" t="n"/>
      <c r="I192" s="30" t="n"/>
      <c r="J192" s="30" t="n"/>
      <c r="K192" s="30" t="n"/>
    </row>
    <row r="193">
      <c r="A193" s="30" t="n"/>
      <c r="B193" s="30" t="n"/>
      <c r="C193" s="30" t="n"/>
      <c r="D193" s="30" t="n"/>
      <c r="E193" s="30" t="n"/>
      <c r="F193" s="31" t="n"/>
      <c r="G193" s="32" t="n"/>
      <c r="H193" s="31" t="n"/>
      <c r="I193" s="30" t="n"/>
      <c r="J193" s="30" t="n"/>
      <c r="K193" s="30" t="n"/>
    </row>
    <row r="194">
      <c r="A194" s="30" t="n"/>
      <c r="B194" s="30" t="n"/>
      <c r="C194" s="30" t="n"/>
      <c r="D194" s="30" t="n"/>
      <c r="E194" s="30" t="n"/>
      <c r="F194" s="31" t="n"/>
      <c r="G194" s="32" t="n"/>
      <c r="H194" s="31" t="n"/>
      <c r="I194" s="30" t="n"/>
      <c r="J194" s="30" t="n"/>
      <c r="K194" s="30" t="n"/>
    </row>
    <row r="195">
      <c r="A195" s="30" t="n"/>
      <c r="B195" s="30" t="n"/>
      <c r="C195" s="30" t="n"/>
      <c r="D195" s="30" t="n"/>
      <c r="E195" s="30" t="n"/>
      <c r="F195" s="31" t="n"/>
      <c r="G195" s="32" t="n"/>
      <c r="H195" s="31" t="n"/>
      <c r="I195" s="30" t="n"/>
      <c r="J195" s="30" t="n"/>
      <c r="K195" s="30" t="n"/>
    </row>
    <row r="196">
      <c r="A196" s="30" t="n"/>
      <c r="B196" s="30" t="n"/>
      <c r="C196" s="30" t="n"/>
      <c r="D196" s="30" t="n"/>
      <c r="E196" s="30" t="n"/>
      <c r="F196" s="31" t="n"/>
      <c r="G196" s="32" t="n"/>
      <c r="H196" s="31" t="n"/>
      <c r="I196" s="30" t="n"/>
      <c r="J196" s="30" t="n"/>
      <c r="K196" s="30" t="n"/>
    </row>
    <row r="197">
      <c r="A197" s="30" t="n"/>
      <c r="B197" s="30" t="n"/>
      <c r="C197" s="30" t="n"/>
      <c r="D197" s="30" t="n"/>
      <c r="E197" s="30" t="n"/>
      <c r="F197" s="31" t="n"/>
      <c r="G197" s="32" t="n"/>
      <c r="H197" s="31" t="n"/>
      <c r="I197" s="30" t="n"/>
      <c r="J197" s="30" t="n"/>
      <c r="K197" s="30" t="n"/>
    </row>
    <row r="198">
      <c r="A198" s="30" t="n"/>
      <c r="B198" s="30" t="n"/>
      <c r="C198" s="30" t="n"/>
      <c r="D198" s="30" t="n"/>
      <c r="E198" s="30" t="n"/>
      <c r="F198" s="31" t="n"/>
      <c r="G198" s="32" t="n"/>
      <c r="H198" s="31" t="n"/>
      <c r="I198" s="30" t="n"/>
      <c r="J198" s="30" t="n"/>
      <c r="K198" s="30" t="n"/>
    </row>
    <row r="199">
      <c r="A199" s="30" t="n"/>
      <c r="B199" s="30" t="n"/>
      <c r="C199" s="30" t="n"/>
      <c r="D199" s="30" t="n"/>
      <c r="E199" s="30" t="n"/>
      <c r="F199" s="31" t="n"/>
      <c r="G199" s="32" t="n"/>
      <c r="H199" s="31" t="n"/>
      <c r="I199" s="30" t="n"/>
      <c r="J199" s="30" t="n"/>
      <c r="K199" s="30" t="n"/>
    </row>
    <row r="200">
      <c r="A200" s="30" t="n"/>
      <c r="B200" s="30" t="n"/>
      <c r="C200" s="30" t="n"/>
      <c r="D200" s="30" t="n"/>
      <c r="E200" s="30" t="n"/>
      <c r="F200" s="31" t="n"/>
      <c r="G200" s="32" t="n"/>
      <c r="H200" s="31" t="n"/>
      <c r="I200" s="30" t="n"/>
      <c r="J200" s="30" t="n"/>
      <c r="K200" s="30" t="n"/>
    </row>
    <row r="201">
      <c r="A201" s="30" t="n"/>
      <c r="B201" s="30" t="n"/>
      <c r="C201" s="30" t="n"/>
      <c r="D201" s="30" t="n"/>
      <c r="E201" s="30" t="n"/>
      <c r="F201" s="31" t="n"/>
      <c r="G201" s="32" t="n"/>
      <c r="H201" s="31" t="n"/>
      <c r="I201" s="30" t="n"/>
      <c r="J201" s="30" t="n"/>
      <c r="K201" s="30" t="n"/>
    </row>
    <row r="202">
      <c r="A202" s="30" t="n"/>
      <c r="B202" s="30" t="n"/>
      <c r="C202" s="30" t="n"/>
      <c r="D202" s="30" t="n"/>
      <c r="E202" s="30" t="n"/>
      <c r="F202" s="31" t="n"/>
      <c r="G202" s="32" t="n"/>
      <c r="H202" s="31" t="n"/>
      <c r="I202" s="30" t="n"/>
      <c r="J202" s="30" t="n"/>
      <c r="K202" s="30" t="n"/>
    </row>
    <row r="203">
      <c r="A203" s="30" t="n"/>
      <c r="B203" s="30" t="n"/>
      <c r="C203" s="30" t="n"/>
      <c r="D203" s="30" t="n"/>
      <c r="E203" s="30" t="n"/>
      <c r="F203" s="31" t="n"/>
      <c r="G203" s="32" t="n"/>
      <c r="H203" s="31" t="n"/>
      <c r="I203" s="30" t="n"/>
      <c r="J203" s="30" t="n"/>
      <c r="K203" s="30" t="n"/>
    </row>
    <row r="204">
      <c r="A204" s="30" t="n"/>
      <c r="B204" s="30" t="n"/>
      <c r="C204" s="30" t="n"/>
      <c r="D204" s="30" t="n"/>
      <c r="E204" s="30" t="n"/>
      <c r="F204" s="31" t="n"/>
      <c r="G204" s="32" t="n"/>
      <c r="H204" s="31" t="n"/>
      <c r="I204" s="30" t="n"/>
      <c r="J204" s="30" t="n"/>
      <c r="K204" s="30" t="n"/>
    </row>
    <row r="205">
      <c r="A205" s="30" t="n"/>
      <c r="B205" s="30" t="n"/>
      <c r="C205" s="30" t="n"/>
      <c r="D205" s="30" t="n"/>
      <c r="E205" s="30" t="n"/>
      <c r="F205" s="31" t="n"/>
      <c r="G205" s="32" t="n"/>
      <c r="H205" s="31" t="n"/>
      <c r="I205" s="30" t="n"/>
      <c r="J205" s="30" t="n"/>
      <c r="K205" s="30" t="n"/>
    </row>
    <row r="206">
      <c r="A206" s="30" t="n"/>
      <c r="B206" s="30" t="n"/>
      <c r="C206" s="30" t="n"/>
      <c r="D206" s="30" t="n"/>
      <c r="E206" s="30" t="n"/>
      <c r="F206" s="31" t="n"/>
      <c r="G206" s="32" t="n"/>
      <c r="H206" s="31" t="n"/>
      <c r="I206" s="30" t="n"/>
      <c r="J206" s="30" t="n"/>
      <c r="K206" s="30" t="n"/>
    </row>
    <row r="207">
      <c r="A207" s="30" t="n"/>
      <c r="B207" s="30" t="n"/>
      <c r="C207" s="30" t="n"/>
      <c r="D207" s="30" t="n"/>
      <c r="E207" s="30" t="n"/>
      <c r="F207" s="31" t="n"/>
      <c r="G207" s="32" t="n"/>
      <c r="H207" s="31" t="n"/>
      <c r="I207" s="30" t="n"/>
      <c r="J207" s="30" t="n"/>
      <c r="K207" s="30" t="n"/>
    </row>
    <row r="208">
      <c r="A208" s="30" t="n"/>
      <c r="B208" s="30" t="n"/>
      <c r="C208" s="30" t="n"/>
      <c r="D208" s="30" t="n"/>
      <c r="E208" s="30" t="n"/>
      <c r="F208" s="31" t="n"/>
      <c r="G208" s="32" t="n"/>
      <c r="H208" s="31" t="n"/>
      <c r="I208" s="30" t="n"/>
      <c r="J208" s="30" t="n"/>
      <c r="K208" s="30" t="n"/>
    </row>
    <row r="209">
      <c r="A209" s="30" t="n"/>
      <c r="B209" s="30" t="n"/>
      <c r="C209" s="30" t="n"/>
      <c r="D209" s="30" t="n"/>
      <c r="E209" s="30" t="n"/>
      <c r="F209" s="31" t="n"/>
      <c r="G209" s="32" t="n"/>
      <c r="H209" s="31" t="n"/>
      <c r="I209" s="30" t="n"/>
      <c r="J209" s="30" t="n"/>
      <c r="K209" s="30" t="n"/>
    </row>
    <row r="210">
      <c r="A210" s="30" t="n"/>
      <c r="B210" s="30" t="n"/>
      <c r="C210" s="30" t="n"/>
      <c r="D210" s="30" t="n"/>
      <c r="E210" s="30" t="n"/>
      <c r="F210" s="31" t="n"/>
      <c r="G210" s="32" t="n"/>
      <c r="H210" s="31" t="n"/>
      <c r="I210" s="30" t="n"/>
      <c r="J210" s="30" t="n"/>
      <c r="K210" s="30" t="n"/>
    </row>
    <row r="211">
      <c r="A211" s="30" t="n"/>
      <c r="B211" s="30" t="n"/>
      <c r="C211" s="30" t="n"/>
      <c r="D211" s="30" t="n"/>
      <c r="E211" s="30" t="n"/>
      <c r="F211" s="31" t="n"/>
      <c r="G211" s="32" t="n"/>
      <c r="H211" s="31" t="n"/>
      <c r="I211" s="30" t="n"/>
      <c r="J211" s="30" t="n"/>
      <c r="K211" s="30" t="n"/>
    </row>
    <row r="212">
      <c r="A212" s="30" t="n"/>
      <c r="B212" s="30" t="n"/>
      <c r="C212" s="30" t="n"/>
      <c r="D212" s="30" t="n"/>
      <c r="E212" s="30" t="n"/>
      <c r="F212" s="31" t="n"/>
      <c r="G212" s="32" t="n"/>
      <c r="H212" s="31" t="n"/>
      <c r="I212" s="30" t="n"/>
      <c r="J212" s="30" t="n"/>
      <c r="K212" s="30" t="n"/>
    </row>
    <row r="213">
      <c r="A213" s="30" t="n"/>
      <c r="B213" s="30" t="n"/>
      <c r="C213" s="30" t="n"/>
      <c r="D213" s="30" t="n"/>
      <c r="E213" s="30" t="n"/>
      <c r="F213" s="31" t="n"/>
      <c r="G213" s="32" t="n"/>
      <c r="H213" s="31" t="n"/>
      <c r="I213" s="30" t="n"/>
      <c r="J213" s="30" t="n"/>
      <c r="K213" s="30" t="n"/>
    </row>
    <row r="214">
      <c r="A214" s="30" t="n"/>
      <c r="B214" s="30" t="n"/>
      <c r="C214" s="30" t="n"/>
      <c r="D214" s="30" t="n"/>
      <c r="E214" s="30" t="n"/>
      <c r="F214" s="31" t="n"/>
      <c r="G214" s="32" t="n"/>
      <c r="H214" s="31" t="n"/>
      <c r="I214" s="30" t="n"/>
      <c r="J214" s="30" t="n"/>
      <c r="K214" s="30" t="n"/>
    </row>
    <row r="215">
      <c r="A215" s="30" t="n"/>
      <c r="B215" s="30" t="n"/>
      <c r="C215" s="30" t="n"/>
      <c r="D215" s="30" t="n"/>
      <c r="E215" s="30" t="n"/>
      <c r="F215" s="31" t="n"/>
      <c r="G215" s="32" t="n"/>
      <c r="H215" s="31" t="n"/>
      <c r="I215" s="30" t="n"/>
      <c r="J215" s="30" t="n"/>
      <c r="K215" s="30" t="n"/>
    </row>
    <row r="216">
      <c r="A216" s="30" t="n"/>
      <c r="B216" s="30" t="n"/>
      <c r="C216" s="30" t="n"/>
      <c r="D216" s="30" t="n"/>
      <c r="E216" s="30" t="n"/>
      <c r="F216" s="31" t="n"/>
      <c r="G216" s="32" t="n"/>
      <c r="H216" s="31" t="n"/>
      <c r="I216" s="30" t="n"/>
      <c r="J216" s="30" t="n"/>
      <c r="K216" s="30" t="n"/>
    </row>
    <row r="217">
      <c r="A217" s="30" t="n"/>
      <c r="B217" s="30" t="n"/>
      <c r="C217" s="30" t="n"/>
      <c r="D217" s="30" t="n"/>
      <c r="E217" s="30" t="n"/>
      <c r="F217" s="31" t="n"/>
      <c r="G217" s="32" t="n"/>
      <c r="H217" s="31" t="n"/>
      <c r="I217" s="30" t="n"/>
      <c r="J217" s="30" t="n"/>
      <c r="K217" s="30" t="n"/>
    </row>
    <row r="218">
      <c r="A218" s="30" t="n"/>
      <c r="B218" s="30" t="n"/>
      <c r="C218" s="30" t="n"/>
      <c r="D218" s="30" t="n"/>
      <c r="E218" s="30" t="n"/>
      <c r="F218" s="31" t="n"/>
      <c r="G218" s="32" t="n"/>
      <c r="H218" s="31" t="n"/>
      <c r="I218" s="30" t="n"/>
      <c r="J218" s="30" t="n"/>
      <c r="K218" s="30" t="n"/>
    </row>
    <row r="219">
      <c r="A219" s="30" t="n"/>
      <c r="B219" s="30" t="n"/>
      <c r="C219" s="30" t="n"/>
      <c r="D219" s="30" t="n"/>
      <c r="E219" s="30" t="n"/>
      <c r="F219" s="31" t="n"/>
      <c r="G219" s="32" t="n"/>
      <c r="H219" s="31" t="n"/>
      <c r="I219" s="30" t="n"/>
      <c r="J219" s="30" t="n"/>
      <c r="K219" s="30" t="n"/>
    </row>
    <row r="220">
      <c r="A220" s="30" t="n"/>
      <c r="B220" s="30" t="n"/>
      <c r="C220" s="30" t="n"/>
      <c r="D220" s="30" t="n"/>
      <c r="E220" s="30" t="n"/>
      <c r="F220" s="31" t="n"/>
      <c r="G220" s="32" t="n"/>
      <c r="H220" s="31" t="n"/>
      <c r="I220" s="30" t="n"/>
      <c r="J220" s="30" t="n"/>
      <c r="K220" s="30" t="n"/>
    </row>
    <row r="221">
      <c r="A221" s="30" t="n"/>
      <c r="B221" s="30" t="n"/>
      <c r="C221" s="30" t="n"/>
      <c r="D221" s="30" t="n"/>
      <c r="E221" s="30" t="n"/>
      <c r="F221" s="31" t="n"/>
      <c r="G221" s="32" t="n"/>
      <c r="H221" s="31" t="n"/>
      <c r="I221" s="30" t="n"/>
      <c r="J221" s="30" t="n"/>
      <c r="K221" s="30" t="n"/>
    </row>
    <row r="222">
      <c r="A222" s="30" t="n"/>
      <c r="B222" s="30" t="n"/>
      <c r="C222" s="30" t="n"/>
      <c r="D222" s="30" t="n"/>
      <c r="E222" s="30" t="n"/>
      <c r="F222" s="31" t="n"/>
      <c r="G222" s="32" t="n"/>
      <c r="H222" s="31" t="n"/>
      <c r="I222" s="30" t="n"/>
      <c r="J222" s="30" t="n"/>
      <c r="K222" s="30" t="n"/>
    </row>
    <row r="223">
      <c r="A223" s="30" t="n"/>
      <c r="B223" s="30" t="n"/>
      <c r="C223" s="30" t="n"/>
      <c r="D223" s="30" t="n"/>
      <c r="E223" s="30" t="n"/>
      <c r="F223" s="31" t="n"/>
      <c r="G223" s="32" t="n"/>
      <c r="H223" s="31" t="n"/>
      <c r="I223" s="30" t="n"/>
      <c r="J223" s="30" t="n"/>
      <c r="K223" s="30" t="n"/>
    </row>
    <row r="224">
      <c r="A224" s="30" t="n"/>
      <c r="B224" s="30" t="n"/>
      <c r="C224" s="30" t="n"/>
      <c r="D224" s="30" t="n"/>
      <c r="E224" s="30" t="n"/>
      <c r="F224" s="31" t="n"/>
      <c r="G224" s="32" t="n"/>
      <c r="H224" s="31" t="n"/>
      <c r="I224" s="30" t="n"/>
      <c r="J224" s="30" t="n"/>
      <c r="K224" s="30" t="n"/>
    </row>
    <row r="225">
      <c r="A225" s="30" t="n"/>
      <c r="B225" s="30" t="n"/>
      <c r="C225" s="30" t="n"/>
      <c r="D225" s="30" t="n"/>
      <c r="E225" s="30" t="n"/>
      <c r="F225" s="31" t="n"/>
      <c r="G225" s="32" t="n"/>
      <c r="H225" s="31" t="n"/>
      <c r="I225" s="30" t="n"/>
      <c r="J225" s="30" t="n"/>
      <c r="K225" s="30" t="n"/>
    </row>
    <row r="226">
      <c r="A226" s="30" t="n"/>
      <c r="B226" s="30" t="n"/>
      <c r="C226" s="30" t="n"/>
      <c r="D226" s="30" t="n"/>
      <c r="E226" s="30" t="n"/>
      <c r="F226" s="31" t="n"/>
      <c r="G226" s="32" t="n"/>
      <c r="H226" s="31" t="n"/>
      <c r="I226" s="30" t="n"/>
      <c r="J226" s="30" t="n"/>
      <c r="K226" s="30" t="n"/>
    </row>
    <row r="227">
      <c r="A227" s="30" t="n"/>
      <c r="B227" s="30" t="n"/>
      <c r="C227" s="30" t="n"/>
      <c r="D227" s="30" t="n"/>
      <c r="E227" s="30" t="n"/>
      <c r="F227" s="31" t="n"/>
      <c r="G227" s="32" t="n"/>
      <c r="H227" s="31" t="n"/>
      <c r="I227" s="30" t="n"/>
      <c r="J227" s="30" t="n"/>
      <c r="K227" s="30" t="n"/>
    </row>
    <row r="228">
      <c r="A228" s="30" t="n"/>
      <c r="B228" s="30" t="n"/>
      <c r="C228" s="30" t="n"/>
      <c r="D228" s="30" t="n"/>
      <c r="E228" s="30" t="n"/>
      <c r="F228" s="31" t="n"/>
      <c r="G228" s="32" t="n"/>
      <c r="H228" s="31" t="n"/>
      <c r="I228" s="30" t="n"/>
      <c r="J228" s="30" t="n"/>
      <c r="K228" s="30" t="n"/>
    </row>
    <row r="229">
      <c r="A229" s="30" t="n"/>
      <c r="B229" s="30" t="n"/>
      <c r="C229" s="30" t="n"/>
      <c r="D229" s="30" t="n"/>
      <c r="E229" s="30" t="n"/>
      <c r="F229" s="31" t="n"/>
      <c r="G229" s="32" t="n"/>
      <c r="H229" s="31" t="n"/>
      <c r="I229" s="30" t="n"/>
      <c r="J229" s="30" t="n"/>
      <c r="K229" s="30" t="n"/>
    </row>
    <row r="230">
      <c r="A230" s="30" t="n"/>
      <c r="B230" s="30" t="n"/>
      <c r="C230" s="30" t="n"/>
      <c r="D230" s="30" t="n"/>
      <c r="E230" s="30" t="n"/>
      <c r="F230" s="31" t="n"/>
      <c r="G230" s="32" t="n"/>
      <c r="H230" s="31" t="n"/>
      <c r="I230" s="30" t="n"/>
      <c r="J230" s="30" t="n"/>
      <c r="K230" s="30" t="n"/>
    </row>
    <row r="231">
      <c r="A231" s="30" t="n"/>
      <c r="B231" s="30" t="n"/>
      <c r="C231" s="30" t="n"/>
      <c r="D231" s="30" t="n"/>
      <c r="E231" s="30" t="n"/>
      <c r="F231" s="31" t="n"/>
      <c r="G231" s="32" t="n"/>
      <c r="H231" s="31" t="n"/>
      <c r="I231" s="30" t="n"/>
      <c r="J231" s="30" t="n"/>
      <c r="K231" s="30" t="n"/>
    </row>
    <row r="232">
      <c r="A232" s="30" t="n"/>
      <c r="B232" s="30" t="n"/>
      <c r="C232" s="30" t="n"/>
      <c r="D232" s="30" t="n"/>
      <c r="E232" s="30" t="n"/>
      <c r="F232" s="31" t="n"/>
      <c r="G232" s="32" t="n"/>
      <c r="H232" s="31" t="n"/>
      <c r="I232" s="30" t="n"/>
      <c r="J232" s="30" t="n"/>
      <c r="K232" s="30" t="n"/>
    </row>
    <row r="233">
      <c r="A233" s="30" t="n"/>
      <c r="B233" s="30" t="n"/>
      <c r="C233" s="30" t="n"/>
      <c r="D233" s="30" t="n"/>
      <c r="E233" s="30" t="n"/>
      <c r="F233" s="31" t="n"/>
      <c r="G233" s="32" t="n"/>
      <c r="H233" s="31" t="n"/>
      <c r="I233" s="30" t="n"/>
      <c r="J233" s="30" t="n"/>
      <c r="K233" s="30" t="n"/>
    </row>
    <row r="234">
      <c r="A234" s="30" t="n"/>
      <c r="B234" s="30" t="n"/>
      <c r="C234" s="30" t="n"/>
      <c r="D234" s="30" t="n"/>
      <c r="E234" s="30" t="n"/>
      <c r="F234" s="31" t="n"/>
      <c r="G234" s="32" t="n"/>
      <c r="H234" s="31" t="n"/>
      <c r="I234" s="30" t="n"/>
      <c r="J234" s="30" t="n"/>
      <c r="K234" s="30" t="n"/>
    </row>
    <row r="235">
      <c r="A235" s="30" t="n"/>
      <c r="B235" s="30" t="n"/>
      <c r="C235" s="30" t="n"/>
      <c r="D235" s="30" t="n"/>
      <c r="E235" s="30" t="n"/>
      <c r="F235" s="31" t="n"/>
      <c r="G235" s="32" t="n"/>
      <c r="H235" s="31" t="n"/>
      <c r="I235" s="30" t="n"/>
      <c r="J235" s="30" t="n"/>
      <c r="K235" s="30" t="n"/>
    </row>
    <row r="236">
      <c r="A236" s="30" t="n"/>
      <c r="B236" s="30" t="n"/>
      <c r="C236" s="30" t="n"/>
      <c r="D236" s="30" t="n"/>
      <c r="E236" s="30" t="n"/>
      <c r="F236" s="31" t="n"/>
      <c r="G236" s="32" t="n"/>
      <c r="H236" s="31" t="n"/>
      <c r="I236" s="30" t="n"/>
      <c r="J236" s="30" t="n"/>
      <c r="K236" s="30" t="n"/>
    </row>
    <row r="237">
      <c r="A237" s="30" t="n"/>
      <c r="B237" s="30" t="n"/>
      <c r="C237" s="30" t="n"/>
      <c r="D237" s="30" t="n"/>
      <c r="E237" s="30" t="n"/>
      <c r="F237" s="31" t="n"/>
      <c r="G237" s="32" t="n"/>
      <c r="H237" s="31" t="n"/>
      <c r="I237" s="30" t="n"/>
      <c r="J237" s="30" t="n"/>
      <c r="K237" s="30" t="n"/>
    </row>
    <row r="238">
      <c r="A238" s="30" t="n"/>
      <c r="B238" s="30" t="n"/>
      <c r="C238" s="30" t="n"/>
      <c r="D238" s="30" t="n"/>
      <c r="E238" s="30" t="n"/>
      <c r="F238" s="31" t="n"/>
      <c r="G238" s="32" t="n"/>
      <c r="H238" s="31" t="n"/>
      <c r="I238" s="30" t="n"/>
      <c r="J238" s="30" t="n"/>
      <c r="K238" s="30" t="n"/>
    </row>
    <row r="239">
      <c r="A239" s="30" t="n"/>
      <c r="B239" s="30" t="n"/>
      <c r="C239" s="30" t="n"/>
      <c r="D239" s="30" t="n"/>
      <c r="E239" s="30" t="n"/>
      <c r="F239" s="31" t="n"/>
      <c r="G239" s="32" t="n"/>
      <c r="H239" s="31" t="n"/>
      <c r="I239" s="30" t="n"/>
      <c r="J239" s="30" t="n"/>
      <c r="K239" s="30" t="n"/>
    </row>
    <row r="240">
      <c r="A240" s="30" t="n"/>
      <c r="B240" s="30" t="n"/>
      <c r="C240" s="30" t="n"/>
      <c r="D240" s="30" t="n"/>
      <c r="E240" s="30" t="n"/>
      <c r="F240" s="31" t="n"/>
      <c r="G240" s="32" t="n"/>
      <c r="H240" s="31" t="n"/>
      <c r="I240" s="30" t="n"/>
      <c r="J240" s="30" t="n"/>
      <c r="K240" s="30" t="n"/>
    </row>
    <row r="241">
      <c r="A241" s="30" t="n"/>
      <c r="B241" s="30" t="n"/>
      <c r="C241" s="30" t="n"/>
      <c r="D241" s="30" t="n"/>
      <c r="E241" s="30" t="n"/>
      <c r="F241" s="31" t="n"/>
      <c r="G241" s="32" t="n"/>
      <c r="H241" s="31" t="n"/>
      <c r="I241" s="30" t="n"/>
      <c r="J241" s="30" t="n"/>
      <c r="K241" s="30" t="n"/>
    </row>
    <row r="242">
      <c r="A242" s="30" t="n"/>
      <c r="B242" s="30" t="n"/>
      <c r="C242" s="30" t="n"/>
      <c r="D242" s="30" t="n"/>
      <c r="E242" s="30" t="n"/>
      <c r="F242" s="31" t="n"/>
      <c r="G242" s="32" t="n"/>
      <c r="H242" s="31" t="n"/>
      <c r="I242" s="30" t="n"/>
      <c r="J242" s="30" t="n"/>
      <c r="K242" s="30" t="n"/>
    </row>
    <row r="243">
      <c r="A243" s="30" t="n"/>
      <c r="B243" s="30" t="n"/>
      <c r="C243" s="30" t="n"/>
      <c r="D243" s="30" t="n"/>
      <c r="E243" s="30" t="n"/>
      <c r="F243" s="31" t="n"/>
      <c r="G243" s="32" t="n"/>
      <c r="H243" s="31" t="n"/>
      <c r="I243" s="30" t="n"/>
      <c r="J243" s="30" t="n"/>
      <c r="K243" s="30" t="n"/>
    </row>
    <row r="244">
      <c r="A244" s="30" t="n"/>
      <c r="B244" s="30" t="n"/>
      <c r="C244" s="30" t="n"/>
      <c r="D244" s="30" t="n"/>
      <c r="E244" s="30" t="n"/>
      <c r="F244" s="31" t="n"/>
      <c r="G244" s="32" t="n"/>
      <c r="H244" s="31" t="n"/>
      <c r="I244" s="30" t="n"/>
      <c r="J244" s="30" t="n"/>
      <c r="K244" s="30" t="n"/>
    </row>
    <row r="245">
      <c r="A245" s="30" t="n"/>
      <c r="B245" s="30" t="n"/>
      <c r="C245" s="30" t="n"/>
      <c r="D245" s="30" t="n"/>
      <c r="E245" s="30" t="n"/>
      <c r="F245" s="31" t="n"/>
      <c r="G245" s="32" t="n"/>
      <c r="H245" s="31" t="n"/>
      <c r="I245" s="30" t="n"/>
      <c r="J245" s="30" t="n"/>
      <c r="K245" s="30" t="n"/>
    </row>
    <row r="246">
      <c r="A246" s="30" t="n"/>
      <c r="B246" s="30" t="n"/>
      <c r="C246" s="30" t="n"/>
      <c r="D246" s="30" t="n"/>
      <c r="E246" s="30" t="n"/>
      <c r="F246" s="31" t="n"/>
      <c r="G246" s="32" t="n"/>
      <c r="H246" s="31" t="n"/>
      <c r="I246" s="30" t="n"/>
      <c r="J246" s="30" t="n"/>
      <c r="K246" s="30" t="n"/>
    </row>
    <row r="247">
      <c r="A247" s="30" t="n"/>
      <c r="B247" s="30" t="n"/>
      <c r="C247" s="30" t="n"/>
      <c r="D247" s="30" t="n"/>
      <c r="E247" s="30" t="n"/>
      <c r="F247" s="31" t="n"/>
      <c r="G247" s="32" t="n"/>
      <c r="H247" s="31" t="n"/>
      <c r="I247" s="30" t="n"/>
      <c r="J247" s="30" t="n"/>
      <c r="K247" s="30" t="n"/>
    </row>
    <row r="248">
      <c r="A248" s="30" t="n"/>
      <c r="B248" s="30" t="n"/>
      <c r="C248" s="30" t="n"/>
      <c r="D248" s="30" t="n"/>
      <c r="E248" s="30" t="n"/>
      <c r="F248" s="31" t="n"/>
      <c r="G248" s="32" t="n"/>
      <c r="H248" s="31" t="n"/>
      <c r="I248" s="30" t="n"/>
      <c r="J248" s="30" t="n"/>
      <c r="K248" s="30" t="n"/>
    </row>
    <row r="249">
      <c r="A249" s="30" t="n"/>
      <c r="B249" s="30" t="n"/>
      <c r="C249" s="30" t="n"/>
      <c r="D249" s="30" t="n"/>
      <c r="E249" s="30" t="n"/>
      <c r="F249" s="31" t="n"/>
      <c r="G249" s="32" t="n"/>
      <c r="H249" s="31" t="n"/>
      <c r="I249" s="30" t="n"/>
      <c r="J249" s="30" t="n"/>
      <c r="K249" s="30" t="n"/>
    </row>
    <row r="250">
      <c r="A250" s="30" t="n"/>
      <c r="B250" s="30" t="n"/>
      <c r="C250" s="30" t="n"/>
      <c r="D250" s="30" t="n"/>
      <c r="E250" s="30" t="n"/>
      <c r="F250" s="31" t="n"/>
      <c r="G250" s="32" t="n"/>
      <c r="H250" s="31" t="n"/>
      <c r="I250" s="30" t="n"/>
      <c r="J250" s="30" t="n"/>
      <c r="K250" s="30" t="n"/>
    </row>
    <row r="251">
      <c r="A251" s="30" t="n"/>
      <c r="B251" s="30" t="n"/>
      <c r="C251" s="30" t="n"/>
      <c r="D251" s="30" t="n"/>
      <c r="E251" s="30" t="n"/>
      <c r="F251" s="31" t="n"/>
      <c r="G251" s="32" t="n"/>
      <c r="H251" s="31" t="n"/>
      <c r="I251" s="30" t="n"/>
      <c r="J251" s="30" t="n"/>
      <c r="K251" s="30" t="n"/>
    </row>
    <row r="252">
      <c r="A252" s="30" t="n"/>
      <c r="B252" s="30" t="n"/>
      <c r="C252" s="30" t="n"/>
      <c r="D252" s="30" t="n"/>
      <c r="E252" s="30" t="n"/>
      <c r="F252" s="31" t="n"/>
      <c r="G252" s="32" t="n"/>
      <c r="H252" s="31" t="n"/>
      <c r="I252" s="30" t="n"/>
      <c r="J252" s="30" t="n"/>
      <c r="K252" s="30" t="n"/>
    </row>
    <row r="253">
      <c r="A253" s="30" t="n"/>
      <c r="B253" s="30" t="n"/>
      <c r="C253" s="30" t="n"/>
      <c r="D253" s="30" t="n"/>
      <c r="E253" s="30" t="n"/>
      <c r="F253" s="31" t="n"/>
      <c r="G253" s="32" t="n"/>
      <c r="H253" s="31" t="n"/>
      <c r="I253" s="30" t="n"/>
      <c r="J253" s="30" t="n"/>
      <c r="K253" s="30" t="n"/>
    </row>
    <row r="254">
      <c r="A254" s="30" t="n"/>
      <c r="B254" s="30" t="n"/>
      <c r="C254" s="30" t="n"/>
      <c r="D254" s="30" t="n"/>
      <c r="E254" s="30" t="n"/>
      <c r="F254" s="31" t="n"/>
      <c r="G254" s="32" t="n"/>
      <c r="H254" s="31" t="n"/>
      <c r="I254" s="30" t="n"/>
      <c r="J254" s="30" t="n"/>
      <c r="K254" s="30" t="n"/>
    </row>
    <row r="255">
      <c r="A255" s="30" t="n"/>
      <c r="B255" s="30" t="n"/>
      <c r="C255" s="30" t="n"/>
      <c r="D255" s="30" t="n"/>
      <c r="E255" s="30" t="n"/>
      <c r="F255" s="31" t="n"/>
      <c r="G255" s="32" t="n"/>
      <c r="H255" s="31" t="n"/>
      <c r="I255" s="30" t="n"/>
      <c r="J255" s="30" t="n"/>
      <c r="K255" s="30" t="n"/>
    </row>
    <row r="256">
      <c r="A256" s="30" t="n"/>
      <c r="B256" s="30" t="n"/>
      <c r="C256" s="30" t="n"/>
      <c r="D256" s="30" t="n"/>
      <c r="E256" s="30" t="n"/>
      <c r="F256" s="31" t="n"/>
      <c r="G256" s="32" t="n"/>
      <c r="H256" s="31" t="n"/>
      <c r="I256" s="30" t="n"/>
      <c r="J256" s="30" t="n"/>
      <c r="K256" s="30" t="n"/>
    </row>
    <row r="257">
      <c r="A257" s="30" t="n"/>
      <c r="B257" s="30" t="n"/>
      <c r="C257" s="30" t="n"/>
      <c r="D257" s="30" t="n"/>
      <c r="E257" s="30" t="n"/>
      <c r="F257" s="31" t="n"/>
      <c r="G257" s="32" t="n"/>
      <c r="H257" s="31" t="n"/>
      <c r="I257" s="30" t="n"/>
      <c r="J257" s="30" t="n"/>
      <c r="K257" s="30" t="n"/>
    </row>
    <row r="258">
      <c r="A258" s="30" t="n"/>
      <c r="B258" s="30" t="n"/>
      <c r="C258" s="30" t="n"/>
      <c r="D258" s="30" t="n"/>
      <c r="E258" s="30" t="n"/>
      <c r="F258" s="31" t="n"/>
      <c r="G258" s="32" t="n"/>
      <c r="H258" s="31" t="n"/>
      <c r="I258" s="30" t="n"/>
      <c r="J258" s="30" t="n"/>
      <c r="K258" s="30" t="n"/>
    </row>
    <row r="259">
      <c r="A259" s="30" t="n"/>
      <c r="B259" s="30" t="n"/>
      <c r="C259" s="30" t="n"/>
      <c r="D259" s="30" t="n"/>
      <c r="E259" s="30" t="n"/>
      <c r="F259" s="31" t="n"/>
      <c r="G259" s="32" t="n"/>
      <c r="H259" s="31" t="n"/>
      <c r="I259" s="30" t="n"/>
      <c r="J259" s="30" t="n"/>
      <c r="K259" s="30" t="n"/>
    </row>
    <row r="260">
      <c r="A260" s="30" t="n"/>
      <c r="B260" s="30" t="n"/>
      <c r="C260" s="30" t="n"/>
      <c r="D260" s="30" t="n"/>
      <c r="E260" s="30" t="n"/>
      <c r="F260" s="31" t="n"/>
      <c r="G260" s="32" t="n"/>
      <c r="H260" s="31" t="n"/>
      <c r="I260" s="30" t="n"/>
      <c r="J260" s="30" t="n"/>
      <c r="K260" s="30" t="n"/>
    </row>
    <row r="261">
      <c r="A261" s="30" t="n"/>
      <c r="B261" s="30" t="n"/>
      <c r="C261" s="30" t="n"/>
      <c r="D261" s="30" t="n"/>
      <c r="E261" s="30" t="n"/>
      <c r="F261" s="31" t="n"/>
      <c r="G261" s="32" t="n"/>
      <c r="H261" s="31" t="n"/>
      <c r="I261" s="30" t="n"/>
      <c r="J261" s="30" t="n"/>
      <c r="K261" s="30" t="n"/>
    </row>
    <row r="262">
      <c r="A262" s="30" t="n"/>
      <c r="B262" s="30" t="n"/>
      <c r="C262" s="30" t="n"/>
      <c r="D262" s="30" t="n"/>
      <c r="E262" s="30" t="n"/>
      <c r="F262" s="31" t="n"/>
      <c r="G262" s="32" t="n"/>
      <c r="H262" s="31" t="n"/>
      <c r="I262" s="30" t="n"/>
      <c r="J262" s="30" t="n"/>
      <c r="K262" s="30" t="n"/>
    </row>
    <row r="263">
      <c r="A263" s="30" t="n"/>
      <c r="B263" s="30" t="n"/>
      <c r="C263" s="30" t="n"/>
      <c r="D263" s="30" t="n"/>
      <c r="E263" s="30" t="n"/>
      <c r="F263" s="31" t="n"/>
      <c r="G263" s="32" t="n"/>
      <c r="H263" s="31" t="n"/>
      <c r="I263" s="30" t="n"/>
      <c r="J263" s="30" t="n"/>
      <c r="K263" s="30" t="n"/>
    </row>
    <row r="264">
      <c r="A264" s="30" t="n"/>
      <c r="B264" s="30" t="n"/>
      <c r="C264" s="30" t="n"/>
      <c r="D264" s="30" t="n"/>
      <c r="E264" s="30" t="n"/>
      <c r="F264" s="31" t="n"/>
      <c r="G264" s="32" t="n"/>
      <c r="H264" s="31" t="n"/>
      <c r="I264" s="30" t="n"/>
      <c r="J264" s="30" t="n"/>
      <c r="K264" s="30" t="n"/>
    </row>
    <row r="265">
      <c r="A265" s="30" t="n"/>
      <c r="B265" s="30" t="n"/>
      <c r="C265" s="30" t="n"/>
      <c r="D265" s="30" t="n"/>
      <c r="E265" s="30" t="n"/>
      <c r="F265" s="31" t="n"/>
      <c r="G265" s="32" t="n"/>
      <c r="H265" s="31" t="n"/>
      <c r="I265" s="30" t="n"/>
      <c r="J265" s="30" t="n"/>
      <c r="K265" s="30" t="n"/>
    </row>
    <row r="266">
      <c r="A266" s="30" t="n"/>
      <c r="B266" s="30" t="n"/>
      <c r="C266" s="30" t="n"/>
      <c r="D266" s="30" t="n"/>
      <c r="E266" s="30" t="n"/>
      <c r="F266" s="31" t="n"/>
      <c r="G266" s="32" t="n"/>
      <c r="H266" s="31" t="n"/>
      <c r="I266" s="30" t="n"/>
      <c r="J266" s="30" t="n"/>
      <c r="K266" s="30" t="n"/>
    </row>
    <row r="267">
      <c r="A267" s="30" t="n"/>
      <c r="B267" s="30" t="n"/>
      <c r="C267" s="30" t="n"/>
      <c r="D267" s="30" t="n"/>
      <c r="E267" s="30" t="n"/>
      <c r="F267" s="31" t="n"/>
      <c r="G267" s="32" t="n"/>
      <c r="H267" s="31" t="n"/>
      <c r="I267" s="30" t="n"/>
      <c r="J267" s="30" t="n"/>
      <c r="K267" s="30" t="n"/>
    </row>
    <row r="268">
      <c r="A268" s="30" t="n"/>
      <c r="B268" s="30" t="n"/>
      <c r="C268" s="30" t="n"/>
      <c r="D268" s="30" t="n"/>
      <c r="E268" s="30" t="n"/>
      <c r="F268" s="31" t="n"/>
      <c r="G268" s="32" t="n"/>
      <c r="H268" s="31" t="n"/>
      <c r="I268" s="30" t="n"/>
      <c r="J268" s="30" t="n"/>
      <c r="K268" s="30" t="n"/>
    </row>
    <row r="269">
      <c r="A269" s="30" t="n"/>
      <c r="B269" s="30" t="n"/>
      <c r="C269" s="30" t="n"/>
      <c r="D269" s="30" t="n"/>
      <c r="E269" s="30" t="n"/>
      <c r="F269" s="31" t="n"/>
      <c r="G269" s="32" t="n"/>
      <c r="H269" s="31" t="n"/>
      <c r="I269" s="30" t="n"/>
      <c r="J269" s="30" t="n"/>
      <c r="K269" s="30" t="n"/>
    </row>
    <row r="270">
      <c r="A270" s="30" t="n"/>
      <c r="B270" s="30" t="n"/>
      <c r="C270" s="30" t="n"/>
      <c r="D270" s="30" t="n"/>
      <c r="E270" s="30" t="n"/>
      <c r="F270" s="31" t="n"/>
      <c r="G270" s="32" t="n"/>
      <c r="H270" s="31" t="n"/>
      <c r="I270" s="30" t="n"/>
      <c r="J270" s="30" t="n"/>
      <c r="K270" s="30" t="n"/>
    </row>
    <row r="271">
      <c r="A271" s="30" t="n"/>
      <c r="B271" s="30" t="n"/>
      <c r="C271" s="30" t="n"/>
      <c r="D271" s="30" t="n"/>
      <c r="E271" s="30" t="n"/>
      <c r="F271" s="31" t="n"/>
      <c r="G271" s="32" t="n"/>
      <c r="H271" s="31" t="n"/>
      <c r="I271" s="30" t="n"/>
      <c r="J271" s="30" t="n"/>
      <c r="K271" s="30" t="n"/>
    </row>
    <row r="272">
      <c r="A272" s="30" t="n"/>
      <c r="B272" s="30" t="n"/>
      <c r="C272" s="30" t="n"/>
      <c r="D272" s="30" t="n"/>
      <c r="E272" s="30" t="n"/>
      <c r="F272" s="31" t="n"/>
      <c r="G272" s="32" t="n"/>
      <c r="H272" s="31" t="n"/>
      <c r="I272" s="30" t="n"/>
      <c r="J272" s="30" t="n"/>
      <c r="K272" s="30" t="n"/>
    </row>
    <row r="273">
      <c r="A273" s="30" t="n"/>
      <c r="B273" s="30" t="n"/>
      <c r="C273" s="30" t="n"/>
      <c r="D273" s="30" t="n"/>
      <c r="E273" s="30" t="n"/>
      <c r="F273" s="31" t="n"/>
      <c r="G273" s="32" t="n"/>
      <c r="H273" s="31" t="n"/>
      <c r="I273" s="30" t="n"/>
      <c r="J273" s="30" t="n"/>
      <c r="K273" s="30" t="n"/>
    </row>
    <row r="274">
      <c r="A274" s="30" t="n"/>
      <c r="B274" s="30" t="n"/>
      <c r="C274" s="30" t="n"/>
      <c r="D274" s="30" t="n"/>
      <c r="E274" s="30" t="n"/>
      <c r="F274" s="31" t="n"/>
      <c r="G274" s="32" t="n"/>
      <c r="H274" s="31" t="n"/>
      <c r="I274" s="30" t="n"/>
      <c r="J274" s="30" t="n"/>
      <c r="K274" s="30" t="n"/>
    </row>
    <row r="275">
      <c r="A275" s="30" t="n"/>
      <c r="B275" s="30" t="n"/>
      <c r="C275" s="30" t="n"/>
      <c r="D275" s="30" t="n"/>
      <c r="E275" s="30" t="n"/>
      <c r="F275" s="31" t="n"/>
      <c r="G275" s="32" t="n"/>
      <c r="H275" s="31" t="n"/>
      <c r="I275" s="30" t="n"/>
      <c r="J275" s="30" t="n"/>
      <c r="K275" s="30" t="n"/>
    </row>
    <row r="276">
      <c r="A276" s="30" t="n"/>
      <c r="B276" s="30" t="n"/>
      <c r="C276" s="30" t="n"/>
      <c r="D276" s="30" t="n"/>
      <c r="E276" s="30" t="n"/>
      <c r="F276" s="31" t="n"/>
      <c r="G276" s="32" t="n"/>
      <c r="H276" s="31" t="n"/>
      <c r="I276" s="30" t="n"/>
      <c r="J276" s="30" t="n"/>
      <c r="K276" s="30" t="n"/>
    </row>
    <row r="277">
      <c r="A277" s="30" t="n"/>
      <c r="B277" s="30" t="n"/>
      <c r="C277" s="30" t="n"/>
      <c r="D277" s="30" t="n"/>
      <c r="E277" s="30" t="n"/>
      <c r="F277" s="31" t="n"/>
      <c r="G277" s="32" t="n"/>
      <c r="H277" s="31" t="n"/>
      <c r="I277" s="30" t="n"/>
      <c r="J277" s="30" t="n"/>
      <c r="K277" s="30" t="n"/>
    </row>
    <row r="278">
      <c r="A278" s="30" t="n"/>
      <c r="B278" s="30" t="n"/>
      <c r="C278" s="30" t="n"/>
      <c r="D278" s="30" t="n"/>
      <c r="E278" s="30" t="n"/>
      <c r="F278" s="31" t="n"/>
      <c r="G278" s="32" t="n"/>
      <c r="H278" s="31" t="n"/>
      <c r="I278" s="30" t="n"/>
      <c r="J278" s="30" t="n"/>
      <c r="K278" s="30" t="n"/>
    </row>
    <row r="279">
      <c r="A279" s="30" t="n"/>
      <c r="B279" s="30" t="n"/>
      <c r="C279" s="30" t="n"/>
      <c r="D279" s="30" t="n"/>
      <c r="E279" s="30" t="n"/>
      <c r="F279" s="31" t="n"/>
      <c r="G279" s="32" t="n"/>
      <c r="H279" s="31" t="n"/>
      <c r="I279" s="30" t="n"/>
      <c r="J279" s="30" t="n"/>
      <c r="K279" s="30" t="n"/>
    </row>
    <row r="280">
      <c r="A280" s="30" t="n"/>
      <c r="B280" s="30" t="n"/>
      <c r="C280" s="30" t="n"/>
      <c r="D280" s="30" t="n"/>
      <c r="E280" s="30" t="n"/>
      <c r="F280" s="31" t="n"/>
      <c r="G280" s="32" t="n"/>
      <c r="H280" s="31" t="n"/>
      <c r="I280" s="30" t="n"/>
      <c r="J280" s="30" t="n"/>
      <c r="K280" s="30" t="n"/>
    </row>
    <row r="281">
      <c r="A281" s="30" t="n"/>
      <c r="B281" s="30" t="n"/>
      <c r="C281" s="30" t="n"/>
      <c r="D281" s="30" t="n"/>
      <c r="E281" s="30" t="n"/>
      <c r="F281" s="31" t="n"/>
      <c r="G281" s="32" t="n"/>
      <c r="H281" s="31" t="n"/>
      <c r="I281" s="30" t="n"/>
      <c r="J281" s="30" t="n"/>
      <c r="K281" s="30" t="n"/>
    </row>
    <row r="282">
      <c r="A282" s="30" t="n"/>
      <c r="B282" s="30" t="n"/>
      <c r="C282" s="30" t="n"/>
      <c r="D282" s="30" t="n"/>
      <c r="E282" s="30" t="n"/>
      <c r="F282" s="31" t="n"/>
      <c r="G282" s="32" t="n"/>
      <c r="H282" s="31" t="n"/>
      <c r="I282" s="30" t="n"/>
      <c r="J282" s="30" t="n"/>
      <c r="K282" s="30" t="n"/>
    </row>
    <row r="283">
      <c r="A283" s="30" t="n"/>
      <c r="B283" s="30" t="n"/>
      <c r="C283" s="30" t="n"/>
      <c r="D283" s="30" t="n"/>
      <c r="E283" s="30" t="n"/>
      <c r="F283" s="31" t="n"/>
      <c r="G283" s="32" t="n"/>
      <c r="H283" s="31" t="n"/>
      <c r="I283" s="30" t="n"/>
      <c r="J283" s="30" t="n"/>
      <c r="K283" s="30" t="n"/>
    </row>
    <row r="284">
      <c r="A284" s="30" t="n"/>
      <c r="B284" s="30" t="n"/>
      <c r="C284" s="30" t="n"/>
      <c r="D284" s="30" t="n"/>
      <c r="E284" s="30" t="n"/>
      <c r="F284" s="31" t="n"/>
      <c r="G284" s="32" t="n"/>
      <c r="H284" s="31" t="n"/>
      <c r="I284" s="30" t="n"/>
      <c r="J284" s="30" t="n"/>
      <c r="K284" s="30" t="n"/>
    </row>
    <row r="285">
      <c r="A285" s="30" t="n"/>
      <c r="B285" s="30" t="n"/>
      <c r="C285" s="30" t="n"/>
      <c r="D285" s="30" t="n"/>
      <c r="E285" s="30" t="n"/>
      <c r="F285" s="31" t="n"/>
      <c r="G285" s="32" t="n"/>
      <c r="H285" s="31" t="n"/>
      <c r="I285" s="30" t="n"/>
      <c r="J285" s="30" t="n"/>
      <c r="K285" s="30" t="n"/>
    </row>
    <row r="286">
      <c r="A286" s="30" t="n"/>
      <c r="B286" s="30" t="n"/>
      <c r="C286" s="30" t="n"/>
      <c r="D286" s="30" t="n"/>
      <c r="E286" s="30" t="n"/>
      <c r="F286" s="31" t="n"/>
      <c r="G286" s="32" t="n"/>
      <c r="H286" s="31" t="n"/>
      <c r="I286" s="30" t="n"/>
      <c r="J286" s="30" t="n"/>
      <c r="K286" s="30" t="n"/>
    </row>
    <row r="287">
      <c r="A287" s="30" t="n"/>
      <c r="B287" s="30" t="n"/>
      <c r="C287" s="30" t="n"/>
      <c r="D287" s="30" t="n"/>
      <c r="E287" s="30" t="n"/>
      <c r="F287" s="31" t="n"/>
      <c r="G287" s="32" t="n"/>
      <c r="H287" s="31" t="n"/>
      <c r="I287" s="30" t="n"/>
      <c r="J287" s="30" t="n"/>
      <c r="K287" s="30" t="n"/>
    </row>
    <row r="288">
      <c r="A288" s="30" t="n"/>
      <c r="B288" s="30" t="n"/>
      <c r="C288" s="30" t="n"/>
      <c r="D288" s="30" t="n"/>
      <c r="E288" s="30" t="n"/>
      <c r="F288" s="31" t="n"/>
      <c r="G288" s="32" t="n"/>
      <c r="H288" s="31" t="n"/>
      <c r="I288" s="30" t="n"/>
      <c r="J288" s="30" t="n"/>
      <c r="K288" s="30" t="n"/>
    </row>
    <row r="289">
      <c r="A289" s="30" t="n"/>
      <c r="B289" s="30" t="n"/>
      <c r="C289" s="30" t="n"/>
      <c r="D289" s="30" t="n"/>
      <c r="E289" s="30" t="n"/>
      <c r="F289" s="31" t="n"/>
      <c r="G289" s="32" t="n"/>
      <c r="H289" s="31" t="n"/>
      <c r="I289" s="30" t="n"/>
      <c r="J289" s="30" t="n"/>
      <c r="K289" s="30" t="n"/>
    </row>
    <row r="290">
      <c r="A290" s="30" t="n"/>
      <c r="B290" s="30" t="n"/>
      <c r="C290" s="30" t="n"/>
      <c r="D290" s="30" t="n"/>
      <c r="E290" s="30" t="n"/>
      <c r="F290" s="31" t="n"/>
      <c r="G290" s="32" t="n"/>
      <c r="H290" s="31" t="n"/>
      <c r="I290" s="30" t="n"/>
      <c r="J290" s="30" t="n"/>
      <c r="K290" s="30" t="n"/>
    </row>
    <row r="291">
      <c r="A291" s="30" t="n"/>
      <c r="B291" s="30" t="n"/>
      <c r="C291" s="30" t="n"/>
      <c r="D291" s="30" t="n"/>
      <c r="E291" s="30" t="n"/>
      <c r="F291" s="31" t="n"/>
      <c r="G291" s="32" t="n"/>
      <c r="H291" s="31" t="n"/>
      <c r="I291" s="30" t="n"/>
      <c r="J291" s="30" t="n"/>
      <c r="K291" s="30" t="n"/>
    </row>
    <row r="292">
      <c r="A292" s="30" t="n"/>
      <c r="B292" s="30" t="n"/>
      <c r="C292" s="30" t="n"/>
      <c r="D292" s="30" t="n"/>
      <c r="E292" s="30" t="n"/>
      <c r="F292" s="31" t="n"/>
      <c r="G292" s="32" t="n"/>
      <c r="H292" s="31" t="n"/>
      <c r="I292" s="30" t="n"/>
      <c r="J292" s="30" t="n"/>
      <c r="K292" s="30" t="n"/>
    </row>
    <row r="293">
      <c r="A293" s="30" t="n"/>
      <c r="B293" s="30" t="n"/>
      <c r="C293" s="30" t="n"/>
      <c r="D293" s="30" t="n"/>
      <c r="E293" s="30" t="n"/>
      <c r="F293" s="31" t="n"/>
      <c r="G293" s="32" t="n"/>
      <c r="H293" s="31" t="n"/>
      <c r="I293" s="30" t="n"/>
      <c r="J293" s="30" t="n"/>
      <c r="K293" s="30" t="n"/>
    </row>
    <row r="294">
      <c r="A294" s="30" t="n"/>
      <c r="B294" s="30" t="n"/>
      <c r="C294" s="30" t="n"/>
      <c r="D294" s="30" t="n"/>
      <c r="E294" s="30" t="n"/>
      <c r="F294" s="31" t="n"/>
      <c r="G294" s="32" t="n"/>
      <c r="H294" s="31" t="n"/>
      <c r="I294" s="30" t="n"/>
      <c r="J294" s="30" t="n"/>
      <c r="K294" s="30" t="n"/>
    </row>
    <row r="295">
      <c r="A295" s="30" t="n"/>
      <c r="B295" s="30" t="n"/>
      <c r="C295" s="30" t="n"/>
      <c r="D295" s="30" t="n"/>
      <c r="E295" s="30" t="n"/>
      <c r="F295" s="31" t="n"/>
      <c r="G295" s="32" t="n"/>
      <c r="H295" s="31" t="n"/>
      <c r="I295" s="30" t="n"/>
      <c r="J295" s="30" t="n"/>
      <c r="K295" s="30" t="n"/>
    </row>
    <row r="296">
      <c r="A296" s="30" t="n"/>
      <c r="B296" s="30" t="n"/>
      <c r="C296" s="30" t="n"/>
      <c r="D296" s="30" t="n"/>
      <c r="E296" s="30" t="n"/>
      <c r="F296" s="31" t="n"/>
      <c r="G296" s="32" t="n"/>
      <c r="H296" s="31" t="n"/>
      <c r="I296" s="30" t="n"/>
      <c r="J296" s="30" t="n"/>
      <c r="K296" s="30" t="n"/>
    </row>
    <row r="297">
      <c r="A297" s="30" t="n"/>
      <c r="B297" s="30" t="n"/>
      <c r="C297" s="30" t="n"/>
      <c r="D297" s="30" t="n"/>
      <c r="E297" s="30" t="n"/>
      <c r="F297" s="31" t="n"/>
      <c r="G297" s="32" t="n"/>
      <c r="H297" s="31" t="n"/>
      <c r="I297" s="30" t="n"/>
      <c r="J297" s="30" t="n"/>
      <c r="K297" s="30" t="n"/>
    </row>
    <row r="298">
      <c r="A298" s="30" t="n"/>
      <c r="B298" s="30" t="n"/>
      <c r="C298" s="30" t="n"/>
      <c r="D298" s="30" t="n"/>
      <c r="E298" s="30" t="n"/>
      <c r="F298" s="31" t="n"/>
      <c r="G298" s="32" t="n"/>
      <c r="H298" s="31" t="n"/>
      <c r="I298" s="30" t="n"/>
      <c r="J298" s="30" t="n"/>
      <c r="K298" s="30" t="n"/>
    </row>
    <row r="299">
      <c r="A299" s="30" t="n"/>
      <c r="B299" s="30" t="n"/>
      <c r="C299" s="30" t="n"/>
      <c r="D299" s="30" t="n"/>
      <c r="E299" s="30" t="n"/>
      <c r="F299" s="31" t="n"/>
      <c r="G299" s="32" t="n"/>
      <c r="H299" s="31" t="n"/>
      <c r="I299" s="30" t="n"/>
      <c r="J299" s="30" t="n"/>
      <c r="K299" s="30" t="n"/>
    </row>
    <row r="300">
      <c r="A300" s="30" t="n"/>
      <c r="B300" s="30" t="n"/>
      <c r="C300" s="30" t="n"/>
      <c r="D300" s="30" t="n"/>
      <c r="E300" s="30" t="n"/>
      <c r="F300" s="31" t="n"/>
      <c r="G300" s="32" t="n"/>
      <c r="H300" s="31" t="n"/>
      <c r="I300" s="30" t="n"/>
      <c r="J300" s="30" t="n"/>
      <c r="K300" s="30" t="n"/>
    </row>
    <row r="301">
      <c r="A301" s="30" t="n"/>
      <c r="B301" s="30" t="n"/>
      <c r="C301" s="30" t="n"/>
      <c r="D301" s="30" t="n"/>
      <c r="E301" s="30" t="n"/>
      <c r="F301" s="31" t="n"/>
      <c r="G301" s="32" t="n"/>
      <c r="H301" s="31" t="n"/>
      <c r="I301" s="30" t="n"/>
      <c r="J301" s="30" t="n"/>
      <c r="K301" s="30" t="n"/>
    </row>
    <row r="302">
      <c r="A302" s="30" t="n"/>
      <c r="B302" s="30" t="n"/>
      <c r="C302" s="30" t="n"/>
      <c r="D302" s="30" t="n"/>
      <c r="E302" s="30" t="n"/>
      <c r="F302" s="31" t="n"/>
      <c r="G302" s="32" t="n"/>
      <c r="H302" s="31" t="n"/>
      <c r="I302" s="30" t="n"/>
      <c r="J302" s="30" t="n"/>
      <c r="K302" s="30" t="n"/>
    </row>
    <row r="303">
      <c r="A303" s="30" t="n"/>
      <c r="B303" s="30" t="n"/>
      <c r="C303" s="30" t="n"/>
      <c r="D303" s="30" t="n"/>
      <c r="E303" s="30" t="n"/>
      <c r="F303" s="31" t="n"/>
      <c r="G303" s="32" t="n"/>
      <c r="H303" s="31" t="n"/>
      <c r="I303" s="30" t="n"/>
      <c r="J303" s="30" t="n"/>
      <c r="K303" s="30" t="n"/>
    </row>
    <row r="304">
      <c r="A304" s="30" t="n"/>
      <c r="B304" s="30" t="n"/>
      <c r="C304" s="30" t="n"/>
      <c r="D304" s="30" t="n"/>
      <c r="E304" s="30" t="n"/>
      <c r="F304" s="31" t="n"/>
      <c r="G304" s="32" t="n"/>
      <c r="H304" s="31" t="n"/>
      <c r="I304" s="30" t="n"/>
      <c r="J304" s="30" t="n"/>
      <c r="K304" s="30" t="n"/>
    </row>
    <row r="305">
      <c r="A305" s="30" t="n"/>
      <c r="B305" s="30" t="n"/>
      <c r="C305" s="30" t="n"/>
      <c r="D305" s="30" t="n"/>
      <c r="E305" s="30" t="n"/>
      <c r="F305" s="31" t="n"/>
      <c r="G305" s="32" t="n"/>
      <c r="H305" s="31" t="n"/>
      <c r="I305" s="30" t="n"/>
      <c r="J305" s="30" t="n"/>
      <c r="K305" s="30" t="n"/>
    </row>
    <row r="306">
      <c r="A306" s="30" t="n"/>
      <c r="B306" s="30" t="n"/>
      <c r="C306" s="30" t="n"/>
      <c r="D306" s="30" t="n"/>
      <c r="E306" s="30" t="n"/>
      <c r="F306" s="31" t="n"/>
      <c r="G306" s="32" t="n"/>
      <c r="H306" s="31" t="n"/>
      <c r="I306" s="30" t="n"/>
      <c r="J306" s="30" t="n"/>
      <c r="K306" s="30" t="n"/>
    </row>
    <row r="307">
      <c r="A307" s="30" t="n"/>
      <c r="B307" s="30" t="n"/>
      <c r="C307" s="30" t="n"/>
      <c r="D307" s="30" t="n"/>
      <c r="E307" s="30" t="n"/>
      <c r="F307" s="31" t="n"/>
      <c r="G307" s="32" t="n"/>
      <c r="H307" s="31" t="n"/>
      <c r="I307" s="30" t="n"/>
      <c r="J307" s="30" t="n"/>
      <c r="K307" s="30" t="n"/>
    </row>
    <row r="308">
      <c r="A308" s="30" t="n"/>
      <c r="B308" s="30" t="n"/>
      <c r="C308" s="30" t="n"/>
      <c r="D308" s="30" t="n"/>
      <c r="E308" s="30" t="n"/>
      <c r="F308" s="31" t="n"/>
      <c r="G308" s="32" t="n"/>
      <c r="H308" s="31" t="n"/>
      <c r="I308" s="30" t="n"/>
      <c r="J308" s="30" t="n"/>
      <c r="K308" s="30" t="n"/>
    </row>
    <row r="309">
      <c r="A309" s="30" t="n"/>
      <c r="B309" s="30" t="n"/>
      <c r="C309" s="30" t="n"/>
      <c r="D309" s="30" t="n"/>
      <c r="E309" s="30" t="n"/>
      <c r="F309" s="31" t="n"/>
      <c r="G309" s="32" t="n"/>
      <c r="H309" s="31" t="n"/>
      <c r="I309" s="30" t="n"/>
      <c r="J309" s="30" t="n"/>
      <c r="K309" s="30" t="n"/>
    </row>
    <row r="310">
      <c r="A310" s="30" t="n"/>
      <c r="B310" s="30" t="n"/>
      <c r="C310" s="30" t="n"/>
      <c r="D310" s="30" t="n"/>
      <c r="E310" s="30" t="n"/>
      <c r="F310" s="31" t="n"/>
      <c r="G310" s="32" t="n"/>
      <c r="H310" s="31" t="n"/>
      <c r="I310" s="30" t="n"/>
      <c r="J310" s="30" t="n"/>
      <c r="K310" s="30" t="n"/>
    </row>
    <row r="311">
      <c r="A311" s="30" t="n"/>
      <c r="B311" s="30" t="n"/>
      <c r="C311" s="30" t="n"/>
      <c r="D311" s="30" t="n"/>
      <c r="E311" s="30" t="n"/>
      <c r="F311" s="31" t="n"/>
      <c r="G311" s="32" t="n"/>
      <c r="H311" s="31" t="n"/>
      <c r="I311" s="30" t="n"/>
      <c r="J311" s="30" t="n"/>
      <c r="K311" s="30" t="n"/>
    </row>
    <row r="312">
      <c r="A312" s="30" t="n"/>
      <c r="B312" s="30" t="n"/>
      <c r="C312" s="30" t="n"/>
      <c r="D312" s="30" t="n"/>
      <c r="E312" s="30" t="n"/>
      <c r="F312" s="31" t="n"/>
      <c r="G312" s="32" t="n"/>
      <c r="H312" s="31" t="n"/>
      <c r="I312" s="30" t="n"/>
      <c r="J312" s="30" t="n"/>
      <c r="K312" s="30" t="n"/>
    </row>
    <row r="313">
      <c r="A313" s="30" t="n"/>
      <c r="B313" s="30" t="n"/>
      <c r="C313" s="30" t="n"/>
      <c r="D313" s="30" t="n"/>
      <c r="E313" s="30" t="n"/>
      <c r="F313" s="31" t="n"/>
      <c r="G313" s="32" t="n"/>
      <c r="H313" s="31" t="n"/>
      <c r="I313" s="30" t="n"/>
      <c r="J313" s="30" t="n"/>
      <c r="K313" s="30" t="n"/>
    </row>
    <row r="314">
      <c r="A314" s="30" t="n"/>
      <c r="B314" s="30" t="n"/>
      <c r="C314" s="30" t="n"/>
      <c r="D314" s="30" t="n"/>
      <c r="E314" s="30" t="n"/>
      <c r="F314" s="31" t="n"/>
      <c r="G314" s="32" t="n"/>
      <c r="H314" s="31" t="n"/>
      <c r="I314" s="30" t="n"/>
      <c r="J314" s="30" t="n"/>
      <c r="K314" s="30" t="n"/>
    </row>
    <row r="315">
      <c r="A315" s="30" t="n"/>
      <c r="B315" s="30" t="n"/>
      <c r="C315" s="30" t="n"/>
      <c r="D315" s="30" t="n"/>
      <c r="E315" s="30" t="n"/>
      <c r="F315" s="31" t="n"/>
      <c r="G315" s="32" t="n"/>
      <c r="H315" s="31" t="n"/>
      <c r="I315" s="30" t="n"/>
      <c r="J315" s="30" t="n"/>
      <c r="K315" s="30" t="n"/>
    </row>
    <row r="316">
      <c r="A316" s="30" t="n"/>
      <c r="B316" s="30" t="n"/>
      <c r="C316" s="30" t="n"/>
      <c r="D316" s="30" t="n"/>
      <c r="E316" s="30" t="n"/>
      <c r="F316" s="31" t="n"/>
      <c r="G316" s="32" t="n"/>
      <c r="H316" s="31" t="n"/>
      <c r="I316" s="30" t="n"/>
      <c r="J316" s="30" t="n"/>
      <c r="K316" s="30" t="n"/>
    </row>
    <row r="317">
      <c r="A317" s="30" t="n"/>
      <c r="B317" s="30" t="n"/>
      <c r="C317" s="30" t="n"/>
      <c r="D317" s="30" t="n"/>
      <c r="E317" s="30" t="n"/>
      <c r="F317" s="31" t="n"/>
      <c r="G317" s="32" t="n"/>
      <c r="H317" s="31" t="n"/>
      <c r="I317" s="30" t="n"/>
      <c r="J317" s="30" t="n"/>
      <c r="K317" s="30" t="n"/>
    </row>
    <row r="318">
      <c r="A318" s="30" t="n"/>
      <c r="B318" s="30" t="n"/>
      <c r="C318" s="30" t="n"/>
      <c r="D318" s="30" t="n"/>
      <c r="E318" s="30" t="n"/>
      <c r="F318" s="31" t="n"/>
      <c r="G318" s="32" t="n"/>
      <c r="H318" s="31" t="n"/>
      <c r="I318" s="30" t="n"/>
      <c r="J318" s="30" t="n"/>
      <c r="K318" s="30" t="n"/>
    </row>
    <row r="319">
      <c r="A319" s="30" t="n"/>
      <c r="B319" s="30" t="n"/>
      <c r="C319" s="30" t="n"/>
      <c r="D319" s="30" t="n"/>
      <c r="E319" s="30" t="n"/>
      <c r="F319" s="31" t="n"/>
      <c r="G319" s="32" t="n"/>
      <c r="H319" s="31" t="n"/>
      <c r="I319" s="30" t="n"/>
      <c r="J319" s="30" t="n"/>
      <c r="K319" s="30" t="n"/>
    </row>
    <row r="320">
      <c r="A320" s="30" t="n"/>
      <c r="B320" s="30" t="n"/>
      <c r="C320" s="30" t="n"/>
      <c r="D320" s="30" t="n"/>
      <c r="E320" s="30" t="n"/>
      <c r="F320" s="31" t="n"/>
      <c r="G320" s="32" t="n"/>
      <c r="H320" s="31" t="n"/>
      <c r="I320" s="30" t="n"/>
      <c r="J320" s="30" t="n"/>
      <c r="K320" s="30" t="n"/>
    </row>
    <row r="321">
      <c r="A321" s="30" t="n"/>
      <c r="B321" s="30" t="n"/>
      <c r="C321" s="30" t="n"/>
      <c r="D321" s="30" t="n"/>
      <c r="E321" s="30" t="n"/>
      <c r="F321" s="31" t="n"/>
      <c r="G321" s="32" t="n"/>
      <c r="H321" s="31" t="n"/>
      <c r="I321" s="30" t="n"/>
      <c r="J321" s="30" t="n"/>
      <c r="K321" s="30" t="n"/>
    </row>
    <row r="322">
      <c r="A322" s="30" t="n"/>
      <c r="B322" s="30" t="n"/>
      <c r="C322" s="30" t="n"/>
      <c r="D322" s="30" t="n"/>
      <c r="E322" s="30" t="n"/>
      <c r="F322" s="31" t="n"/>
      <c r="G322" s="32" t="n"/>
      <c r="H322" s="31" t="n"/>
      <c r="I322" s="30" t="n"/>
      <c r="J322" s="30" t="n"/>
      <c r="K322" s="30" t="n"/>
    </row>
    <row r="323">
      <c r="A323" s="30" t="n"/>
      <c r="B323" s="30" t="n"/>
      <c r="C323" s="30" t="n"/>
      <c r="D323" s="30" t="n"/>
      <c r="E323" s="30" t="n"/>
      <c r="F323" s="31" t="n"/>
      <c r="G323" s="32" t="n"/>
      <c r="H323" s="31" t="n"/>
      <c r="I323" s="30" t="n"/>
      <c r="J323" s="30" t="n"/>
      <c r="K323" s="30" t="n"/>
    </row>
    <row r="324">
      <c r="A324" s="30" t="n"/>
      <c r="B324" s="30" t="n"/>
      <c r="C324" s="30" t="n"/>
      <c r="D324" s="30" t="n"/>
      <c r="E324" s="30" t="n"/>
      <c r="F324" s="31" t="n"/>
      <c r="G324" s="32" t="n"/>
      <c r="H324" s="31" t="n"/>
      <c r="I324" s="30" t="n"/>
      <c r="J324" s="30" t="n"/>
      <c r="K324" s="30" t="n"/>
    </row>
    <row r="325">
      <c r="A325" s="30" t="n"/>
      <c r="B325" s="30" t="n"/>
      <c r="C325" s="30" t="n"/>
      <c r="D325" s="30" t="n"/>
      <c r="E325" s="30" t="n"/>
      <c r="F325" s="31" t="n"/>
      <c r="G325" s="32" t="n"/>
      <c r="H325" s="31" t="n"/>
      <c r="I325" s="30" t="n"/>
      <c r="J325" s="30" t="n"/>
      <c r="K325" s="30" t="n"/>
    </row>
    <row r="326">
      <c r="A326" s="30" t="n"/>
      <c r="B326" s="30" t="n"/>
      <c r="C326" s="30" t="n"/>
      <c r="D326" s="30" t="n"/>
      <c r="E326" s="30" t="n"/>
      <c r="F326" s="31" t="n"/>
      <c r="G326" s="32" t="n"/>
      <c r="H326" s="31" t="n"/>
      <c r="I326" s="30" t="n"/>
      <c r="J326" s="30" t="n"/>
      <c r="K326" s="30" t="n"/>
    </row>
    <row r="327">
      <c r="A327" s="30" t="n"/>
      <c r="B327" s="30" t="n"/>
      <c r="C327" s="30" t="n"/>
      <c r="D327" s="30" t="n"/>
      <c r="E327" s="30" t="n"/>
      <c r="F327" s="31" t="n"/>
      <c r="G327" s="32" t="n"/>
      <c r="H327" s="31" t="n"/>
      <c r="I327" s="30" t="n"/>
      <c r="J327" s="30" t="n"/>
      <c r="K327" s="30" t="n"/>
    </row>
    <row r="328">
      <c r="A328" s="30" t="n"/>
      <c r="B328" s="30" t="n"/>
      <c r="C328" s="30" t="n"/>
      <c r="D328" s="30" t="n"/>
      <c r="E328" s="30" t="n"/>
      <c r="F328" s="31" t="n"/>
      <c r="G328" s="32" t="n"/>
      <c r="H328" s="31" t="n"/>
      <c r="I328" s="30" t="n"/>
      <c r="J328" s="30" t="n"/>
      <c r="K328" s="30" t="n"/>
    </row>
    <row r="329">
      <c r="A329" s="30" t="n"/>
      <c r="B329" s="30" t="n"/>
      <c r="C329" s="30" t="n"/>
      <c r="D329" s="30" t="n"/>
      <c r="E329" s="30" t="n"/>
      <c r="F329" s="31" t="n"/>
      <c r="G329" s="32" t="n"/>
      <c r="H329" s="31" t="n"/>
      <c r="I329" s="30" t="n"/>
      <c r="J329" s="30" t="n"/>
      <c r="K329" s="30" t="n"/>
    </row>
    <row r="330">
      <c r="A330" s="30" t="n"/>
      <c r="B330" s="30" t="n"/>
      <c r="C330" s="30" t="n"/>
      <c r="D330" s="30" t="n"/>
      <c r="E330" s="30" t="n"/>
      <c r="F330" s="31" t="n"/>
      <c r="G330" s="32" t="n"/>
      <c r="H330" s="31" t="n"/>
      <c r="I330" s="30" t="n"/>
      <c r="J330" s="30" t="n"/>
      <c r="K330" s="30" t="n"/>
    </row>
    <row r="331">
      <c r="A331" s="30" t="n"/>
      <c r="B331" s="30" t="n"/>
      <c r="C331" s="30" t="n"/>
      <c r="D331" s="30" t="n"/>
      <c r="E331" s="30" t="n"/>
      <c r="F331" s="31" t="n"/>
      <c r="G331" s="32" t="n"/>
      <c r="H331" s="31" t="n"/>
      <c r="I331" s="30" t="n"/>
      <c r="J331" s="30" t="n"/>
      <c r="K331" s="30" t="n"/>
    </row>
    <row r="332">
      <c r="A332" s="30" t="n"/>
      <c r="B332" s="30" t="n"/>
      <c r="C332" s="30" t="n"/>
      <c r="D332" s="30" t="n"/>
      <c r="E332" s="30" t="n"/>
      <c r="F332" s="31" t="n"/>
      <c r="G332" s="32" t="n"/>
      <c r="H332" s="31" t="n"/>
      <c r="I332" s="30" t="n"/>
      <c r="J332" s="30" t="n"/>
      <c r="K332" s="30" t="n"/>
    </row>
    <row r="333">
      <c r="A333" s="30" t="n"/>
      <c r="B333" s="30" t="n"/>
      <c r="C333" s="30" t="n"/>
      <c r="D333" s="30" t="n"/>
      <c r="E333" s="30" t="n"/>
      <c r="F333" s="31" t="n"/>
      <c r="G333" s="32" t="n"/>
      <c r="H333" s="31" t="n"/>
      <c r="I333" s="30" t="n"/>
      <c r="J333" s="30" t="n"/>
      <c r="K333" s="30" t="n"/>
    </row>
    <row r="334">
      <c r="A334" s="30" t="n"/>
      <c r="B334" s="30" t="n"/>
      <c r="C334" s="30" t="n"/>
      <c r="D334" s="30" t="n"/>
      <c r="E334" s="30" t="n"/>
      <c r="F334" s="31" t="n"/>
      <c r="G334" s="32" t="n"/>
      <c r="H334" s="31" t="n"/>
      <c r="I334" s="30" t="n"/>
      <c r="J334" s="30" t="n"/>
      <c r="K334" s="30" t="n"/>
    </row>
    <row r="335">
      <c r="A335" s="30" t="n"/>
      <c r="B335" s="30" t="n"/>
      <c r="C335" s="30" t="n"/>
      <c r="D335" s="30" t="n"/>
      <c r="E335" s="30" t="n"/>
      <c r="F335" s="31" t="n"/>
      <c r="G335" s="32" t="n"/>
      <c r="H335" s="31" t="n"/>
      <c r="I335" s="30" t="n"/>
      <c r="J335" s="30" t="n"/>
      <c r="K335" s="30" t="n"/>
    </row>
    <row r="336">
      <c r="A336" s="30" t="n"/>
      <c r="B336" s="30" t="n"/>
      <c r="C336" s="30" t="n"/>
      <c r="D336" s="30" t="n"/>
      <c r="E336" s="30" t="n"/>
      <c r="F336" s="31" t="n"/>
      <c r="G336" s="32" t="n"/>
      <c r="H336" s="31" t="n"/>
      <c r="I336" s="30" t="n"/>
      <c r="J336" s="30" t="n"/>
      <c r="K336" s="30" t="n"/>
    </row>
    <row r="337">
      <c r="A337" s="30" t="n"/>
      <c r="B337" s="30" t="n"/>
      <c r="C337" s="30" t="n"/>
      <c r="D337" s="30" t="n"/>
      <c r="E337" s="30" t="n"/>
      <c r="F337" s="31" t="n"/>
      <c r="G337" s="32" t="n"/>
      <c r="H337" s="31" t="n"/>
      <c r="I337" s="30" t="n"/>
      <c r="J337" s="30" t="n"/>
      <c r="K337" s="30" t="n"/>
    </row>
    <row r="338">
      <c r="A338" s="30" t="n"/>
      <c r="B338" s="30" t="n"/>
      <c r="C338" s="30" t="n"/>
      <c r="D338" s="30" t="n"/>
      <c r="E338" s="30" t="n"/>
      <c r="F338" s="31" t="n"/>
      <c r="G338" s="32" t="n"/>
      <c r="H338" s="31" t="n"/>
      <c r="I338" s="30" t="n"/>
      <c r="J338" s="30" t="n"/>
      <c r="K338" s="30" t="n"/>
    </row>
    <row r="339">
      <c r="A339" s="30" t="n"/>
      <c r="B339" s="30" t="n"/>
      <c r="C339" s="30" t="n"/>
      <c r="D339" s="30" t="n"/>
      <c r="E339" s="30" t="n"/>
      <c r="F339" s="31" t="n"/>
      <c r="G339" s="32" t="n"/>
      <c r="H339" s="31" t="n"/>
      <c r="I339" s="30" t="n"/>
      <c r="J339" s="30" t="n"/>
      <c r="K339" s="30" t="n"/>
    </row>
    <row r="340">
      <c r="A340" s="30" t="n"/>
      <c r="B340" s="30" t="n"/>
      <c r="C340" s="30" t="n"/>
      <c r="D340" s="30" t="n"/>
      <c r="E340" s="30" t="n"/>
      <c r="F340" s="31" t="n"/>
      <c r="G340" s="32" t="n"/>
      <c r="H340" s="31" t="n"/>
      <c r="I340" s="30" t="n"/>
      <c r="J340" s="30" t="n"/>
      <c r="K340" s="30" t="n"/>
    </row>
    <row r="341">
      <c r="A341" s="30" t="n"/>
      <c r="B341" s="30" t="n"/>
      <c r="C341" s="30" t="n"/>
      <c r="D341" s="30" t="n"/>
      <c r="E341" s="30" t="n"/>
      <c r="F341" s="31" t="n"/>
      <c r="G341" s="32" t="n"/>
      <c r="H341" s="31" t="n"/>
      <c r="I341" s="30" t="n"/>
      <c r="J341" s="30" t="n"/>
      <c r="K341" s="30" t="n"/>
    </row>
    <row r="342">
      <c r="A342" s="30" t="n"/>
      <c r="B342" s="30" t="n"/>
      <c r="C342" s="30" t="n"/>
      <c r="D342" s="30" t="n"/>
      <c r="E342" s="30" t="n"/>
      <c r="F342" s="31" t="n"/>
      <c r="G342" s="32" t="n"/>
      <c r="H342" s="31" t="n"/>
      <c r="I342" s="30" t="n"/>
      <c r="J342" s="30" t="n"/>
      <c r="K342" s="30" t="n"/>
    </row>
    <row r="343">
      <c r="A343" s="30" t="n"/>
      <c r="B343" s="30" t="n"/>
      <c r="C343" s="30" t="n"/>
      <c r="D343" s="30" t="n"/>
      <c r="E343" s="30" t="n"/>
      <c r="F343" s="31" t="n"/>
      <c r="G343" s="32" t="n"/>
      <c r="H343" s="31" t="n"/>
      <c r="I343" s="30" t="n"/>
      <c r="J343" s="30" t="n"/>
      <c r="K343" s="30" t="n"/>
    </row>
    <row r="344">
      <c r="A344" s="30" t="n"/>
      <c r="B344" s="30" t="n"/>
      <c r="C344" s="30" t="n"/>
      <c r="D344" s="30" t="n"/>
      <c r="E344" s="30" t="n"/>
      <c r="F344" s="31" t="n"/>
      <c r="G344" s="32" t="n"/>
      <c r="H344" s="31" t="n"/>
      <c r="I344" s="30" t="n"/>
      <c r="J344" s="30" t="n"/>
      <c r="K344" s="30" t="n"/>
    </row>
    <row r="345">
      <c r="A345" s="30" t="n"/>
      <c r="B345" s="30" t="n"/>
      <c r="C345" s="30" t="n"/>
      <c r="D345" s="30" t="n"/>
      <c r="E345" s="30" t="n"/>
      <c r="F345" s="31" t="n"/>
      <c r="G345" s="32" t="n"/>
      <c r="H345" s="31" t="n"/>
      <c r="I345" s="30" t="n"/>
      <c r="J345" s="30" t="n"/>
      <c r="K345" s="30" t="n"/>
    </row>
    <row r="346">
      <c r="A346" s="30" t="n"/>
      <c r="B346" s="30" t="n"/>
      <c r="C346" s="30" t="n"/>
      <c r="D346" s="30" t="n"/>
      <c r="E346" s="30" t="n"/>
      <c r="F346" s="31" t="n"/>
      <c r="G346" s="32" t="n"/>
      <c r="H346" s="31" t="n"/>
      <c r="I346" s="30" t="n"/>
      <c r="J346" s="30" t="n"/>
      <c r="K346" s="30" t="n"/>
    </row>
    <row r="347">
      <c r="A347" s="30" t="n"/>
      <c r="B347" s="30" t="n"/>
      <c r="C347" s="30" t="n"/>
      <c r="D347" s="30" t="n"/>
      <c r="E347" s="30" t="n"/>
      <c r="F347" s="31" t="n"/>
      <c r="G347" s="32" t="n"/>
      <c r="H347" s="31" t="n"/>
      <c r="I347" s="30" t="n"/>
      <c r="J347" s="30" t="n"/>
      <c r="K347" s="30" t="n"/>
    </row>
    <row r="348">
      <c r="A348" s="30" t="n"/>
      <c r="B348" s="30" t="n"/>
      <c r="C348" s="30" t="n"/>
      <c r="D348" s="30" t="n"/>
      <c r="E348" s="30" t="n"/>
      <c r="F348" s="31" t="n"/>
      <c r="G348" s="32" t="n"/>
      <c r="H348" s="31" t="n"/>
      <c r="I348" s="30" t="n"/>
      <c r="J348" s="30" t="n"/>
      <c r="K348" s="30" t="n"/>
    </row>
    <row r="349">
      <c r="A349" s="30" t="n"/>
      <c r="B349" s="30" t="n"/>
      <c r="C349" s="30" t="n"/>
      <c r="D349" s="30" t="n"/>
      <c r="E349" s="30" t="n"/>
      <c r="F349" s="31" t="n"/>
      <c r="G349" s="32" t="n"/>
      <c r="H349" s="31" t="n"/>
      <c r="I349" s="30" t="n"/>
      <c r="J349" s="30" t="n"/>
      <c r="K349" s="30" t="n"/>
    </row>
    <row r="350">
      <c r="A350" s="30" t="n"/>
      <c r="B350" s="30" t="n"/>
      <c r="C350" s="30" t="n"/>
      <c r="D350" s="30" t="n"/>
      <c r="E350" s="30" t="n"/>
      <c r="F350" s="31" t="n"/>
      <c r="G350" s="32" t="n"/>
      <c r="H350" s="31" t="n"/>
      <c r="I350" s="30" t="n"/>
      <c r="J350" s="30" t="n"/>
      <c r="K350" s="30" t="n"/>
    </row>
    <row r="351">
      <c r="A351" s="30" t="n"/>
      <c r="B351" s="30" t="n"/>
      <c r="C351" s="30" t="n"/>
      <c r="D351" s="30" t="n"/>
      <c r="E351" s="30" t="n"/>
      <c r="F351" s="31" t="n"/>
      <c r="G351" s="32" t="n"/>
      <c r="H351" s="31" t="n"/>
      <c r="I351" s="30" t="n"/>
      <c r="J351" s="30" t="n"/>
      <c r="K351" s="30" t="n"/>
    </row>
    <row r="352">
      <c r="A352" s="30" t="n"/>
      <c r="B352" s="30" t="n"/>
      <c r="C352" s="30" t="n"/>
      <c r="D352" s="30" t="n"/>
      <c r="E352" s="30" t="n"/>
      <c r="F352" s="31" t="n"/>
      <c r="G352" s="32" t="n"/>
      <c r="H352" s="31" t="n"/>
      <c r="I352" s="30" t="n"/>
      <c r="J352" s="30" t="n"/>
      <c r="K352" s="30" t="n"/>
    </row>
    <row r="353">
      <c r="A353" s="30" t="n"/>
      <c r="B353" s="30" t="n"/>
      <c r="C353" s="30" t="n"/>
      <c r="D353" s="30" t="n"/>
      <c r="E353" s="30" t="n"/>
      <c r="F353" s="31" t="n"/>
      <c r="G353" s="32" t="n"/>
      <c r="H353" s="31" t="n"/>
      <c r="I353" s="30" t="n"/>
      <c r="J353" s="30" t="n"/>
      <c r="K353" s="30" t="n"/>
    </row>
    <row r="354">
      <c r="A354" s="30" t="n"/>
      <c r="B354" s="30" t="n"/>
      <c r="C354" s="30" t="n"/>
      <c r="D354" s="30" t="n"/>
      <c r="E354" s="30" t="n"/>
      <c r="F354" s="31" t="n"/>
      <c r="G354" s="32" t="n"/>
      <c r="H354" s="31" t="n"/>
      <c r="I354" s="30" t="n"/>
      <c r="J354" s="30" t="n"/>
      <c r="K354" s="30" t="n"/>
    </row>
    <row r="355">
      <c r="A355" s="30" t="n"/>
      <c r="B355" s="30" t="n"/>
      <c r="C355" s="30" t="n"/>
      <c r="D355" s="30" t="n"/>
      <c r="E355" s="30" t="n"/>
      <c r="F355" s="31" t="n"/>
      <c r="G355" s="32" t="n"/>
      <c r="H355" s="31" t="n"/>
      <c r="I355" s="30" t="n"/>
      <c r="J355" s="30" t="n"/>
      <c r="K355" s="30" t="n"/>
    </row>
    <row r="356">
      <c r="A356" s="30" t="n"/>
      <c r="B356" s="30" t="n"/>
      <c r="C356" s="30" t="n"/>
      <c r="D356" s="30" t="n"/>
      <c r="E356" s="30" t="n"/>
      <c r="F356" s="31" t="n"/>
      <c r="G356" s="32" t="n"/>
      <c r="H356" s="31" t="n"/>
      <c r="I356" s="30" t="n"/>
      <c r="J356" s="30" t="n"/>
      <c r="K356" s="30" t="n"/>
    </row>
    <row r="357">
      <c r="A357" s="30" t="n"/>
      <c r="B357" s="30" t="n"/>
      <c r="C357" s="30" t="n"/>
      <c r="D357" s="30" t="n"/>
      <c r="E357" s="30" t="n"/>
      <c r="F357" s="31" t="n"/>
      <c r="G357" s="32" t="n"/>
      <c r="H357" s="31" t="n"/>
      <c r="I357" s="30" t="n"/>
      <c r="J357" s="30" t="n"/>
      <c r="K357" s="30" t="n"/>
    </row>
    <row r="358">
      <c r="A358" s="30" t="n"/>
      <c r="B358" s="30" t="n"/>
      <c r="C358" s="30" t="n"/>
      <c r="D358" s="30" t="n"/>
      <c r="E358" s="30" t="n"/>
      <c r="F358" s="31" t="n"/>
      <c r="G358" s="32" t="n"/>
      <c r="H358" s="31" t="n"/>
      <c r="I358" s="30" t="n"/>
      <c r="J358" s="30" t="n"/>
      <c r="K358" s="30" t="n"/>
    </row>
    <row r="359">
      <c r="A359" s="30" t="n"/>
      <c r="B359" s="30" t="n"/>
      <c r="C359" s="30" t="n"/>
      <c r="D359" s="30" t="n"/>
      <c r="E359" s="30" t="n"/>
      <c r="F359" s="31" t="n"/>
      <c r="G359" s="32" t="n"/>
      <c r="H359" s="31" t="n"/>
      <c r="I359" s="30" t="n"/>
      <c r="J359" s="30" t="n"/>
      <c r="K359" s="30" t="n"/>
    </row>
    <row r="360">
      <c r="A360" s="30" t="n"/>
      <c r="B360" s="30" t="n"/>
      <c r="C360" s="30" t="n"/>
      <c r="D360" s="30" t="n"/>
      <c r="E360" s="30" t="n"/>
      <c r="F360" s="31" t="n"/>
      <c r="G360" s="32" t="n"/>
      <c r="H360" s="31" t="n"/>
      <c r="I360" s="30" t="n"/>
      <c r="J360" s="30" t="n"/>
      <c r="K360" s="30" t="n"/>
    </row>
    <row r="361">
      <c r="A361" s="30" t="n"/>
      <c r="B361" s="30" t="n"/>
      <c r="C361" s="30" t="n"/>
      <c r="D361" s="30" t="n"/>
      <c r="E361" s="30" t="n"/>
      <c r="F361" s="31" t="n"/>
      <c r="G361" s="32" t="n"/>
      <c r="H361" s="31" t="n"/>
      <c r="I361" s="30" t="n"/>
      <c r="J361" s="30" t="n"/>
      <c r="K361" s="30" t="n"/>
    </row>
    <row r="362">
      <c r="A362" s="30" t="n"/>
      <c r="B362" s="30" t="n"/>
      <c r="C362" s="30" t="n"/>
      <c r="D362" s="30" t="n"/>
      <c r="E362" s="30" t="n"/>
      <c r="F362" s="31" t="n"/>
      <c r="G362" s="32" t="n"/>
      <c r="H362" s="31" t="n"/>
      <c r="I362" s="30" t="n"/>
      <c r="J362" s="30" t="n"/>
      <c r="K362" s="30" t="n"/>
    </row>
    <row r="363">
      <c r="A363" s="30" t="n"/>
      <c r="B363" s="30" t="n"/>
      <c r="C363" s="30" t="n"/>
      <c r="D363" s="30" t="n"/>
      <c r="E363" s="30" t="n"/>
      <c r="F363" s="31" t="n"/>
      <c r="G363" s="32" t="n"/>
      <c r="H363" s="31" t="n"/>
      <c r="I363" s="30" t="n"/>
      <c r="J363" s="30" t="n"/>
      <c r="K363" s="30" t="n"/>
    </row>
    <row r="364">
      <c r="A364" s="30" t="n"/>
      <c r="B364" s="30" t="n"/>
      <c r="C364" s="30" t="n"/>
      <c r="D364" s="30" t="n"/>
      <c r="E364" s="30" t="n"/>
      <c r="F364" s="31" t="n"/>
      <c r="G364" s="32" t="n"/>
      <c r="H364" s="31" t="n"/>
      <c r="I364" s="30" t="n"/>
      <c r="J364" s="30" t="n"/>
      <c r="K364" s="30" t="n"/>
    </row>
    <row r="365">
      <c r="A365" s="30" t="n"/>
      <c r="B365" s="30" t="n"/>
      <c r="C365" s="30" t="n"/>
      <c r="D365" s="30" t="n"/>
      <c r="E365" s="30" t="n"/>
      <c r="F365" s="31" t="n"/>
      <c r="G365" s="32" t="n"/>
      <c r="H365" s="31" t="n"/>
      <c r="I365" s="30" t="n"/>
      <c r="J365" s="30" t="n"/>
      <c r="K365" s="30" t="n"/>
    </row>
    <row r="366">
      <c r="A366" s="30" t="n"/>
      <c r="B366" s="30" t="n"/>
      <c r="C366" s="30" t="n"/>
      <c r="D366" s="30" t="n"/>
      <c r="E366" s="30" t="n"/>
      <c r="F366" s="31" t="n"/>
      <c r="G366" s="32" t="n"/>
      <c r="H366" s="31" t="n"/>
      <c r="I366" s="30" t="n"/>
      <c r="J366" s="30" t="n"/>
      <c r="K366" s="30" t="n"/>
    </row>
    <row r="367">
      <c r="A367" s="30" t="n"/>
      <c r="B367" s="30" t="n"/>
      <c r="C367" s="30" t="n"/>
      <c r="D367" s="30" t="n"/>
      <c r="E367" s="30" t="n"/>
      <c r="F367" s="31" t="n"/>
      <c r="G367" s="32" t="n"/>
      <c r="H367" s="31" t="n"/>
      <c r="I367" s="30" t="n"/>
      <c r="J367" s="30" t="n"/>
      <c r="K367" s="30" t="n"/>
    </row>
    <row r="368">
      <c r="A368" s="30" t="n"/>
      <c r="B368" s="30" t="n"/>
      <c r="C368" s="30" t="n"/>
      <c r="D368" s="30" t="n"/>
      <c r="E368" s="30" t="n"/>
      <c r="F368" s="31" t="n"/>
      <c r="G368" s="32" t="n"/>
      <c r="H368" s="31" t="n"/>
      <c r="I368" s="30" t="n"/>
      <c r="J368" s="30" t="n"/>
      <c r="K368" s="30" t="n"/>
    </row>
    <row r="369">
      <c r="A369" s="30" t="n"/>
      <c r="B369" s="30" t="n"/>
      <c r="C369" s="30" t="n"/>
      <c r="D369" s="30" t="n"/>
      <c r="E369" s="30" t="n"/>
      <c r="F369" s="31" t="n"/>
      <c r="G369" s="32" t="n"/>
      <c r="H369" s="31" t="n"/>
      <c r="I369" s="30" t="n"/>
      <c r="J369" s="30" t="n"/>
      <c r="K369" s="30" t="n"/>
    </row>
    <row r="370">
      <c r="A370" s="30" t="n"/>
      <c r="B370" s="30" t="n"/>
      <c r="C370" s="30" t="n"/>
      <c r="D370" s="30" t="n"/>
      <c r="E370" s="30" t="n"/>
      <c r="F370" s="31" t="n"/>
      <c r="G370" s="32" t="n"/>
      <c r="H370" s="31" t="n"/>
      <c r="I370" s="30" t="n"/>
      <c r="J370" s="30" t="n"/>
      <c r="K370" s="30" t="n"/>
    </row>
    <row r="371">
      <c r="A371" s="30" t="n"/>
      <c r="B371" s="30" t="n"/>
      <c r="C371" s="30" t="n"/>
      <c r="D371" s="30" t="n"/>
      <c r="E371" s="30" t="n"/>
      <c r="F371" s="31" t="n"/>
      <c r="G371" s="32" t="n"/>
      <c r="H371" s="31" t="n"/>
      <c r="I371" s="30" t="n"/>
      <c r="J371" s="30" t="n"/>
      <c r="K371" s="30" t="n"/>
    </row>
    <row r="372">
      <c r="A372" s="30" t="n"/>
      <c r="B372" s="30" t="n"/>
      <c r="C372" s="30" t="n"/>
      <c r="D372" s="30" t="n"/>
      <c r="E372" s="30" t="n"/>
      <c r="F372" s="31" t="n"/>
      <c r="G372" s="32" t="n"/>
      <c r="H372" s="31" t="n"/>
      <c r="I372" s="30" t="n"/>
      <c r="J372" s="30" t="n"/>
      <c r="K372" s="30" t="n"/>
    </row>
    <row r="373">
      <c r="A373" s="30" t="n"/>
      <c r="B373" s="30" t="n"/>
      <c r="C373" s="30" t="n"/>
      <c r="D373" s="30" t="n"/>
      <c r="E373" s="30" t="n"/>
      <c r="F373" s="31" t="n"/>
      <c r="G373" s="32" t="n"/>
      <c r="H373" s="31" t="n"/>
      <c r="I373" s="30" t="n"/>
      <c r="J373" s="30" t="n"/>
      <c r="K373" s="30" t="n"/>
    </row>
    <row r="374">
      <c r="A374" s="30" t="n"/>
      <c r="B374" s="30" t="n"/>
      <c r="C374" s="30" t="n"/>
      <c r="D374" s="30" t="n"/>
      <c r="E374" s="30" t="n"/>
      <c r="F374" s="31" t="n"/>
      <c r="G374" s="32" t="n"/>
      <c r="H374" s="31" t="n"/>
      <c r="I374" s="30" t="n"/>
      <c r="J374" s="30" t="n"/>
      <c r="K374" s="30" t="n"/>
    </row>
    <row r="375">
      <c r="A375" s="30" t="n"/>
      <c r="B375" s="30" t="n"/>
      <c r="C375" s="30" t="n"/>
      <c r="D375" s="30" t="n"/>
      <c r="E375" s="30" t="n"/>
      <c r="F375" s="31" t="n"/>
      <c r="G375" s="32" t="n"/>
      <c r="H375" s="31" t="n"/>
      <c r="I375" s="30" t="n"/>
      <c r="J375" s="30" t="n"/>
      <c r="K375" s="30" t="n"/>
    </row>
    <row r="376">
      <c r="A376" s="30" t="n"/>
      <c r="B376" s="30" t="n"/>
      <c r="C376" s="30" t="n"/>
      <c r="D376" s="30" t="n"/>
      <c r="E376" s="30" t="n"/>
      <c r="F376" s="31" t="n"/>
      <c r="G376" s="32" t="n"/>
      <c r="H376" s="31" t="n"/>
      <c r="I376" s="30" t="n"/>
      <c r="J376" s="30" t="n"/>
      <c r="K376" s="30" t="n"/>
    </row>
    <row r="377">
      <c r="A377" s="30" t="n"/>
      <c r="B377" s="30" t="n"/>
      <c r="C377" s="30" t="n"/>
      <c r="D377" s="30" t="n"/>
      <c r="E377" s="30" t="n"/>
      <c r="F377" s="31" t="n"/>
      <c r="G377" s="32" t="n"/>
      <c r="H377" s="31" t="n"/>
      <c r="I377" s="30" t="n"/>
      <c r="J377" s="30" t="n"/>
      <c r="K377" s="30" t="n"/>
    </row>
    <row r="378">
      <c r="A378" s="30" t="n"/>
      <c r="B378" s="30" t="n"/>
      <c r="C378" s="30" t="n"/>
      <c r="D378" s="30" t="n"/>
      <c r="E378" s="30" t="n"/>
      <c r="F378" s="31" t="n"/>
      <c r="G378" s="32" t="n"/>
      <c r="H378" s="31" t="n"/>
      <c r="I378" s="30" t="n"/>
      <c r="J378" s="30" t="n"/>
      <c r="K378" s="30" t="n"/>
    </row>
    <row r="379">
      <c r="A379" s="30" t="n"/>
      <c r="B379" s="30" t="n"/>
      <c r="C379" s="30" t="n"/>
      <c r="D379" s="30" t="n"/>
      <c r="E379" s="30" t="n"/>
      <c r="F379" s="31" t="n"/>
      <c r="G379" s="32" t="n"/>
      <c r="H379" s="31" t="n"/>
      <c r="I379" s="30" t="n"/>
      <c r="J379" s="30" t="n"/>
      <c r="K379" s="30" t="n"/>
    </row>
    <row r="380">
      <c r="A380" s="30" t="n"/>
      <c r="B380" s="30" t="n"/>
      <c r="C380" s="30" t="n"/>
      <c r="D380" s="30" t="n"/>
      <c r="E380" s="30" t="n"/>
      <c r="F380" s="31" t="n"/>
      <c r="G380" s="32" t="n"/>
      <c r="H380" s="31" t="n"/>
      <c r="I380" s="30" t="n"/>
      <c r="J380" s="30" t="n"/>
      <c r="K380" s="30" t="n"/>
    </row>
    <row r="381">
      <c r="A381" s="30" t="n"/>
      <c r="B381" s="30" t="n"/>
      <c r="C381" s="30" t="n"/>
      <c r="D381" s="30" t="n"/>
      <c r="E381" s="30" t="n"/>
      <c r="F381" s="31" t="n"/>
      <c r="G381" s="32" t="n"/>
      <c r="H381" s="31" t="n"/>
      <c r="I381" s="30" t="n"/>
      <c r="J381" s="30" t="n"/>
      <c r="K381" s="30" t="n"/>
    </row>
    <row r="382">
      <c r="A382" s="30" t="n"/>
      <c r="B382" s="30" t="n"/>
      <c r="C382" s="30" t="n"/>
      <c r="D382" s="30" t="n"/>
      <c r="E382" s="30" t="n"/>
      <c r="F382" s="31" t="n"/>
      <c r="G382" s="32" t="n"/>
      <c r="H382" s="31" t="n"/>
      <c r="I382" s="30" t="n"/>
      <c r="J382" s="30" t="n"/>
      <c r="K382" s="30" t="n"/>
    </row>
    <row r="383">
      <c r="A383" s="30" t="n"/>
      <c r="B383" s="30" t="n"/>
      <c r="C383" s="30" t="n"/>
      <c r="D383" s="30" t="n"/>
      <c r="E383" s="30" t="n"/>
      <c r="F383" s="31" t="n"/>
      <c r="G383" s="32" t="n"/>
      <c r="H383" s="31" t="n"/>
      <c r="I383" s="30" t="n"/>
      <c r="J383" s="30" t="n"/>
      <c r="K383" s="30" t="n"/>
    </row>
    <row r="384">
      <c r="A384" s="30" t="n"/>
      <c r="B384" s="30" t="n"/>
      <c r="C384" s="30" t="n"/>
      <c r="D384" s="30" t="n"/>
      <c r="E384" s="30" t="n"/>
      <c r="F384" s="31" t="n"/>
      <c r="G384" s="32" t="n"/>
      <c r="H384" s="31" t="n"/>
      <c r="I384" s="30" t="n"/>
      <c r="J384" s="30" t="n"/>
      <c r="K384" s="30" t="n"/>
    </row>
    <row r="385">
      <c r="A385" s="30" t="n"/>
      <c r="B385" s="30" t="n"/>
      <c r="C385" s="30" t="n"/>
      <c r="D385" s="30" t="n"/>
      <c r="E385" s="30" t="n"/>
      <c r="F385" s="31" t="n"/>
      <c r="G385" s="32" t="n"/>
      <c r="H385" s="31" t="n"/>
      <c r="I385" s="30" t="n"/>
      <c r="J385" s="30" t="n"/>
      <c r="K385" s="30" t="n"/>
    </row>
    <row r="386">
      <c r="A386" s="30" t="n"/>
      <c r="B386" s="30" t="n"/>
      <c r="C386" s="30" t="n"/>
      <c r="D386" s="30" t="n"/>
      <c r="E386" s="30" t="n"/>
      <c r="F386" s="31" t="n"/>
      <c r="G386" s="32" t="n"/>
      <c r="H386" s="31" t="n"/>
      <c r="I386" s="30" t="n"/>
      <c r="J386" s="30" t="n"/>
      <c r="K386" s="30" t="n"/>
    </row>
    <row r="387">
      <c r="A387" s="30" t="n"/>
      <c r="B387" s="30" t="n"/>
      <c r="C387" s="30" t="n"/>
      <c r="D387" s="30" t="n"/>
      <c r="E387" s="30" t="n"/>
      <c r="F387" s="31" t="n"/>
      <c r="G387" s="32" t="n"/>
      <c r="H387" s="31" t="n"/>
      <c r="I387" s="30" t="n"/>
      <c r="J387" s="30" t="n"/>
      <c r="K387" s="30" t="n"/>
    </row>
    <row r="388">
      <c r="A388" s="30" t="n"/>
      <c r="B388" s="30" t="n"/>
      <c r="C388" s="30" t="n"/>
      <c r="D388" s="30" t="n"/>
      <c r="E388" s="30" t="n"/>
      <c r="F388" s="31" t="n"/>
      <c r="G388" s="32" t="n"/>
      <c r="H388" s="31" t="n"/>
      <c r="I388" s="30" t="n"/>
      <c r="J388" s="30" t="n"/>
      <c r="K388" s="30" t="n"/>
    </row>
    <row r="389">
      <c r="A389" s="30" t="n"/>
      <c r="B389" s="30" t="n"/>
      <c r="C389" s="30" t="n"/>
      <c r="D389" s="30" t="n"/>
      <c r="E389" s="30" t="n"/>
      <c r="F389" s="31" t="n"/>
      <c r="G389" s="32" t="n"/>
      <c r="H389" s="31" t="n"/>
      <c r="I389" s="30" t="n"/>
      <c r="J389" s="30" t="n"/>
      <c r="K389" s="30" t="n"/>
    </row>
    <row r="390">
      <c r="A390" s="30" t="n"/>
      <c r="B390" s="30" t="n"/>
      <c r="C390" s="30" t="n"/>
      <c r="D390" s="30" t="n"/>
      <c r="E390" s="30" t="n"/>
      <c r="F390" s="31" t="n"/>
      <c r="G390" s="32" t="n"/>
      <c r="H390" s="31" t="n"/>
      <c r="I390" s="30" t="n"/>
      <c r="J390" s="30" t="n"/>
      <c r="K390" s="30" t="n"/>
    </row>
    <row r="391">
      <c r="A391" s="30" t="n"/>
      <c r="B391" s="30" t="n"/>
      <c r="C391" s="30" t="n"/>
      <c r="D391" s="30" t="n"/>
      <c r="E391" s="30" t="n"/>
      <c r="F391" s="31" t="n"/>
      <c r="G391" s="32" t="n"/>
      <c r="H391" s="31" t="n"/>
      <c r="I391" s="30" t="n"/>
      <c r="J391" s="30" t="n"/>
      <c r="K391" s="30" t="n"/>
    </row>
    <row r="392">
      <c r="A392" s="30" t="n"/>
      <c r="B392" s="30" t="n"/>
      <c r="C392" s="30" t="n"/>
      <c r="D392" s="30" t="n"/>
      <c r="E392" s="30" t="n"/>
      <c r="F392" s="31" t="n"/>
      <c r="G392" s="32" t="n"/>
      <c r="H392" s="31" t="n"/>
      <c r="I392" s="30" t="n"/>
      <c r="J392" s="30" t="n"/>
      <c r="K392" s="30" t="n"/>
    </row>
    <row r="393">
      <c r="A393" s="30" t="n"/>
      <c r="B393" s="30" t="n"/>
      <c r="C393" s="30" t="n"/>
      <c r="D393" s="30" t="n"/>
      <c r="E393" s="30" t="n"/>
      <c r="F393" s="31" t="n"/>
      <c r="G393" s="32" t="n"/>
      <c r="H393" s="31" t="n"/>
      <c r="I393" s="30" t="n"/>
      <c r="J393" s="30" t="n"/>
      <c r="K393" s="30" t="n"/>
    </row>
    <row r="394">
      <c r="A394" s="30" t="n"/>
      <c r="B394" s="30" t="n"/>
      <c r="C394" s="30" t="n"/>
      <c r="D394" s="30" t="n"/>
      <c r="E394" s="30" t="n"/>
      <c r="F394" s="31" t="n"/>
      <c r="G394" s="32" t="n"/>
      <c r="H394" s="31" t="n"/>
      <c r="I394" s="30" t="n"/>
      <c r="J394" s="30" t="n"/>
      <c r="K394" s="30" t="n"/>
    </row>
    <row r="395">
      <c r="A395" s="30" t="n"/>
      <c r="B395" s="30" t="n"/>
      <c r="C395" s="30" t="n"/>
      <c r="D395" s="30" t="n"/>
      <c r="E395" s="30" t="n"/>
      <c r="F395" s="31" t="n"/>
      <c r="G395" s="32" t="n"/>
      <c r="H395" s="31" t="n"/>
      <c r="I395" s="30" t="n"/>
      <c r="J395" s="30" t="n"/>
      <c r="K395" s="30" t="n"/>
    </row>
    <row r="396">
      <c r="A396" s="30" t="n"/>
      <c r="B396" s="30" t="n"/>
      <c r="C396" s="30" t="n"/>
      <c r="D396" s="30" t="n"/>
      <c r="E396" s="30" t="n"/>
      <c r="F396" s="31" t="n"/>
      <c r="G396" s="32" t="n"/>
      <c r="H396" s="31" t="n"/>
      <c r="I396" s="30" t="n"/>
      <c r="J396" s="30" t="n"/>
      <c r="K396" s="30" t="n"/>
    </row>
    <row r="397">
      <c r="A397" s="30" t="n"/>
      <c r="B397" s="30" t="n"/>
      <c r="C397" s="30" t="n"/>
      <c r="D397" s="30" t="n"/>
      <c r="E397" s="30" t="n"/>
      <c r="F397" s="31" t="n"/>
      <c r="G397" s="32" t="n"/>
      <c r="H397" s="31" t="n"/>
      <c r="I397" s="30" t="n"/>
      <c r="J397" s="30" t="n"/>
      <c r="K397" s="30" t="n"/>
    </row>
    <row r="398">
      <c r="A398" s="30" t="n"/>
      <c r="B398" s="30" t="n"/>
      <c r="C398" s="30" t="n"/>
      <c r="D398" s="30" t="n"/>
      <c r="E398" s="30" t="n"/>
      <c r="F398" s="31" t="n"/>
      <c r="G398" s="32" t="n"/>
      <c r="H398" s="31" t="n"/>
      <c r="I398" s="30" t="n"/>
      <c r="J398" s="30" t="n"/>
      <c r="K398" s="30" t="n"/>
    </row>
    <row r="399">
      <c r="A399" s="30" t="n"/>
      <c r="B399" s="30" t="n"/>
      <c r="C399" s="30" t="n"/>
      <c r="D399" s="30" t="n"/>
      <c r="E399" s="30" t="n"/>
      <c r="F399" s="31" t="n"/>
      <c r="G399" s="32" t="n"/>
      <c r="H399" s="31" t="n"/>
      <c r="I399" s="30" t="n"/>
      <c r="J399" s="30" t="n"/>
      <c r="K399" s="30" t="n"/>
    </row>
    <row r="400">
      <c r="A400" s="30" t="n"/>
      <c r="B400" s="30" t="n"/>
      <c r="C400" s="30" t="n"/>
      <c r="D400" s="30" t="n"/>
      <c r="E400" s="30" t="n"/>
      <c r="F400" s="31" t="n"/>
      <c r="G400" s="32" t="n"/>
      <c r="H400" s="31" t="n"/>
      <c r="I400" s="30" t="n"/>
      <c r="J400" s="30" t="n"/>
      <c r="K400" s="30" t="n"/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2C5282"/>
    <outlinePr summaryBelow="1" summaryRight="1"/>
    <pageSetUpPr/>
  </sheetPr>
  <dimension ref="A1:P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3" customWidth="1" min="4" max="4"/>
    <col width="18" customWidth="1" min="5" max="5"/>
    <col width="17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Personal und Verrechnungssätze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3" t="n"/>
      <c r="M1" s="3" t="n"/>
      <c r="N1" s="3" t="n"/>
      <c r="O1" s="3" t="n"/>
      <c r="P1" s="3" t="n"/>
    </row>
    <row r="2" ht="18" customHeight="1">
      <c r="A2" s="4" t="inlineStr">
        <is>
          <t>Mitarbeiterstamm · Kostensatz = Arbeitgebervollkosten je Stunde inkl. SV, Soka-Bau, BG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3" t="n"/>
      <c r="L2" s="3" t="n"/>
      <c r="M2" s="3" t="n"/>
      <c r="N2" s="3" t="n"/>
      <c r="O2" s="3" t="n"/>
      <c r="P2" s="3" t="n"/>
    </row>
    <row r="3" ht="28" customHeight="1">
      <c r="A3" s="17" t="inlineStr">
        <is>
          <t>Nr</t>
        </is>
      </c>
      <c r="B3" s="17" t="inlineStr">
        <is>
          <t>Name</t>
        </is>
      </c>
      <c r="C3" s="17" t="inlineStr">
        <is>
          <t>Funktion</t>
        </is>
      </c>
      <c r="D3" s="17" t="inlineStr">
        <is>
          <t>Kolonne</t>
        </is>
      </c>
      <c r="E3" s="17" t="inlineStr">
        <is>
          <t>Soll-h/Monat</t>
        </is>
      </c>
      <c r="F3" s="17" t="inlineStr">
        <is>
          <t>Verrechnung</t>
        </is>
      </c>
      <c r="G3" s="17" t="inlineStr">
        <is>
          <t>Kosten/h</t>
        </is>
      </c>
      <c r="H3" s="17" t="inlineStr">
        <is>
          <t>Eintritt</t>
        </is>
      </c>
      <c r="I3" s="17" t="inlineStr">
        <is>
          <t>Status</t>
        </is>
      </c>
      <c r="J3" s="17" t="inlineStr">
        <is>
          <t>Notiz</t>
        </is>
      </c>
      <c r="K3" s="3" t="n"/>
      <c r="L3" s="3" t="n"/>
      <c r="M3" s="3" t="n"/>
      <c r="N3" s="3" t="n"/>
      <c r="O3" s="3" t="n"/>
      <c r="P3" s="3" t="n"/>
    </row>
    <row r="4">
      <c r="A4" s="30" t="inlineStr">
        <is>
          <t>MA-01</t>
        </is>
      </c>
      <c r="B4" s="30" t="inlineStr">
        <is>
          <t>Andreas Bergmann</t>
        </is>
      </c>
      <c r="C4" s="30" t="inlineStr">
        <is>
          <t>Geschäftsführung</t>
        </is>
      </c>
      <c r="D4" s="30" t="inlineStr">
        <is>
          <t>GF</t>
        </is>
      </c>
      <c r="E4" s="35" t="n">
        <v>0</v>
      </c>
      <c r="F4" s="34" t="n">
        <v>85</v>
      </c>
      <c r="G4" s="34" t="n">
        <v>42</v>
      </c>
      <c r="H4" s="38" t="n">
        <v>40969</v>
      </c>
      <c r="I4" s="30" t="inlineStr">
        <is>
          <t>Aktiv</t>
        </is>
      </c>
      <c r="J4" s="30" t="inlineStr">
        <is>
          <t>Geschäftsführer</t>
        </is>
      </c>
      <c r="K4" s="3" t="n"/>
      <c r="L4" s="3" t="n"/>
      <c r="M4" s="3" t="n"/>
      <c r="N4" s="3" t="n"/>
      <c r="O4" s="3" t="n"/>
      <c r="P4" s="3" t="n"/>
    </row>
    <row r="5">
      <c r="A5" s="30" t="inlineStr">
        <is>
          <t>MA-02</t>
        </is>
      </c>
      <c r="B5" s="30" t="inlineStr">
        <is>
          <t>Claudia Meier</t>
        </is>
      </c>
      <c r="C5" s="30" t="inlineStr">
        <is>
          <t>Kaufmännisch</t>
        </is>
      </c>
      <c r="D5" s="30" t="inlineStr">
        <is>
          <t>BuHa</t>
        </is>
      </c>
      <c r="E5" s="35" t="n">
        <v>0</v>
      </c>
      <c r="F5" s="34" t="n">
        <v>62</v>
      </c>
      <c r="G5" s="34" t="n">
        <v>34</v>
      </c>
      <c r="H5" s="38" t="n">
        <v>43252</v>
      </c>
      <c r="I5" s="30" t="inlineStr">
        <is>
          <t>Aktiv</t>
        </is>
      </c>
      <c r="J5" s="30" t="inlineStr">
        <is>
          <t>Buchhaltung / Controlling</t>
        </is>
      </c>
      <c r="K5" s="3" t="n"/>
      <c r="L5" s="3" t="n"/>
      <c r="M5" s="3" t="n"/>
      <c r="N5" s="3" t="n"/>
      <c r="O5" s="3" t="n"/>
      <c r="P5" s="3" t="n"/>
    </row>
    <row r="6">
      <c r="A6" s="30" t="inlineStr">
        <is>
          <t>MA-03</t>
        </is>
      </c>
      <c r="B6" s="30" t="inlineStr">
        <is>
          <t>Markus Wolf</t>
        </is>
      </c>
      <c r="C6" s="30" t="inlineStr">
        <is>
          <t>Polier</t>
        </is>
      </c>
      <c r="D6" s="30" t="inlineStr">
        <is>
          <t>Bauleitung</t>
        </is>
      </c>
      <c r="E6" s="35" t="n">
        <v>160</v>
      </c>
      <c r="F6" s="34" t="n">
        <v>58</v>
      </c>
      <c r="G6" s="34" t="n">
        <v>41.5</v>
      </c>
      <c r="H6" s="38" t="n">
        <v>42095</v>
      </c>
      <c r="I6" s="30" t="inlineStr">
        <is>
          <t>Aktiv</t>
        </is>
      </c>
      <c r="J6" s="30" t="inlineStr">
        <is>
          <t>Polier Hochbau</t>
        </is>
      </c>
      <c r="K6" s="3" t="n"/>
      <c r="L6" s="3" t="n"/>
      <c r="M6" s="3" t="n"/>
      <c r="N6" s="3" t="n"/>
      <c r="O6" s="3" t="n"/>
      <c r="P6" s="3" t="n"/>
    </row>
    <row r="7">
      <c r="A7" s="30" t="inlineStr">
        <is>
          <t>MA-04</t>
        </is>
      </c>
      <c r="B7" s="30" t="inlineStr">
        <is>
          <t>Jonas Keller</t>
        </is>
      </c>
      <c r="C7" s="30" t="inlineStr">
        <is>
          <t>Vorarbeiter</t>
        </is>
      </c>
      <c r="D7" s="30" t="inlineStr">
        <is>
          <t>Rohbau</t>
        </is>
      </c>
      <c r="E7" s="35" t="n">
        <v>168</v>
      </c>
      <c r="F7" s="34" t="n">
        <v>48</v>
      </c>
      <c r="G7" s="34" t="n">
        <v>36.2</v>
      </c>
      <c r="H7" s="38" t="n">
        <v>43692</v>
      </c>
      <c r="I7" s="30" t="inlineStr">
        <is>
          <t>Aktiv</t>
        </is>
      </c>
      <c r="J7" s="30" t="inlineStr">
        <is>
          <t>Rohbau</t>
        </is>
      </c>
    </row>
    <row r="8">
      <c r="A8" s="30" t="inlineStr">
        <is>
          <t>MA-05</t>
        </is>
      </c>
      <c r="B8" s="30" t="inlineStr">
        <is>
          <t>Emre Yildiz</t>
        </is>
      </c>
      <c r="C8" s="30" t="inlineStr">
        <is>
          <t>Facharbeiter</t>
        </is>
      </c>
      <c r="D8" s="30" t="inlineStr">
        <is>
          <t>Rohbau</t>
        </is>
      </c>
      <c r="E8" s="35" t="n">
        <v>168</v>
      </c>
      <c r="F8" s="34" t="n">
        <v>42</v>
      </c>
      <c r="G8" s="34" t="n">
        <v>32.4</v>
      </c>
      <c r="H8" s="38" t="n">
        <v>44228</v>
      </c>
      <c r="I8" s="30" t="inlineStr">
        <is>
          <t>Aktiv</t>
        </is>
      </c>
      <c r="J8" s="30" t="inlineStr">
        <is>
          <t>Maurer</t>
        </is>
      </c>
    </row>
    <row r="9">
      <c r="A9" s="30" t="inlineStr">
        <is>
          <t>MA-06</t>
        </is>
      </c>
      <c r="B9" s="30" t="inlineStr">
        <is>
          <t>Stefan Vogel</t>
        </is>
      </c>
      <c r="C9" s="30" t="inlineStr">
        <is>
          <t>Facharbeiter</t>
        </is>
      </c>
      <c r="D9" s="30" t="inlineStr">
        <is>
          <t>Tiefbau</t>
        </is>
      </c>
      <c r="E9" s="35" t="n">
        <v>168</v>
      </c>
      <c r="F9" s="34" t="n">
        <v>44</v>
      </c>
      <c r="G9" s="34" t="n">
        <v>33.1</v>
      </c>
      <c r="H9" s="38" t="n">
        <v>42979</v>
      </c>
      <c r="I9" s="30" t="inlineStr">
        <is>
          <t>Aktiv</t>
        </is>
      </c>
      <c r="J9" s="30" t="inlineStr">
        <is>
          <t>Tiefbauer</t>
        </is>
      </c>
    </row>
    <row r="10">
      <c r="A10" s="30" t="inlineStr">
        <is>
          <t>MA-07</t>
        </is>
      </c>
      <c r="B10" s="30" t="inlineStr">
        <is>
          <t>Anna Schuster</t>
        </is>
      </c>
      <c r="C10" s="30" t="inlineStr">
        <is>
          <t>Bauleitung</t>
        </is>
      </c>
      <c r="D10" s="30" t="inlineStr">
        <is>
          <t>BL</t>
        </is>
      </c>
      <c r="E10" s="35" t="n">
        <v>160</v>
      </c>
      <c r="F10" s="34" t="n">
        <v>64</v>
      </c>
      <c r="G10" s="34" t="n">
        <v>45</v>
      </c>
      <c r="H10" s="38" t="n">
        <v>43837</v>
      </c>
      <c r="I10" s="30" t="inlineStr">
        <is>
          <t>Aktiv</t>
        </is>
      </c>
      <c r="J10" s="30" t="inlineStr">
        <is>
          <t>Bauleiterin</t>
        </is>
      </c>
    </row>
    <row r="11">
      <c r="A11" s="30" t="inlineStr">
        <is>
          <t>MA-08</t>
        </is>
      </c>
      <c r="B11" s="30" t="inlineStr">
        <is>
          <t>Lukas Berger</t>
        </is>
      </c>
      <c r="C11" s="30" t="inlineStr">
        <is>
          <t>Azubi</t>
        </is>
      </c>
      <c r="D11" s="30" t="inlineStr">
        <is>
          <t>Rohbau</t>
        </is>
      </c>
      <c r="E11" s="35" t="n">
        <v>140</v>
      </c>
      <c r="F11" s="34" t="n">
        <v>18</v>
      </c>
      <c r="G11" s="34" t="n">
        <v>14.5</v>
      </c>
      <c r="H11" s="38" t="n">
        <v>45536</v>
      </c>
      <c r="I11" s="30" t="inlineStr">
        <is>
          <t>Aktiv</t>
        </is>
      </c>
      <c r="J11" s="30" t="inlineStr">
        <is>
          <t>Auszubildender 2. LJ</t>
        </is>
      </c>
    </row>
    <row r="12">
      <c r="A12" s="30" t="n"/>
      <c r="B12" s="30" t="n"/>
      <c r="C12" s="30" t="n"/>
      <c r="D12" s="30" t="n"/>
      <c r="E12" s="35" t="n"/>
      <c r="F12" s="34" t="n"/>
      <c r="G12" s="34" t="n"/>
      <c r="H12" s="38" t="n"/>
      <c r="I12" s="30" t="n"/>
      <c r="J12" s="30" t="n"/>
    </row>
    <row r="13">
      <c r="A13" s="30" t="n"/>
      <c r="B13" s="30" t="n"/>
      <c r="C13" s="30" t="n"/>
      <c r="D13" s="30" t="n"/>
      <c r="E13" s="35" t="n"/>
      <c r="F13" s="34" t="n"/>
      <c r="G13" s="34" t="n"/>
      <c r="H13" s="38" t="n"/>
      <c r="I13" s="30" t="n"/>
      <c r="J13" s="30" t="n"/>
    </row>
    <row r="14">
      <c r="A14" s="30" t="n"/>
      <c r="B14" s="30" t="n"/>
      <c r="C14" s="30" t="n"/>
      <c r="D14" s="30" t="n"/>
      <c r="E14" s="35" t="n"/>
      <c r="F14" s="34" t="n"/>
      <c r="G14" s="34" t="n"/>
      <c r="H14" s="38" t="n"/>
      <c r="I14" s="30" t="n"/>
      <c r="J14" s="30" t="n"/>
    </row>
    <row r="15">
      <c r="A15" s="30" t="n"/>
      <c r="B15" s="30" t="n"/>
      <c r="C15" s="30" t="n"/>
      <c r="D15" s="30" t="n"/>
      <c r="E15" s="35" t="n"/>
      <c r="F15" s="34" t="n"/>
      <c r="G15" s="34" t="n"/>
      <c r="H15" s="38" t="n"/>
      <c r="I15" s="30" t="n"/>
      <c r="J15" s="30" t="n"/>
    </row>
    <row r="16">
      <c r="A16" s="30" t="n"/>
      <c r="B16" s="30" t="n"/>
      <c r="C16" s="30" t="n"/>
      <c r="D16" s="30" t="n"/>
      <c r="E16" s="35" t="n"/>
      <c r="F16" s="34" t="n"/>
      <c r="G16" s="34" t="n"/>
      <c r="H16" s="38" t="n"/>
      <c r="I16" s="30" t="n"/>
      <c r="J16" s="30" t="n"/>
    </row>
    <row r="17">
      <c r="A17" s="30" t="n"/>
      <c r="B17" s="30" t="n"/>
      <c r="C17" s="30" t="n"/>
      <c r="D17" s="30" t="n"/>
      <c r="E17" s="35" t="n"/>
      <c r="F17" s="34" t="n"/>
      <c r="G17" s="34" t="n"/>
      <c r="H17" s="38" t="n"/>
      <c r="I17" s="30" t="n"/>
      <c r="J17" s="30" t="n"/>
    </row>
    <row r="18">
      <c r="A18" s="30" t="n"/>
      <c r="B18" s="30" t="n"/>
      <c r="C18" s="30" t="n"/>
      <c r="D18" s="30" t="n"/>
      <c r="E18" s="35" t="n"/>
      <c r="F18" s="34" t="n"/>
      <c r="G18" s="34" t="n"/>
      <c r="H18" s="38" t="n"/>
      <c r="I18" s="30" t="n"/>
      <c r="J18" s="30" t="n"/>
    </row>
    <row r="19">
      <c r="A19" s="30" t="n"/>
      <c r="B19" s="30" t="n"/>
      <c r="C19" s="30" t="n"/>
      <c r="D19" s="30" t="n"/>
      <c r="E19" s="35" t="n"/>
      <c r="F19" s="34" t="n"/>
      <c r="G19" s="34" t="n"/>
      <c r="H19" s="38" t="n"/>
      <c r="I19" s="30" t="n"/>
      <c r="J19" s="30" t="n"/>
    </row>
    <row r="20">
      <c r="A20" s="30" t="n"/>
      <c r="B20" s="30" t="n"/>
      <c r="C20" s="30" t="n"/>
      <c r="D20" s="30" t="n"/>
      <c r="E20" s="35" t="n"/>
      <c r="F20" s="34" t="n"/>
      <c r="G20" s="34" t="n"/>
      <c r="H20" s="38" t="n"/>
      <c r="I20" s="30" t="n"/>
      <c r="J20" s="30" t="n"/>
    </row>
    <row r="21">
      <c r="A21" s="30" t="n"/>
      <c r="B21" s="30" t="n"/>
      <c r="C21" s="30" t="n"/>
      <c r="D21" s="30" t="n"/>
      <c r="E21" s="35" t="n"/>
      <c r="F21" s="34" t="n"/>
      <c r="G21" s="34" t="n"/>
      <c r="H21" s="38" t="n"/>
      <c r="I21" s="30" t="n"/>
      <c r="J21" s="30" t="n"/>
    </row>
    <row r="22">
      <c r="A22" s="30" t="n"/>
      <c r="B22" s="30" t="n"/>
      <c r="C22" s="30" t="n"/>
      <c r="D22" s="30" t="n"/>
      <c r="E22" s="35" t="n"/>
      <c r="F22" s="34" t="n"/>
      <c r="G22" s="34" t="n"/>
      <c r="H22" s="38" t="n"/>
      <c r="I22" s="30" t="n"/>
      <c r="J22" s="30" t="n"/>
    </row>
    <row r="23">
      <c r="A23" s="30" t="n"/>
      <c r="B23" s="30" t="n"/>
      <c r="C23" s="30" t="n"/>
      <c r="D23" s="30" t="n"/>
      <c r="E23" s="35" t="n"/>
      <c r="F23" s="34" t="n"/>
      <c r="G23" s="34" t="n"/>
      <c r="H23" s="38" t="n"/>
      <c r="I23" s="30" t="n"/>
      <c r="J23" s="30" t="n"/>
    </row>
    <row r="24">
      <c r="A24" s="30" t="n"/>
      <c r="B24" s="30" t="n"/>
      <c r="C24" s="30" t="n"/>
      <c r="D24" s="30" t="n"/>
      <c r="E24" s="35" t="n"/>
      <c r="F24" s="34" t="n"/>
      <c r="G24" s="34" t="n"/>
      <c r="H24" s="38" t="n"/>
      <c r="I24" s="30" t="n"/>
      <c r="J24" s="30" t="n"/>
    </row>
    <row r="25">
      <c r="A25" s="30" t="n"/>
      <c r="B25" s="30" t="n"/>
      <c r="C25" s="30" t="n"/>
      <c r="D25" s="30" t="n"/>
      <c r="E25" s="35" t="n"/>
      <c r="F25" s="34" t="n"/>
      <c r="G25" s="34" t="n"/>
      <c r="H25" s="38" t="n"/>
      <c r="I25" s="30" t="n"/>
      <c r="J25" s="30" t="n"/>
    </row>
    <row r="26">
      <c r="A26" s="30" t="n"/>
      <c r="B26" s="30" t="n"/>
      <c r="C26" s="30" t="n"/>
      <c r="D26" s="30" t="n"/>
      <c r="E26" s="35" t="n"/>
      <c r="F26" s="34" t="n"/>
      <c r="G26" s="34" t="n"/>
      <c r="H26" s="38" t="n"/>
      <c r="I26" s="30" t="n"/>
      <c r="J26" s="30" t="n"/>
    </row>
    <row r="27">
      <c r="A27" s="30" t="n"/>
      <c r="B27" s="30" t="n"/>
      <c r="C27" s="30" t="n"/>
      <c r="D27" s="30" t="n"/>
      <c r="E27" s="35" t="n"/>
      <c r="F27" s="34" t="n"/>
      <c r="G27" s="34" t="n"/>
      <c r="H27" s="38" t="n"/>
      <c r="I27" s="30" t="n"/>
      <c r="J27" s="30" t="n"/>
    </row>
    <row r="28">
      <c r="A28" s="30" t="n"/>
      <c r="B28" s="30" t="n"/>
      <c r="C28" s="30" t="n"/>
      <c r="D28" s="30" t="n"/>
      <c r="E28" s="35" t="n"/>
      <c r="F28" s="34" t="n"/>
      <c r="G28" s="34" t="n"/>
      <c r="H28" s="38" t="n"/>
      <c r="I28" s="30" t="n"/>
      <c r="J28" s="30" t="n"/>
    </row>
    <row r="29">
      <c r="A29" s="30" t="n"/>
      <c r="B29" s="30" t="n"/>
      <c r="C29" s="30" t="n"/>
      <c r="D29" s="30" t="n"/>
      <c r="E29" s="35" t="n"/>
      <c r="F29" s="34" t="n"/>
      <c r="G29" s="34" t="n"/>
      <c r="H29" s="38" t="n"/>
      <c r="I29" s="30" t="n"/>
      <c r="J29" s="30" t="n"/>
    </row>
    <row r="30">
      <c r="A30" s="30" t="n"/>
      <c r="B30" s="30" t="n"/>
      <c r="C30" s="30" t="n"/>
      <c r="D30" s="30" t="n"/>
      <c r="E30" s="35" t="n"/>
      <c r="F30" s="34" t="n"/>
      <c r="G30" s="34" t="n"/>
      <c r="H30" s="38" t="n"/>
      <c r="I30" s="30" t="n"/>
      <c r="J30" s="30" t="n"/>
    </row>
    <row r="31">
      <c r="A31" s="30" t="n"/>
      <c r="B31" s="30" t="n"/>
      <c r="C31" s="30" t="n"/>
      <c r="D31" s="30" t="n"/>
      <c r="E31" s="35" t="n"/>
      <c r="F31" s="34" t="n"/>
      <c r="G31" s="34" t="n"/>
      <c r="H31" s="38" t="n"/>
      <c r="I31" s="30" t="n"/>
      <c r="J31" s="30" t="n"/>
    </row>
    <row r="32">
      <c r="A32" s="30" t="n"/>
      <c r="B32" s="30" t="n"/>
      <c r="C32" s="30" t="n"/>
      <c r="D32" s="30" t="n"/>
      <c r="E32" s="35" t="n"/>
      <c r="F32" s="34" t="n"/>
      <c r="G32" s="34" t="n"/>
      <c r="H32" s="38" t="n"/>
      <c r="I32" s="30" t="n"/>
      <c r="J32" s="30" t="n"/>
    </row>
    <row r="33">
      <c r="A33" s="30" t="n"/>
      <c r="B33" s="30" t="n"/>
      <c r="C33" s="30" t="n"/>
      <c r="D33" s="30" t="n"/>
      <c r="E33" s="35" t="n"/>
      <c r="F33" s="34" t="n"/>
      <c r="G33" s="34" t="n"/>
      <c r="H33" s="38" t="n"/>
      <c r="I33" s="30" t="n"/>
      <c r="J33" s="30" t="n"/>
    </row>
    <row r="34">
      <c r="A34" s="30" t="n"/>
      <c r="B34" s="30" t="n"/>
      <c r="C34" s="30" t="n"/>
      <c r="D34" s="30" t="n"/>
      <c r="E34" s="35" t="n"/>
      <c r="F34" s="34" t="n"/>
      <c r="G34" s="34" t="n"/>
      <c r="H34" s="38" t="n"/>
      <c r="I34" s="30" t="n"/>
      <c r="J34" s="30" t="n"/>
    </row>
    <row r="35">
      <c r="A35" s="30" t="n"/>
      <c r="B35" s="30" t="n"/>
      <c r="C35" s="30" t="n"/>
      <c r="D35" s="30" t="n"/>
      <c r="E35" s="35" t="n"/>
      <c r="F35" s="34" t="n"/>
      <c r="G35" s="34" t="n"/>
      <c r="H35" s="38" t="n"/>
      <c r="I35" s="30" t="n"/>
      <c r="J35" s="30" t="n"/>
    </row>
    <row r="36">
      <c r="A36" s="30" t="n"/>
      <c r="B36" s="30" t="n"/>
      <c r="C36" s="30" t="n"/>
      <c r="D36" s="30" t="n"/>
      <c r="E36" s="35" t="n"/>
      <c r="F36" s="34" t="n"/>
      <c r="G36" s="34" t="n"/>
      <c r="H36" s="38" t="n"/>
      <c r="I36" s="30" t="n"/>
      <c r="J36" s="30" t="n"/>
    </row>
    <row r="37">
      <c r="A37" s="30" t="n"/>
      <c r="B37" s="30" t="n"/>
      <c r="C37" s="30" t="n"/>
      <c r="D37" s="30" t="n"/>
      <c r="E37" s="35" t="n"/>
      <c r="F37" s="34" t="n"/>
      <c r="G37" s="34" t="n"/>
      <c r="H37" s="38" t="n"/>
      <c r="I37" s="30" t="n"/>
      <c r="J37" s="30" t="n"/>
    </row>
    <row r="38">
      <c r="A38" s="30" t="n"/>
      <c r="B38" s="30" t="n"/>
      <c r="C38" s="30" t="n"/>
      <c r="D38" s="30" t="n"/>
      <c r="E38" s="35" t="n"/>
      <c r="F38" s="34" t="n"/>
      <c r="G38" s="34" t="n"/>
      <c r="H38" s="38" t="n"/>
      <c r="I38" s="30" t="n"/>
      <c r="J38" s="30" t="n"/>
    </row>
    <row r="39">
      <c r="A39" s="30" t="n"/>
      <c r="B39" s="30" t="n"/>
      <c r="C39" s="30" t="n"/>
      <c r="D39" s="30" t="n"/>
      <c r="E39" s="35" t="n"/>
      <c r="F39" s="34" t="n"/>
      <c r="G39" s="34" t="n"/>
      <c r="H39" s="38" t="n"/>
      <c r="I39" s="30" t="n"/>
      <c r="J39" s="30" t="n"/>
    </row>
    <row r="40">
      <c r="A40" s="30" t="n"/>
      <c r="B40" s="30" t="n"/>
      <c r="C40" s="30" t="n"/>
      <c r="D40" s="30" t="n"/>
      <c r="E40" s="35" t="n"/>
      <c r="F40" s="34" t="n"/>
      <c r="G40" s="34" t="n"/>
      <c r="H40" s="38" t="n"/>
      <c r="I40" s="30" t="n"/>
      <c r="J40" s="30" t="n"/>
    </row>
    <row r="41">
      <c r="A41" s="30" t="n"/>
      <c r="B41" s="30" t="n"/>
      <c r="C41" s="30" t="n"/>
      <c r="D41" s="30" t="n"/>
      <c r="E41" s="35" t="n"/>
      <c r="F41" s="34" t="n"/>
      <c r="G41" s="34" t="n"/>
      <c r="H41" s="38" t="n"/>
      <c r="I41" s="30" t="n"/>
      <c r="J41" s="30" t="n"/>
    </row>
    <row r="42">
      <c r="A42" s="30" t="n"/>
      <c r="B42" s="30" t="n"/>
      <c r="C42" s="30" t="n"/>
      <c r="D42" s="30" t="n"/>
      <c r="E42" s="35" t="n"/>
      <c r="F42" s="34" t="n"/>
      <c r="G42" s="34" t="n"/>
      <c r="H42" s="38" t="n"/>
      <c r="I42" s="30" t="n"/>
      <c r="J42" s="30" t="n"/>
    </row>
    <row r="43">
      <c r="A43" s="30" t="n"/>
      <c r="B43" s="30" t="n"/>
      <c r="C43" s="30" t="n"/>
      <c r="D43" s="30" t="n"/>
      <c r="E43" s="35" t="n"/>
      <c r="F43" s="34" t="n"/>
      <c r="G43" s="34" t="n"/>
      <c r="H43" s="38" t="n"/>
      <c r="I43" s="30" t="n"/>
      <c r="J43" s="30" t="n"/>
    </row>
    <row r="44">
      <c r="A44" s="30" t="n"/>
      <c r="B44" s="30" t="n"/>
      <c r="C44" s="30" t="n"/>
      <c r="D44" s="30" t="n"/>
      <c r="E44" s="35" t="n"/>
      <c r="F44" s="34" t="n"/>
      <c r="G44" s="34" t="n"/>
      <c r="H44" s="38" t="n"/>
      <c r="I44" s="30" t="n"/>
      <c r="J44" s="30" t="n"/>
    </row>
    <row r="45">
      <c r="A45" s="30" t="n"/>
      <c r="B45" s="30" t="n"/>
      <c r="C45" s="30" t="n"/>
      <c r="D45" s="30" t="n"/>
      <c r="E45" s="35" t="n"/>
      <c r="F45" s="34" t="n"/>
      <c r="G45" s="34" t="n"/>
      <c r="H45" s="38" t="n"/>
      <c r="I45" s="30" t="n"/>
      <c r="J45" s="30" t="n"/>
    </row>
    <row r="46">
      <c r="A46" s="30" t="n"/>
      <c r="B46" s="30" t="n"/>
      <c r="C46" s="30" t="n"/>
      <c r="D46" s="30" t="n"/>
      <c r="E46" s="35" t="n"/>
      <c r="F46" s="34" t="n"/>
      <c r="G46" s="34" t="n"/>
      <c r="H46" s="38" t="n"/>
      <c r="I46" s="30" t="n"/>
      <c r="J46" s="30" t="n"/>
    </row>
    <row r="47">
      <c r="A47" s="30" t="n"/>
      <c r="B47" s="30" t="n"/>
      <c r="C47" s="30" t="n"/>
      <c r="D47" s="30" t="n"/>
      <c r="E47" s="35" t="n"/>
      <c r="F47" s="34" t="n"/>
      <c r="G47" s="34" t="n"/>
      <c r="H47" s="38" t="n"/>
      <c r="I47" s="30" t="n"/>
      <c r="J47" s="30" t="n"/>
    </row>
    <row r="48">
      <c r="A48" s="30" t="n"/>
      <c r="B48" s="30" t="n"/>
      <c r="C48" s="30" t="n"/>
      <c r="D48" s="30" t="n"/>
      <c r="E48" s="35" t="n"/>
      <c r="F48" s="34" t="n"/>
      <c r="G48" s="34" t="n"/>
      <c r="H48" s="38" t="n"/>
      <c r="I48" s="30" t="n"/>
      <c r="J48" s="30" t="n"/>
    </row>
    <row r="49">
      <c r="A49" s="30" t="n"/>
      <c r="B49" s="30" t="n"/>
      <c r="C49" s="30" t="n"/>
      <c r="D49" s="30" t="n"/>
      <c r="E49" s="35" t="n"/>
      <c r="F49" s="34" t="n"/>
      <c r="G49" s="34" t="n"/>
      <c r="H49" s="38" t="n"/>
      <c r="I49" s="30" t="n"/>
      <c r="J49" s="30" t="n"/>
    </row>
    <row r="50">
      <c r="A50" s="30" t="n"/>
      <c r="B50" s="30" t="n"/>
      <c r="C50" s="30" t="n"/>
      <c r="D50" s="30" t="n"/>
      <c r="E50" s="35" t="n"/>
      <c r="F50" s="34" t="n"/>
      <c r="G50" s="34" t="n"/>
      <c r="H50" s="38" t="n"/>
      <c r="I50" s="30" t="n"/>
      <c r="J50" s="30" t="n"/>
    </row>
    <row r="51">
      <c r="A51" s="30" t="n"/>
      <c r="B51" s="30" t="n"/>
      <c r="C51" s="30" t="n"/>
      <c r="D51" s="30" t="n"/>
      <c r="E51" s="35" t="n"/>
      <c r="F51" s="34" t="n"/>
      <c r="G51" s="34" t="n"/>
      <c r="H51" s="38" t="n"/>
      <c r="I51" s="30" t="n"/>
      <c r="J51" s="30" t="n"/>
    </row>
    <row r="52">
      <c r="A52" s="30" t="n"/>
      <c r="B52" s="30" t="n"/>
      <c r="C52" s="30" t="n"/>
      <c r="D52" s="30" t="n"/>
      <c r="E52" s="35" t="n"/>
      <c r="F52" s="34" t="n"/>
      <c r="G52" s="34" t="n"/>
      <c r="H52" s="38" t="n"/>
      <c r="I52" s="30" t="n"/>
      <c r="J52" s="30" t="n"/>
    </row>
    <row r="53">
      <c r="A53" s="30" t="n"/>
      <c r="B53" s="30" t="n"/>
      <c r="C53" s="30" t="n"/>
      <c r="D53" s="30" t="n"/>
      <c r="E53" s="35" t="n"/>
      <c r="F53" s="34" t="n"/>
      <c r="G53" s="34" t="n"/>
      <c r="H53" s="38" t="n"/>
      <c r="I53" s="30" t="n"/>
      <c r="J53" s="30" t="n"/>
    </row>
    <row r="54">
      <c r="A54" s="30" t="n"/>
      <c r="B54" s="30" t="n"/>
      <c r="C54" s="30" t="n"/>
      <c r="D54" s="30" t="n"/>
      <c r="E54" s="35" t="n"/>
      <c r="F54" s="34" t="n"/>
      <c r="G54" s="34" t="n"/>
      <c r="H54" s="38" t="n"/>
      <c r="I54" s="30" t="n"/>
      <c r="J54" s="30" t="n"/>
    </row>
    <row r="55">
      <c r="A55" s="30" t="n"/>
      <c r="B55" s="30" t="n"/>
      <c r="C55" s="30" t="n"/>
      <c r="D55" s="30" t="n"/>
      <c r="E55" s="35" t="n"/>
      <c r="F55" s="34" t="n"/>
      <c r="G55" s="34" t="n"/>
      <c r="H55" s="38" t="n"/>
      <c r="I55" s="30" t="n"/>
      <c r="J55" s="30" t="n"/>
    </row>
    <row r="56">
      <c r="A56" s="30" t="n"/>
      <c r="B56" s="30" t="n"/>
      <c r="C56" s="30" t="n"/>
      <c r="D56" s="30" t="n"/>
      <c r="E56" s="35" t="n"/>
      <c r="F56" s="34" t="n"/>
      <c r="G56" s="34" t="n"/>
      <c r="H56" s="38" t="n"/>
      <c r="I56" s="30" t="n"/>
      <c r="J56" s="30" t="n"/>
    </row>
    <row r="57">
      <c r="A57" s="30" t="n"/>
      <c r="B57" s="30" t="n"/>
      <c r="C57" s="30" t="n"/>
      <c r="D57" s="30" t="n"/>
      <c r="E57" s="35" t="n"/>
      <c r="F57" s="34" t="n"/>
      <c r="G57" s="34" t="n"/>
      <c r="H57" s="38" t="n"/>
      <c r="I57" s="30" t="n"/>
      <c r="J57" s="30" t="n"/>
    </row>
    <row r="58">
      <c r="A58" s="30" t="n"/>
      <c r="B58" s="30" t="n"/>
      <c r="C58" s="30" t="n"/>
      <c r="D58" s="30" t="n"/>
      <c r="E58" s="35" t="n"/>
      <c r="F58" s="34" t="n"/>
      <c r="G58" s="34" t="n"/>
      <c r="H58" s="38" t="n"/>
      <c r="I58" s="30" t="n"/>
      <c r="J58" s="30" t="n"/>
    </row>
    <row r="59">
      <c r="A59" s="30" t="n"/>
      <c r="B59" s="30" t="n"/>
      <c r="C59" s="30" t="n"/>
      <c r="D59" s="30" t="n"/>
      <c r="E59" s="35" t="n"/>
      <c r="F59" s="34" t="n"/>
      <c r="G59" s="34" t="n"/>
      <c r="H59" s="38" t="n"/>
      <c r="I59" s="30" t="n"/>
      <c r="J59" s="30" t="n"/>
    </row>
    <row r="60">
      <c r="A60" s="30" t="n"/>
      <c r="B60" s="30" t="n"/>
      <c r="C60" s="30" t="n"/>
      <c r="D60" s="30" t="n"/>
      <c r="E60" s="35" t="n"/>
      <c r="F60" s="34" t="n"/>
      <c r="G60" s="34" t="n"/>
      <c r="H60" s="38" t="n"/>
      <c r="I60" s="30" t="n"/>
      <c r="J60" s="30" t="n"/>
    </row>
    <row r="61">
      <c r="A61" s="30" t="n"/>
      <c r="B61" s="30" t="n"/>
      <c r="C61" s="30" t="n"/>
      <c r="D61" s="30" t="n"/>
      <c r="E61" s="35" t="n"/>
      <c r="F61" s="34" t="n"/>
      <c r="G61" s="34" t="n"/>
      <c r="H61" s="38" t="n"/>
      <c r="I61" s="30" t="n"/>
      <c r="J61" s="30" t="n"/>
    </row>
    <row r="62">
      <c r="A62" s="30" t="n"/>
      <c r="B62" s="30" t="n"/>
      <c r="C62" s="30" t="n"/>
      <c r="D62" s="30" t="n"/>
      <c r="E62" s="35" t="n"/>
      <c r="F62" s="34" t="n"/>
      <c r="G62" s="34" t="n"/>
      <c r="H62" s="38" t="n"/>
      <c r="I62" s="30" t="n"/>
      <c r="J62" s="30" t="n"/>
    </row>
    <row r="63">
      <c r="A63" s="30" t="n"/>
      <c r="B63" s="30" t="n"/>
      <c r="C63" s="30" t="n"/>
      <c r="D63" s="30" t="n"/>
      <c r="E63" s="35" t="n"/>
      <c r="F63" s="34" t="n"/>
      <c r="G63" s="34" t="n"/>
      <c r="H63" s="38" t="n"/>
      <c r="I63" s="30" t="n"/>
      <c r="J63" s="30" t="n"/>
    </row>
    <row r="64">
      <c r="A64" s="30" t="n"/>
      <c r="B64" s="30" t="n"/>
      <c r="C64" s="30" t="n"/>
      <c r="D64" s="30" t="n"/>
      <c r="E64" s="35" t="n"/>
      <c r="F64" s="34" t="n"/>
      <c r="G64" s="34" t="n"/>
      <c r="H64" s="38" t="n"/>
      <c r="I64" s="30" t="n"/>
      <c r="J64" s="30" t="n"/>
    </row>
    <row r="65">
      <c r="A65" s="30" t="n"/>
      <c r="B65" s="30" t="n"/>
      <c r="C65" s="30" t="n"/>
      <c r="D65" s="30" t="n"/>
      <c r="E65" s="35" t="n"/>
      <c r="F65" s="34" t="n"/>
      <c r="G65" s="34" t="n"/>
      <c r="H65" s="38" t="n"/>
      <c r="I65" s="30" t="n"/>
      <c r="J65" s="30" t="n"/>
    </row>
    <row r="66">
      <c r="A66" s="30" t="n"/>
      <c r="B66" s="30" t="n"/>
      <c r="C66" s="30" t="n"/>
      <c r="D66" s="30" t="n"/>
      <c r="E66" s="35" t="n"/>
      <c r="F66" s="34" t="n"/>
      <c r="G66" s="34" t="n"/>
      <c r="H66" s="38" t="n"/>
      <c r="I66" s="30" t="n"/>
      <c r="J66" s="30" t="n"/>
    </row>
    <row r="67">
      <c r="A67" s="30" t="n"/>
      <c r="B67" s="30" t="n"/>
      <c r="C67" s="30" t="n"/>
      <c r="D67" s="30" t="n"/>
      <c r="E67" s="35" t="n"/>
      <c r="F67" s="34" t="n"/>
      <c r="G67" s="34" t="n"/>
      <c r="H67" s="38" t="n"/>
      <c r="I67" s="30" t="n"/>
      <c r="J67" s="30" t="n"/>
    </row>
    <row r="68">
      <c r="A68" s="30" t="n"/>
      <c r="B68" s="30" t="n"/>
      <c r="C68" s="30" t="n"/>
      <c r="D68" s="30" t="n"/>
      <c r="E68" s="35" t="n"/>
      <c r="F68" s="34" t="n"/>
      <c r="G68" s="34" t="n"/>
      <c r="H68" s="38" t="n"/>
      <c r="I68" s="30" t="n"/>
      <c r="J68" s="30" t="n"/>
    </row>
    <row r="69">
      <c r="A69" s="30" t="n"/>
      <c r="B69" s="30" t="n"/>
      <c r="C69" s="30" t="n"/>
      <c r="D69" s="30" t="n"/>
      <c r="E69" s="35" t="n"/>
      <c r="F69" s="34" t="n"/>
      <c r="G69" s="34" t="n"/>
      <c r="H69" s="38" t="n"/>
      <c r="I69" s="30" t="n"/>
      <c r="J69" s="30" t="n"/>
    </row>
    <row r="70">
      <c r="A70" s="30" t="n"/>
      <c r="B70" s="30" t="n"/>
      <c r="C70" s="30" t="n"/>
      <c r="D70" s="30" t="n"/>
      <c r="E70" s="35" t="n"/>
      <c r="F70" s="34" t="n"/>
      <c r="G70" s="34" t="n"/>
      <c r="H70" s="38" t="n"/>
      <c r="I70" s="30" t="n"/>
      <c r="J70" s="30" t="n"/>
    </row>
    <row r="71">
      <c r="A71" s="30" t="n"/>
      <c r="B71" s="30" t="n"/>
      <c r="C71" s="30" t="n"/>
      <c r="D71" s="30" t="n"/>
      <c r="E71" s="35" t="n"/>
      <c r="F71" s="34" t="n"/>
      <c r="G71" s="34" t="n"/>
      <c r="H71" s="38" t="n"/>
      <c r="I71" s="30" t="n"/>
      <c r="J71" s="30" t="n"/>
    </row>
    <row r="72">
      <c r="A72" s="30" t="n"/>
      <c r="B72" s="30" t="n"/>
      <c r="C72" s="30" t="n"/>
      <c r="D72" s="30" t="n"/>
      <c r="E72" s="35" t="n"/>
      <c r="F72" s="34" t="n"/>
      <c r="G72" s="34" t="n"/>
      <c r="H72" s="38" t="n"/>
      <c r="I72" s="30" t="n"/>
      <c r="J72" s="30" t="n"/>
    </row>
    <row r="73">
      <c r="A73" s="30" t="n"/>
      <c r="B73" s="30" t="n"/>
      <c r="C73" s="30" t="n"/>
      <c r="D73" s="30" t="n"/>
      <c r="E73" s="35" t="n"/>
      <c r="F73" s="34" t="n"/>
      <c r="G73" s="34" t="n"/>
      <c r="H73" s="38" t="n"/>
      <c r="I73" s="30" t="n"/>
      <c r="J73" s="30" t="n"/>
    </row>
    <row r="74">
      <c r="A74" s="30" t="n"/>
      <c r="B74" s="30" t="n"/>
      <c r="C74" s="30" t="n"/>
      <c r="D74" s="30" t="n"/>
      <c r="E74" s="35" t="n"/>
      <c r="F74" s="34" t="n"/>
      <c r="G74" s="34" t="n"/>
      <c r="H74" s="38" t="n"/>
      <c r="I74" s="30" t="n"/>
      <c r="J74" s="30" t="n"/>
    </row>
    <row r="75">
      <c r="A75" s="30" t="n"/>
      <c r="B75" s="30" t="n"/>
      <c r="C75" s="30" t="n"/>
      <c r="D75" s="30" t="n"/>
      <c r="E75" s="35" t="n"/>
      <c r="F75" s="34" t="n"/>
      <c r="G75" s="34" t="n"/>
      <c r="H75" s="38" t="n"/>
      <c r="I75" s="30" t="n"/>
      <c r="J75" s="30" t="n"/>
    </row>
    <row r="76">
      <c r="A76" s="30" t="n"/>
      <c r="B76" s="30" t="n"/>
      <c r="C76" s="30" t="n"/>
      <c r="D76" s="30" t="n"/>
      <c r="E76" s="35" t="n"/>
      <c r="F76" s="34" t="n"/>
      <c r="G76" s="34" t="n"/>
      <c r="H76" s="38" t="n"/>
      <c r="I76" s="30" t="n"/>
      <c r="J76" s="30" t="n"/>
    </row>
    <row r="77">
      <c r="A77" s="30" t="n"/>
      <c r="B77" s="30" t="n"/>
      <c r="C77" s="30" t="n"/>
      <c r="D77" s="30" t="n"/>
      <c r="E77" s="35" t="n"/>
      <c r="F77" s="34" t="n"/>
      <c r="G77" s="34" t="n"/>
      <c r="H77" s="38" t="n"/>
      <c r="I77" s="30" t="n"/>
      <c r="J77" s="30" t="n"/>
    </row>
    <row r="78">
      <c r="A78" s="30" t="n"/>
      <c r="B78" s="30" t="n"/>
      <c r="C78" s="30" t="n"/>
      <c r="D78" s="30" t="n"/>
      <c r="E78" s="35" t="n"/>
      <c r="F78" s="34" t="n"/>
      <c r="G78" s="34" t="n"/>
      <c r="H78" s="38" t="n"/>
      <c r="I78" s="30" t="n"/>
      <c r="J78" s="30" t="n"/>
    </row>
    <row r="79">
      <c r="A79" s="30" t="n"/>
      <c r="B79" s="30" t="n"/>
      <c r="C79" s="30" t="n"/>
      <c r="D79" s="30" t="n"/>
      <c r="E79" s="35" t="n"/>
      <c r="F79" s="34" t="n"/>
      <c r="G79" s="34" t="n"/>
      <c r="H79" s="38" t="n"/>
      <c r="I79" s="30" t="n"/>
      <c r="J79" s="30" t="n"/>
    </row>
    <row r="80">
      <c r="A80" s="30" t="n"/>
      <c r="B80" s="30" t="n"/>
      <c r="C80" s="30" t="n"/>
      <c r="D80" s="30" t="n"/>
      <c r="E80" s="35" t="n"/>
      <c r="F80" s="34" t="n"/>
      <c r="G80" s="34" t="n"/>
      <c r="H80" s="38" t="n"/>
      <c r="I80" s="30" t="n"/>
      <c r="J80" s="30" t="n"/>
    </row>
    <row r="81">
      <c r="A81" s="30" t="n"/>
      <c r="B81" s="30" t="n"/>
      <c r="C81" s="30" t="n"/>
      <c r="D81" s="30" t="n"/>
      <c r="E81" s="35" t="n"/>
      <c r="F81" s="34" t="n"/>
      <c r="G81" s="34" t="n"/>
      <c r="H81" s="38" t="n"/>
      <c r="I81" s="30" t="n"/>
      <c r="J81" s="30" t="n"/>
    </row>
    <row r="82">
      <c r="A82" s="30" t="n"/>
      <c r="B82" s="30" t="n"/>
      <c r="C82" s="30" t="n"/>
      <c r="D82" s="30" t="n"/>
      <c r="E82" s="35" t="n"/>
      <c r="F82" s="34" t="n"/>
      <c r="G82" s="34" t="n"/>
      <c r="H82" s="38" t="n"/>
      <c r="I82" s="30" t="n"/>
      <c r="J82" s="30" t="n"/>
    </row>
    <row r="83">
      <c r="A83" s="30" t="n"/>
      <c r="B83" s="30" t="n"/>
      <c r="C83" s="30" t="n"/>
      <c r="D83" s="30" t="n"/>
      <c r="E83" s="35" t="n"/>
      <c r="F83" s="34" t="n"/>
      <c r="G83" s="34" t="n"/>
      <c r="H83" s="38" t="n"/>
      <c r="I83" s="30" t="n"/>
      <c r="J83" s="30" t="n"/>
    </row>
    <row r="84">
      <c r="A84" s="30" t="n"/>
      <c r="B84" s="30" t="n"/>
      <c r="C84" s="30" t="n"/>
      <c r="D84" s="30" t="n"/>
      <c r="E84" s="35" t="n"/>
      <c r="F84" s="34" t="n"/>
      <c r="G84" s="34" t="n"/>
      <c r="H84" s="38" t="n"/>
      <c r="I84" s="30" t="n"/>
      <c r="J84" s="30" t="n"/>
    </row>
    <row r="85">
      <c r="A85" s="30" t="n"/>
      <c r="B85" s="30" t="n"/>
      <c r="C85" s="30" t="n"/>
      <c r="D85" s="30" t="n"/>
      <c r="E85" s="35" t="n"/>
      <c r="F85" s="34" t="n"/>
      <c r="G85" s="34" t="n"/>
      <c r="H85" s="38" t="n"/>
      <c r="I85" s="30" t="n"/>
      <c r="J85" s="30" t="n"/>
    </row>
    <row r="86">
      <c r="A86" s="30" t="n"/>
      <c r="B86" s="30" t="n"/>
      <c r="C86" s="30" t="n"/>
      <c r="D86" s="30" t="n"/>
      <c r="E86" s="35" t="n"/>
      <c r="F86" s="34" t="n"/>
      <c r="G86" s="34" t="n"/>
      <c r="H86" s="38" t="n"/>
      <c r="I86" s="30" t="n"/>
      <c r="J86" s="30" t="n"/>
    </row>
    <row r="87">
      <c r="A87" s="30" t="n"/>
      <c r="B87" s="30" t="n"/>
      <c r="C87" s="30" t="n"/>
      <c r="D87" s="30" t="n"/>
      <c r="E87" s="35" t="n"/>
      <c r="F87" s="34" t="n"/>
      <c r="G87" s="34" t="n"/>
      <c r="H87" s="38" t="n"/>
      <c r="I87" s="30" t="n"/>
      <c r="J87" s="30" t="n"/>
    </row>
    <row r="88">
      <c r="A88" s="30" t="n"/>
      <c r="B88" s="30" t="n"/>
      <c r="C88" s="30" t="n"/>
      <c r="D88" s="30" t="n"/>
      <c r="E88" s="35" t="n"/>
      <c r="F88" s="34" t="n"/>
      <c r="G88" s="34" t="n"/>
      <c r="H88" s="38" t="n"/>
      <c r="I88" s="30" t="n"/>
      <c r="J88" s="30" t="n"/>
    </row>
    <row r="89">
      <c r="A89" s="30" t="n"/>
      <c r="B89" s="30" t="n"/>
      <c r="C89" s="30" t="n"/>
      <c r="D89" s="30" t="n"/>
      <c r="E89" s="35" t="n"/>
      <c r="F89" s="34" t="n"/>
      <c r="G89" s="34" t="n"/>
      <c r="H89" s="38" t="n"/>
      <c r="I89" s="30" t="n"/>
      <c r="J89" s="30" t="n"/>
    </row>
    <row r="90">
      <c r="A90" s="30" t="n"/>
      <c r="B90" s="30" t="n"/>
      <c r="C90" s="30" t="n"/>
      <c r="D90" s="30" t="n"/>
      <c r="E90" s="35" t="n"/>
      <c r="F90" s="34" t="n"/>
      <c r="G90" s="34" t="n"/>
      <c r="H90" s="38" t="n"/>
      <c r="I90" s="30" t="n"/>
      <c r="J90" s="30" t="n"/>
    </row>
    <row r="91">
      <c r="A91" s="30" t="n"/>
      <c r="B91" s="30" t="n"/>
      <c r="C91" s="30" t="n"/>
      <c r="D91" s="30" t="n"/>
      <c r="E91" s="35" t="n"/>
      <c r="F91" s="34" t="n"/>
      <c r="G91" s="34" t="n"/>
      <c r="H91" s="38" t="n"/>
      <c r="I91" s="30" t="n"/>
      <c r="J91" s="30" t="n"/>
    </row>
    <row r="92">
      <c r="A92" s="30" t="n"/>
      <c r="B92" s="30" t="n"/>
      <c r="C92" s="30" t="n"/>
      <c r="D92" s="30" t="n"/>
      <c r="E92" s="35" t="n"/>
      <c r="F92" s="34" t="n"/>
      <c r="G92" s="34" t="n"/>
      <c r="H92" s="38" t="n"/>
      <c r="I92" s="30" t="n"/>
      <c r="J92" s="30" t="n"/>
    </row>
    <row r="93">
      <c r="A93" s="30" t="n"/>
      <c r="B93" s="30" t="n"/>
      <c r="C93" s="30" t="n"/>
      <c r="D93" s="30" t="n"/>
      <c r="E93" s="35" t="n"/>
      <c r="F93" s="34" t="n"/>
      <c r="G93" s="34" t="n"/>
      <c r="H93" s="38" t="n"/>
      <c r="I93" s="30" t="n"/>
      <c r="J93" s="30" t="n"/>
    </row>
    <row r="94">
      <c r="A94" s="30" t="n"/>
      <c r="B94" s="30" t="n"/>
      <c r="C94" s="30" t="n"/>
      <c r="D94" s="30" t="n"/>
      <c r="E94" s="35" t="n"/>
      <c r="F94" s="34" t="n"/>
      <c r="G94" s="34" t="n"/>
      <c r="H94" s="38" t="n"/>
      <c r="I94" s="30" t="n"/>
      <c r="J94" s="30" t="n"/>
    </row>
    <row r="95">
      <c r="A95" s="30" t="n"/>
      <c r="B95" s="30" t="n"/>
      <c r="C95" s="30" t="n"/>
      <c r="D95" s="30" t="n"/>
      <c r="E95" s="35" t="n"/>
      <c r="F95" s="34" t="n"/>
      <c r="G95" s="34" t="n"/>
      <c r="H95" s="38" t="n"/>
      <c r="I95" s="30" t="n"/>
      <c r="J95" s="30" t="n"/>
    </row>
    <row r="96">
      <c r="A96" s="30" t="n"/>
      <c r="B96" s="30" t="n"/>
      <c r="C96" s="30" t="n"/>
      <c r="D96" s="30" t="n"/>
      <c r="E96" s="35" t="n"/>
      <c r="F96" s="34" t="n"/>
      <c r="G96" s="34" t="n"/>
      <c r="H96" s="38" t="n"/>
      <c r="I96" s="30" t="n"/>
      <c r="J96" s="30" t="n"/>
    </row>
    <row r="97">
      <c r="A97" s="30" t="n"/>
      <c r="B97" s="30" t="n"/>
      <c r="C97" s="30" t="n"/>
      <c r="D97" s="30" t="n"/>
      <c r="E97" s="35" t="n"/>
      <c r="F97" s="34" t="n"/>
      <c r="G97" s="34" t="n"/>
      <c r="H97" s="38" t="n"/>
      <c r="I97" s="30" t="n"/>
      <c r="J97" s="30" t="n"/>
    </row>
    <row r="98">
      <c r="A98" s="30" t="n"/>
      <c r="B98" s="30" t="n"/>
      <c r="C98" s="30" t="n"/>
      <c r="D98" s="30" t="n"/>
      <c r="E98" s="35" t="n"/>
      <c r="F98" s="34" t="n"/>
      <c r="G98" s="34" t="n"/>
      <c r="H98" s="38" t="n"/>
      <c r="I98" s="30" t="n"/>
      <c r="J98" s="30" t="n"/>
    </row>
    <row r="99">
      <c r="A99" s="30" t="n"/>
      <c r="B99" s="30" t="n"/>
      <c r="C99" s="30" t="n"/>
      <c r="D99" s="30" t="n"/>
      <c r="E99" s="35" t="n"/>
      <c r="F99" s="34" t="n"/>
      <c r="G99" s="34" t="n"/>
      <c r="H99" s="38" t="n"/>
      <c r="I99" s="30" t="n"/>
      <c r="J99" s="30" t="n"/>
    </row>
    <row r="100">
      <c r="A100" s="30" t="n"/>
      <c r="B100" s="30" t="n"/>
      <c r="C100" s="30" t="n"/>
      <c r="D100" s="30" t="n"/>
      <c r="E100" s="35" t="n"/>
      <c r="F100" s="34" t="n"/>
      <c r="G100" s="34" t="n"/>
      <c r="H100" s="38" t="n"/>
      <c r="I100" s="30" t="n"/>
      <c r="J100" s="30" t="n"/>
    </row>
    <row r="101">
      <c r="A101" s="30" t="n"/>
      <c r="B101" s="30" t="n"/>
      <c r="C101" s="30" t="n"/>
      <c r="D101" s="30" t="n"/>
      <c r="E101" s="35" t="n"/>
      <c r="F101" s="34" t="n"/>
      <c r="G101" s="34" t="n"/>
      <c r="H101" s="38" t="n"/>
      <c r="I101" s="30" t="n"/>
      <c r="J101" s="30" t="n"/>
    </row>
    <row r="102">
      <c r="A102" s="30" t="n"/>
      <c r="B102" s="30" t="n"/>
      <c r="C102" s="30" t="n"/>
      <c r="D102" s="30" t="n"/>
      <c r="E102" s="35" t="n"/>
      <c r="F102" s="34" t="n"/>
      <c r="G102" s="34" t="n"/>
      <c r="H102" s="38" t="n"/>
      <c r="I102" s="30" t="n"/>
      <c r="J102" s="30" t="n"/>
    </row>
    <row r="103">
      <c r="A103" s="30" t="n"/>
      <c r="B103" s="30" t="n"/>
      <c r="C103" s="30" t="n"/>
      <c r="D103" s="30" t="n"/>
      <c r="E103" s="35" t="n"/>
      <c r="F103" s="34" t="n"/>
      <c r="G103" s="34" t="n"/>
      <c r="H103" s="38" t="n"/>
      <c r="I103" s="30" t="n"/>
      <c r="J103" s="30" t="n"/>
    </row>
    <row r="104">
      <c r="A104" s="30" t="n"/>
      <c r="B104" s="30" t="n"/>
      <c r="C104" s="30" t="n"/>
      <c r="D104" s="30" t="n"/>
      <c r="E104" s="35" t="n"/>
      <c r="F104" s="34" t="n"/>
      <c r="G104" s="34" t="n"/>
      <c r="H104" s="38" t="n"/>
      <c r="I104" s="30" t="n"/>
      <c r="J104" s="30" t="n"/>
    </row>
    <row r="105">
      <c r="A105" s="30" t="n"/>
      <c r="B105" s="30" t="n"/>
      <c r="C105" s="30" t="n"/>
      <c r="D105" s="30" t="n"/>
      <c r="E105" s="35" t="n"/>
      <c r="F105" s="34" t="n"/>
      <c r="G105" s="34" t="n"/>
      <c r="H105" s="38" t="n"/>
      <c r="I105" s="30" t="n"/>
      <c r="J105" s="30" t="n"/>
    </row>
    <row r="106">
      <c r="A106" s="30" t="n"/>
      <c r="B106" s="30" t="n"/>
      <c r="C106" s="30" t="n"/>
      <c r="D106" s="30" t="n"/>
      <c r="E106" s="35" t="n"/>
      <c r="F106" s="34" t="n"/>
      <c r="G106" s="34" t="n"/>
      <c r="H106" s="38" t="n"/>
      <c r="I106" s="30" t="n"/>
      <c r="J106" s="30" t="n"/>
    </row>
    <row r="107">
      <c r="A107" s="30" t="n"/>
      <c r="B107" s="30" t="n"/>
      <c r="C107" s="30" t="n"/>
      <c r="D107" s="30" t="n"/>
      <c r="E107" s="35" t="n"/>
      <c r="F107" s="34" t="n"/>
      <c r="G107" s="34" t="n"/>
      <c r="H107" s="38" t="n"/>
      <c r="I107" s="30" t="n"/>
      <c r="J107" s="30" t="n"/>
    </row>
    <row r="108">
      <c r="A108" s="30" t="n"/>
      <c r="B108" s="30" t="n"/>
      <c r="C108" s="30" t="n"/>
      <c r="D108" s="30" t="n"/>
      <c r="E108" s="35" t="n"/>
      <c r="F108" s="34" t="n"/>
      <c r="G108" s="34" t="n"/>
      <c r="H108" s="38" t="n"/>
      <c r="I108" s="30" t="n"/>
      <c r="J108" s="30" t="n"/>
    </row>
    <row r="109">
      <c r="A109" s="30" t="n"/>
      <c r="B109" s="30" t="n"/>
      <c r="C109" s="30" t="n"/>
      <c r="D109" s="30" t="n"/>
      <c r="E109" s="35" t="n"/>
      <c r="F109" s="34" t="n"/>
      <c r="G109" s="34" t="n"/>
      <c r="H109" s="38" t="n"/>
      <c r="I109" s="30" t="n"/>
      <c r="J109" s="30" t="n"/>
    </row>
    <row r="110">
      <c r="A110" s="30" t="n"/>
      <c r="B110" s="30" t="n"/>
      <c r="C110" s="30" t="n"/>
      <c r="D110" s="30" t="n"/>
      <c r="E110" s="35" t="n"/>
      <c r="F110" s="34" t="n"/>
      <c r="G110" s="34" t="n"/>
      <c r="H110" s="38" t="n"/>
      <c r="I110" s="30" t="n"/>
      <c r="J110" s="30" t="n"/>
    </row>
    <row r="111">
      <c r="A111" s="30" t="n"/>
      <c r="B111" s="30" t="n"/>
      <c r="C111" s="30" t="n"/>
      <c r="D111" s="30" t="n"/>
      <c r="E111" s="35" t="n"/>
      <c r="F111" s="34" t="n"/>
      <c r="G111" s="34" t="n"/>
      <c r="H111" s="38" t="n"/>
      <c r="I111" s="30" t="n"/>
      <c r="J111" s="30" t="n"/>
    </row>
    <row r="112">
      <c r="A112" s="30" t="n"/>
      <c r="B112" s="30" t="n"/>
      <c r="C112" s="30" t="n"/>
      <c r="D112" s="30" t="n"/>
      <c r="E112" s="35" t="n"/>
      <c r="F112" s="34" t="n"/>
      <c r="G112" s="34" t="n"/>
      <c r="H112" s="38" t="n"/>
      <c r="I112" s="30" t="n"/>
      <c r="J112" s="30" t="n"/>
    </row>
    <row r="113">
      <c r="A113" s="30" t="n"/>
      <c r="B113" s="30" t="n"/>
      <c r="C113" s="30" t="n"/>
      <c r="D113" s="30" t="n"/>
      <c r="E113" s="35" t="n"/>
      <c r="F113" s="34" t="n"/>
      <c r="G113" s="34" t="n"/>
      <c r="H113" s="38" t="n"/>
      <c r="I113" s="30" t="n"/>
      <c r="J113" s="30" t="n"/>
    </row>
    <row r="114">
      <c r="A114" s="30" t="n"/>
      <c r="B114" s="30" t="n"/>
      <c r="C114" s="30" t="n"/>
      <c r="D114" s="30" t="n"/>
      <c r="E114" s="35" t="n"/>
      <c r="F114" s="34" t="n"/>
      <c r="G114" s="34" t="n"/>
      <c r="H114" s="38" t="n"/>
      <c r="I114" s="30" t="n"/>
      <c r="J114" s="30" t="n"/>
    </row>
    <row r="115">
      <c r="A115" s="30" t="n"/>
      <c r="B115" s="30" t="n"/>
      <c r="C115" s="30" t="n"/>
      <c r="D115" s="30" t="n"/>
      <c r="E115" s="35" t="n"/>
      <c r="F115" s="34" t="n"/>
      <c r="G115" s="34" t="n"/>
      <c r="H115" s="38" t="n"/>
      <c r="I115" s="30" t="n"/>
      <c r="J115" s="30" t="n"/>
    </row>
    <row r="116">
      <c r="A116" s="30" t="n"/>
      <c r="B116" s="30" t="n"/>
      <c r="C116" s="30" t="n"/>
      <c r="D116" s="30" t="n"/>
      <c r="E116" s="35" t="n"/>
      <c r="F116" s="34" t="n"/>
      <c r="G116" s="34" t="n"/>
      <c r="H116" s="38" t="n"/>
      <c r="I116" s="30" t="n"/>
      <c r="J116" s="30" t="n"/>
    </row>
    <row r="117">
      <c r="A117" s="30" t="n"/>
      <c r="B117" s="30" t="n"/>
      <c r="C117" s="30" t="n"/>
      <c r="D117" s="30" t="n"/>
      <c r="E117" s="35" t="n"/>
      <c r="F117" s="34" t="n"/>
      <c r="G117" s="34" t="n"/>
      <c r="H117" s="38" t="n"/>
      <c r="I117" s="30" t="n"/>
      <c r="J117" s="30" t="n"/>
    </row>
    <row r="118">
      <c r="A118" s="30" t="n"/>
      <c r="B118" s="30" t="n"/>
      <c r="C118" s="30" t="n"/>
      <c r="D118" s="30" t="n"/>
      <c r="E118" s="35" t="n"/>
      <c r="F118" s="34" t="n"/>
      <c r="G118" s="34" t="n"/>
      <c r="H118" s="38" t="n"/>
      <c r="I118" s="30" t="n"/>
      <c r="J118" s="30" t="n"/>
    </row>
    <row r="119">
      <c r="A119" s="30" t="n"/>
      <c r="B119" s="30" t="n"/>
      <c r="C119" s="30" t="n"/>
      <c r="D119" s="30" t="n"/>
      <c r="E119" s="35" t="n"/>
      <c r="F119" s="34" t="n"/>
      <c r="G119" s="34" t="n"/>
      <c r="H119" s="38" t="n"/>
      <c r="I119" s="30" t="n"/>
      <c r="J119" s="30" t="n"/>
    </row>
    <row r="120">
      <c r="A120" s="30" t="n"/>
      <c r="B120" s="30" t="n"/>
      <c r="C120" s="30" t="n"/>
      <c r="D120" s="30" t="n"/>
      <c r="E120" s="35" t="n"/>
      <c r="F120" s="34" t="n"/>
      <c r="G120" s="34" t="n"/>
      <c r="H120" s="38" t="n"/>
      <c r="I120" s="30" t="n"/>
      <c r="J120" s="30" t="n"/>
    </row>
    <row r="121">
      <c r="A121" s="30" t="n"/>
      <c r="B121" s="30" t="n"/>
      <c r="C121" s="30" t="n"/>
      <c r="D121" s="30" t="n"/>
      <c r="E121" s="35" t="n"/>
      <c r="F121" s="34" t="n"/>
      <c r="G121" s="34" t="n"/>
      <c r="H121" s="38" t="n"/>
      <c r="I121" s="30" t="n"/>
      <c r="J121" s="30" t="n"/>
    </row>
    <row r="122">
      <c r="A122" s="30" t="n"/>
      <c r="B122" s="30" t="n"/>
      <c r="C122" s="30" t="n"/>
      <c r="D122" s="30" t="n"/>
      <c r="E122" s="35" t="n"/>
      <c r="F122" s="34" t="n"/>
      <c r="G122" s="34" t="n"/>
      <c r="H122" s="38" t="n"/>
      <c r="I122" s="30" t="n"/>
      <c r="J122" s="30" t="n"/>
    </row>
    <row r="123">
      <c r="A123" s="30" t="n"/>
      <c r="B123" s="30" t="n"/>
      <c r="C123" s="30" t="n"/>
      <c r="D123" s="30" t="n"/>
      <c r="E123" s="35" t="n"/>
      <c r="F123" s="34" t="n"/>
      <c r="G123" s="34" t="n"/>
      <c r="H123" s="38" t="n"/>
      <c r="I123" s="30" t="n"/>
      <c r="J123" s="30" t="n"/>
    </row>
    <row r="124">
      <c r="A124" s="30" t="n"/>
      <c r="B124" s="30" t="n"/>
      <c r="C124" s="30" t="n"/>
      <c r="D124" s="30" t="n"/>
      <c r="E124" s="35" t="n"/>
      <c r="F124" s="34" t="n"/>
      <c r="G124" s="34" t="n"/>
      <c r="H124" s="38" t="n"/>
      <c r="I124" s="30" t="n"/>
      <c r="J124" s="30" t="n"/>
    </row>
    <row r="125">
      <c r="A125" s="30" t="n"/>
      <c r="B125" s="30" t="n"/>
      <c r="C125" s="30" t="n"/>
      <c r="D125" s="30" t="n"/>
      <c r="E125" s="35" t="n"/>
      <c r="F125" s="34" t="n"/>
      <c r="G125" s="34" t="n"/>
      <c r="H125" s="38" t="n"/>
      <c r="I125" s="30" t="n"/>
      <c r="J125" s="30" t="n"/>
    </row>
    <row r="126">
      <c r="A126" s="30" t="n"/>
      <c r="B126" s="30" t="n"/>
      <c r="C126" s="30" t="n"/>
      <c r="D126" s="30" t="n"/>
      <c r="E126" s="35" t="n"/>
      <c r="F126" s="34" t="n"/>
      <c r="G126" s="34" t="n"/>
      <c r="H126" s="38" t="n"/>
      <c r="I126" s="30" t="n"/>
      <c r="J126" s="30" t="n"/>
    </row>
    <row r="127">
      <c r="A127" s="30" t="n"/>
      <c r="B127" s="30" t="n"/>
      <c r="C127" s="30" t="n"/>
      <c r="D127" s="30" t="n"/>
      <c r="E127" s="35" t="n"/>
      <c r="F127" s="34" t="n"/>
      <c r="G127" s="34" t="n"/>
      <c r="H127" s="38" t="n"/>
      <c r="I127" s="30" t="n"/>
      <c r="J127" s="30" t="n"/>
    </row>
    <row r="128">
      <c r="A128" s="30" t="n"/>
      <c r="B128" s="30" t="n"/>
      <c r="C128" s="30" t="n"/>
      <c r="D128" s="30" t="n"/>
      <c r="E128" s="35" t="n"/>
      <c r="F128" s="34" t="n"/>
      <c r="G128" s="34" t="n"/>
      <c r="H128" s="38" t="n"/>
      <c r="I128" s="30" t="n"/>
      <c r="J128" s="30" t="n"/>
    </row>
    <row r="129">
      <c r="A129" s="30" t="n"/>
      <c r="B129" s="30" t="n"/>
      <c r="C129" s="30" t="n"/>
      <c r="D129" s="30" t="n"/>
      <c r="E129" s="35" t="n"/>
      <c r="F129" s="34" t="n"/>
      <c r="G129" s="34" t="n"/>
      <c r="H129" s="38" t="n"/>
      <c r="I129" s="30" t="n"/>
      <c r="J129" s="30" t="n"/>
    </row>
    <row r="130">
      <c r="A130" s="30" t="n"/>
      <c r="B130" s="30" t="n"/>
      <c r="C130" s="30" t="n"/>
      <c r="D130" s="30" t="n"/>
      <c r="E130" s="35" t="n"/>
      <c r="F130" s="34" t="n"/>
      <c r="G130" s="34" t="n"/>
      <c r="H130" s="38" t="n"/>
      <c r="I130" s="30" t="n"/>
      <c r="J130" s="30" t="n"/>
    </row>
    <row r="131">
      <c r="A131" s="30" t="n"/>
      <c r="B131" s="30" t="n"/>
      <c r="C131" s="30" t="n"/>
      <c r="D131" s="30" t="n"/>
      <c r="E131" s="35" t="n"/>
      <c r="F131" s="34" t="n"/>
      <c r="G131" s="34" t="n"/>
      <c r="H131" s="38" t="n"/>
      <c r="I131" s="30" t="n"/>
      <c r="J131" s="30" t="n"/>
    </row>
    <row r="132">
      <c r="A132" s="30" t="n"/>
      <c r="B132" s="30" t="n"/>
      <c r="C132" s="30" t="n"/>
      <c r="D132" s="30" t="n"/>
      <c r="E132" s="35" t="n"/>
      <c r="F132" s="34" t="n"/>
      <c r="G132" s="34" t="n"/>
      <c r="H132" s="38" t="n"/>
      <c r="I132" s="30" t="n"/>
      <c r="J132" s="30" t="n"/>
    </row>
    <row r="133">
      <c r="A133" s="30" t="n"/>
      <c r="B133" s="30" t="n"/>
      <c r="C133" s="30" t="n"/>
      <c r="D133" s="30" t="n"/>
      <c r="E133" s="35" t="n"/>
      <c r="F133" s="34" t="n"/>
      <c r="G133" s="34" t="n"/>
      <c r="H133" s="38" t="n"/>
      <c r="I133" s="30" t="n"/>
      <c r="J133" s="30" t="n"/>
    </row>
    <row r="134">
      <c r="A134" s="30" t="n"/>
      <c r="B134" s="30" t="n"/>
      <c r="C134" s="30" t="n"/>
      <c r="D134" s="30" t="n"/>
      <c r="E134" s="35" t="n"/>
      <c r="F134" s="34" t="n"/>
      <c r="G134" s="34" t="n"/>
      <c r="H134" s="38" t="n"/>
      <c r="I134" s="30" t="n"/>
      <c r="J134" s="30" t="n"/>
    </row>
    <row r="135">
      <c r="A135" s="30" t="n"/>
      <c r="B135" s="30" t="n"/>
      <c r="C135" s="30" t="n"/>
      <c r="D135" s="30" t="n"/>
      <c r="E135" s="35" t="n"/>
      <c r="F135" s="34" t="n"/>
      <c r="G135" s="34" t="n"/>
      <c r="H135" s="38" t="n"/>
      <c r="I135" s="30" t="n"/>
      <c r="J135" s="30" t="n"/>
    </row>
    <row r="136">
      <c r="A136" s="30" t="n"/>
      <c r="B136" s="30" t="n"/>
      <c r="C136" s="30" t="n"/>
      <c r="D136" s="30" t="n"/>
      <c r="E136" s="35" t="n"/>
      <c r="F136" s="34" t="n"/>
      <c r="G136" s="34" t="n"/>
      <c r="H136" s="38" t="n"/>
      <c r="I136" s="30" t="n"/>
      <c r="J136" s="30" t="n"/>
    </row>
    <row r="137">
      <c r="A137" s="30" t="n"/>
      <c r="B137" s="30" t="n"/>
      <c r="C137" s="30" t="n"/>
      <c r="D137" s="30" t="n"/>
      <c r="E137" s="35" t="n"/>
      <c r="F137" s="34" t="n"/>
      <c r="G137" s="34" t="n"/>
      <c r="H137" s="38" t="n"/>
      <c r="I137" s="30" t="n"/>
      <c r="J137" s="30" t="n"/>
    </row>
    <row r="138">
      <c r="A138" s="30" t="n"/>
      <c r="B138" s="30" t="n"/>
      <c r="C138" s="30" t="n"/>
      <c r="D138" s="30" t="n"/>
      <c r="E138" s="35" t="n"/>
      <c r="F138" s="34" t="n"/>
      <c r="G138" s="34" t="n"/>
      <c r="H138" s="38" t="n"/>
      <c r="I138" s="30" t="n"/>
      <c r="J138" s="30" t="n"/>
    </row>
    <row r="139">
      <c r="A139" s="30" t="n"/>
      <c r="B139" s="30" t="n"/>
      <c r="C139" s="30" t="n"/>
      <c r="D139" s="30" t="n"/>
      <c r="E139" s="35" t="n"/>
      <c r="F139" s="34" t="n"/>
      <c r="G139" s="34" t="n"/>
      <c r="H139" s="38" t="n"/>
      <c r="I139" s="30" t="n"/>
      <c r="J139" s="30" t="n"/>
    </row>
    <row r="140">
      <c r="A140" s="30" t="n"/>
      <c r="B140" s="30" t="n"/>
      <c r="C140" s="30" t="n"/>
      <c r="D140" s="30" t="n"/>
      <c r="E140" s="35" t="n"/>
      <c r="F140" s="34" t="n"/>
      <c r="G140" s="34" t="n"/>
      <c r="H140" s="38" t="n"/>
      <c r="I140" s="30" t="n"/>
      <c r="J140" s="30" t="n"/>
    </row>
    <row r="141">
      <c r="A141" s="30" t="n"/>
      <c r="B141" s="30" t="n"/>
      <c r="C141" s="30" t="n"/>
      <c r="D141" s="30" t="n"/>
      <c r="E141" s="35" t="n"/>
      <c r="F141" s="34" t="n"/>
      <c r="G141" s="34" t="n"/>
      <c r="H141" s="38" t="n"/>
      <c r="I141" s="30" t="n"/>
      <c r="J141" s="30" t="n"/>
    </row>
    <row r="142">
      <c r="A142" s="30" t="n"/>
      <c r="B142" s="30" t="n"/>
      <c r="C142" s="30" t="n"/>
      <c r="D142" s="30" t="n"/>
      <c r="E142" s="35" t="n"/>
      <c r="F142" s="34" t="n"/>
      <c r="G142" s="34" t="n"/>
      <c r="H142" s="38" t="n"/>
      <c r="I142" s="30" t="n"/>
      <c r="J142" s="30" t="n"/>
    </row>
    <row r="143">
      <c r="A143" s="30" t="n"/>
      <c r="B143" s="30" t="n"/>
      <c r="C143" s="30" t="n"/>
      <c r="D143" s="30" t="n"/>
      <c r="E143" s="35" t="n"/>
      <c r="F143" s="34" t="n"/>
      <c r="G143" s="34" t="n"/>
      <c r="H143" s="38" t="n"/>
      <c r="I143" s="30" t="n"/>
      <c r="J143" s="30" t="n"/>
    </row>
    <row r="144">
      <c r="A144" s="30" t="n"/>
      <c r="B144" s="30" t="n"/>
      <c r="C144" s="30" t="n"/>
      <c r="D144" s="30" t="n"/>
      <c r="E144" s="35" t="n"/>
      <c r="F144" s="34" t="n"/>
      <c r="G144" s="34" t="n"/>
      <c r="H144" s="38" t="n"/>
      <c r="I144" s="30" t="n"/>
      <c r="J144" s="30" t="n"/>
    </row>
    <row r="145">
      <c r="A145" s="30" t="n"/>
      <c r="B145" s="30" t="n"/>
      <c r="C145" s="30" t="n"/>
      <c r="D145" s="30" t="n"/>
      <c r="E145" s="35" t="n"/>
      <c r="F145" s="34" t="n"/>
      <c r="G145" s="34" t="n"/>
      <c r="H145" s="38" t="n"/>
      <c r="I145" s="30" t="n"/>
      <c r="J145" s="30" t="n"/>
    </row>
    <row r="146">
      <c r="A146" s="30" t="n"/>
      <c r="B146" s="30" t="n"/>
      <c r="C146" s="30" t="n"/>
      <c r="D146" s="30" t="n"/>
      <c r="E146" s="35" t="n"/>
      <c r="F146" s="34" t="n"/>
      <c r="G146" s="34" t="n"/>
      <c r="H146" s="38" t="n"/>
      <c r="I146" s="30" t="n"/>
      <c r="J146" s="30" t="n"/>
    </row>
    <row r="147">
      <c r="A147" s="30" t="n"/>
      <c r="B147" s="30" t="n"/>
      <c r="C147" s="30" t="n"/>
      <c r="D147" s="30" t="n"/>
      <c r="E147" s="35" t="n"/>
      <c r="F147" s="34" t="n"/>
      <c r="G147" s="34" t="n"/>
      <c r="H147" s="38" t="n"/>
      <c r="I147" s="30" t="n"/>
      <c r="J147" s="30" t="n"/>
    </row>
    <row r="148">
      <c r="A148" s="30" t="n"/>
      <c r="B148" s="30" t="n"/>
      <c r="C148" s="30" t="n"/>
      <c r="D148" s="30" t="n"/>
      <c r="E148" s="35" t="n"/>
      <c r="F148" s="34" t="n"/>
      <c r="G148" s="34" t="n"/>
      <c r="H148" s="38" t="n"/>
      <c r="I148" s="30" t="n"/>
      <c r="J148" s="30" t="n"/>
    </row>
    <row r="149">
      <c r="A149" s="30" t="n"/>
      <c r="B149" s="30" t="n"/>
      <c r="C149" s="30" t="n"/>
      <c r="D149" s="30" t="n"/>
      <c r="E149" s="35" t="n"/>
      <c r="F149" s="34" t="n"/>
      <c r="G149" s="34" t="n"/>
      <c r="H149" s="38" t="n"/>
      <c r="I149" s="30" t="n"/>
      <c r="J149" s="30" t="n"/>
    </row>
    <row r="150">
      <c r="A150" s="30" t="n"/>
      <c r="B150" s="30" t="n"/>
      <c r="C150" s="30" t="n"/>
      <c r="D150" s="30" t="n"/>
      <c r="E150" s="35" t="n"/>
      <c r="F150" s="34" t="n"/>
      <c r="G150" s="34" t="n"/>
      <c r="H150" s="38" t="n"/>
      <c r="I150" s="30" t="n"/>
      <c r="J150" s="30" t="n"/>
    </row>
    <row r="151">
      <c r="A151" s="30" t="n"/>
      <c r="B151" s="30" t="n"/>
      <c r="C151" s="30" t="n"/>
      <c r="D151" s="30" t="n"/>
      <c r="E151" s="35" t="n"/>
      <c r="F151" s="34" t="n"/>
      <c r="G151" s="34" t="n"/>
      <c r="H151" s="38" t="n"/>
      <c r="I151" s="30" t="n"/>
      <c r="J151" s="30" t="n"/>
    </row>
    <row r="152">
      <c r="A152" s="30" t="n"/>
      <c r="B152" s="30" t="n"/>
      <c r="C152" s="30" t="n"/>
      <c r="D152" s="30" t="n"/>
      <c r="E152" s="35" t="n"/>
      <c r="F152" s="34" t="n"/>
      <c r="G152" s="34" t="n"/>
      <c r="H152" s="38" t="n"/>
      <c r="I152" s="30" t="n"/>
      <c r="J152" s="30" t="n"/>
    </row>
    <row r="153">
      <c r="A153" s="30" t="n"/>
      <c r="B153" s="30" t="n"/>
      <c r="C153" s="30" t="n"/>
      <c r="D153" s="30" t="n"/>
      <c r="E153" s="35" t="n"/>
      <c r="F153" s="34" t="n"/>
      <c r="G153" s="34" t="n"/>
      <c r="H153" s="38" t="n"/>
      <c r="I153" s="30" t="n"/>
      <c r="J153" s="30" t="n"/>
    </row>
    <row r="154">
      <c r="A154" s="30" t="n"/>
      <c r="B154" s="30" t="n"/>
      <c r="C154" s="30" t="n"/>
      <c r="D154" s="30" t="n"/>
      <c r="E154" s="35" t="n"/>
      <c r="F154" s="34" t="n"/>
      <c r="G154" s="34" t="n"/>
      <c r="H154" s="38" t="n"/>
      <c r="I154" s="30" t="n"/>
      <c r="J154" s="30" t="n"/>
    </row>
    <row r="155">
      <c r="A155" s="30" t="n"/>
      <c r="B155" s="30" t="n"/>
      <c r="C155" s="30" t="n"/>
      <c r="D155" s="30" t="n"/>
      <c r="E155" s="35" t="n"/>
      <c r="F155" s="34" t="n"/>
      <c r="G155" s="34" t="n"/>
      <c r="H155" s="38" t="n"/>
      <c r="I155" s="30" t="n"/>
      <c r="J155" s="30" t="n"/>
    </row>
    <row r="156">
      <c r="A156" s="30" t="n"/>
      <c r="B156" s="30" t="n"/>
      <c r="C156" s="30" t="n"/>
      <c r="D156" s="30" t="n"/>
      <c r="E156" s="35" t="n"/>
      <c r="F156" s="34" t="n"/>
      <c r="G156" s="34" t="n"/>
      <c r="H156" s="38" t="n"/>
      <c r="I156" s="30" t="n"/>
      <c r="J156" s="30" t="n"/>
    </row>
    <row r="157">
      <c r="A157" s="30" t="n"/>
      <c r="B157" s="30" t="n"/>
      <c r="C157" s="30" t="n"/>
      <c r="D157" s="30" t="n"/>
      <c r="E157" s="35" t="n"/>
      <c r="F157" s="34" t="n"/>
      <c r="G157" s="34" t="n"/>
      <c r="H157" s="38" t="n"/>
      <c r="I157" s="30" t="n"/>
      <c r="J157" s="30" t="n"/>
    </row>
    <row r="158">
      <c r="A158" s="30" t="n"/>
      <c r="B158" s="30" t="n"/>
      <c r="C158" s="30" t="n"/>
      <c r="D158" s="30" t="n"/>
      <c r="E158" s="35" t="n"/>
      <c r="F158" s="34" t="n"/>
      <c r="G158" s="34" t="n"/>
      <c r="H158" s="38" t="n"/>
      <c r="I158" s="30" t="n"/>
      <c r="J158" s="30" t="n"/>
    </row>
    <row r="159">
      <c r="A159" s="30" t="n"/>
      <c r="B159" s="30" t="n"/>
      <c r="C159" s="30" t="n"/>
      <c r="D159" s="30" t="n"/>
      <c r="E159" s="35" t="n"/>
      <c r="F159" s="34" t="n"/>
      <c r="G159" s="34" t="n"/>
      <c r="H159" s="38" t="n"/>
      <c r="I159" s="30" t="n"/>
      <c r="J159" s="30" t="n"/>
    </row>
    <row r="160">
      <c r="A160" s="30" t="n"/>
      <c r="B160" s="30" t="n"/>
      <c r="C160" s="30" t="n"/>
      <c r="D160" s="30" t="n"/>
      <c r="E160" s="35" t="n"/>
      <c r="F160" s="34" t="n"/>
      <c r="G160" s="34" t="n"/>
      <c r="H160" s="38" t="n"/>
      <c r="I160" s="30" t="n"/>
      <c r="J160" s="30" t="n"/>
    </row>
    <row r="161">
      <c r="A161" s="30" t="n"/>
      <c r="B161" s="30" t="n"/>
      <c r="C161" s="30" t="n"/>
      <c r="D161" s="30" t="n"/>
      <c r="E161" s="35" t="n"/>
      <c r="F161" s="34" t="n"/>
      <c r="G161" s="34" t="n"/>
      <c r="H161" s="38" t="n"/>
      <c r="I161" s="30" t="n"/>
      <c r="J161" s="30" t="n"/>
    </row>
    <row r="162">
      <c r="A162" s="30" t="n"/>
      <c r="B162" s="30" t="n"/>
      <c r="C162" s="30" t="n"/>
      <c r="D162" s="30" t="n"/>
      <c r="E162" s="35" t="n"/>
      <c r="F162" s="34" t="n"/>
      <c r="G162" s="34" t="n"/>
      <c r="H162" s="38" t="n"/>
      <c r="I162" s="30" t="n"/>
      <c r="J162" s="30" t="n"/>
    </row>
    <row r="163">
      <c r="A163" s="30" t="n"/>
      <c r="B163" s="30" t="n"/>
      <c r="C163" s="30" t="n"/>
      <c r="D163" s="30" t="n"/>
      <c r="E163" s="35" t="n"/>
      <c r="F163" s="34" t="n"/>
      <c r="G163" s="34" t="n"/>
      <c r="H163" s="38" t="n"/>
      <c r="I163" s="30" t="n"/>
      <c r="J163" s="30" t="n"/>
    </row>
    <row r="164">
      <c r="A164" s="30" t="n"/>
      <c r="B164" s="30" t="n"/>
      <c r="C164" s="30" t="n"/>
      <c r="D164" s="30" t="n"/>
      <c r="E164" s="35" t="n"/>
      <c r="F164" s="34" t="n"/>
      <c r="G164" s="34" t="n"/>
      <c r="H164" s="38" t="n"/>
      <c r="I164" s="30" t="n"/>
      <c r="J164" s="30" t="n"/>
    </row>
    <row r="165">
      <c r="A165" s="30" t="n"/>
      <c r="B165" s="30" t="n"/>
      <c r="C165" s="30" t="n"/>
      <c r="D165" s="30" t="n"/>
      <c r="E165" s="35" t="n"/>
      <c r="F165" s="34" t="n"/>
      <c r="G165" s="34" t="n"/>
      <c r="H165" s="38" t="n"/>
      <c r="I165" s="30" t="n"/>
      <c r="J165" s="30" t="n"/>
    </row>
    <row r="166">
      <c r="A166" s="30" t="n"/>
      <c r="B166" s="30" t="n"/>
      <c r="C166" s="30" t="n"/>
      <c r="D166" s="30" t="n"/>
      <c r="E166" s="35" t="n"/>
      <c r="F166" s="34" t="n"/>
      <c r="G166" s="34" t="n"/>
      <c r="H166" s="38" t="n"/>
      <c r="I166" s="30" t="n"/>
      <c r="J166" s="30" t="n"/>
    </row>
    <row r="167">
      <c r="A167" s="30" t="n"/>
      <c r="B167" s="30" t="n"/>
      <c r="C167" s="30" t="n"/>
      <c r="D167" s="30" t="n"/>
      <c r="E167" s="35" t="n"/>
      <c r="F167" s="34" t="n"/>
      <c r="G167" s="34" t="n"/>
      <c r="H167" s="38" t="n"/>
      <c r="I167" s="30" t="n"/>
      <c r="J167" s="30" t="n"/>
    </row>
    <row r="168">
      <c r="A168" s="30" t="n"/>
      <c r="B168" s="30" t="n"/>
      <c r="C168" s="30" t="n"/>
      <c r="D168" s="30" t="n"/>
      <c r="E168" s="35" t="n"/>
      <c r="F168" s="34" t="n"/>
      <c r="G168" s="34" t="n"/>
      <c r="H168" s="38" t="n"/>
      <c r="I168" s="30" t="n"/>
      <c r="J168" s="30" t="n"/>
    </row>
    <row r="169">
      <c r="A169" s="30" t="n"/>
      <c r="B169" s="30" t="n"/>
      <c r="C169" s="30" t="n"/>
      <c r="D169" s="30" t="n"/>
      <c r="E169" s="35" t="n"/>
      <c r="F169" s="34" t="n"/>
      <c r="G169" s="34" t="n"/>
      <c r="H169" s="38" t="n"/>
      <c r="I169" s="30" t="n"/>
      <c r="J169" s="30" t="n"/>
    </row>
    <row r="170">
      <c r="A170" s="30" t="n"/>
      <c r="B170" s="30" t="n"/>
      <c r="C170" s="30" t="n"/>
      <c r="D170" s="30" t="n"/>
      <c r="E170" s="35" t="n"/>
      <c r="F170" s="34" t="n"/>
      <c r="G170" s="34" t="n"/>
      <c r="H170" s="38" t="n"/>
      <c r="I170" s="30" t="n"/>
      <c r="J170" s="30" t="n"/>
    </row>
    <row r="171">
      <c r="A171" s="30" t="n"/>
      <c r="B171" s="30" t="n"/>
      <c r="C171" s="30" t="n"/>
      <c r="D171" s="30" t="n"/>
      <c r="E171" s="35" t="n"/>
      <c r="F171" s="34" t="n"/>
      <c r="G171" s="34" t="n"/>
      <c r="H171" s="38" t="n"/>
      <c r="I171" s="30" t="n"/>
      <c r="J171" s="30" t="n"/>
    </row>
    <row r="172">
      <c r="A172" s="30" t="n"/>
      <c r="B172" s="30" t="n"/>
      <c r="C172" s="30" t="n"/>
      <c r="D172" s="30" t="n"/>
      <c r="E172" s="35" t="n"/>
      <c r="F172" s="34" t="n"/>
      <c r="G172" s="34" t="n"/>
      <c r="H172" s="38" t="n"/>
      <c r="I172" s="30" t="n"/>
      <c r="J172" s="30" t="n"/>
    </row>
    <row r="173">
      <c r="A173" s="30" t="n"/>
      <c r="B173" s="30" t="n"/>
      <c r="C173" s="30" t="n"/>
      <c r="D173" s="30" t="n"/>
      <c r="E173" s="35" t="n"/>
      <c r="F173" s="34" t="n"/>
      <c r="G173" s="34" t="n"/>
      <c r="H173" s="38" t="n"/>
      <c r="I173" s="30" t="n"/>
      <c r="J173" s="30" t="n"/>
    </row>
    <row r="174">
      <c r="A174" s="30" t="n"/>
      <c r="B174" s="30" t="n"/>
      <c r="C174" s="30" t="n"/>
      <c r="D174" s="30" t="n"/>
      <c r="E174" s="35" t="n"/>
      <c r="F174" s="34" t="n"/>
      <c r="G174" s="34" t="n"/>
      <c r="H174" s="38" t="n"/>
      <c r="I174" s="30" t="n"/>
      <c r="J174" s="30" t="n"/>
    </row>
    <row r="175">
      <c r="A175" s="30" t="n"/>
      <c r="B175" s="30" t="n"/>
      <c r="C175" s="30" t="n"/>
      <c r="D175" s="30" t="n"/>
      <c r="E175" s="35" t="n"/>
      <c r="F175" s="34" t="n"/>
      <c r="G175" s="34" t="n"/>
      <c r="H175" s="38" t="n"/>
      <c r="I175" s="30" t="n"/>
      <c r="J175" s="30" t="n"/>
    </row>
    <row r="176">
      <c r="A176" s="30" t="n"/>
      <c r="B176" s="30" t="n"/>
      <c r="C176" s="30" t="n"/>
      <c r="D176" s="30" t="n"/>
      <c r="E176" s="35" t="n"/>
      <c r="F176" s="34" t="n"/>
      <c r="G176" s="34" t="n"/>
      <c r="H176" s="38" t="n"/>
      <c r="I176" s="30" t="n"/>
      <c r="J176" s="30" t="n"/>
    </row>
    <row r="177">
      <c r="A177" s="30" t="n"/>
      <c r="B177" s="30" t="n"/>
      <c r="C177" s="30" t="n"/>
      <c r="D177" s="30" t="n"/>
      <c r="E177" s="35" t="n"/>
      <c r="F177" s="34" t="n"/>
      <c r="G177" s="34" t="n"/>
      <c r="H177" s="38" t="n"/>
      <c r="I177" s="30" t="n"/>
      <c r="J177" s="30" t="n"/>
    </row>
    <row r="178">
      <c r="A178" s="30" t="n"/>
      <c r="B178" s="30" t="n"/>
      <c r="C178" s="30" t="n"/>
      <c r="D178" s="30" t="n"/>
      <c r="E178" s="35" t="n"/>
      <c r="F178" s="34" t="n"/>
      <c r="G178" s="34" t="n"/>
      <c r="H178" s="38" t="n"/>
      <c r="I178" s="30" t="n"/>
      <c r="J178" s="30" t="n"/>
    </row>
    <row r="179">
      <c r="A179" s="30" t="n"/>
      <c r="B179" s="30" t="n"/>
      <c r="C179" s="30" t="n"/>
      <c r="D179" s="30" t="n"/>
      <c r="E179" s="35" t="n"/>
      <c r="F179" s="34" t="n"/>
      <c r="G179" s="34" t="n"/>
      <c r="H179" s="38" t="n"/>
      <c r="I179" s="30" t="n"/>
      <c r="J179" s="30" t="n"/>
    </row>
    <row r="180">
      <c r="A180" s="30" t="n"/>
      <c r="B180" s="30" t="n"/>
      <c r="C180" s="30" t="n"/>
      <c r="D180" s="30" t="n"/>
      <c r="E180" s="35" t="n"/>
      <c r="F180" s="34" t="n"/>
      <c r="G180" s="34" t="n"/>
      <c r="H180" s="38" t="n"/>
      <c r="I180" s="30" t="n"/>
      <c r="J180" s="30" t="n"/>
    </row>
    <row r="181">
      <c r="A181" s="30" t="n"/>
      <c r="B181" s="30" t="n"/>
      <c r="C181" s="30" t="n"/>
      <c r="D181" s="30" t="n"/>
      <c r="E181" s="35" t="n"/>
      <c r="F181" s="34" t="n"/>
      <c r="G181" s="34" t="n"/>
      <c r="H181" s="38" t="n"/>
      <c r="I181" s="30" t="n"/>
      <c r="J181" s="30" t="n"/>
    </row>
    <row r="182">
      <c r="A182" s="30" t="n"/>
      <c r="B182" s="30" t="n"/>
      <c r="C182" s="30" t="n"/>
      <c r="D182" s="30" t="n"/>
      <c r="E182" s="35" t="n"/>
      <c r="F182" s="34" t="n"/>
      <c r="G182" s="34" t="n"/>
      <c r="H182" s="38" t="n"/>
      <c r="I182" s="30" t="n"/>
      <c r="J182" s="30" t="n"/>
    </row>
    <row r="183">
      <c r="A183" s="30" t="n"/>
      <c r="B183" s="30" t="n"/>
      <c r="C183" s="30" t="n"/>
      <c r="D183" s="30" t="n"/>
      <c r="E183" s="35" t="n"/>
      <c r="F183" s="34" t="n"/>
      <c r="G183" s="34" t="n"/>
      <c r="H183" s="38" t="n"/>
      <c r="I183" s="30" t="n"/>
      <c r="J183" s="30" t="n"/>
    </row>
    <row r="184">
      <c r="A184" s="30" t="n"/>
      <c r="B184" s="30" t="n"/>
      <c r="C184" s="30" t="n"/>
      <c r="D184" s="30" t="n"/>
      <c r="E184" s="35" t="n"/>
      <c r="F184" s="34" t="n"/>
      <c r="G184" s="34" t="n"/>
      <c r="H184" s="38" t="n"/>
      <c r="I184" s="30" t="n"/>
      <c r="J184" s="30" t="n"/>
    </row>
    <row r="185">
      <c r="A185" s="30" t="n"/>
      <c r="B185" s="30" t="n"/>
      <c r="C185" s="30" t="n"/>
      <c r="D185" s="30" t="n"/>
      <c r="E185" s="35" t="n"/>
      <c r="F185" s="34" t="n"/>
      <c r="G185" s="34" t="n"/>
      <c r="H185" s="38" t="n"/>
      <c r="I185" s="30" t="n"/>
      <c r="J185" s="30" t="n"/>
    </row>
    <row r="186">
      <c r="A186" s="30" t="n"/>
      <c r="B186" s="30" t="n"/>
      <c r="C186" s="30" t="n"/>
      <c r="D186" s="30" t="n"/>
      <c r="E186" s="35" t="n"/>
      <c r="F186" s="34" t="n"/>
      <c r="G186" s="34" t="n"/>
      <c r="H186" s="38" t="n"/>
      <c r="I186" s="30" t="n"/>
      <c r="J186" s="30" t="n"/>
    </row>
    <row r="187">
      <c r="A187" s="30" t="n"/>
      <c r="B187" s="30" t="n"/>
      <c r="C187" s="30" t="n"/>
      <c r="D187" s="30" t="n"/>
      <c r="E187" s="35" t="n"/>
      <c r="F187" s="34" t="n"/>
      <c r="G187" s="34" t="n"/>
      <c r="H187" s="38" t="n"/>
      <c r="I187" s="30" t="n"/>
      <c r="J187" s="30" t="n"/>
    </row>
    <row r="188">
      <c r="A188" s="30" t="n"/>
      <c r="B188" s="30" t="n"/>
      <c r="C188" s="30" t="n"/>
      <c r="D188" s="30" t="n"/>
      <c r="E188" s="35" t="n"/>
      <c r="F188" s="34" t="n"/>
      <c r="G188" s="34" t="n"/>
      <c r="H188" s="38" t="n"/>
      <c r="I188" s="30" t="n"/>
      <c r="J188" s="30" t="n"/>
    </row>
    <row r="189">
      <c r="A189" s="30" t="n"/>
      <c r="B189" s="30" t="n"/>
      <c r="C189" s="30" t="n"/>
      <c r="D189" s="30" t="n"/>
      <c r="E189" s="35" t="n"/>
      <c r="F189" s="34" t="n"/>
      <c r="G189" s="34" t="n"/>
      <c r="H189" s="38" t="n"/>
      <c r="I189" s="30" t="n"/>
      <c r="J189" s="30" t="n"/>
    </row>
    <row r="190">
      <c r="A190" s="30" t="n"/>
      <c r="B190" s="30" t="n"/>
      <c r="C190" s="30" t="n"/>
      <c r="D190" s="30" t="n"/>
      <c r="E190" s="35" t="n"/>
      <c r="F190" s="34" t="n"/>
      <c r="G190" s="34" t="n"/>
      <c r="H190" s="38" t="n"/>
      <c r="I190" s="30" t="n"/>
      <c r="J190" s="30" t="n"/>
    </row>
    <row r="191">
      <c r="A191" s="30" t="n"/>
      <c r="B191" s="30" t="n"/>
      <c r="C191" s="30" t="n"/>
      <c r="D191" s="30" t="n"/>
      <c r="E191" s="35" t="n"/>
      <c r="F191" s="34" t="n"/>
      <c r="G191" s="34" t="n"/>
      <c r="H191" s="38" t="n"/>
      <c r="I191" s="30" t="n"/>
      <c r="J191" s="30" t="n"/>
    </row>
    <row r="192">
      <c r="A192" s="30" t="n"/>
      <c r="B192" s="30" t="n"/>
      <c r="C192" s="30" t="n"/>
      <c r="D192" s="30" t="n"/>
      <c r="E192" s="35" t="n"/>
      <c r="F192" s="34" t="n"/>
      <c r="G192" s="34" t="n"/>
      <c r="H192" s="38" t="n"/>
      <c r="I192" s="30" t="n"/>
      <c r="J192" s="30" t="n"/>
    </row>
    <row r="193">
      <c r="A193" s="30" t="n"/>
      <c r="B193" s="30" t="n"/>
      <c r="C193" s="30" t="n"/>
      <c r="D193" s="30" t="n"/>
      <c r="E193" s="35" t="n"/>
      <c r="F193" s="34" t="n"/>
      <c r="G193" s="34" t="n"/>
      <c r="H193" s="38" t="n"/>
      <c r="I193" s="30" t="n"/>
      <c r="J193" s="30" t="n"/>
    </row>
    <row r="194">
      <c r="A194" s="30" t="n"/>
      <c r="B194" s="30" t="n"/>
      <c r="C194" s="30" t="n"/>
      <c r="D194" s="30" t="n"/>
      <c r="E194" s="35" t="n"/>
      <c r="F194" s="34" t="n"/>
      <c r="G194" s="34" t="n"/>
      <c r="H194" s="38" t="n"/>
      <c r="I194" s="30" t="n"/>
      <c r="J194" s="30" t="n"/>
    </row>
    <row r="195">
      <c r="A195" s="30" t="n"/>
      <c r="B195" s="30" t="n"/>
      <c r="C195" s="30" t="n"/>
      <c r="D195" s="30" t="n"/>
      <c r="E195" s="35" t="n"/>
      <c r="F195" s="34" t="n"/>
      <c r="G195" s="34" t="n"/>
      <c r="H195" s="38" t="n"/>
      <c r="I195" s="30" t="n"/>
      <c r="J195" s="30" t="n"/>
    </row>
    <row r="196">
      <c r="A196" s="30" t="n"/>
      <c r="B196" s="30" t="n"/>
      <c r="C196" s="30" t="n"/>
      <c r="D196" s="30" t="n"/>
      <c r="E196" s="35" t="n"/>
      <c r="F196" s="34" t="n"/>
      <c r="G196" s="34" t="n"/>
      <c r="H196" s="38" t="n"/>
      <c r="I196" s="30" t="n"/>
      <c r="J196" s="30" t="n"/>
    </row>
    <row r="197">
      <c r="A197" s="30" t="n"/>
      <c r="B197" s="30" t="n"/>
      <c r="C197" s="30" t="n"/>
      <c r="D197" s="30" t="n"/>
      <c r="E197" s="35" t="n"/>
      <c r="F197" s="34" t="n"/>
      <c r="G197" s="34" t="n"/>
      <c r="H197" s="38" t="n"/>
      <c r="I197" s="30" t="n"/>
      <c r="J197" s="30" t="n"/>
    </row>
    <row r="198">
      <c r="A198" s="30" t="n"/>
      <c r="B198" s="30" t="n"/>
      <c r="C198" s="30" t="n"/>
      <c r="D198" s="30" t="n"/>
      <c r="E198" s="35" t="n"/>
      <c r="F198" s="34" t="n"/>
      <c r="G198" s="34" t="n"/>
      <c r="H198" s="38" t="n"/>
      <c r="I198" s="30" t="n"/>
      <c r="J198" s="30" t="n"/>
    </row>
    <row r="199">
      <c r="A199" s="30" t="n"/>
      <c r="B199" s="30" t="n"/>
      <c r="C199" s="30" t="n"/>
      <c r="D199" s="30" t="n"/>
      <c r="E199" s="35" t="n"/>
      <c r="F199" s="34" t="n"/>
      <c r="G199" s="34" t="n"/>
      <c r="H199" s="38" t="n"/>
      <c r="I199" s="30" t="n"/>
      <c r="J199" s="30" t="n"/>
    </row>
    <row r="200">
      <c r="A200" s="30" t="n"/>
      <c r="B200" s="30" t="n"/>
      <c r="C200" s="30" t="n"/>
      <c r="D200" s="30" t="n"/>
      <c r="E200" s="35" t="n"/>
      <c r="F200" s="34" t="n"/>
      <c r="G200" s="34" t="n"/>
      <c r="H200" s="38" t="n"/>
      <c r="I200" s="30" t="n"/>
      <c r="J200" s="30" t="n"/>
    </row>
    <row r="201">
      <c r="A201" s="30" t="n"/>
      <c r="B201" s="30" t="n"/>
      <c r="C201" s="30" t="n"/>
      <c r="D201" s="30" t="n"/>
      <c r="E201" s="35" t="n"/>
      <c r="F201" s="34" t="n"/>
      <c r="G201" s="34" t="n"/>
      <c r="H201" s="38" t="n"/>
      <c r="I201" s="30" t="n"/>
      <c r="J201" s="30" t="n"/>
    </row>
    <row r="202">
      <c r="A202" s="30" t="n"/>
      <c r="B202" s="30" t="n"/>
      <c r="C202" s="30" t="n"/>
      <c r="D202" s="30" t="n"/>
      <c r="E202" s="35" t="n"/>
      <c r="F202" s="34" t="n"/>
      <c r="G202" s="34" t="n"/>
      <c r="H202" s="38" t="n"/>
      <c r="I202" s="30" t="n"/>
      <c r="J202" s="30" t="n"/>
    </row>
    <row r="203">
      <c r="A203" s="30" t="n"/>
      <c r="B203" s="30" t="n"/>
      <c r="C203" s="30" t="n"/>
      <c r="D203" s="30" t="n"/>
      <c r="E203" s="35" t="n"/>
      <c r="F203" s="34" t="n"/>
      <c r="G203" s="34" t="n"/>
      <c r="H203" s="38" t="n"/>
      <c r="I203" s="30" t="n"/>
      <c r="J203" s="30" t="n"/>
    </row>
    <row r="204">
      <c r="A204" s="30" t="n"/>
      <c r="B204" s="30" t="n"/>
      <c r="C204" s="30" t="n"/>
      <c r="D204" s="30" t="n"/>
      <c r="E204" s="35" t="n"/>
      <c r="F204" s="34" t="n"/>
      <c r="G204" s="34" t="n"/>
      <c r="H204" s="38" t="n"/>
      <c r="I204" s="30" t="n"/>
      <c r="J204" s="30" t="n"/>
    </row>
    <row r="205">
      <c r="A205" s="30" t="n"/>
      <c r="B205" s="30" t="n"/>
      <c r="C205" s="30" t="n"/>
      <c r="D205" s="30" t="n"/>
      <c r="E205" s="35" t="n"/>
      <c r="F205" s="34" t="n"/>
      <c r="G205" s="34" t="n"/>
      <c r="H205" s="38" t="n"/>
      <c r="I205" s="30" t="n"/>
      <c r="J205" s="30" t="n"/>
    </row>
    <row r="206">
      <c r="A206" s="30" t="n"/>
      <c r="B206" s="30" t="n"/>
      <c r="C206" s="30" t="n"/>
      <c r="D206" s="30" t="n"/>
      <c r="E206" s="35" t="n"/>
      <c r="F206" s="34" t="n"/>
      <c r="G206" s="34" t="n"/>
      <c r="H206" s="38" t="n"/>
      <c r="I206" s="30" t="n"/>
      <c r="J206" s="30" t="n"/>
    </row>
    <row r="207">
      <c r="A207" s="30" t="n"/>
      <c r="B207" s="30" t="n"/>
      <c r="C207" s="30" t="n"/>
      <c r="D207" s="30" t="n"/>
      <c r="E207" s="35" t="n"/>
      <c r="F207" s="34" t="n"/>
      <c r="G207" s="34" t="n"/>
      <c r="H207" s="38" t="n"/>
      <c r="I207" s="30" t="n"/>
      <c r="J207" s="30" t="n"/>
    </row>
    <row r="208">
      <c r="A208" s="30" t="n"/>
      <c r="B208" s="30" t="n"/>
      <c r="C208" s="30" t="n"/>
      <c r="D208" s="30" t="n"/>
      <c r="E208" s="35" t="n"/>
      <c r="F208" s="34" t="n"/>
      <c r="G208" s="34" t="n"/>
      <c r="H208" s="38" t="n"/>
      <c r="I208" s="30" t="n"/>
      <c r="J208" s="30" t="n"/>
    </row>
    <row r="209">
      <c r="A209" s="30" t="n"/>
      <c r="B209" s="30" t="n"/>
      <c r="C209" s="30" t="n"/>
      <c r="D209" s="30" t="n"/>
      <c r="E209" s="35" t="n"/>
      <c r="F209" s="34" t="n"/>
      <c r="G209" s="34" t="n"/>
      <c r="H209" s="38" t="n"/>
      <c r="I209" s="30" t="n"/>
      <c r="J209" s="30" t="n"/>
    </row>
    <row r="210">
      <c r="A210" s="30" t="n"/>
      <c r="B210" s="30" t="n"/>
      <c r="C210" s="30" t="n"/>
      <c r="D210" s="30" t="n"/>
      <c r="E210" s="35" t="n"/>
      <c r="F210" s="34" t="n"/>
      <c r="G210" s="34" t="n"/>
      <c r="H210" s="38" t="n"/>
      <c r="I210" s="30" t="n"/>
      <c r="J210" s="30" t="n"/>
    </row>
    <row r="211">
      <c r="A211" s="30" t="n"/>
      <c r="B211" s="30" t="n"/>
      <c r="C211" s="30" t="n"/>
      <c r="D211" s="30" t="n"/>
      <c r="E211" s="35" t="n"/>
      <c r="F211" s="34" t="n"/>
      <c r="G211" s="34" t="n"/>
      <c r="H211" s="38" t="n"/>
      <c r="I211" s="30" t="n"/>
      <c r="J211" s="30" t="n"/>
    </row>
    <row r="212">
      <c r="A212" s="30" t="n"/>
      <c r="B212" s="30" t="n"/>
      <c r="C212" s="30" t="n"/>
      <c r="D212" s="30" t="n"/>
      <c r="E212" s="35" t="n"/>
      <c r="F212" s="34" t="n"/>
      <c r="G212" s="34" t="n"/>
      <c r="H212" s="38" t="n"/>
      <c r="I212" s="30" t="n"/>
      <c r="J212" s="30" t="n"/>
    </row>
    <row r="213">
      <c r="A213" s="30" t="n"/>
      <c r="B213" s="30" t="n"/>
      <c r="C213" s="30" t="n"/>
      <c r="D213" s="30" t="n"/>
      <c r="E213" s="35" t="n"/>
      <c r="F213" s="34" t="n"/>
      <c r="G213" s="34" t="n"/>
      <c r="H213" s="38" t="n"/>
      <c r="I213" s="30" t="n"/>
      <c r="J213" s="30" t="n"/>
    </row>
    <row r="214">
      <c r="A214" s="30" t="n"/>
      <c r="B214" s="30" t="n"/>
      <c r="C214" s="30" t="n"/>
      <c r="D214" s="30" t="n"/>
      <c r="E214" s="35" t="n"/>
      <c r="F214" s="34" t="n"/>
      <c r="G214" s="34" t="n"/>
      <c r="H214" s="38" t="n"/>
      <c r="I214" s="30" t="n"/>
      <c r="J214" s="30" t="n"/>
    </row>
    <row r="215">
      <c r="A215" s="30" t="n"/>
      <c r="B215" s="30" t="n"/>
      <c r="C215" s="30" t="n"/>
      <c r="D215" s="30" t="n"/>
      <c r="E215" s="35" t="n"/>
      <c r="F215" s="34" t="n"/>
      <c r="G215" s="34" t="n"/>
      <c r="H215" s="38" t="n"/>
      <c r="I215" s="30" t="n"/>
      <c r="J215" s="30" t="n"/>
    </row>
    <row r="216">
      <c r="A216" s="30" t="n"/>
      <c r="B216" s="30" t="n"/>
      <c r="C216" s="30" t="n"/>
      <c r="D216" s="30" t="n"/>
      <c r="E216" s="35" t="n"/>
      <c r="F216" s="34" t="n"/>
      <c r="G216" s="34" t="n"/>
      <c r="H216" s="38" t="n"/>
      <c r="I216" s="30" t="n"/>
      <c r="J216" s="30" t="n"/>
    </row>
    <row r="217">
      <c r="A217" s="30" t="n"/>
      <c r="B217" s="30" t="n"/>
      <c r="C217" s="30" t="n"/>
      <c r="D217" s="30" t="n"/>
      <c r="E217" s="35" t="n"/>
      <c r="F217" s="34" t="n"/>
      <c r="G217" s="34" t="n"/>
      <c r="H217" s="38" t="n"/>
      <c r="I217" s="30" t="n"/>
      <c r="J217" s="30" t="n"/>
    </row>
    <row r="218">
      <c r="A218" s="30" t="n"/>
      <c r="B218" s="30" t="n"/>
      <c r="C218" s="30" t="n"/>
      <c r="D218" s="30" t="n"/>
      <c r="E218" s="35" t="n"/>
      <c r="F218" s="34" t="n"/>
      <c r="G218" s="34" t="n"/>
      <c r="H218" s="38" t="n"/>
      <c r="I218" s="30" t="n"/>
      <c r="J218" s="30" t="n"/>
    </row>
    <row r="219">
      <c r="A219" s="30" t="n"/>
      <c r="B219" s="30" t="n"/>
      <c r="C219" s="30" t="n"/>
      <c r="D219" s="30" t="n"/>
      <c r="E219" s="35" t="n"/>
      <c r="F219" s="34" t="n"/>
      <c r="G219" s="34" t="n"/>
      <c r="H219" s="38" t="n"/>
      <c r="I219" s="30" t="n"/>
      <c r="J219" s="30" t="n"/>
    </row>
    <row r="220">
      <c r="A220" s="30" t="n"/>
      <c r="B220" s="30" t="n"/>
      <c r="C220" s="30" t="n"/>
      <c r="D220" s="30" t="n"/>
      <c r="E220" s="35" t="n"/>
      <c r="F220" s="34" t="n"/>
      <c r="G220" s="34" t="n"/>
      <c r="H220" s="38" t="n"/>
      <c r="I220" s="30" t="n"/>
      <c r="J220" s="30" t="n"/>
    </row>
    <row r="221">
      <c r="A221" s="30" t="n"/>
      <c r="B221" s="30" t="n"/>
      <c r="C221" s="30" t="n"/>
      <c r="D221" s="30" t="n"/>
      <c r="E221" s="35" t="n"/>
      <c r="F221" s="34" t="n"/>
      <c r="G221" s="34" t="n"/>
      <c r="H221" s="38" t="n"/>
      <c r="I221" s="30" t="n"/>
      <c r="J221" s="30" t="n"/>
    </row>
    <row r="222">
      <c r="A222" s="30" t="n"/>
      <c r="B222" s="30" t="n"/>
      <c r="C222" s="30" t="n"/>
      <c r="D222" s="30" t="n"/>
      <c r="E222" s="35" t="n"/>
      <c r="F222" s="34" t="n"/>
      <c r="G222" s="34" t="n"/>
      <c r="H222" s="38" t="n"/>
      <c r="I222" s="30" t="n"/>
      <c r="J222" s="30" t="n"/>
    </row>
    <row r="223">
      <c r="A223" s="30" t="n"/>
      <c r="B223" s="30" t="n"/>
      <c r="C223" s="30" t="n"/>
      <c r="D223" s="30" t="n"/>
      <c r="E223" s="35" t="n"/>
      <c r="F223" s="34" t="n"/>
      <c r="G223" s="34" t="n"/>
      <c r="H223" s="38" t="n"/>
      <c r="I223" s="30" t="n"/>
      <c r="J223" s="30" t="n"/>
    </row>
    <row r="224">
      <c r="A224" s="30" t="n"/>
      <c r="B224" s="30" t="n"/>
      <c r="C224" s="30" t="n"/>
      <c r="D224" s="30" t="n"/>
      <c r="E224" s="35" t="n"/>
      <c r="F224" s="34" t="n"/>
      <c r="G224" s="34" t="n"/>
      <c r="H224" s="38" t="n"/>
      <c r="I224" s="30" t="n"/>
      <c r="J224" s="30" t="n"/>
    </row>
    <row r="225">
      <c r="A225" s="30" t="n"/>
      <c r="B225" s="30" t="n"/>
      <c r="C225" s="30" t="n"/>
      <c r="D225" s="30" t="n"/>
      <c r="E225" s="35" t="n"/>
      <c r="F225" s="34" t="n"/>
      <c r="G225" s="34" t="n"/>
      <c r="H225" s="38" t="n"/>
      <c r="I225" s="30" t="n"/>
      <c r="J225" s="30" t="n"/>
    </row>
    <row r="226">
      <c r="A226" s="30" t="n"/>
      <c r="B226" s="30" t="n"/>
      <c r="C226" s="30" t="n"/>
      <c r="D226" s="30" t="n"/>
      <c r="E226" s="35" t="n"/>
      <c r="F226" s="34" t="n"/>
      <c r="G226" s="34" t="n"/>
      <c r="H226" s="38" t="n"/>
      <c r="I226" s="30" t="n"/>
      <c r="J226" s="30" t="n"/>
    </row>
    <row r="227">
      <c r="A227" s="30" t="n"/>
      <c r="B227" s="30" t="n"/>
      <c r="C227" s="30" t="n"/>
      <c r="D227" s="30" t="n"/>
      <c r="E227" s="35" t="n"/>
      <c r="F227" s="34" t="n"/>
      <c r="G227" s="34" t="n"/>
      <c r="H227" s="38" t="n"/>
      <c r="I227" s="30" t="n"/>
      <c r="J227" s="30" t="n"/>
    </row>
    <row r="228">
      <c r="A228" s="30" t="n"/>
      <c r="B228" s="30" t="n"/>
      <c r="C228" s="30" t="n"/>
      <c r="D228" s="30" t="n"/>
      <c r="E228" s="35" t="n"/>
      <c r="F228" s="34" t="n"/>
      <c r="G228" s="34" t="n"/>
      <c r="H228" s="38" t="n"/>
      <c r="I228" s="30" t="n"/>
      <c r="J228" s="30" t="n"/>
    </row>
    <row r="229">
      <c r="A229" s="30" t="n"/>
      <c r="B229" s="30" t="n"/>
      <c r="C229" s="30" t="n"/>
      <c r="D229" s="30" t="n"/>
      <c r="E229" s="35" t="n"/>
      <c r="F229" s="34" t="n"/>
      <c r="G229" s="34" t="n"/>
      <c r="H229" s="38" t="n"/>
      <c r="I229" s="30" t="n"/>
      <c r="J229" s="30" t="n"/>
    </row>
    <row r="230">
      <c r="A230" s="30" t="n"/>
      <c r="B230" s="30" t="n"/>
      <c r="C230" s="30" t="n"/>
      <c r="D230" s="30" t="n"/>
      <c r="E230" s="35" t="n"/>
      <c r="F230" s="34" t="n"/>
      <c r="G230" s="34" t="n"/>
      <c r="H230" s="38" t="n"/>
      <c r="I230" s="30" t="n"/>
      <c r="J230" s="30" t="n"/>
    </row>
    <row r="231">
      <c r="A231" s="30" t="n"/>
      <c r="B231" s="30" t="n"/>
      <c r="C231" s="30" t="n"/>
      <c r="D231" s="30" t="n"/>
      <c r="E231" s="35" t="n"/>
      <c r="F231" s="34" t="n"/>
      <c r="G231" s="34" t="n"/>
      <c r="H231" s="38" t="n"/>
      <c r="I231" s="30" t="n"/>
      <c r="J231" s="30" t="n"/>
    </row>
    <row r="232">
      <c r="A232" s="30" t="n"/>
      <c r="B232" s="30" t="n"/>
      <c r="C232" s="30" t="n"/>
      <c r="D232" s="30" t="n"/>
      <c r="E232" s="35" t="n"/>
      <c r="F232" s="34" t="n"/>
      <c r="G232" s="34" t="n"/>
      <c r="H232" s="38" t="n"/>
      <c r="I232" s="30" t="n"/>
      <c r="J232" s="30" t="n"/>
    </row>
    <row r="233">
      <c r="A233" s="30" t="n"/>
      <c r="B233" s="30" t="n"/>
      <c r="C233" s="30" t="n"/>
      <c r="D233" s="30" t="n"/>
      <c r="E233" s="35" t="n"/>
      <c r="F233" s="34" t="n"/>
      <c r="G233" s="34" t="n"/>
      <c r="H233" s="38" t="n"/>
      <c r="I233" s="30" t="n"/>
      <c r="J233" s="30" t="n"/>
    </row>
    <row r="234">
      <c r="A234" s="30" t="n"/>
      <c r="B234" s="30" t="n"/>
      <c r="C234" s="30" t="n"/>
      <c r="D234" s="30" t="n"/>
      <c r="E234" s="35" t="n"/>
      <c r="F234" s="34" t="n"/>
      <c r="G234" s="34" t="n"/>
      <c r="H234" s="38" t="n"/>
      <c r="I234" s="30" t="n"/>
      <c r="J234" s="30" t="n"/>
    </row>
    <row r="235">
      <c r="A235" s="30" t="n"/>
      <c r="B235" s="30" t="n"/>
      <c r="C235" s="30" t="n"/>
      <c r="D235" s="30" t="n"/>
      <c r="E235" s="35" t="n"/>
      <c r="F235" s="34" t="n"/>
      <c r="G235" s="34" t="n"/>
      <c r="H235" s="38" t="n"/>
      <c r="I235" s="30" t="n"/>
      <c r="J235" s="30" t="n"/>
    </row>
    <row r="236">
      <c r="A236" s="30" t="n"/>
      <c r="B236" s="30" t="n"/>
      <c r="C236" s="30" t="n"/>
      <c r="D236" s="30" t="n"/>
      <c r="E236" s="35" t="n"/>
      <c r="F236" s="34" t="n"/>
      <c r="G236" s="34" t="n"/>
      <c r="H236" s="38" t="n"/>
      <c r="I236" s="30" t="n"/>
      <c r="J236" s="30" t="n"/>
    </row>
    <row r="237">
      <c r="A237" s="30" t="n"/>
      <c r="B237" s="30" t="n"/>
      <c r="C237" s="30" t="n"/>
      <c r="D237" s="30" t="n"/>
      <c r="E237" s="35" t="n"/>
      <c r="F237" s="34" t="n"/>
      <c r="G237" s="34" t="n"/>
      <c r="H237" s="38" t="n"/>
      <c r="I237" s="30" t="n"/>
      <c r="J237" s="30" t="n"/>
    </row>
    <row r="238">
      <c r="A238" s="30" t="n"/>
      <c r="B238" s="30" t="n"/>
      <c r="C238" s="30" t="n"/>
      <c r="D238" s="30" t="n"/>
      <c r="E238" s="35" t="n"/>
      <c r="F238" s="34" t="n"/>
      <c r="G238" s="34" t="n"/>
      <c r="H238" s="38" t="n"/>
      <c r="I238" s="30" t="n"/>
      <c r="J238" s="30" t="n"/>
    </row>
    <row r="239">
      <c r="A239" s="30" t="n"/>
      <c r="B239" s="30" t="n"/>
      <c r="C239" s="30" t="n"/>
      <c r="D239" s="30" t="n"/>
      <c r="E239" s="35" t="n"/>
      <c r="F239" s="34" t="n"/>
      <c r="G239" s="34" t="n"/>
      <c r="H239" s="38" t="n"/>
      <c r="I239" s="30" t="n"/>
      <c r="J239" s="30" t="n"/>
    </row>
    <row r="240">
      <c r="A240" s="30" t="n"/>
      <c r="B240" s="30" t="n"/>
      <c r="C240" s="30" t="n"/>
      <c r="D240" s="30" t="n"/>
      <c r="E240" s="35" t="n"/>
      <c r="F240" s="34" t="n"/>
      <c r="G240" s="34" t="n"/>
      <c r="H240" s="38" t="n"/>
      <c r="I240" s="30" t="n"/>
      <c r="J240" s="30" t="n"/>
    </row>
    <row r="241">
      <c r="A241" s="30" t="n"/>
      <c r="B241" s="30" t="n"/>
      <c r="C241" s="30" t="n"/>
      <c r="D241" s="30" t="n"/>
      <c r="E241" s="35" t="n"/>
      <c r="F241" s="34" t="n"/>
      <c r="G241" s="34" t="n"/>
      <c r="H241" s="38" t="n"/>
      <c r="I241" s="30" t="n"/>
      <c r="J241" s="30" t="n"/>
    </row>
    <row r="242">
      <c r="A242" s="30" t="n"/>
      <c r="B242" s="30" t="n"/>
      <c r="C242" s="30" t="n"/>
      <c r="D242" s="30" t="n"/>
      <c r="E242" s="35" t="n"/>
      <c r="F242" s="34" t="n"/>
      <c r="G242" s="34" t="n"/>
      <c r="H242" s="38" t="n"/>
      <c r="I242" s="30" t="n"/>
      <c r="J242" s="30" t="n"/>
    </row>
    <row r="243">
      <c r="A243" s="30" t="n"/>
      <c r="B243" s="30" t="n"/>
      <c r="C243" s="30" t="n"/>
      <c r="D243" s="30" t="n"/>
      <c r="E243" s="35" t="n"/>
      <c r="F243" s="34" t="n"/>
      <c r="G243" s="34" t="n"/>
      <c r="H243" s="38" t="n"/>
      <c r="I243" s="30" t="n"/>
      <c r="J243" s="30" t="n"/>
    </row>
    <row r="244">
      <c r="A244" s="30" t="n"/>
      <c r="B244" s="30" t="n"/>
      <c r="C244" s="30" t="n"/>
      <c r="D244" s="30" t="n"/>
      <c r="E244" s="35" t="n"/>
      <c r="F244" s="34" t="n"/>
      <c r="G244" s="34" t="n"/>
      <c r="H244" s="38" t="n"/>
      <c r="I244" s="30" t="n"/>
      <c r="J244" s="30" t="n"/>
    </row>
    <row r="245">
      <c r="A245" s="30" t="n"/>
      <c r="B245" s="30" t="n"/>
      <c r="C245" s="30" t="n"/>
      <c r="D245" s="30" t="n"/>
      <c r="E245" s="35" t="n"/>
      <c r="F245" s="34" t="n"/>
      <c r="G245" s="34" t="n"/>
      <c r="H245" s="38" t="n"/>
      <c r="I245" s="30" t="n"/>
      <c r="J245" s="30" t="n"/>
    </row>
    <row r="246">
      <c r="A246" s="30" t="n"/>
      <c r="B246" s="30" t="n"/>
      <c r="C246" s="30" t="n"/>
      <c r="D246" s="30" t="n"/>
      <c r="E246" s="35" t="n"/>
      <c r="F246" s="34" t="n"/>
      <c r="G246" s="34" t="n"/>
      <c r="H246" s="38" t="n"/>
      <c r="I246" s="30" t="n"/>
      <c r="J246" s="30" t="n"/>
    </row>
    <row r="247">
      <c r="A247" s="30" t="n"/>
      <c r="B247" s="30" t="n"/>
      <c r="C247" s="30" t="n"/>
      <c r="D247" s="30" t="n"/>
      <c r="E247" s="35" t="n"/>
      <c r="F247" s="34" t="n"/>
      <c r="G247" s="34" t="n"/>
      <c r="H247" s="38" t="n"/>
      <c r="I247" s="30" t="n"/>
      <c r="J247" s="30" t="n"/>
    </row>
    <row r="248">
      <c r="A248" s="30" t="n"/>
      <c r="B248" s="30" t="n"/>
      <c r="C248" s="30" t="n"/>
      <c r="D248" s="30" t="n"/>
      <c r="E248" s="35" t="n"/>
      <c r="F248" s="34" t="n"/>
      <c r="G248" s="34" t="n"/>
      <c r="H248" s="38" t="n"/>
      <c r="I248" s="30" t="n"/>
      <c r="J248" s="30" t="n"/>
    </row>
    <row r="249">
      <c r="A249" s="30" t="n"/>
      <c r="B249" s="30" t="n"/>
      <c r="C249" s="30" t="n"/>
      <c r="D249" s="30" t="n"/>
      <c r="E249" s="35" t="n"/>
      <c r="F249" s="34" t="n"/>
      <c r="G249" s="34" t="n"/>
      <c r="H249" s="38" t="n"/>
      <c r="I249" s="30" t="n"/>
      <c r="J249" s="30" t="n"/>
    </row>
    <row r="250">
      <c r="A250" s="30" t="n"/>
      <c r="B250" s="30" t="n"/>
      <c r="C250" s="30" t="n"/>
      <c r="D250" s="30" t="n"/>
      <c r="E250" s="35" t="n"/>
      <c r="F250" s="34" t="n"/>
      <c r="G250" s="34" t="n"/>
      <c r="H250" s="38" t="n"/>
      <c r="I250" s="30" t="n"/>
      <c r="J250" s="30" t="n"/>
    </row>
    <row r="251">
      <c r="A251" s="30" t="n"/>
      <c r="B251" s="30" t="n"/>
      <c r="C251" s="30" t="n"/>
      <c r="D251" s="30" t="n"/>
      <c r="E251" s="35" t="n"/>
      <c r="F251" s="34" t="n"/>
      <c r="G251" s="34" t="n"/>
      <c r="H251" s="38" t="n"/>
      <c r="I251" s="30" t="n"/>
      <c r="J251" s="30" t="n"/>
    </row>
    <row r="252">
      <c r="A252" s="30" t="n"/>
      <c r="B252" s="30" t="n"/>
      <c r="C252" s="30" t="n"/>
      <c r="D252" s="30" t="n"/>
      <c r="E252" s="35" t="n"/>
      <c r="F252" s="34" t="n"/>
      <c r="G252" s="34" t="n"/>
      <c r="H252" s="38" t="n"/>
      <c r="I252" s="30" t="n"/>
      <c r="J252" s="30" t="n"/>
    </row>
    <row r="253">
      <c r="A253" s="30" t="n"/>
      <c r="B253" s="30" t="n"/>
      <c r="C253" s="30" t="n"/>
      <c r="D253" s="30" t="n"/>
      <c r="E253" s="35" t="n"/>
      <c r="F253" s="34" t="n"/>
      <c r="G253" s="34" t="n"/>
      <c r="H253" s="38" t="n"/>
      <c r="I253" s="30" t="n"/>
      <c r="J253" s="30" t="n"/>
    </row>
    <row r="254">
      <c r="A254" s="30" t="n"/>
      <c r="B254" s="30" t="n"/>
      <c r="C254" s="30" t="n"/>
      <c r="D254" s="30" t="n"/>
      <c r="E254" s="35" t="n"/>
      <c r="F254" s="34" t="n"/>
      <c r="G254" s="34" t="n"/>
      <c r="H254" s="38" t="n"/>
      <c r="I254" s="30" t="n"/>
      <c r="J254" s="30" t="n"/>
    </row>
    <row r="255">
      <c r="A255" s="30" t="n"/>
      <c r="B255" s="30" t="n"/>
      <c r="C255" s="30" t="n"/>
      <c r="D255" s="30" t="n"/>
      <c r="E255" s="35" t="n"/>
      <c r="F255" s="34" t="n"/>
      <c r="G255" s="34" t="n"/>
      <c r="H255" s="38" t="n"/>
      <c r="I255" s="30" t="n"/>
      <c r="J255" s="30" t="n"/>
    </row>
    <row r="256">
      <c r="A256" s="30" t="n"/>
      <c r="B256" s="30" t="n"/>
      <c r="C256" s="30" t="n"/>
      <c r="D256" s="30" t="n"/>
      <c r="E256" s="35" t="n"/>
      <c r="F256" s="34" t="n"/>
      <c r="G256" s="34" t="n"/>
      <c r="H256" s="38" t="n"/>
      <c r="I256" s="30" t="n"/>
      <c r="J256" s="30" t="n"/>
    </row>
    <row r="257">
      <c r="A257" s="30" t="n"/>
      <c r="B257" s="30" t="n"/>
      <c r="C257" s="30" t="n"/>
      <c r="D257" s="30" t="n"/>
      <c r="E257" s="35" t="n"/>
      <c r="F257" s="34" t="n"/>
      <c r="G257" s="34" t="n"/>
      <c r="H257" s="38" t="n"/>
      <c r="I257" s="30" t="n"/>
      <c r="J257" s="30" t="n"/>
    </row>
    <row r="258">
      <c r="A258" s="30" t="n"/>
      <c r="B258" s="30" t="n"/>
      <c r="C258" s="30" t="n"/>
      <c r="D258" s="30" t="n"/>
      <c r="E258" s="35" t="n"/>
      <c r="F258" s="34" t="n"/>
      <c r="G258" s="34" t="n"/>
      <c r="H258" s="38" t="n"/>
      <c r="I258" s="30" t="n"/>
      <c r="J258" s="30" t="n"/>
    </row>
    <row r="259">
      <c r="A259" s="30" t="n"/>
      <c r="B259" s="30" t="n"/>
      <c r="C259" s="30" t="n"/>
      <c r="D259" s="30" t="n"/>
      <c r="E259" s="35" t="n"/>
      <c r="F259" s="34" t="n"/>
      <c r="G259" s="34" t="n"/>
      <c r="H259" s="38" t="n"/>
      <c r="I259" s="30" t="n"/>
      <c r="J259" s="30" t="n"/>
    </row>
    <row r="260">
      <c r="A260" s="30" t="n"/>
      <c r="B260" s="30" t="n"/>
      <c r="C260" s="30" t="n"/>
      <c r="D260" s="30" t="n"/>
      <c r="E260" s="35" t="n"/>
      <c r="F260" s="34" t="n"/>
      <c r="G260" s="34" t="n"/>
      <c r="H260" s="38" t="n"/>
      <c r="I260" s="30" t="n"/>
      <c r="J260" s="30" t="n"/>
    </row>
    <row r="261">
      <c r="A261" s="30" t="n"/>
      <c r="B261" s="30" t="n"/>
      <c r="C261" s="30" t="n"/>
      <c r="D261" s="30" t="n"/>
      <c r="E261" s="35" t="n"/>
      <c r="F261" s="34" t="n"/>
      <c r="G261" s="34" t="n"/>
      <c r="H261" s="38" t="n"/>
      <c r="I261" s="30" t="n"/>
      <c r="J261" s="30" t="n"/>
    </row>
    <row r="262">
      <c r="A262" s="30" t="n"/>
      <c r="B262" s="30" t="n"/>
      <c r="C262" s="30" t="n"/>
      <c r="D262" s="30" t="n"/>
      <c r="E262" s="35" t="n"/>
      <c r="F262" s="34" t="n"/>
      <c r="G262" s="34" t="n"/>
      <c r="H262" s="38" t="n"/>
      <c r="I262" s="30" t="n"/>
      <c r="J262" s="30" t="n"/>
    </row>
    <row r="263">
      <c r="A263" s="30" t="n"/>
      <c r="B263" s="30" t="n"/>
      <c r="C263" s="30" t="n"/>
      <c r="D263" s="30" t="n"/>
      <c r="E263" s="35" t="n"/>
      <c r="F263" s="34" t="n"/>
      <c r="G263" s="34" t="n"/>
      <c r="H263" s="38" t="n"/>
      <c r="I263" s="30" t="n"/>
      <c r="J263" s="30" t="n"/>
    </row>
    <row r="264">
      <c r="A264" s="30" t="n"/>
      <c r="B264" s="30" t="n"/>
      <c r="C264" s="30" t="n"/>
      <c r="D264" s="30" t="n"/>
      <c r="E264" s="35" t="n"/>
      <c r="F264" s="34" t="n"/>
      <c r="G264" s="34" t="n"/>
      <c r="H264" s="38" t="n"/>
      <c r="I264" s="30" t="n"/>
      <c r="J264" s="30" t="n"/>
    </row>
    <row r="265">
      <c r="A265" s="30" t="n"/>
      <c r="B265" s="30" t="n"/>
      <c r="C265" s="30" t="n"/>
      <c r="D265" s="30" t="n"/>
      <c r="E265" s="35" t="n"/>
      <c r="F265" s="34" t="n"/>
      <c r="G265" s="34" t="n"/>
      <c r="H265" s="38" t="n"/>
      <c r="I265" s="30" t="n"/>
      <c r="J265" s="30" t="n"/>
    </row>
    <row r="266">
      <c r="A266" s="30" t="n"/>
      <c r="B266" s="30" t="n"/>
      <c r="C266" s="30" t="n"/>
      <c r="D266" s="30" t="n"/>
      <c r="E266" s="35" t="n"/>
      <c r="F266" s="34" t="n"/>
      <c r="G266" s="34" t="n"/>
      <c r="H266" s="38" t="n"/>
      <c r="I266" s="30" t="n"/>
      <c r="J266" s="30" t="n"/>
    </row>
    <row r="267">
      <c r="A267" s="30" t="n"/>
      <c r="B267" s="30" t="n"/>
      <c r="C267" s="30" t="n"/>
      <c r="D267" s="30" t="n"/>
      <c r="E267" s="35" t="n"/>
      <c r="F267" s="34" t="n"/>
      <c r="G267" s="34" t="n"/>
      <c r="H267" s="38" t="n"/>
      <c r="I267" s="30" t="n"/>
      <c r="J267" s="30" t="n"/>
    </row>
    <row r="268">
      <c r="A268" s="30" t="n"/>
      <c r="B268" s="30" t="n"/>
      <c r="C268" s="30" t="n"/>
      <c r="D268" s="30" t="n"/>
      <c r="E268" s="35" t="n"/>
      <c r="F268" s="34" t="n"/>
      <c r="G268" s="34" t="n"/>
      <c r="H268" s="38" t="n"/>
      <c r="I268" s="30" t="n"/>
      <c r="J268" s="30" t="n"/>
    </row>
    <row r="269">
      <c r="A269" s="30" t="n"/>
      <c r="B269" s="30" t="n"/>
      <c r="C269" s="30" t="n"/>
      <c r="D269" s="30" t="n"/>
      <c r="E269" s="35" t="n"/>
      <c r="F269" s="34" t="n"/>
      <c r="G269" s="34" t="n"/>
      <c r="H269" s="38" t="n"/>
      <c r="I269" s="30" t="n"/>
      <c r="J269" s="30" t="n"/>
    </row>
    <row r="270">
      <c r="A270" s="30" t="n"/>
      <c r="B270" s="30" t="n"/>
      <c r="C270" s="30" t="n"/>
      <c r="D270" s="30" t="n"/>
      <c r="E270" s="35" t="n"/>
      <c r="F270" s="34" t="n"/>
      <c r="G270" s="34" t="n"/>
      <c r="H270" s="38" t="n"/>
      <c r="I270" s="30" t="n"/>
      <c r="J270" s="30" t="n"/>
    </row>
    <row r="271">
      <c r="A271" s="30" t="n"/>
      <c r="B271" s="30" t="n"/>
      <c r="C271" s="30" t="n"/>
      <c r="D271" s="30" t="n"/>
      <c r="E271" s="35" t="n"/>
      <c r="F271" s="34" t="n"/>
      <c r="G271" s="34" t="n"/>
      <c r="H271" s="38" t="n"/>
      <c r="I271" s="30" t="n"/>
      <c r="J271" s="30" t="n"/>
    </row>
    <row r="272">
      <c r="A272" s="30" t="n"/>
      <c r="B272" s="30" t="n"/>
      <c r="C272" s="30" t="n"/>
      <c r="D272" s="30" t="n"/>
      <c r="E272" s="35" t="n"/>
      <c r="F272" s="34" t="n"/>
      <c r="G272" s="34" t="n"/>
      <c r="H272" s="38" t="n"/>
      <c r="I272" s="30" t="n"/>
      <c r="J272" s="30" t="n"/>
    </row>
    <row r="273">
      <c r="A273" s="30" t="n"/>
      <c r="B273" s="30" t="n"/>
      <c r="C273" s="30" t="n"/>
      <c r="D273" s="30" t="n"/>
      <c r="E273" s="35" t="n"/>
      <c r="F273" s="34" t="n"/>
      <c r="G273" s="34" t="n"/>
      <c r="H273" s="38" t="n"/>
      <c r="I273" s="30" t="n"/>
      <c r="J273" s="30" t="n"/>
    </row>
    <row r="274">
      <c r="A274" s="30" t="n"/>
      <c r="B274" s="30" t="n"/>
      <c r="C274" s="30" t="n"/>
      <c r="D274" s="30" t="n"/>
      <c r="E274" s="35" t="n"/>
      <c r="F274" s="34" t="n"/>
      <c r="G274" s="34" t="n"/>
      <c r="H274" s="38" t="n"/>
      <c r="I274" s="30" t="n"/>
      <c r="J274" s="30" t="n"/>
    </row>
    <row r="275">
      <c r="A275" s="30" t="n"/>
      <c r="B275" s="30" t="n"/>
      <c r="C275" s="30" t="n"/>
      <c r="D275" s="30" t="n"/>
      <c r="E275" s="35" t="n"/>
      <c r="F275" s="34" t="n"/>
      <c r="G275" s="34" t="n"/>
      <c r="H275" s="38" t="n"/>
      <c r="I275" s="30" t="n"/>
      <c r="J275" s="30" t="n"/>
    </row>
    <row r="276">
      <c r="A276" s="30" t="n"/>
      <c r="B276" s="30" t="n"/>
      <c r="C276" s="30" t="n"/>
      <c r="D276" s="30" t="n"/>
      <c r="E276" s="35" t="n"/>
      <c r="F276" s="34" t="n"/>
      <c r="G276" s="34" t="n"/>
      <c r="H276" s="38" t="n"/>
      <c r="I276" s="30" t="n"/>
      <c r="J276" s="30" t="n"/>
    </row>
    <row r="277">
      <c r="A277" s="30" t="n"/>
      <c r="B277" s="30" t="n"/>
      <c r="C277" s="30" t="n"/>
      <c r="D277" s="30" t="n"/>
      <c r="E277" s="35" t="n"/>
      <c r="F277" s="34" t="n"/>
      <c r="G277" s="34" t="n"/>
      <c r="H277" s="38" t="n"/>
      <c r="I277" s="30" t="n"/>
      <c r="J277" s="30" t="n"/>
    </row>
    <row r="278">
      <c r="A278" s="30" t="n"/>
      <c r="B278" s="30" t="n"/>
      <c r="C278" s="30" t="n"/>
      <c r="D278" s="30" t="n"/>
      <c r="E278" s="35" t="n"/>
      <c r="F278" s="34" t="n"/>
      <c r="G278" s="34" t="n"/>
      <c r="H278" s="38" t="n"/>
      <c r="I278" s="30" t="n"/>
      <c r="J278" s="30" t="n"/>
    </row>
    <row r="279">
      <c r="A279" s="30" t="n"/>
      <c r="B279" s="30" t="n"/>
      <c r="C279" s="30" t="n"/>
      <c r="D279" s="30" t="n"/>
      <c r="E279" s="35" t="n"/>
      <c r="F279" s="34" t="n"/>
      <c r="G279" s="34" t="n"/>
      <c r="H279" s="38" t="n"/>
      <c r="I279" s="30" t="n"/>
      <c r="J279" s="30" t="n"/>
    </row>
    <row r="280">
      <c r="A280" s="30" t="n"/>
      <c r="B280" s="30" t="n"/>
      <c r="C280" s="30" t="n"/>
      <c r="D280" s="30" t="n"/>
      <c r="E280" s="35" t="n"/>
      <c r="F280" s="34" t="n"/>
      <c r="G280" s="34" t="n"/>
      <c r="H280" s="38" t="n"/>
      <c r="I280" s="30" t="n"/>
      <c r="J280" s="30" t="n"/>
    </row>
    <row r="281">
      <c r="A281" s="30" t="n"/>
      <c r="B281" s="30" t="n"/>
      <c r="C281" s="30" t="n"/>
      <c r="D281" s="30" t="n"/>
      <c r="E281" s="35" t="n"/>
      <c r="F281" s="34" t="n"/>
      <c r="G281" s="34" t="n"/>
      <c r="H281" s="38" t="n"/>
      <c r="I281" s="30" t="n"/>
      <c r="J281" s="30" t="n"/>
    </row>
    <row r="282">
      <c r="A282" s="30" t="n"/>
      <c r="B282" s="30" t="n"/>
      <c r="C282" s="30" t="n"/>
      <c r="D282" s="30" t="n"/>
      <c r="E282" s="35" t="n"/>
      <c r="F282" s="34" t="n"/>
      <c r="G282" s="34" t="n"/>
      <c r="H282" s="38" t="n"/>
      <c r="I282" s="30" t="n"/>
      <c r="J282" s="30" t="n"/>
    </row>
    <row r="283">
      <c r="A283" s="30" t="n"/>
      <c r="B283" s="30" t="n"/>
      <c r="C283" s="30" t="n"/>
      <c r="D283" s="30" t="n"/>
      <c r="E283" s="35" t="n"/>
      <c r="F283" s="34" t="n"/>
      <c r="G283" s="34" t="n"/>
      <c r="H283" s="38" t="n"/>
      <c r="I283" s="30" t="n"/>
      <c r="J283" s="30" t="n"/>
    </row>
    <row r="284">
      <c r="A284" s="30" t="n"/>
      <c r="B284" s="30" t="n"/>
      <c r="C284" s="30" t="n"/>
      <c r="D284" s="30" t="n"/>
      <c r="E284" s="35" t="n"/>
      <c r="F284" s="34" t="n"/>
      <c r="G284" s="34" t="n"/>
      <c r="H284" s="38" t="n"/>
      <c r="I284" s="30" t="n"/>
      <c r="J284" s="30" t="n"/>
    </row>
    <row r="285">
      <c r="A285" s="30" t="n"/>
      <c r="B285" s="30" t="n"/>
      <c r="C285" s="30" t="n"/>
      <c r="D285" s="30" t="n"/>
      <c r="E285" s="35" t="n"/>
      <c r="F285" s="34" t="n"/>
      <c r="G285" s="34" t="n"/>
      <c r="H285" s="38" t="n"/>
      <c r="I285" s="30" t="n"/>
      <c r="J285" s="30" t="n"/>
    </row>
    <row r="286">
      <c r="A286" s="30" t="n"/>
      <c r="B286" s="30" t="n"/>
      <c r="C286" s="30" t="n"/>
      <c r="D286" s="30" t="n"/>
      <c r="E286" s="35" t="n"/>
      <c r="F286" s="34" t="n"/>
      <c r="G286" s="34" t="n"/>
      <c r="H286" s="38" t="n"/>
      <c r="I286" s="30" t="n"/>
      <c r="J286" s="30" t="n"/>
    </row>
    <row r="287">
      <c r="A287" s="30" t="n"/>
      <c r="B287" s="30" t="n"/>
      <c r="C287" s="30" t="n"/>
      <c r="D287" s="30" t="n"/>
      <c r="E287" s="35" t="n"/>
      <c r="F287" s="34" t="n"/>
      <c r="G287" s="34" t="n"/>
      <c r="H287" s="38" t="n"/>
      <c r="I287" s="30" t="n"/>
      <c r="J287" s="30" t="n"/>
    </row>
    <row r="288">
      <c r="A288" s="30" t="n"/>
      <c r="B288" s="30" t="n"/>
      <c r="C288" s="30" t="n"/>
      <c r="D288" s="30" t="n"/>
      <c r="E288" s="35" t="n"/>
      <c r="F288" s="34" t="n"/>
      <c r="G288" s="34" t="n"/>
      <c r="H288" s="38" t="n"/>
      <c r="I288" s="30" t="n"/>
      <c r="J288" s="30" t="n"/>
    </row>
    <row r="289">
      <c r="A289" s="30" t="n"/>
      <c r="B289" s="30" t="n"/>
      <c r="C289" s="30" t="n"/>
      <c r="D289" s="30" t="n"/>
      <c r="E289" s="35" t="n"/>
      <c r="F289" s="34" t="n"/>
      <c r="G289" s="34" t="n"/>
      <c r="H289" s="38" t="n"/>
      <c r="I289" s="30" t="n"/>
      <c r="J289" s="30" t="n"/>
    </row>
    <row r="290">
      <c r="A290" s="30" t="n"/>
      <c r="B290" s="30" t="n"/>
      <c r="C290" s="30" t="n"/>
      <c r="D290" s="30" t="n"/>
      <c r="E290" s="35" t="n"/>
      <c r="F290" s="34" t="n"/>
      <c r="G290" s="34" t="n"/>
      <c r="H290" s="38" t="n"/>
      <c r="I290" s="30" t="n"/>
      <c r="J290" s="30" t="n"/>
    </row>
    <row r="291">
      <c r="A291" s="30" t="n"/>
      <c r="B291" s="30" t="n"/>
      <c r="C291" s="30" t="n"/>
      <c r="D291" s="30" t="n"/>
      <c r="E291" s="35" t="n"/>
      <c r="F291" s="34" t="n"/>
      <c r="G291" s="34" t="n"/>
      <c r="H291" s="38" t="n"/>
      <c r="I291" s="30" t="n"/>
      <c r="J291" s="30" t="n"/>
    </row>
    <row r="292">
      <c r="A292" s="30" t="n"/>
      <c r="B292" s="30" t="n"/>
      <c r="C292" s="30" t="n"/>
      <c r="D292" s="30" t="n"/>
      <c r="E292" s="35" t="n"/>
      <c r="F292" s="34" t="n"/>
      <c r="G292" s="34" t="n"/>
      <c r="H292" s="38" t="n"/>
      <c r="I292" s="30" t="n"/>
      <c r="J292" s="30" t="n"/>
    </row>
    <row r="293">
      <c r="A293" s="30" t="n"/>
      <c r="B293" s="30" t="n"/>
      <c r="C293" s="30" t="n"/>
      <c r="D293" s="30" t="n"/>
      <c r="E293" s="35" t="n"/>
      <c r="F293" s="34" t="n"/>
      <c r="G293" s="34" t="n"/>
      <c r="H293" s="38" t="n"/>
      <c r="I293" s="30" t="n"/>
      <c r="J293" s="30" t="n"/>
    </row>
    <row r="294">
      <c r="A294" s="30" t="n"/>
      <c r="B294" s="30" t="n"/>
      <c r="C294" s="30" t="n"/>
      <c r="D294" s="30" t="n"/>
      <c r="E294" s="35" t="n"/>
      <c r="F294" s="34" t="n"/>
      <c r="G294" s="34" t="n"/>
      <c r="H294" s="38" t="n"/>
      <c r="I294" s="30" t="n"/>
      <c r="J294" s="30" t="n"/>
    </row>
    <row r="295">
      <c r="A295" s="30" t="n"/>
      <c r="B295" s="30" t="n"/>
      <c r="C295" s="30" t="n"/>
      <c r="D295" s="30" t="n"/>
      <c r="E295" s="35" t="n"/>
      <c r="F295" s="34" t="n"/>
      <c r="G295" s="34" t="n"/>
      <c r="H295" s="38" t="n"/>
      <c r="I295" s="30" t="n"/>
      <c r="J295" s="30" t="n"/>
    </row>
    <row r="296">
      <c r="A296" s="30" t="n"/>
      <c r="B296" s="30" t="n"/>
      <c r="C296" s="30" t="n"/>
      <c r="D296" s="30" t="n"/>
      <c r="E296" s="35" t="n"/>
      <c r="F296" s="34" t="n"/>
      <c r="G296" s="34" t="n"/>
      <c r="H296" s="38" t="n"/>
      <c r="I296" s="30" t="n"/>
      <c r="J296" s="30" t="n"/>
    </row>
    <row r="297">
      <c r="A297" s="30" t="n"/>
      <c r="B297" s="30" t="n"/>
      <c r="C297" s="30" t="n"/>
      <c r="D297" s="30" t="n"/>
      <c r="E297" s="35" t="n"/>
      <c r="F297" s="34" t="n"/>
      <c r="G297" s="34" t="n"/>
      <c r="H297" s="38" t="n"/>
      <c r="I297" s="30" t="n"/>
      <c r="J297" s="30" t="n"/>
    </row>
    <row r="298">
      <c r="A298" s="30" t="n"/>
      <c r="B298" s="30" t="n"/>
      <c r="C298" s="30" t="n"/>
      <c r="D298" s="30" t="n"/>
      <c r="E298" s="35" t="n"/>
      <c r="F298" s="34" t="n"/>
      <c r="G298" s="34" t="n"/>
      <c r="H298" s="38" t="n"/>
      <c r="I298" s="30" t="n"/>
      <c r="J298" s="30" t="n"/>
    </row>
    <row r="299">
      <c r="A299" s="30" t="n"/>
      <c r="B299" s="30" t="n"/>
      <c r="C299" s="30" t="n"/>
      <c r="D299" s="30" t="n"/>
      <c r="E299" s="35" t="n"/>
      <c r="F299" s="34" t="n"/>
      <c r="G299" s="34" t="n"/>
      <c r="H299" s="38" t="n"/>
      <c r="I299" s="30" t="n"/>
      <c r="J299" s="30" t="n"/>
    </row>
    <row r="300">
      <c r="A300" s="30" t="n"/>
      <c r="B300" s="30" t="n"/>
      <c r="C300" s="30" t="n"/>
      <c r="D300" s="30" t="n"/>
      <c r="E300" s="35" t="n"/>
      <c r="F300" s="34" t="n"/>
      <c r="G300" s="34" t="n"/>
      <c r="H300" s="38" t="n"/>
      <c r="I300" s="30" t="n"/>
      <c r="J300" s="30" t="n"/>
    </row>
    <row r="301">
      <c r="A301" s="30" t="n"/>
      <c r="B301" s="30" t="n"/>
      <c r="C301" s="30" t="n"/>
      <c r="D301" s="30" t="n"/>
      <c r="E301" s="35" t="n"/>
      <c r="F301" s="34" t="n"/>
      <c r="G301" s="34" t="n"/>
      <c r="H301" s="38" t="n"/>
      <c r="I301" s="30" t="n"/>
      <c r="J301" s="30" t="n"/>
    </row>
    <row r="302">
      <c r="A302" s="30" t="n"/>
      <c r="B302" s="30" t="n"/>
      <c r="C302" s="30" t="n"/>
      <c r="D302" s="30" t="n"/>
      <c r="E302" s="35" t="n"/>
      <c r="F302" s="34" t="n"/>
      <c r="G302" s="34" t="n"/>
      <c r="H302" s="38" t="n"/>
      <c r="I302" s="30" t="n"/>
      <c r="J302" s="30" t="n"/>
    </row>
    <row r="303">
      <c r="A303" s="30" t="n"/>
      <c r="B303" s="30" t="n"/>
      <c r="C303" s="30" t="n"/>
      <c r="D303" s="30" t="n"/>
      <c r="E303" s="35" t="n"/>
      <c r="F303" s="34" t="n"/>
      <c r="G303" s="34" t="n"/>
      <c r="H303" s="38" t="n"/>
      <c r="I303" s="30" t="n"/>
      <c r="J303" s="30" t="n"/>
    </row>
    <row r="304">
      <c r="A304" s="30" t="n"/>
      <c r="B304" s="30" t="n"/>
      <c r="C304" s="30" t="n"/>
      <c r="D304" s="30" t="n"/>
      <c r="E304" s="35" t="n"/>
      <c r="F304" s="34" t="n"/>
      <c r="G304" s="34" t="n"/>
      <c r="H304" s="38" t="n"/>
      <c r="I304" s="30" t="n"/>
      <c r="J304" s="30" t="n"/>
    </row>
    <row r="305">
      <c r="A305" s="30" t="n"/>
      <c r="B305" s="30" t="n"/>
      <c r="C305" s="30" t="n"/>
      <c r="D305" s="30" t="n"/>
      <c r="E305" s="35" t="n"/>
      <c r="F305" s="34" t="n"/>
      <c r="G305" s="34" t="n"/>
      <c r="H305" s="38" t="n"/>
      <c r="I305" s="30" t="n"/>
      <c r="J305" s="30" t="n"/>
    </row>
    <row r="306">
      <c r="A306" s="30" t="n"/>
      <c r="B306" s="30" t="n"/>
      <c r="C306" s="30" t="n"/>
      <c r="D306" s="30" t="n"/>
      <c r="E306" s="35" t="n"/>
      <c r="F306" s="34" t="n"/>
      <c r="G306" s="34" t="n"/>
      <c r="H306" s="38" t="n"/>
      <c r="I306" s="30" t="n"/>
      <c r="J306" s="30" t="n"/>
    </row>
    <row r="307">
      <c r="A307" s="30" t="n"/>
      <c r="B307" s="30" t="n"/>
      <c r="C307" s="30" t="n"/>
      <c r="D307" s="30" t="n"/>
      <c r="E307" s="35" t="n"/>
      <c r="F307" s="34" t="n"/>
      <c r="G307" s="34" t="n"/>
      <c r="H307" s="38" t="n"/>
      <c r="I307" s="30" t="n"/>
      <c r="J307" s="30" t="n"/>
    </row>
    <row r="308">
      <c r="A308" s="30" t="n"/>
      <c r="B308" s="30" t="n"/>
      <c r="C308" s="30" t="n"/>
      <c r="D308" s="30" t="n"/>
      <c r="E308" s="35" t="n"/>
      <c r="F308" s="34" t="n"/>
      <c r="G308" s="34" t="n"/>
      <c r="H308" s="38" t="n"/>
      <c r="I308" s="30" t="n"/>
      <c r="J308" s="30" t="n"/>
    </row>
    <row r="309">
      <c r="A309" s="30" t="n"/>
      <c r="B309" s="30" t="n"/>
      <c r="C309" s="30" t="n"/>
      <c r="D309" s="30" t="n"/>
      <c r="E309" s="35" t="n"/>
      <c r="F309" s="34" t="n"/>
      <c r="G309" s="34" t="n"/>
      <c r="H309" s="38" t="n"/>
      <c r="I309" s="30" t="n"/>
      <c r="J309" s="30" t="n"/>
    </row>
    <row r="310">
      <c r="A310" s="30" t="n"/>
      <c r="B310" s="30" t="n"/>
      <c r="C310" s="30" t="n"/>
      <c r="D310" s="30" t="n"/>
      <c r="E310" s="35" t="n"/>
      <c r="F310" s="34" t="n"/>
      <c r="G310" s="34" t="n"/>
      <c r="H310" s="38" t="n"/>
      <c r="I310" s="30" t="n"/>
      <c r="J310" s="30" t="n"/>
    </row>
    <row r="311">
      <c r="A311" s="30" t="n"/>
      <c r="B311" s="30" t="n"/>
      <c r="C311" s="30" t="n"/>
      <c r="D311" s="30" t="n"/>
      <c r="E311" s="35" t="n"/>
      <c r="F311" s="34" t="n"/>
      <c r="G311" s="34" t="n"/>
      <c r="H311" s="38" t="n"/>
      <c r="I311" s="30" t="n"/>
      <c r="J311" s="30" t="n"/>
    </row>
    <row r="312">
      <c r="A312" s="30" t="n"/>
      <c r="B312" s="30" t="n"/>
      <c r="C312" s="30" t="n"/>
      <c r="D312" s="30" t="n"/>
      <c r="E312" s="35" t="n"/>
      <c r="F312" s="34" t="n"/>
      <c r="G312" s="34" t="n"/>
      <c r="H312" s="38" t="n"/>
      <c r="I312" s="30" t="n"/>
      <c r="J312" s="30" t="n"/>
    </row>
    <row r="313">
      <c r="A313" s="30" t="n"/>
      <c r="B313" s="30" t="n"/>
      <c r="C313" s="30" t="n"/>
      <c r="D313" s="30" t="n"/>
      <c r="E313" s="35" t="n"/>
      <c r="F313" s="34" t="n"/>
      <c r="G313" s="34" t="n"/>
      <c r="H313" s="38" t="n"/>
      <c r="I313" s="30" t="n"/>
      <c r="J313" s="30" t="n"/>
    </row>
    <row r="314">
      <c r="A314" s="30" t="n"/>
      <c r="B314" s="30" t="n"/>
      <c r="C314" s="30" t="n"/>
      <c r="D314" s="30" t="n"/>
      <c r="E314" s="35" t="n"/>
      <c r="F314" s="34" t="n"/>
      <c r="G314" s="34" t="n"/>
      <c r="H314" s="38" t="n"/>
      <c r="I314" s="30" t="n"/>
      <c r="J314" s="30" t="n"/>
    </row>
    <row r="315">
      <c r="A315" s="30" t="n"/>
      <c r="B315" s="30" t="n"/>
      <c r="C315" s="30" t="n"/>
      <c r="D315" s="30" t="n"/>
      <c r="E315" s="35" t="n"/>
      <c r="F315" s="34" t="n"/>
      <c r="G315" s="34" t="n"/>
      <c r="H315" s="38" t="n"/>
      <c r="I315" s="30" t="n"/>
      <c r="J315" s="30" t="n"/>
    </row>
    <row r="316">
      <c r="A316" s="30" t="n"/>
      <c r="B316" s="30" t="n"/>
      <c r="C316" s="30" t="n"/>
      <c r="D316" s="30" t="n"/>
      <c r="E316" s="35" t="n"/>
      <c r="F316" s="34" t="n"/>
      <c r="G316" s="34" t="n"/>
      <c r="H316" s="38" t="n"/>
      <c r="I316" s="30" t="n"/>
      <c r="J316" s="30" t="n"/>
    </row>
    <row r="317">
      <c r="A317" s="30" t="n"/>
      <c r="B317" s="30" t="n"/>
      <c r="C317" s="30" t="n"/>
      <c r="D317" s="30" t="n"/>
      <c r="E317" s="35" t="n"/>
      <c r="F317" s="34" t="n"/>
      <c r="G317" s="34" t="n"/>
      <c r="H317" s="38" t="n"/>
      <c r="I317" s="30" t="n"/>
      <c r="J317" s="30" t="n"/>
    </row>
    <row r="318">
      <c r="A318" s="30" t="n"/>
      <c r="B318" s="30" t="n"/>
      <c r="C318" s="30" t="n"/>
      <c r="D318" s="30" t="n"/>
      <c r="E318" s="35" t="n"/>
      <c r="F318" s="34" t="n"/>
      <c r="G318" s="34" t="n"/>
      <c r="H318" s="38" t="n"/>
      <c r="I318" s="30" t="n"/>
      <c r="J318" s="30" t="n"/>
    </row>
    <row r="319">
      <c r="A319" s="30" t="n"/>
      <c r="B319" s="30" t="n"/>
      <c r="C319" s="30" t="n"/>
      <c r="D319" s="30" t="n"/>
      <c r="E319" s="35" t="n"/>
      <c r="F319" s="34" t="n"/>
      <c r="G319" s="34" t="n"/>
      <c r="H319" s="38" t="n"/>
      <c r="I319" s="30" t="n"/>
      <c r="J319" s="30" t="n"/>
    </row>
    <row r="320">
      <c r="A320" s="30" t="n"/>
      <c r="B320" s="30" t="n"/>
      <c r="C320" s="30" t="n"/>
      <c r="D320" s="30" t="n"/>
      <c r="E320" s="35" t="n"/>
      <c r="F320" s="34" t="n"/>
      <c r="G320" s="34" t="n"/>
      <c r="H320" s="38" t="n"/>
      <c r="I320" s="30" t="n"/>
      <c r="J320" s="30" t="n"/>
    </row>
    <row r="321">
      <c r="A321" s="30" t="n"/>
      <c r="B321" s="30" t="n"/>
      <c r="C321" s="30" t="n"/>
      <c r="D321" s="30" t="n"/>
      <c r="E321" s="35" t="n"/>
      <c r="F321" s="34" t="n"/>
      <c r="G321" s="34" t="n"/>
      <c r="H321" s="38" t="n"/>
      <c r="I321" s="30" t="n"/>
      <c r="J321" s="30" t="n"/>
    </row>
    <row r="322">
      <c r="A322" s="30" t="n"/>
      <c r="B322" s="30" t="n"/>
      <c r="C322" s="30" t="n"/>
      <c r="D322" s="30" t="n"/>
      <c r="E322" s="35" t="n"/>
      <c r="F322" s="34" t="n"/>
      <c r="G322" s="34" t="n"/>
      <c r="H322" s="38" t="n"/>
      <c r="I322" s="30" t="n"/>
      <c r="J322" s="30" t="n"/>
    </row>
    <row r="323">
      <c r="A323" s="30" t="n"/>
      <c r="B323" s="30" t="n"/>
      <c r="C323" s="30" t="n"/>
      <c r="D323" s="30" t="n"/>
      <c r="E323" s="35" t="n"/>
      <c r="F323" s="34" t="n"/>
      <c r="G323" s="34" t="n"/>
      <c r="H323" s="38" t="n"/>
      <c r="I323" s="30" t="n"/>
      <c r="J323" s="30" t="n"/>
    </row>
    <row r="324">
      <c r="A324" s="30" t="n"/>
      <c r="B324" s="30" t="n"/>
      <c r="C324" s="30" t="n"/>
      <c r="D324" s="30" t="n"/>
      <c r="E324" s="35" t="n"/>
      <c r="F324" s="34" t="n"/>
      <c r="G324" s="34" t="n"/>
      <c r="H324" s="38" t="n"/>
      <c r="I324" s="30" t="n"/>
      <c r="J324" s="30" t="n"/>
    </row>
    <row r="325">
      <c r="A325" s="30" t="n"/>
      <c r="B325" s="30" t="n"/>
      <c r="C325" s="30" t="n"/>
      <c r="D325" s="30" t="n"/>
      <c r="E325" s="35" t="n"/>
      <c r="F325" s="34" t="n"/>
      <c r="G325" s="34" t="n"/>
      <c r="H325" s="38" t="n"/>
      <c r="I325" s="30" t="n"/>
      <c r="J325" s="30" t="n"/>
    </row>
    <row r="326">
      <c r="A326" s="30" t="n"/>
      <c r="B326" s="30" t="n"/>
      <c r="C326" s="30" t="n"/>
      <c r="D326" s="30" t="n"/>
      <c r="E326" s="35" t="n"/>
      <c r="F326" s="34" t="n"/>
      <c r="G326" s="34" t="n"/>
      <c r="H326" s="38" t="n"/>
      <c r="I326" s="30" t="n"/>
      <c r="J326" s="30" t="n"/>
    </row>
    <row r="327">
      <c r="A327" s="30" t="n"/>
      <c r="B327" s="30" t="n"/>
      <c r="C327" s="30" t="n"/>
      <c r="D327" s="30" t="n"/>
      <c r="E327" s="35" t="n"/>
      <c r="F327" s="34" t="n"/>
      <c r="G327" s="34" t="n"/>
      <c r="H327" s="38" t="n"/>
      <c r="I327" s="30" t="n"/>
      <c r="J327" s="30" t="n"/>
    </row>
    <row r="328">
      <c r="A328" s="30" t="n"/>
      <c r="B328" s="30" t="n"/>
      <c r="C328" s="30" t="n"/>
      <c r="D328" s="30" t="n"/>
      <c r="E328" s="35" t="n"/>
      <c r="F328" s="34" t="n"/>
      <c r="G328" s="34" t="n"/>
      <c r="H328" s="38" t="n"/>
      <c r="I328" s="30" t="n"/>
      <c r="J328" s="30" t="n"/>
    </row>
    <row r="329">
      <c r="A329" s="30" t="n"/>
      <c r="B329" s="30" t="n"/>
      <c r="C329" s="30" t="n"/>
      <c r="D329" s="30" t="n"/>
      <c r="E329" s="35" t="n"/>
      <c r="F329" s="34" t="n"/>
      <c r="G329" s="34" t="n"/>
      <c r="H329" s="38" t="n"/>
      <c r="I329" s="30" t="n"/>
      <c r="J329" s="30" t="n"/>
    </row>
    <row r="330">
      <c r="A330" s="30" t="n"/>
      <c r="B330" s="30" t="n"/>
      <c r="C330" s="30" t="n"/>
      <c r="D330" s="30" t="n"/>
      <c r="E330" s="35" t="n"/>
      <c r="F330" s="34" t="n"/>
      <c r="G330" s="34" t="n"/>
      <c r="H330" s="38" t="n"/>
      <c r="I330" s="30" t="n"/>
      <c r="J330" s="30" t="n"/>
    </row>
    <row r="331">
      <c r="A331" s="30" t="n"/>
      <c r="B331" s="30" t="n"/>
      <c r="C331" s="30" t="n"/>
      <c r="D331" s="30" t="n"/>
      <c r="E331" s="35" t="n"/>
      <c r="F331" s="34" t="n"/>
      <c r="G331" s="34" t="n"/>
      <c r="H331" s="38" t="n"/>
      <c r="I331" s="30" t="n"/>
      <c r="J331" s="30" t="n"/>
    </row>
    <row r="332">
      <c r="A332" s="30" t="n"/>
      <c r="B332" s="30" t="n"/>
      <c r="C332" s="30" t="n"/>
      <c r="D332" s="30" t="n"/>
      <c r="E332" s="35" t="n"/>
      <c r="F332" s="34" t="n"/>
      <c r="G332" s="34" t="n"/>
      <c r="H332" s="38" t="n"/>
      <c r="I332" s="30" t="n"/>
      <c r="J332" s="30" t="n"/>
    </row>
    <row r="333">
      <c r="A333" s="30" t="n"/>
      <c r="B333" s="30" t="n"/>
      <c r="C333" s="30" t="n"/>
      <c r="D333" s="30" t="n"/>
      <c r="E333" s="35" t="n"/>
      <c r="F333" s="34" t="n"/>
      <c r="G333" s="34" t="n"/>
      <c r="H333" s="38" t="n"/>
      <c r="I333" s="30" t="n"/>
      <c r="J333" s="30" t="n"/>
    </row>
    <row r="334">
      <c r="A334" s="30" t="n"/>
      <c r="B334" s="30" t="n"/>
      <c r="C334" s="30" t="n"/>
      <c r="D334" s="30" t="n"/>
      <c r="E334" s="35" t="n"/>
      <c r="F334" s="34" t="n"/>
      <c r="G334" s="34" t="n"/>
      <c r="H334" s="38" t="n"/>
      <c r="I334" s="30" t="n"/>
      <c r="J334" s="30" t="n"/>
    </row>
    <row r="335">
      <c r="A335" s="30" t="n"/>
      <c r="B335" s="30" t="n"/>
      <c r="C335" s="30" t="n"/>
      <c r="D335" s="30" t="n"/>
      <c r="E335" s="35" t="n"/>
      <c r="F335" s="34" t="n"/>
      <c r="G335" s="34" t="n"/>
      <c r="H335" s="38" t="n"/>
      <c r="I335" s="30" t="n"/>
      <c r="J335" s="30" t="n"/>
    </row>
    <row r="336">
      <c r="A336" s="30" t="n"/>
      <c r="B336" s="30" t="n"/>
      <c r="C336" s="30" t="n"/>
      <c r="D336" s="30" t="n"/>
      <c r="E336" s="35" t="n"/>
      <c r="F336" s="34" t="n"/>
      <c r="G336" s="34" t="n"/>
      <c r="H336" s="38" t="n"/>
      <c r="I336" s="30" t="n"/>
      <c r="J336" s="30" t="n"/>
    </row>
    <row r="337">
      <c r="A337" s="30" t="n"/>
      <c r="B337" s="30" t="n"/>
      <c r="C337" s="30" t="n"/>
      <c r="D337" s="30" t="n"/>
      <c r="E337" s="35" t="n"/>
      <c r="F337" s="34" t="n"/>
      <c r="G337" s="34" t="n"/>
      <c r="H337" s="38" t="n"/>
      <c r="I337" s="30" t="n"/>
      <c r="J337" s="30" t="n"/>
    </row>
    <row r="338">
      <c r="A338" s="30" t="n"/>
      <c r="B338" s="30" t="n"/>
      <c r="C338" s="30" t="n"/>
      <c r="D338" s="30" t="n"/>
      <c r="E338" s="35" t="n"/>
      <c r="F338" s="34" t="n"/>
      <c r="G338" s="34" t="n"/>
      <c r="H338" s="38" t="n"/>
      <c r="I338" s="30" t="n"/>
      <c r="J338" s="30" t="n"/>
    </row>
    <row r="339">
      <c r="A339" s="30" t="n"/>
      <c r="B339" s="30" t="n"/>
      <c r="C339" s="30" t="n"/>
      <c r="D339" s="30" t="n"/>
      <c r="E339" s="35" t="n"/>
      <c r="F339" s="34" t="n"/>
      <c r="G339" s="34" t="n"/>
      <c r="H339" s="38" t="n"/>
      <c r="I339" s="30" t="n"/>
      <c r="J339" s="30" t="n"/>
    </row>
    <row r="340">
      <c r="A340" s="30" t="n"/>
      <c r="B340" s="30" t="n"/>
      <c r="C340" s="30" t="n"/>
      <c r="D340" s="30" t="n"/>
      <c r="E340" s="35" t="n"/>
      <c r="F340" s="34" t="n"/>
      <c r="G340" s="34" t="n"/>
      <c r="H340" s="38" t="n"/>
      <c r="I340" s="30" t="n"/>
      <c r="J340" s="30" t="n"/>
    </row>
    <row r="341">
      <c r="A341" s="30" t="n"/>
      <c r="B341" s="30" t="n"/>
      <c r="C341" s="30" t="n"/>
      <c r="D341" s="30" t="n"/>
      <c r="E341" s="35" t="n"/>
      <c r="F341" s="34" t="n"/>
      <c r="G341" s="34" t="n"/>
      <c r="H341" s="38" t="n"/>
      <c r="I341" s="30" t="n"/>
      <c r="J341" s="30" t="n"/>
    </row>
    <row r="342">
      <c r="A342" s="30" t="n"/>
      <c r="B342" s="30" t="n"/>
      <c r="C342" s="30" t="n"/>
      <c r="D342" s="30" t="n"/>
      <c r="E342" s="35" t="n"/>
      <c r="F342" s="34" t="n"/>
      <c r="G342" s="34" t="n"/>
      <c r="H342" s="38" t="n"/>
      <c r="I342" s="30" t="n"/>
      <c r="J342" s="30" t="n"/>
    </row>
    <row r="343">
      <c r="A343" s="30" t="n"/>
      <c r="B343" s="30" t="n"/>
      <c r="C343" s="30" t="n"/>
      <c r="D343" s="30" t="n"/>
      <c r="E343" s="35" t="n"/>
      <c r="F343" s="34" t="n"/>
      <c r="G343" s="34" t="n"/>
      <c r="H343" s="38" t="n"/>
      <c r="I343" s="30" t="n"/>
      <c r="J343" s="30" t="n"/>
    </row>
    <row r="344">
      <c r="A344" s="30" t="n"/>
      <c r="B344" s="30" t="n"/>
      <c r="C344" s="30" t="n"/>
      <c r="D344" s="30" t="n"/>
      <c r="E344" s="35" t="n"/>
      <c r="F344" s="34" t="n"/>
      <c r="G344" s="34" t="n"/>
      <c r="H344" s="38" t="n"/>
      <c r="I344" s="30" t="n"/>
      <c r="J344" s="30" t="n"/>
    </row>
    <row r="345">
      <c r="A345" s="30" t="n"/>
      <c r="B345" s="30" t="n"/>
      <c r="C345" s="30" t="n"/>
      <c r="D345" s="30" t="n"/>
      <c r="E345" s="35" t="n"/>
      <c r="F345" s="34" t="n"/>
      <c r="G345" s="34" t="n"/>
      <c r="H345" s="38" t="n"/>
      <c r="I345" s="30" t="n"/>
      <c r="J345" s="30" t="n"/>
    </row>
    <row r="346">
      <c r="A346" s="30" t="n"/>
      <c r="B346" s="30" t="n"/>
      <c r="C346" s="30" t="n"/>
      <c r="D346" s="30" t="n"/>
      <c r="E346" s="35" t="n"/>
      <c r="F346" s="34" t="n"/>
      <c r="G346" s="34" t="n"/>
      <c r="H346" s="38" t="n"/>
      <c r="I346" s="30" t="n"/>
      <c r="J346" s="30" t="n"/>
    </row>
    <row r="347">
      <c r="A347" s="30" t="n"/>
      <c r="B347" s="30" t="n"/>
      <c r="C347" s="30" t="n"/>
      <c r="D347" s="30" t="n"/>
      <c r="E347" s="35" t="n"/>
      <c r="F347" s="34" t="n"/>
      <c r="G347" s="34" t="n"/>
      <c r="H347" s="38" t="n"/>
      <c r="I347" s="30" t="n"/>
      <c r="J347" s="30" t="n"/>
    </row>
    <row r="348">
      <c r="A348" s="30" t="n"/>
      <c r="B348" s="30" t="n"/>
      <c r="C348" s="30" t="n"/>
      <c r="D348" s="30" t="n"/>
      <c r="E348" s="35" t="n"/>
      <c r="F348" s="34" t="n"/>
      <c r="G348" s="34" t="n"/>
      <c r="H348" s="38" t="n"/>
      <c r="I348" s="30" t="n"/>
      <c r="J348" s="30" t="n"/>
    </row>
    <row r="349">
      <c r="A349" s="30" t="n"/>
      <c r="B349" s="30" t="n"/>
      <c r="C349" s="30" t="n"/>
      <c r="D349" s="30" t="n"/>
      <c r="E349" s="35" t="n"/>
      <c r="F349" s="34" t="n"/>
      <c r="G349" s="34" t="n"/>
      <c r="H349" s="38" t="n"/>
      <c r="I349" s="30" t="n"/>
      <c r="J349" s="30" t="n"/>
    </row>
    <row r="350">
      <c r="A350" s="30" t="n"/>
      <c r="B350" s="30" t="n"/>
      <c r="C350" s="30" t="n"/>
      <c r="D350" s="30" t="n"/>
      <c r="E350" s="35" t="n"/>
      <c r="F350" s="34" t="n"/>
      <c r="G350" s="34" t="n"/>
      <c r="H350" s="38" t="n"/>
      <c r="I350" s="30" t="n"/>
      <c r="J350" s="30" t="n"/>
    </row>
    <row r="351">
      <c r="A351" s="30" t="n"/>
      <c r="B351" s="30" t="n"/>
      <c r="C351" s="30" t="n"/>
      <c r="D351" s="30" t="n"/>
      <c r="E351" s="35" t="n"/>
      <c r="F351" s="34" t="n"/>
      <c r="G351" s="34" t="n"/>
      <c r="H351" s="38" t="n"/>
      <c r="I351" s="30" t="n"/>
      <c r="J351" s="30" t="n"/>
    </row>
    <row r="352">
      <c r="A352" s="30" t="n"/>
      <c r="B352" s="30" t="n"/>
      <c r="C352" s="30" t="n"/>
      <c r="D352" s="30" t="n"/>
      <c r="E352" s="35" t="n"/>
      <c r="F352" s="34" t="n"/>
      <c r="G352" s="34" t="n"/>
      <c r="H352" s="38" t="n"/>
      <c r="I352" s="30" t="n"/>
      <c r="J352" s="30" t="n"/>
    </row>
    <row r="353">
      <c r="A353" s="30" t="n"/>
      <c r="B353" s="30" t="n"/>
      <c r="C353" s="30" t="n"/>
      <c r="D353" s="30" t="n"/>
      <c r="E353" s="35" t="n"/>
      <c r="F353" s="34" t="n"/>
      <c r="G353" s="34" t="n"/>
      <c r="H353" s="38" t="n"/>
      <c r="I353" s="30" t="n"/>
      <c r="J353" s="30" t="n"/>
    </row>
    <row r="354">
      <c r="A354" s="30" t="n"/>
      <c r="B354" s="30" t="n"/>
      <c r="C354" s="30" t="n"/>
      <c r="D354" s="30" t="n"/>
      <c r="E354" s="35" t="n"/>
      <c r="F354" s="34" t="n"/>
      <c r="G354" s="34" t="n"/>
      <c r="H354" s="38" t="n"/>
      <c r="I354" s="30" t="n"/>
      <c r="J354" s="30" t="n"/>
    </row>
    <row r="355">
      <c r="A355" s="30" t="n"/>
      <c r="B355" s="30" t="n"/>
      <c r="C355" s="30" t="n"/>
      <c r="D355" s="30" t="n"/>
      <c r="E355" s="35" t="n"/>
      <c r="F355" s="34" t="n"/>
      <c r="G355" s="34" t="n"/>
      <c r="H355" s="38" t="n"/>
      <c r="I355" s="30" t="n"/>
      <c r="J355" s="30" t="n"/>
    </row>
    <row r="356">
      <c r="A356" s="30" t="n"/>
      <c r="B356" s="30" t="n"/>
      <c r="C356" s="30" t="n"/>
      <c r="D356" s="30" t="n"/>
      <c r="E356" s="35" t="n"/>
      <c r="F356" s="34" t="n"/>
      <c r="G356" s="34" t="n"/>
      <c r="H356" s="38" t="n"/>
      <c r="I356" s="30" t="n"/>
      <c r="J356" s="30" t="n"/>
    </row>
    <row r="357">
      <c r="A357" s="30" t="n"/>
      <c r="B357" s="30" t="n"/>
      <c r="C357" s="30" t="n"/>
      <c r="D357" s="30" t="n"/>
      <c r="E357" s="35" t="n"/>
      <c r="F357" s="34" t="n"/>
      <c r="G357" s="34" t="n"/>
      <c r="H357" s="38" t="n"/>
      <c r="I357" s="30" t="n"/>
      <c r="J357" s="30" t="n"/>
    </row>
    <row r="358">
      <c r="A358" s="30" t="n"/>
      <c r="B358" s="30" t="n"/>
      <c r="C358" s="30" t="n"/>
      <c r="D358" s="30" t="n"/>
      <c r="E358" s="35" t="n"/>
      <c r="F358" s="34" t="n"/>
      <c r="G358" s="34" t="n"/>
      <c r="H358" s="38" t="n"/>
      <c r="I358" s="30" t="n"/>
      <c r="J358" s="30" t="n"/>
    </row>
    <row r="359">
      <c r="A359" s="30" t="n"/>
      <c r="B359" s="30" t="n"/>
      <c r="C359" s="30" t="n"/>
      <c r="D359" s="30" t="n"/>
      <c r="E359" s="35" t="n"/>
      <c r="F359" s="34" t="n"/>
      <c r="G359" s="34" t="n"/>
      <c r="H359" s="38" t="n"/>
      <c r="I359" s="30" t="n"/>
      <c r="J359" s="30" t="n"/>
    </row>
    <row r="360">
      <c r="A360" s="30" t="n"/>
      <c r="B360" s="30" t="n"/>
      <c r="C360" s="30" t="n"/>
      <c r="D360" s="30" t="n"/>
      <c r="E360" s="35" t="n"/>
      <c r="F360" s="34" t="n"/>
      <c r="G360" s="34" t="n"/>
      <c r="H360" s="38" t="n"/>
      <c r="I360" s="30" t="n"/>
      <c r="J360" s="30" t="n"/>
    </row>
    <row r="361">
      <c r="A361" s="30" t="n"/>
      <c r="B361" s="30" t="n"/>
      <c r="C361" s="30" t="n"/>
      <c r="D361" s="30" t="n"/>
      <c r="E361" s="35" t="n"/>
      <c r="F361" s="34" t="n"/>
      <c r="G361" s="34" t="n"/>
      <c r="H361" s="38" t="n"/>
      <c r="I361" s="30" t="n"/>
      <c r="J361" s="30" t="n"/>
    </row>
    <row r="362">
      <c r="A362" s="30" t="n"/>
      <c r="B362" s="30" t="n"/>
      <c r="C362" s="30" t="n"/>
      <c r="D362" s="30" t="n"/>
      <c r="E362" s="35" t="n"/>
      <c r="F362" s="34" t="n"/>
      <c r="G362" s="34" t="n"/>
      <c r="H362" s="38" t="n"/>
      <c r="I362" s="30" t="n"/>
      <c r="J362" s="30" t="n"/>
    </row>
    <row r="363">
      <c r="A363" s="30" t="n"/>
      <c r="B363" s="30" t="n"/>
      <c r="C363" s="30" t="n"/>
      <c r="D363" s="30" t="n"/>
      <c r="E363" s="35" t="n"/>
      <c r="F363" s="34" t="n"/>
      <c r="G363" s="34" t="n"/>
      <c r="H363" s="38" t="n"/>
      <c r="I363" s="30" t="n"/>
      <c r="J363" s="30" t="n"/>
    </row>
    <row r="364">
      <c r="A364" s="30" t="n"/>
      <c r="B364" s="30" t="n"/>
      <c r="C364" s="30" t="n"/>
      <c r="D364" s="30" t="n"/>
      <c r="E364" s="35" t="n"/>
      <c r="F364" s="34" t="n"/>
      <c r="G364" s="34" t="n"/>
      <c r="H364" s="38" t="n"/>
      <c r="I364" s="30" t="n"/>
      <c r="J364" s="30" t="n"/>
    </row>
    <row r="365">
      <c r="A365" s="30" t="n"/>
      <c r="B365" s="30" t="n"/>
      <c r="C365" s="30" t="n"/>
      <c r="D365" s="30" t="n"/>
      <c r="E365" s="35" t="n"/>
      <c r="F365" s="34" t="n"/>
      <c r="G365" s="34" t="n"/>
      <c r="H365" s="38" t="n"/>
      <c r="I365" s="30" t="n"/>
      <c r="J365" s="30" t="n"/>
    </row>
    <row r="366">
      <c r="A366" s="30" t="n"/>
      <c r="B366" s="30" t="n"/>
      <c r="C366" s="30" t="n"/>
      <c r="D366" s="30" t="n"/>
      <c r="E366" s="35" t="n"/>
      <c r="F366" s="34" t="n"/>
      <c r="G366" s="34" t="n"/>
      <c r="H366" s="38" t="n"/>
      <c r="I366" s="30" t="n"/>
      <c r="J366" s="30" t="n"/>
    </row>
    <row r="367">
      <c r="A367" s="30" t="n"/>
      <c r="B367" s="30" t="n"/>
      <c r="C367" s="30" t="n"/>
      <c r="D367" s="30" t="n"/>
      <c r="E367" s="35" t="n"/>
      <c r="F367" s="34" t="n"/>
      <c r="G367" s="34" t="n"/>
      <c r="H367" s="38" t="n"/>
      <c r="I367" s="30" t="n"/>
      <c r="J367" s="30" t="n"/>
    </row>
    <row r="368">
      <c r="A368" s="30" t="n"/>
      <c r="B368" s="30" t="n"/>
      <c r="C368" s="30" t="n"/>
      <c r="D368" s="30" t="n"/>
      <c r="E368" s="35" t="n"/>
      <c r="F368" s="34" t="n"/>
      <c r="G368" s="34" t="n"/>
      <c r="H368" s="38" t="n"/>
      <c r="I368" s="30" t="n"/>
      <c r="J368" s="30" t="n"/>
    </row>
    <row r="369">
      <c r="A369" s="30" t="n"/>
      <c r="B369" s="30" t="n"/>
      <c r="C369" s="30" t="n"/>
      <c r="D369" s="30" t="n"/>
      <c r="E369" s="35" t="n"/>
      <c r="F369" s="34" t="n"/>
      <c r="G369" s="34" t="n"/>
      <c r="H369" s="38" t="n"/>
      <c r="I369" s="30" t="n"/>
      <c r="J369" s="30" t="n"/>
    </row>
    <row r="370">
      <c r="A370" s="30" t="n"/>
      <c r="B370" s="30" t="n"/>
      <c r="C370" s="30" t="n"/>
      <c r="D370" s="30" t="n"/>
      <c r="E370" s="35" t="n"/>
      <c r="F370" s="34" t="n"/>
      <c r="G370" s="34" t="n"/>
      <c r="H370" s="38" t="n"/>
      <c r="I370" s="30" t="n"/>
      <c r="J370" s="30" t="n"/>
    </row>
    <row r="371">
      <c r="A371" s="30" t="n"/>
      <c r="B371" s="30" t="n"/>
      <c r="C371" s="30" t="n"/>
      <c r="D371" s="30" t="n"/>
      <c r="E371" s="35" t="n"/>
      <c r="F371" s="34" t="n"/>
      <c r="G371" s="34" t="n"/>
      <c r="H371" s="38" t="n"/>
      <c r="I371" s="30" t="n"/>
      <c r="J371" s="30" t="n"/>
    </row>
    <row r="372">
      <c r="A372" s="30" t="n"/>
      <c r="B372" s="30" t="n"/>
      <c r="C372" s="30" t="n"/>
      <c r="D372" s="30" t="n"/>
      <c r="E372" s="35" t="n"/>
      <c r="F372" s="34" t="n"/>
      <c r="G372" s="34" t="n"/>
      <c r="H372" s="38" t="n"/>
      <c r="I372" s="30" t="n"/>
      <c r="J372" s="30" t="n"/>
    </row>
    <row r="373">
      <c r="A373" s="30" t="n"/>
      <c r="B373" s="30" t="n"/>
      <c r="C373" s="30" t="n"/>
      <c r="D373" s="30" t="n"/>
      <c r="E373" s="35" t="n"/>
      <c r="F373" s="34" t="n"/>
      <c r="G373" s="34" t="n"/>
      <c r="H373" s="38" t="n"/>
      <c r="I373" s="30" t="n"/>
      <c r="J373" s="30" t="n"/>
    </row>
    <row r="374">
      <c r="A374" s="30" t="n"/>
      <c r="B374" s="30" t="n"/>
      <c r="C374" s="30" t="n"/>
      <c r="D374" s="30" t="n"/>
      <c r="E374" s="35" t="n"/>
      <c r="F374" s="34" t="n"/>
      <c r="G374" s="34" t="n"/>
      <c r="H374" s="38" t="n"/>
      <c r="I374" s="30" t="n"/>
      <c r="J374" s="30" t="n"/>
    </row>
    <row r="375">
      <c r="A375" s="30" t="n"/>
      <c r="B375" s="30" t="n"/>
      <c r="C375" s="30" t="n"/>
      <c r="D375" s="30" t="n"/>
      <c r="E375" s="35" t="n"/>
      <c r="F375" s="34" t="n"/>
      <c r="G375" s="34" t="n"/>
      <c r="H375" s="38" t="n"/>
      <c r="I375" s="30" t="n"/>
      <c r="J375" s="30" t="n"/>
    </row>
    <row r="376">
      <c r="A376" s="30" t="n"/>
      <c r="B376" s="30" t="n"/>
      <c r="C376" s="30" t="n"/>
      <c r="D376" s="30" t="n"/>
      <c r="E376" s="35" t="n"/>
      <c r="F376" s="34" t="n"/>
      <c r="G376" s="34" t="n"/>
      <c r="H376" s="38" t="n"/>
      <c r="I376" s="30" t="n"/>
      <c r="J376" s="30" t="n"/>
    </row>
    <row r="377">
      <c r="A377" s="30" t="n"/>
      <c r="B377" s="30" t="n"/>
      <c r="C377" s="30" t="n"/>
      <c r="D377" s="30" t="n"/>
      <c r="E377" s="35" t="n"/>
      <c r="F377" s="34" t="n"/>
      <c r="G377" s="34" t="n"/>
      <c r="H377" s="38" t="n"/>
      <c r="I377" s="30" t="n"/>
      <c r="J377" s="30" t="n"/>
    </row>
    <row r="378">
      <c r="A378" s="30" t="n"/>
      <c r="B378" s="30" t="n"/>
      <c r="C378" s="30" t="n"/>
      <c r="D378" s="30" t="n"/>
      <c r="E378" s="35" t="n"/>
      <c r="F378" s="34" t="n"/>
      <c r="G378" s="34" t="n"/>
      <c r="H378" s="38" t="n"/>
      <c r="I378" s="30" t="n"/>
      <c r="J378" s="30" t="n"/>
    </row>
    <row r="379">
      <c r="A379" s="30" t="n"/>
      <c r="B379" s="30" t="n"/>
      <c r="C379" s="30" t="n"/>
      <c r="D379" s="30" t="n"/>
      <c r="E379" s="35" t="n"/>
      <c r="F379" s="34" t="n"/>
      <c r="G379" s="34" t="n"/>
      <c r="H379" s="38" t="n"/>
      <c r="I379" s="30" t="n"/>
      <c r="J379" s="30" t="n"/>
    </row>
    <row r="380">
      <c r="A380" s="30" t="n"/>
      <c r="B380" s="30" t="n"/>
      <c r="C380" s="30" t="n"/>
      <c r="D380" s="30" t="n"/>
      <c r="E380" s="35" t="n"/>
      <c r="F380" s="34" t="n"/>
      <c r="G380" s="34" t="n"/>
      <c r="H380" s="38" t="n"/>
      <c r="I380" s="30" t="n"/>
      <c r="J380" s="30" t="n"/>
    </row>
    <row r="381">
      <c r="A381" s="30" t="n"/>
      <c r="B381" s="30" t="n"/>
      <c r="C381" s="30" t="n"/>
      <c r="D381" s="30" t="n"/>
      <c r="E381" s="35" t="n"/>
      <c r="F381" s="34" t="n"/>
      <c r="G381" s="34" t="n"/>
      <c r="H381" s="38" t="n"/>
      <c r="I381" s="30" t="n"/>
      <c r="J381" s="30" t="n"/>
    </row>
    <row r="382">
      <c r="A382" s="30" t="n"/>
      <c r="B382" s="30" t="n"/>
      <c r="C382" s="30" t="n"/>
      <c r="D382" s="30" t="n"/>
      <c r="E382" s="35" t="n"/>
      <c r="F382" s="34" t="n"/>
      <c r="G382" s="34" t="n"/>
      <c r="H382" s="38" t="n"/>
      <c r="I382" s="30" t="n"/>
      <c r="J382" s="30" t="n"/>
    </row>
    <row r="383">
      <c r="A383" s="30" t="n"/>
      <c r="B383" s="30" t="n"/>
      <c r="C383" s="30" t="n"/>
      <c r="D383" s="30" t="n"/>
      <c r="E383" s="35" t="n"/>
      <c r="F383" s="34" t="n"/>
      <c r="G383" s="34" t="n"/>
      <c r="H383" s="38" t="n"/>
      <c r="I383" s="30" t="n"/>
      <c r="J383" s="30" t="n"/>
    </row>
    <row r="384">
      <c r="A384" s="30" t="n"/>
      <c r="B384" s="30" t="n"/>
      <c r="C384" s="30" t="n"/>
      <c r="D384" s="30" t="n"/>
      <c r="E384" s="35" t="n"/>
      <c r="F384" s="34" t="n"/>
      <c r="G384" s="34" t="n"/>
      <c r="H384" s="38" t="n"/>
      <c r="I384" s="30" t="n"/>
      <c r="J384" s="30" t="n"/>
    </row>
    <row r="385">
      <c r="A385" s="30" t="n"/>
      <c r="B385" s="30" t="n"/>
      <c r="C385" s="30" t="n"/>
      <c r="D385" s="30" t="n"/>
      <c r="E385" s="35" t="n"/>
      <c r="F385" s="34" t="n"/>
      <c r="G385" s="34" t="n"/>
      <c r="H385" s="38" t="n"/>
      <c r="I385" s="30" t="n"/>
      <c r="J385" s="30" t="n"/>
    </row>
    <row r="386">
      <c r="A386" s="30" t="n"/>
      <c r="B386" s="30" t="n"/>
      <c r="C386" s="30" t="n"/>
      <c r="D386" s="30" t="n"/>
      <c r="E386" s="35" t="n"/>
      <c r="F386" s="34" t="n"/>
      <c r="G386" s="34" t="n"/>
      <c r="H386" s="38" t="n"/>
      <c r="I386" s="30" t="n"/>
      <c r="J386" s="30" t="n"/>
    </row>
    <row r="387">
      <c r="A387" s="30" t="n"/>
      <c r="B387" s="30" t="n"/>
      <c r="C387" s="30" t="n"/>
      <c r="D387" s="30" t="n"/>
      <c r="E387" s="35" t="n"/>
      <c r="F387" s="34" t="n"/>
      <c r="G387" s="34" t="n"/>
      <c r="H387" s="38" t="n"/>
      <c r="I387" s="30" t="n"/>
      <c r="J387" s="30" t="n"/>
    </row>
    <row r="388">
      <c r="A388" s="30" t="n"/>
      <c r="B388" s="30" t="n"/>
      <c r="C388" s="30" t="n"/>
      <c r="D388" s="30" t="n"/>
      <c r="E388" s="35" t="n"/>
      <c r="F388" s="34" t="n"/>
      <c r="G388" s="34" t="n"/>
      <c r="H388" s="38" t="n"/>
      <c r="I388" s="30" t="n"/>
      <c r="J388" s="30" t="n"/>
    </row>
    <row r="389">
      <c r="A389" s="30" t="n"/>
      <c r="B389" s="30" t="n"/>
      <c r="C389" s="30" t="n"/>
      <c r="D389" s="30" t="n"/>
      <c r="E389" s="35" t="n"/>
      <c r="F389" s="34" t="n"/>
      <c r="G389" s="34" t="n"/>
      <c r="H389" s="38" t="n"/>
      <c r="I389" s="30" t="n"/>
      <c r="J389" s="30" t="n"/>
    </row>
    <row r="390">
      <c r="A390" s="30" t="n"/>
      <c r="B390" s="30" t="n"/>
      <c r="C390" s="30" t="n"/>
      <c r="D390" s="30" t="n"/>
      <c r="E390" s="35" t="n"/>
      <c r="F390" s="34" t="n"/>
      <c r="G390" s="34" t="n"/>
      <c r="H390" s="38" t="n"/>
      <c r="I390" s="30" t="n"/>
      <c r="J390" s="30" t="n"/>
    </row>
    <row r="391">
      <c r="A391" s="30" t="n"/>
      <c r="B391" s="30" t="n"/>
      <c r="C391" s="30" t="n"/>
      <c r="D391" s="30" t="n"/>
      <c r="E391" s="35" t="n"/>
      <c r="F391" s="34" t="n"/>
      <c r="G391" s="34" t="n"/>
      <c r="H391" s="38" t="n"/>
      <c r="I391" s="30" t="n"/>
      <c r="J391" s="30" t="n"/>
    </row>
    <row r="392">
      <c r="A392" s="30" t="n"/>
      <c r="B392" s="30" t="n"/>
      <c r="C392" s="30" t="n"/>
      <c r="D392" s="30" t="n"/>
      <c r="E392" s="35" t="n"/>
      <c r="F392" s="34" t="n"/>
      <c r="G392" s="34" t="n"/>
      <c r="H392" s="38" t="n"/>
      <c r="I392" s="30" t="n"/>
      <c r="J392" s="30" t="n"/>
    </row>
    <row r="393">
      <c r="A393" s="30" t="n"/>
      <c r="B393" s="30" t="n"/>
      <c r="C393" s="30" t="n"/>
      <c r="D393" s="30" t="n"/>
      <c r="E393" s="35" t="n"/>
      <c r="F393" s="34" t="n"/>
      <c r="G393" s="34" t="n"/>
      <c r="H393" s="38" t="n"/>
      <c r="I393" s="30" t="n"/>
      <c r="J393" s="30" t="n"/>
    </row>
    <row r="394">
      <c r="A394" s="30" t="n"/>
      <c r="B394" s="30" t="n"/>
      <c r="C394" s="30" t="n"/>
      <c r="D394" s="30" t="n"/>
      <c r="E394" s="35" t="n"/>
      <c r="F394" s="34" t="n"/>
      <c r="G394" s="34" t="n"/>
      <c r="H394" s="38" t="n"/>
      <c r="I394" s="30" t="n"/>
      <c r="J394" s="30" t="n"/>
    </row>
    <row r="395">
      <c r="A395" s="30" t="n"/>
      <c r="B395" s="30" t="n"/>
      <c r="C395" s="30" t="n"/>
      <c r="D395" s="30" t="n"/>
      <c r="E395" s="35" t="n"/>
      <c r="F395" s="34" t="n"/>
      <c r="G395" s="34" t="n"/>
      <c r="H395" s="38" t="n"/>
      <c r="I395" s="30" t="n"/>
      <c r="J395" s="30" t="n"/>
    </row>
    <row r="396">
      <c r="A396" s="30" t="n"/>
      <c r="B396" s="30" t="n"/>
      <c r="C396" s="30" t="n"/>
      <c r="D396" s="30" t="n"/>
      <c r="E396" s="35" t="n"/>
      <c r="F396" s="34" t="n"/>
      <c r="G396" s="34" t="n"/>
      <c r="H396" s="38" t="n"/>
      <c r="I396" s="30" t="n"/>
      <c r="J396" s="30" t="n"/>
    </row>
    <row r="397">
      <c r="A397" s="30" t="n"/>
      <c r="B397" s="30" t="n"/>
      <c r="C397" s="30" t="n"/>
      <c r="D397" s="30" t="n"/>
      <c r="E397" s="35" t="n"/>
      <c r="F397" s="34" t="n"/>
      <c r="G397" s="34" t="n"/>
      <c r="H397" s="38" t="n"/>
      <c r="I397" s="30" t="n"/>
      <c r="J397" s="30" t="n"/>
    </row>
    <row r="398">
      <c r="A398" s="30" t="n"/>
      <c r="B398" s="30" t="n"/>
      <c r="C398" s="30" t="n"/>
      <c r="D398" s="30" t="n"/>
      <c r="E398" s="35" t="n"/>
      <c r="F398" s="34" t="n"/>
      <c r="G398" s="34" t="n"/>
      <c r="H398" s="38" t="n"/>
      <c r="I398" s="30" t="n"/>
      <c r="J398" s="30" t="n"/>
    </row>
    <row r="399">
      <c r="A399" s="30" t="n"/>
      <c r="B399" s="30" t="n"/>
      <c r="C399" s="30" t="n"/>
      <c r="D399" s="30" t="n"/>
      <c r="E399" s="35" t="n"/>
      <c r="F399" s="34" t="n"/>
      <c r="G399" s="34" t="n"/>
      <c r="H399" s="38" t="n"/>
      <c r="I399" s="30" t="n"/>
      <c r="J399" s="30" t="n"/>
    </row>
    <row r="400">
      <c r="A400" s="30" t="n"/>
      <c r="B400" s="30" t="n"/>
      <c r="C400" s="30" t="n"/>
      <c r="D400" s="30" t="n"/>
      <c r="E400" s="35" t="n"/>
      <c r="F400" s="34" t="n"/>
      <c r="G400" s="34" t="n"/>
      <c r="H400" s="38" t="n"/>
      <c r="I400" s="30" t="n"/>
      <c r="J400" s="30" t="n"/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004A5568"/>
    <outlinePr summaryBelow="1" summaryRight="1"/>
    <pageSetUpPr fitToPage="1"/>
  </sheetPr>
  <dimension ref="A1:H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2" customWidth="1" min="8" max="8"/>
  </cols>
  <sheetData>
    <row r="1" ht="26" customHeight="1">
      <c r="A1" s="47" t="inlineStr">
        <is>
          <t>ANGEBOT</t>
        </is>
      </c>
      <c r="B1" s="2" t="n"/>
      <c r="C1" s="2" t="n"/>
      <c r="D1" s="2" t="n"/>
      <c r="E1" s="2" t="n"/>
      <c r="F1" s="2" t="n"/>
      <c r="G1" s="3" t="n"/>
      <c r="H1" s="3" t="n"/>
    </row>
    <row r="2">
      <c r="A2" s="48">
        <f>FirmaName&amp;" · "&amp;FirmaStrasse&amp;" · "&amp;FirmaPLZ&amp;" "&amp;FirmaOrt&amp;" · USt-Id "&amp;FirmaUStId</f>
        <v/>
      </c>
      <c r="B2" s="5" t="n"/>
      <c r="C2" s="5" t="n"/>
      <c r="D2" s="5" t="n"/>
      <c r="E2" s="5" t="n"/>
      <c r="F2" s="5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inlineStr">
        <is>
          <t>Angebots-Nr. wählen</t>
        </is>
      </c>
      <c r="B4" s="30" t="inlineStr">
        <is>
          <t>AN-26007</t>
        </is>
      </c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49" t="inlineStr">
        <is>
          <t>Angebots-Nr.</t>
        </is>
      </c>
      <c r="B6" s="13">
        <f>IF(B4="","",B4)</f>
        <v/>
      </c>
      <c r="C6" s="50" t="n"/>
      <c r="D6" s="18" t="n"/>
      <c r="E6" s="3" t="n"/>
      <c r="F6" s="3" t="n"/>
      <c r="G6" s="3" t="n"/>
      <c r="H6" s="3" t="n"/>
    </row>
    <row r="7">
      <c r="A7" s="49" t="inlineStr">
        <is>
          <t>Datum</t>
        </is>
      </c>
      <c r="B7" s="44">
        <f>IF(B4="","",IFERROR(VLOOKUP(B4,'08_Angebote'!$A$4:$M$400,2,FALSE),""))</f>
        <v/>
      </c>
      <c r="C7" s="50" t="n"/>
      <c r="D7" s="18" t="n"/>
      <c r="E7" s="3" t="n"/>
      <c r="F7" s="3" t="n"/>
      <c r="G7" s="3" t="n"/>
      <c r="H7" s="3" t="n"/>
    </row>
    <row r="8">
      <c r="A8" s="49" t="inlineStr">
        <is>
          <t>Kunde</t>
        </is>
      </c>
      <c r="B8" s="13">
        <f>IF(B4="","",IFERROR(VLOOKUP(VLOOKUP(B4,'08_Angebote'!$A$4:$M$400,3,FALSE),'02_Kunden'!$A$4:$B$400,2,FALSE),""))</f>
        <v/>
      </c>
      <c r="C8" s="50" t="n"/>
      <c r="D8" s="18" t="n"/>
      <c r="E8" s="3" t="n"/>
      <c r="F8" s="3" t="n"/>
      <c r="G8" s="3" t="n"/>
      <c r="H8" s="3" t="n"/>
    </row>
    <row r="9">
      <c r="A9" s="49" t="inlineStr">
        <is>
          <t>Projekt</t>
        </is>
      </c>
      <c r="B9" s="13">
        <f>IF(B4="","",IFERROR(VLOOKUP(B4,'08_Angebote'!$A$4:$M$400,5,FALSE),""))</f>
        <v/>
      </c>
      <c r="C9" s="50" t="n"/>
      <c r="D9" s="18" t="n"/>
      <c r="E9" s="3" t="n"/>
      <c r="F9" s="3" t="n"/>
      <c r="G9" s="3" t="n"/>
      <c r="H9" s="3" t="n"/>
    </row>
    <row r="10">
      <c r="A10" s="49" t="inlineStr">
        <is>
          <t>Netto Angebot</t>
        </is>
      </c>
      <c r="B10" s="15">
        <f>IF(B4="","",IFERROR(VLOOKUP(B4,'08_Angebote'!$A$4:$M$400,6,FALSE),0))</f>
        <v/>
      </c>
      <c r="C10" s="50" t="n"/>
      <c r="D10" s="18" t="n"/>
      <c r="E10" s="3" t="n"/>
      <c r="F10" s="3" t="n"/>
      <c r="G10" s="3" t="n"/>
      <c r="H10" s="3" t="n"/>
    </row>
    <row r="11">
      <c r="A11" s="49" t="inlineStr">
        <is>
          <t>AGK</t>
        </is>
      </c>
      <c r="B11" s="19">
        <f>IF(B4="","",IFERROR(VLOOKUP(B4,'08_Angebote'!$A$4:$M$400,7,FALSE),0))</f>
        <v/>
      </c>
      <c r="C11" s="50" t="n"/>
      <c r="D11" s="18" t="n"/>
      <c r="E11" s="3" t="n"/>
      <c r="F11" s="3" t="n"/>
      <c r="G11" s="3" t="n"/>
      <c r="H11" s="3" t="n"/>
    </row>
    <row r="12">
      <c r="A12" s="49" t="inlineStr">
        <is>
          <t>Wagnis + Gewinn</t>
        </is>
      </c>
      <c r="B12" s="19">
        <f>IF(B4="","",IFERROR(VLOOKUP(B4,'08_Angebote'!$A$4:$M$400,8,FALSE),0))</f>
        <v/>
      </c>
      <c r="C12" s="50" t="n"/>
      <c r="D12" s="18" t="n"/>
      <c r="E12" s="3" t="n"/>
      <c r="F12" s="3" t="n"/>
      <c r="G12" s="3" t="n"/>
      <c r="H12" s="3" t="n"/>
    </row>
    <row r="13">
      <c r="A13" s="49" t="inlineStr">
        <is>
          <t>Angebotssumme netto</t>
        </is>
      </c>
      <c r="B13" s="15">
        <f>IF(B4="","",IFERROR(VLOOKUP(B4,'08_Angebote'!$A$4:$M$400,12,FALSE),0))</f>
        <v/>
      </c>
      <c r="C13" s="50" t="n"/>
      <c r="D13" s="18" t="n"/>
      <c r="E13" s="3" t="n"/>
      <c r="F13" s="3" t="n"/>
      <c r="G13" s="3" t="n"/>
      <c r="H13" s="3" t="n"/>
    </row>
    <row r="14">
      <c r="A14" s="49" t="inlineStr">
        <is>
          <t>zzgl. USt</t>
        </is>
      </c>
      <c r="B14" s="15">
        <f>IF(B4="","",B13*UStSatz)</f>
        <v/>
      </c>
      <c r="C14" s="50" t="n"/>
      <c r="D14" s="18" t="n"/>
      <c r="E14" s="3" t="n"/>
      <c r="F14" s="3" t="n"/>
      <c r="G14" s="3" t="n"/>
      <c r="H14" s="3" t="n"/>
    </row>
    <row r="15">
      <c r="A15" s="49" t="inlineStr">
        <is>
          <t>Angebot brutto</t>
        </is>
      </c>
      <c r="B15" s="15">
        <f>IF(B4="","",B13+B14)</f>
        <v/>
      </c>
      <c r="C15" s="50" t="n"/>
      <c r="D15" s="18" t="n"/>
      <c r="E15" s="3" t="n"/>
      <c r="F15" s="3" t="n"/>
      <c r="G15" s="3" t="n"/>
      <c r="H15" s="3" t="n"/>
    </row>
    <row r="16">
      <c r="A16" s="49" t="inlineStr">
        <is>
          <t>Bindefrist bis</t>
        </is>
      </c>
      <c r="B16" s="44">
        <f>IF(B4="","",B7+IFERROR(VLOOKUP(B4,'08_Angebote'!$A$4:$M$400,11,FALSE),0))</f>
        <v/>
      </c>
      <c r="C16" s="50" t="n"/>
      <c r="D16" s="18" t="n"/>
      <c r="E16" s="3" t="n"/>
      <c r="F16" s="3" t="n"/>
      <c r="G16" s="3" t="n"/>
      <c r="H16" s="3" t="n"/>
    </row>
    <row r="17">
      <c r="A17" s="49" t="inlineStr">
        <is>
          <t>Status</t>
        </is>
      </c>
      <c r="B17" s="13">
        <f>IF(B4="","",IFERROR(VLOOKUP(B4,'08_Angebote'!$A$4:$M$400,9,FALSE),""))</f>
        <v/>
      </c>
      <c r="C17" s="50" t="n"/>
      <c r="D17" s="18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20" t="inlineStr">
        <is>
          <t>Leistungsbeschreibung (Kurztext)</t>
        </is>
      </c>
      <c r="B19" s="3" t="n"/>
      <c r="C19" s="3" t="n"/>
      <c r="D19" s="3" t="n"/>
      <c r="E19" s="3" t="n"/>
      <c r="F19" s="3" t="n"/>
      <c r="G19" s="3" t="n"/>
      <c r="H19" s="3" t="n"/>
    </row>
    <row r="20">
      <c r="A20" s="51" t="inlineStr">
        <is>
          <t>Wir bieten die im Leistungsverzeichnis beschriebenen Arbeiten gemäß VOB/B bzw. BGB zu umseitig genannten Bedingungen an. Nachträge nur nach schriftlicher Beauftragung.</t>
        </is>
      </c>
      <c r="G20" s="3" t="n"/>
      <c r="H20" s="3" t="n"/>
    </row>
    <row r="21">
      <c r="G21" s="3" t="n"/>
      <c r="H21" s="3" t="n"/>
    </row>
    <row r="22">
      <c r="G22" s="3" t="n"/>
      <c r="H22" s="3" t="n"/>
    </row>
    <row r="23">
      <c r="G23" s="3" t="n"/>
      <c r="H23" s="3" t="n"/>
    </row>
    <row r="24"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inlineStr">
        <is>
          <t>Zahlungsbedingungen</t>
        </is>
      </c>
      <c r="B26" s="3" t="n"/>
      <c r="C26" s="3" t="n"/>
      <c r="D26" s="3" t="n"/>
      <c r="E26" s="3" t="n"/>
      <c r="F26" s="3" t="n"/>
      <c r="G26" s="3" t="n"/>
      <c r="H26" s="3" t="n"/>
    </row>
    <row r="27">
      <c r="A27" s="52">
        <f> "Abschläge nach Baufortschritt, Zahlungsziel "&amp;Zahlungsziel&amp;" Tage, Skonto "&amp;TEXT(SkontoPct,"0.0%")&amp;" bei Zahlung binnen "&amp;SkontoTage&amp;" Tagen. Sicherheitseinbehalt "&amp;TEXT(EinbehaltPct,"0.0%")&amp;"."</f>
        <v/>
      </c>
      <c r="G27" s="3" t="n"/>
      <c r="H27" s="3" t="n"/>
    </row>
    <row r="28"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inlineStr">
        <is>
          <t>Ort, Datum</t>
        </is>
      </c>
      <c r="B30" s="3" t="n"/>
      <c r="C30" s="3" t="inlineStr">
        <is>
          <t>Stempel / Unterschrift Bieter</t>
        </is>
      </c>
      <c r="D30" s="3" t="n"/>
      <c r="E30" s="3" t="n"/>
      <c r="F30" s="3" t="n"/>
      <c r="G30" s="3" t="n"/>
      <c r="H30" s="3" t="n"/>
    </row>
    <row r="31">
      <c r="A31" s="3">
        <f>FirmaOrt&amp;", "&amp;TEXT(TODAY(),"DD.MM.YYYY")</f>
        <v/>
      </c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49" t="inlineStr">
        <is>
          <t>Gültig ohne Unterschrift im Systemdruck — Original unterschrieben der Vergabe beilegen.</t>
        </is>
      </c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</sheetData>
  <mergeCells count="16">
    <mergeCell ref="B10:D10"/>
    <mergeCell ref="A2:F2"/>
    <mergeCell ref="B11:D11"/>
    <mergeCell ref="A20:F24"/>
    <mergeCell ref="B14:D14"/>
    <mergeCell ref="B15:D15"/>
    <mergeCell ref="A1:F1"/>
    <mergeCell ref="B8:D8"/>
    <mergeCell ref="B17:D17"/>
    <mergeCell ref="B9:D9"/>
    <mergeCell ref="B13:D13"/>
    <mergeCell ref="A27:F28"/>
    <mergeCell ref="B12:D12"/>
    <mergeCell ref="B7:D7"/>
    <mergeCell ref="B6:D6"/>
    <mergeCell ref="B16:D16"/>
  </mergeCells>
  <dataValidations count="1">
    <dataValidation sqref="B4" showDropDown="0" showInputMessage="0" showErrorMessage="0" allowBlank="1" errorTitle="Ungültige Auswahl" error="Bitte einen Wert aus der Liste wählen." promptTitle="Liste" prompt="Auswahl" type="list">
      <formula1>=AngebotNr</formula1>
    </dataValidation>
  </dataValidations>
  <pageMargins left="0.6" right="0.6" top="0.5" bottom="0.5" header="0.5" footer="0.5"/>
  <pageSetup orientation="portrait" paperSize="9" fitToHeight="1" fitToWidth="1"/>
</worksheet>
</file>

<file path=xl/worksheets/sheet27.xml><?xml version="1.0" encoding="utf-8"?>
<worksheet xmlns="http://schemas.openxmlformats.org/spreadsheetml/2006/main">
  <sheetPr>
    <tabColor rgb="004A5568"/>
    <outlinePr summaryBelow="1" summaryRight="1"/>
    <pageSetUpPr fitToPage="1"/>
  </sheetPr>
  <dimension ref="A1:H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2" customWidth="1" min="8" max="8"/>
  </cols>
  <sheetData>
    <row r="1" ht="26" customHeight="1">
      <c r="A1" s="47" t="inlineStr">
        <is>
          <t>RECHNUNG / ABSCHLAG</t>
        </is>
      </c>
      <c r="B1" s="2" t="n"/>
      <c r="C1" s="2" t="n"/>
      <c r="D1" s="2" t="n"/>
      <c r="E1" s="2" t="n"/>
      <c r="F1" s="2" t="n"/>
      <c r="G1" s="3" t="n"/>
      <c r="H1" s="3" t="n"/>
    </row>
    <row r="2">
      <c r="A2" s="48">
        <f>FirmaName&amp;" · "&amp;FirmaStrasse&amp;" · "&amp;FirmaPLZ&amp;" "&amp;FirmaOrt&amp;" · USt-Id "&amp;FirmaUStId</f>
        <v/>
      </c>
      <c r="B2" s="5" t="n"/>
      <c r="C2" s="5" t="n"/>
      <c r="D2" s="5" t="n"/>
      <c r="E2" s="5" t="n"/>
      <c r="F2" s="5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inlineStr">
        <is>
          <t>Rechnungs-Nr. wählen</t>
        </is>
      </c>
      <c r="B4" s="30" t="inlineStr">
        <is>
          <t>AR-26004</t>
        </is>
      </c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49" t="inlineStr">
        <is>
          <t>Rechnungs-Nr.</t>
        </is>
      </c>
      <c r="B6" s="13">
        <f>B4</f>
        <v/>
      </c>
      <c r="E6" s="3" t="n"/>
      <c r="F6" s="3" t="n"/>
      <c r="G6" s="3" t="n"/>
      <c r="H6" s="3" t="n"/>
    </row>
    <row r="7">
      <c r="A7" s="49" t="inlineStr">
        <is>
          <t>Datum</t>
        </is>
      </c>
      <c r="B7" s="44">
        <f>IF(B4="","",IFERROR(VLOOKUP(B4,'13_Ausgangsrechnungen'!$A$4:$T$400,2,FALSE),""))</f>
        <v/>
      </c>
      <c r="E7" s="3" t="n"/>
      <c r="F7" s="3" t="n"/>
      <c r="G7" s="3" t="n"/>
      <c r="H7" s="3" t="n"/>
    </row>
    <row r="8">
      <c r="A8" s="49" t="inlineStr">
        <is>
          <t>Typ</t>
        </is>
      </c>
      <c r="B8" s="13">
        <f>IF(B4="","",IFERROR(VLOOKUP(B4,'13_Ausgangsrechnungen'!$A$4:$T$400,5,FALSE),""))</f>
        <v/>
      </c>
      <c r="E8" s="3" t="n"/>
      <c r="F8" s="3" t="n"/>
      <c r="G8" s="3" t="n"/>
      <c r="H8" s="3" t="n"/>
    </row>
    <row r="9">
      <c r="A9" s="49" t="inlineStr">
        <is>
          <t>Projekt</t>
        </is>
      </c>
      <c r="B9" s="13">
        <f>IF(B4="","",IFERROR(VLOOKUP(B4,'13_Ausgangsrechnungen'!$A$4:$T$400,3,FALSE),""))</f>
        <v/>
      </c>
      <c r="E9" s="3" t="n"/>
      <c r="F9" s="3" t="n"/>
      <c r="G9" s="3" t="n"/>
      <c r="H9" s="3" t="n"/>
    </row>
    <row r="10">
      <c r="A10" s="49" t="inlineStr">
        <is>
          <t>Projektname</t>
        </is>
      </c>
      <c r="B10" s="13">
        <f>IF(B9="","",IFERROR(VLOOKUP(B9,'05_Projekte'!$A$4:$B$400,2,FALSE),""))</f>
        <v/>
      </c>
      <c r="E10" s="3" t="n"/>
      <c r="F10" s="3" t="n"/>
      <c r="G10" s="3" t="n"/>
      <c r="H10" s="3" t="n"/>
    </row>
    <row r="11">
      <c r="A11" s="49" t="inlineStr">
        <is>
          <t>Kunde</t>
        </is>
      </c>
      <c r="B11" s="13">
        <f>IF(B4="","",IFERROR(VLOOKUP(VLOOKUP(B4,'13_Ausgangsrechnungen'!$A$4:$T$400,4,FALSE),'02_Kunden'!$A$4:$B$400,2,FALSE),""))</f>
        <v/>
      </c>
      <c r="E11" s="3" t="n"/>
      <c r="F11" s="3" t="n"/>
      <c r="G11" s="3" t="n"/>
      <c r="H11" s="3" t="n"/>
    </row>
    <row r="12">
      <c r="A12" s="49" t="inlineStr">
        <is>
          <t>Leistung netto</t>
        </is>
      </c>
      <c r="B12" s="15">
        <f>IF(B4="","",IFERROR(VLOOKUP(B4,'13_Ausgangsrechnungen'!$A$4:$T$400,7,FALSE),0))</f>
        <v/>
      </c>
      <c r="E12" s="3" t="n"/>
      <c r="F12" s="3" t="n"/>
      <c r="G12" s="3" t="n"/>
      <c r="H12" s="3" t="n"/>
    </row>
    <row r="13">
      <c r="A13" s="49" t="inlineStr">
        <is>
          <t>abzgl. Einbehalt</t>
        </is>
      </c>
      <c r="B13" s="15">
        <f>IF(B4="","",IFERROR(VLOOKUP(B4,'13_Ausgangsrechnungen'!$A$4:$T$400,14,FALSE),0))</f>
        <v/>
      </c>
      <c r="E13" s="3" t="n"/>
      <c r="F13" s="3" t="n"/>
      <c r="G13" s="3" t="n"/>
      <c r="H13" s="3" t="n"/>
    </row>
    <row r="14">
      <c r="A14" s="49" t="inlineStr">
        <is>
          <t>Netto fällig</t>
        </is>
      </c>
      <c r="B14" s="15">
        <f>IF(B4="","",IFERROR(VLOOKUP(B4,'13_Ausgangsrechnungen'!$A$4:$T$400,15,FALSE),0))</f>
        <v/>
      </c>
      <c r="E14" s="3" t="n"/>
      <c r="F14" s="3" t="n"/>
      <c r="G14" s="3" t="n"/>
      <c r="H14" s="3" t="n"/>
    </row>
    <row r="15">
      <c r="A15" s="49" t="inlineStr">
        <is>
          <t>USt</t>
        </is>
      </c>
      <c r="B15" s="15">
        <f>IF(B4="","",IFERROR(VLOOKUP(B4,'13_Ausgangsrechnungen'!$A$4:$T$400,16,FALSE),0))</f>
        <v/>
      </c>
      <c r="E15" s="3" t="n"/>
      <c r="F15" s="3" t="n"/>
      <c r="G15" s="3" t="n"/>
      <c r="H15" s="3" t="n"/>
    </row>
    <row r="16">
      <c r="A16" s="49" t="inlineStr">
        <is>
          <t>Brutto fällig</t>
        </is>
      </c>
      <c r="B16" s="53">
        <f>IF(B4="","",IFERROR(VLOOKUP(B4,'13_Ausgangsrechnungen'!$A$4:$T$400,17,FALSE),0))</f>
        <v/>
      </c>
      <c r="E16" s="3" t="n"/>
      <c r="F16" s="3" t="n"/>
      <c r="G16" s="3" t="n"/>
      <c r="H16" s="3" t="n"/>
    </row>
    <row r="17">
      <c r="A17" s="49" t="inlineStr">
        <is>
          <t>bereits bezahlt</t>
        </is>
      </c>
      <c r="B17" s="15">
        <f>IF(B4="","",IFERROR(VLOOKUP(B4,'13_Ausgangsrechnungen'!$A$4:$T$400,18,FALSE),0))</f>
        <v/>
      </c>
      <c r="E17" s="3" t="n"/>
      <c r="F17" s="3" t="n"/>
      <c r="G17" s="3" t="n"/>
      <c r="H17" s="3" t="n"/>
    </row>
    <row r="18">
      <c r="A18" s="49" t="inlineStr">
        <is>
          <t>Offen</t>
        </is>
      </c>
      <c r="B18" s="54">
        <f>IF(B4="","",IFERROR(VLOOKUP(B4,'13_Ausgangsrechnungen'!$A$4:$T$400,19,FALSE),0))</f>
        <v/>
      </c>
      <c r="E18" s="3" t="n"/>
      <c r="F18" s="3" t="n"/>
      <c r="G18" s="3" t="n"/>
      <c r="H18" s="3" t="n"/>
    </row>
    <row r="19">
      <c r="A19" s="49" t="inlineStr">
        <is>
          <t>Fällig am</t>
        </is>
      </c>
      <c r="B19" s="44">
        <f>IF(B4="","",IFERROR(VLOOKUP(B4,'13_Ausgangsrechnungen'!$A$4:$T$400,10,FALSE),""))</f>
        <v/>
      </c>
      <c r="E19" s="3" t="n"/>
      <c r="F19" s="3" t="n"/>
      <c r="G19" s="3" t="n"/>
      <c r="H19" s="3" t="n"/>
    </row>
    <row r="20">
      <c r="A20" s="49" t="inlineStr">
        <is>
          <t>Leistungsbeschreibung</t>
        </is>
      </c>
      <c r="B20" s="13">
        <f>IF(B4="","",IFERROR(VLOOKUP(B4,'13_Ausgangsrechnungen'!$A$4:$T$400,13,FALSE),""))</f>
        <v/>
      </c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inlineStr">
        <is>
          <t>Zahlungsempfänger</t>
        </is>
      </c>
      <c r="B22" s="3" t="n"/>
      <c r="C22" s="3" t="n"/>
      <c r="D22" s="3" t="n"/>
      <c r="E22" s="3" t="n"/>
      <c r="F22" s="3" t="n"/>
      <c r="G22" s="3" t="n"/>
      <c r="H22" s="3" t="n"/>
    </row>
    <row r="23">
      <c r="A23" s="55">
        <f>FirmaName&amp;" · IBAN "&amp;FirmaIBAN&amp;" · BIC "&amp;FirmaBIC&amp;" · "&amp;FirmaBank</f>
        <v/>
      </c>
      <c r="G23" s="3" t="n"/>
      <c r="H23" s="3" t="n"/>
    </row>
    <row r="24"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52">
        <f> "Bitte überweisen Sie den offenen Betrag unter Angabe der Rechnungsnummer bis zum "&amp;TEXT(B19,"DD.MM.YYYY")&amp;". Bei Zahlung bis "&amp;TEXT(B7+SkontoTage,"DD.MM.YYYY")&amp;" gewähren wir "&amp;TEXT(SkontoPct,"0.0%")&amp;" Skonto."</f>
        <v/>
      </c>
      <c r="G26" s="3" t="n"/>
      <c r="H26" s="3" t="n"/>
    </row>
    <row r="27">
      <c r="G27" s="3" t="n"/>
      <c r="H27" s="3" t="n"/>
    </row>
    <row r="28"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49" t="inlineStr">
        <is>
          <t>Hinweis Einbehalt: Der Sicherheitseinbehalt wird bis zur Abnahme / Ablauf der Gewährleistung einbehalten bzw. gegen Bürgschaft ausgezahlt.</t>
        </is>
      </c>
      <c r="G30" s="3" t="n"/>
      <c r="H30" s="3" t="n"/>
    </row>
    <row r="31"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</sheetData>
  <mergeCells count="20">
    <mergeCell ref="B11:D11"/>
    <mergeCell ref="A23:F24"/>
    <mergeCell ref="B14:D14"/>
    <mergeCell ref="B8:D8"/>
    <mergeCell ref="B17:D17"/>
    <mergeCell ref="B13:D13"/>
    <mergeCell ref="B10:D10"/>
    <mergeCell ref="A2:F2"/>
    <mergeCell ref="B19:D19"/>
    <mergeCell ref="A30:F31"/>
    <mergeCell ref="A26:F28"/>
    <mergeCell ref="B9:D9"/>
    <mergeCell ref="B15:D15"/>
    <mergeCell ref="B6:D6"/>
    <mergeCell ref="B20:D20"/>
    <mergeCell ref="B7:D7"/>
    <mergeCell ref="B16:D16"/>
    <mergeCell ref="A1:F1"/>
    <mergeCell ref="B18:D18"/>
    <mergeCell ref="B12:D12"/>
  </mergeCells>
  <dataValidations count="1">
    <dataValidation sqref="B4" showDropDown="0" showInputMessage="0" showErrorMessage="0" allowBlank="1" errorTitle="Ungültige Auswahl" error="Bitte einen Wert aus der Liste wählen." promptTitle="Liste" prompt="Auswahl" type="list">
      <formula1>=ARNr</formula1>
    </dataValidation>
  </dataValidations>
  <pageMargins left="0.6" right="0.6" top="0.5" bottom="0.5" header="0.5" footer="0.5"/>
  <pageSetup orientation="portrait" paperSize="9" fitToHeight="1" fitToWidth="1"/>
</worksheet>
</file>

<file path=xl/worksheets/sheet28.xml><?xml version="1.0" encoding="utf-8"?>
<worksheet xmlns="http://schemas.openxmlformats.org/spreadsheetml/2006/main">
  <sheetPr>
    <tabColor rgb="004A5568"/>
    <outlinePr summaryBelow="1" summaryRight="1"/>
    <pageSetUpPr fitToPage="1"/>
  </sheetPr>
  <dimension ref="A1:H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2" customWidth="1" min="8" max="8"/>
  </cols>
  <sheetData>
    <row r="1" ht="26" customHeight="1">
      <c r="A1" s="47" t="inlineStr">
        <is>
          <t>ABNAHMEPROTOKOLL</t>
        </is>
      </c>
      <c r="B1" s="2" t="n"/>
      <c r="C1" s="2" t="n"/>
      <c r="D1" s="2" t="n"/>
      <c r="E1" s="2" t="n"/>
      <c r="F1" s="2" t="n"/>
      <c r="G1" s="3" t="n"/>
      <c r="H1" s="3" t="n"/>
    </row>
    <row r="2">
      <c r="A2" s="48">
        <f>FirmaName&amp;" · "&amp;FirmaStrasse&amp;" · "&amp;FirmaPLZ&amp;" "&amp;FirmaOrt&amp;" · USt-Id "&amp;FirmaUStId</f>
        <v/>
      </c>
      <c r="B2" s="5" t="n"/>
      <c r="C2" s="5" t="n"/>
      <c r="D2" s="5" t="n"/>
      <c r="E2" s="5" t="n"/>
      <c r="F2" s="5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inlineStr">
        <is>
          <t>Projekt wählen</t>
        </is>
      </c>
      <c r="B4" s="30" t="inlineStr">
        <is>
          <t>P-2026-005</t>
        </is>
      </c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49" t="inlineStr">
        <is>
          <t>Projekt</t>
        </is>
      </c>
      <c r="B6" s="13">
        <f>B4</f>
        <v/>
      </c>
      <c r="E6" s="3" t="n"/>
      <c r="F6" s="3" t="n"/>
      <c r="G6" s="3" t="n"/>
      <c r="H6" s="3" t="n"/>
    </row>
    <row r="7">
      <c r="A7" s="49" t="inlineStr">
        <is>
          <t>Bezeichnung</t>
        </is>
      </c>
      <c r="B7" s="13">
        <f>IF(B4="","",IFERROR(VLOOKUP(B4,'05_Projekte'!$A$4:$T$400,2,FALSE),""))</f>
        <v/>
      </c>
      <c r="E7" s="3" t="n"/>
      <c r="F7" s="3" t="n"/>
      <c r="G7" s="3" t="n"/>
      <c r="H7" s="3" t="n"/>
    </row>
    <row r="8">
      <c r="A8" s="49" t="inlineStr">
        <is>
          <t>Auftraggeber</t>
        </is>
      </c>
      <c r="B8" s="13">
        <f>IF(B4="","",IFERROR(VLOOKUP(VLOOKUP(B4,'05_Projekte'!$A$4:$C$400,3,FALSE),'02_Kunden'!$A$4:$B$400,2,FALSE),""))</f>
        <v/>
      </c>
      <c r="E8" s="3" t="n"/>
      <c r="F8" s="3" t="n"/>
      <c r="G8" s="3" t="n"/>
      <c r="H8" s="3" t="n"/>
    </row>
    <row r="9">
      <c r="A9" s="49" t="inlineStr">
        <is>
          <t>Vertragsart</t>
        </is>
      </c>
      <c r="B9" s="13">
        <f>IF(B4="","",IFERROR(VLOOKUP(B4,'05_Projekte'!$A$4:$T$400,5,FALSE),""))</f>
        <v/>
      </c>
      <c r="E9" s="3" t="n"/>
      <c r="F9" s="3" t="n"/>
      <c r="G9" s="3" t="n"/>
      <c r="H9" s="3" t="n"/>
    </row>
    <row r="10">
      <c r="A10" s="49" t="inlineStr">
        <is>
          <t>Bauleiter</t>
        </is>
      </c>
      <c r="B10" s="13">
        <f>IF(B4="","",IFERROR(VLOOKUP(B4,'05_Projekte'!$A$4:$R$400,17,FALSE),""))</f>
        <v/>
      </c>
      <c r="E10" s="3" t="n"/>
      <c r="F10" s="3" t="n"/>
      <c r="G10" s="3" t="n"/>
      <c r="H10" s="3" t="n"/>
    </row>
    <row r="11">
      <c r="A11" s="49" t="inlineStr">
        <is>
          <t>Ort der Baustelle</t>
        </is>
      </c>
      <c r="B11" s="13">
        <f>IF(B4="","",IFERROR(VLOOKUP(B4,'05_Projekte'!$A$4:$T$400,19,FALSE),""))</f>
        <v/>
      </c>
      <c r="E11" s="3" t="n"/>
      <c r="F11" s="3" t="n"/>
      <c r="G11" s="3" t="n"/>
      <c r="H11" s="3" t="n"/>
    </row>
    <row r="12">
      <c r="A12" s="49" t="inlineStr">
        <is>
          <t>Auftrag netto</t>
        </is>
      </c>
      <c r="B12" s="15">
        <f>IF(B4="","",IFERROR(VLOOKUP(B4,'05_Projekte'!$A$4:$V$400,22,FALSE),0))</f>
        <v/>
      </c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inlineStr">
        <is>
          <t>Abnahmedatum</t>
        </is>
      </c>
      <c r="B14" s="38" t="n"/>
      <c r="C14" s="3" t="n"/>
      <c r="D14" s="3" t="n"/>
      <c r="E14" s="3" t="n"/>
      <c r="F14" s="3" t="n"/>
      <c r="G14" s="3" t="n"/>
      <c r="H14" s="3" t="n"/>
    </row>
    <row r="15">
      <c r="A15" s="3" t="inlineStr">
        <is>
          <t>Art der Abnahme</t>
        </is>
      </c>
      <c r="B15" s="30" t="inlineStr">
        <is>
          <t>förmlich nach VOB/B § 12</t>
        </is>
      </c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inlineStr">
        <is>
          <t>Feststellungen / Mängel</t>
        </is>
      </c>
      <c r="B17" s="3" t="n"/>
      <c r="C17" s="3" t="n"/>
      <c r="D17" s="3" t="n"/>
      <c r="E17" s="3" t="n"/>
      <c r="F17" s="3" t="n"/>
      <c r="G17" s="3" t="n"/>
      <c r="H17" s="3" t="n"/>
    </row>
    <row r="18">
      <c r="A18" s="51" t="inlineStr">
        <is>
          <t>Keine wesentlichen Mängel. Restarbeiten gemäß Mängelliste Anlage 1 innerhalb von 14 Werktagen.</t>
        </is>
      </c>
      <c r="G18" s="3" t="n"/>
      <c r="H18" s="3" t="n"/>
    </row>
    <row r="19">
      <c r="G19" s="3" t="n"/>
      <c r="H19" s="3" t="n"/>
    </row>
    <row r="20">
      <c r="G20" s="3" t="n"/>
      <c r="H20" s="3" t="n"/>
    </row>
    <row r="21">
      <c r="G21" s="3" t="n"/>
      <c r="H21" s="3" t="n"/>
    </row>
    <row r="22">
      <c r="G22" s="3" t="n"/>
      <c r="H22" s="3" t="n"/>
    </row>
    <row r="23">
      <c r="G23" s="3" t="n"/>
      <c r="H23" s="3" t="n"/>
    </row>
    <row r="24"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inlineStr">
        <is>
          <t>Beginn Gewährleistung</t>
        </is>
      </c>
      <c r="B26" s="44">
        <f>IF(B14="","",B14)</f>
        <v/>
      </c>
      <c r="C26" s="3" t="n"/>
      <c r="D26" s="3" t="n"/>
      <c r="E26" s="3" t="n"/>
      <c r="F26" s="3" t="n"/>
      <c r="G26" s="3" t="n"/>
      <c r="H26" s="3" t="n"/>
    </row>
    <row r="27">
      <c r="A27" s="3" t="inlineStr">
        <is>
          <t>Ende Gewährleistung</t>
        </is>
      </c>
      <c r="B27" s="44">
        <f>IF(B14="","",DATE(YEAR(B14)+GewaehrJahre,MONTH(B14),DAY(B14)))</f>
        <v/>
      </c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inlineStr">
        <is>
          <t>Auftragnehmer</t>
        </is>
      </c>
      <c r="B29" s="3" t="n"/>
      <c r="C29" s="3" t="n"/>
      <c r="D29" s="3" t="inlineStr">
        <is>
          <t>Auftraggeber</t>
        </is>
      </c>
      <c r="E29" s="3" t="n"/>
      <c r="F29" s="3" t="n"/>
      <c r="G29" s="3" t="n"/>
      <c r="H29" s="3" t="n"/>
    </row>
    <row r="30">
      <c r="A30" s="13">
        <f>FirmaGF</f>
        <v/>
      </c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inlineStr">
        <is>
          <t>______________________________</t>
        </is>
      </c>
      <c r="B32" s="3" t="n"/>
      <c r="C32" s="3" t="n"/>
      <c r="D32" s="3" t="inlineStr">
        <is>
          <t>______________________________</t>
        </is>
      </c>
      <c r="E32" s="3" t="n"/>
      <c r="F32" s="3" t="n"/>
      <c r="G32" s="3" t="n"/>
      <c r="H32" s="3" t="n"/>
    </row>
    <row r="33">
      <c r="A33" s="3" t="inlineStr">
        <is>
          <t>Unterschrift / Datum</t>
        </is>
      </c>
      <c r="B33" s="3" t="n"/>
      <c r="C33" s="3" t="n"/>
      <c r="D33" s="3" t="inlineStr">
        <is>
          <t>Unterschrift / Datum</t>
        </is>
      </c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</sheetData>
  <mergeCells count="10">
    <mergeCell ref="B10:D10"/>
    <mergeCell ref="A2:F2"/>
    <mergeCell ref="B11:D11"/>
    <mergeCell ref="A18:F24"/>
    <mergeCell ref="A1:F1"/>
    <mergeCell ref="B8:D8"/>
    <mergeCell ref="B9:D9"/>
    <mergeCell ref="B12:D12"/>
    <mergeCell ref="B7:D7"/>
    <mergeCell ref="B6:D6"/>
  </mergeCells>
  <dataValidations count="1">
    <dataValidation sqref="B4" showDropDown="0" showInputMessage="0" showErrorMessage="0" allowBlank="1" errorTitle="Ungültige Auswahl" error="Bitte einen Wert aus der Liste wählen." promptTitle="Liste" prompt="Auswahl" type="list">
      <formula1>=ProjektNr</formula1>
    </dataValidation>
  </dataValidations>
  <pageMargins left="0.6" right="0.6" top="0.5" bottom="0.5" header="0.5" footer="0.5"/>
  <pageSetup orientation="portrait" paperSize="9" fitToHeight="1" fitToWidth="1"/>
</worksheet>
</file>

<file path=xl/worksheets/sheet29.xml><?xml version="1.0" encoding="utf-8"?>
<worksheet xmlns="http://schemas.openxmlformats.org/spreadsheetml/2006/main">
  <sheetPr>
    <tabColor rgb="004A5568"/>
    <outlinePr summaryBelow="1" summaryRight="1"/>
    <pageSetUpPr fitToPage="1"/>
  </sheetPr>
  <dimension ref="A1:H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2" customWidth="1" min="8" max="8"/>
  </cols>
  <sheetData>
    <row r="1" ht="26" customHeight="1">
      <c r="A1" s="47" t="inlineStr">
        <is>
          <t>BAUTAGESBERICHT</t>
        </is>
      </c>
      <c r="B1" s="2" t="n"/>
      <c r="C1" s="2" t="n"/>
      <c r="D1" s="2" t="n"/>
      <c r="E1" s="2" t="n"/>
      <c r="F1" s="2" t="n"/>
      <c r="G1" s="3" t="n"/>
      <c r="H1" s="3" t="n"/>
    </row>
    <row r="2">
      <c r="A2" s="48">
        <f>FirmaName&amp;" · "&amp;FirmaStrasse&amp;" · "&amp;FirmaPLZ&amp;" "&amp;FirmaOrt&amp;" · USt-Id "&amp;FirmaUStId</f>
        <v/>
      </c>
      <c r="B2" s="5" t="n"/>
      <c r="C2" s="5" t="n"/>
      <c r="D2" s="5" t="n"/>
      <c r="E2" s="5" t="n"/>
      <c r="F2" s="5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inlineStr">
        <is>
          <t>Projekt</t>
        </is>
      </c>
      <c r="B4" s="30" t="inlineStr">
        <is>
          <t>P-2026-001</t>
        </is>
      </c>
      <c r="C4" s="3" t="n"/>
      <c r="D4" s="3" t="n"/>
      <c r="E4" s="3" t="n"/>
      <c r="F4" s="3" t="n"/>
      <c r="G4" s="3" t="n"/>
      <c r="H4" s="3" t="n"/>
    </row>
    <row r="5">
      <c r="A5" s="3" t="inlineStr">
        <is>
          <t>Datum</t>
        </is>
      </c>
      <c r="B5" s="38" t="n">
        <v>46307</v>
      </c>
      <c r="C5" s="3" t="n"/>
      <c r="D5" s="3" t="n"/>
      <c r="E5" s="3" t="n"/>
      <c r="F5" s="3" t="n"/>
      <c r="G5" s="3" t="n"/>
      <c r="H5" s="3" t="n"/>
    </row>
    <row r="6">
      <c r="A6" s="3" t="inlineStr">
        <is>
          <t>Bauleiter / Polier</t>
        </is>
      </c>
      <c r="B6" s="13">
        <f>IF(B4="","",IFERROR(VLOOKUP(B4,'05_Projekte'!$A$4:$R$400,17,FALSE),""))</f>
        <v/>
      </c>
      <c r="C6" s="13">
        <f>IF(B4="","",IFERROR(VLOOKUP(B4,'05_Projekte'!$A$4:$R$400,18,FALSE),""))</f>
        <v/>
      </c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inlineStr">
        <is>
          <t>Wetter / Temperatur</t>
        </is>
      </c>
      <c r="B8" s="30" t="inlineStr">
        <is>
          <t>heiter, 12 °C, trocken</t>
        </is>
      </c>
      <c r="C8" s="3" t="n"/>
      <c r="D8" s="3" t="n"/>
      <c r="E8" s="3" t="n"/>
      <c r="F8" s="3" t="n"/>
      <c r="G8" s="3" t="n"/>
      <c r="H8" s="3" t="n"/>
    </row>
    <row r="9">
      <c r="A9" s="3" t="inlineStr">
        <is>
          <t>Personal auf der Baustelle</t>
        </is>
      </c>
      <c r="B9" s="45">
        <f>IF(B4="","",COUNTIFS('10_Stunden'!C:C,B4,'10_Stunden'!B:B,B5))</f>
        <v/>
      </c>
      <c r="C9" s="3" t="n"/>
      <c r="D9" s="3" t="n"/>
      <c r="E9" s="3" t="n"/>
      <c r="F9" s="3" t="n"/>
      <c r="G9" s="3" t="n"/>
      <c r="H9" s="3" t="n"/>
    </row>
    <row r="10">
      <c r="A10" s="3" t="inlineStr">
        <is>
          <t>Stunden gesamt</t>
        </is>
      </c>
      <c r="B10" s="56">
        <f>IF(B4="","",SUMIFS('10_Stunden'!E:E,'10_Stunden'!C:C,B4,'10_Stunden'!B:B,B5))</f>
        <v/>
      </c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inlineStr">
        <is>
          <t>Ausgeführte Leistungen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57" t="inlineStr">
        <is>
          <t>Rohbau Block C: Mauerwerk OG1, Deckenbewehrung vorbereitet. Nachunternehmer Elektro in Steigzone.</t>
        </is>
      </c>
      <c r="G13" s="3" t="n"/>
      <c r="H13" s="3" t="n"/>
    </row>
    <row r="14">
      <c r="G14" s="3" t="n"/>
      <c r="H14" s="3" t="n"/>
    </row>
    <row r="15">
      <c r="G15" s="3" t="n"/>
      <c r="H15" s="3" t="n"/>
    </row>
    <row r="16">
      <c r="G16" s="3" t="n"/>
      <c r="H16" s="3" t="n"/>
    </row>
    <row r="17">
      <c r="G17" s="3" t="n"/>
      <c r="H17" s="3" t="n"/>
    </row>
    <row r="18"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inlineStr">
        <is>
          <t>Geräte / Material / Behinderungen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57" t="inlineStr">
        <is>
          <t>Kran 81K in Betrieb. Betonlieferung 08:30. Keine Behinderung.</t>
        </is>
      </c>
      <c r="G21" s="3" t="n"/>
      <c r="H21" s="3" t="n"/>
    </row>
    <row r="22">
      <c r="G22" s="3" t="n"/>
      <c r="H22" s="3" t="n"/>
    </row>
    <row r="23">
      <c r="G23" s="3" t="n"/>
      <c r="H23" s="3" t="n"/>
    </row>
    <row r="24"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inlineStr">
        <is>
          <t>Unfälle / besondere Vorkommnisse: keine</t>
        </is>
      </c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inlineStr">
        <is>
          <t>Unterschrift Bauleitung</t>
        </is>
      </c>
      <c r="B28" s="3" t="n"/>
      <c r="C28" s="3" t="n"/>
      <c r="D28" s="3" t="inlineStr">
        <is>
          <t>Kenntnisnahme AG (optional)</t>
        </is>
      </c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</sheetData>
  <mergeCells count="4">
    <mergeCell ref="A2:F2"/>
    <mergeCell ref="A1:F1"/>
    <mergeCell ref="A13:F18"/>
    <mergeCell ref="A21:F24"/>
  </mergeCells>
  <dataValidations count="1">
    <dataValidation sqref="B4" showDropDown="0" showInputMessage="0" showErrorMessage="0" allowBlank="1" errorTitle="Ungültige Auswahl" error="Bitte einen Wert aus der Liste wählen." promptTitle="Liste" prompt="Auswahl" type="list">
      <formula1>=ProjektNr</formula1>
    </dataValidation>
  </dataValidations>
  <pageMargins left="0.6" right="0.6" top="0.5" bottom="0.5" header="0.5" footer="0.5"/>
  <pageSetup orientation="portrait" paperSize="9" fitToHeight="1" fitToWidth="1"/>
</worksheet>
</file>

<file path=xl/worksheets/sheet30.xml><?xml version="1.0" encoding="utf-8"?>
<worksheet xmlns="http://schemas.openxmlformats.org/spreadsheetml/2006/main">
  <sheetPr>
    <tabColor rgb="004A5568"/>
    <outlinePr summaryBelow="1" summaryRight="1"/>
    <pageSetUpPr fitToPage="1"/>
  </sheetPr>
  <dimension ref="A1:H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2" customWidth="1" min="8" max="8"/>
  </cols>
  <sheetData>
    <row r="1" ht="26" customHeight="1">
      <c r="A1" s="47" t="inlineStr">
        <is>
          <t>MAHNUNG</t>
        </is>
      </c>
      <c r="B1" s="2" t="n"/>
      <c r="C1" s="2" t="n"/>
      <c r="D1" s="2" t="n"/>
      <c r="E1" s="2" t="n"/>
      <c r="F1" s="2" t="n"/>
      <c r="G1" s="3" t="n"/>
      <c r="H1" s="3" t="n"/>
    </row>
    <row r="2">
      <c r="A2" s="48">
        <f>FirmaName&amp;" · "&amp;FirmaStrasse&amp;" · "&amp;FirmaPLZ&amp;" "&amp;FirmaOrt&amp;" · USt-Id "&amp;FirmaUStId</f>
        <v/>
      </c>
      <c r="B2" s="5" t="n"/>
      <c r="C2" s="5" t="n"/>
      <c r="D2" s="5" t="n"/>
      <c r="E2" s="5" t="n"/>
      <c r="F2" s="5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inlineStr">
        <is>
          <t>Mahnung wählen</t>
        </is>
      </c>
      <c r="B4" s="30" t="inlineStr">
        <is>
          <t>MAH-02</t>
        </is>
      </c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49" t="inlineStr">
        <is>
          <t>Mahnung</t>
        </is>
      </c>
      <c r="B6" s="13">
        <f>B4</f>
        <v/>
      </c>
      <c r="E6" s="3" t="n"/>
      <c r="F6" s="3" t="n"/>
      <c r="G6" s="3" t="n"/>
      <c r="H6" s="3" t="n"/>
    </row>
    <row r="7">
      <c r="A7" s="49" t="inlineStr">
        <is>
          <t>Rechnung</t>
        </is>
      </c>
      <c r="B7" s="13">
        <f>IF(B4="","",IFERROR(VLOOKUP(B4,'17_Mahnwesen'!$A$4:$K$400,2,FALSE),""))</f>
        <v/>
      </c>
      <c r="E7" s="3" t="n"/>
      <c r="F7" s="3" t="n"/>
      <c r="G7" s="3" t="n"/>
      <c r="H7" s="3" t="n"/>
    </row>
    <row r="8">
      <c r="A8" s="49" t="inlineStr">
        <is>
          <t>Kunde</t>
        </is>
      </c>
      <c r="B8" s="13">
        <f>IF(B4="","",IFERROR(VLOOKUP(VLOOKUP(B4,'17_Mahnwesen'!$A$4:$C$400,3,FALSE),'02_Kunden'!$A$4:$B$400,2,FALSE),""))</f>
        <v/>
      </c>
      <c r="E8" s="3" t="n"/>
      <c r="F8" s="3" t="n"/>
      <c r="G8" s="3" t="n"/>
      <c r="H8" s="3" t="n"/>
    </row>
    <row r="9">
      <c r="A9" s="49" t="inlineStr">
        <is>
          <t>Mahnstufe</t>
        </is>
      </c>
      <c r="B9" s="13">
        <f>IF(B4="","",IFERROR(VLOOKUP(B4,'17_Mahnwesen'!$A$4:$K$400,7,FALSE),""))</f>
        <v/>
      </c>
      <c r="E9" s="3" t="n"/>
      <c r="F9" s="3" t="n"/>
      <c r="G9" s="3" t="n"/>
      <c r="H9" s="3" t="n"/>
    </row>
    <row r="10">
      <c r="A10" s="49" t="inlineStr">
        <is>
          <t>Offener Betrag</t>
        </is>
      </c>
      <c r="B10" s="15">
        <f>IF(B4="","",IFERROR(VLOOKUP(B4,'17_Mahnwesen'!$A$4:$K$400,11,FALSE),0))</f>
        <v/>
      </c>
      <c r="E10" s="3" t="n"/>
      <c r="F10" s="3" t="n"/>
      <c r="G10" s="3" t="n"/>
      <c r="H10" s="3" t="n"/>
    </row>
    <row r="11">
      <c r="A11" s="49" t="inlineStr">
        <is>
          <t>Neue Frist</t>
        </is>
      </c>
      <c r="B11" s="44">
        <f>IF(B4="","",IFERROR(VLOOKUP(B4,'17_Mahnwesen'!$A$4:$K$400,10,FALSE),""))</f>
        <v/>
      </c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120" customHeight="1">
      <c r="A13" s="57">
        <f>"Sehr geehrte Damen und Herren,"&amp;CHAR(10)&amp;CHAR(10)&amp;"trotz fälliger Rechnung "&amp;B7&amp;" ist der Betrag von "&amp;TEXT(B10,"#,##0.00 €")&amp;" noch offen. "&amp;"Wir fordern Sie auf, den Betrag bis spätestens "&amp;TEXT(B11,"DD.MM.YYYY")&amp;" auf unser Konto "&amp;FirmaIBAN&amp;" zu überweisen. "&amp;"Bei weiterem Verzug behalten wir uns Verzugszinsen, Mahnkosten und die Abgabe an unseren Rechtsanwalt vor."&amp;CHAR(10)&amp;CHAR(10)&amp;"Mit freundlichen Grüßen"&amp;CHAR(10)&amp;FirmaName&amp;CHAR(10)&amp;BuHaName</f>
        <v/>
      </c>
      <c r="G13" s="3" t="n"/>
      <c r="H13" s="3" t="n"/>
    </row>
    <row r="14">
      <c r="G14" s="3" t="n"/>
      <c r="H14" s="3" t="n"/>
    </row>
    <row r="15">
      <c r="G15" s="3" t="n"/>
      <c r="H15" s="3" t="n"/>
    </row>
    <row r="16">
      <c r="G16" s="3" t="n"/>
      <c r="H16" s="3" t="n"/>
    </row>
    <row r="17">
      <c r="G17" s="3" t="n"/>
      <c r="H17" s="3" t="n"/>
    </row>
    <row r="18">
      <c r="G18" s="3" t="n"/>
      <c r="H18" s="3" t="n"/>
    </row>
    <row r="19">
      <c r="G19" s="3" t="n"/>
      <c r="H19" s="3" t="n"/>
    </row>
    <row r="20"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</sheetData>
  <mergeCells count="9">
    <mergeCell ref="B10:D10"/>
    <mergeCell ref="A2:F2"/>
    <mergeCell ref="B11:D11"/>
    <mergeCell ref="A1:F1"/>
    <mergeCell ref="B8:D8"/>
    <mergeCell ref="A13:F20"/>
    <mergeCell ref="B9:D9"/>
    <mergeCell ref="B7:D7"/>
    <mergeCell ref="B6:D6"/>
  </mergeCells>
  <dataValidations count="1">
    <dataValidation sqref="B4" showDropDown="0" showInputMessage="0" showErrorMessage="0" allowBlank="1" errorTitle="Ungültige Auswahl" error="Bitte einen Wert aus der Liste wählen." promptTitle="Liste" prompt="Auswahl" type="list">
      <formula1>=MahnungNr</formula1>
    </dataValidation>
  </dataValidations>
  <pageMargins left="0.6" right="0.6" top="0.5" bottom="0.5" header="0.5" footer="0.5"/>
  <pageSetup orientation="portrait" paperSize="9" fitToHeight="1" fitToWidth="1"/>
</worksheet>
</file>

<file path=xl/worksheets/sheet31.xml><?xml version="1.0" encoding="utf-8"?>
<worksheet xmlns="http://schemas.openxmlformats.org/spreadsheetml/2006/main">
  <sheetPr>
    <tabColor rgb="005C5C5C"/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8" customWidth="1" min="4" max="4"/>
    <col width="18" customWidth="1" min="5" max="5"/>
    <col width="28" customWidth="1" min="6" max="6"/>
    <col width="18" customWidth="1" min="7" max="7"/>
    <col width="18" customWidth="1" min="8" max="8"/>
  </cols>
  <sheetData>
    <row r="1" ht="28" customHeight="1">
      <c r="A1" s="1" t="inlineStr">
        <is>
          <t>Automatische Importe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J1" s="3" t="n"/>
      <c r="K1" s="3" t="n"/>
      <c r="L1" s="3" t="n"/>
      <c r="M1" s="3" t="n"/>
      <c r="N1" s="3" t="n"/>
      <c r="O1" s="3" t="n"/>
      <c r="P1" s="3" t="n"/>
    </row>
    <row r="2" ht="18" customHeight="1">
      <c r="A2" s="4" t="inlineStr">
        <is>
          <t>CSV-Vorlagen im Ordner templates/ · Python-Skript scripts/import_csv.py · optional Power Query</t>
        </is>
      </c>
      <c r="B2" s="5" t="n"/>
      <c r="C2" s="5" t="n"/>
      <c r="D2" s="5" t="n"/>
      <c r="E2" s="5" t="n"/>
      <c r="F2" s="5" t="n"/>
      <c r="G2" s="5" t="n"/>
      <c r="H2" s="5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20" t="inlineStr">
        <is>
          <t>1. Empfohlener Weg: Python-Import (ohne Excel-Makros)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52" t="inlineStr">
        <is>
          <t>Im Projektordner:
python scripts/import_csv.py --workbook Baucontrolling_Kaufmann.xlsx --typ bank --datei templates/bankumsatz.csv
Typen: kunden | lieferanten | personal | projekte | stunden | material | ar | er | zahlungen | bank | datev
Das Skript hängt Zeilen an die richtige Tabelle an und vergibt laufende Nummern, wenn die Nr. leer ist.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/>
    <row r="8"/>
    <row r="10">
      <c r="A10" s="36" t="inlineStr">
        <is>
          <t>2. Power Query (Excel: Daten → Aus Text/CSV)</t>
        </is>
      </c>
    </row>
    <row r="11">
      <c r="A11" s="58" t="inlineStr">
        <is>
          <t>Datei wählen → Trennzeichen Semikolon → Laden in Tabelle. Anschließend Abfrage so benennen wie unten. Beim nächsten Mal: Daten → Alle aktualisieren. Spaltenüberschriften müssen exakt zur Ziel-Tabelle passen (siehe Vorlagen).</t>
        </is>
      </c>
    </row>
    <row r="12"/>
    <row r="13"/>
    <row r="14"/>
    <row r="16">
      <c r="A16" s="59" t="inlineStr">
        <is>
          <t>Zielblatt</t>
        </is>
      </c>
      <c r="B16" s="59" t="inlineStr">
        <is>
          <t>CSV-Vorlage</t>
        </is>
      </c>
      <c r="C16" s="59" t="inlineStr">
        <is>
          <t>Typ-Flag</t>
        </is>
      </c>
      <c r="D16" s="59" t="inlineStr">
        <is>
          <t>Trennzeichen</t>
        </is>
      </c>
      <c r="E16" s="59" t="inlineStr">
        <is>
          <t>Encoding</t>
        </is>
      </c>
      <c r="F16" s="59" t="inlineStr">
        <is>
          <t>Bemerkung</t>
        </is>
      </c>
    </row>
    <row r="17">
      <c r="A17" s="30" t="inlineStr">
        <is>
          <t>02_Kunden</t>
        </is>
      </c>
      <c r="B17" s="30" t="inlineStr">
        <is>
          <t>templates/kunden.csv</t>
        </is>
      </c>
      <c r="C17" s="30" t="inlineStr">
        <is>
          <t>kunden</t>
        </is>
      </c>
      <c r="D17" s="30" t="inlineStr">
        <is>
          <t>;</t>
        </is>
      </c>
      <c r="E17" s="30" t="inlineStr">
        <is>
          <t>utf-8-sig</t>
        </is>
      </c>
      <c r="F17" s="30" t="inlineStr">
        <is>
          <t>Debitorenstamm</t>
        </is>
      </c>
    </row>
    <row r="18">
      <c r="A18" s="30" t="inlineStr">
        <is>
          <t>03_Lieferanten</t>
        </is>
      </c>
      <c r="B18" s="30" t="inlineStr">
        <is>
          <t>templates/lieferanten.csv</t>
        </is>
      </c>
      <c r="C18" s="30" t="inlineStr">
        <is>
          <t>lieferanten</t>
        </is>
      </c>
      <c r="D18" s="30" t="inlineStr">
        <is>
          <t>;</t>
        </is>
      </c>
      <c r="E18" s="30" t="inlineStr">
        <is>
          <t>utf-8-sig</t>
        </is>
      </c>
      <c r="F18" s="30" t="inlineStr">
        <is>
          <t>Kreditorenstamm</t>
        </is>
      </c>
    </row>
    <row r="19">
      <c r="A19" s="30" t="inlineStr">
        <is>
          <t>04_Personal</t>
        </is>
      </c>
      <c r="B19" s="30" t="inlineStr">
        <is>
          <t>templates/personal.csv</t>
        </is>
      </c>
      <c r="C19" s="30" t="inlineStr">
        <is>
          <t>personal</t>
        </is>
      </c>
      <c r="D19" s="30" t="inlineStr">
        <is>
          <t>;</t>
        </is>
      </c>
      <c r="E19" s="30" t="inlineStr">
        <is>
          <t>utf-8-sig</t>
        </is>
      </c>
      <c r="F19" s="30" t="inlineStr">
        <is>
          <t>Sätze überschreiben bestehendes Nr.</t>
        </is>
      </c>
    </row>
    <row r="20">
      <c r="A20" s="30" t="inlineStr">
        <is>
          <t>05_Projekte</t>
        </is>
      </c>
      <c r="B20" s="30" t="inlineStr">
        <is>
          <t>templates/projekte.csv</t>
        </is>
      </c>
      <c r="C20" s="30" t="inlineStr">
        <is>
          <t>projekte</t>
        </is>
      </c>
      <c r="D20" s="30" t="inlineStr">
        <is>
          <t>;</t>
        </is>
      </c>
      <c r="E20" s="30" t="inlineStr">
        <is>
          <t>utf-8-sig</t>
        </is>
      </c>
      <c r="F20" s="30" t="inlineStr">
        <is>
          <t>nur Stammdaten-Spalten A–T</t>
        </is>
      </c>
    </row>
    <row r="21">
      <c r="A21" s="30" t="inlineStr">
        <is>
          <t>10_Stunden</t>
        </is>
      </c>
      <c r="B21" s="30" t="inlineStr">
        <is>
          <t>templates/stunden.csv</t>
        </is>
      </c>
      <c r="C21" s="30" t="inlineStr">
        <is>
          <t>stunden</t>
        </is>
      </c>
      <c r="D21" s="30" t="inlineStr">
        <is>
          <t>;</t>
        </is>
      </c>
      <c r="E21" s="30" t="inlineStr">
        <is>
          <t>utf-8-sig</t>
        </is>
      </c>
      <c r="F21" s="30" t="inlineStr">
        <is>
          <t>aus Terminal / App exportieren</t>
        </is>
      </c>
    </row>
    <row r="22">
      <c r="A22" s="30" t="inlineStr">
        <is>
          <t>11_Material</t>
        </is>
      </c>
      <c r="B22" s="30" t="inlineStr">
        <is>
          <t>templates/material.csv</t>
        </is>
      </c>
      <c r="C22" s="30" t="inlineStr">
        <is>
          <t>material</t>
        </is>
      </c>
      <c r="D22" s="30" t="inlineStr">
        <is>
          <t>;</t>
        </is>
      </c>
      <c r="E22" s="30" t="inlineStr">
        <is>
          <t>utf-8-sig</t>
        </is>
      </c>
      <c r="F22" s="30" t="inlineStr">
        <is>
          <t>Lieferscheinpositionen</t>
        </is>
      </c>
    </row>
    <row r="23">
      <c r="A23" s="30" t="inlineStr">
        <is>
          <t>13_Ausgangsrechnungen</t>
        </is>
      </c>
      <c r="B23" s="30" t="inlineStr">
        <is>
          <t>templates/ausgangsrechnungen.csv</t>
        </is>
      </c>
      <c r="C23" s="30" t="inlineStr">
        <is>
          <t>ar</t>
        </is>
      </c>
      <c r="D23" s="30" t="inlineStr">
        <is>
          <t>;</t>
        </is>
      </c>
      <c r="E23" s="30" t="inlineStr">
        <is>
          <t>utf-8-sig</t>
        </is>
      </c>
      <c r="F23" s="30" t="inlineStr">
        <is>
          <t>keine Formelspalten importieren</t>
        </is>
      </c>
    </row>
    <row r="24">
      <c r="A24" s="30" t="inlineStr">
        <is>
          <t>14_Eingangsrechnungen</t>
        </is>
      </c>
      <c r="B24" s="30" t="inlineStr">
        <is>
          <t>templates/eingangsrechnungen.csv</t>
        </is>
      </c>
      <c r="C24" s="30" t="inlineStr">
        <is>
          <t>er</t>
        </is>
      </c>
      <c r="D24" s="30" t="inlineStr">
        <is>
          <t>;</t>
        </is>
      </c>
      <c r="E24" s="30" t="inlineStr">
        <is>
          <t>utf-8-sig</t>
        </is>
      </c>
      <c r="F24" s="30" t="inlineStr">
        <is>
          <t>DATEV können gemappt werden</t>
        </is>
      </c>
    </row>
    <row r="25">
      <c r="A25" s="30" t="inlineStr">
        <is>
          <t>15_Zahlungen</t>
        </is>
      </c>
      <c r="B25" s="30" t="inlineStr">
        <is>
          <t>templates/zahlungen.csv</t>
        </is>
      </c>
      <c r="C25" s="30" t="inlineStr">
        <is>
          <t>zahlungen</t>
        </is>
      </c>
      <c r="D25" s="30" t="inlineStr">
        <is>
          <t>;</t>
        </is>
      </c>
      <c r="E25" s="30" t="inlineStr">
        <is>
          <t>utf-8-sig</t>
        </is>
      </c>
      <c r="F25" s="30" t="inlineStr">
        <is>
          <t>manuelle Zahlungen</t>
        </is>
      </c>
    </row>
    <row r="26">
      <c r="A26" s="30" t="inlineStr">
        <is>
          <t>15_Zahlungen</t>
        </is>
      </c>
      <c r="B26" s="30" t="inlineStr">
        <is>
          <t>templates/bankumsatz.csv</t>
        </is>
      </c>
      <c r="C26" s="30" t="inlineStr">
        <is>
          <t>bank</t>
        </is>
      </c>
      <c r="D26" s="30" t="inlineStr">
        <is>
          <t>;</t>
        </is>
      </c>
      <c r="E26" s="30" t="inlineStr">
        <is>
          <t>utf-8-sig</t>
        </is>
      </c>
      <c r="F26" s="30" t="inlineStr">
        <is>
          <t>Sparkasse/VR-CAMT-ähnlich</t>
        </is>
      </c>
    </row>
    <row r="27">
      <c r="A27" s="30" t="inlineStr">
        <is>
          <t>15_Zahlungen</t>
        </is>
      </c>
      <c r="B27" s="30" t="inlineStr">
        <is>
          <t>templates/datev_buchungen.csv</t>
        </is>
      </c>
      <c r="C27" s="30" t="inlineStr">
        <is>
          <t>datev</t>
        </is>
      </c>
      <c r="D27" s="30" t="inlineStr">
        <is>
          <t>;</t>
        </is>
      </c>
      <c r="E27" s="30" t="inlineStr">
        <is>
          <t>utf-8-sig</t>
        </is>
      </c>
      <c r="F27" s="30" t="inlineStr">
        <is>
          <t>Buchungsstapel EXTFähig</t>
        </is>
      </c>
    </row>
    <row r="30">
      <c r="A30" s="36" t="inlineStr">
        <is>
          <t>3. Bank-CSV Spaltenzuordnung (Typ bank)</t>
        </is>
      </c>
    </row>
    <row r="31">
      <c r="A31" s="43" t="inlineStr">
        <is>
          <t>CSV-Spalte</t>
        </is>
      </c>
      <c r="B31" s="43" t="inlineStr">
        <is>
          <t>Bedeutung</t>
        </is>
      </c>
    </row>
    <row r="32">
      <c r="A32" s="30" t="inlineStr">
        <is>
          <t>Datum</t>
        </is>
      </c>
      <c r="B32" s="30" t="inlineStr">
        <is>
          <t>Buchungstag oder Valuta</t>
        </is>
      </c>
    </row>
    <row r="33">
      <c r="A33" s="30" t="inlineStr">
        <is>
          <t>Betrag</t>
        </is>
      </c>
      <c r="B33" s="30" t="inlineStr">
        <is>
          <t>positiv = Eingang, negativ = Ausgang — Skript dreht das Vorzeichen in Art um</t>
        </is>
      </c>
    </row>
    <row r="34">
      <c r="A34" s="30" t="inlineStr">
        <is>
          <t>Gegenkonto / Partner</t>
        </is>
      </c>
      <c r="B34" s="30" t="inlineStr">
        <is>
          <t>wird Partner</t>
        </is>
      </c>
    </row>
    <row r="35">
      <c r="A35" s="30" t="inlineStr">
        <is>
          <t>Verwendungszweck</t>
        </is>
      </c>
      <c r="B35" s="30" t="inlineStr">
        <is>
          <t>Skript sucht AR-xxxx oder ER-xxxx und setzt Beleg</t>
        </is>
      </c>
    </row>
    <row r="36">
      <c r="A36" s="30" t="inlineStr">
        <is>
          <t>BIC/Bank</t>
        </is>
      </c>
      <c r="B36" s="30" t="inlineStr">
        <is>
          <t>Weg = Bank</t>
        </is>
      </c>
    </row>
    <row r="39">
      <c r="A39" t="inlineStr">
        <is>
          <t>4. DATEV-Buchungsstapel (Typ datev)</t>
        </is>
      </c>
    </row>
    <row r="40">
      <c r="A40" s="58" t="inlineStr">
        <is>
          <t>Erwartete Spalten: Umsatz (ohne Soll/Haben-KZ), Soll/Haben-KZ, Konto, Gegenkonto, Belegdatum, Buchungstext, Belegfeld1. Konten 8400–8599 bzw. 4400–4499 werden als Ausgangsrechnung grob erkannt, Eingangsrechnungen über Aufwandskonten 3000–7999. Für den produktiven Betrieb Kontenrahmen in scripts/import_csv.py anpassen.</t>
        </is>
      </c>
    </row>
    <row r="41"/>
    <row r="42"/>
    <row r="44">
      <c r="A44" t="inlineStr">
        <is>
          <t>Letzter Import (manuell notieren)</t>
        </is>
      </c>
    </row>
    <row r="45">
      <c r="A45" s="43" t="inlineStr">
        <is>
          <t>Datum</t>
        </is>
      </c>
      <c r="B45" s="43" t="inlineStr">
        <is>
          <t>Datei</t>
        </is>
      </c>
      <c r="C45" s="43" t="inlineStr">
        <is>
          <t>Typ</t>
        </is>
      </c>
      <c r="D45" s="43" t="inlineStr">
        <is>
          <t>Zeilen</t>
        </is>
      </c>
      <c r="E45" s="43" t="inlineStr">
        <is>
          <t>wer</t>
        </is>
      </c>
    </row>
    <row r="46">
      <c r="A46" s="38" t="n"/>
      <c r="B46" s="30" t="n"/>
      <c r="C46" s="30" t="n"/>
      <c r="D46" s="30" t="n"/>
      <c r="E46" s="30" t="n"/>
    </row>
    <row r="47">
      <c r="A47" s="38" t="n"/>
      <c r="B47" s="30" t="n"/>
      <c r="C47" s="30" t="n"/>
      <c r="D47" s="30" t="n"/>
      <c r="E47" s="30" t="n"/>
    </row>
    <row r="48">
      <c r="A48" s="38" t="n"/>
      <c r="B48" s="30" t="n"/>
      <c r="C48" s="30" t="n"/>
      <c r="D48" s="30" t="n"/>
      <c r="E48" s="30" t="n"/>
    </row>
    <row r="49">
      <c r="A49" s="38" t="n"/>
      <c r="B49" s="30" t="n"/>
      <c r="C49" s="30" t="n"/>
      <c r="D49" s="30" t="n"/>
      <c r="E49" s="30" t="n"/>
    </row>
    <row r="50">
      <c r="A50" s="38" t="n"/>
      <c r="B50" s="30" t="n"/>
      <c r="C50" s="30" t="n"/>
      <c r="D50" s="30" t="n"/>
      <c r="E50" s="30" t="n"/>
    </row>
    <row r="51">
      <c r="A51" s="38" t="n"/>
      <c r="B51" s="30" t="n"/>
      <c r="C51" s="30" t="n"/>
      <c r="D51" s="30" t="n"/>
      <c r="E51" s="30" t="n"/>
    </row>
    <row r="52">
      <c r="A52" s="38" t="n"/>
      <c r="B52" s="30" t="n"/>
      <c r="C52" s="30" t="n"/>
      <c r="D52" s="30" t="n"/>
      <c r="E52" s="30" t="n"/>
    </row>
    <row r="53">
      <c r="A53" s="38" t="n"/>
      <c r="B53" s="30" t="n"/>
      <c r="C53" s="30" t="n"/>
      <c r="D53" s="30" t="n"/>
      <c r="E53" s="30" t="n"/>
    </row>
    <row r="54">
      <c r="A54" s="38" t="n"/>
      <c r="B54" s="30" t="n"/>
      <c r="C54" s="30" t="n"/>
      <c r="D54" s="30" t="n"/>
      <c r="E54" s="30" t="n"/>
    </row>
    <row r="55">
      <c r="A55" s="38" t="n"/>
      <c r="B55" s="30" t="n"/>
      <c r="C55" s="30" t="n"/>
      <c r="D55" s="30" t="n"/>
      <c r="E55" s="30" t="n"/>
    </row>
  </sheetData>
  <mergeCells count="5">
    <mergeCell ref="A11:F14"/>
    <mergeCell ref="A5:F8"/>
    <mergeCell ref="A40:F42"/>
    <mergeCell ref="A2:H2"/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5C5C5C"/>
    <outlinePr summaryBelow="1" summaryRight="1"/>
    <pageSetUpPr/>
  </sheetPr>
  <dimension ref="A1:P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Bedienung für Inhaber, Bauleitung und Buchhaltung</t>
        </is>
      </c>
      <c r="B1" s="2" t="n"/>
      <c r="C1" s="2" t="n"/>
      <c r="D1" s="2" t="n"/>
      <c r="E1" s="2" t="n"/>
      <c r="F1" s="2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 ht="18" customHeight="1">
      <c r="A2" s="4" t="inlineStr">
        <is>
          <t>Diese Mappe ersetzt kein DATEV-Rechnungswesen, steuert aber Liquidität, Projekte, Forecast und Formulare im Alltag</t>
        </is>
      </c>
      <c r="B2" s="5" t="n"/>
      <c r="C2" s="5" t="n"/>
      <c r="D2" s="5" t="n"/>
      <c r="E2" s="5" t="n"/>
      <c r="F2" s="5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16" t="inlineStr">
        <is>
          <t>Tägliche Arbeit Bauleitung</t>
        </is>
      </c>
      <c r="B4" s="51" t="inlineStr">
        <is>
          <t>Stunden auf 10_Stunden buchen, Material auf 11_Material, Bautagesbericht über 28_Form_Bautage drucken (Projekt + Datum wählen). Nachträge sofort auf 07_Nachtraege mit Status angeboten / in Prüfung / beauftragt.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8">
      <c r="A8" s="40" t="inlineStr">
        <is>
          <t>Wöchentlich Buchhaltung</t>
        </is>
      </c>
      <c r="B8" s="51" t="inlineStr">
        <is>
          <t>Eingangsrechnungen auf 14_ erfassen, Zahlungen importieren (Bank-CSV), OPOS 16_ prüfen, Mahnwesen 17_ eine Stufe weiter, Dashboard 24_ mit der GF besprechen. Gelbe Zellen in 20_Liquiditaet auf bekannte Abschläge und Lohnläufe aktualisieren.</t>
        </is>
      </c>
    </row>
    <row r="9"/>
    <row r="10"/>
    <row r="12">
      <c r="A12" s="40" t="inlineStr">
        <is>
          <t>Monatlich Kaufmann / GF</t>
        </is>
      </c>
      <c r="B12" s="51" t="inlineStr">
        <is>
          <t>Forecast 21_ rollierend machen (Ist bleibt Formel, Plan in den gelben Planzeilen). BWA 22_ und Soll-Ist 23_ gegen Nachkalkulation lesen. Einbehalte auf 18_ nachziehen. Angebote ohne Entscheidung in 08_ bereinigen.</t>
        </is>
      </c>
    </row>
    <row r="13"/>
    <row r="14"/>
    <row r="16">
      <c r="A16" s="40" t="inlineStr">
        <is>
          <t>Projekt neu</t>
        </is>
      </c>
      <c r="B16" s="51" t="inlineStr">
        <is>
          <t>Kunde anlegen → Angebot 08_ → bei Zuschlag Auftrag 09_ und Projekt 05_ → LV-Positionen 06_ → Budgets in 05_ (Material, NU, Lohn, Gerät, GK). Ab dann laufen DB, Fertigstellung und OP automatisch.</t>
        </is>
      </c>
    </row>
    <row r="17"/>
    <row r="18"/>
    <row r="20">
      <c r="A20" s="40" t="inlineStr">
        <is>
          <t>Rechnung schreiben</t>
        </is>
      </c>
      <c r="B20" s="51" t="inlineStr">
        <is>
          <t>Zeile in 13_Ausgangsrechnungen anlegen (Typ Abschlag/Schluss, Netto, Einbehalt %). Blatt 26_Form_Rechnung öffnen, Nummer wählen, drucken. Zahlung später per Import — Offen und Status folgen der Bank.</t>
        </is>
      </c>
    </row>
    <row r="21"/>
    <row r="22"/>
    <row r="24">
      <c r="A24" s="40" t="inlineStr">
        <is>
          <t>Was die Mappe bewusst nicht ist</t>
        </is>
      </c>
      <c r="B24" s="51" t="inlineStr">
        <is>
          <t>Kein Ersatz für Lohnabrechnung, Anlagenbuchhaltung oder die USt-Voranmeldung. Keine GoBD-revisionssichere Buchführung. Belege bleiben im DATEV/Unternehmen-online; diese Datei ist das Steuerungs-Cockpit.</t>
        </is>
      </c>
    </row>
    <row r="25"/>
    <row r="26"/>
    <row r="28">
      <c r="A28" s="40" t="inlineStr">
        <is>
          <t>Ampeln</t>
        </is>
      </c>
      <c r="B28" s="51" t="inlineStr">
        <is>
          <t>OK = unkritisch. ENG = unter 125 % der Mindestliquidität. ENGPASS = unter Mindestliquidität. PRÜFEN im Soll-Ist = Marge &lt; 8 %, Kosten über Budget oder OP &gt; 50 T€.</t>
        </is>
      </c>
    </row>
    <row r="29"/>
    <row r="30"/>
    <row r="32">
      <c r="A32" s="40" t="inlineStr">
        <is>
          <t>Datensicherheit</t>
        </is>
      </c>
      <c r="B32" s="51" t="inlineStr">
        <is>
          <t>Datei auf dem Firmenlaufwerk versionieren, monatlich unter Archiv/JJJJ-MM speichern. Personal- und Bankdaten nicht in ungesicherte Cloud-Ordner legen.</t>
        </is>
      </c>
    </row>
    <row r="33"/>
    <row r="34"/>
  </sheetData>
  <mergeCells count="10">
    <mergeCell ref="A2:F2"/>
    <mergeCell ref="B20:F22"/>
    <mergeCell ref="B12:F14"/>
    <mergeCell ref="B8:F10"/>
    <mergeCell ref="A1:F1"/>
    <mergeCell ref="B16:F18"/>
    <mergeCell ref="B24:F26"/>
    <mergeCell ref="B32:F34"/>
    <mergeCell ref="B28:F30"/>
    <mergeCell ref="B4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Bergmann Hoch- und Tiefbau GmbH</dc:creator>
  <dc:title>Kaufmännisches Baucontrolling</dc:title>
  <dc:description>Steuerungsmappe für das Baugewerbe: Dashboard, Cashflow, 13-Wochen-Liquidität, BWA, Soll-Ist, VOB-Formulare und CSV/DATEV-Import.</dc:description>
  <dc:subject>KPI, Liquidität, Forecast, Projekte, Formulare, Import</dc:subject>
  <dcterms:created xsi:type="dcterms:W3CDTF">2026-10-13T02:48:19Z</dcterms:created>
  <dcterms:modified xsi:type="dcterms:W3CDTF">2026-10-13T02:48:22Z</dcterms:modified>
</cp:coreProperties>
</file>